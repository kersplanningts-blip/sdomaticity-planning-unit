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B5281903-783D-4939-B2DF-89893F2293E6}" xr6:coauthVersionLast="47" xr6:coauthVersionMax="47" xr10:uidLastSave="{00000000-0000-0000-0000-000000000000}"/>
  <bookViews>
    <workbookView xWindow="-120" yWindow="-120" windowWidth="29040" windowHeight="15720" xr2:uid="{A7CF6905-3757-419E-B770-F36DE9365369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3" l="1"/>
  <c r="AH3" i="2"/>
  <c r="AI3" i="2" s="1"/>
</calcChain>
</file>

<file path=xl/sharedStrings.xml><?xml version="1.0" encoding="utf-8"?>
<sst xmlns="http://schemas.openxmlformats.org/spreadsheetml/2006/main" count="1478" uniqueCount="227">
  <si>
    <t>School Level Data on Teacher by Position Title in Elementary Level</t>
  </si>
  <si>
    <t xml:space="preserve">SY 2022-2023 </t>
  </si>
  <si>
    <t>List of Schools is Based on LIS, as of January 10, 2023</t>
  </si>
  <si>
    <t>TEACHING PERSONNEL is based on BEIS, as of May 31, 2023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</si>
  <si>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</si>
  <si>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</si>
  <si>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</si>
  <si>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</si>
  <si>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</si>
  <si>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</si>
  <si>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</si>
  <si>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</si>
  <si>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</si>
  <si>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</si>
  <si>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</si>
  <si>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</si>
  <si>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</si>
  <si>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</si>
  <si>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</si>
  <si>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</si>
  <si>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</si>
  <si>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Master Teacher IV</t>
  </si>
  <si>
    <t>Master Teacher III</t>
  </si>
  <si>
    <t>Master Teacher II</t>
  </si>
  <si>
    <t>Master Teacher I</t>
  </si>
  <si>
    <t>Teacher III</t>
  </si>
  <si>
    <t>Teacher II</t>
  </si>
  <si>
    <t>Teacher I</t>
  </si>
  <si>
    <t>SPED Teacher V</t>
  </si>
  <si>
    <t>SPED Teacher IV</t>
  </si>
  <si>
    <t>SPED Teacher III</t>
  </si>
  <si>
    <t>SPED Teacher II</t>
  </si>
  <si>
    <t>SPED Teacher I</t>
  </si>
  <si>
    <t>Total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</si>
  <si>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</si>
  <si>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</si>
  <si>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</si>
  <si>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</si>
  <si>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</si>
  <si>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</si>
  <si>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</si>
  <si>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</si>
  <si>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</si>
  <si>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</si>
  <si>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</si>
  <si>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</si>
  <si>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</si>
  <si>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</si>
  <si>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</si>
  <si>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</si>
  <si>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</si>
  <si>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</si>
  <si>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</si>
  <si>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</si>
  <si>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</si>
  <si>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</si>
  <si>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</si>
  <si>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</si>
  <si>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</si>
  <si>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</si>
  <si>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</si>
  <si>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</si>
  <si>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</si>
  <si>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</si>
  <si>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</si>
  <si>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</si>
  <si>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</si>
  <si>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</si>
  <si>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</si>
  <si>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</si>
  <si>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</si>
  <si>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</si>
  <si>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</si>
  <si>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</si>
  <si>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</si>
  <si>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</si>
  <si>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</si>
  <si>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</si>
  <si>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</si>
  <si>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</si>
  <si>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</si>
  <si>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</si>
  <si>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</si>
  <si>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</si>
  <si>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</si>
  <si>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</si>
  <si>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</si>
  <si>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</si>
  <si>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</si>
  <si>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</si>
  <si>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</si>
  <si>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</si>
  <si>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</si>
  <si>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</si>
  <si>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</si>
  <si>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</si>
  <si>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</si>
  <si>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</si>
  <si>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</si>
  <si>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</si>
  <si>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</si>
  <si>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</si>
  <si>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</si>
  <si>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</si>
  <si>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</si>
  <si>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</si>
  <si>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</si>
  <si>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</si>
  <si>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</si>
  <si>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</si>
  <si>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</si>
  <si>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</si>
  <si>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</si>
  <si>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</si>
  <si>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</si>
  <si>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</si>
  <si>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</si>
  <si>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</si>
  <si>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</si>
  <si>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</si>
  <si>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</si>
  <si>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</si>
  <si>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</si>
  <si>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</si>
  <si>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</si>
  <si>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</si>
  <si>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</si>
  <si>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</si>
  <si>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</si>
  <si>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</si>
  <si>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</si>
  <si>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</si>
  <si>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</si>
  <si>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</si>
  <si>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</si>
  <si>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</si>
  <si>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</si>
  <si>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</si>
  <si>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</si>
  <si>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</si>
  <si>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</si>
  <si>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</si>
  <si>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</si>
  <si>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</si>
  <si>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</si>
  <si>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</si>
  <si>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</si>
  <si>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</si>
  <si>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</si>
  <si>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</si>
  <si>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</si>
  <si>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</si>
  <si>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</si>
  <si>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</si>
  <si>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</si>
  <si>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</si>
  <si>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</si>
  <si>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</si>
  <si>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</si>
  <si>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</si>
  <si>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</si>
  <si>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</si>
  <si>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</si>
  <si>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</si>
  <si>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</si>
  <si>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</si>
  <si>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</si>
  <si>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</si>
  <si>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</si>
  <si>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</si>
  <si>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</si>
  <si>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</si>
  <si>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</si>
  <si>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</si>
  <si>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</si>
  <si>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</si>
  <si>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</si>
  <si>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</si>
  <si>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</si>
  <si>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</si>
  <si>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</si>
  <si>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</si>
  <si>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School Level Data on Teacher by Position Title in Junior High School</t>
  </si>
  <si>
    <t>Instructor III</t>
  </si>
  <si>
    <t>Instructor II</t>
  </si>
  <si>
    <t>Instructor I</t>
  </si>
  <si>
    <t>Special Science Teacher I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</si>
  <si>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</si>
  <si>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</si>
  <si>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</si>
  <si>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</si>
  <si>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</si>
  <si>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</si>
  <si>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</si>
  <si>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</si>
  <si>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</si>
  <si>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</si>
  <si>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</si>
  <si>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</si>
  <si>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</si>
  <si>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</si>
  <si>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</si>
  <si>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</si>
  <si>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</si>
  <si>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</si>
  <si>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</si>
  <si>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</si>
  <si>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</si>
  <si>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</si>
  <si>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</si>
  <si>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</si>
  <si>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</si>
  <si>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</si>
  <si>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</si>
  <si>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</si>
  <si>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</si>
  <si>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</si>
  <si>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</si>
  <si>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</si>
  <si>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</si>
  <si>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</si>
  <si>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</si>
  <si>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</si>
  <si>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</si>
  <si>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TEACHING PERSONNEL BY POSITION TITLE (SENIOR HIGH SCHOOL)</t>
  </si>
  <si>
    <t>SHS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</si>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</sst>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0F65-D0C6-4DE0-80C4-5855932EAC92}">
  <dimension ref="A1:AE59"/>
  <sheetViews>
    <sheetView tabSelected="1" workbookViewId="0">
      <pane ySplit="5" topLeftCell="A6" activePane="bottomLeft" state="frozen"/>
      <selection activeCell="B27" sqref="A6:XFD27"/>
      <selection pane="bottomLeft" activeCell="B15" sqref="B15"/>
    </sheetView>
  </sheetViews>
  <sheetFormatPr defaultRowHeight="15" x14ac:dyDescent="0.25"/>
  <cols>
    <col min="1" max="1" width="11" customWidth="1"/>
    <col min="2" max="2" width="25.5703125" bestFit="1" customWidth="1"/>
    <col min="3" max="3" width="0" hidden="1" customWidth="1"/>
    <col min="5" max="5" width="0" hidden="1" customWidth="1"/>
    <col min="6" max="6" width="28.5703125" customWidth="1"/>
    <col min="7" max="12" width="0" hidden="1" customWidth="1"/>
    <col min="14" max="17" width="0" hidden="1" customWidth="1"/>
  </cols>
  <sheetData>
    <row r="1" spans="1:31" x14ac:dyDescent="0.25">
      <c r="A1" s="1" t="s">
        <v>0</v>
      </c>
    </row>
    <row r="2" spans="1:31" x14ac:dyDescent="0.25">
      <c r="A2" s="1" t="s">
        <v>1</v>
      </c>
    </row>
    <row r="3" spans="1:31" x14ac:dyDescent="0.25">
      <c r="A3" s="1" t="s">
        <v>2</v>
      </c>
    </row>
    <row r="4" spans="1:31" x14ac:dyDescent="0.25">
      <c r="A4" s="2" t="s">
        <v>3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1" ht="45" x14ac:dyDescent="0.25">
      <c r="A5" s="1" t="s">
        <v>4</v>
      </c>
      <c r="B5" s="1" t="s">
        <v>5</v>
      </c>
      <c r="C5" s="1" t="s">
        <v>6</v>
      </c>
      <c r="D5" s="1" t="s">
        <v>7</v>
      </c>
      <c r="E5" s="4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  <c r="AE5" s="1" t="s">
        <v>8</v>
      </c>
    </row>
    <row r="6" spans="1:31" x14ac:dyDescent="0.25">
      <c r="A6" t="s">
        <v>34</v>
      </c>
      <c r="B6" t="s">
        <v>42</v>
      </c>
      <c r="C6" t="s">
        <v>43</v>
      </c>
      <c r="D6">
        <v>129374</v>
      </c>
      <c r="F6" t="s">
        <v>44</v>
      </c>
      <c r="G6" t="s">
        <v>45</v>
      </c>
      <c r="I6" t="s">
        <v>46</v>
      </c>
      <c r="J6" t="s">
        <v>47</v>
      </c>
      <c r="K6" t="s">
        <v>35</v>
      </c>
      <c r="L6" t="s">
        <v>48</v>
      </c>
      <c r="M6" t="s">
        <v>36</v>
      </c>
      <c r="N6" t="s">
        <v>37</v>
      </c>
      <c r="O6" t="s">
        <v>38</v>
      </c>
      <c r="P6" t="s">
        <v>39</v>
      </c>
      <c r="Q6" s="5" t="s">
        <v>40</v>
      </c>
      <c r="R6">
        <v>0</v>
      </c>
      <c r="S6">
        <v>0</v>
      </c>
      <c r="T6">
        <v>1</v>
      </c>
      <c r="U6">
        <v>0</v>
      </c>
      <c r="V6">
        <v>5</v>
      </c>
      <c r="W6">
        <v>7</v>
      </c>
      <c r="X6">
        <v>4</v>
      </c>
      <c r="Y6">
        <v>0</v>
      </c>
      <c r="Z6">
        <v>0</v>
      </c>
      <c r="AA6">
        <v>0</v>
      </c>
      <c r="AB6">
        <v>0</v>
      </c>
      <c r="AC6">
        <v>0</v>
      </c>
      <c r="AD6">
        <v>17</v>
      </c>
    </row>
    <row r="7" spans="1:31" x14ac:dyDescent="0.25">
      <c r="A7" t="s">
        <v>34</v>
      </c>
      <c r="B7" t="s">
        <v>42</v>
      </c>
      <c r="C7" t="s">
        <v>43</v>
      </c>
      <c r="D7">
        <v>129375</v>
      </c>
      <c r="F7" t="s">
        <v>49</v>
      </c>
      <c r="G7" t="s">
        <v>50</v>
      </c>
      <c r="I7" t="s">
        <v>46</v>
      </c>
      <c r="J7" t="s">
        <v>47</v>
      </c>
      <c r="K7" t="s">
        <v>35</v>
      </c>
      <c r="L7" t="s">
        <v>48</v>
      </c>
      <c r="M7" t="s">
        <v>36</v>
      </c>
      <c r="N7" t="s">
        <v>37</v>
      </c>
      <c r="O7" t="s">
        <v>38</v>
      </c>
      <c r="P7" t="s">
        <v>39</v>
      </c>
      <c r="Q7" s="5" t="s">
        <v>40</v>
      </c>
      <c r="R7">
        <v>0</v>
      </c>
      <c r="S7">
        <v>0</v>
      </c>
      <c r="T7">
        <v>0</v>
      </c>
      <c r="U7">
        <v>0</v>
      </c>
      <c r="V7">
        <v>3</v>
      </c>
      <c r="W7">
        <v>0</v>
      </c>
      <c r="X7">
        <v>6</v>
      </c>
      <c r="Y7">
        <v>0</v>
      </c>
      <c r="Z7">
        <v>0</v>
      </c>
      <c r="AA7">
        <v>0</v>
      </c>
      <c r="AB7">
        <v>0</v>
      </c>
      <c r="AC7">
        <v>0</v>
      </c>
      <c r="AD7">
        <v>9</v>
      </c>
    </row>
    <row r="8" spans="1:31" x14ac:dyDescent="0.25">
      <c r="A8" t="s">
        <v>34</v>
      </c>
      <c r="B8" t="s">
        <v>42</v>
      </c>
      <c r="C8" t="s">
        <v>43</v>
      </c>
      <c r="D8">
        <v>129376</v>
      </c>
      <c r="F8" t="s">
        <v>51</v>
      </c>
      <c r="G8" t="s">
        <v>52</v>
      </c>
      <c r="I8" t="s">
        <v>46</v>
      </c>
      <c r="J8" t="s">
        <v>47</v>
      </c>
      <c r="K8" t="s">
        <v>35</v>
      </c>
      <c r="L8" t="s">
        <v>53</v>
      </c>
      <c r="M8" t="s">
        <v>36</v>
      </c>
      <c r="N8" t="s">
        <v>37</v>
      </c>
      <c r="O8" t="s">
        <v>38</v>
      </c>
      <c r="P8" t="s">
        <v>39</v>
      </c>
      <c r="Q8" s="5" t="s">
        <v>40</v>
      </c>
      <c r="R8">
        <v>0</v>
      </c>
      <c r="S8">
        <v>0</v>
      </c>
      <c r="T8">
        <v>1</v>
      </c>
      <c r="U8">
        <v>0</v>
      </c>
      <c r="V8">
        <v>5</v>
      </c>
      <c r="W8">
        <v>2</v>
      </c>
      <c r="X8">
        <v>4</v>
      </c>
      <c r="Y8">
        <v>0</v>
      </c>
      <c r="Z8">
        <v>0</v>
      </c>
      <c r="AA8">
        <v>0</v>
      </c>
      <c r="AB8">
        <v>0</v>
      </c>
      <c r="AC8">
        <v>0</v>
      </c>
      <c r="AD8">
        <v>12</v>
      </c>
    </row>
    <row r="9" spans="1:31" x14ac:dyDescent="0.25">
      <c r="A9" t="s">
        <v>34</v>
      </c>
      <c r="B9" t="s">
        <v>42</v>
      </c>
      <c r="C9" t="s">
        <v>43</v>
      </c>
      <c r="D9">
        <v>129377</v>
      </c>
      <c r="F9" t="s">
        <v>54</v>
      </c>
      <c r="G9" t="s">
        <v>55</v>
      </c>
      <c r="I9" t="s">
        <v>46</v>
      </c>
      <c r="J9" t="s">
        <v>47</v>
      </c>
      <c r="K9" t="s">
        <v>35</v>
      </c>
      <c r="L9" t="s">
        <v>56</v>
      </c>
      <c r="M9" t="s">
        <v>36</v>
      </c>
      <c r="N9" t="s">
        <v>37</v>
      </c>
      <c r="O9" t="s">
        <v>38</v>
      </c>
      <c r="P9" t="s">
        <v>39</v>
      </c>
      <c r="Q9" s="5" t="s">
        <v>40</v>
      </c>
      <c r="R9">
        <v>0</v>
      </c>
      <c r="S9">
        <v>0</v>
      </c>
      <c r="T9">
        <v>1</v>
      </c>
      <c r="U9">
        <v>1</v>
      </c>
      <c r="V9">
        <v>5</v>
      </c>
      <c r="W9">
        <v>3</v>
      </c>
      <c r="X9">
        <v>4</v>
      </c>
      <c r="Y9">
        <v>0</v>
      </c>
      <c r="Z9">
        <v>0</v>
      </c>
      <c r="AA9">
        <v>0</v>
      </c>
      <c r="AB9">
        <v>0</v>
      </c>
      <c r="AC9">
        <v>0</v>
      </c>
      <c r="AD9">
        <v>14</v>
      </c>
    </row>
    <row r="10" spans="1:31" x14ac:dyDescent="0.25">
      <c r="A10" t="s">
        <v>34</v>
      </c>
      <c r="B10" t="s">
        <v>42</v>
      </c>
      <c r="C10" t="s">
        <v>43</v>
      </c>
      <c r="D10">
        <v>129380</v>
      </c>
      <c r="F10" t="s">
        <v>57</v>
      </c>
      <c r="G10" t="s">
        <v>58</v>
      </c>
      <c r="I10" t="s">
        <v>46</v>
      </c>
      <c r="J10" t="s">
        <v>47</v>
      </c>
      <c r="K10" t="s">
        <v>35</v>
      </c>
      <c r="L10" t="s">
        <v>53</v>
      </c>
      <c r="M10" t="s">
        <v>36</v>
      </c>
      <c r="N10" t="s">
        <v>37</v>
      </c>
      <c r="O10" t="s">
        <v>38</v>
      </c>
      <c r="P10" t="s">
        <v>39</v>
      </c>
      <c r="Q10" s="5" t="s">
        <v>40</v>
      </c>
      <c r="R10">
        <v>0</v>
      </c>
      <c r="S10">
        <v>0</v>
      </c>
      <c r="T10">
        <v>1</v>
      </c>
      <c r="U10">
        <v>7</v>
      </c>
      <c r="V10">
        <v>13</v>
      </c>
      <c r="W10">
        <v>15</v>
      </c>
      <c r="X10">
        <v>7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43</v>
      </c>
    </row>
    <row r="11" spans="1:31" x14ac:dyDescent="0.25">
      <c r="A11" t="s">
        <v>34</v>
      </c>
      <c r="B11" t="s">
        <v>42</v>
      </c>
      <c r="C11" t="s">
        <v>43</v>
      </c>
      <c r="D11">
        <v>129381</v>
      </c>
      <c r="F11" t="s">
        <v>59</v>
      </c>
      <c r="G11" t="s">
        <v>60</v>
      </c>
      <c r="I11" t="s">
        <v>46</v>
      </c>
      <c r="J11" t="s">
        <v>47</v>
      </c>
      <c r="K11" t="s">
        <v>35</v>
      </c>
      <c r="L11" t="s">
        <v>53</v>
      </c>
      <c r="M11" t="s">
        <v>36</v>
      </c>
      <c r="N11" t="s">
        <v>37</v>
      </c>
      <c r="O11" t="s">
        <v>38</v>
      </c>
      <c r="P11" t="s">
        <v>39</v>
      </c>
      <c r="Q11" s="5" t="s">
        <v>40</v>
      </c>
      <c r="R11">
        <v>0</v>
      </c>
      <c r="S11">
        <v>0</v>
      </c>
      <c r="T11">
        <v>1</v>
      </c>
      <c r="U11">
        <v>4</v>
      </c>
      <c r="V11">
        <v>14</v>
      </c>
      <c r="W11">
        <v>13</v>
      </c>
      <c r="X11">
        <v>11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43</v>
      </c>
    </row>
    <row r="12" spans="1:31" x14ac:dyDescent="0.25">
      <c r="A12" t="s">
        <v>34</v>
      </c>
      <c r="B12" t="s">
        <v>42</v>
      </c>
      <c r="C12" t="s">
        <v>43</v>
      </c>
      <c r="D12">
        <v>129382</v>
      </c>
      <c r="F12" t="s">
        <v>61</v>
      </c>
      <c r="G12" t="s">
        <v>62</v>
      </c>
      <c r="I12" t="s">
        <v>46</v>
      </c>
      <c r="J12" t="s">
        <v>47</v>
      </c>
      <c r="K12" t="s">
        <v>35</v>
      </c>
      <c r="L12" t="s">
        <v>53</v>
      </c>
      <c r="M12" t="s">
        <v>36</v>
      </c>
      <c r="N12" t="s">
        <v>37</v>
      </c>
      <c r="O12" t="s">
        <v>38</v>
      </c>
      <c r="P12" t="s">
        <v>39</v>
      </c>
      <c r="Q12" s="5" t="s">
        <v>40</v>
      </c>
      <c r="R12">
        <v>0</v>
      </c>
      <c r="S12">
        <v>0</v>
      </c>
      <c r="T12">
        <v>2</v>
      </c>
      <c r="U12">
        <v>3</v>
      </c>
      <c r="V12">
        <v>21</v>
      </c>
      <c r="W12">
        <v>10</v>
      </c>
      <c r="X12">
        <v>26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62</v>
      </c>
    </row>
    <row r="13" spans="1:31" x14ac:dyDescent="0.25">
      <c r="A13" t="s">
        <v>34</v>
      </c>
      <c r="B13" t="s">
        <v>42</v>
      </c>
      <c r="C13" t="s">
        <v>43</v>
      </c>
      <c r="D13">
        <v>129383</v>
      </c>
      <c r="F13" t="s">
        <v>63</v>
      </c>
      <c r="G13" t="s">
        <v>64</v>
      </c>
      <c r="I13" t="s">
        <v>46</v>
      </c>
      <c r="J13" t="s">
        <v>47</v>
      </c>
      <c r="K13" t="s">
        <v>35</v>
      </c>
      <c r="L13" t="s">
        <v>53</v>
      </c>
      <c r="M13" t="s">
        <v>36</v>
      </c>
      <c r="N13" t="s">
        <v>37</v>
      </c>
      <c r="O13" t="s">
        <v>38</v>
      </c>
      <c r="P13" t="s">
        <v>39</v>
      </c>
      <c r="Q13" s="5" t="s">
        <v>40</v>
      </c>
      <c r="R13">
        <v>0</v>
      </c>
      <c r="S13">
        <v>0</v>
      </c>
      <c r="T13">
        <v>1</v>
      </c>
      <c r="U13">
        <v>2</v>
      </c>
      <c r="V13">
        <v>6</v>
      </c>
      <c r="W13">
        <v>15</v>
      </c>
      <c r="X13">
        <v>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32</v>
      </c>
    </row>
    <row r="14" spans="1:31" x14ac:dyDescent="0.25">
      <c r="A14" t="s">
        <v>34</v>
      </c>
      <c r="B14" t="s">
        <v>42</v>
      </c>
      <c r="C14" t="s">
        <v>43</v>
      </c>
      <c r="D14">
        <v>129384</v>
      </c>
      <c r="F14" t="s">
        <v>65</v>
      </c>
      <c r="G14" t="s">
        <v>66</v>
      </c>
      <c r="I14" t="s">
        <v>46</v>
      </c>
      <c r="J14" t="s">
        <v>47</v>
      </c>
      <c r="K14" t="s">
        <v>35</v>
      </c>
      <c r="L14" t="s">
        <v>53</v>
      </c>
      <c r="M14" t="s">
        <v>36</v>
      </c>
      <c r="N14" t="s">
        <v>37</v>
      </c>
      <c r="O14" t="s">
        <v>38</v>
      </c>
      <c r="P14" t="s">
        <v>39</v>
      </c>
      <c r="Q14" s="5" t="s">
        <v>40</v>
      </c>
      <c r="R14">
        <v>0</v>
      </c>
      <c r="S14">
        <v>0</v>
      </c>
      <c r="T14">
        <v>0</v>
      </c>
      <c r="U14">
        <v>0</v>
      </c>
      <c r="V14">
        <v>3</v>
      </c>
      <c r="W14">
        <v>1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</v>
      </c>
    </row>
    <row r="15" spans="1:31" x14ac:dyDescent="0.25">
      <c r="A15" t="s">
        <v>34</v>
      </c>
      <c r="B15" t="s">
        <v>42</v>
      </c>
      <c r="C15" t="s">
        <v>43</v>
      </c>
      <c r="D15">
        <v>129385</v>
      </c>
      <c r="F15" t="s">
        <v>67</v>
      </c>
      <c r="G15" t="s">
        <v>68</v>
      </c>
      <c r="I15" t="s">
        <v>46</v>
      </c>
      <c r="J15" t="s">
        <v>47</v>
      </c>
      <c r="K15" t="s">
        <v>35</v>
      </c>
      <c r="L15" t="s">
        <v>48</v>
      </c>
      <c r="M15" t="s">
        <v>36</v>
      </c>
      <c r="N15" t="s">
        <v>37</v>
      </c>
      <c r="O15" t="s">
        <v>38</v>
      </c>
      <c r="P15" t="s">
        <v>39</v>
      </c>
      <c r="Q15" s="5" t="s">
        <v>40</v>
      </c>
      <c r="R15">
        <v>0</v>
      </c>
      <c r="S15">
        <v>0</v>
      </c>
      <c r="T15">
        <v>0</v>
      </c>
      <c r="U15">
        <v>2</v>
      </c>
      <c r="V15">
        <v>8</v>
      </c>
      <c r="W15">
        <v>7</v>
      </c>
      <c r="X15">
        <v>10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27</v>
      </c>
    </row>
    <row r="16" spans="1:31" x14ac:dyDescent="0.25">
      <c r="A16" t="s">
        <v>34</v>
      </c>
      <c r="B16" t="s">
        <v>42</v>
      </c>
      <c r="C16" t="s">
        <v>43</v>
      </c>
      <c r="D16">
        <v>129386</v>
      </c>
      <c r="F16" t="s">
        <v>69</v>
      </c>
      <c r="G16" t="s">
        <v>70</v>
      </c>
      <c r="I16" t="s">
        <v>46</v>
      </c>
      <c r="J16" t="s">
        <v>47</v>
      </c>
      <c r="K16" t="s">
        <v>35</v>
      </c>
      <c r="L16" t="s">
        <v>56</v>
      </c>
      <c r="M16" t="s">
        <v>36</v>
      </c>
      <c r="N16" t="s">
        <v>37</v>
      </c>
      <c r="O16" t="s">
        <v>38</v>
      </c>
      <c r="P16" t="s">
        <v>39</v>
      </c>
      <c r="Q16" s="5" t="s">
        <v>40</v>
      </c>
      <c r="R16">
        <v>0</v>
      </c>
      <c r="S16">
        <v>0</v>
      </c>
      <c r="T16">
        <v>0</v>
      </c>
      <c r="U16">
        <v>0</v>
      </c>
      <c r="V16">
        <v>1</v>
      </c>
      <c r="W16">
        <v>4</v>
      </c>
      <c r="X16">
        <v>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</v>
      </c>
    </row>
    <row r="17" spans="1:30" x14ac:dyDescent="0.25">
      <c r="A17" t="s">
        <v>34</v>
      </c>
      <c r="B17" t="s">
        <v>42</v>
      </c>
      <c r="C17" t="s">
        <v>43</v>
      </c>
      <c r="D17">
        <v>205504</v>
      </c>
      <c r="F17" t="s">
        <v>71</v>
      </c>
      <c r="G17" t="s">
        <v>60</v>
      </c>
      <c r="I17" t="s">
        <v>46</v>
      </c>
      <c r="J17" t="s">
        <v>47</v>
      </c>
      <c r="K17" t="s">
        <v>35</v>
      </c>
      <c r="L17" t="s">
        <v>53</v>
      </c>
      <c r="M17" t="s">
        <v>36</v>
      </c>
      <c r="N17" t="s">
        <v>37</v>
      </c>
      <c r="O17" t="s">
        <v>38</v>
      </c>
      <c r="P17" t="s">
        <v>39</v>
      </c>
      <c r="Q17" s="5" t="s">
        <v>40</v>
      </c>
      <c r="R17">
        <v>0</v>
      </c>
      <c r="S17">
        <v>0</v>
      </c>
      <c r="T17">
        <v>4</v>
      </c>
      <c r="U17">
        <v>2</v>
      </c>
      <c r="V17">
        <v>2</v>
      </c>
      <c r="W17">
        <v>4</v>
      </c>
      <c r="X17">
        <v>17</v>
      </c>
      <c r="Y17">
        <v>0</v>
      </c>
      <c r="Z17">
        <v>0</v>
      </c>
      <c r="AA17">
        <v>2</v>
      </c>
      <c r="AB17">
        <v>3</v>
      </c>
      <c r="AC17">
        <v>6</v>
      </c>
      <c r="AD17">
        <v>40</v>
      </c>
    </row>
    <row r="18" spans="1:30" x14ac:dyDescent="0.25">
      <c r="A18" t="s">
        <v>34</v>
      </c>
      <c r="B18" t="s">
        <v>42</v>
      </c>
      <c r="C18" t="s">
        <v>43</v>
      </c>
      <c r="D18">
        <v>500454</v>
      </c>
      <c r="F18" t="s">
        <v>72</v>
      </c>
      <c r="G18" t="s">
        <v>73</v>
      </c>
      <c r="I18" t="s">
        <v>46</v>
      </c>
      <c r="J18" t="s">
        <v>47</v>
      </c>
      <c r="K18" t="s">
        <v>35</v>
      </c>
      <c r="L18" t="s">
        <v>56</v>
      </c>
      <c r="M18" t="s">
        <v>36</v>
      </c>
      <c r="N18" t="s">
        <v>37</v>
      </c>
      <c r="O18" t="s">
        <v>38</v>
      </c>
      <c r="P18" t="s">
        <v>39</v>
      </c>
      <c r="Q18" t="s">
        <v>41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10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12</v>
      </c>
    </row>
    <row r="19" spans="1:30" x14ac:dyDescent="0.25">
      <c r="A19" t="s">
        <v>34</v>
      </c>
      <c r="B19" t="s">
        <v>42</v>
      </c>
      <c r="C19" t="s">
        <v>43</v>
      </c>
      <c r="D19">
        <v>501424</v>
      </c>
      <c r="F19" t="s">
        <v>74</v>
      </c>
      <c r="G19" t="s">
        <v>75</v>
      </c>
      <c r="I19" t="s">
        <v>46</v>
      </c>
      <c r="J19" t="s">
        <v>47</v>
      </c>
      <c r="K19" t="s">
        <v>35</v>
      </c>
      <c r="L19" t="s">
        <v>76</v>
      </c>
      <c r="M19" t="s">
        <v>36</v>
      </c>
      <c r="N19" t="s">
        <v>37</v>
      </c>
      <c r="O19" t="s">
        <v>38</v>
      </c>
      <c r="P19" t="s">
        <v>39</v>
      </c>
      <c r="Q19" t="s">
        <v>41</v>
      </c>
      <c r="R19">
        <v>0</v>
      </c>
      <c r="S19">
        <v>0</v>
      </c>
      <c r="T19">
        <v>1</v>
      </c>
      <c r="U19">
        <v>1</v>
      </c>
      <c r="V19">
        <v>4</v>
      </c>
      <c r="W19">
        <v>2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13</v>
      </c>
    </row>
    <row r="20" spans="1:30" x14ac:dyDescent="0.25">
      <c r="A20" t="s">
        <v>34</v>
      </c>
      <c r="B20" t="s">
        <v>42</v>
      </c>
      <c r="C20" t="s">
        <v>77</v>
      </c>
      <c r="D20">
        <v>101813</v>
      </c>
      <c r="F20" t="s">
        <v>78</v>
      </c>
      <c r="G20" t="s">
        <v>79</v>
      </c>
      <c r="I20" t="s">
        <v>46</v>
      </c>
      <c r="J20" t="s">
        <v>47</v>
      </c>
      <c r="K20" t="s">
        <v>35</v>
      </c>
      <c r="L20" t="s">
        <v>80</v>
      </c>
      <c r="M20" t="s">
        <v>36</v>
      </c>
      <c r="N20" t="s">
        <v>37</v>
      </c>
      <c r="O20" t="s">
        <v>38</v>
      </c>
      <c r="P20" t="s">
        <v>39</v>
      </c>
      <c r="Q20" s="5" t="s">
        <v>40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</v>
      </c>
    </row>
    <row r="21" spans="1:30" x14ac:dyDescent="0.25">
      <c r="A21" t="s">
        <v>34</v>
      </c>
      <c r="B21" t="s">
        <v>42</v>
      </c>
      <c r="C21" t="s">
        <v>77</v>
      </c>
      <c r="D21">
        <v>129387</v>
      </c>
      <c r="F21" t="s">
        <v>81</v>
      </c>
      <c r="G21" t="s">
        <v>82</v>
      </c>
      <c r="I21" t="s">
        <v>46</v>
      </c>
      <c r="J21" t="s">
        <v>47</v>
      </c>
      <c r="K21" t="s">
        <v>35</v>
      </c>
      <c r="L21" t="s">
        <v>83</v>
      </c>
      <c r="M21" t="s">
        <v>36</v>
      </c>
      <c r="N21" t="s">
        <v>37</v>
      </c>
      <c r="O21" t="s">
        <v>38</v>
      </c>
      <c r="P21" t="s">
        <v>39</v>
      </c>
      <c r="Q21" s="5" t="s">
        <v>40</v>
      </c>
      <c r="R21">
        <v>0</v>
      </c>
      <c r="S21">
        <v>0</v>
      </c>
      <c r="T21">
        <v>1</v>
      </c>
      <c r="U21">
        <v>0</v>
      </c>
      <c r="V21">
        <v>2</v>
      </c>
      <c r="W21">
        <v>0</v>
      </c>
      <c r="X21">
        <v>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9</v>
      </c>
    </row>
    <row r="22" spans="1:30" x14ac:dyDescent="0.25">
      <c r="A22" t="s">
        <v>34</v>
      </c>
      <c r="B22" t="s">
        <v>42</v>
      </c>
      <c r="C22" t="s">
        <v>77</v>
      </c>
      <c r="D22">
        <v>129388</v>
      </c>
      <c r="F22" t="s">
        <v>84</v>
      </c>
      <c r="G22" t="s">
        <v>85</v>
      </c>
      <c r="I22" t="s">
        <v>46</v>
      </c>
      <c r="J22" t="s">
        <v>47</v>
      </c>
      <c r="K22" t="s">
        <v>35</v>
      </c>
      <c r="L22" t="s">
        <v>86</v>
      </c>
      <c r="M22" t="s">
        <v>36</v>
      </c>
      <c r="N22" t="s">
        <v>37</v>
      </c>
      <c r="O22" t="s">
        <v>38</v>
      </c>
      <c r="P22" t="s">
        <v>39</v>
      </c>
      <c r="Q22" s="5" t="s">
        <v>40</v>
      </c>
      <c r="R22">
        <v>0</v>
      </c>
      <c r="S22">
        <v>0</v>
      </c>
      <c r="T22">
        <v>0</v>
      </c>
      <c r="U22">
        <v>1</v>
      </c>
      <c r="V22">
        <v>2</v>
      </c>
      <c r="W22">
        <v>1</v>
      </c>
      <c r="X22">
        <v>11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15</v>
      </c>
    </row>
    <row r="23" spans="1:30" x14ac:dyDescent="0.25">
      <c r="A23" t="s">
        <v>34</v>
      </c>
      <c r="B23" t="s">
        <v>42</v>
      </c>
      <c r="C23" t="s">
        <v>77</v>
      </c>
      <c r="D23">
        <v>129389</v>
      </c>
      <c r="F23" t="s">
        <v>87</v>
      </c>
      <c r="G23" t="s">
        <v>88</v>
      </c>
      <c r="I23" t="s">
        <v>46</v>
      </c>
      <c r="J23" t="s">
        <v>47</v>
      </c>
      <c r="K23" t="s">
        <v>35</v>
      </c>
      <c r="L23" t="s">
        <v>89</v>
      </c>
      <c r="M23" t="s">
        <v>36</v>
      </c>
      <c r="N23" t="s">
        <v>37</v>
      </c>
      <c r="O23" t="s">
        <v>38</v>
      </c>
      <c r="P23" t="s">
        <v>39</v>
      </c>
      <c r="Q23" s="5" t="s">
        <v>40</v>
      </c>
      <c r="R23">
        <v>0</v>
      </c>
      <c r="S23">
        <v>0</v>
      </c>
      <c r="T23">
        <v>2</v>
      </c>
      <c r="U23">
        <v>1</v>
      </c>
      <c r="V23">
        <v>5</v>
      </c>
      <c r="W23">
        <v>5</v>
      </c>
      <c r="X23">
        <v>9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22</v>
      </c>
    </row>
    <row r="24" spans="1:30" x14ac:dyDescent="0.25">
      <c r="A24" t="s">
        <v>34</v>
      </c>
      <c r="B24" t="s">
        <v>42</v>
      </c>
      <c r="C24" t="s">
        <v>77</v>
      </c>
      <c r="D24">
        <v>129390</v>
      </c>
      <c r="F24" t="s">
        <v>90</v>
      </c>
      <c r="G24" t="s">
        <v>91</v>
      </c>
      <c r="I24" t="s">
        <v>46</v>
      </c>
      <c r="J24" t="s">
        <v>47</v>
      </c>
      <c r="K24" t="s">
        <v>35</v>
      </c>
      <c r="L24" t="s">
        <v>83</v>
      </c>
      <c r="M24" t="s">
        <v>36</v>
      </c>
      <c r="N24" t="s">
        <v>37</v>
      </c>
      <c r="O24" t="s">
        <v>38</v>
      </c>
      <c r="P24" t="s">
        <v>39</v>
      </c>
      <c r="Q24" s="5" t="s">
        <v>40</v>
      </c>
      <c r="R24">
        <v>0</v>
      </c>
      <c r="S24">
        <v>0</v>
      </c>
      <c r="T24">
        <v>0</v>
      </c>
      <c r="U24">
        <v>2</v>
      </c>
      <c r="V24">
        <v>2</v>
      </c>
      <c r="W24">
        <v>9</v>
      </c>
      <c r="X24">
        <v>11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24</v>
      </c>
    </row>
    <row r="25" spans="1:30" x14ac:dyDescent="0.25">
      <c r="A25" t="s">
        <v>34</v>
      </c>
      <c r="B25" t="s">
        <v>42</v>
      </c>
      <c r="C25" t="s">
        <v>77</v>
      </c>
      <c r="D25">
        <v>129391</v>
      </c>
      <c r="F25" t="s">
        <v>92</v>
      </c>
      <c r="G25" t="s">
        <v>93</v>
      </c>
      <c r="I25" t="s">
        <v>46</v>
      </c>
      <c r="J25" t="s">
        <v>47</v>
      </c>
      <c r="K25" t="s">
        <v>35</v>
      </c>
      <c r="L25" t="s">
        <v>94</v>
      </c>
      <c r="M25" t="s">
        <v>36</v>
      </c>
      <c r="N25" t="s">
        <v>37</v>
      </c>
      <c r="O25" t="s">
        <v>38</v>
      </c>
      <c r="P25" t="s">
        <v>39</v>
      </c>
      <c r="Q25" s="5" t="s">
        <v>40</v>
      </c>
      <c r="R25">
        <v>0</v>
      </c>
      <c r="S25">
        <v>0</v>
      </c>
      <c r="T25">
        <v>0</v>
      </c>
      <c r="U25">
        <v>1</v>
      </c>
      <c r="V25">
        <v>3</v>
      </c>
      <c r="W25">
        <v>2</v>
      </c>
      <c r="X25">
        <v>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12</v>
      </c>
    </row>
    <row r="26" spans="1:30" x14ac:dyDescent="0.25">
      <c r="A26" t="s">
        <v>34</v>
      </c>
      <c r="B26" t="s">
        <v>42</v>
      </c>
      <c r="C26" t="s">
        <v>77</v>
      </c>
      <c r="D26">
        <v>129392</v>
      </c>
      <c r="F26" t="s">
        <v>95</v>
      </c>
      <c r="G26" t="s">
        <v>96</v>
      </c>
      <c r="I26" t="s">
        <v>46</v>
      </c>
      <c r="J26" t="s">
        <v>47</v>
      </c>
      <c r="K26" t="s">
        <v>35</v>
      </c>
      <c r="L26" t="s">
        <v>97</v>
      </c>
      <c r="M26" t="s">
        <v>36</v>
      </c>
      <c r="N26" t="s">
        <v>37</v>
      </c>
      <c r="O26" t="s">
        <v>38</v>
      </c>
      <c r="P26" t="s">
        <v>39</v>
      </c>
      <c r="Q26" s="5" t="s">
        <v>40</v>
      </c>
      <c r="R26">
        <v>0</v>
      </c>
      <c r="S26">
        <v>0</v>
      </c>
      <c r="T26">
        <v>0</v>
      </c>
      <c r="U26">
        <v>1</v>
      </c>
      <c r="V26">
        <v>5</v>
      </c>
      <c r="W26">
        <v>5</v>
      </c>
      <c r="X26">
        <v>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13</v>
      </c>
    </row>
    <row r="27" spans="1:30" x14ac:dyDescent="0.25">
      <c r="A27" t="s">
        <v>34</v>
      </c>
      <c r="B27" t="s">
        <v>42</v>
      </c>
      <c r="C27" t="s">
        <v>77</v>
      </c>
      <c r="D27">
        <v>129393</v>
      </c>
      <c r="F27" t="s">
        <v>98</v>
      </c>
      <c r="G27" t="s">
        <v>99</v>
      </c>
      <c r="I27" t="s">
        <v>46</v>
      </c>
      <c r="J27" t="s">
        <v>47</v>
      </c>
      <c r="K27" t="s">
        <v>35</v>
      </c>
      <c r="L27" t="s">
        <v>100</v>
      </c>
      <c r="M27" t="s">
        <v>36</v>
      </c>
      <c r="N27" t="s">
        <v>37</v>
      </c>
      <c r="O27" t="s">
        <v>38</v>
      </c>
      <c r="P27" t="s">
        <v>39</v>
      </c>
      <c r="Q27" s="5" t="s">
        <v>40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</v>
      </c>
    </row>
    <row r="28" spans="1:30" x14ac:dyDescent="0.25">
      <c r="A28" t="s">
        <v>34</v>
      </c>
      <c r="B28" t="s">
        <v>42</v>
      </c>
      <c r="C28" t="s">
        <v>77</v>
      </c>
      <c r="D28">
        <v>129394</v>
      </c>
      <c r="F28" t="s">
        <v>101</v>
      </c>
      <c r="G28" t="s">
        <v>102</v>
      </c>
      <c r="I28" t="s">
        <v>46</v>
      </c>
      <c r="J28" t="s">
        <v>47</v>
      </c>
      <c r="K28" t="s">
        <v>35</v>
      </c>
      <c r="L28" t="s">
        <v>94</v>
      </c>
      <c r="M28" t="s">
        <v>36</v>
      </c>
      <c r="N28" t="s">
        <v>37</v>
      </c>
      <c r="O28" t="s">
        <v>38</v>
      </c>
      <c r="P28" t="s">
        <v>39</v>
      </c>
      <c r="Q28" s="5" t="s">
        <v>40</v>
      </c>
      <c r="R28">
        <v>0</v>
      </c>
      <c r="S28">
        <v>0</v>
      </c>
      <c r="T28">
        <v>0</v>
      </c>
      <c r="U28">
        <v>1</v>
      </c>
      <c r="V28">
        <v>2</v>
      </c>
      <c r="W28">
        <v>4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</v>
      </c>
    </row>
    <row r="29" spans="1:30" x14ac:dyDescent="0.25">
      <c r="A29" t="s">
        <v>34</v>
      </c>
      <c r="B29" t="s">
        <v>42</v>
      </c>
      <c r="C29" t="s">
        <v>77</v>
      </c>
      <c r="D29">
        <v>129395</v>
      </c>
      <c r="F29" t="s">
        <v>103</v>
      </c>
      <c r="G29" t="s">
        <v>104</v>
      </c>
      <c r="I29" t="s">
        <v>46</v>
      </c>
      <c r="J29" t="s">
        <v>47</v>
      </c>
      <c r="K29" t="s">
        <v>35</v>
      </c>
      <c r="L29" t="s">
        <v>89</v>
      </c>
      <c r="M29" t="s">
        <v>36</v>
      </c>
      <c r="N29" t="s">
        <v>37</v>
      </c>
      <c r="O29" t="s">
        <v>38</v>
      </c>
      <c r="P29" t="s">
        <v>39</v>
      </c>
      <c r="Q29" s="5" t="s">
        <v>40</v>
      </c>
      <c r="R29">
        <v>0</v>
      </c>
      <c r="S29">
        <v>0</v>
      </c>
      <c r="T29">
        <v>1</v>
      </c>
      <c r="U29">
        <v>1</v>
      </c>
      <c r="V29">
        <v>10</v>
      </c>
      <c r="W29">
        <v>1</v>
      </c>
      <c r="X29">
        <v>10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23</v>
      </c>
    </row>
    <row r="30" spans="1:30" x14ac:dyDescent="0.25">
      <c r="A30" t="s">
        <v>34</v>
      </c>
      <c r="B30" t="s">
        <v>42</v>
      </c>
      <c r="C30" t="s">
        <v>77</v>
      </c>
      <c r="D30">
        <v>129396</v>
      </c>
      <c r="F30" t="s">
        <v>105</v>
      </c>
      <c r="G30" t="s">
        <v>106</v>
      </c>
      <c r="I30" t="s">
        <v>46</v>
      </c>
      <c r="J30" t="s">
        <v>47</v>
      </c>
      <c r="K30" t="s">
        <v>35</v>
      </c>
      <c r="L30" t="s">
        <v>100</v>
      </c>
      <c r="M30" t="s">
        <v>36</v>
      </c>
      <c r="N30" t="s">
        <v>37</v>
      </c>
      <c r="O30" t="s">
        <v>38</v>
      </c>
      <c r="P30" t="s">
        <v>39</v>
      </c>
      <c r="Q30" s="5" t="s">
        <v>40</v>
      </c>
      <c r="R30">
        <v>0</v>
      </c>
      <c r="S30">
        <v>0</v>
      </c>
      <c r="T30">
        <v>1</v>
      </c>
      <c r="U30">
        <v>1</v>
      </c>
      <c r="V30">
        <v>3</v>
      </c>
      <c r="W30">
        <v>3</v>
      </c>
      <c r="X30">
        <v>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16</v>
      </c>
    </row>
    <row r="31" spans="1:30" x14ac:dyDescent="0.25">
      <c r="A31" t="s">
        <v>34</v>
      </c>
      <c r="B31" t="s">
        <v>42</v>
      </c>
      <c r="C31" t="s">
        <v>77</v>
      </c>
      <c r="D31">
        <v>129397</v>
      </c>
      <c r="F31" t="s">
        <v>107</v>
      </c>
      <c r="G31" t="s">
        <v>108</v>
      </c>
      <c r="I31" t="s">
        <v>46</v>
      </c>
      <c r="J31" t="s">
        <v>47</v>
      </c>
      <c r="K31" t="s">
        <v>35</v>
      </c>
      <c r="L31" t="s">
        <v>109</v>
      </c>
      <c r="M31" t="s">
        <v>36</v>
      </c>
      <c r="N31" t="s">
        <v>37</v>
      </c>
      <c r="O31" t="s">
        <v>38</v>
      </c>
      <c r="P31" t="s">
        <v>39</v>
      </c>
      <c r="Q31" s="5" t="s">
        <v>40</v>
      </c>
      <c r="R31">
        <v>0</v>
      </c>
      <c r="S31">
        <v>0</v>
      </c>
      <c r="T31">
        <v>0</v>
      </c>
      <c r="U31">
        <v>1</v>
      </c>
      <c r="V31">
        <v>1</v>
      </c>
      <c r="W31">
        <v>3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</v>
      </c>
    </row>
    <row r="32" spans="1:30" x14ac:dyDescent="0.25">
      <c r="A32" t="s">
        <v>34</v>
      </c>
      <c r="B32" t="s">
        <v>42</v>
      </c>
      <c r="C32" t="s">
        <v>77</v>
      </c>
      <c r="D32">
        <v>129398</v>
      </c>
      <c r="F32" t="s">
        <v>110</v>
      </c>
      <c r="G32" t="s">
        <v>111</v>
      </c>
      <c r="I32" t="s">
        <v>46</v>
      </c>
      <c r="J32" t="s">
        <v>47</v>
      </c>
      <c r="K32" t="s">
        <v>35</v>
      </c>
      <c r="L32" t="s">
        <v>112</v>
      </c>
      <c r="M32" t="s">
        <v>36</v>
      </c>
      <c r="N32" t="s">
        <v>37</v>
      </c>
      <c r="O32" t="s">
        <v>38</v>
      </c>
      <c r="P32" t="s">
        <v>39</v>
      </c>
      <c r="Q32" s="5" t="s">
        <v>40</v>
      </c>
      <c r="R32">
        <v>0</v>
      </c>
      <c r="S32">
        <v>0</v>
      </c>
      <c r="T32">
        <v>1</v>
      </c>
      <c r="U32">
        <v>0</v>
      </c>
      <c r="V32">
        <v>11</v>
      </c>
      <c r="W32">
        <v>6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19</v>
      </c>
    </row>
    <row r="33" spans="1:30" x14ac:dyDescent="0.25">
      <c r="A33" t="s">
        <v>34</v>
      </c>
      <c r="B33" t="s">
        <v>42</v>
      </c>
      <c r="C33" t="s">
        <v>77</v>
      </c>
      <c r="D33">
        <v>129399</v>
      </c>
      <c r="F33" t="s">
        <v>113</v>
      </c>
      <c r="G33" t="s">
        <v>114</v>
      </c>
      <c r="I33" t="s">
        <v>46</v>
      </c>
      <c r="J33" t="s">
        <v>47</v>
      </c>
      <c r="K33" t="s">
        <v>35</v>
      </c>
      <c r="L33" t="s">
        <v>115</v>
      </c>
      <c r="M33" t="s">
        <v>36</v>
      </c>
      <c r="N33" t="s">
        <v>37</v>
      </c>
      <c r="O33" t="s">
        <v>38</v>
      </c>
      <c r="P33" t="s">
        <v>39</v>
      </c>
      <c r="Q33" s="5" t="s">
        <v>40</v>
      </c>
      <c r="R33">
        <v>0</v>
      </c>
      <c r="S33">
        <v>0</v>
      </c>
      <c r="T33">
        <v>1</v>
      </c>
      <c r="U33">
        <v>1</v>
      </c>
      <c r="V33">
        <v>2</v>
      </c>
      <c r="W33">
        <v>5</v>
      </c>
      <c r="X33">
        <v>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18</v>
      </c>
    </row>
    <row r="34" spans="1:30" x14ac:dyDescent="0.25">
      <c r="A34" t="s">
        <v>34</v>
      </c>
      <c r="B34" t="s">
        <v>42</v>
      </c>
      <c r="C34" t="s">
        <v>77</v>
      </c>
      <c r="D34">
        <v>129400</v>
      </c>
      <c r="F34" t="s">
        <v>116</v>
      </c>
      <c r="G34" t="s">
        <v>117</v>
      </c>
      <c r="I34" t="s">
        <v>46</v>
      </c>
      <c r="J34" t="s">
        <v>47</v>
      </c>
      <c r="K34" t="s">
        <v>35</v>
      </c>
      <c r="L34" t="s">
        <v>112</v>
      </c>
      <c r="M34" t="s">
        <v>36</v>
      </c>
      <c r="N34" t="s">
        <v>37</v>
      </c>
      <c r="O34" t="s">
        <v>38</v>
      </c>
      <c r="P34" t="s">
        <v>39</v>
      </c>
      <c r="Q34" s="5" t="s">
        <v>40</v>
      </c>
      <c r="R34">
        <v>0</v>
      </c>
      <c r="S34">
        <v>0</v>
      </c>
      <c r="T34">
        <v>1</v>
      </c>
      <c r="U34">
        <v>3</v>
      </c>
      <c r="V34">
        <v>12</v>
      </c>
      <c r="W34">
        <v>15</v>
      </c>
      <c r="X34">
        <v>15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46</v>
      </c>
    </row>
    <row r="35" spans="1:30" x14ac:dyDescent="0.25">
      <c r="A35" t="s">
        <v>34</v>
      </c>
      <c r="B35" t="s">
        <v>42</v>
      </c>
      <c r="C35" t="s">
        <v>77</v>
      </c>
      <c r="D35">
        <v>129401</v>
      </c>
      <c r="F35" t="s">
        <v>118</v>
      </c>
      <c r="G35" t="s">
        <v>119</v>
      </c>
      <c r="I35" t="s">
        <v>46</v>
      </c>
      <c r="J35" t="s">
        <v>47</v>
      </c>
      <c r="K35" t="s">
        <v>35</v>
      </c>
      <c r="L35" t="s">
        <v>86</v>
      </c>
      <c r="M35" t="s">
        <v>36</v>
      </c>
      <c r="N35" t="s">
        <v>37</v>
      </c>
      <c r="O35" t="s">
        <v>38</v>
      </c>
      <c r="P35" t="s">
        <v>39</v>
      </c>
      <c r="Q35" s="5" t="s">
        <v>40</v>
      </c>
      <c r="R35">
        <v>0</v>
      </c>
      <c r="S35">
        <v>0</v>
      </c>
      <c r="T35">
        <v>0</v>
      </c>
      <c r="U35">
        <v>1</v>
      </c>
      <c r="V35">
        <v>0</v>
      </c>
      <c r="W35">
        <v>2</v>
      </c>
      <c r="X35">
        <v>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9</v>
      </c>
    </row>
    <row r="36" spans="1:30" x14ac:dyDescent="0.25">
      <c r="A36" t="s">
        <v>34</v>
      </c>
      <c r="B36" t="s">
        <v>42</v>
      </c>
      <c r="C36" t="s">
        <v>77</v>
      </c>
      <c r="D36">
        <v>129402</v>
      </c>
      <c r="F36" t="s">
        <v>120</v>
      </c>
      <c r="G36" t="s">
        <v>121</v>
      </c>
      <c r="I36" t="s">
        <v>46</v>
      </c>
      <c r="J36" t="s">
        <v>47</v>
      </c>
      <c r="K36" t="s">
        <v>35</v>
      </c>
      <c r="L36" t="s">
        <v>100</v>
      </c>
      <c r="M36" t="s">
        <v>36</v>
      </c>
      <c r="N36" t="s">
        <v>37</v>
      </c>
      <c r="O36" t="s">
        <v>38</v>
      </c>
      <c r="P36" t="s">
        <v>39</v>
      </c>
      <c r="Q36" s="5" t="s">
        <v>40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</v>
      </c>
    </row>
    <row r="37" spans="1:30" x14ac:dyDescent="0.25">
      <c r="A37" t="s">
        <v>34</v>
      </c>
      <c r="B37" t="s">
        <v>42</v>
      </c>
      <c r="C37" t="s">
        <v>77</v>
      </c>
      <c r="D37">
        <v>129403</v>
      </c>
      <c r="F37" t="s">
        <v>122</v>
      </c>
      <c r="G37" t="s">
        <v>123</v>
      </c>
      <c r="I37" t="s">
        <v>46</v>
      </c>
      <c r="J37" t="s">
        <v>47</v>
      </c>
      <c r="K37" t="s">
        <v>35</v>
      </c>
      <c r="L37" t="s">
        <v>80</v>
      </c>
      <c r="M37" t="s">
        <v>36</v>
      </c>
      <c r="N37" t="s">
        <v>37</v>
      </c>
      <c r="O37" t="s">
        <v>38</v>
      </c>
      <c r="P37" t="s">
        <v>39</v>
      </c>
      <c r="Q37" s="5" t="s">
        <v>40</v>
      </c>
      <c r="R37">
        <v>0</v>
      </c>
      <c r="S37">
        <v>0</v>
      </c>
      <c r="T37">
        <v>1</v>
      </c>
      <c r="U37">
        <v>0</v>
      </c>
      <c r="V37">
        <v>0</v>
      </c>
      <c r="W37">
        <v>4</v>
      </c>
      <c r="X37">
        <v>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</row>
    <row r="38" spans="1:30" x14ac:dyDescent="0.25">
      <c r="A38" t="s">
        <v>34</v>
      </c>
      <c r="B38" t="s">
        <v>42</v>
      </c>
      <c r="C38" t="s">
        <v>77</v>
      </c>
      <c r="D38">
        <v>129404</v>
      </c>
      <c r="F38" t="s">
        <v>124</v>
      </c>
      <c r="G38" t="s">
        <v>125</v>
      </c>
      <c r="I38" t="s">
        <v>46</v>
      </c>
      <c r="J38" t="s">
        <v>47</v>
      </c>
      <c r="K38" t="s">
        <v>35</v>
      </c>
      <c r="L38" t="s">
        <v>126</v>
      </c>
      <c r="M38" t="s">
        <v>36</v>
      </c>
      <c r="N38" t="s">
        <v>37</v>
      </c>
      <c r="O38" t="s">
        <v>38</v>
      </c>
      <c r="P38" t="s">
        <v>39</v>
      </c>
      <c r="Q38" s="5" t="s">
        <v>40</v>
      </c>
      <c r="R38">
        <v>0</v>
      </c>
      <c r="S38">
        <v>0</v>
      </c>
      <c r="T38">
        <v>0</v>
      </c>
      <c r="U38">
        <v>1</v>
      </c>
      <c r="V38">
        <v>2</v>
      </c>
      <c r="W38">
        <v>2</v>
      </c>
      <c r="X38">
        <v>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9</v>
      </c>
    </row>
    <row r="39" spans="1:30" x14ac:dyDescent="0.25">
      <c r="A39" t="s">
        <v>34</v>
      </c>
      <c r="B39" t="s">
        <v>42</v>
      </c>
      <c r="C39" t="s">
        <v>77</v>
      </c>
      <c r="D39">
        <v>129405</v>
      </c>
      <c r="F39" t="s">
        <v>127</v>
      </c>
      <c r="G39" t="s">
        <v>128</v>
      </c>
      <c r="I39" t="s">
        <v>46</v>
      </c>
      <c r="J39" t="s">
        <v>47</v>
      </c>
      <c r="K39" t="s">
        <v>35</v>
      </c>
      <c r="L39" t="s">
        <v>129</v>
      </c>
      <c r="M39" t="s">
        <v>36</v>
      </c>
      <c r="N39" t="s">
        <v>37</v>
      </c>
      <c r="O39" t="s">
        <v>38</v>
      </c>
      <c r="P39" t="s">
        <v>39</v>
      </c>
      <c r="Q39" s="5" t="s">
        <v>40</v>
      </c>
      <c r="R39">
        <v>0</v>
      </c>
      <c r="S39">
        <v>0</v>
      </c>
      <c r="T39">
        <v>0</v>
      </c>
      <c r="U39">
        <v>1</v>
      </c>
      <c r="V39">
        <v>2</v>
      </c>
      <c r="W39">
        <v>2</v>
      </c>
      <c r="X39">
        <v>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14</v>
      </c>
    </row>
    <row r="40" spans="1:30" x14ac:dyDescent="0.25">
      <c r="A40" t="s">
        <v>34</v>
      </c>
      <c r="B40" t="s">
        <v>42</v>
      </c>
      <c r="C40" t="s">
        <v>77</v>
      </c>
      <c r="D40">
        <v>129406</v>
      </c>
      <c r="F40" t="s">
        <v>130</v>
      </c>
      <c r="G40" t="s">
        <v>131</v>
      </c>
      <c r="I40" t="s">
        <v>46</v>
      </c>
      <c r="J40" t="s">
        <v>47</v>
      </c>
      <c r="K40" t="s">
        <v>35</v>
      </c>
      <c r="L40" t="s">
        <v>97</v>
      </c>
      <c r="M40" t="s">
        <v>36</v>
      </c>
      <c r="N40" t="s">
        <v>37</v>
      </c>
      <c r="O40" t="s">
        <v>38</v>
      </c>
      <c r="P40" t="s">
        <v>39</v>
      </c>
      <c r="Q40" s="5" t="s">
        <v>40</v>
      </c>
      <c r="R40">
        <v>0</v>
      </c>
      <c r="S40">
        <v>0</v>
      </c>
      <c r="T40">
        <v>0</v>
      </c>
      <c r="U40">
        <v>1</v>
      </c>
      <c r="V40">
        <v>2</v>
      </c>
      <c r="W40">
        <v>1</v>
      </c>
      <c r="X40">
        <v>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8</v>
      </c>
    </row>
    <row r="41" spans="1:30" x14ac:dyDescent="0.25">
      <c r="A41" t="s">
        <v>34</v>
      </c>
      <c r="B41" t="s">
        <v>42</v>
      </c>
      <c r="C41" t="s">
        <v>77</v>
      </c>
      <c r="D41">
        <v>129407</v>
      </c>
      <c r="F41" t="s">
        <v>132</v>
      </c>
      <c r="G41" t="s">
        <v>133</v>
      </c>
      <c r="I41" t="s">
        <v>46</v>
      </c>
      <c r="J41" t="s">
        <v>47</v>
      </c>
      <c r="K41" t="s">
        <v>35</v>
      </c>
      <c r="L41" t="s">
        <v>109</v>
      </c>
      <c r="M41" t="s">
        <v>36</v>
      </c>
      <c r="N41" t="s">
        <v>37</v>
      </c>
      <c r="O41" t="s">
        <v>38</v>
      </c>
      <c r="P41" t="s">
        <v>39</v>
      </c>
      <c r="Q41" s="5" t="s">
        <v>40</v>
      </c>
      <c r="R41">
        <v>0</v>
      </c>
      <c r="S41">
        <v>0</v>
      </c>
      <c r="T41">
        <v>0</v>
      </c>
      <c r="U41">
        <v>1</v>
      </c>
      <c r="V41">
        <v>5</v>
      </c>
      <c r="W41">
        <v>2</v>
      </c>
      <c r="X41">
        <v>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14</v>
      </c>
    </row>
    <row r="42" spans="1:30" x14ac:dyDescent="0.25">
      <c r="A42" t="s">
        <v>34</v>
      </c>
      <c r="B42" t="s">
        <v>42</v>
      </c>
      <c r="C42" t="s">
        <v>77</v>
      </c>
      <c r="D42">
        <v>129408</v>
      </c>
      <c r="F42" t="s">
        <v>134</v>
      </c>
      <c r="G42" t="s">
        <v>135</v>
      </c>
      <c r="I42" t="s">
        <v>46</v>
      </c>
      <c r="J42" t="s">
        <v>47</v>
      </c>
      <c r="K42" t="s">
        <v>35</v>
      </c>
      <c r="L42" t="s">
        <v>112</v>
      </c>
      <c r="M42" t="s">
        <v>36</v>
      </c>
      <c r="N42" t="s">
        <v>37</v>
      </c>
      <c r="O42" t="s">
        <v>38</v>
      </c>
      <c r="P42" t="s">
        <v>39</v>
      </c>
      <c r="Q42" s="5" t="s">
        <v>40</v>
      </c>
      <c r="R42">
        <v>0</v>
      </c>
      <c r="S42">
        <v>0</v>
      </c>
      <c r="T42">
        <v>0</v>
      </c>
      <c r="U42">
        <v>1</v>
      </c>
      <c r="V42">
        <v>2</v>
      </c>
      <c r="W42">
        <v>2</v>
      </c>
      <c r="X42">
        <v>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8</v>
      </c>
    </row>
    <row r="43" spans="1:30" x14ac:dyDescent="0.25">
      <c r="A43" t="s">
        <v>34</v>
      </c>
      <c r="B43" t="s">
        <v>42</v>
      </c>
      <c r="C43" t="s">
        <v>77</v>
      </c>
      <c r="D43">
        <v>129409</v>
      </c>
      <c r="F43" t="s">
        <v>136</v>
      </c>
      <c r="G43" t="s">
        <v>137</v>
      </c>
      <c r="I43" t="s">
        <v>46</v>
      </c>
      <c r="J43" t="s">
        <v>47</v>
      </c>
      <c r="K43" t="s">
        <v>35</v>
      </c>
      <c r="L43" t="s">
        <v>138</v>
      </c>
      <c r="M43" t="s">
        <v>36</v>
      </c>
      <c r="N43" t="s">
        <v>37</v>
      </c>
      <c r="O43" t="s">
        <v>38</v>
      </c>
      <c r="P43" t="s">
        <v>39</v>
      </c>
      <c r="Q43" s="5" t="s">
        <v>40</v>
      </c>
      <c r="R43">
        <v>0</v>
      </c>
      <c r="S43">
        <v>0</v>
      </c>
      <c r="T43">
        <v>1</v>
      </c>
      <c r="U43">
        <v>1</v>
      </c>
      <c r="V43">
        <v>4</v>
      </c>
      <c r="W43">
        <v>3</v>
      </c>
      <c r="X43">
        <v>13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22</v>
      </c>
    </row>
    <row r="44" spans="1:30" x14ac:dyDescent="0.25">
      <c r="A44" t="s">
        <v>34</v>
      </c>
      <c r="B44" t="s">
        <v>42</v>
      </c>
      <c r="C44" t="s">
        <v>77</v>
      </c>
      <c r="D44">
        <v>257001</v>
      </c>
      <c r="F44" t="s">
        <v>139</v>
      </c>
      <c r="G44" t="s">
        <v>140</v>
      </c>
      <c r="I44" t="s">
        <v>46</v>
      </c>
      <c r="J44" t="s">
        <v>47</v>
      </c>
      <c r="K44" t="s">
        <v>35</v>
      </c>
      <c r="L44" t="s">
        <v>89</v>
      </c>
      <c r="M44" t="s">
        <v>36</v>
      </c>
      <c r="N44" t="s">
        <v>37</v>
      </c>
      <c r="O44" t="s">
        <v>38</v>
      </c>
      <c r="P44" t="s">
        <v>39</v>
      </c>
      <c r="Q44" s="5" t="s">
        <v>40</v>
      </c>
      <c r="R44">
        <v>0</v>
      </c>
      <c r="S44">
        <v>0</v>
      </c>
      <c r="T44">
        <v>1</v>
      </c>
      <c r="U44">
        <v>1</v>
      </c>
      <c r="V44">
        <v>4</v>
      </c>
      <c r="W44">
        <v>4</v>
      </c>
      <c r="X44">
        <v>10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20</v>
      </c>
    </row>
    <row r="45" spans="1:30" x14ac:dyDescent="0.25">
      <c r="A45" t="s">
        <v>34</v>
      </c>
      <c r="B45" t="s">
        <v>42</v>
      </c>
      <c r="C45" t="s">
        <v>141</v>
      </c>
      <c r="D45">
        <v>102157</v>
      </c>
      <c r="F45" t="s">
        <v>142</v>
      </c>
      <c r="G45" t="s">
        <v>143</v>
      </c>
      <c r="I45" t="s">
        <v>46</v>
      </c>
      <c r="J45" t="s">
        <v>47</v>
      </c>
      <c r="K45" t="s">
        <v>35</v>
      </c>
      <c r="L45" t="s">
        <v>144</v>
      </c>
      <c r="M45" t="s">
        <v>36</v>
      </c>
      <c r="N45" t="s">
        <v>37</v>
      </c>
      <c r="O45" t="s">
        <v>38</v>
      </c>
      <c r="P45" t="s">
        <v>39</v>
      </c>
      <c r="Q45" s="5" t="s">
        <v>40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</v>
      </c>
    </row>
    <row r="46" spans="1:30" x14ac:dyDescent="0.25">
      <c r="A46" t="s">
        <v>34</v>
      </c>
      <c r="B46" t="s">
        <v>42</v>
      </c>
      <c r="C46" t="s">
        <v>141</v>
      </c>
      <c r="D46">
        <v>102164</v>
      </c>
      <c r="F46" t="s">
        <v>145</v>
      </c>
      <c r="G46" t="s">
        <v>146</v>
      </c>
      <c r="I46" t="s">
        <v>46</v>
      </c>
      <c r="J46" t="s">
        <v>47</v>
      </c>
      <c r="K46" t="s">
        <v>35</v>
      </c>
      <c r="L46" t="s">
        <v>147</v>
      </c>
      <c r="M46" t="s">
        <v>36</v>
      </c>
      <c r="N46" t="s">
        <v>37</v>
      </c>
      <c r="O46" t="s">
        <v>38</v>
      </c>
      <c r="P46" t="s">
        <v>39</v>
      </c>
      <c r="Q46" s="5" t="s">
        <v>40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</v>
      </c>
    </row>
    <row r="47" spans="1:30" x14ac:dyDescent="0.25">
      <c r="A47" t="s">
        <v>34</v>
      </c>
      <c r="B47" t="s">
        <v>42</v>
      </c>
      <c r="C47" t="s">
        <v>141</v>
      </c>
      <c r="D47">
        <v>129410</v>
      </c>
      <c r="F47" t="s">
        <v>148</v>
      </c>
      <c r="G47" t="s">
        <v>149</v>
      </c>
      <c r="I47" t="s">
        <v>46</v>
      </c>
      <c r="J47" t="s">
        <v>47</v>
      </c>
      <c r="K47" t="s">
        <v>35</v>
      </c>
      <c r="L47" t="s">
        <v>150</v>
      </c>
      <c r="M47" t="s">
        <v>36</v>
      </c>
      <c r="N47" t="s">
        <v>37</v>
      </c>
      <c r="O47" t="s">
        <v>38</v>
      </c>
      <c r="P47" t="s">
        <v>39</v>
      </c>
      <c r="Q47" s="5" t="s">
        <v>40</v>
      </c>
      <c r="R47">
        <v>0</v>
      </c>
      <c r="S47">
        <v>0</v>
      </c>
      <c r="T47">
        <v>0</v>
      </c>
      <c r="U47">
        <v>1</v>
      </c>
      <c r="V47">
        <v>2</v>
      </c>
      <c r="W47">
        <v>6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</row>
    <row r="48" spans="1:30" x14ac:dyDescent="0.25">
      <c r="A48" t="s">
        <v>34</v>
      </c>
      <c r="B48" t="s">
        <v>42</v>
      </c>
      <c r="C48" t="s">
        <v>141</v>
      </c>
      <c r="D48">
        <v>129412</v>
      </c>
      <c r="F48" t="s">
        <v>151</v>
      </c>
      <c r="G48" t="s">
        <v>152</v>
      </c>
      <c r="I48" t="s">
        <v>46</v>
      </c>
      <c r="J48" t="s">
        <v>47</v>
      </c>
      <c r="K48" t="s">
        <v>35</v>
      </c>
      <c r="L48" t="s">
        <v>153</v>
      </c>
      <c r="M48" t="s">
        <v>36</v>
      </c>
      <c r="N48" t="s">
        <v>37</v>
      </c>
      <c r="O48" t="s">
        <v>38</v>
      </c>
      <c r="P48" t="s">
        <v>39</v>
      </c>
      <c r="Q48" s="5" t="s">
        <v>40</v>
      </c>
      <c r="R48">
        <v>0</v>
      </c>
      <c r="S48">
        <v>0</v>
      </c>
      <c r="T48">
        <v>0</v>
      </c>
      <c r="U48">
        <v>1</v>
      </c>
      <c r="V48">
        <v>1</v>
      </c>
      <c r="W48">
        <v>2</v>
      </c>
      <c r="X48">
        <v>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</v>
      </c>
    </row>
    <row r="49" spans="1:30" x14ac:dyDescent="0.25">
      <c r="A49" t="s">
        <v>34</v>
      </c>
      <c r="B49" t="s">
        <v>42</v>
      </c>
      <c r="C49" t="s">
        <v>141</v>
      </c>
      <c r="D49">
        <v>129413</v>
      </c>
      <c r="F49" t="s">
        <v>154</v>
      </c>
      <c r="G49" t="s">
        <v>155</v>
      </c>
      <c r="I49" t="s">
        <v>46</v>
      </c>
      <c r="J49" t="s">
        <v>47</v>
      </c>
      <c r="K49" t="s">
        <v>35</v>
      </c>
      <c r="L49" t="s">
        <v>150</v>
      </c>
      <c r="M49" t="s">
        <v>36</v>
      </c>
      <c r="N49" t="s">
        <v>37</v>
      </c>
      <c r="O49" t="s">
        <v>38</v>
      </c>
      <c r="P49" t="s">
        <v>39</v>
      </c>
      <c r="Q49" s="5" t="s">
        <v>40</v>
      </c>
      <c r="R49">
        <v>0</v>
      </c>
      <c r="S49">
        <v>0</v>
      </c>
      <c r="T49">
        <v>0</v>
      </c>
      <c r="U49">
        <v>2</v>
      </c>
      <c r="V49">
        <v>1</v>
      </c>
      <c r="W49">
        <v>4</v>
      </c>
      <c r="X49">
        <v>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11</v>
      </c>
    </row>
    <row r="50" spans="1:30" x14ac:dyDescent="0.25">
      <c r="A50" t="s">
        <v>34</v>
      </c>
      <c r="B50" t="s">
        <v>42</v>
      </c>
      <c r="C50" t="s">
        <v>141</v>
      </c>
      <c r="D50">
        <v>129414</v>
      </c>
      <c r="F50" t="s">
        <v>156</v>
      </c>
      <c r="G50" t="s">
        <v>157</v>
      </c>
      <c r="I50" t="s">
        <v>46</v>
      </c>
      <c r="J50" t="s">
        <v>47</v>
      </c>
      <c r="K50" t="s">
        <v>35</v>
      </c>
      <c r="L50" t="s">
        <v>158</v>
      </c>
      <c r="M50" t="s">
        <v>36</v>
      </c>
      <c r="N50" t="s">
        <v>37</v>
      </c>
      <c r="O50" t="s">
        <v>38</v>
      </c>
      <c r="P50" t="s">
        <v>39</v>
      </c>
      <c r="Q50" s="5" t="s">
        <v>40</v>
      </c>
      <c r="R50">
        <v>0</v>
      </c>
      <c r="S50">
        <v>0</v>
      </c>
      <c r="T50">
        <v>1</v>
      </c>
      <c r="U50">
        <v>1</v>
      </c>
      <c r="V50">
        <v>2</v>
      </c>
      <c r="W50">
        <v>7</v>
      </c>
      <c r="X50">
        <v>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14</v>
      </c>
    </row>
    <row r="51" spans="1:30" x14ac:dyDescent="0.25">
      <c r="A51" t="s">
        <v>34</v>
      </c>
      <c r="B51" t="s">
        <v>42</v>
      </c>
      <c r="C51" t="s">
        <v>141</v>
      </c>
      <c r="D51">
        <v>129417</v>
      </c>
      <c r="F51" t="s">
        <v>159</v>
      </c>
      <c r="G51" t="s">
        <v>160</v>
      </c>
      <c r="I51" t="s">
        <v>46</v>
      </c>
      <c r="J51" t="s">
        <v>47</v>
      </c>
      <c r="K51" t="s">
        <v>35</v>
      </c>
      <c r="L51" t="s">
        <v>144</v>
      </c>
      <c r="M51" t="s">
        <v>36</v>
      </c>
      <c r="N51" t="s">
        <v>37</v>
      </c>
      <c r="O51" t="s">
        <v>38</v>
      </c>
      <c r="P51" t="s">
        <v>39</v>
      </c>
      <c r="Q51" s="5" t="s">
        <v>40</v>
      </c>
      <c r="R51">
        <v>0</v>
      </c>
      <c r="S51">
        <v>0</v>
      </c>
      <c r="T51">
        <v>1</v>
      </c>
      <c r="U51">
        <v>1</v>
      </c>
      <c r="V51">
        <v>3</v>
      </c>
      <c r="W51">
        <v>8</v>
      </c>
      <c r="X51">
        <v>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18</v>
      </c>
    </row>
    <row r="52" spans="1:30" x14ac:dyDescent="0.25">
      <c r="A52" t="s">
        <v>34</v>
      </c>
      <c r="B52" t="s">
        <v>42</v>
      </c>
      <c r="C52" t="s">
        <v>141</v>
      </c>
      <c r="D52">
        <v>129418</v>
      </c>
      <c r="F52" t="s">
        <v>161</v>
      </c>
      <c r="G52" t="s">
        <v>162</v>
      </c>
      <c r="I52" t="s">
        <v>46</v>
      </c>
      <c r="J52" t="s">
        <v>47</v>
      </c>
      <c r="K52" t="s">
        <v>35</v>
      </c>
      <c r="L52" t="s">
        <v>144</v>
      </c>
      <c r="M52" t="s">
        <v>36</v>
      </c>
      <c r="N52" t="s">
        <v>37</v>
      </c>
      <c r="O52" t="s">
        <v>38</v>
      </c>
      <c r="P52" t="s">
        <v>39</v>
      </c>
      <c r="Q52" s="5" t="s">
        <v>40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8</v>
      </c>
    </row>
    <row r="53" spans="1:30" x14ac:dyDescent="0.25">
      <c r="A53" t="s">
        <v>34</v>
      </c>
      <c r="B53" t="s">
        <v>42</v>
      </c>
      <c r="C53" t="s">
        <v>141</v>
      </c>
      <c r="D53">
        <v>129419</v>
      </c>
      <c r="F53" t="s">
        <v>163</v>
      </c>
      <c r="G53" t="s">
        <v>164</v>
      </c>
      <c r="I53" t="s">
        <v>46</v>
      </c>
      <c r="J53" t="s">
        <v>47</v>
      </c>
      <c r="K53" t="s">
        <v>35</v>
      </c>
      <c r="L53" t="s">
        <v>165</v>
      </c>
      <c r="M53" t="s">
        <v>36</v>
      </c>
      <c r="N53" t="s">
        <v>37</v>
      </c>
      <c r="O53" t="s">
        <v>38</v>
      </c>
      <c r="P53" t="s">
        <v>39</v>
      </c>
      <c r="Q53" s="5" t="s">
        <v>40</v>
      </c>
      <c r="R53">
        <v>0</v>
      </c>
      <c r="S53">
        <v>0</v>
      </c>
      <c r="T53">
        <v>0</v>
      </c>
      <c r="U53">
        <v>1</v>
      </c>
      <c r="V53">
        <v>1</v>
      </c>
      <c r="W53">
        <v>8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11</v>
      </c>
    </row>
    <row r="54" spans="1:30" x14ac:dyDescent="0.25">
      <c r="A54" t="s">
        <v>34</v>
      </c>
      <c r="B54" t="s">
        <v>42</v>
      </c>
      <c r="C54" t="s">
        <v>141</v>
      </c>
      <c r="D54">
        <v>129420</v>
      </c>
      <c r="F54" t="s">
        <v>166</v>
      </c>
      <c r="G54" t="s">
        <v>167</v>
      </c>
      <c r="I54" t="s">
        <v>46</v>
      </c>
      <c r="J54" t="s">
        <v>47</v>
      </c>
      <c r="K54" t="s">
        <v>35</v>
      </c>
      <c r="L54" t="s">
        <v>167</v>
      </c>
      <c r="M54" t="s">
        <v>36</v>
      </c>
      <c r="N54" t="s">
        <v>37</v>
      </c>
      <c r="O54" t="s">
        <v>38</v>
      </c>
      <c r="P54" t="s">
        <v>39</v>
      </c>
      <c r="Q54" s="5" t="s">
        <v>40</v>
      </c>
      <c r="R54">
        <v>0</v>
      </c>
      <c r="S54">
        <v>0</v>
      </c>
      <c r="T54">
        <v>0</v>
      </c>
      <c r="U54">
        <v>1</v>
      </c>
      <c r="V54">
        <v>1</v>
      </c>
      <c r="W54">
        <v>1</v>
      </c>
      <c r="X54">
        <v>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8</v>
      </c>
    </row>
    <row r="55" spans="1:30" x14ac:dyDescent="0.25">
      <c r="A55" t="s">
        <v>34</v>
      </c>
      <c r="B55" t="s">
        <v>42</v>
      </c>
      <c r="C55" t="s">
        <v>141</v>
      </c>
      <c r="D55">
        <v>129421</v>
      </c>
      <c r="F55" t="s">
        <v>168</v>
      </c>
      <c r="G55" t="s">
        <v>169</v>
      </c>
      <c r="I55" t="s">
        <v>46</v>
      </c>
      <c r="J55" t="s">
        <v>47</v>
      </c>
      <c r="K55" t="s">
        <v>35</v>
      </c>
      <c r="L55" t="s">
        <v>150</v>
      </c>
      <c r="M55" t="s">
        <v>36</v>
      </c>
      <c r="N55" t="s">
        <v>37</v>
      </c>
      <c r="O55" t="s">
        <v>38</v>
      </c>
      <c r="P55" t="s">
        <v>39</v>
      </c>
      <c r="Q55" s="5" t="s">
        <v>40</v>
      </c>
      <c r="R55">
        <v>0</v>
      </c>
      <c r="S55">
        <v>0</v>
      </c>
      <c r="T55">
        <v>0</v>
      </c>
      <c r="U55">
        <v>0</v>
      </c>
      <c r="V55">
        <v>1</v>
      </c>
      <c r="W55">
        <v>3</v>
      </c>
      <c r="X55">
        <v>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</v>
      </c>
    </row>
    <row r="56" spans="1:30" x14ac:dyDescent="0.25">
      <c r="A56" t="s">
        <v>34</v>
      </c>
      <c r="B56" t="s">
        <v>42</v>
      </c>
      <c r="C56" t="s">
        <v>141</v>
      </c>
      <c r="D56">
        <v>129422</v>
      </c>
      <c r="F56" t="s">
        <v>170</v>
      </c>
      <c r="G56" t="s">
        <v>171</v>
      </c>
      <c r="I56" t="s">
        <v>46</v>
      </c>
      <c r="J56" t="s">
        <v>47</v>
      </c>
      <c r="K56" t="s">
        <v>35</v>
      </c>
      <c r="L56" t="s">
        <v>144</v>
      </c>
      <c r="M56" t="s">
        <v>36</v>
      </c>
      <c r="N56" t="s">
        <v>37</v>
      </c>
      <c r="O56" t="s">
        <v>38</v>
      </c>
      <c r="P56" t="s">
        <v>39</v>
      </c>
      <c r="Q56" s="5" t="s">
        <v>40</v>
      </c>
      <c r="R56">
        <v>0</v>
      </c>
      <c r="S56">
        <v>0</v>
      </c>
      <c r="T56">
        <v>0</v>
      </c>
      <c r="U56">
        <v>0</v>
      </c>
      <c r="V56">
        <v>2</v>
      </c>
      <c r="W56">
        <v>3</v>
      </c>
      <c r="X56">
        <v>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</v>
      </c>
    </row>
    <row r="57" spans="1:30" x14ac:dyDescent="0.25">
      <c r="A57" t="s">
        <v>34</v>
      </c>
      <c r="B57" t="s">
        <v>42</v>
      </c>
      <c r="C57" t="s">
        <v>141</v>
      </c>
      <c r="D57">
        <v>501085</v>
      </c>
      <c r="F57" t="s">
        <v>172</v>
      </c>
      <c r="G57" t="s">
        <v>173</v>
      </c>
      <c r="I57" t="s">
        <v>46</v>
      </c>
      <c r="J57" t="s">
        <v>47</v>
      </c>
      <c r="K57" t="s">
        <v>35</v>
      </c>
      <c r="L57" t="s">
        <v>174</v>
      </c>
      <c r="M57" t="s">
        <v>36</v>
      </c>
      <c r="N57" t="s">
        <v>37</v>
      </c>
      <c r="O57" t="s">
        <v>38</v>
      </c>
      <c r="P57" t="s">
        <v>39</v>
      </c>
      <c r="Q57" s="6" t="s">
        <v>175</v>
      </c>
      <c r="R57">
        <v>0</v>
      </c>
      <c r="S57">
        <v>0</v>
      </c>
      <c r="T57">
        <v>0</v>
      </c>
      <c r="U57">
        <v>0</v>
      </c>
      <c r="V57">
        <v>1</v>
      </c>
      <c r="W57">
        <v>2</v>
      </c>
      <c r="X57">
        <v>12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15</v>
      </c>
    </row>
    <row r="58" spans="1:30" x14ac:dyDescent="0.25">
      <c r="A58" t="s">
        <v>34</v>
      </c>
      <c r="B58" t="s">
        <v>42</v>
      </c>
      <c r="C58" t="s">
        <v>141</v>
      </c>
      <c r="D58">
        <v>501086</v>
      </c>
      <c r="F58" t="s">
        <v>176</v>
      </c>
      <c r="G58" t="s">
        <v>177</v>
      </c>
      <c r="I58" t="s">
        <v>46</v>
      </c>
      <c r="J58" t="s">
        <v>47</v>
      </c>
      <c r="K58" t="s">
        <v>35</v>
      </c>
      <c r="L58" t="s">
        <v>178</v>
      </c>
      <c r="M58" t="s">
        <v>36</v>
      </c>
      <c r="N58" t="s">
        <v>37</v>
      </c>
      <c r="O58" t="s">
        <v>38</v>
      </c>
      <c r="P58" t="s">
        <v>39</v>
      </c>
      <c r="Q58" t="s">
        <v>41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</v>
      </c>
    </row>
    <row r="59" spans="1:30" x14ac:dyDescent="0.25">
      <c r="A59" t="s">
        <v>34</v>
      </c>
      <c r="B59" t="s">
        <v>42</v>
      </c>
      <c r="C59" t="s">
        <v>141</v>
      </c>
      <c r="D59">
        <v>501087</v>
      </c>
      <c r="F59" t="s">
        <v>179</v>
      </c>
      <c r="G59" t="s">
        <v>180</v>
      </c>
      <c r="I59" t="s">
        <v>46</v>
      </c>
      <c r="J59" t="s">
        <v>47</v>
      </c>
      <c r="K59" t="s">
        <v>35</v>
      </c>
      <c r="L59" t="s">
        <v>147</v>
      </c>
      <c r="M59" t="s">
        <v>36</v>
      </c>
      <c r="N59" t="s">
        <v>37</v>
      </c>
      <c r="O59" t="s">
        <v>38</v>
      </c>
      <c r="P59" t="s">
        <v>39</v>
      </c>
      <c r="Q59" t="s">
        <v>41</v>
      </c>
      <c r="R59">
        <v>0</v>
      </c>
      <c r="S59">
        <v>0</v>
      </c>
      <c r="T59">
        <v>0</v>
      </c>
      <c r="U59">
        <v>0</v>
      </c>
      <c r="V59">
        <v>2</v>
      </c>
      <c r="W59">
        <v>1</v>
      </c>
      <c r="X59">
        <v>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7531-7009-4F78-9314-AAB4C710283B}">
  <dimension ref="A1:AI28"/>
  <sheetViews>
    <sheetView workbookViewId="0">
      <pane ySplit="5" topLeftCell="A6" activePane="bottomLeft" state="frozen"/>
      <selection activeCell="B27" sqref="A6:XFD27"/>
      <selection pane="bottomLeft" activeCell="A6" sqref="A6"/>
    </sheetView>
  </sheetViews>
  <sheetFormatPr defaultRowHeight="15" x14ac:dyDescent="0.25"/>
  <cols>
    <col min="1" max="1" width="11" customWidth="1"/>
    <col min="2" max="2" width="25.5703125" bestFit="1" customWidth="1"/>
    <col min="3" max="3" width="0" hidden="1" customWidth="1"/>
    <col min="5" max="5" width="0" hidden="1" customWidth="1"/>
    <col min="6" max="6" width="28.5703125" customWidth="1"/>
    <col min="7" max="12" width="0" hidden="1" customWidth="1"/>
    <col min="14" max="17" width="0" hidden="1" customWidth="1"/>
  </cols>
  <sheetData>
    <row r="1" spans="1:35" x14ac:dyDescent="0.25">
      <c r="A1" s="1" t="s">
        <v>182</v>
      </c>
    </row>
    <row r="2" spans="1:35" x14ac:dyDescent="0.25">
      <c r="A2" s="1" t="s">
        <v>1</v>
      </c>
    </row>
    <row r="3" spans="1:35" ht="14.45" customHeight="1" x14ac:dyDescent="0.25">
      <c r="A3" s="1" t="s">
        <v>2</v>
      </c>
      <c r="AH3">
        <f>SUM(AH6:AH28)</f>
        <v>502</v>
      </c>
      <c r="AI3">
        <f>AH3+SHS!AA3</f>
        <v>656</v>
      </c>
    </row>
    <row r="4" spans="1:35" x14ac:dyDescent="0.25">
      <c r="A4" s="2" t="s">
        <v>3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3"/>
    </row>
    <row r="5" spans="1:35" ht="45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7" t="s">
        <v>183</v>
      </c>
      <c r="S5" s="7" t="s">
        <v>184</v>
      </c>
      <c r="T5" s="7" t="s">
        <v>185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7" t="s">
        <v>27</v>
      </c>
      <c r="AB5" s="7" t="s">
        <v>186</v>
      </c>
      <c r="AC5" s="7" t="s">
        <v>28</v>
      </c>
      <c r="AD5" s="7" t="s">
        <v>29</v>
      </c>
      <c r="AE5" s="7" t="s">
        <v>30</v>
      </c>
      <c r="AF5" s="7" t="s">
        <v>31</v>
      </c>
      <c r="AG5" s="7" t="s">
        <v>32</v>
      </c>
      <c r="AH5" s="3" t="s">
        <v>33</v>
      </c>
      <c r="AI5" s="1" t="s">
        <v>8</v>
      </c>
    </row>
    <row r="6" spans="1:35" x14ac:dyDescent="0.25">
      <c r="A6" t="s">
        <v>34</v>
      </c>
      <c r="B6" t="s">
        <v>42</v>
      </c>
      <c r="C6" t="s">
        <v>43</v>
      </c>
      <c r="D6">
        <v>304325</v>
      </c>
      <c r="F6" t="s">
        <v>190</v>
      </c>
      <c r="G6" t="s">
        <v>191</v>
      </c>
      <c r="I6" t="s">
        <v>46</v>
      </c>
      <c r="J6" t="s">
        <v>47</v>
      </c>
      <c r="K6" t="s">
        <v>35</v>
      </c>
      <c r="L6" t="s">
        <v>56</v>
      </c>
      <c r="M6" t="s">
        <v>36</v>
      </c>
      <c r="N6" t="s">
        <v>37</v>
      </c>
      <c r="O6" t="s">
        <v>38</v>
      </c>
      <c r="P6" t="s">
        <v>39</v>
      </c>
      <c r="Q6" s="5" t="s">
        <v>187</v>
      </c>
      <c r="R6">
        <v>0</v>
      </c>
      <c r="S6">
        <v>0</v>
      </c>
      <c r="T6">
        <v>0</v>
      </c>
      <c r="U6">
        <v>0</v>
      </c>
      <c r="V6">
        <v>0</v>
      </c>
      <c r="W6">
        <v>3</v>
      </c>
      <c r="X6">
        <v>12</v>
      </c>
      <c r="Y6">
        <v>27</v>
      </c>
      <c r="Z6">
        <v>38</v>
      </c>
      <c r="AA6">
        <v>57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137</v>
      </c>
    </row>
    <row r="7" spans="1:35" x14ac:dyDescent="0.25">
      <c r="A7" t="s">
        <v>34</v>
      </c>
      <c r="B7" t="s">
        <v>42</v>
      </c>
      <c r="C7" t="s">
        <v>43</v>
      </c>
      <c r="D7">
        <v>304326</v>
      </c>
      <c r="F7" t="s">
        <v>192</v>
      </c>
      <c r="G7" t="s">
        <v>193</v>
      </c>
      <c r="I7" t="s">
        <v>46</v>
      </c>
      <c r="J7" t="s">
        <v>47</v>
      </c>
      <c r="K7" t="s">
        <v>35</v>
      </c>
      <c r="L7" t="s">
        <v>56</v>
      </c>
      <c r="M7" t="s">
        <v>36</v>
      </c>
      <c r="N7" t="s">
        <v>37</v>
      </c>
      <c r="O7" t="s">
        <v>38</v>
      </c>
      <c r="P7" t="s">
        <v>188</v>
      </c>
      <c r="Q7" s="5" t="s">
        <v>187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</v>
      </c>
      <c r="Y7">
        <v>10</v>
      </c>
      <c r="Z7">
        <v>10</v>
      </c>
      <c r="AA7">
        <v>16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39</v>
      </c>
    </row>
    <row r="8" spans="1:35" x14ac:dyDescent="0.25">
      <c r="A8" t="s">
        <v>34</v>
      </c>
      <c r="B8" t="s">
        <v>42</v>
      </c>
      <c r="C8" t="s">
        <v>43</v>
      </c>
      <c r="D8">
        <v>325104</v>
      </c>
      <c r="F8" t="s">
        <v>194</v>
      </c>
      <c r="G8" t="s">
        <v>195</v>
      </c>
      <c r="I8" t="s">
        <v>46</v>
      </c>
      <c r="J8" t="s">
        <v>47</v>
      </c>
      <c r="K8" t="s">
        <v>35</v>
      </c>
      <c r="L8" t="s">
        <v>48</v>
      </c>
      <c r="M8" t="s">
        <v>36</v>
      </c>
      <c r="N8" t="s">
        <v>37</v>
      </c>
      <c r="O8" t="s">
        <v>38</v>
      </c>
      <c r="P8" t="s">
        <v>39</v>
      </c>
      <c r="Q8" s="5" t="s">
        <v>187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3</v>
      </c>
      <c r="AA8">
        <v>22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26</v>
      </c>
    </row>
    <row r="9" spans="1:35" x14ac:dyDescent="0.25">
      <c r="A9" t="s">
        <v>34</v>
      </c>
      <c r="B9" t="s">
        <v>42</v>
      </c>
      <c r="C9" t="s">
        <v>43</v>
      </c>
      <c r="D9">
        <v>500454</v>
      </c>
      <c r="F9" t="s">
        <v>72</v>
      </c>
      <c r="G9" t="s">
        <v>73</v>
      </c>
      <c r="I9" t="s">
        <v>46</v>
      </c>
      <c r="J9" t="s">
        <v>47</v>
      </c>
      <c r="K9" t="s">
        <v>35</v>
      </c>
      <c r="L9" t="s">
        <v>56</v>
      </c>
      <c r="M9" t="s">
        <v>36</v>
      </c>
      <c r="N9" t="s">
        <v>37</v>
      </c>
      <c r="O9" t="s">
        <v>38</v>
      </c>
      <c r="P9" t="s">
        <v>39</v>
      </c>
      <c r="Q9" t="s">
        <v>41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</v>
      </c>
      <c r="Z9">
        <v>0</v>
      </c>
      <c r="AA9">
        <v>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6</v>
      </c>
    </row>
    <row r="10" spans="1:35" x14ac:dyDescent="0.25">
      <c r="A10" t="s">
        <v>34</v>
      </c>
      <c r="B10" t="s">
        <v>42</v>
      </c>
      <c r="C10" t="s">
        <v>43</v>
      </c>
      <c r="D10">
        <v>501424</v>
      </c>
      <c r="F10" t="s">
        <v>74</v>
      </c>
      <c r="G10" t="s">
        <v>75</v>
      </c>
      <c r="I10" t="s">
        <v>46</v>
      </c>
      <c r="J10" t="s">
        <v>47</v>
      </c>
      <c r="K10" t="s">
        <v>35</v>
      </c>
      <c r="L10" t="s">
        <v>76</v>
      </c>
      <c r="M10" t="s">
        <v>36</v>
      </c>
      <c r="N10" t="s">
        <v>37</v>
      </c>
      <c r="O10" t="s">
        <v>38</v>
      </c>
      <c r="P10" t="s">
        <v>39</v>
      </c>
      <c r="Q10" t="s">
        <v>41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</v>
      </c>
    </row>
    <row r="11" spans="1:35" x14ac:dyDescent="0.25">
      <c r="A11" t="s">
        <v>34</v>
      </c>
      <c r="B11" t="s">
        <v>42</v>
      </c>
      <c r="C11" t="s">
        <v>77</v>
      </c>
      <c r="D11">
        <v>304303</v>
      </c>
      <c r="F11" t="s">
        <v>196</v>
      </c>
      <c r="G11" t="s">
        <v>197</v>
      </c>
      <c r="I11" t="s">
        <v>46</v>
      </c>
      <c r="J11" t="s">
        <v>47</v>
      </c>
      <c r="K11" t="s">
        <v>35</v>
      </c>
      <c r="L11" t="s">
        <v>83</v>
      </c>
      <c r="M11" t="s">
        <v>36</v>
      </c>
      <c r="N11" t="s">
        <v>37</v>
      </c>
      <c r="O11" t="s">
        <v>38</v>
      </c>
      <c r="P11" t="s">
        <v>39</v>
      </c>
      <c r="Q11" s="5" t="s">
        <v>187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</v>
      </c>
      <c r="Z11">
        <v>4</v>
      </c>
      <c r="AA11">
        <v>14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21</v>
      </c>
    </row>
    <row r="12" spans="1:35" x14ac:dyDescent="0.25">
      <c r="A12" t="s">
        <v>34</v>
      </c>
      <c r="B12" t="s">
        <v>42</v>
      </c>
      <c r="C12" t="s">
        <v>77</v>
      </c>
      <c r="D12">
        <v>304305</v>
      </c>
      <c r="F12" t="s">
        <v>198</v>
      </c>
      <c r="G12" t="s">
        <v>199</v>
      </c>
      <c r="I12" t="s">
        <v>46</v>
      </c>
      <c r="J12" t="s">
        <v>47</v>
      </c>
      <c r="K12" t="s">
        <v>35</v>
      </c>
      <c r="L12" t="s">
        <v>94</v>
      </c>
      <c r="M12" t="s">
        <v>36</v>
      </c>
      <c r="N12" t="s">
        <v>37</v>
      </c>
      <c r="O12" t="s">
        <v>38</v>
      </c>
      <c r="P12" t="s">
        <v>39</v>
      </c>
      <c r="Q12" s="5" t="s">
        <v>187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</v>
      </c>
      <c r="Z12">
        <v>0</v>
      </c>
      <c r="AA12">
        <v>17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21</v>
      </c>
    </row>
    <row r="13" spans="1:35" x14ac:dyDescent="0.25">
      <c r="A13" t="s">
        <v>34</v>
      </c>
      <c r="B13" t="s">
        <v>42</v>
      </c>
      <c r="C13" t="s">
        <v>77</v>
      </c>
      <c r="D13">
        <v>304314</v>
      </c>
      <c r="F13" t="s">
        <v>200</v>
      </c>
      <c r="G13" t="s">
        <v>114</v>
      </c>
      <c r="I13" t="s">
        <v>46</v>
      </c>
      <c r="J13" t="s">
        <v>47</v>
      </c>
      <c r="K13" t="s">
        <v>35</v>
      </c>
      <c r="L13" t="s">
        <v>115</v>
      </c>
      <c r="M13" t="s">
        <v>36</v>
      </c>
      <c r="N13" t="s">
        <v>37</v>
      </c>
      <c r="O13" t="s">
        <v>38</v>
      </c>
      <c r="P13" t="s">
        <v>39</v>
      </c>
      <c r="Q13" s="5" t="s">
        <v>187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11</v>
      </c>
    </row>
    <row r="14" spans="1:35" x14ac:dyDescent="0.25">
      <c r="A14" t="s">
        <v>34</v>
      </c>
      <c r="B14" t="s">
        <v>42</v>
      </c>
      <c r="C14" t="s">
        <v>77</v>
      </c>
      <c r="D14">
        <v>304327</v>
      </c>
      <c r="F14" t="s">
        <v>201</v>
      </c>
      <c r="G14" t="s">
        <v>202</v>
      </c>
      <c r="I14" t="s">
        <v>46</v>
      </c>
      <c r="J14" t="s">
        <v>47</v>
      </c>
      <c r="K14" t="s">
        <v>35</v>
      </c>
      <c r="L14" t="s">
        <v>112</v>
      </c>
      <c r="M14" t="s">
        <v>36</v>
      </c>
      <c r="N14" t="s">
        <v>37</v>
      </c>
      <c r="O14" t="s">
        <v>38</v>
      </c>
      <c r="P14" t="s">
        <v>188</v>
      </c>
      <c r="Q14" s="5" t="s">
        <v>187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</v>
      </c>
      <c r="Y14">
        <v>6</v>
      </c>
      <c r="Z14">
        <v>14</v>
      </c>
      <c r="AA14">
        <v>35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61</v>
      </c>
    </row>
    <row r="15" spans="1:35" x14ac:dyDescent="0.25">
      <c r="A15" t="s">
        <v>34</v>
      </c>
      <c r="B15" t="s">
        <v>42</v>
      </c>
      <c r="C15" t="s">
        <v>77</v>
      </c>
      <c r="D15">
        <v>304328</v>
      </c>
      <c r="F15" t="s">
        <v>203</v>
      </c>
      <c r="G15" t="s">
        <v>204</v>
      </c>
      <c r="I15" t="s">
        <v>46</v>
      </c>
      <c r="J15" t="s">
        <v>47</v>
      </c>
      <c r="K15" t="s">
        <v>35</v>
      </c>
      <c r="L15" t="s">
        <v>89</v>
      </c>
      <c r="M15" t="s">
        <v>36</v>
      </c>
      <c r="N15" t="s">
        <v>37</v>
      </c>
      <c r="O15" t="s">
        <v>38</v>
      </c>
      <c r="P15" t="s">
        <v>39</v>
      </c>
      <c r="Q15" s="5" t="s">
        <v>187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8</v>
      </c>
      <c r="AF15">
        <v>1</v>
      </c>
      <c r="AG15">
        <v>9</v>
      </c>
      <c r="AH15">
        <v>22</v>
      </c>
    </row>
    <row r="16" spans="1:35" x14ac:dyDescent="0.25">
      <c r="A16" t="s">
        <v>34</v>
      </c>
      <c r="B16" t="s">
        <v>42</v>
      </c>
      <c r="C16" t="s">
        <v>77</v>
      </c>
      <c r="D16">
        <v>304338</v>
      </c>
      <c r="F16" t="s">
        <v>205</v>
      </c>
      <c r="G16" t="s">
        <v>206</v>
      </c>
      <c r="I16" t="s">
        <v>46</v>
      </c>
      <c r="J16" t="s">
        <v>47</v>
      </c>
      <c r="K16" t="s">
        <v>35</v>
      </c>
      <c r="L16" t="s">
        <v>129</v>
      </c>
      <c r="M16" t="s">
        <v>36</v>
      </c>
      <c r="N16" t="s">
        <v>37</v>
      </c>
      <c r="O16" t="s">
        <v>38</v>
      </c>
      <c r="P16" t="s">
        <v>39</v>
      </c>
      <c r="Q16" s="5" t="s">
        <v>187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10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12</v>
      </c>
    </row>
    <row r="17" spans="1:34" x14ac:dyDescent="0.25">
      <c r="A17" t="s">
        <v>34</v>
      </c>
      <c r="B17" t="s">
        <v>42</v>
      </c>
      <c r="C17" t="s">
        <v>77</v>
      </c>
      <c r="D17">
        <v>305680</v>
      </c>
      <c r="F17" t="s">
        <v>207</v>
      </c>
      <c r="G17" t="s">
        <v>208</v>
      </c>
      <c r="I17" t="s">
        <v>46</v>
      </c>
      <c r="J17" t="s">
        <v>47</v>
      </c>
      <c r="K17" t="s">
        <v>35</v>
      </c>
      <c r="L17" t="s">
        <v>89</v>
      </c>
      <c r="M17" t="s">
        <v>36</v>
      </c>
      <c r="N17" t="s">
        <v>37</v>
      </c>
      <c r="O17" t="s">
        <v>38</v>
      </c>
      <c r="P17" t="s">
        <v>39</v>
      </c>
      <c r="Q17" s="5" t="s">
        <v>187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9</v>
      </c>
    </row>
    <row r="18" spans="1:34" x14ac:dyDescent="0.25">
      <c r="A18" t="s">
        <v>34</v>
      </c>
      <c r="B18" t="s">
        <v>42</v>
      </c>
      <c r="C18" t="s">
        <v>77</v>
      </c>
      <c r="D18">
        <v>316104</v>
      </c>
      <c r="F18" t="s">
        <v>209</v>
      </c>
      <c r="G18" t="s">
        <v>210</v>
      </c>
      <c r="I18" t="s">
        <v>46</v>
      </c>
      <c r="J18" t="s">
        <v>47</v>
      </c>
      <c r="K18" t="s">
        <v>35</v>
      </c>
      <c r="L18" t="s">
        <v>100</v>
      </c>
      <c r="M18" t="s">
        <v>36</v>
      </c>
      <c r="N18" t="s">
        <v>37</v>
      </c>
      <c r="O18" t="s">
        <v>38</v>
      </c>
      <c r="P18" t="s">
        <v>39</v>
      </c>
      <c r="Q18" s="5" t="s">
        <v>187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9</v>
      </c>
      <c r="Z18">
        <v>1</v>
      </c>
      <c r="AA18">
        <v>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22</v>
      </c>
    </row>
    <row r="19" spans="1:34" x14ac:dyDescent="0.25">
      <c r="A19" t="s">
        <v>34</v>
      </c>
      <c r="B19" t="s">
        <v>42</v>
      </c>
      <c r="C19" t="s">
        <v>77</v>
      </c>
      <c r="D19">
        <v>325101</v>
      </c>
      <c r="F19" t="s">
        <v>211</v>
      </c>
      <c r="G19" t="s">
        <v>212</v>
      </c>
      <c r="I19" t="s">
        <v>46</v>
      </c>
      <c r="J19" t="s">
        <v>47</v>
      </c>
      <c r="K19" t="s">
        <v>35</v>
      </c>
      <c r="L19" t="s">
        <v>89</v>
      </c>
      <c r="M19" t="s">
        <v>36</v>
      </c>
      <c r="N19" t="s">
        <v>37</v>
      </c>
      <c r="O19" t="s">
        <v>38</v>
      </c>
      <c r="P19" t="s">
        <v>39</v>
      </c>
      <c r="Q19" s="5" t="s">
        <v>189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3</v>
      </c>
      <c r="Z19">
        <v>3</v>
      </c>
      <c r="AA19">
        <v>10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17</v>
      </c>
    </row>
    <row r="20" spans="1:34" x14ac:dyDescent="0.25">
      <c r="A20" t="s">
        <v>34</v>
      </c>
      <c r="B20" t="s">
        <v>42</v>
      </c>
      <c r="C20" t="s">
        <v>77</v>
      </c>
      <c r="D20">
        <v>325102</v>
      </c>
      <c r="F20" t="s">
        <v>213</v>
      </c>
      <c r="G20" t="s">
        <v>214</v>
      </c>
      <c r="I20" t="s">
        <v>46</v>
      </c>
      <c r="J20" t="s">
        <v>47</v>
      </c>
      <c r="K20" t="s">
        <v>35</v>
      </c>
      <c r="L20" t="s">
        <v>86</v>
      </c>
      <c r="M20" t="s">
        <v>36</v>
      </c>
      <c r="N20" t="s">
        <v>37</v>
      </c>
      <c r="O20" t="s">
        <v>38</v>
      </c>
      <c r="P20" t="s">
        <v>39</v>
      </c>
      <c r="Q20" s="5" t="s">
        <v>187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16</v>
      </c>
    </row>
    <row r="21" spans="1:34" x14ac:dyDescent="0.25">
      <c r="A21" t="s">
        <v>34</v>
      </c>
      <c r="B21" t="s">
        <v>42</v>
      </c>
      <c r="C21" t="s">
        <v>77</v>
      </c>
      <c r="D21">
        <v>325106</v>
      </c>
      <c r="F21" t="s">
        <v>215</v>
      </c>
      <c r="G21" t="s">
        <v>164</v>
      </c>
      <c r="I21" t="s">
        <v>46</v>
      </c>
      <c r="J21" t="s">
        <v>47</v>
      </c>
      <c r="K21" t="s">
        <v>35</v>
      </c>
      <c r="L21" t="s">
        <v>138</v>
      </c>
      <c r="M21" t="s">
        <v>36</v>
      </c>
      <c r="N21" t="s">
        <v>37</v>
      </c>
      <c r="O21" t="s">
        <v>38</v>
      </c>
      <c r="P21" t="s">
        <v>39</v>
      </c>
      <c r="Q21" s="5" t="s">
        <v>187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3</v>
      </c>
      <c r="AA21">
        <v>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15</v>
      </c>
    </row>
    <row r="22" spans="1:34" x14ac:dyDescent="0.25">
      <c r="A22" t="s">
        <v>34</v>
      </c>
      <c r="B22" t="s">
        <v>42</v>
      </c>
      <c r="C22" t="s">
        <v>141</v>
      </c>
      <c r="D22">
        <v>304313</v>
      </c>
      <c r="F22" t="s">
        <v>216</v>
      </c>
      <c r="G22" t="s">
        <v>217</v>
      </c>
      <c r="I22" t="s">
        <v>46</v>
      </c>
      <c r="J22" t="s">
        <v>47</v>
      </c>
      <c r="K22" t="s">
        <v>35</v>
      </c>
      <c r="L22" t="s">
        <v>150</v>
      </c>
      <c r="M22" t="s">
        <v>36</v>
      </c>
      <c r="N22" t="s">
        <v>37</v>
      </c>
      <c r="O22" t="s">
        <v>218</v>
      </c>
      <c r="P22" t="s">
        <v>39</v>
      </c>
      <c r="Q22" s="5" t="s">
        <v>187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4</v>
      </c>
      <c r="Z22">
        <v>4</v>
      </c>
      <c r="AA22">
        <v>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21</v>
      </c>
    </row>
    <row r="23" spans="1:34" x14ac:dyDescent="0.25">
      <c r="A23" t="s">
        <v>34</v>
      </c>
      <c r="B23" t="s">
        <v>42</v>
      </c>
      <c r="C23" t="s">
        <v>141</v>
      </c>
      <c r="D23">
        <v>304318</v>
      </c>
      <c r="F23" t="s">
        <v>219</v>
      </c>
      <c r="G23" t="s">
        <v>220</v>
      </c>
      <c r="I23" t="s">
        <v>46</v>
      </c>
      <c r="J23" t="s">
        <v>47</v>
      </c>
      <c r="K23" t="s">
        <v>35</v>
      </c>
      <c r="L23" t="s">
        <v>158</v>
      </c>
      <c r="M23" t="s">
        <v>36</v>
      </c>
      <c r="N23" t="s">
        <v>37</v>
      </c>
      <c r="O23" t="s">
        <v>38</v>
      </c>
      <c r="P23" t="s">
        <v>39</v>
      </c>
      <c r="Q23" s="5" t="s">
        <v>187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3</v>
      </c>
      <c r="AA23">
        <v>16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21</v>
      </c>
    </row>
    <row r="24" spans="1:34" x14ac:dyDescent="0.25">
      <c r="A24" t="s">
        <v>34</v>
      </c>
      <c r="B24" t="s">
        <v>42</v>
      </c>
      <c r="C24" t="s">
        <v>141</v>
      </c>
      <c r="D24">
        <v>325105</v>
      </c>
      <c r="F24" t="s">
        <v>221</v>
      </c>
      <c r="G24" t="s">
        <v>160</v>
      </c>
      <c r="H24">
        <v>304313</v>
      </c>
      <c r="I24" t="s">
        <v>46</v>
      </c>
      <c r="J24" t="s">
        <v>47</v>
      </c>
      <c r="K24" t="s">
        <v>35</v>
      </c>
      <c r="L24" t="s">
        <v>144</v>
      </c>
      <c r="M24" t="s">
        <v>36</v>
      </c>
      <c r="N24" t="s">
        <v>37</v>
      </c>
      <c r="O24" t="s">
        <v>218</v>
      </c>
      <c r="P24" t="s">
        <v>39</v>
      </c>
      <c r="Q24" s="5" t="s">
        <v>187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</v>
      </c>
      <c r="Z24">
        <v>0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10</v>
      </c>
    </row>
    <row r="25" spans="1:34" x14ac:dyDescent="0.25">
      <c r="A25" t="s">
        <v>34</v>
      </c>
      <c r="B25" t="s">
        <v>42</v>
      </c>
      <c r="C25" t="s">
        <v>141</v>
      </c>
      <c r="D25">
        <v>501085</v>
      </c>
      <c r="F25" t="s">
        <v>172</v>
      </c>
      <c r="G25" t="s">
        <v>173</v>
      </c>
      <c r="I25" t="s">
        <v>46</v>
      </c>
      <c r="J25" t="s">
        <v>47</v>
      </c>
      <c r="K25" t="s">
        <v>35</v>
      </c>
      <c r="L25" t="s">
        <v>174</v>
      </c>
      <c r="M25" t="s">
        <v>36</v>
      </c>
      <c r="N25" t="s">
        <v>37</v>
      </c>
      <c r="O25" t="s">
        <v>38</v>
      </c>
      <c r="P25" t="s">
        <v>39</v>
      </c>
      <c r="Q25" s="6" t="s">
        <v>175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6</v>
      </c>
    </row>
    <row r="26" spans="1:34" x14ac:dyDescent="0.25">
      <c r="A26" t="s">
        <v>34</v>
      </c>
      <c r="B26" t="s">
        <v>42</v>
      </c>
      <c r="C26" t="s">
        <v>141</v>
      </c>
      <c r="D26">
        <v>501086</v>
      </c>
      <c r="F26" t="s">
        <v>176</v>
      </c>
      <c r="G26" t="s">
        <v>177</v>
      </c>
      <c r="I26" t="s">
        <v>46</v>
      </c>
      <c r="J26" t="s">
        <v>47</v>
      </c>
      <c r="K26" t="s">
        <v>35</v>
      </c>
      <c r="L26" t="s">
        <v>178</v>
      </c>
      <c r="M26" t="s">
        <v>36</v>
      </c>
      <c r="N26" t="s">
        <v>37</v>
      </c>
      <c r="O26" t="s">
        <v>38</v>
      </c>
      <c r="P26" t="s">
        <v>39</v>
      </c>
      <c r="Q26" t="s">
        <v>41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</v>
      </c>
    </row>
    <row r="27" spans="1:34" x14ac:dyDescent="0.25">
      <c r="A27" t="s">
        <v>34</v>
      </c>
      <c r="B27" t="s">
        <v>42</v>
      </c>
      <c r="C27" t="s">
        <v>141</v>
      </c>
      <c r="D27">
        <v>501087</v>
      </c>
      <c r="F27" t="s">
        <v>179</v>
      </c>
      <c r="G27" t="s">
        <v>180</v>
      </c>
      <c r="I27" t="s">
        <v>46</v>
      </c>
      <c r="J27" t="s">
        <v>47</v>
      </c>
      <c r="K27" t="s">
        <v>35</v>
      </c>
      <c r="L27" t="s">
        <v>147</v>
      </c>
      <c r="M27" t="s">
        <v>36</v>
      </c>
      <c r="N27" t="s">
        <v>37</v>
      </c>
      <c r="O27" t="s">
        <v>38</v>
      </c>
      <c r="P27" t="s">
        <v>39</v>
      </c>
      <c r="Q27" t="s">
        <v>41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4</v>
      </c>
    </row>
    <row r="28" spans="1:34" x14ac:dyDescent="0.25">
      <c r="A28" t="s">
        <v>34</v>
      </c>
      <c r="B28" t="s">
        <v>42</v>
      </c>
      <c r="C28" t="s">
        <v>43</v>
      </c>
      <c r="D28">
        <v>306039</v>
      </c>
      <c r="F28" t="s">
        <v>222</v>
      </c>
      <c r="G28" t="s">
        <v>223</v>
      </c>
      <c r="I28" t="s">
        <v>46</v>
      </c>
      <c r="J28" t="s">
        <v>47</v>
      </c>
      <c r="K28" t="s">
        <v>181</v>
      </c>
      <c r="L28" t="s">
        <v>167</v>
      </c>
      <c r="M28" t="s">
        <v>36</v>
      </c>
      <c r="N28" t="s">
        <v>37</v>
      </c>
      <c r="O28" t="s">
        <v>38</v>
      </c>
      <c r="P28" t="s">
        <v>39</v>
      </c>
      <c r="Q28" s="5" t="s">
        <v>187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E3DE-F744-4955-B930-46E1355AAD03}">
  <dimension ref="A1:AA26"/>
  <sheetViews>
    <sheetView workbookViewId="0">
      <pane ySplit="5" topLeftCell="A6" activePane="bottomLeft" state="frozen"/>
      <selection activeCell="B27" sqref="A6:XFD27"/>
      <selection pane="bottomLeft" activeCell="A6" sqref="A6"/>
    </sheetView>
  </sheetViews>
  <sheetFormatPr defaultRowHeight="15" x14ac:dyDescent="0.25"/>
  <cols>
    <col min="1" max="1" width="11" customWidth="1"/>
    <col min="2" max="2" width="25.5703125" bestFit="1" customWidth="1"/>
    <col min="3" max="3" width="0" hidden="1" customWidth="1"/>
    <col min="5" max="5" width="0" hidden="1" customWidth="1"/>
    <col min="6" max="6" width="28.5703125" customWidth="1"/>
    <col min="7" max="12" width="0" hidden="1" customWidth="1"/>
    <col min="14" max="17" width="0" hidden="1" customWidth="1"/>
  </cols>
  <sheetData>
    <row r="1" spans="1:27" x14ac:dyDescent="0.25">
      <c r="A1" s="1" t="s">
        <v>224</v>
      </c>
    </row>
    <row r="2" spans="1:27" x14ac:dyDescent="0.25">
      <c r="A2" s="1" t="s">
        <v>1</v>
      </c>
    </row>
    <row r="3" spans="1:27" ht="14.45" customHeight="1" x14ac:dyDescent="0.25">
      <c r="A3" s="1" t="s">
        <v>2</v>
      </c>
      <c r="AA3">
        <f>SUM(AA6:AA26)</f>
        <v>154</v>
      </c>
    </row>
    <row r="4" spans="1:27" x14ac:dyDescent="0.25">
      <c r="A4" s="2" t="s">
        <v>3</v>
      </c>
      <c r="S4" s="7"/>
      <c r="T4" s="7"/>
      <c r="U4" s="7"/>
      <c r="V4" s="7"/>
      <c r="W4" s="7"/>
      <c r="X4" s="7"/>
      <c r="Y4" s="7"/>
      <c r="Z4" s="7"/>
      <c r="AA4" s="7"/>
    </row>
    <row r="5" spans="1:27" ht="45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225</v>
      </c>
      <c r="S5" s="7" t="s">
        <v>21</v>
      </c>
      <c r="T5" s="7" t="s">
        <v>22</v>
      </c>
      <c r="U5" s="7" t="s">
        <v>23</v>
      </c>
      <c r="V5" s="7" t="s">
        <v>24</v>
      </c>
      <c r="W5" s="7" t="s">
        <v>25</v>
      </c>
      <c r="X5" s="7" t="s">
        <v>26</v>
      </c>
      <c r="Y5" s="7" t="s">
        <v>27</v>
      </c>
      <c r="Z5" s="7" t="s">
        <v>186</v>
      </c>
      <c r="AA5" s="7" t="s">
        <v>33</v>
      </c>
    </row>
    <row r="6" spans="1:27" x14ac:dyDescent="0.25">
      <c r="A6" t="s">
        <v>34</v>
      </c>
      <c r="B6" t="s">
        <v>42</v>
      </c>
      <c r="C6" t="s">
        <v>43</v>
      </c>
      <c r="D6">
        <v>304325</v>
      </c>
      <c r="F6" t="s">
        <v>190</v>
      </c>
      <c r="G6" t="s">
        <v>191</v>
      </c>
      <c r="I6" t="s">
        <v>46</v>
      </c>
      <c r="J6" t="s">
        <v>47</v>
      </c>
      <c r="K6" t="s">
        <v>35</v>
      </c>
      <c r="L6" t="s">
        <v>56</v>
      </c>
      <c r="M6" t="s">
        <v>36</v>
      </c>
      <c r="N6" t="s">
        <v>37</v>
      </c>
      <c r="O6" t="s">
        <v>38</v>
      </c>
      <c r="P6" t="s">
        <v>39</v>
      </c>
      <c r="Q6" s="5" t="s">
        <v>187</v>
      </c>
      <c r="R6">
        <v>2000</v>
      </c>
      <c r="S6">
        <v>0</v>
      </c>
      <c r="T6">
        <v>0</v>
      </c>
      <c r="U6">
        <v>1</v>
      </c>
      <c r="V6">
        <v>5</v>
      </c>
      <c r="W6">
        <v>6</v>
      </c>
      <c r="X6">
        <v>23</v>
      </c>
      <c r="Y6">
        <v>11</v>
      </c>
      <c r="Z6">
        <v>0</v>
      </c>
      <c r="AA6">
        <v>46</v>
      </c>
    </row>
    <row r="7" spans="1:27" x14ac:dyDescent="0.25">
      <c r="A7" t="s">
        <v>34</v>
      </c>
      <c r="B7" t="s">
        <v>42</v>
      </c>
      <c r="C7" t="s">
        <v>43</v>
      </c>
      <c r="D7">
        <v>304326</v>
      </c>
      <c r="F7" t="s">
        <v>192</v>
      </c>
      <c r="G7" t="s">
        <v>193</v>
      </c>
      <c r="I7" t="s">
        <v>46</v>
      </c>
      <c r="J7" t="s">
        <v>47</v>
      </c>
      <c r="K7" t="s">
        <v>35</v>
      </c>
      <c r="L7" t="s">
        <v>56</v>
      </c>
      <c r="M7" t="s">
        <v>36</v>
      </c>
      <c r="N7" t="s">
        <v>37</v>
      </c>
      <c r="O7" t="s">
        <v>38</v>
      </c>
      <c r="P7" t="s">
        <v>188</v>
      </c>
      <c r="Q7" s="5" t="s">
        <v>187</v>
      </c>
      <c r="R7">
        <v>562</v>
      </c>
      <c r="S7">
        <v>0</v>
      </c>
      <c r="T7">
        <v>0</v>
      </c>
      <c r="U7">
        <v>0</v>
      </c>
      <c r="V7">
        <v>1</v>
      </c>
      <c r="W7">
        <v>2</v>
      </c>
      <c r="X7">
        <v>11</v>
      </c>
      <c r="Y7">
        <v>4</v>
      </c>
      <c r="Z7">
        <v>0</v>
      </c>
      <c r="AA7">
        <v>18</v>
      </c>
    </row>
    <row r="8" spans="1:27" x14ac:dyDescent="0.25">
      <c r="A8" t="s">
        <v>34</v>
      </c>
      <c r="B8" t="s">
        <v>42</v>
      </c>
      <c r="C8" t="s">
        <v>43</v>
      </c>
      <c r="D8">
        <v>325104</v>
      </c>
      <c r="F8" t="s">
        <v>194</v>
      </c>
      <c r="G8" t="s">
        <v>195</v>
      </c>
      <c r="I8" t="s">
        <v>46</v>
      </c>
      <c r="J8" t="s">
        <v>47</v>
      </c>
      <c r="K8" t="s">
        <v>35</v>
      </c>
      <c r="L8" t="s">
        <v>48</v>
      </c>
      <c r="M8" t="s">
        <v>36</v>
      </c>
      <c r="N8" t="s">
        <v>37</v>
      </c>
      <c r="O8" t="s">
        <v>38</v>
      </c>
      <c r="P8" t="s">
        <v>39</v>
      </c>
      <c r="Q8" s="5" t="s">
        <v>187</v>
      </c>
      <c r="R8">
        <v>263</v>
      </c>
      <c r="S8">
        <v>0</v>
      </c>
      <c r="T8">
        <v>0</v>
      </c>
      <c r="U8">
        <v>0</v>
      </c>
      <c r="V8">
        <v>1</v>
      </c>
      <c r="W8">
        <v>3</v>
      </c>
      <c r="X8">
        <v>3</v>
      </c>
      <c r="Y8">
        <v>0</v>
      </c>
      <c r="Z8">
        <v>0</v>
      </c>
      <c r="AA8">
        <v>7</v>
      </c>
    </row>
    <row r="9" spans="1:27" x14ac:dyDescent="0.25">
      <c r="A9" t="s">
        <v>34</v>
      </c>
      <c r="B9" t="s">
        <v>42</v>
      </c>
      <c r="C9" t="s">
        <v>43</v>
      </c>
      <c r="D9">
        <v>500454</v>
      </c>
      <c r="F9" t="s">
        <v>72</v>
      </c>
      <c r="G9" t="s">
        <v>73</v>
      </c>
      <c r="I9" t="s">
        <v>46</v>
      </c>
      <c r="J9" t="s">
        <v>47</v>
      </c>
      <c r="K9" t="s">
        <v>35</v>
      </c>
      <c r="L9" t="s">
        <v>56</v>
      </c>
      <c r="M9" t="s">
        <v>36</v>
      </c>
      <c r="N9" t="s">
        <v>37</v>
      </c>
      <c r="O9" t="s">
        <v>38</v>
      </c>
      <c r="P9" t="s">
        <v>39</v>
      </c>
      <c r="Q9" t="s">
        <v>41</v>
      </c>
      <c r="R9">
        <v>38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2</v>
      </c>
      <c r="Z9">
        <v>0</v>
      </c>
      <c r="AA9">
        <v>3</v>
      </c>
    </row>
    <row r="10" spans="1:27" x14ac:dyDescent="0.25">
      <c r="A10" t="s">
        <v>34</v>
      </c>
      <c r="B10" t="s">
        <v>42</v>
      </c>
      <c r="C10" t="s">
        <v>43</v>
      </c>
      <c r="D10">
        <v>501424</v>
      </c>
      <c r="F10" t="s">
        <v>74</v>
      </c>
      <c r="G10" t="s">
        <v>75</v>
      </c>
      <c r="I10" t="s">
        <v>46</v>
      </c>
      <c r="J10" t="s">
        <v>47</v>
      </c>
      <c r="K10" t="s">
        <v>35</v>
      </c>
      <c r="L10" t="s">
        <v>76</v>
      </c>
      <c r="M10" t="s">
        <v>36</v>
      </c>
      <c r="N10" t="s">
        <v>37</v>
      </c>
      <c r="O10" t="s">
        <v>38</v>
      </c>
      <c r="P10" t="s">
        <v>39</v>
      </c>
      <c r="Q10" t="s">
        <v>41</v>
      </c>
      <c r="R10">
        <v>12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1</v>
      </c>
      <c r="Z10">
        <v>0</v>
      </c>
      <c r="AA10">
        <v>2</v>
      </c>
    </row>
    <row r="11" spans="1:27" x14ac:dyDescent="0.25">
      <c r="A11" t="s">
        <v>34</v>
      </c>
      <c r="B11" t="s">
        <v>42</v>
      </c>
      <c r="C11" t="s">
        <v>77</v>
      </c>
      <c r="D11">
        <v>304303</v>
      </c>
      <c r="F11" t="s">
        <v>196</v>
      </c>
      <c r="G11" t="s">
        <v>197</v>
      </c>
      <c r="I11" t="s">
        <v>46</v>
      </c>
      <c r="J11" t="s">
        <v>47</v>
      </c>
      <c r="K11" t="s">
        <v>35</v>
      </c>
      <c r="L11" t="s">
        <v>83</v>
      </c>
      <c r="M11" t="s">
        <v>36</v>
      </c>
      <c r="N11" t="s">
        <v>37</v>
      </c>
      <c r="O11" t="s">
        <v>38</v>
      </c>
      <c r="P11" t="s">
        <v>39</v>
      </c>
      <c r="Q11" s="5" t="s">
        <v>187</v>
      </c>
      <c r="R11">
        <v>147</v>
      </c>
      <c r="S11">
        <v>0</v>
      </c>
      <c r="T11">
        <v>0</v>
      </c>
      <c r="U11">
        <v>0</v>
      </c>
      <c r="V11">
        <v>0</v>
      </c>
      <c r="W11">
        <v>0</v>
      </c>
      <c r="X11">
        <v>4</v>
      </c>
      <c r="Y11">
        <v>1</v>
      </c>
      <c r="Z11">
        <v>1</v>
      </c>
      <c r="AA11">
        <v>6</v>
      </c>
    </row>
    <row r="12" spans="1:27" x14ac:dyDescent="0.25">
      <c r="A12" t="s">
        <v>34</v>
      </c>
      <c r="B12" t="s">
        <v>42</v>
      </c>
      <c r="C12" t="s">
        <v>77</v>
      </c>
      <c r="D12">
        <v>304305</v>
      </c>
      <c r="F12" t="s">
        <v>198</v>
      </c>
      <c r="G12" t="s">
        <v>199</v>
      </c>
      <c r="I12" t="s">
        <v>46</v>
      </c>
      <c r="J12" t="s">
        <v>47</v>
      </c>
      <c r="K12" t="s">
        <v>35</v>
      </c>
      <c r="L12" t="s">
        <v>94</v>
      </c>
      <c r="M12" t="s">
        <v>36</v>
      </c>
      <c r="N12" t="s">
        <v>37</v>
      </c>
      <c r="O12" t="s">
        <v>38</v>
      </c>
      <c r="P12" t="s">
        <v>39</v>
      </c>
      <c r="Q12" s="5" t="s">
        <v>187</v>
      </c>
      <c r="R12">
        <v>158</v>
      </c>
      <c r="S12">
        <v>0</v>
      </c>
      <c r="T12">
        <v>0</v>
      </c>
      <c r="U12">
        <v>0</v>
      </c>
      <c r="V12">
        <v>1</v>
      </c>
      <c r="W12">
        <v>1</v>
      </c>
      <c r="X12">
        <v>3</v>
      </c>
      <c r="Y12">
        <v>1</v>
      </c>
      <c r="Z12">
        <v>0</v>
      </c>
      <c r="AA12">
        <v>6</v>
      </c>
    </row>
    <row r="13" spans="1:27" x14ac:dyDescent="0.25">
      <c r="A13" t="s">
        <v>34</v>
      </c>
      <c r="B13" t="s">
        <v>42</v>
      </c>
      <c r="C13" t="s">
        <v>77</v>
      </c>
      <c r="D13">
        <v>304314</v>
      </c>
      <c r="F13" t="s">
        <v>200</v>
      </c>
      <c r="G13" t="s">
        <v>114</v>
      </c>
      <c r="I13" t="s">
        <v>46</v>
      </c>
      <c r="J13" t="s">
        <v>47</v>
      </c>
      <c r="K13" t="s">
        <v>35</v>
      </c>
      <c r="L13" t="s">
        <v>115</v>
      </c>
      <c r="M13" t="s">
        <v>36</v>
      </c>
      <c r="N13" t="s">
        <v>37</v>
      </c>
      <c r="O13" t="s">
        <v>38</v>
      </c>
      <c r="P13" t="s">
        <v>39</v>
      </c>
      <c r="Q13" s="5" t="s">
        <v>187</v>
      </c>
      <c r="R13">
        <v>143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2</v>
      </c>
      <c r="Z13">
        <v>0</v>
      </c>
      <c r="AA13">
        <v>5</v>
      </c>
    </row>
    <row r="14" spans="1:27" x14ac:dyDescent="0.25">
      <c r="A14" t="s">
        <v>34</v>
      </c>
      <c r="B14" t="s">
        <v>42</v>
      </c>
      <c r="C14" t="s">
        <v>77</v>
      </c>
      <c r="D14">
        <v>304327</v>
      </c>
      <c r="F14" t="s">
        <v>201</v>
      </c>
      <c r="G14" t="s">
        <v>202</v>
      </c>
      <c r="I14" t="s">
        <v>46</v>
      </c>
      <c r="J14" t="s">
        <v>47</v>
      </c>
      <c r="K14" t="s">
        <v>35</v>
      </c>
      <c r="L14" t="s">
        <v>112</v>
      </c>
      <c r="M14" t="s">
        <v>36</v>
      </c>
      <c r="N14" t="s">
        <v>37</v>
      </c>
      <c r="O14" t="s">
        <v>38</v>
      </c>
      <c r="P14" t="s">
        <v>188</v>
      </c>
      <c r="Q14" s="5" t="s">
        <v>187</v>
      </c>
      <c r="R14">
        <v>426</v>
      </c>
      <c r="S14">
        <v>0</v>
      </c>
      <c r="T14">
        <v>0</v>
      </c>
      <c r="U14">
        <v>0</v>
      </c>
      <c r="V14">
        <v>2</v>
      </c>
      <c r="W14">
        <v>0</v>
      </c>
      <c r="X14">
        <v>9</v>
      </c>
      <c r="Y14">
        <v>0</v>
      </c>
      <c r="Z14">
        <v>0</v>
      </c>
      <c r="AA14">
        <v>11</v>
      </c>
    </row>
    <row r="15" spans="1:27" x14ac:dyDescent="0.25">
      <c r="A15" t="s">
        <v>34</v>
      </c>
      <c r="B15" t="s">
        <v>42</v>
      </c>
      <c r="C15" t="s">
        <v>77</v>
      </c>
      <c r="D15">
        <v>304328</v>
      </c>
      <c r="F15" t="s">
        <v>203</v>
      </c>
      <c r="G15" t="s">
        <v>204</v>
      </c>
      <c r="I15" t="s">
        <v>46</v>
      </c>
      <c r="J15" t="s">
        <v>47</v>
      </c>
      <c r="K15" t="s">
        <v>35</v>
      </c>
      <c r="L15" t="s">
        <v>89</v>
      </c>
      <c r="M15" t="s">
        <v>36</v>
      </c>
      <c r="N15" t="s">
        <v>37</v>
      </c>
      <c r="O15" t="s">
        <v>38</v>
      </c>
      <c r="P15" t="s">
        <v>39</v>
      </c>
      <c r="Q15" s="5" t="s">
        <v>187</v>
      </c>
      <c r="R15">
        <v>204</v>
      </c>
      <c r="S15">
        <v>0</v>
      </c>
      <c r="T15">
        <v>0</v>
      </c>
      <c r="U15">
        <v>2</v>
      </c>
      <c r="V15">
        <v>2</v>
      </c>
      <c r="W15">
        <v>1</v>
      </c>
      <c r="X15">
        <v>0</v>
      </c>
      <c r="Y15">
        <v>0</v>
      </c>
      <c r="Z15">
        <v>2</v>
      </c>
      <c r="AA15">
        <v>7</v>
      </c>
    </row>
    <row r="16" spans="1:27" x14ac:dyDescent="0.25">
      <c r="A16" t="s">
        <v>34</v>
      </c>
      <c r="B16" t="s">
        <v>42</v>
      </c>
      <c r="C16" t="s">
        <v>77</v>
      </c>
      <c r="D16">
        <v>304338</v>
      </c>
      <c r="F16" t="s">
        <v>205</v>
      </c>
      <c r="G16" t="s">
        <v>206</v>
      </c>
      <c r="I16" t="s">
        <v>46</v>
      </c>
      <c r="J16" t="s">
        <v>47</v>
      </c>
      <c r="K16" t="s">
        <v>35</v>
      </c>
      <c r="L16" t="s">
        <v>129</v>
      </c>
      <c r="M16" t="s">
        <v>36</v>
      </c>
      <c r="N16" t="s">
        <v>37</v>
      </c>
      <c r="O16" t="s">
        <v>38</v>
      </c>
      <c r="P16" t="s">
        <v>39</v>
      </c>
      <c r="Q16" s="5" t="s">
        <v>187</v>
      </c>
      <c r="R16">
        <v>88</v>
      </c>
      <c r="S16">
        <v>0</v>
      </c>
      <c r="T16">
        <v>0</v>
      </c>
      <c r="U16">
        <v>0</v>
      </c>
      <c r="V16">
        <v>0</v>
      </c>
      <c r="W16">
        <v>1</v>
      </c>
      <c r="X16">
        <v>2</v>
      </c>
      <c r="Y16">
        <v>2</v>
      </c>
      <c r="Z16">
        <v>0</v>
      </c>
      <c r="AA16">
        <v>5</v>
      </c>
    </row>
    <row r="17" spans="1:27" x14ac:dyDescent="0.25">
      <c r="A17" t="s">
        <v>34</v>
      </c>
      <c r="B17" t="s">
        <v>42</v>
      </c>
      <c r="C17" t="s">
        <v>77</v>
      </c>
      <c r="D17">
        <v>305680</v>
      </c>
      <c r="F17" t="s">
        <v>207</v>
      </c>
      <c r="G17" t="s">
        <v>208</v>
      </c>
      <c r="I17" t="s">
        <v>46</v>
      </c>
      <c r="J17" t="s">
        <v>47</v>
      </c>
      <c r="K17" t="s">
        <v>35</v>
      </c>
      <c r="L17" t="s">
        <v>89</v>
      </c>
      <c r="M17" t="s">
        <v>36</v>
      </c>
      <c r="N17" t="s">
        <v>37</v>
      </c>
      <c r="O17" t="s">
        <v>38</v>
      </c>
      <c r="P17" t="s">
        <v>39</v>
      </c>
      <c r="Q17" s="5" t="s">
        <v>187</v>
      </c>
      <c r="R17">
        <v>214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1</v>
      </c>
      <c r="Z17">
        <v>0</v>
      </c>
      <c r="AA17">
        <v>4</v>
      </c>
    </row>
    <row r="18" spans="1:27" x14ac:dyDescent="0.25">
      <c r="A18" t="s">
        <v>34</v>
      </c>
      <c r="B18" t="s">
        <v>42</v>
      </c>
      <c r="C18" t="s">
        <v>77</v>
      </c>
      <c r="D18">
        <v>316104</v>
      </c>
      <c r="F18" t="s">
        <v>209</v>
      </c>
      <c r="G18" t="s">
        <v>210</v>
      </c>
      <c r="I18" t="s">
        <v>46</v>
      </c>
      <c r="J18" t="s">
        <v>47</v>
      </c>
      <c r="K18" t="s">
        <v>35</v>
      </c>
      <c r="L18" t="s">
        <v>100</v>
      </c>
      <c r="M18" t="s">
        <v>36</v>
      </c>
      <c r="N18" t="s">
        <v>37</v>
      </c>
      <c r="O18" t="s">
        <v>38</v>
      </c>
      <c r="P18" t="s">
        <v>39</v>
      </c>
      <c r="Q18" s="5" t="s">
        <v>187</v>
      </c>
      <c r="R18">
        <v>110</v>
      </c>
      <c r="S18">
        <v>0</v>
      </c>
      <c r="T18">
        <v>0</v>
      </c>
      <c r="U18">
        <v>0</v>
      </c>
      <c r="V18">
        <v>0</v>
      </c>
      <c r="W18">
        <v>1</v>
      </c>
      <c r="X18">
        <v>3</v>
      </c>
      <c r="Y18">
        <v>1</v>
      </c>
      <c r="Z18">
        <v>0</v>
      </c>
      <c r="AA18">
        <v>5</v>
      </c>
    </row>
    <row r="19" spans="1:27" x14ac:dyDescent="0.25">
      <c r="A19" t="s">
        <v>34</v>
      </c>
      <c r="B19" t="s">
        <v>42</v>
      </c>
      <c r="C19" t="s">
        <v>77</v>
      </c>
      <c r="D19">
        <v>325102</v>
      </c>
      <c r="F19" t="s">
        <v>213</v>
      </c>
      <c r="G19" t="s">
        <v>214</v>
      </c>
      <c r="I19" t="s">
        <v>46</v>
      </c>
      <c r="J19" t="s">
        <v>47</v>
      </c>
      <c r="K19" t="s">
        <v>35</v>
      </c>
      <c r="L19" t="s">
        <v>86</v>
      </c>
      <c r="M19" t="s">
        <v>36</v>
      </c>
      <c r="N19" t="s">
        <v>37</v>
      </c>
      <c r="O19" t="s">
        <v>38</v>
      </c>
      <c r="P19" t="s">
        <v>39</v>
      </c>
      <c r="Q19" s="5" t="s">
        <v>187</v>
      </c>
      <c r="R19">
        <v>139</v>
      </c>
      <c r="S19">
        <v>0</v>
      </c>
      <c r="T19">
        <v>0</v>
      </c>
      <c r="U19">
        <v>0</v>
      </c>
      <c r="V19">
        <v>0</v>
      </c>
      <c r="W19">
        <v>2</v>
      </c>
      <c r="X19">
        <v>1</v>
      </c>
      <c r="Y19">
        <v>1</v>
      </c>
      <c r="Z19">
        <v>0</v>
      </c>
      <c r="AA19">
        <v>4</v>
      </c>
    </row>
    <row r="20" spans="1:27" x14ac:dyDescent="0.25">
      <c r="A20" t="s">
        <v>34</v>
      </c>
      <c r="B20" t="s">
        <v>42</v>
      </c>
      <c r="C20" t="s">
        <v>77</v>
      </c>
      <c r="D20">
        <v>325106</v>
      </c>
      <c r="F20" t="s">
        <v>215</v>
      </c>
      <c r="G20" t="s">
        <v>164</v>
      </c>
      <c r="I20" t="s">
        <v>46</v>
      </c>
      <c r="J20" t="s">
        <v>47</v>
      </c>
      <c r="K20" t="s">
        <v>35</v>
      </c>
      <c r="L20" t="s">
        <v>138</v>
      </c>
      <c r="M20" t="s">
        <v>36</v>
      </c>
      <c r="N20" t="s">
        <v>37</v>
      </c>
      <c r="O20" t="s">
        <v>38</v>
      </c>
      <c r="P20" t="s">
        <v>39</v>
      </c>
      <c r="Q20" s="5" t="s">
        <v>187</v>
      </c>
      <c r="R20">
        <v>152</v>
      </c>
      <c r="S20">
        <v>0</v>
      </c>
      <c r="T20">
        <v>0</v>
      </c>
      <c r="U20">
        <v>0</v>
      </c>
      <c r="V20">
        <v>0</v>
      </c>
      <c r="W20">
        <v>1</v>
      </c>
      <c r="X20">
        <v>2</v>
      </c>
      <c r="Y20">
        <v>1</v>
      </c>
      <c r="Z20">
        <v>1</v>
      </c>
      <c r="AA20">
        <v>5</v>
      </c>
    </row>
    <row r="21" spans="1:27" x14ac:dyDescent="0.25">
      <c r="A21" t="s">
        <v>34</v>
      </c>
      <c r="B21" t="s">
        <v>42</v>
      </c>
      <c r="C21" t="s">
        <v>141</v>
      </c>
      <c r="D21">
        <v>304313</v>
      </c>
      <c r="F21" t="s">
        <v>216</v>
      </c>
      <c r="G21" t="s">
        <v>217</v>
      </c>
      <c r="I21" t="s">
        <v>46</v>
      </c>
      <c r="J21" t="s">
        <v>47</v>
      </c>
      <c r="K21" t="s">
        <v>35</v>
      </c>
      <c r="L21" t="s">
        <v>150</v>
      </c>
      <c r="M21" t="s">
        <v>36</v>
      </c>
      <c r="N21" t="s">
        <v>37</v>
      </c>
      <c r="O21" t="s">
        <v>218</v>
      </c>
      <c r="P21" t="s">
        <v>39</v>
      </c>
      <c r="Q21" s="5" t="s">
        <v>187</v>
      </c>
      <c r="R21">
        <v>257</v>
      </c>
      <c r="S21">
        <v>0</v>
      </c>
      <c r="T21">
        <v>0</v>
      </c>
      <c r="U21">
        <v>0</v>
      </c>
      <c r="V21">
        <v>0</v>
      </c>
      <c r="W21">
        <v>2</v>
      </c>
      <c r="X21">
        <v>5</v>
      </c>
      <c r="Y21">
        <v>1</v>
      </c>
      <c r="Z21">
        <v>0</v>
      </c>
      <c r="AA21">
        <v>8</v>
      </c>
    </row>
    <row r="22" spans="1:27" x14ac:dyDescent="0.25">
      <c r="A22" t="s">
        <v>34</v>
      </c>
      <c r="B22" t="s">
        <v>42</v>
      </c>
      <c r="C22" t="s">
        <v>141</v>
      </c>
      <c r="D22">
        <v>304318</v>
      </c>
      <c r="F22" t="s">
        <v>219</v>
      </c>
      <c r="G22" t="s">
        <v>220</v>
      </c>
      <c r="I22" t="s">
        <v>46</v>
      </c>
      <c r="J22" t="s">
        <v>47</v>
      </c>
      <c r="K22" t="s">
        <v>35</v>
      </c>
      <c r="L22" t="s">
        <v>158</v>
      </c>
      <c r="M22" t="s">
        <v>36</v>
      </c>
      <c r="N22" t="s">
        <v>37</v>
      </c>
      <c r="O22" t="s">
        <v>38</v>
      </c>
      <c r="P22" t="s">
        <v>39</v>
      </c>
      <c r="Q22" s="5" t="s">
        <v>187</v>
      </c>
      <c r="R22">
        <v>150</v>
      </c>
      <c r="S22">
        <v>0</v>
      </c>
      <c r="T22">
        <v>0</v>
      </c>
      <c r="U22">
        <v>0</v>
      </c>
      <c r="V22">
        <v>0</v>
      </c>
      <c r="W22">
        <v>0</v>
      </c>
      <c r="X22">
        <v>4</v>
      </c>
      <c r="Y22">
        <v>2</v>
      </c>
      <c r="Z22">
        <v>0</v>
      </c>
      <c r="AA22">
        <v>6</v>
      </c>
    </row>
    <row r="23" spans="1:27" x14ac:dyDescent="0.25">
      <c r="A23" t="s">
        <v>34</v>
      </c>
      <c r="B23" t="s">
        <v>42</v>
      </c>
      <c r="C23" t="s">
        <v>141</v>
      </c>
      <c r="D23">
        <v>325105</v>
      </c>
      <c r="F23" t="s">
        <v>221</v>
      </c>
      <c r="G23" t="s">
        <v>160</v>
      </c>
      <c r="H23">
        <v>304313</v>
      </c>
      <c r="I23" t="s">
        <v>46</v>
      </c>
      <c r="J23" t="s">
        <v>47</v>
      </c>
      <c r="K23" t="s">
        <v>35</v>
      </c>
      <c r="L23" t="s">
        <v>144</v>
      </c>
      <c r="M23" t="s">
        <v>36</v>
      </c>
      <c r="N23" t="s">
        <v>37</v>
      </c>
      <c r="O23" t="s">
        <v>218</v>
      </c>
      <c r="P23" t="s">
        <v>39</v>
      </c>
      <c r="Q23" s="5" t="s">
        <v>187</v>
      </c>
      <c r="R23">
        <v>115</v>
      </c>
      <c r="S23">
        <v>0</v>
      </c>
      <c r="T23">
        <v>0</v>
      </c>
      <c r="U23">
        <v>0</v>
      </c>
      <c r="V23">
        <v>0</v>
      </c>
      <c r="W23">
        <v>0</v>
      </c>
      <c r="X23">
        <v>2</v>
      </c>
      <c r="Y23">
        <v>3</v>
      </c>
      <c r="Z23">
        <v>0</v>
      </c>
      <c r="AA23">
        <v>5</v>
      </c>
    </row>
    <row r="24" spans="1:27" x14ac:dyDescent="0.25">
      <c r="A24" t="s">
        <v>34</v>
      </c>
      <c r="B24" t="s">
        <v>42</v>
      </c>
      <c r="C24" t="s">
        <v>141</v>
      </c>
      <c r="D24">
        <v>501086</v>
      </c>
      <c r="E24" s="5" t="s">
        <v>226</v>
      </c>
      <c r="F24" t="s">
        <v>176</v>
      </c>
      <c r="G24" t="s">
        <v>177</v>
      </c>
      <c r="I24" t="s">
        <v>46</v>
      </c>
      <c r="J24" t="s">
        <v>47</v>
      </c>
      <c r="K24" t="s">
        <v>35</v>
      </c>
      <c r="L24" t="s">
        <v>178</v>
      </c>
      <c r="M24" t="s">
        <v>36</v>
      </c>
      <c r="N24" t="s">
        <v>37</v>
      </c>
      <c r="O24" t="s">
        <v>38</v>
      </c>
      <c r="P24" t="s">
        <v>39</v>
      </c>
      <c r="Q24" t="s">
        <v>41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34</v>
      </c>
      <c r="B25" t="s">
        <v>42</v>
      </c>
      <c r="C25" t="s">
        <v>141</v>
      </c>
      <c r="D25">
        <v>501087</v>
      </c>
      <c r="F25" t="s">
        <v>179</v>
      </c>
      <c r="G25" t="s">
        <v>180</v>
      </c>
      <c r="I25" t="s">
        <v>46</v>
      </c>
      <c r="J25" t="s">
        <v>47</v>
      </c>
      <c r="K25" t="s">
        <v>35</v>
      </c>
      <c r="L25" t="s">
        <v>147</v>
      </c>
      <c r="M25" t="s">
        <v>36</v>
      </c>
      <c r="N25" t="s">
        <v>37</v>
      </c>
      <c r="O25" t="s">
        <v>38</v>
      </c>
      <c r="P25" t="s">
        <v>39</v>
      </c>
      <c r="Q25" t="s">
        <v>41</v>
      </c>
      <c r="R25">
        <v>74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34</v>
      </c>
      <c r="B26" t="s">
        <v>42</v>
      </c>
      <c r="C26" t="s">
        <v>43</v>
      </c>
      <c r="D26">
        <v>306039</v>
      </c>
      <c r="F26" t="s">
        <v>222</v>
      </c>
      <c r="G26" t="s">
        <v>223</v>
      </c>
      <c r="I26" t="s">
        <v>46</v>
      </c>
      <c r="J26" t="s">
        <v>47</v>
      </c>
      <c r="K26" t="s">
        <v>181</v>
      </c>
      <c r="L26" t="s">
        <v>167</v>
      </c>
      <c r="M26" t="s">
        <v>36</v>
      </c>
      <c r="N26" t="s">
        <v>37</v>
      </c>
      <c r="O26" t="s">
        <v>38</v>
      </c>
      <c r="P26" t="s">
        <v>39</v>
      </c>
      <c r="Q26" s="5" t="s">
        <v>187</v>
      </c>
      <c r="R26">
        <v>38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2024-02-19T05:13:05Z</dcterms:created>
  <dcterms:modified xsi:type="dcterms:W3CDTF">2024-02-19T05:28:25Z</dcterms:modified>
</cp:coreProperties>
</file>