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2-2023/BOSY Database/"/>
    </mc:Choice>
  </mc:AlternateContent>
  <xr:revisionPtr revIDLastSave="6" documentId="8_{3442787F-DADB-4401-8A0A-ADED9297EB82}" xr6:coauthVersionLast="47" xr6:coauthVersionMax="47" xr10:uidLastSave="{0CED705D-ED84-4478-B663-D3DF5023D7E6}"/>
  <bookViews>
    <workbookView xWindow="-105" yWindow="0" windowWidth="21060" windowHeight="15585" xr2:uid="{AFDC2B03-9BBC-4B19-A637-B00F496F38CE}"/>
  </bookViews>
  <sheets>
    <sheet name="DATABASE" sheetId="1" r:id="rId1"/>
  </sheets>
  <externalReferences>
    <externalReference r:id="rId2"/>
  </externalReferences>
  <definedNames>
    <definedName name="_xlnm._FilterDatabase" localSheetId="0" hidden="1">DATABASE!$A$37:$DC$120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0" i="1" l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L13" i="1"/>
  <c r="AL27" i="1"/>
  <c r="BC13" i="1"/>
  <c r="AL12" i="1"/>
  <c r="CL120" i="1"/>
  <c r="CK120" i="1"/>
  <c r="CT120" i="1" s="1"/>
  <c r="BP120" i="1"/>
  <c r="BY120" i="1" s="1"/>
  <c r="BO120" i="1"/>
  <c r="BX120" i="1" s="1"/>
  <c r="BZ120" i="1" s="1"/>
  <c r="BC120" i="1"/>
  <c r="BB120" i="1"/>
  <c r="AM120" i="1"/>
  <c r="AP120" i="1" s="1"/>
  <c r="AL120" i="1"/>
  <c r="T120" i="1"/>
  <c r="CL119" i="1"/>
  <c r="CU119" i="1" s="1"/>
  <c r="CK119" i="1"/>
  <c r="BP119" i="1"/>
  <c r="BY119" i="1" s="1"/>
  <c r="CX119" i="1" s="1"/>
  <c r="BO119" i="1"/>
  <c r="BX119" i="1" s="1"/>
  <c r="BC119" i="1"/>
  <c r="BB119" i="1"/>
  <c r="AM119" i="1"/>
  <c r="AP119" i="1" s="1"/>
  <c r="AL119" i="1"/>
  <c r="T119" i="1"/>
  <c r="CL118" i="1"/>
  <c r="CU118" i="1" s="1"/>
  <c r="CK118" i="1"/>
  <c r="BP118" i="1"/>
  <c r="BY118" i="1" s="1"/>
  <c r="BO118" i="1"/>
  <c r="BQ118" i="1" s="1"/>
  <c r="BC118" i="1"/>
  <c r="BB118" i="1"/>
  <c r="AM118" i="1"/>
  <c r="AP118" i="1" s="1"/>
  <c r="AL118" i="1"/>
  <c r="T118" i="1"/>
  <c r="CL117" i="1"/>
  <c r="CU117" i="1" s="1"/>
  <c r="CK117" i="1"/>
  <c r="BP117" i="1"/>
  <c r="BO117" i="1"/>
  <c r="BX117" i="1" s="1"/>
  <c r="BC117" i="1"/>
  <c r="BB117" i="1"/>
  <c r="AM117" i="1"/>
  <c r="AP117" i="1" s="1"/>
  <c r="AL117" i="1"/>
  <c r="AO117" i="1" s="1"/>
  <c r="T117" i="1"/>
  <c r="CL116" i="1"/>
  <c r="CU116" i="1" s="1"/>
  <c r="CK116" i="1"/>
  <c r="BP116" i="1"/>
  <c r="BY116" i="1" s="1"/>
  <c r="BO116" i="1"/>
  <c r="BX116" i="1" s="1"/>
  <c r="BC116" i="1"/>
  <c r="BB116" i="1"/>
  <c r="AM116" i="1"/>
  <c r="AP116" i="1" s="1"/>
  <c r="AL116" i="1"/>
  <c r="T116" i="1"/>
  <c r="CL115" i="1"/>
  <c r="CU115" i="1" s="1"/>
  <c r="CK115" i="1"/>
  <c r="BP115" i="1"/>
  <c r="BY115" i="1" s="1"/>
  <c r="BO115" i="1"/>
  <c r="BC115" i="1"/>
  <c r="BB115" i="1"/>
  <c r="AM115" i="1"/>
  <c r="AP115" i="1" s="1"/>
  <c r="AL115" i="1"/>
  <c r="AO115" i="1" s="1"/>
  <c r="T115" i="1"/>
  <c r="CL114" i="1"/>
  <c r="CK114" i="1"/>
  <c r="CT114" i="1" s="1"/>
  <c r="BP114" i="1"/>
  <c r="BY114" i="1" s="1"/>
  <c r="BO114" i="1"/>
  <c r="BC114" i="1"/>
  <c r="BB114" i="1"/>
  <c r="AM114" i="1"/>
  <c r="AP114" i="1" s="1"/>
  <c r="AL114" i="1"/>
  <c r="T114" i="1"/>
  <c r="CL113" i="1"/>
  <c r="CU113" i="1" s="1"/>
  <c r="CK113" i="1"/>
  <c r="BP113" i="1"/>
  <c r="BY113" i="1" s="1"/>
  <c r="BO113" i="1"/>
  <c r="BX113" i="1" s="1"/>
  <c r="BC113" i="1"/>
  <c r="BB113" i="1"/>
  <c r="AM113" i="1"/>
  <c r="AP113" i="1" s="1"/>
  <c r="AL113" i="1"/>
  <c r="T113" i="1"/>
  <c r="CL112" i="1"/>
  <c r="CU112" i="1" s="1"/>
  <c r="CK112" i="1"/>
  <c r="BP112" i="1"/>
  <c r="BY112" i="1" s="1"/>
  <c r="BO112" i="1"/>
  <c r="BX112" i="1" s="1"/>
  <c r="BC112" i="1"/>
  <c r="BB112" i="1"/>
  <c r="AM112" i="1"/>
  <c r="AP112" i="1" s="1"/>
  <c r="AL112" i="1"/>
  <c r="T112" i="1"/>
  <c r="CL111" i="1"/>
  <c r="CU111" i="1" s="1"/>
  <c r="CK111" i="1"/>
  <c r="BP111" i="1"/>
  <c r="BY111" i="1" s="1"/>
  <c r="BO111" i="1"/>
  <c r="BQ111" i="1" s="1"/>
  <c r="BC111" i="1"/>
  <c r="BB111" i="1"/>
  <c r="BD111" i="1" s="1"/>
  <c r="AM111" i="1"/>
  <c r="AP111" i="1" s="1"/>
  <c r="AL111" i="1"/>
  <c r="T111" i="1"/>
  <c r="CL110" i="1"/>
  <c r="CU110" i="1" s="1"/>
  <c r="CK110" i="1"/>
  <c r="BP110" i="1"/>
  <c r="BY110" i="1" s="1"/>
  <c r="CX110" i="1" s="1"/>
  <c r="BO110" i="1"/>
  <c r="BC110" i="1"/>
  <c r="BB110" i="1"/>
  <c r="BD110" i="1" s="1"/>
  <c r="AM110" i="1"/>
  <c r="AP110" i="1" s="1"/>
  <c r="AL110" i="1"/>
  <c r="AO110" i="1" s="1"/>
  <c r="T110" i="1"/>
  <c r="CL109" i="1"/>
  <c r="CU109" i="1" s="1"/>
  <c r="CK109" i="1"/>
  <c r="BP109" i="1"/>
  <c r="BY109" i="1" s="1"/>
  <c r="CX109" i="1" s="1"/>
  <c r="BO109" i="1"/>
  <c r="BX109" i="1" s="1"/>
  <c r="BC109" i="1"/>
  <c r="BB109" i="1"/>
  <c r="BD109" i="1" s="1"/>
  <c r="AM109" i="1"/>
  <c r="AP109" i="1" s="1"/>
  <c r="AL109" i="1"/>
  <c r="AO109" i="1" s="1"/>
  <c r="T109" i="1"/>
  <c r="CL108" i="1"/>
  <c r="CU108" i="1" s="1"/>
  <c r="CK108" i="1"/>
  <c r="BP108" i="1"/>
  <c r="BY108" i="1" s="1"/>
  <c r="BO108" i="1"/>
  <c r="BC108" i="1"/>
  <c r="BB108" i="1"/>
  <c r="BD108" i="1" s="1"/>
  <c r="AM108" i="1"/>
  <c r="AP108" i="1" s="1"/>
  <c r="AL108" i="1"/>
  <c r="AN108" i="1" s="1"/>
  <c r="T108" i="1"/>
  <c r="CL107" i="1"/>
  <c r="CU107" i="1" s="1"/>
  <c r="CK107" i="1"/>
  <c r="BP107" i="1"/>
  <c r="BO107" i="1"/>
  <c r="BX107" i="1" s="1"/>
  <c r="BC107" i="1"/>
  <c r="BB107" i="1"/>
  <c r="AM107" i="1"/>
  <c r="AP107" i="1" s="1"/>
  <c r="AL107" i="1"/>
  <c r="AO107" i="1" s="1"/>
  <c r="T107" i="1"/>
  <c r="CL106" i="1"/>
  <c r="CU106" i="1" s="1"/>
  <c r="CK106" i="1"/>
  <c r="CT106" i="1" s="1"/>
  <c r="BP106" i="1"/>
  <c r="BY106" i="1" s="1"/>
  <c r="BO106" i="1"/>
  <c r="BC106" i="1"/>
  <c r="BB106" i="1"/>
  <c r="AM106" i="1"/>
  <c r="AP106" i="1" s="1"/>
  <c r="AL106" i="1"/>
  <c r="T106" i="1"/>
  <c r="CL105" i="1"/>
  <c r="CU105" i="1" s="1"/>
  <c r="CK105" i="1"/>
  <c r="CT105" i="1" s="1"/>
  <c r="BP105" i="1"/>
  <c r="BY105" i="1" s="1"/>
  <c r="BO105" i="1"/>
  <c r="BX105" i="1" s="1"/>
  <c r="BC105" i="1"/>
  <c r="BB105" i="1"/>
  <c r="BD105" i="1" s="1"/>
  <c r="AM105" i="1"/>
  <c r="AP105" i="1" s="1"/>
  <c r="AL105" i="1"/>
  <c r="T105" i="1"/>
  <c r="CL104" i="1"/>
  <c r="CK104" i="1"/>
  <c r="CT104" i="1" s="1"/>
  <c r="BP104" i="1"/>
  <c r="BY104" i="1" s="1"/>
  <c r="BO104" i="1"/>
  <c r="BC104" i="1"/>
  <c r="BB104" i="1"/>
  <c r="AM104" i="1"/>
  <c r="AP104" i="1" s="1"/>
  <c r="AL104" i="1"/>
  <c r="AN104" i="1" s="1"/>
  <c r="T104" i="1"/>
  <c r="CL103" i="1"/>
  <c r="CU103" i="1" s="1"/>
  <c r="CK103" i="1"/>
  <c r="BP103" i="1"/>
  <c r="BY103" i="1" s="1"/>
  <c r="BO103" i="1"/>
  <c r="BQ103" i="1" s="1"/>
  <c r="BC103" i="1"/>
  <c r="BB103" i="1"/>
  <c r="AM103" i="1"/>
  <c r="AP103" i="1" s="1"/>
  <c r="AL103" i="1"/>
  <c r="T103" i="1"/>
  <c r="CL102" i="1"/>
  <c r="CU102" i="1" s="1"/>
  <c r="CK102" i="1"/>
  <c r="CM102" i="1" s="1"/>
  <c r="BP102" i="1"/>
  <c r="BY102" i="1" s="1"/>
  <c r="BO102" i="1"/>
  <c r="BC102" i="1"/>
  <c r="BB102" i="1"/>
  <c r="AM102" i="1"/>
  <c r="AP102" i="1" s="1"/>
  <c r="AL102" i="1"/>
  <c r="T102" i="1"/>
  <c r="CL101" i="1"/>
  <c r="CU101" i="1" s="1"/>
  <c r="CK101" i="1"/>
  <c r="BP101" i="1"/>
  <c r="BY101" i="1" s="1"/>
  <c r="BO101" i="1"/>
  <c r="BC101" i="1"/>
  <c r="BB101" i="1"/>
  <c r="AM101" i="1"/>
  <c r="AP101" i="1" s="1"/>
  <c r="AL101" i="1"/>
  <c r="T101" i="1"/>
  <c r="CL100" i="1"/>
  <c r="CU100" i="1" s="1"/>
  <c r="CK100" i="1"/>
  <c r="BP100" i="1"/>
  <c r="BY100" i="1" s="1"/>
  <c r="CX100" i="1" s="1"/>
  <c r="BO100" i="1"/>
  <c r="BX100" i="1" s="1"/>
  <c r="BC100" i="1"/>
  <c r="BB100" i="1"/>
  <c r="AM100" i="1"/>
  <c r="AP100" i="1" s="1"/>
  <c r="AL100" i="1"/>
  <c r="T100" i="1"/>
  <c r="CL99" i="1"/>
  <c r="CU99" i="1" s="1"/>
  <c r="CK99" i="1"/>
  <c r="BP99" i="1"/>
  <c r="BY99" i="1" s="1"/>
  <c r="BO99" i="1"/>
  <c r="BX99" i="1" s="1"/>
  <c r="BZ99" i="1" s="1"/>
  <c r="BC99" i="1"/>
  <c r="BB99" i="1"/>
  <c r="AM99" i="1"/>
  <c r="AP99" i="1" s="1"/>
  <c r="AL99" i="1"/>
  <c r="AO99" i="1" s="1"/>
  <c r="T99" i="1"/>
  <c r="CL98" i="1"/>
  <c r="CU98" i="1" s="1"/>
  <c r="CK98" i="1"/>
  <c r="CT98" i="1" s="1"/>
  <c r="CV98" i="1" s="1"/>
  <c r="BP98" i="1"/>
  <c r="BO98" i="1"/>
  <c r="BX98" i="1" s="1"/>
  <c r="BC98" i="1"/>
  <c r="BB98" i="1"/>
  <c r="BD98" i="1" s="1"/>
  <c r="AM98" i="1"/>
  <c r="AP98" i="1" s="1"/>
  <c r="AL98" i="1"/>
  <c r="T98" i="1"/>
  <c r="CL97" i="1"/>
  <c r="CU97" i="1" s="1"/>
  <c r="CK97" i="1"/>
  <c r="BP97" i="1"/>
  <c r="BO97" i="1"/>
  <c r="BX97" i="1" s="1"/>
  <c r="BC97" i="1"/>
  <c r="BB97" i="1"/>
  <c r="BD97" i="1" s="1"/>
  <c r="AM97" i="1"/>
  <c r="AP97" i="1" s="1"/>
  <c r="AL97" i="1"/>
  <c r="T97" i="1"/>
  <c r="CL96" i="1"/>
  <c r="CU96" i="1" s="1"/>
  <c r="CK96" i="1"/>
  <c r="CM96" i="1" s="1"/>
  <c r="BP96" i="1"/>
  <c r="BY96" i="1" s="1"/>
  <c r="BO96" i="1"/>
  <c r="BX96" i="1" s="1"/>
  <c r="BZ96" i="1" s="1"/>
  <c r="BC96" i="1"/>
  <c r="BB96" i="1"/>
  <c r="BD96" i="1" s="1"/>
  <c r="AM96" i="1"/>
  <c r="AP96" i="1" s="1"/>
  <c r="AL96" i="1"/>
  <c r="AN96" i="1" s="1"/>
  <c r="T96" i="1"/>
  <c r="CL95" i="1"/>
  <c r="CU95" i="1" s="1"/>
  <c r="CK95" i="1"/>
  <c r="BP95" i="1"/>
  <c r="BO95" i="1"/>
  <c r="BX95" i="1" s="1"/>
  <c r="BC95" i="1"/>
  <c r="BB95" i="1"/>
  <c r="BD95" i="1" s="1"/>
  <c r="AM95" i="1"/>
  <c r="AP95" i="1" s="1"/>
  <c r="AL95" i="1"/>
  <c r="AO95" i="1" s="1"/>
  <c r="T95" i="1"/>
  <c r="CL94" i="1"/>
  <c r="CU94" i="1" s="1"/>
  <c r="CK94" i="1"/>
  <c r="CT94" i="1" s="1"/>
  <c r="BP94" i="1"/>
  <c r="BY94" i="1" s="1"/>
  <c r="BO94" i="1"/>
  <c r="BX94" i="1" s="1"/>
  <c r="BZ94" i="1" s="1"/>
  <c r="BC94" i="1"/>
  <c r="BB94" i="1"/>
  <c r="AM94" i="1"/>
  <c r="AP94" i="1" s="1"/>
  <c r="AL94" i="1"/>
  <c r="T94" i="1"/>
  <c r="CL93" i="1"/>
  <c r="CU93" i="1" s="1"/>
  <c r="CK93" i="1"/>
  <c r="BP93" i="1"/>
  <c r="BY93" i="1" s="1"/>
  <c r="BO93" i="1"/>
  <c r="BC93" i="1"/>
  <c r="BB93" i="1"/>
  <c r="AM93" i="1"/>
  <c r="AP93" i="1" s="1"/>
  <c r="AL93" i="1"/>
  <c r="T93" i="1"/>
  <c r="CL92" i="1"/>
  <c r="CU92" i="1" s="1"/>
  <c r="CK92" i="1"/>
  <c r="CT92" i="1" s="1"/>
  <c r="BP92" i="1"/>
  <c r="BY92" i="1" s="1"/>
  <c r="BO92" i="1"/>
  <c r="BX92" i="1" s="1"/>
  <c r="BC92" i="1"/>
  <c r="BB92" i="1"/>
  <c r="BD92" i="1" s="1"/>
  <c r="AM92" i="1"/>
  <c r="AP92" i="1" s="1"/>
  <c r="AL92" i="1"/>
  <c r="AN92" i="1" s="1"/>
  <c r="T92" i="1"/>
  <c r="CL91" i="1"/>
  <c r="CU91" i="1" s="1"/>
  <c r="CK91" i="1"/>
  <c r="BP91" i="1"/>
  <c r="BY91" i="1" s="1"/>
  <c r="CX91" i="1" s="1"/>
  <c r="BO91" i="1"/>
  <c r="BC91" i="1"/>
  <c r="BB91" i="1"/>
  <c r="BD91" i="1" s="1"/>
  <c r="AM91" i="1"/>
  <c r="AP91" i="1" s="1"/>
  <c r="AL91" i="1"/>
  <c r="AO91" i="1" s="1"/>
  <c r="T91" i="1"/>
  <c r="CL90" i="1"/>
  <c r="CU90" i="1" s="1"/>
  <c r="CK90" i="1"/>
  <c r="BP90" i="1"/>
  <c r="BY90" i="1" s="1"/>
  <c r="BO90" i="1"/>
  <c r="BC90" i="1"/>
  <c r="BB90" i="1"/>
  <c r="BD90" i="1" s="1"/>
  <c r="AM90" i="1"/>
  <c r="AL90" i="1"/>
  <c r="AO90" i="1" s="1"/>
  <c r="T90" i="1"/>
  <c r="CL89" i="1"/>
  <c r="CU89" i="1" s="1"/>
  <c r="CK89" i="1"/>
  <c r="CT89" i="1" s="1"/>
  <c r="BP89" i="1"/>
  <c r="BO89" i="1"/>
  <c r="BX89" i="1" s="1"/>
  <c r="BC89" i="1"/>
  <c r="BB89" i="1"/>
  <c r="AM89" i="1"/>
  <c r="AP89" i="1" s="1"/>
  <c r="AL89" i="1"/>
  <c r="AO89" i="1" s="1"/>
  <c r="T89" i="1"/>
  <c r="CL88" i="1"/>
  <c r="CU88" i="1" s="1"/>
  <c r="CK88" i="1"/>
  <c r="BP88" i="1"/>
  <c r="BY88" i="1" s="1"/>
  <c r="BO88" i="1"/>
  <c r="BC88" i="1"/>
  <c r="BB88" i="1"/>
  <c r="AM88" i="1"/>
  <c r="AP88" i="1" s="1"/>
  <c r="AL88" i="1"/>
  <c r="T88" i="1"/>
  <c r="CL87" i="1"/>
  <c r="CU87" i="1" s="1"/>
  <c r="CK87" i="1"/>
  <c r="CT87" i="1" s="1"/>
  <c r="CV87" i="1" s="1"/>
  <c r="BP87" i="1"/>
  <c r="BY87" i="1" s="1"/>
  <c r="BO87" i="1"/>
  <c r="BC87" i="1"/>
  <c r="BB87" i="1"/>
  <c r="BD87" i="1" s="1"/>
  <c r="AM87" i="1"/>
  <c r="AP87" i="1" s="1"/>
  <c r="AL87" i="1"/>
  <c r="T87" i="1"/>
  <c r="CL86" i="1"/>
  <c r="CU86" i="1" s="1"/>
  <c r="CK86" i="1"/>
  <c r="BP86" i="1"/>
  <c r="BY86" i="1" s="1"/>
  <c r="BO86" i="1"/>
  <c r="BC86" i="1"/>
  <c r="BB86" i="1"/>
  <c r="AM86" i="1"/>
  <c r="AL86" i="1"/>
  <c r="AO86" i="1" s="1"/>
  <c r="T86" i="1"/>
  <c r="CL85" i="1"/>
  <c r="CU85" i="1" s="1"/>
  <c r="CK85" i="1"/>
  <c r="BP85" i="1"/>
  <c r="BY85" i="1" s="1"/>
  <c r="BO85" i="1"/>
  <c r="BC85" i="1"/>
  <c r="BB85" i="1"/>
  <c r="AM85" i="1"/>
  <c r="AP85" i="1" s="1"/>
  <c r="AL85" i="1"/>
  <c r="AO85" i="1" s="1"/>
  <c r="T85" i="1"/>
  <c r="CL84" i="1"/>
  <c r="CU84" i="1" s="1"/>
  <c r="CK84" i="1"/>
  <c r="BP84" i="1"/>
  <c r="BY84" i="1" s="1"/>
  <c r="BO84" i="1"/>
  <c r="BX84" i="1" s="1"/>
  <c r="BZ84" i="1" s="1"/>
  <c r="BC84" i="1"/>
  <c r="BB84" i="1"/>
  <c r="AM84" i="1"/>
  <c r="AP84" i="1" s="1"/>
  <c r="AL84" i="1"/>
  <c r="T84" i="1"/>
  <c r="CL83" i="1"/>
  <c r="CU83" i="1" s="1"/>
  <c r="CK83" i="1"/>
  <c r="BP83" i="1"/>
  <c r="BY83" i="1" s="1"/>
  <c r="CX83" i="1" s="1"/>
  <c r="BO83" i="1"/>
  <c r="BX83" i="1" s="1"/>
  <c r="BC83" i="1"/>
  <c r="BB83" i="1"/>
  <c r="BD83" i="1" s="1"/>
  <c r="AM83" i="1"/>
  <c r="AP83" i="1" s="1"/>
  <c r="AL83" i="1"/>
  <c r="T83" i="1"/>
  <c r="CL82" i="1"/>
  <c r="CU82" i="1" s="1"/>
  <c r="CK82" i="1"/>
  <c r="BP82" i="1"/>
  <c r="BY82" i="1" s="1"/>
  <c r="BO82" i="1"/>
  <c r="BX82" i="1" s="1"/>
  <c r="BC82" i="1"/>
  <c r="BB82" i="1"/>
  <c r="BD82" i="1" s="1"/>
  <c r="AM82" i="1"/>
  <c r="AP82" i="1" s="1"/>
  <c r="AL82" i="1"/>
  <c r="AO82" i="1" s="1"/>
  <c r="T82" i="1"/>
  <c r="CL81" i="1"/>
  <c r="CU81" i="1" s="1"/>
  <c r="CK81" i="1"/>
  <c r="BP81" i="1"/>
  <c r="BY81" i="1" s="1"/>
  <c r="BO81" i="1"/>
  <c r="BC81" i="1"/>
  <c r="BB81" i="1"/>
  <c r="BD81" i="1" s="1"/>
  <c r="AM81" i="1"/>
  <c r="AP81" i="1" s="1"/>
  <c r="AL81" i="1"/>
  <c r="AO81" i="1" s="1"/>
  <c r="T81" i="1"/>
  <c r="CL80" i="1"/>
  <c r="CU80" i="1" s="1"/>
  <c r="CK80" i="1"/>
  <c r="BP80" i="1"/>
  <c r="BY80" i="1" s="1"/>
  <c r="BO80" i="1"/>
  <c r="BC80" i="1"/>
  <c r="BB80" i="1"/>
  <c r="AM80" i="1"/>
  <c r="AP80" i="1" s="1"/>
  <c r="AL80" i="1"/>
  <c r="T80" i="1"/>
  <c r="CL79" i="1"/>
  <c r="CU79" i="1" s="1"/>
  <c r="CK79" i="1"/>
  <c r="BP79" i="1"/>
  <c r="BY79" i="1" s="1"/>
  <c r="BO79" i="1"/>
  <c r="BX79" i="1" s="1"/>
  <c r="BC79" i="1"/>
  <c r="BB79" i="1"/>
  <c r="AM79" i="1"/>
  <c r="AP79" i="1" s="1"/>
  <c r="AL79" i="1"/>
  <c r="AN79" i="1" s="1"/>
  <c r="T79" i="1"/>
  <c r="CL78" i="1"/>
  <c r="CU78" i="1" s="1"/>
  <c r="CK78" i="1"/>
  <c r="BP78" i="1"/>
  <c r="BY78" i="1" s="1"/>
  <c r="CX78" i="1" s="1"/>
  <c r="BO78" i="1"/>
  <c r="BC78" i="1"/>
  <c r="BB78" i="1"/>
  <c r="AM78" i="1"/>
  <c r="AP78" i="1" s="1"/>
  <c r="AL78" i="1"/>
  <c r="AN78" i="1" s="1"/>
  <c r="T78" i="1"/>
  <c r="CL77" i="1"/>
  <c r="CU77" i="1" s="1"/>
  <c r="CK77" i="1"/>
  <c r="BP77" i="1"/>
  <c r="BY77" i="1" s="1"/>
  <c r="BO77" i="1"/>
  <c r="BX77" i="1" s="1"/>
  <c r="BC77" i="1"/>
  <c r="BB77" i="1"/>
  <c r="AM77" i="1"/>
  <c r="AP77" i="1" s="1"/>
  <c r="AL77" i="1"/>
  <c r="T77" i="1"/>
  <c r="CL76" i="1"/>
  <c r="CU76" i="1" s="1"/>
  <c r="CK76" i="1"/>
  <c r="CM76" i="1" s="1"/>
  <c r="BP76" i="1"/>
  <c r="BY76" i="1" s="1"/>
  <c r="BO76" i="1"/>
  <c r="BC76" i="1"/>
  <c r="BB76" i="1"/>
  <c r="AM76" i="1"/>
  <c r="AP76" i="1" s="1"/>
  <c r="AL76" i="1"/>
  <c r="T76" i="1"/>
  <c r="CL75" i="1"/>
  <c r="CU75" i="1" s="1"/>
  <c r="CK75" i="1"/>
  <c r="BP75" i="1"/>
  <c r="BY75" i="1" s="1"/>
  <c r="BO75" i="1"/>
  <c r="BX75" i="1" s="1"/>
  <c r="BZ75" i="1" s="1"/>
  <c r="BC75" i="1"/>
  <c r="BB75" i="1"/>
  <c r="AM75" i="1"/>
  <c r="AP75" i="1" s="1"/>
  <c r="AL75" i="1"/>
  <c r="AO75" i="1" s="1"/>
  <c r="T75" i="1"/>
  <c r="CL74" i="1"/>
  <c r="CU74" i="1" s="1"/>
  <c r="CK74" i="1"/>
  <c r="BP74" i="1"/>
  <c r="BY74" i="1" s="1"/>
  <c r="BO74" i="1"/>
  <c r="BQ74" i="1" s="1"/>
  <c r="BC74" i="1"/>
  <c r="BB74" i="1"/>
  <c r="AM74" i="1"/>
  <c r="AL74" i="1"/>
  <c r="AO74" i="1" s="1"/>
  <c r="T74" i="1"/>
  <c r="CL73" i="1"/>
  <c r="CU73" i="1" s="1"/>
  <c r="CK73" i="1"/>
  <c r="BP73" i="1"/>
  <c r="BY73" i="1" s="1"/>
  <c r="BO73" i="1"/>
  <c r="BX73" i="1" s="1"/>
  <c r="BC73" i="1"/>
  <c r="BB73" i="1"/>
  <c r="BD73" i="1" s="1"/>
  <c r="AM73" i="1"/>
  <c r="AP73" i="1" s="1"/>
  <c r="AL73" i="1"/>
  <c r="T73" i="1"/>
  <c r="CL72" i="1"/>
  <c r="CU72" i="1" s="1"/>
  <c r="CK72" i="1"/>
  <c r="BP72" i="1"/>
  <c r="BY72" i="1" s="1"/>
  <c r="BO72" i="1"/>
  <c r="BC72" i="1"/>
  <c r="BB72" i="1"/>
  <c r="AM72" i="1"/>
  <c r="AP72" i="1" s="1"/>
  <c r="AL72" i="1"/>
  <c r="AN72" i="1" s="1"/>
  <c r="T72" i="1"/>
  <c r="CL71" i="1"/>
  <c r="CU71" i="1" s="1"/>
  <c r="CK71" i="1"/>
  <c r="BP71" i="1"/>
  <c r="BY71" i="1" s="1"/>
  <c r="BO71" i="1"/>
  <c r="BQ71" i="1" s="1"/>
  <c r="BC71" i="1"/>
  <c r="BB71" i="1"/>
  <c r="AM71" i="1"/>
  <c r="AP71" i="1" s="1"/>
  <c r="AL71" i="1"/>
  <c r="T71" i="1"/>
  <c r="CL70" i="1"/>
  <c r="CU70" i="1" s="1"/>
  <c r="CK70" i="1"/>
  <c r="BP70" i="1"/>
  <c r="BY70" i="1" s="1"/>
  <c r="BO70" i="1"/>
  <c r="BC70" i="1"/>
  <c r="BB70" i="1"/>
  <c r="BD70" i="1" s="1"/>
  <c r="AM70" i="1"/>
  <c r="AL70" i="1"/>
  <c r="AO70" i="1" s="1"/>
  <c r="T70" i="1"/>
  <c r="CL69" i="1"/>
  <c r="CU69" i="1" s="1"/>
  <c r="CK69" i="1"/>
  <c r="BP69" i="1"/>
  <c r="BY69" i="1" s="1"/>
  <c r="BO69" i="1"/>
  <c r="BX69" i="1" s="1"/>
  <c r="BC69" i="1"/>
  <c r="BB69" i="1"/>
  <c r="AM69" i="1"/>
  <c r="AP69" i="1" s="1"/>
  <c r="AL69" i="1"/>
  <c r="AO69" i="1" s="1"/>
  <c r="T69" i="1"/>
  <c r="CL68" i="1"/>
  <c r="CU68" i="1" s="1"/>
  <c r="CK68" i="1"/>
  <c r="BP68" i="1"/>
  <c r="BY68" i="1" s="1"/>
  <c r="CX68" i="1" s="1"/>
  <c r="BO68" i="1"/>
  <c r="BC68" i="1"/>
  <c r="BB68" i="1"/>
  <c r="AM68" i="1"/>
  <c r="AP68" i="1" s="1"/>
  <c r="AL68" i="1"/>
  <c r="AO68" i="1" s="1"/>
  <c r="T68" i="1"/>
  <c r="CL67" i="1"/>
  <c r="CU67" i="1" s="1"/>
  <c r="CK67" i="1"/>
  <c r="BP67" i="1"/>
  <c r="BY67" i="1" s="1"/>
  <c r="BO67" i="1"/>
  <c r="BC67" i="1"/>
  <c r="BB67" i="1"/>
  <c r="AM67" i="1"/>
  <c r="AP67" i="1" s="1"/>
  <c r="AL67" i="1"/>
  <c r="AN67" i="1" s="1"/>
  <c r="T67" i="1"/>
  <c r="CL66" i="1"/>
  <c r="CU66" i="1" s="1"/>
  <c r="CK66" i="1"/>
  <c r="CT66" i="1" s="1"/>
  <c r="CV66" i="1" s="1"/>
  <c r="BP66" i="1"/>
  <c r="BY66" i="1" s="1"/>
  <c r="CX66" i="1" s="1"/>
  <c r="BO66" i="1"/>
  <c r="BC66" i="1"/>
  <c r="BB66" i="1"/>
  <c r="AM66" i="1"/>
  <c r="AP66" i="1" s="1"/>
  <c r="AL66" i="1"/>
  <c r="AO66" i="1" s="1"/>
  <c r="T66" i="1"/>
  <c r="CL65" i="1"/>
  <c r="CU65" i="1" s="1"/>
  <c r="CK65" i="1"/>
  <c r="BP65" i="1"/>
  <c r="BY65" i="1" s="1"/>
  <c r="BO65" i="1"/>
  <c r="BX65" i="1" s="1"/>
  <c r="BC65" i="1"/>
  <c r="BB65" i="1"/>
  <c r="AM65" i="1"/>
  <c r="AP65" i="1" s="1"/>
  <c r="AL65" i="1"/>
  <c r="T65" i="1"/>
  <c r="CL64" i="1"/>
  <c r="CU64" i="1" s="1"/>
  <c r="CK64" i="1"/>
  <c r="CM64" i="1" s="1"/>
  <c r="BP64" i="1"/>
  <c r="BY64" i="1" s="1"/>
  <c r="BO64" i="1"/>
  <c r="BC64" i="1"/>
  <c r="BB64" i="1"/>
  <c r="AM64" i="1"/>
  <c r="AP64" i="1" s="1"/>
  <c r="AL64" i="1"/>
  <c r="T64" i="1"/>
  <c r="CL63" i="1"/>
  <c r="CU63" i="1" s="1"/>
  <c r="CK63" i="1"/>
  <c r="BP63" i="1"/>
  <c r="BY63" i="1" s="1"/>
  <c r="BO63" i="1"/>
  <c r="BC63" i="1"/>
  <c r="BB63" i="1"/>
  <c r="AM63" i="1"/>
  <c r="AP63" i="1" s="1"/>
  <c r="AL63" i="1"/>
  <c r="T63" i="1"/>
  <c r="CL62" i="1"/>
  <c r="CU62" i="1" s="1"/>
  <c r="CK62" i="1"/>
  <c r="BP62" i="1"/>
  <c r="BY62" i="1" s="1"/>
  <c r="BO62" i="1"/>
  <c r="BX62" i="1" s="1"/>
  <c r="BC62" i="1"/>
  <c r="BB62" i="1"/>
  <c r="BD62" i="1" s="1"/>
  <c r="AM62" i="1"/>
  <c r="AP62" i="1" s="1"/>
  <c r="AL62" i="1"/>
  <c r="AO62" i="1" s="1"/>
  <c r="T62" i="1"/>
  <c r="CL61" i="1"/>
  <c r="CU61" i="1" s="1"/>
  <c r="CK61" i="1"/>
  <c r="CM61" i="1" s="1"/>
  <c r="BP61" i="1"/>
  <c r="BY61" i="1" s="1"/>
  <c r="BO61" i="1"/>
  <c r="BC61" i="1"/>
  <c r="BB61" i="1"/>
  <c r="BD61" i="1" s="1"/>
  <c r="AM61" i="1"/>
  <c r="AP61" i="1" s="1"/>
  <c r="AL61" i="1"/>
  <c r="AO61" i="1" s="1"/>
  <c r="T61" i="1"/>
  <c r="CL60" i="1"/>
  <c r="CU60" i="1" s="1"/>
  <c r="CK60" i="1"/>
  <c r="BP60" i="1"/>
  <c r="BY60" i="1" s="1"/>
  <c r="BO60" i="1"/>
  <c r="BX60" i="1" s="1"/>
  <c r="BC60" i="1"/>
  <c r="BB60" i="1"/>
  <c r="BD60" i="1" s="1"/>
  <c r="AM60" i="1"/>
  <c r="AP60" i="1" s="1"/>
  <c r="AL60" i="1"/>
  <c r="AN60" i="1" s="1"/>
  <c r="T60" i="1"/>
  <c r="CL59" i="1"/>
  <c r="CU59" i="1" s="1"/>
  <c r="CK59" i="1"/>
  <c r="BP59" i="1"/>
  <c r="BY59" i="1" s="1"/>
  <c r="BO59" i="1"/>
  <c r="BQ59" i="1" s="1"/>
  <c r="BC59" i="1"/>
  <c r="BB59" i="1"/>
  <c r="AM59" i="1"/>
  <c r="AP59" i="1" s="1"/>
  <c r="AL59" i="1"/>
  <c r="AN59" i="1" s="1"/>
  <c r="T59" i="1"/>
  <c r="AQ59" i="1" s="1"/>
  <c r="CL58" i="1"/>
  <c r="CU58" i="1" s="1"/>
  <c r="CK58" i="1"/>
  <c r="BP58" i="1"/>
  <c r="BY58" i="1" s="1"/>
  <c r="CX58" i="1" s="1"/>
  <c r="BO58" i="1"/>
  <c r="BC58" i="1"/>
  <c r="BB58" i="1"/>
  <c r="AM58" i="1"/>
  <c r="AP58" i="1" s="1"/>
  <c r="AL58" i="1"/>
  <c r="T58" i="1"/>
  <c r="CL57" i="1"/>
  <c r="CU57" i="1" s="1"/>
  <c r="CK57" i="1"/>
  <c r="BP57" i="1"/>
  <c r="BY57" i="1" s="1"/>
  <c r="BO57" i="1"/>
  <c r="BX57" i="1" s="1"/>
  <c r="BC57" i="1"/>
  <c r="BB57" i="1"/>
  <c r="AM57" i="1"/>
  <c r="AP57" i="1" s="1"/>
  <c r="AL57" i="1"/>
  <c r="T57" i="1"/>
  <c r="CL56" i="1"/>
  <c r="CU56" i="1" s="1"/>
  <c r="CK56" i="1"/>
  <c r="BP56" i="1"/>
  <c r="BY56" i="1" s="1"/>
  <c r="BO56" i="1"/>
  <c r="BX56" i="1" s="1"/>
  <c r="BZ56" i="1" s="1"/>
  <c r="BC56" i="1"/>
  <c r="BB56" i="1"/>
  <c r="AM56" i="1"/>
  <c r="AP56" i="1" s="1"/>
  <c r="AL56" i="1"/>
  <c r="AN56" i="1" s="1"/>
  <c r="T56" i="1"/>
  <c r="CL55" i="1"/>
  <c r="CU55" i="1" s="1"/>
  <c r="CK55" i="1"/>
  <c r="CM55" i="1" s="1"/>
  <c r="BP55" i="1"/>
  <c r="BY55" i="1" s="1"/>
  <c r="BO55" i="1"/>
  <c r="BQ55" i="1" s="1"/>
  <c r="BC55" i="1"/>
  <c r="BB55" i="1"/>
  <c r="BD55" i="1" s="1"/>
  <c r="AM55" i="1"/>
  <c r="AP55" i="1" s="1"/>
  <c r="AL55" i="1"/>
  <c r="T55" i="1"/>
  <c r="CL54" i="1"/>
  <c r="CU54" i="1" s="1"/>
  <c r="CK54" i="1"/>
  <c r="CT54" i="1" s="1"/>
  <c r="BP54" i="1"/>
  <c r="BY54" i="1" s="1"/>
  <c r="BO54" i="1"/>
  <c r="BX54" i="1" s="1"/>
  <c r="CW54" i="1" s="1"/>
  <c r="BC54" i="1"/>
  <c r="BB54" i="1"/>
  <c r="AM54" i="1"/>
  <c r="AP54" i="1" s="1"/>
  <c r="AL54" i="1"/>
  <c r="AN54" i="1" s="1"/>
  <c r="T54" i="1"/>
  <c r="AQ54" i="1" s="1"/>
  <c r="CL53" i="1"/>
  <c r="CU53" i="1" s="1"/>
  <c r="CK53" i="1"/>
  <c r="BP53" i="1"/>
  <c r="BY53" i="1" s="1"/>
  <c r="BO53" i="1"/>
  <c r="BX53" i="1" s="1"/>
  <c r="BC53" i="1"/>
  <c r="BB53" i="1"/>
  <c r="AM53" i="1"/>
  <c r="AL53" i="1"/>
  <c r="T53" i="1"/>
  <c r="CL52" i="1"/>
  <c r="CU52" i="1" s="1"/>
  <c r="CK52" i="1"/>
  <c r="BP52" i="1"/>
  <c r="BY52" i="1" s="1"/>
  <c r="BO52" i="1"/>
  <c r="BX52" i="1" s="1"/>
  <c r="BC52" i="1"/>
  <c r="BB52" i="1"/>
  <c r="AM52" i="1"/>
  <c r="AP52" i="1" s="1"/>
  <c r="AL52" i="1"/>
  <c r="AN52" i="1" s="1"/>
  <c r="T52" i="1"/>
  <c r="AQ52" i="1" s="1"/>
  <c r="CL51" i="1"/>
  <c r="CU51" i="1" s="1"/>
  <c r="CK51" i="1"/>
  <c r="CT51" i="1" s="1"/>
  <c r="BP51" i="1"/>
  <c r="BY51" i="1" s="1"/>
  <c r="BO51" i="1"/>
  <c r="BC51" i="1"/>
  <c r="BB51" i="1"/>
  <c r="BD51" i="1" s="1"/>
  <c r="AM51" i="1"/>
  <c r="AP51" i="1" s="1"/>
  <c r="AL51" i="1"/>
  <c r="AO51" i="1" s="1"/>
  <c r="T51" i="1"/>
  <c r="CL50" i="1"/>
  <c r="CU50" i="1" s="1"/>
  <c r="CK50" i="1"/>
  <c r="CM50" i="1" s="1"/>
  <c r="BP50" i="1"/>
  <c r="BY50" i="1" s="1"/>
  <c r="BO50" i="1"/>
  <c r="BC50" i="1"/>
  <c r="BB50" i="1"/>
  <c r="AM50" i="1"/>
  <c r="AP50" i="1" s="1"/>
  <c r="AL50" i="1"/>
  <c r="T50" i="1"/>
  <c r="CL49" i="1"/>
  <c r="CU49" i="1" s="1"/>
  <c r="CK49" i="1"/>
  <c r="BP49" i="1"/>
  <c r="BY49" i="1" s="1"/>
  <c r="BO49" i="1"/>
  <c r="BX49" i="1" s="1"/>
  <c r="BC49" i="1"/>
  <c r="BB49" i="1"/>
  <c r="AM49" i="1"/>
  <c r="AP49" i="1" s="1"/>
  <c r="AL49" i="1"/>
  <c r="T49" i="1"/>
  <c r="CL48" i="1"/>
  <c r="CU48" i="1" s="1"/>
  <c r="CK48" i="1"/>
  <c r="CT48" i="1" s="1"/>
  <c r="BP48" i="1"/>
  <c r="BY48" i="1" s="1"/>
  <c r="BO48" i="1"/>
  <c r="BQ48" i="1" s="1"/>
  <c r="BC48" i="1"/>
  <c r="BB48" i="1"/>
  <c r="BD48" i="1" s="1"/>
  <c r="AM48" i="1"/>
  <c r="AP48" i="1" s="1"/>
  <c r="AL48" i="1"/>
  <c r="AO48" i="1" s="1"/>
  <c r="T48" i="1"/>
  <c r="CL47" i="1"/>
  <c r="CU47" i="1" s="1"/>
  <c r="CK47" i="1"/>
  <c r="BP47" i="1"/>
  <c r="BY47" i="1" s="1"/>
  <c r="BO47" i="1"/>
  <c r="BC47" i="1"/>
  <c r="BB47" i="1"/>
  <c r="AM47" i="1"/>
  <c r="AP47" i="1" s="1"/>
  <c r="AL47" i="1"/>
  <c r="T47" i="1"/>
  <c r="CL46" i="1"/>
  <c r="CU46" i="1" s="1"/>
  <c r="CK46" i="1"/>
  <c r="CT46" i="1" s="1"/>
  <c r="BP46" i="1"/>
  <c r="BY46" i="1" s="1"/>
  <c r="BO46" i="1"/>
  <c r="BX46" i="1" s="1"/>
  <c r="BC46" i="1"/>
  <c r="BB46" i="1"/>
  <c r="AM46" i="1"/>
  <c r="AP46" i="1" s="1"/>
  <c r="AL46" i="1"/>
  <c r="AO46" i="1" s="1"/>
  <c r="T46" i="1"/>
  <c r="CL45" i="1"/>
  <c r="CU45" i="1" s="1"/>
  <c r="CK45" i="1"/>
  <c r="CM45" i="1" s="1"/>
  <c r="BP45" i="1"/>
  <c r="BY45" i="1" s="1"/>
  <c r="BO45" i="1"/>
  <c r="BX45" i="1" s="1"/>
  <c r="BC45" i="1"/>
  <c r="BB45" i="1"/>
  <c r="AM45" i="1"/>
  <c r="AP45" i="1" s="1"/>
  <c r="AL45" i="1"/>
  <c r="T45" i="1"/>
  <c r="CL44" i="1"/>
  <c r="CU44" i="1" s="1"/>
  <c r="CK44" i="1"/>
  <c r="BP44" i="1"/>
  <c r="BY44" i="1" s="1"/>
  <c r="CX44" i="1" s="1"/>
  <c r="BO44" i="1"/>
  <c r="BC44" i="1"/>
  <c r="BB44" i="1"/>
  <c r="AM44" i="1"/>
  <c r="AP44" i="1" s="1"/>
  <c r="AL44" i="1"/>
  <c r="AO44" i="1" s="1"/>
  <c r="T44" i="1"/>
  <c r="CL43" i="1"/>
  <c r="CU43" i="1" s="1"/>
  <c r="CK43" i="1"/>
  <c r="CM43" i="1" s="1"/>
  <c r="BP43" i="1"/>
  <c r="BY43" i="1" s="1"/>
  <c r="CX43" i="1" s="1"/>
  <c r="BO43" i="1"/>
  <c r="BX43" i="1" s="1"/>
  <c r="BC43" i="1"/>
  <c r="BB43" i="1"/>
  <c r="AM43" i="1"/>
  <c r="AP43" i="1" s="1"/>
  <c r="AL43" i="1"/>
  <c r="AO43" i="1" s="1"/>
  <c r="T43" i="1"/>
  <c r="CL42" i="1"/>
  <c r="CK42" i="1"/>
  <c r="CT42" i="1" s="1"/>
  <c r="BP42" i="1"/>
  <c r="BY42" i="1" s="1"/>
  <c r="BO42" i="1"/>
  <c r="BQ42" i="1" s="1"/>
  <c r="BC42" i="1"/>
  <c r="BB42" i="1"/>
  <c r="BD42" i="1" s="1"/>
  <c r="AM42" i="1"/>
  <c r="AP42" i="1" s="1"/>
  <c r="AL42" i="1"/>
  <c r="AO42" i="1" s="1"/>
  <c r="T42" i="1"/>
  <c r="CL41" i="1"/>
  <c r="CU41" i="1" s="1"/>
  <c r="CK41" i="1"/>
  <c r="CM41" i="1" s="1"/>
  <c r="BP41" i="1"/>
  <c r="BY41" i="1" s="1"/>
  <c r="BO41" i="1"/>
  <c r="BX41" i="1" s="1"/>
  <c r="BC41" i="1"/>
  <c r="BB41" i="1"/>
  <c r="BD41" i="1" s="1"/>
  <c r="AM41" i="1"/>
  <c r="AP41" i="1" s="1"/>
  <c r="AL41" i="1"/>
  <c r="AO41" i="1" s="1"/>
  <c r="T41" i="1"/>
  <c r="CL40" i="1"/>
  <c r="CK40" i="1"/>
  <c r="BP40" i="1"/>
  <c r="BY40" i="1" s="1"/>
  <c r="BO40" i="1"/>
  <c r="BC40" i="1"/>
  <c r="BB40" i="1"/>
  <c r="BD40" i="1" s="1"/>
  <c r="AM40" i="1"/>
  <c r="AP40" i="1" s="1"/>
  <c r="AL40" i="1"/>
  <c r="T40" i="1"/>
  <c r="CL39" i="1"/>
  <c r="CU39" i="1" s="1"/>
  <c r="CK39" i="1"/>
  <c r="BP39" i="1"/>
  <c r="BY39" i="1" s="1"/>
  <c r="CX39" i="1" s="1"/>
  <c r="BO39" i="1"/>
  <c r="BX39" i="1" s="1"/>
  <c r="BC39" i="1"/>
  <c r="BB39" i="1"/>
  <c r="BD39" i="1" s="1"/>
  <c r="AM39" i="1"/>
  <c r="AP39" i="1" s="1"/>
  <c r="AL39" i="1"/>
  <c r="T39" i="1"/>
  <c r="CL38" i="1"/>
  <c r="CU38" i="1" s="1"/>
  <c r="CK38" i="1"/>
  <c r="CT38" i="1" s="1"/>
  <c r="BP38" i="1"/>
  <c r="BY38" i="1" s="1"/>
  <c r="BO38" i="1"/>
  <c r="BC38" i="1"/>
  <c r="BB38" i="1"/>
  <c r="AM38" i="1"/>
  <c r="AP38" i="1" s="1"/>
  <c r="AL38" i="1"/>
  <c r="T38" i="1"/>
  <c r="BO24" i="1"/>
  <c r="BD24" i="1"/>
  <c r="CS34" i="1"/>
  <c r="CR34" i="1"/>
  <c r="CQ34" i="1"/>
  <c r="CP34" i="1"/>
  <c r="CO34" i="1"/>
  <c r="CN34" i="1"/>
  <c r="CJ34" i="1"/>
  <c r="CI34" i="1"/>
  <c r="CH34" i="1"/>
  <c r="CG34" i="1"/>
  <c r="CF34" i="1"/>
  <c r="CE34" i="1"/>
  <c r="CD34" i="1"/>
  <c r="CC34" i="1"/>
  <c r="CB34" i="1"/>
  <c r="CA34" i="1"/>
  <c r="BW34" i="1"/>
  <c r="BV34" i="1"/>
  <c r="BU34" i="1"/>
  <c r="BT34" i="1"/>
  <c r="BS34" i="1"/>
  <c r="BR34" i="1"/>
  <c r="BN34" i="1"/>
  <c r="BM34" i="1"/>
  <c r="BL34" i="1"/>
  <c r="BK34" i="1"/>
  <c r="BJ34" i="1"/>
  <c r="BI34" i="1"/>
  <c r="BH34" i="1"/>
  <c r="BG34" i="1"/>
  <c r="BF34" i="1"/>
  <c r="BE34" i="1"/>
  <c r="BA34" i="1"/>
  <c r="AZ34" i="1"/>
  <c r="AY34" i="1"/>
  <c r="AX34" i="1"/>
  <c r="AW34" i="1"/>
  <c r="AV34" i="1"/>
  <c r="AU34" i="1"/>
  <c r="AT34" i="1"/>
  <c r="AS34" i="1"/>
  <c r="AR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S34" i="1"/>
  <c r="R34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CS27" i="1"/>
  <c r="CR27" i="1"/>
  <c r="CQ27" i="1"/>
  <c r="CP27" i="1"/>
  <c r="CO27" i="1"/>
  <c r="CN27" i="1"/>
  <c r="CJ27" i="1"/>
  <c r="CI27" i="1"/>
  <c r="CH27" i="1"/>
  <c r="CG27" i="1"/>
  <c r="CF27" i="1"/>
  <c r="CE27" i="1"/>
  <c r="CD27" i="1"/>
  <c r="CC27" i="1"/>
  <c r="CB27" i="1"/>
  <c r="CA27" i="1"/>
  <c r="BW27" i="1"/>
  <c r="BV27" i="1"/>
  <c r="BU27" i="1"/>
  <c r="BT27" i="1"/>
  <c r="BS27" i="1"/>
  <c r="BR27" i="1"/>
  <c r="BN27" i="1"/>
  <c r="BM27" i="1"/>
  <c r="BL27" i="1"/>
  <c r="BK27" i="1"/>
  <c r="BJ27" i="1"/>
  <c r="BI27" i="1"/>
  <c r="BH27" i="1"/>
  <c r="BG27" i="1"/>
  <c r="BF27" i="1"/>
  <c r="BE27" i="1"/>
  <c r="BA27" i="1"/>
  <c r="AZ27" i="1"/>
  <c r="AY27" i="1"/>
  <c r="AX27" i="1"/>
  <c r="AW27" i="1"/>
  <c r="AV27" i="1"/>
  <c r="AU27" i="1"/>
  <c r="AT27" i="1"/>
  <c r="AS27" i="1"/>
  <c r="AR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S27" i="1"/>
  <c r="R27" i="1"/>
  <c r="CS26" i="1"/>
  <c r="CR26" i="1"/>
  <c r="CQ26" i="1"/>
  <c r="CP26" i="1"/>
  <c r="CO26" i="1"/>
  <c r="CN26" i="1"/>
  <c r="CK26" i="1"/>
  <c r="CJ26" i="1"/>
  <c r="CI26" i="1"/>
  <c r="CH26" i="1"/>
  <c r="CG26" i="1"/>
  <c r="CF26" i="1"/>
  <c r="CE26" i="1"/>
  <c r="CD26" i="1"/>
  <c r="CC26" i="1"/>
  <c r="CB26" i="1"/>
  <c r="CA26" i="1"/>
  <c r="BW26" i="1"/>
  <c r="BV26" i="1"/>
  <c r="BU26" i="1"/>
  <c r="BT26" i="1"/>
  <c r="BS26" i="1"/>
  <c r="BR26" i="1"/>
  <c r="BN26" i="1"/>
  <c r="BM26" i="1"/>
  <c r="BL26" i="1"/>
  <c r="BK26" i="1"/>
  <c r="BJ26" i="1"/>
  <c r="BI26" i="1"/>
  <c r="BH26" i="1"/>
  <c r="BG26" i="1"/>
  <c r="BF26" i="1"/>
  <c r="BE26" i="1"/>
  <c r="BA26" i="1"/>
  <c r="AZ26" i="1"/>
  <c r="AY26" i="1"/>
  <c r="AX26" i="1"/>
  <c r="AW26" i="1"/>
  <c r="AV26" i="1"/>
  <c r="AU26" i="1"/>
  <c r="AT26" i="1"/>
  <c r="AS26" i="1"/>
  <c r="AR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S26" i="1"/>
  <c r="R26" i="1"/>
  <c r="CS25" i="1"/>
  <c r="CR25" i="1"/>
  <c r="CQ25" i="1"/>
  <c r="CP25" i="1"/>
  <c r="CO25" i="1"/>
  <c r="CN25" i="1"/>
  <c r="CJ25" i="1"/>
  <c r="CI25" i="1"/>
  <c r="CH25" i="1"/>
  <c r="CG25" i="1"/>
  <c r="CF25" i="1"/>
  <c r="CE25" i="1"/>
  <c r="CD25" i="1"/>
  <c r="CC25" i="1"/>
  <c r="CB25" i="1"/>
  <c r="CA25" i="1"/>
  <c r="BW25" i="1"/>
  <c r="BV25" i="1"/>
  <c r="BU25" i="1"/>
  <c r="BT25" i="1"/>
  <c r="BS25" i="1"/>
  <c r="BR25" i="1"/>
  <c r="BN25" i="1"/>
  <c r="BM25" i="1"/>
  <c r="BL25" i="1"/>
  <c r="BK25" i="1"/>
  <c r="BJ25" i="1"/>
  <c r="BI25" i="1"/>
  <c r="BH25" i="1"/>
  <c r="BG25" i="1"/>
  <c r="BF25" i="1"/>
  <c r="BE25" i="1"/>
  <c r="BA25" i="1"/>
  <c r="AZ25" i="1"/>
  <c r="AY25" i="1"/>
  <c r="AX25" i="1"/>
  <c r="AW25" i="1"/>
  <c r="AV25" i="1"/>
  <c r="AU25" i="1"/>
  <c r="AT25" i="1"/>
  <c r="AS25" i="1"/>
  <c r="AR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S25" i="1"/>
  <c r="R25" i="1"/>
  <c r="CS24" i="1"/>
  <c r="CR24" i="1"/>
  <c r="CQ24" i="1"/>
  <c r="CP24" i="1"/>
  <c r="CO24" i="1"/>
  <c r="CN24" i="1"/>
  <c r="CL24" i="1"/>
  <c r="CJ24" i="1"/>
  <c r="CI24" i="1"/>
  <c r="CH24" i="1"/>
  <c r="CG24" i="1"/>
  <c r="CF24" i="1"/>
  <c r="CE24" i="1"/>
  <c r="CD24" i="1"/>
  <c r="CC24" i="1"/>
  <c r="CB24" i="1"/>
  <c r="CA24" i="1"/>
  <c r="BW24" i="1"/>
  <c r="BV24" i="1"/>
  <c r="BU24" i="1"/>
  <c r="BT24" i="1"/>
  <c r="BS24" i="1"/>
  <c r="BR24" i="1"/>
  <c r="BP24" i="1"/>
  <c r="BN24" i="1"/>
  <c r="BM24" i="1"/>
  <c r="BL24" i="1"/>
  <c r="BK24" i="1"/>
  <c r="BJ24" i="1"/>
  <c r="BI24" i="1"/>
  <c r="BH24" i="1"/>
  <c r="BG24" i="1"/>
  <c r="BF24" i="1"/>
  <c r="BE24" i="1"/>
  <c r="BC24" i="1"/>
  <c r="BA24" i="1"/>
  <c r="AZ24" i="1"/>
  <c r="AY24" i="1"/>
  <c r="AX24" i="1"/>
  <c r="AW24" i="1"/>
  <c r="AV24" i="1"/>
  <c r="AU24" i="1"/>
  <c r="AT24" i="1"/>
  <c r="AS24" i="1"/>
  <c r="AR24" i="1"/>
  <c r="AL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S24" i="1"/>
  <c r="R24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CS13" i="1"/>
  <c r="CR13" i="1"/>
  <c r="CQ13" i="1"/>
  <c r="CP13" i="1"/>
  <c r="CO13" i="1"/>
  <c r="CN13" i="1"/>
  <c r="CJ13" i="1"/>
  <c r="CI13" i="1"/>
  <c r="CH13" i="1"/>
  <c r="CG13" i="1"/>
  <c r="CF13" i="1"/>
  <c r="CE13" i="1"/>
  <c r="CD13" i="1"/>
  <c r="CC13" i="1"/>
  <c r="CB13" i="1"/>
  <c r="CA13" i="1"/>
  <c r="BW13" i="1"/>
  <c r="BV13" i="1"/>
  <c r="BU13" i="1"/>
  <c r="BT13" i="1"/>
  <c r="BS13" i="1"/>
  <c r="BR13" i="1"/>
  <c r="BN13" i="1"/>
  <c r="BM13" i="1"/>
  <c r="BL13" i="1"/>
  <c r="BK13" i="1"/>
  <c r="BJ13" i="1"/>
  <c r="BI13" i="1"/>
  <c r="BH13" i="1"/>
  <c r="BG13" i="1"/>
  <c r="BF13" i="1"/>
  <c r="BE13" i="1"/>
  <c r="BA13" i="1"/>
  <c r="AZ13" i="1"/>
  <c r="AY13" i="1"/>
  <c r="AX13" i="1"/>
  <c r="AW13" i="1"/>
  <c r="AV13" i="1"/>
  <c r="AU13" i="1"/>
  <c r="AT13" i="1"/>
  <c r="AS13" i="1"/>
  <c r="AR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S13" i="1"/>
  <c r="R13" i="1"/>
  <c r="CS12" i="1"/>
  <c r="CR12" i="1"/>
  <c r="CQ12" i="1"/>
  <c r="CP12" i="1"/>
  <c r="CO12" i="1"/>
  <c r="CN12" i="1"/>
  <c r="CJ12" i="1"/>
  <c r="CI12" i="1"/>
  <c r="CH12" i="1"/>
  <c r="CG12" i="1"/>
  <c r="CF12" i="1"/>
  <c r="CE12" i="1"/>
  <c r="CD12" i="1"/>
  <c r="CC12" i="1"/>
  <c r="CB12" i="1"/>
  <c r="CA12" i="1"/>
  <c r="BW12" i="1"/>
  <c r="BV12" i="1"/>
  <c r="BU12" i="1"/>
  <c r="BT12" i="1"/>
  <c r="BS12" i="1"/>
  <c r="BR12" i="1"/>
  <c r="BN12" i="1"/>
  <c r="BM12" i="1"/>
  <c r="BL12" i="1"/>
  <c r="BK12" i="1"/>
  <c r="BJ12" i="1"/>
  <c r="BI12" i="1"/>
  <c r="BH12" i="1"/>
  <c r="BG12" i="1"/>
  <c r="BF12" i="1"/>
  <c r="BE12" i="1"/>
  <c r="BA12" i="1"/>
  <c r="AZ12" i="1"/>
  <c r="AY12" i="1"/>
  <c r="AX12" i="1"/>
  <c r="AW12" i="1"/>
  <c r="AV12" i="1"/>
  <c r="AU12" i="1"/>
  <c r="AT12" i="1"/>
  <c r="AS12" i="1"/>
  <c r="AR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S12" i="1"/>
  <c r="R12" i="1"/>
  <c r="CS11" i="1"/>
  <c r="CR11" i="1"/>
  <c r="CQ11" i="1"/>
  <c r="CP11" i="1"/>
  <c r="CO11" i="1"/>
  <c r="CN11" i="1"/>
  <c r="CJ11" i="1"/>
  <c r="CI11" i="1"/>
  <c r="CH11" i="1"/>
  <c r="CG11" i="1"/>
  <c r="CF11" i="1"/>
  <c r="CE11" i="1"/>
  <c r="CD11" i="1"/>
  <c r="CC11" i="1"/>
  <c r="CB11" i="1"/>
  <c r="CA11" i="1"/>
  <c r="BW11" i="1"/>
  <c r="BV11" i="1"/>
  <c r="BU11" i="1"/>
  <c r="BT11" i="1"/>
  <c r="BS11" i="1"/>
  <c r="BR11" i="1"/>
  <c r="BN11" i="1"/>
  <c r="BM11" i="1"/>
  <c r="BL11" i="1"/>
  <c r="BK11" i="1"/>
  <c r="BJ11" i="1"/>
  <c r="BI11" i="1"/>
  <c r="BH11" i="1"/>
  <c r="BG11" i="1"/>
  <c r="BF11" i="1"/>
  <c r="BE11" i="1"/>
  <c r="BA11" i="1"/>
  <c r="AZ11" i="1"/>
  <c r="AY11" i="1"/>
  <c r="AX11" i="1"/>
  <c r="AW11" i="1"/>
  <c r="AV11" i="1"/>
  <c r="AU11" i="1"/>
  <c r="AT11" i="1"/>
  <c r="AS11" i="1"/>
  <c r="AR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S11" i="1"/>
  <c r="R11" i="1"/>
  <c r="CS10" i="1"/>
  <c r="CR10" i="1"/>
  <c r="CQ10" i="1"/>
  <c r="CP10" i="1"/>
  <c r="CO10" i="1"/>
  <c r="CN10" i="1"/>
  <c r="CJ10" i="1"/>
  <c r="CI10" i="1"/>
  <c r="CH10" i="1"/>
  <c r="CG10" i="1"/>
  <c r="CF10" i="1"/>
  <c r="CE10" i="1"/>
  <c r="CD10" i="1"/>
  <c r="CC10" i="1"/>
  <c r="CB10" i="1"/>
  <c r="CA10" i="1"/>
  <c r="BW10" i="1"/>
  <c r="BV10" i="1"/>
  <c r="BU10" i="1"/>
  <c r="BT10" i="1"/>
  <c r="BS10" i="1"/>
  <c r="BR10" i="1"/>
  <c r="BN10" i="1"/>
  <c r="BM10" i="1"/>
  <c r="BL10" i="1"/>
  <c r="BK10" i="1"/>
  <c r="BJ10" i="1"/>
  <c r="BI10" i="1"/>
  <c r="BH10" i="1"/>
  <c r="BG10" i="1"/>
  <c r="BF10" i="1"/>
  <c r="BE10" i="1"/>
  <c r="BA10" i="1"/>
  <c r="AZ10" i="1"/>
  <c r="AY10" i="1"/>
  <c r="AX10" i="1"/>
  <c r="AW10" i="1"/>
  <c r="AV10" i="1"/>
  <c r="AU10" i="1"/>
  <c r="AT10" i="1"/>
  <c r="AS10" i="1"/>
  <c r="AR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S10" i="1"/>
  <c r="R10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DB3" i="1"/>
  <c r="DA3" i="1"/>
  <c r="CZ3" i="1"/>
  <c r="CY3" i="1"/>
  <c r="CX3" i="1"/>
  <c r="CW3" i="1"/>
  <c r="CV3" i="1"/>
  <c r="CU3" i="1"/>
  <c r="CT3" i="1"/>
  <c r="CS3" i="1"/>
  <c r="CR3" i="1"/>
  <c r="CQ3" i="1"/>
  <c r="CP3" i="1"/>
  <c r="CO3" i="1"/>
  <c r="CN3" i="1"/>
  <c r="CM3" i="1"/>
  <c r="CL3" i="1"/>
  <c r="CK3" i="1"/>
  <c r="CJ3" i="1"/>
  <c r="CI3" i="1"/>
  <c r="CH3" i="1"/>
  <c r="CG3" i="1"/>
  <c r="CF3" i="1"/>
  <c r="CE3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CQ28" i="1" l="1"/>
  <c r="BX40" i="1"/>
  <c r="BQ40" i="1"/>
  <c r="DA44" i="1"/>
  <c r="BD53" i="1"/>
  <c r="BD71" i="1"/>
  <c r="CX72" i="1"/>
  <c r="CX74" i="1"/>
  <c r="CX84" i="1"/>
  <c r="BX87" i="1"/>
  <c r="BQ87" i="1"/>
  <c r="AQ92" i="1"/>
  <c r="AN97" i="1"/>
  <c r="AO97" i="1"/>
  <c r="CM104" i="1"/>
  <c r="AN105" i="1"/>
  <c r="AO105" i="1"/>
  <c r="BD106" i="1"/>
  <c r="CM109" i="1"/>
  <c r="CT109" i="1"/>
  <c r="CV109" i="1" s="1"/>
  <c r="CX111" i="1"/>
  <c r="AN112" i="1"/>
  <c r="AO112" i="1"/>
  <c r="BZ112" i="1"/>
  <c r="AO113" i="1"/>
  <c r="AN113" i="1"/>
  <c r="BD115" i="1"/>
  <c r="CX92" i="1"/>
  <c r="CT96" i="1"/>
  <c r="BD49" i="1"/>
  <c r="AO54" i="1"/>
  <c r="BQ57" i="1"/>
  <c r="AO96" i="1"/>
  <c r="CX106" i="1"/>
  <c r="Z14" i="1"/>
  <c r="BQ82" i="1"/>
  <c r="CV105" i="1"/>
  <c r="CM114" i="1"/>
  <c r="BD119" i="1"/>
  <c r="BZ41" i="1"/>
  <c r="BX42" i="1"/>
  <c r="CW42" i="1" s="1"/>
  <c r="AO60" i="1"/>
  <c r="CX63" i="1"/>
  <c r="AO72" i="1"/>
  <c r="AQ104" i="1"/>
  <c r="AO108" i="1"/>
  <c r="BQ41" i="1"/>
  <c r="BD45" i="1"/>
  <c r="BD47" i="1"/>
  <c r="CM48" i="1"/>
  <c r="BQ73" i="1"/>
  <c r="BX74" i="1"/>
  <c r="BZ74" i="1" s="1"/>
  <c r="BQ91" i="1"/>
  <c r="BD99" i="1"/>
  <c r="CX101" i="1"/>
  <c r="DA101" i="1" s="1"/>
  <c r="BD118" i="1"/>
  <c r="BQ120" i="1"/>
  <c r="CX77" i="1"/>
  <c r="AN90" i="1"/>
  <c r="CM92" i="1"/>
  <c r="CX86" i="1"/>
  <c r="CU104" i="1"/>
  <c r="CX104" i="1" s="1"/>
  <c r="DA104" i="1" s="1"/>
  <c r="BA14" i="1"/>
  <c r="AY14" i="1"/>
  <c r="BV14" i="1"/>
  <c r="U14" i="1"/>
  <c r="BT14" i="1"/>
  <c r="BF28" i="1"/>
  <c r="CV46" i="1"/>
  <c r="BQ105" i="1"/>
  <c r="AO92" i="1"/>
  <c r="CN14" i="1"/>
  <c r="W14" i="1"/>
  <c r="AF28" i="1"/>
  <c r="BZ73" i="1"/>
  <c r="AQ112" i="1"/>
  <c r="CX41" i="1"/>
  <c r="BZ46" i="1"/>
  <c r="BD88" i="1"/>
  <c r="BQ92" i="1"/>
  <c r="BQ96" i="1"/>
  <c r="BQ99" i="1"/>
  <c r="BD107" i="1"/>
  <c r="AQ113" i="1"/>
  <c r="Z28" i="1"/>
  <c r="BM28" i="1"/>
  <c r="CA28" i="1"/>
  <c r="BD44" i="1"/>
  <c r="BQ45" i="1"/>
  <c r="CX60" i="1"/>
  <c r="DA60" i="1" s="1"/>
  <c r="BD64" i="1"/>
  <c r="BQ70" i="1"/>
  <c r="BX71" i="1"/>
  <c r="BZ71" i="1" s="1"/>
  <c r="AN75" i="1"/>
  <c r="AQ75" i="1" s="1"/>
  <c r="BD78" i="1"/>
  <c r="AN85" i="1"/>
  <c r="AQ85" i="1" s="1"/>
  <c r="BD86" i="1"/>
  <c r="CV89" i="1"/>
  <c r="BQ98" i="1"/>
  <c r="BD103" i="1"/>
  <c r="T11" i="1"/>
  <c r="CX51" i="1"/>
  <c r="BQ84" i="1"/>
  <c r="BD120" i="1"/>
  <c r="AR14" i="1"/>
  <c r="BN14" i="1"/>
  <c r="CH14" i="1"/>
  <c r="AG14" i="1"/>
  <c r="CF14" i="1"/>
  <c r="BU14" i="1"/>
  <c r="CT55" i="1"/>
  <c r="BD43" i="1"/>
  <c r="CM46" i="1"/>
  <c r="BD50" i="1"/>
  <c r="BD57" i="1"/>
  <c r="CX59" i="1"/>
  <c r="CX65" i="1"/>
  <c r="DA65" i="1" s="1"/>
  <c r="BD69" i="1"/>
  <c r="AN82" i="1"/>
  <c r="AQ82" i="1" s="1"/>
  <c r="BD84" i="1"/>
  <c r="BD114" i="1"/>
  <c r="BQ116" i="1"/>
  <c r="CZ42" i="1"/>
  <c r="CT40" i="1"/>
  <c r="CW40" i="1" s="1"/>
  <c r="CM40" i="1"/>
  <c r="CH28" i="1"/>
  <c r="CB14" i="1"/>
  <c r="BQ52" i="1"/>
  <c r="BQ60" i="1"/>
  <c r="BE14" i="1"/>
  <c r="BW14" i="1"/>
  <c r="CZ54" i="1"/>
  <c r="BX80" i="1"/>
  <c r="BZ80" i="1" s="1"/>
  <c r="BQ80" i="1"/>
  <c r="BQ93" i="1"/>
  <c r="BX93" i="1"/>
  <c r="BZ93" i="1" s="1"/>
  <c r="CT84" i="1"/>
  <c r="CV84" i="1" s="1"/>
  <c r="CY84" i="1" s="1"/>
  <c r="CM84" i="1"/>
  <c r="CP28" i="1"/>
  <c r="AC14" i="1"/>
  <c r="CM51" i="1"/>
  <c r="AD14" i="1"/>
  <c r="CC14" i="1"/>
  <c r="X14" i="1"/>
  <c r="CS14" i="1"/>
  <c r="BD56" i="1"/>
  <c r="AO67" i="1"/>
  <c r="BQ75" i="1"/>
  <c r="CU114" i="1"/>
  <c r="CV114" i="1" s="1"/>
  <c r="BP13" i="1"/>
  <c r="AO39" i="1"/>
  <c r="AN39" i="1"/>
  <c r="CT43" i="1"/>
  <c r="CV43" i="1" s="1"/>
  <c r="CV48" i="1"/>
  <c r="CT52" i="1"/>
  <c r="CM52" i="1"/>
  <c r="CM57" i="1"/>
  <c r="BD66" i="1"/>
  <c r="BX68" i="1"/>
  <c r="BQ68" i="1"/>
  <c r="CT72" i="1"/>
  <c r="CV72" i="1" s="1"/>
  <c r="CM72" i="1"/>
  <c r="AN81" i="1"/>
  <c r="AQ81" i="1" s="1"/>
  <c r="AN84" i="1"/>
  <c r="AQ84" i="1" s="1"/>
  <c r="AO84" i="1"/>
  <c r="CM106" i="1"/>
  <c r="BQ113" i="1"/>
  <c r="CJ28" i="1"/>
  <c r="BH28" i="1"/>
  <c r="AT28" i="1"/>
  <c r="CT116" i="1"/>
  <c r="CW116" i="1" s="1"/>
  <c r="CM116" i="1"/>
  <c r="AX14" i="1"/>
  <c r="CL26" i="1"/>
  <c r="BO25" i="1"/>
  <c r="CX62" i="1"/>
  <c r="T26" i="1"/>
  <c r="CI14" i="1"/>
  <c r="CM42" i="1"/>
  <c r="AQ39" i="1"/>
  <c r="BX55" i="1"/>
  <c r="CT75" i="1"/>
  <c r="CV75" i="1" s="1"/>
  <c r="CY75" i="1" s="1"/>
  <c r="CM75" i="1"/>
  <c r="BY98" i="1"/>
  <c r="CX98" i="1" s="1"/>
  <c r="AB28" i="1"/>
  <c r="AN42" i="1"/>
  <c r="AQ42" i="1" s="1"/>
  <c r="AN51" i="1"/>
  <c r="AQ51" i="1" s="1"/>
  <c r="DA68" i="1"/>
  <c r="CX75" i="1"/>
  <c r="DA83" i="1"/>
  <c r="BX91" i="1"/>
  <c r="CT97" i="1"/>
  <c r="CV97" i="1" s="1"/>
  <c r="CM97" i="1"/>
  <c r="DA62" i="1"/>
  <c r="DA109" i="1"/>
  <c r="AN115" i="1"/>
  <c r="AQ115" i="1" s="1"/>
  <c r="CX38" i="1"/>
  <c r="DA38" i="1" s="1"/>
  <c r="CT103" i="1"/>
  <c r="CV103" i="1" s="1"/>
  <c r="CM103" i="1"/>
  <c r="BP27" i="1"/>
  <c r="BM14" i="1"/>
  <c r="AE28" i="1"/>
  <c r="BZ83" i="1"/>
  <c r="BX76" i="1"/>
  <c r="BZ76" i="1" s="1"/>
  <c r="BQ76" i="1"/>
  <c r="AN87" i="1"/>
  <c r="AQ87" i="1" s="1"/>
  <c r="AO87" i="1"/>
  <c r="CO14" i="1"/>
  <c r="CG14" i="1"/>
  <c r="DA77" i="1"/>
  <c r="AO88" i="1"/>
  <c r="AN88" i="1"/>
  <c r="AQ88" i="1" s="1"/>
  <c r="CX116" i="1"/>
  <c r="DA116" i="1" s="1"/>
  <c r="AN119" i="1"/>
  <c r="AQ119" i="1" s="1"/>
  <c r="AO119" i="1"/>
  <c r="CD14" i="1"/>
  <c r="BO13" i="1"/>
  <c r="AM13" i="1"/>
  <c r="BS28" i="1"/>
  <c r="AN46" i="1"/>
  <c r="AQ46" i="1" s="1"/>
  <c r="AN48" i="1"/>
  <c r="AQ48" i="1" s="1"/>
  <c r="BX64" i="1"/>
  <c r="BZ64" i="1" s="1"/>
  <c r="BQ64" i="1"/>
  <c r="BX104" i="1"/>
  <c r="CW104" i="1" s="1"/>
  <c r="BQ104" i="1"/>
  <c r="Y28" i="1"/>
  <c r="W28" i="1"/>
  <c r="W30" i="1" s="1"/>
  <c r="BC27" i="1"/>
  <c r="CA14" i="1"/>
  <c r="CA30" i="1" s="1"/>
  <c r="V14" i="1"/>
  <c r="AW14" i="1"/>
  <c r="CE14" i="1"/>
  <c r="BV28" i="1"/>
  <c r="BV30" i="1" s="1"/>
  <c r="BX72" i="1"/>
  <c r="BQ72" i="1"/>
  <c r="S14" i="1"/>
  <c r="AF14" i="1"/>
  <c r="AO79" i="1"/>
  <c r="CM89" i="1"/>
  <c r="BD94" i="1"/>
  <c r="BQ119" i="1"/>
  <c r="BX61" i="1"/>
  <c r="BZ61" i="1" s="1"/>
  <c r="BQ61" i="1"/>
  <c r="DA43" i="1"/>
  <c r="BX58" i="1"/>
  <c r="BZ58" i="1" s="1"/>
  <c r="BQ58" i="1"/>
  <c r="BX101" i="1"/>
  <c r="BZ101" i="1" s="1"/>
  <c r="BQ101" i="1"/>
  <c r="AZ28" i="1"/>
  <c r="U28" i="1"/>
  <c r="U30" i="1" s="1"/>
  <c r="CR28" i="1"/>
  <c r="BZ42" i="1"/>
  <c r="AO56" i="1"/>
  <c r="BA28" i="1"/>
  <c r="AM27" i="1"/>
  <c r="CX50" i="1"/>
  <c r="R14" i="1"/>
  <c r="AH14" i="1"/>
  <c r="CT45" i="1"/>
  <c r="CV45" i="1" s="1"/>
  <c r="BX70" i="1"/>
  <c r="BQ79" i="1"/>
  <c r="AE14" i="1"/>
  <c r="AN41" i="1"/>
  <c r="BQ53" i="1"/>
  <c r="AN63" i="1"/>
  <c r="AQ63" i="1" s="1"/>
  <c r="AO63" i="1"/>
  <c r="BD68" i="1"/>
  <c r="AN118" i="1"/>
  <c r="AQ118" i="1" s="1"/>
  <c r="AO118" i="1"/>
  <c r="AV28" i="1"/>
  <c r="BT28" i="1"/>
  <c r="BT30" i="1" s="1"/>
  <c r="BP25" i="1"/>
  <c r="CX45" i="1"/>
  <c r="DA45" i="1" s="1"/>
  <c r="BQ50" i="1"/>
  <c r="BC25" i="1"/>
  <c r="CT63" i="1"/>
  <c r="CM63" i="1"/>
  <c r="AO73" i="1"/>
  <c r="AN73" i="1"/>
  <c r="AQ73" i="1" s="1"/>
  <c r="BD74" i="1"/>
  <c r="AO78" i="1"/>
  <c r="BD80" i="1"/>
  <c r="BX85" i="1"/>
  <c r="BZ85" i="1" s="1"/>
  <c r="BQ85" i="1"/>
  <c r="CX88" i="1"/>
  <c r="DA88" i="1" s="1"/>
  <c r="AN99" i="1"/>
  <c r="AQ99" i="1" s="1"/>
  <c r="BX102" i="1"/>
  <c r="BZ102" i="1" s="1"/>
  <c r="BQ102" i="1"/>
  <c r="CT111" i="1"/>
  <c r="CV111" i="1" s="1"/>
  <c r="CM111" i="1"/>
  <c r="BX118" i="1"/>
  <c r="BZ118" i="1" s="1"/>
  <c r="BD65" i="1"/>
  <c r="CX71" i="1"/>
  <c r="DA71" i="1" s="1"/>
  <c r="BD77" i="1"/>
  <c r="CX80" i="1"/>
  <c r="DA80" i="1" s="1"/>
  <c r="CT91" i="1"/>
  <c r="CV91" i="1" s="1"/>
  <c r="CM91" i="1"/>
  <c r="BD100" i="1"/>
  <c r="BQ47" i="1"/>
  <c r="BX67" i="1"/>
  <c r="BZ67" i="1" s="1"/>
  <c r="BQ67" i="1"/>
  <c r="BD85" i="1"/>
  <c r="BD93" i="1"/>
  <c r="CV96" i="1"/>
  <c r="CY96" i="1" s="1"/>
  <c r="CX103" i="1"/>
  <c r="BD104" i="1"/>
  <c r="CV106" i="1"/>
  <c r="CT107" i="1"/>
  <c r="CV107" i="1" s="1"/>
  <c r="CM107" i="1"/>
  <c r="BD12" i="1"/>
  <c r="CX49" i="1"/>
  <c r="DA49" i="1" s="1"/>
  <c r="CV54" i="1"/>
  <c r="DA91" i="1"/>
  <c r="AO106" i="1"/>
  <c r="AN106" i="1"/>
  <c r="AQ106" i="1" s="1"/>
  <c r="BC26" i="1"/>
  <c r="CX47" i="1"/>
  <c r="DA47" i="1" s="1"/>
  <c r="BD52" i="1"/>
  <c r="BX86" i="1"/>
  <c r="BZ86" i="1" s="1"/>
  <c r="BQ86" i="1"/>
  <c r="BD89" i="1"/>
  <c r="BD113" i="1"/>
  <c r="BW28" i="1"/>
  <c r="BU28" i="1"/>
  <c r="CT50" i="1"/>
  <c r="CV50" i="1" s="1"/>
  <c r="BX59" i="1"/>
  <c r="BZ59" i="1" s="1"/>
  <c r="BZ60" i="1"/>
  <c r="CT64" i="1"/>
  <c r="CV64" i="1" s="1"/>
  <c r="AN66" i="1"/>
  <c r="AQ66" i="1" s="1"/>
  <c r="AN69" i="1"/>
  <c r="AQ69" i="1" s="1"/>
  <c r="CT76" i="1"/>
  <c r="CV76" i="1" s="1"/>
  <c r="CY76" i="1" s="1"/>
  <c r="AQ78" i="1"/>
  <c r="BQ112" i="1"/>
  <c r="CX114" i="1"/>
  <c r="DA114" i="1" s="1"/>
  <c r="BD116" i="1"/>
  <c r="BQ83" i="1"/>
  <c r="BD102" i="1"/>
  <c r="BZ116" i="1"/>
  <c r="BC12" i="1"/>
  <c r="AM10" i="1"/>
  <c r="CW45" i="1"/>
  <c r="BZ45" i="1"/>
  <c r="CY45" i="1" s="1"/>
  <c r="BF14" i="1"/>
  <c r="CT83" i="1"/>
  <c r="CV83" i="1" s="1"/>
  <c r="CM83" i="1"/>
  <c r="BB26" i="1"/>
  <c r="AU14" i="1"/>
  <c r="BG14" i="1"/>
  <c r="BS14" i="1"/>
  <c r="CQ14" i="1"/>
  <c r="CQ30" i="1" s="1"/>
  <c r="BY89" i="1"/>
  <c r="CX89" i="1" s="1"/>
  <c r="DA89" i="1" s="1"/>
  <c r="BQ89" i="1"/>
  <c r="CK12" i="1"/>
  <c r="BQ44" i="1"/>
  <c r="BX44" i="1"/>
  <c r="BQ65" i="1"/>
  <c r="BD117" i="1"/>
  <c r="AB14" i="1"/>
  <c r="BU30" i="1"/>
  <c r="CP14" i="1"/>
  <c r="AO45" i="1"/>
  <c r="AN45" i="1"/>
  <c r="AQ45" i="1" s="1"/>
  <c r="CY46" i="1"/>
  <c r="BD54" i="1"/>
  <c r="BB25" i="1"/>
  <c r="CT57" i="1"/>
  <c r="CV57" i="1" s="1"/>
  <c r="CM73" i="1"/>
  <c r="CT73" i="1"/>
  <c r="CV73" i="1" s="1"/>
  <c r="AN83" i="1"/>
  <c r="AQ83" i="1" s="1"/>
  <c r="AO83" i="1"/>
  <c r="BZ98" i="1"/>
  <c r="CY98" i="1" s="1"/>
  <c r="CW98" i="1"/>
  <c r="BI14" i="1"/>
  <c r="X28" i="1"/>
  <c r="X30" i="1" s="1"/>
  <c r="AY28" i="1"/>
  <c r="AY30" i="1" s="1"/>
  <c r="BK28" i="1"/>
  <c r="CI28" i="1"/>
  <c r="V28" i="1"/>
  <c r="V30" i="1" s="1"/>
  <c r="BI28" i="1"/>
  <c r="CS28" i="1"/>
  <c r="AU28" i="1"/>
  <c r="BG28" i="1"/>
  <c r="CE28" i="1"/>
  <c r="CE30" i="1" s="1"/>
  <c r="AN62" i="1"/>
  <c r="AQ62" i="1" s="1"/>
  <c r="BD59" i="1"/>
  <c r="AO64" i="1"/>
  <c r="AN64" i="1"/>
  <c r="AQ64" i="1" s="1"/>
  <c r="AN94" i="1"/>
  <c r="AQ94" i="1" s="1"/>
  <c r="AO94" i="1"/>
  <c r="CT86" i="1"/>
  <c r="CV86" i="1" s="1"/>
  <c r="CM86" i="1"/>
  <c r="BO10" i="1"/>
  <c r="BR14" i="1"/>
  <c r="AV14" i="1"/>
  <c r="CR14" i="1"/>
  <c r="CR30" i="1" s="1"/>
  <c r="AX28" i="1"/>
  <c r="AX30" i="1" s="1"/>
  <c r="CD28" i="1"/>
  <c r="CD30" i="1" s="1"/>
  <c r="AM24" i="1"/>
  <c r="BB24" i="1"/>
  <c r="T24" i="1"/>
  <c r="AO40" i="1"/>
  <c r="AN40" i="1"/>
  <c r="CM69" i="1"/>
  <c r="CT69" i="1"/>
  <c r="CV69" i="1" s="1"/>
  <c r="CM70" i="1"/>
  <c r="CT70" i="1"/>
  <c r="CV70" i="1" s="1"/>
  <c r="BQ95" i="1"/>
  <c r="BY95" i="1"/>
  <c r="CX95" i="1" s="1"/>
  <c r="DA95" i="1" s="1"/>
  <c r="BO12" i="1"/>
  <c r="CK27" i="1"/>
  <c r="BZ49" i="1"/>
  <c r="BQ24" i="1"/>
  <c r="AO47" i="1"/>
  <c r="AN47" i="1"/>
  <c r="AQ47" i="1" s="1"/>
  <c r="BZ65" i="1"/>
  <c r="AL26" i="1"/>
  <c r="BH14" i="1"/>
  <c r="BB10" i="1"/>
  <c r="BP10" i="1"/>
  <c r="BL28" i="1"/>
  <c r="BJ28" i="1"/>
  <c r="AP24" i="1"/>
  <c r="BC34" i="1"/>
  <c r="BC10" i="1"/>
  <c r="T10" i="1"/>
  <c r="BP34" i="1"/>
  <c r="CX53" i="1"/>
  <c r="BY25" i="1"/>
  <c r="CK13" i="1"/>
  <c r="CL12" i="1"/>
  <c r="BB12" i="1"/>
  <c r="T12" i="1"/>
  <c r="AA14" i="1"/>
  <c r="AS14" i="1"/>
  <c r="AO55" i="1"/>
  <c r="AN55" i="1"/>
  <c r="AQ55" i="1" s="1"/>
  <c r="BO26" i="1"/>
  <c r="AT14" i="1"/>
  <c r="AM12" i="1"/>
  <c r="BK14" i="1"/>
  <c r="BQ49" i="1"/>
  <c r="BX81" i="1"/>
  <c r="BQ81" i="1"/>
  <c r="CT95" i="1"/>
  <c r="CV95" i="1" s="1"/>
  <c r="CM95" i="1"/>
  <c r="BJ14" i="1"/>
  <c r="AW28" i="1"/>
  <c r="AL34" i="1"/>
  <c r="AL10" i="1"/>
  <c r="CU24" i="1"/>
  <c r="BD38" i="1"/>
  <c r="BB11" i="1"/>
  <c r="AQ40" i="1"/>
  <c r="CL11" i="1"/>
  <c r="CU40" i="1"/>
  <c r="CX40" i="1" s="1"/>
  <c r="BZ53" i="1"/>
  <c r="BD63" i="1"/>
  <c r="BD76" i="1"/>
  <c r="CT78" i="1"/>
  <c r="CV78" i="1" s="1"/>
  <c r="CM78" i="1"/>
  <c r="CV94" i="1"/>
  <c r="CY94" i="1" s="1"/>
  <c r="BO11" i="1"/>
  <c r="CK25" i="1"/>
  <c r="AN57" i="1"/>
  <c r="AQ57" i="1" s="1"/>
  <c r="AO57" i="1"/>
  <c r="BX63" i="1"/>
  <c r="BQ63" i="1"/>
  <c r="AP70" i="1"/>
  <c r="AN70" i="1"/>
  <c r="AQ70" i="1" s="1"/>
  <c r="AP90" i="1"/>
  <c r="AN91" i="1"/>
  <c r="AQ91" i="1" s="1"/>
  <c r="AO93" i="1"/>
  <c r="AN93" i="1"/>
  <c r="CM94" i="1"/>
  <c r="BX103" i="1"/>
  <c r="BO34" i="1"/>
  <c r="CK34" i="1"/>
  <c r="BC11" i="1"/>
  <c r="DA50" i="1"/>
  <c r="CV51" i="1"/>
  <c r="BD101" i="1"/>
  <c r="AO102" i="1"/>
  <c r="AN102" i="1"/>
  <c r="AQ102" i="1" s="1"/>
  <c r="CU120" i="1"/>
  <c r="CX120" i="1" s="1"/>
  <c r="CM120" i="1"/>
  <c r="BP12" i="1"/>
  <c r="DA72" i="1"/>
  <c r="CW120" i="1"/>
  <c r="AM26" i="1"/>
  <c r="CB28" i="1"/>
  <c r="CB30" i="1" s="1"/>
  <c r="CN28" i="1"/>
  <c r="AA28" i="1"/>
  <c r="BN28" i="1"/>
  <c r="BD10" i="1"/>
  <c r="DA41" i="1"/>
  <c r="CM47" i="1"/>
  <c r="CT47" i="1"/>
  <c r="CV47" i="1" s="1"/>
  <c r="CK11" i="1"/>
  <c r="CX56" i="1"/>
  <c r="DA56" i="1" s="1"/>
  <c r="CT60" i="1"/>
  <c r="CM60" i="1"/>
  <c r="BD72" i="1"/>
  <c r="AO80" i="1"/>
  <c r="AN80" i="1"/>
  <c r="AQ80" i="1" s="1"/>
  <c r="CT49" i="1"/>
  <c r="CV49" i="1" s="1"/>
  <c r="CM49" i="1"/>
  <c r="CM58" i="1"/>
  <c r="CT58" i="1"/>
  <c r="CV58" i="1" s="1"/>
  <c r="CY58" i="1" s="1"/>
  <c r="AP86" i="1"/>
  <c r="AN86" i="1"/>
  <c r="BX90" i="1"/>
  <c r="BQ90" i="1"/>
  <c r="CT110" i="1"/>
  <c r="CV110" i="1" s="1"/>
  <c r="CM110" i="1"/>
  <c r="AR28" i="1"/>
  <c r="AL25" i="1"/>
  <c r="AO53" i="1"/>
  <c r="AS28" i="1"/>
  <c r="CC28" i="1"/>
  <c r="BY24" i="1"/>
  <c r="CU42" i="1"/>
  <c r="CX48" i="1"/>
  <c r="DA48" i="1" s="1"/>
  <c r="AO49" i="1"/>
  <c r="AN49" i="1"/>
  <c r="AQ49" i="1" s="1"/>
  <c r="AM25" i="1"/>
  <c r="AP53" i="1"/>
  <c r="AO58" i="1"/>
  <c r="AN58" i="1"/>
  <c r="AQ58" i="1" s="1"/>
  <c r="CT74" i="1"/>
  <c r="CV74" i="1" s="1"/>
  <c r="CY74" i="1" s="1"/>
  <c r="CM74" i="1"/>
  <c r="CM81" i="1"/>
  <c r="CT81" i="1"/>
  <c r="CV81" i="1" s="1"/>
  <c r="CV116" i="1"/>
  <c r="CY116" i="1" s="1"/>
  <c r="BR28" i="1"/>
  <c r="BQ46" i="1"/>
  <c r="DA58" i="1"/>
  <c r="CT59" i="1"/>
  <c r="CM59" i="1"/>
  <c r="AN71" i="1"/>
  <c r="AQ71" i="1" s="1"/>
  <c r="AO71" i="1"/>
  <c r="BZ79" i="1"/>
  <c r="BZ87" i="1"/>
  <c r="CY87" i="1" s="1"/>
  <c r="CW87" i="1"/>
  <c r="CL10" i="1"/>
  <c r="BP11" i="1"/>
  <c r="BB34" i="1"/>
  <c r="CL34" i="1"/>
  <c r="BY10" i="1"/>
  <c r="CK24" i="1"/>
  <c r="CK28" i="1" s="1"/>
  <c r="CU10" i="1"/>
  <c r="CT39" i="1"/>
  <c r="CV39" i="1" s="1"/>
  <c r="CM39" i="1"/>
  <c r="CT41" i="1"/>
  <c r="CV41" i="1" s="1"/>
  <c r="CY41" i="1" s="1"/>
  <c r="BQ43" i="1"/>
  <c r="CM44" i="1"/>
  <c r="CT44" i="1"/>
  <c r="CV44" i="1" s="1"/>
  <c r="BX48" i="1"/>
  <c r="AO50" i="1"/>
  <c r="AN50" i="1"/>
  <c r="AQ50" i="1" s="1"/>
  <c r="AQ56" i="1"/>
  <c r="AN61" i="1"/>
  <c r="AQ61" i="1" s="1"/>
  <c r="BZ69" i="1"/>
  <c r="CY69" i="1" s="1"/>
  <c r="BQ77" i="1"/>
  <c r="CM82" i="1"/>
  <c r="CT82" i="1"/>
  <c r="CV82" i="1" s="1"/>
  <c r="BY97" i="1"/>
  <c r="CX97" i="1" s="1"/>
  <c r="DA97" i="1" s="1"/>
  <c r="BQ97" i="1"/>
  <c r="CT100" i="1"/>
  <c r="CV100" i="1" s="1"/>
  <c r="CM100" i="1"/>
  <c r="BQ56" i="1"/>
  <c r="BZ68" i="1"/>
  <c r="CT71" i="1"/>
  <c r="CV71" i="1" s="1"/>
  <c r="CM71" i="1"/>
  <c r="R28" i="1"/>
  <c r="BE28" i="1"/>
  <c r="CO28" i="1"/>
  <c r="CU25" i="1"/>
  <c r="BQ100" i="1"/>
  <c r="CT108" i="1"/>
  <c r="CV108" i="1" s="1"/>
  <c r="CM108" i="1"/>
  <c r="BX111" i="1"/>
  <c r="BZ113" i="1"/>
  <c r="BX38" i="1"/>
  <c r="AN53" i="1"/>
  <c r="AQ53" i="1" s="1"/>
  <c r="AO76" i="1"/>
  <c r="AN76" i="1"/>
  <c r="AQ76" i="1" s="1"/>
  <c r="DA84" i="1"/>
  <c r="BZ109" i="1"/>
  <c r="CY109" i="1" s="1"/>
  <c r="CW109" i="1"/>
  <c r="CZ109" i="1" s="1"/>
  <c r="Y14" i="1"/>
  <c r="AZ14" i="1"/>
  <c r="CJ14" i="1"/>
  <c r="AG28" i="1"/>
  <c r="AG30" i="1" s="1"/>
  <c r="CF28" i="1"/>
  <c r="CF30" i="1" s="1"/>
  <c r="BZ43" i="1"/>
  <c r="BX51" i="1"/>
  <c r="BQ51" i="1"/>
  <c r="CM54" i="1"/>
  <c r="DA59" i="1"/>
  <c r="CT61" i="1"/>
  <c r="CV61" i="1" s="1"/>
  <c r="AN68" i="1"/>
  <c r="AQ68" i="1" s="1"/>
  <c r="AP74" i="1"/>
  <c r="DA74" i="1" s="1"/>
  <c r="AN74" i="1"/>
  <c r="CW97" i="1"/>
  <c r="CZ97" i="1" s="1"/>
  <c r="BX106" i="1"/>
  <c r="BQ106" i="1"/>
  <c r="BQ109" i="1"/>
  <c r="AC28" i="1"/>
  <c r="AC30" i="1" s="1"/>
  <c r="T25" i="1"/>
  <c r="DA51" i="1"/>
  <c r="CT53" i="1"/>
  <c r="CM53" i="1"/>
  <c r="BO27" i="1"/>
  <c r="AD28" i="1"/>
  <c r="AD30" i="1" s="1"/>
  <c r="BQ38" i="1"/>
  <c r="BQ39" i="1"/>
  <c r="CX46" i="1"/>
  <c r="DA46" i="1" s="1"/>
  <c r="S28" i="1"/>
  <c r="BZ39" i="1"/>
  <c r="CY39" i="1" s="1"/>
  <c r="BZ52" i="1"/>
  <c r="BZ100" i="1"/>
  <c r="BL14" i="1"/>
  <c r="AH28" i="1"/>
  <c r="CG28" i="1"/>
  <c r="CL25" i="1"/>
  <c r="T34" i="1"/>
  <c r="BZ40" i="1"/>
  <c r="AO59" i="1"/>
  <c r="CX64" i="1"/>
  <c r="DA64" i="1" s="1"/>
  <c r="CM66" i="1"/>
  <c r="BQ69" i="1"/>
  <c r="BZ77" i="1"/>
  <c r="CM85" i="1"/>
  <c r="CT85" i="1"/>
  <c r="CV85" i="1" s="1"/>
  <c r="CV92" i="1"/>
  <c r="CW94" i="1"/>
  <c r="AQ97" i="1"/>
  <c r="BZ104" i="1"/>
  <c r="AM34" i="1"/>
  <c r="CK10" i="1"/>
  <c r="AL11" i="1"/>
  <c r="AN38" i="1"/>
  <c r="AQ38" i="1" s="1"/>
  <c r="CX52" i="1"/>
  <c r="DA52" i="1" s="1"/>
  <c r="CX54" i="1"/>
  <c r="DA54" i="1" s="1"/>
  <c r="CT65" i="1"/>
  <c r="CV65" i="1" s="1"/>
  <c r="CM65" i="1"/>
  <c r="CT67" i="1"/>
  <c r="CV67" i="1" s="1"/>
  <c r="CM67" i="1"/>
  <c r="CT77" i="1"/>
  <c r="CV77" i="1" s="1"/>
  <c r="CM77" i="1"/>
  <c r="CT79" i="1"/>
  <c r="CV79" i="1" s="1"/>
  <c r="CM79" i="1"/>
  <c r="AO100" i="1"/>
  <c r="AN100" i="1"/>
  <c r="AQ100" i="1" s="1"/>
  <c r="BZ105" i="1"/>
  <c r="CW105" i="1"/>
  <c r="CZ105" i="1" s="1"/>
  <c r="BY117" i="1"/>
  <c r="CX117" i="1" s="1"/>
  <c r="DA117" i="1" s="1"/>
  <c r="BQ117" i="1"/>
  <c r="BP26" i="1"/>
  <c r="T13" i="1"/>
  <c r="BB27" i="1"/>
  <c r="T27" i="1"/>
  <c r="AM11" i="1"/>
  <c r="AN44" i="1"/>
  <c r="AQ44" i="1" s="1"/>
  <c r="BD46" i="1"/>
  <c r="BQ54" i="1"/>
  <c r="BZ57" i="1"/>
  <c r="BQ62" i="1"/>
  <c r="CV63" i="1"/>
  <c r="CX96" i="1"/>
  <c r="DA96" i="1" s="1"/>
  <c r="DA106" i="1"/>
  <c r="DA111" i="1"/>
  <c r="CT117" i="1"/>
  <c r="CV117" i="1" s="1"/>
  <c r="CM117" i="1"/>
  <c r="CX118" i="1"/>
  <c r="DA118" i="1" s="1"/>
  <c r="AO38" i="1"/>
  <c r="CV38" i="1"/>
  <c r="AN43" i="1"/>
  <c r="AQ43" i="1" s="1"/>
  <c r="BX47" i="1"/>
  <c r="BX50" i="1"/>
  <c r="AO52" i="1"/>
  <c r="BZ54" i="1"/>
  <c r="CY54" i="1" s="1"/>
  <c r="CX57" i="1"/>
  <c r="DA57" i="1" s="1"/>
  <c r="BZ62" i="1"/>
  <c r="BX88" i="1"/>
  <c r="BQ88" i="1"/>
  <c r="AQ96" i="1"/>
  <c r="AN98" i="1"/>
  <c r="AQ98" i="1" s="1"/>
  <c r="AO98" i="1"/>
  <c r="CM98" i="1"/>
  <c r="CX102" i="1"/>
  <c r="DA102" i="1" s="1"/>
  <c r="AQ105" i="1"/>
  <c r="AN114" i="1"/>
  <c r="AQ114" i="1" s="1"/>
  <c r="AO114" i="1"/>
  <c r="CV55" i="1"/>
  <c r="BD58" i="1"/>
  <c r="CT62" i="1"/>
  <c r="CM62" i="1"/>
  <c r="AO65" i="1"/>
  <c r="AN65" i="1"/>
  <c r="AQ65" i="1" s="1"/>
  <c r="CX70" i="1"/>
  <c r="BZ70" i="1"/>
  <c r="CW76" i="1"/>
  <c r="AO77" i="1"/>
  <c r="AN77" i="1"/>
  <c r="AQ77" i="1" s="1"/>
  <c r="CX82" i="1"/>
  <c r="DA82" i="1" s="1"/>
  <c r="BZ82" i="1"/>
  <c r="DA92" i="1"/>
  <c r="DA98" i="1"/>
  <c r="BZ119" i="1"/>
  <c r="CX55" i="1"/>
  <c r="DA55" i="1" s="1"/>
  <c r="DA63" i="1"/>
  <c r="DA75" i="1"/>
  <c r="CW82" i="1"/>
  <c r="CZ82" i="1" s="1"/>
  <c r="CT112" i="1"/>
  <c r="CV112" i="1" s="1"/>
  <c r="CY112" i="1" s="1"/>
  <c r="CM112" i="1"/>
  <c r="CT115" i="1"/>
  <c r="CV115" i="1" s="1"/>
  <c r="CM115" i="1"/>
  <c r="AQ67" i="1"/>
  <c r="CX67" i="1"/>
  <c r="DA67" i="1" s="1"/>
  <c r="BD75" i="1"/>
  <c r="CX76" i="1"/>
  <c r="DA76" i="1" s="1"/>
  <c r="AQ79" i="1"/>
  <c r="CX79" i="1"/>
  <c r="DA79" i="1" s="1"/>
  <c r="CM93" i="1"/>
  <c r="CT93" i="1"/>
  <c r="CV93" i="1" s="1"/>
  <c r="AN95" i="1"/>
  <c r="AQ95" i="1" s="1"/>
  <c r="CT101" i="1"/>
  <c r="CV101" i="1" s="1"/>
  <c r="CM101" i="1"/>
  <c r="CX113" i="1"/>
  <c r="DA113" i="1" s="1"/>
  <c r="BX114" i="1"/>
  <c r="BQ114" i="1"/>
  <c r="AO120" i="1"/>
  <c r="AN120" i="1"/>
  <c r="AQ120" i="1" s="1"/>
  <c r="CL13" i="1"/>
  <c r="CX94" i="1"/>
  <c r="DA94" i="1" s="1"/>
  <c r="CM99" i="1"/>
  <c r="CT99" i="1"/>
  <c r="AN101" i="1"/>
  <c r="AQ101" i="1" s="1"/>
  <c r="AO101" i="1"/>
  <c r="AO103" i="1"/>
  <c r="AN103" i="1"/>
  <c r="AQ103" i="1" s="1"/>
  <c r="BX110" i="1"/>
  <c r="BQ110" i="1"/>
  <c r="CT113" i="1"/>
  <c r="CV113" i="1" s="1"/>
  <c r="CM113" i="1"/>
  <c r="CL27" i="1"/>
  <c r="AQ60" i="1"/>
  <c r="BX66" i="1"/>
  <c r="BQ66" i="1"/>
  <c r="CX69" i="1"/>
  <c r="DA69" i="1" s="1"/>
  <c r="AQ72" i="1"/>
  <c r="BX78" i="1"/>
  <c r="BQ78" i="1"/>
  <c r="CX81" i="1"/>
  <c r="DA81" i="1" s="1"/>
  <c r="CT88" i="1"/>
  <c r="CV88" i="1" s="1"/>
  <c r="CM88" i="1"/>
  <c r="CM90" i="1"/>
  <c r="CT90" i="1"/>
  <c r="CV90" i="1" s="1"/>
  <c r="BZ92" i="1"/>
  <c r="CW92" i="1"/>
  <c r="CZ92" i="1" s="1"/>
  <c r="BQ94" i="1"/>
  <c r="CW96" i="1"/>
  <c r="CZ96" i="1" s="1"/>
  <c r="CW100" i="1"/>
  <c r="CT118" i="1"/>
  <c r="CV118" i="1" s="1"/>
  <c r="CM118" i="1"/>
  <c r="BB13" i="1"/>
  <c r="CM38" i="1"/>
  <c r="CT56" i="1"/>
  <c r="CV56" i="1" s="1"/>
  <c r="CY56" i="1" s="1"/>
  <c r="CM56" i="1"/>
  <c r="CT68" i="1"/>
  <c r="CV68" i="1" s="1"/>
  <c r="CM68" i="1"/>
  <c r="CT80" i="1"/>
  <c r="CV80" i="1" s="1"/>
  <c r="CM80" i="1"/>
  <c r="AQ93" i="1"/>
  <c r="CX93" i="1"/>
  <c r="DA93" i="1" s="1"/>
  <c r="BX108" i="1"/>
  <c r="BQ108" i="1"/>
  <c r="CW117" i="1"/>
  <c r="CZ117" i="1" s="1"/>
  <c r="DA120" i="1"/>
  <c r="DA39" i="1"/>
  <c r="AQ41" i="1"/>
  <c r="DB41" i="1" s="1"/>
  <c r="CW46" i="1"/>
  <c r="CZ46" i="1" s="1"/>
  <c r="AQ74" i="1"/>
  <c r="AQ86" i="1"/>
  <c r="CX99" i="1"/>
  <c r="DA99" i="1" s="1"/>
  <c r="BY107" i="1"/>
  <c r="CX107" i="1" s="1"/>
  <c r="DA107" i="1" s="1"/>
  <c r="BQ107" i="1"/>
  <c r="DA119" i="1"/>
  <c r="CX61" i="1"/>
  <c r="DA61" i="1" s="1"/>
  <c r="DA66" i="1"/>
  <c r="BD67" i="1"/>
  <c r="CX73" i="1"/>
  <c r="DA73" i="1" s="1"/>
  <c r="DA78" i="1"/>
  <c r="BD79" i="1"/>
  <c r="CX85" i="1"/>
  <c r="DA85" i="1" s="1"/>
  <c r="DA103" i="1"/>
  <c r="AN111" i="1"/>
  <c r="AQ111" i="1" s="1"/>
  <c r="AO111" i="1"/>
  <c r="BX115" i="1"/>
  <c r="BQ115" i="1"/>
  <c r="CT119" i="1"/>
  <c r="CV119" i="1" s="1"/>
  <c r="CM119" i="1"/>
  <c r="CX87" i="1"/>
  <c r="DA87" i="1" s="1"/>
  <c r="CX105" i="1"/>
  <c r="DA105" i="1" s="1"/>
  <c r="DA110" i="1"/>
  <c r="CW89" i="1"/>
  <c r="CZ89" i="1" s="1"/>
  <c r="AQ90" i="1"/>
  <c r="DA100" i="1"/>
  <c r="AQ108" i="1"/>
  <c r="AN110" i="1"/>
  <c r="AQ110" i="1" s="1"/>
  <c r="AO116" i="1"/>
  <c r="CZ116" i="1" s="1"/>
  <c r="AN116" i="1"/>
  <c r="AQ116" i="1" s="1"/>
  <c r="CM87" i="1"/>
  <c r="AN89" i="1"/>
  <c r="AQ89" i="1" s="1"/>
  <c r="CX90" i="1"/>
  <c r="CT102" i="1"/>
  <c r="AO104" i="1"/>
  <c r="CM105" i="1"/>
  <c r="AN107" i="1"/>
  <c r="AQ107" i="1" s="1"/>
  <c r="CX108" i="1"/>
  <c r="DA108" i="1" s="1"/>
  <c r="AN109" i="1"/>
  <c r="AQ109" i="1" s="1"/>
  <c r="BD112" i="1"/>
  <c r="CX115" i="1"/>
  <c r="DA115" i="1" s="1"/>
  <c r="CX112" i="1"/>
  <c r="DA112" i="1" s="1"/>
  <c r="AN117" i="1"/>
  <c r="AQ117" i="1" s="1"/>
  <c r="CL28" i="1" l="1"/>
  <c r="BP14" i="1"/>
  <c r="AM28" i="1"/>
  <c r="BI30" i="1"/>
  <c r="AM14" i="1"/>
  <c r="DB69" i="1"/>
  <c r="CY85" i="1"/>
  <c r="CZ87" i="1"/>
  <c r="CY83" i="1"/>
  <c r="CW52" i="1"/>
  <c r="CV52" i="1"/>
  <c r="BW30" i="1"/>
  <c r="BE30" i="1"/>
  <c r="CN30" i="1"/>
  <c r="BM30" i="1"/>
  <c r="Y30" i="1"/>
  <c r="T28" i="1"/>
  <c r="CW64" i="1"/>
  <c r="CY105" i="1"/>
  <c r="DB105" i="1" s="1"/>
  <c r="BL30" i="1"/>
  <c r="CY61" i="1"/>
  <c r="CW56" i="1"/>
  <c r="CZ56" i="1" s="1"/>
  <c r="CG30" i="1"/>
  <c r="DB84" i="1"/>
  <c r="CY80" i="1"/>
  <c r="BP28" i="1"/>
  <c r="BP30" i="1"/>
  <c r="DB85" i="1"/>
  <c r="Z30" i="1"/>
  <c r="DA86" i="1"/>
  <c r="AE30" i="1"/>
  <c r="DB98" i="1"/>
  <c r="AH30" i="1"/>
  <c r="AT30" i="1"/>
  <c r="CY73" i="1"/>
  <c r="DB73" i="1" s="1"/>
  <c r="CV104" i="1"/>
  <c r="CY104" i="1" s="1"/>
  <c r="DB104" i="1" s="1"/>
  <c r="CO30" i="1"/>
  <c r="BA30" i="1"/>
  <c r="CH30" i="1"/>
  <c r="DB112" i="1"/>
  <c r="CY82" i="1"/>
  <c r="DB82" i="1" s="1"/>
  <c r="AZ30" i="1"/>
  <c r="CC30" i="1"/>
  <c r="CS30" i="1"/>
  <c r="AL14" i="1"/>
  <c r="DB109" i="1"/>
  <c r="BN30" i="1"/>
  <c r="AW30" i="1"/>
  <c r="CW75" i="1"/>
  <c r="CZ75" i="1" s="1"/>
  <c r="CY93" i="1"/>
  <c r="AF30" i="1"/>
  <c r="AR30" i="1"/>
  <c r="AS30" i="1"/>
  <c r="BB28" i="1"/>
  <c r="BF30" i="1"/>
  <c r="DB93" i="1"/>
  <c r="CY52" i="1"/>
  <c r="DB52" i="1" s="1"/>
  <c r="DB80" i="1"/>
  <c r="R30" i="1"/>
  <c r="BQ25" i="1"/>
  <c r="CW107" i="1"/>
  <c r="CZ107" i="1" s="1"/>
  <c r="CW61" i="1"/>
  <c r="CZ61" i="1" s="1"/>
  <c r="BD34" i="1"/>
  <c r="S30" i="1"/>
  <c r="CW83" i="1"/>
  <c r="CZ83" i="1" s="1"/>
  <c r="CW113" i="1"/>
  <c r="CZ113" i="1" s="1"/>
  <c r="CV40" i="1"/>
  <c r="BK30" i="1"/>
  <c r="BS30" i="1"/>
  <c r="CZ104" i="1"/>
  <c r="BD27" i="1"/>
  <c r="DB39" i="1"/>
  <c r="CL14" i="1"/>
  <c r="CL30" i="1" s="1"/>
  <c r="AP11" i="1"/>
  <c r="AV30" i="1"/>
  <c r="CW95" i="1"/>
  <c r="CZ95" i="1" s="1"/>
  <c r="DB75" i="1"/>
  <c r="CW93" i="1"/>
  <c r="CM25" i="1"/>
  <c r="CY43" i="1"/>
  <c r="DB43" i="1" s="1"/>
  <c r="DB76" i="1"/>
  <c r="BO14" i="1"/>
  <c r="BZ72" i="1"/>
  <c r="CY72" i="1" s="1"/>
  <c r="DB72" i="1" s="1"/>
  <c r="CW72" i="1"/>
  <c r="CZ72" i="1" s="1"/>
  <c r="CW55" i="1"/>
  <c r="CZ55" i="1" s="1"/>
  <c r="BZ55" i="1"/>
  <c r="CY55" i="1" s="1"/>
  <c r="DB55" i="1" s="1"/>
  <c r="BQ13" i="1"/>
  <c r="CU26" i="1"/>
  <c r="BZ95" i="1"/>
  <c r="CY95" i="1" s="1"/>
  <c r="BX25" i="1"/>
  <c r="CW41" i="1"/>
  <c r="CZ41" i="1" s="1"/>
  <c r="CT34" i="1"/>
  <c r="CY40" i="1"/>
  <c r="BO28" i="1"/>
  <c r="CX25" i="1"/>
  <c r="CP30" i="1"/>
  <c r="BC28" i="1"/>
  <c r="DB116" i="1"/>
  <c r="AM30" i="1"/>
  <c r="BB14" i="1"/>
  <c r="BB30" i="1" s="1"/>
  <c r="BH30" i="1"/>
  <c r="CW91" i="1"/>
  <c r="CZ91" i="1" s="1"/>
  <c r="BZ91" i="1"/>
  <c r="CY91" i="1" s="1"/>
  <c r="AO27" i="1"/>
  <c r="BD13" i="1"/>
  <c r="CW70" i="1"/>
  <c r="CZ70" i="1" s="1"/>
  <c r="CK14" i="1"/>
  <c r="CK30" i="1" s="1"/>
  <c r="CW84" i="1"/>
  <c r="CZ84" i="1" s="1"/>
  <c r="CW69" i="1"/>
  <c r="CZ69" i="1" s="1"/>
  <c r="CW79" i="1"/>
  <c r="CZ79" i="1" s="1"/>
  <c r="CZ40" i="1"/>
  <c r="DB96" i="1"/>
  <c r="CW43" i="1"/>
  <c r="CZ43" i="1" s="1"/>
  <c r="DB87" i="1"/>
  <c r="CZ98" i="1"/>
  <c r="CZ52" i="1"/>
  <c r="CJ30" i="1"/>
  <c r="CV120" i="1"/>
  <c r="CY120" i="1" s="1"/>
  <c r="DB120" i="1" s="1"/>
  <c r="T14" i="1"/>
  <c r="CI30" i="1"/>
  <c r="DB83" i="1"/>
  <c r="AB30" i="1"/>
  <c r="CY64" i="1"/>
  <c r="DB64" i="1" s="1"/>
  <c r="DB58" i="1"/>
  <c r="DA40" i="1"/>
  <c r="AQ25" i="1"/>
  <c r="CW47" i="1"/>
  <c r="CZ47" i="1" s="1"/>
  <c r="BZ47" i="1"/>
  <c r="CY47" i="1" s="1"/>
  <c r="DB47" i="1" s="1"/>
  <c r="CT25" i="1"/>
  <c r="CV53" i="1"/>
  <c r="CX26" i="1"/>
  <c r="DB61" i="1"/>
  <c r="BX10" i="1"/>
  <c r="BX34" i="1"/>
  <c r="CW53" i="1"/>
  <c r="CZ53" i="1" s="1"/>
  <c r="AO13" i="1"/>
  <c r="BZ78" i="1"/>
  <c r="CY78" i="1" s="1"/>
  <c r="DB78" i="1" s="1"/>
  <c r="CW78" i="1"/>
  <c r="CZ78" i="1" s="1"/>
  <c r="CW119" i="1"/>
  <c r="CZ119" i="1" s="1"/>
  <c r="BQ11" i="1"/>
  <c r="DB74" i="1"/>
  <c r="DB46" i="1"/>
  <c r="BX24" i="1"/>
  <c r="CZ94" i="1"/>
  <c r="CU27" i="1"/>
  <c r="CT11" i="1"/>
  <c r="CM34" i="1"/>
  <c r="CM10" i="1"/>
  <c r="CW74" i="1"/>
  <c r="CZ74" i="1" s="1"/>
  <c r="DB56" i="1"/>
  <c r="CX24" i="1"/>
  <c r="DA24" i="1"/>
  <c r="BZ103" i="1"/>
  <c r="CW103" i="1"/>
  <c r="CZ103" i="1" s="1"/>
  <c r="AA30" i="1"/>
  <c r="CY71" i="1"/>
  <c r="DB71" i="1" s="1"/>
  <c r="AP13" i="1"/>
  <c r="CV99" i="1"/>
  <c r="CY99" i="1" s="1"/>
  <c r="DB99" i="1" s="1"/>
  <c r="CW99" i="1"/>
  <c r="CZ99" i="1" s="1"/>
  <c r="BD26" i="1"/>
  <c r="BZ114" i="1"/>
  <c r="CY114" i="1" s="1"/>
  <c r="DB114" i="1" s="1"/>
  <c r="CW114" i="1"/>
  <c r="CZ114" i="1" s="1"/>
  <c r="CW58" i="1"/>
  <c r="CZ58" i="1" s="1"/>
  <c r="CY119" i="1"/>
  <c r="DB119" i="1" s="1"/>
  <c r="CW62" i="1"/>
  <c r="CZ62" i="1" s="1"/>
  <c r="CV62" i="1"/>
  <c r="CU34" i="1"/>
  <c r="BZ88" i="1"/>
  <c r="CY88" i="1" s="1"/>
  <c r="DB88" i="1" s="1"/>
  <c r="CW88" i="1"/>
  <c r="CZ88" i="1" s="1"/>
  <c r="AP34" i="1"/>
  <c r="AP10" i="1"/>
  <c r="CY113" i="1"/>
  <c r="DB113" i="1" s="1"/>
  <c r="CV60" i="1"/>
  <c r="CY60" i="1" s="1"/>
  <c r="DB60" i="1" s="1"/>
  <c r="CW60" i="1"/>
  <c r="CZ60" i="1" s="1"/>
  <c r="BQ10" i="1"/>
  <c r="BQ34" i="1"/>
  <c r="CY65" i="1"/>
  <c r="DB65" i="1" s="1"/>
  <c r="CW86" i="1"/>
  <c r="CZ86" i="1" s="1"/>
  <c r="CW71" i="1"/>
  <c r="CZ71" i="1" s="1"/>
  <c r="AN12" i="1"/>
  <c r="BQ26" i="1"/>
  <c r="AO11" i="1"/>
  <c r="BZ111" i="1"/>
  <c r="CY111" i="1" s="1"/>
  <c r="DB111" i="1" s="1"/>
  <c r="CW111" i="1"/>
  <c r="CZ111" i="1" s="1"/>
  <c r="AO25" i="1"/>
  <c r="CW39" i="1"/>
  <c r="CZ39" i="1" s="1"/>
  <c r="DB94" i="1"/>
  <c r="AO24" i="1"/>
  <c r="AN10" i="1"/>
  <c r="AN34" i="1"/>
  <c r="CY86" i="1"/>
  <c r="AQ24" i="1"/>
  <c r="BY34" i="1"/>
  <c r="CT13" i="1"/>
  <c r="BX26" i="1"/>
  <c r="CY118" i="1"/>
  <c r="DB118" i="1" s="1"/>
  <c r="DA13" i="1"/>
  <c r="BY13" i="1"/>
  <c r="CY68" i="1"/>
  <c r="DB68" i="1" s="1"/>
  <c r="CW48" i="1"/>
  <c r="CZ48" i="1" s="1"/>
  <c r="BZ48" i="1"/>
  <c r="CY48" i="1" s="1"/>
  <c r="DB48" i="1" s="1"/>
  <c r="CY79" i="1"/>
  <c r="DB79" i="1" s="1"/>
  <c r="AL28" i="1"/>
  <c r="CY67" i="1"/>
  <c r="DB67" i="1" s="1"/>
  <c r="AO10" i="1"/>
  <c r="AO34" i="1"/>
  <c r="AN24" i="1"/>
  <c r="CX42" i="1"/>
  <c r="DA42" i="1" s="1"/>
  <c r="CV42" i="1"/>
  <c r="CY42" i="1" s="1"/>
  <c r="DB42" i="1" s="1"/>
  <c r="CW44" i="1"/>
  <c r="CZ44" i="1" s="1"/>
  <c r="BZ44" i="1"/>
  <c r="CY44" i="1" s="1"/>
  <c r="DB44" i="1" s="1"/>
  <c r="AO12" i="1"/>
  <c r="CT27" i="1"/>
  <c r="AQ26" i="1"/>
  <c r="BY11" i="1"/>
  <c r="AN13" i="1"/>
  <c r="BZ107" i="1"/>
  <c r="CY107" i="1" s="1"/>
  <c r="DB107" i="1" s="1"/>
  <c r="CY92" i="1"/>
  <c r="DB92" i="1" s="1"/>
  <c r="CZ100" i="1"/>
  <c r="AQ11" i="1"/>
  <c r="DA53" i="1"/>
  <c r="DA25" i="1" s="1"/>
  <c r="AP25" i="1"/>
  <c r="BQ27" i="1"/>
  <c r="BZ117" i="1"/>
  <c r="CY117" i="1" s="1"/>
  <c r="DB117" i="1" s="1"/>
  <c r="CM11" i="1"/>
  <c r="CW101" i="1"/>
  <c r="CZ101" i="1" s="1"/>
  <c r="CY70" i="1"/>
  <c r="DB70" i="1" s="1"/>
  <c r="DA26" i="1"/>
  <c r="AN11" i="1"/>
  <c r="CT10" i="1"/>
  <c r="CY77" i="1"/>
  <c r="DB77" i="1" s="1"/>
  <c r="BZ106" i="1"/>
  <c r="CY106" i="1" s="1"/>
  <c r="DB106" i="1" s="1"/>
  <c r="CW106" i="1"/>
  <c r="CZ106" i="1" s="1"/>
  <c r="CZ76" i="1"/>
  <c r="DB91" i="1"/>
  <c r="DB40" i="1"/>
  <c r="BJ30" i="1"/>
  <c r="BD25" i="1"/>
  <c r="BZ51" i="1"/>
  <c r="CY51" i="1" s="1"/>
  <c r="DB51" i="1" s="1"/>
  <c r="CW51" i="1"/>
  <c r="CZ51" i="1" s="1"/>
  <c r="BY27" i="1"/>
  <c r="AQ27" i="1"/>
  <c r="BZ63" i="1"/>
  <c r="CY63" i="1" s="1"/>
  <c r="DB63" i="1" s="1"/>
  <c r="CW63" i="1"/>
  <c r="CZ63" i="1" s="1"/>
  <c r="CW73" i="1"/>
  <c r="CZ73" i="1" s="1"/>
  <c r="CW80" i="1"/>
  <c r="CZ80" i="1" s="1"/>
  <c r="BX13" i="1"/>
  <c r="BX27" i="1"/>
  <c r="BZ115" i="1"/>
  <c r="CY115" i="1" s="1"/>
  <c r="DB115" i="1" s="1"/>
  <c r="CW115" i="1"/>
  <c r="CZ115" i="1" s="1"/>
  <c r="CM13" i="1"/>
  <c r="BZ66" i="1"/>
  <c r="CY66" i="1" s="1"/>
  <c r="DB66" i="1" s="1"/>
  <c r="CW66" i="1"/>
  <c r="CZ66" i="1" s="1"/>
  <c r="CY100" i="1"/>
  <c r="DB100" i="1" s="1"/>
  <c r="CU12" i="1"/>
  <c r="CZ93" i="1"/>
  <c r="DB45" i="1"/>
  <c r="CW102" i="1"/>
  <c r="CZ102" i="1" s="1"/>
  <c r="CV102" i="1"/>
  <c r="CY102" i="1" s="1"/>
  <c r="DB102" i="1" s="1"/>
  <c r="CM12" i="1"/>
  <c r="DB95" i="1"/>
  <c r="CY101" i="1"/>
  <c r="DB101" i="1" s="1"/>
  <c r="CU11" i="1"/>
  <c r="CW57" i="1"/>
  <c r="CZ57" i="1" s="1"/>
  <c r="BZ97" i="1"/>
  <c r="CY97" i="1" s="1"/>
  <c r="BY26" i="1"/>
  <c r="BY28" i="1" s="1"/>
  <c r="CM24" i="1"/>
  <c r="CX10" i="1"/>
  <c r="DA12" i="1"/>
  <c r="BY12" i="1"/>
  <c r="DA90" i="1"/>
  <c r="CW65" i="1"/>
  <c r="CZ65" i="1" s="1"/>
  <c r="BC14" i="1"/>
  <c r="BQ12" i="1"/>
  <c r="AP12" i="1"/>
  <c r="DB54" i="1"/>
  <c r="BG30" i="1"/>
  <c r="CW77" i="1"/>
  <c r="CZ77" i="1" s="1"/>
  <c r="CW118" i="1"/>
  <c r="CZ118" i="1" s="1"/>
  <c r="CM27" i="1"/>
  <c r="CY62" i="1"/>
  <c r="DB62" i="1" s="1"/>
  <c r="BZ81" i="1"/>
  <c r="CY81" i="1" s="1"/>
  <c r="DB81" i="1" s="1"/>
  <c r="CW81" i="1"/>
  <c r="CZ81" i="1" s="1"/>
  <c r="DB86" i="1"/>
  <c r="BZ108" i="1"/>
  <c r="CY108" i="1" s="1"/>
  <c r="DB108" i="1" s="1"/>
  <c r="CW108" i="1"/>
  <c r="CZ108" i="1" s="1"/>
  <c r="CM26" i="1"/>
  <c r="CT12" i="1"/>
  <c r="AN27" i="1"/>
  <c r="CW112" i="1"/>
  <c r="CZ112" i="1" s="1"/>
  <c r="CY57" i="1"/>
  <c r="DB57" i="1" s="1"/>
  <c r="AN25" i="1"/>
  <c r="AN26" i="1"/>
  <c r="CT24" i="1"/>
  <c r="BZ90" i="1"/>
  <c r="CY90" i="1" s="1"/>
  <c r="DB90" i="1" s="1"/>
  <c r="CW90" i="1"/>
  <c r="CZ90" i="1" s="1"/>
  <c r="BD11" i="1"/>
  <c r="CY49" i="1"/>
  <c r="DB49" i="1" s="1"/>
  <c r="BX12" i="1"/>
  <c r="BR30" i="1"/>
  <c r="AU30" i="1"/>
  <c r="CZ120" i="1"/>
  <c r="CW67" i="1"/>
  <c r="CZ67" i="1" s="1"/>
  <c r="CZ64" i="1"/>
  <c r="BZ89" i="1"/>
  <c r="CY89" i="1" s="1"/>
  <c r="DB89" i="1" s="1"/>
  <c r="CW85" i="1"/>
  <c r="CZ85" i="1" s="1"/>
  <c r="CT26" i="1"/>
  <c r="CW110" i="1"/>
  <c r="CZ110" i="1" s="1"/>
  <c r="BZ110" i="1"/>
  <c r="CY110" i="1" s="1"/>
  <c r="DB110" i="1" s="1"/>
  <c r="CU13" i="1"/>
  <c r="CW68" i="1"/>
  <c r="CZ68" i="1" s="1"/>
  <c r="AP27" i="1"/>
  <c r="BZ50" i="1"/>
  <c r="CY50" i="1" s="1"/>
  <c r="CW50" i="1"/>
  <c r="CZ50" i="1" s="1"/>
  <c r="DB97" i="1"/>
  <c r="DB50" i="1"/>
  <c r="CW38" i="1"/>
  <c r="CZ38" i="1" s="1"/>
  <c r="BZ38" i="1"/>
  <c r="BX11" i="1"/>
  <c r="AO26" i="1"/>
  <c r="CV59" i="1"/>
  <c r="CY59" i="1" s="1"/>
  <c r="DB59" i="1" s="1"/>
  <c r="CW59" i="1"/>
  <c r="CZ59" i="1" s="1"/>
  <c r="DA70" i="1"/>
  <c r="CW49" i="1"/>
  <c r="CZ49" i="1" s="1"/>
  <c r="AP26" i="1"/>
  <c r="CZ45" i="1"/>
  <c r="CY103" i="1" l="1"/>
  <c r="DB103" i="1" s="1"/>
  <c r="AL30" i="1"/>
  <c r="BQ28" i="1"/>
  <c r="T30" i="1"/>
  <c r="BZ25" i="1"/>
  <c r="DA11" i="1"/>
  <c r="CU28" i="1"/>
  <c r="BD14" i="1"/>
  <c r="CV11" i="1"/>
  <c r="CV25" i="1"/>
  <c r="BO30" i="1"/>
  <c r="CX13" i="1"/>
  <c r="CM28" i="1"/>
  <c r="BQ14" i="1"/>
  <c r="CW26" i="1"/>
  <c r="AP28" i="1"/>
  <c r="BC30" i="1"/>
  <c r="CU14" i="1"/>
  <c r="CU30" i="1" s="1"/>
  <c r="CT14" i="1"/>
  <c r="DB26" i="1"/>
  <c r="BZ26" i="1"/>
  <c r="CW11" i="1"/>
  <c r="CT28" i="1"/>
  <c r="CX34" i="1"/>
  <c r="CZ10" i="1"/>
  <c r="CX11" i="1"/>
  <c r="BZ11" i="1"/>
  <c r="CY38" i="1"/>
  <c r="AQ28" i="1"/>
  <c r="CZ25" i="1"/>
  <c r="CV24" i="1"/>
  <c r="AN28" i="1"/>
  <c r="AQ12" i="1"/>
  <c r="CW25" i="1"/>
  <c r="CY26" i="1"/>
  <c r="AO14" i="1"/>
  <c r="CZ13" i="1"/>
  <c r="CV13" i="1"/>
  <c r="BQ30" i="1"/>
  <c r="CW27" i="1"/>
  <c r="CW10" i="1"/>
  <c r="CW34" i="1"/>
  <c r="BZ12" i="1"/>
  <c r="CZ11" i="1"/>
  <c r="CV26" i="1"/>
  <c r="AQ13" i="1"/>
  <c r="CW13" i="1"/>
  <c r="CX27" i="1"/>
  <c r="CX28" i="1" s="1"/>
  <c r="DA27" i="1"/>
  <c r="DA28" i="1" s="1"/>
  <c r="CM14" i="1"/>
  <c r="AN14" i="1"/>
  <c r="AP14" i="1"/>
  <c r="BZ13" i="1"/>
  <c r="BZ24" i="1"/>
  <c r="BX14" i="1"/>
  <c r="BZ27" i="1"/>
  <c r="CX12" i="1"/>
  <c r="AQ34" i="1"/>
  <c r="AQ10" i="1"/>
  <c r="CV12" i="1"/>
  <c r="CY12" i="1"/>
  <c r="AO28" i="1"/>
  <c r="DA10" i="1"/>
  <c r="CY13" i="1"/>
  <c r="DB13" i="1"/>
  <c r="CW24" i="1"/>
  <c r="CZ24" i="1"/>
  <c r="BZ10" i="1"/>
  <c r="BZ34" i="1"/>
  <c r="CW12" i="1"/>
  <c r="CV27" i="1"/>
  <c r="BY14" i="1"/>
  <c r="BY30" i="1" s="1"/>
  <c r="BX28" i="1"/>
  <c r="CZ27" i="1"/>
  <c r="BD28" i="1"/>
  <c r="BD30" i="1" s="1"/>
  <c r="CZ26" i="1"/>
  <c r="CY53" i="1"/>
  <c r="CV34" i="1"/>
  <c r="CV10" i="1"/>
  <c r="CZ12" i="1"/>
  <c r="CX14" i="1" l="1"/>
  <c r="DA14" i="1"/>
  <c r="CM30" i="1"/>
  <c r="AO30" i="1"/>
  <c r="CX30" i="1"/>
  <c r="CT30" i="1"/>
  <c r="DA34" i="1"/>
  <c r="AP30" i="1"/>
  <c r="DB10" i="1"/>
  <c r="DB27" i="1"/>
  <c r="CY27" i="1"/>
  <c r="CZ14" i="1"/>
  <c r="CZ34" i="1"/>
  <c r="DA30" i="1"/>
  <c r="BX30" i="1"/>
  <c r="BZ28" i="1"/>
  <c r="CY24" i="1"/>
  <c r="DB24" i="1"/>
  <c r="CV28" i="1"/>
  <c r="AQ14" i="1"/>
  <c r="AQ30" i="1" s="1"/>
  <c r="CY25" i="1"/>
  <c r="DB53" i="1"/>
  <c r="DB25" i="1" s="1"/>
  <c r="BZ14" i="1"/>
  <c r="BZ30" i="1" s="1"/>
  <c r="CV14" i="1"/>
  <c r="CY34" i="1"/>
  <c r="CY10" i="1"/>
  <c r="AN30" i="1"/>
  <c r="CZ28" i="1"/>
  <c r="DB12" i="1"/>
  <c r="CW14" i="1"/>
  <c r="CW28" i="1"/>
  <c r="CY11" i="1"/>
  <c r="DB38" i="1"/>
  <c r="DB11" i="1" s="1"/>
  <c r="CY14" i="1" l="1"/>
  <c r="CZ30" i="1"/>
  <c r="DB28" i="1"/>
  <c r="CY28" i="1"/>
  <c r="CY30" i="1" s="1"/>
  <c r="CW30" i="1"/>
  <c r="CV30" i="1"/>
  <c r="DB14" i="1"/>
  <c r="DB30" i="1" s="1"/>
  <c r="DB34" i="1"/>
</calcChain>
</file>

<file path=xl/sharedStrings.xml><?xml version="1.0" encoding="utf-8"?>
<sst xmlns="http://schemas.openxmlformats.org/spreadsheetml/2006/main" count="1585" uniqueCount="350">
  <si>
    <t>Public</t>
  </si>
  <si>
    <t>Davao City</t>
  </si>
  <si>
    <t>Davao De Oro</t>
  </si>
  <si>
    <t>Davao del Norte</t>
  </si>
  <si>
    <t>Davao del Sur</t>
  </si>
  <si>
    <t>Davao Occidental</t>
  </si>
  <si>
    <t>Davao Oriental</t>
  </si>
  <si>
    <t>Digos City</t>
  </si>
  <si>
    <t>Island Garden City of Samal</t>
  </si>
  <si>
    <t>Mati City</t>
  </si>
  <si>
    <t>Panabo City</t>
  </si>
  <si>
    <t>Tagum City</t>
  </si>
  <si>
    <t>Private</t>
  </si>
  <si>
    <t>School Level Data on Official Enrollment in All Grade Level</t>
  </si>
  <si>
    <t xml:space="preserve">SY 2022-2023 </t>
  </si>
  <si>
    <t>Based on LIS, as of January 10, 2023</t>
  </si>
  <si>
    <t>Kindergarten</t>
  </si>
  <si>
    <t>Total Kindergarten</t>
  </si>
  <si>
    <t>Grade 1</t>
  </si>
  <si>
    <t>Grade 2</t>
  </si>
  <si>
    <t>Grade 3</t>
  </si>
  <si>
    <t>Grade 4</t>
  </si>
  <si>
    <t>Grade 5</t>
  </si>
  <si>
    <t>Grade 6</t>
  </si>
  <si>
    <t>Non-Graded ES</t>
  </si>
  <si>
    <t>Grade 1 to 6 with LWD</t>
  </si>
  <si>
    <t>Kinder, Grade 1 to 6 with LWD</t>
  </si>
  <si>
    <t>Grade 7</t>
  </si>
  <si>
    <t>Grade 8</t>
  </si>
  <si>
    <t>Grade 9</t>
  </si>
  <si>
    <t>Grade 10</t>
  </si>
  <si>
    <t>Non-Graded JHS</t>
  </si>
  <si>
    <t>Grade 7 to 10 with LWD</t>
  </si>
  <si>
    <t>Grade 11 ABM</t>
  </si>
  <si>
    <t>Grade 11 HUMSS</t>
  </si>
  <si>
    <t>Grade 11 STEM</t>
  </si>
  <si>
    <t>Grade 11 GAS</t>
  </si>
  <si>
    <t>Grade 11 PBM</t>
  </si>
  <si>
    <t>Grade 11 ACADEMIC Track</t>
  </si>
  <si>
    <t>Grade 11 TVL</t>
  </si>
  <si>
    <t>Grade 11 SPORTs</t>
  </si>
  <si>
    <t>Grade 11 ARTs &amp; DESIGN</t>
  </si>
  <si>
    <t>Grade 11 Enrollment</t>
  </si>
  <si>
    <t>Grade 12 ABM</t>
  </si>
  <si>
    <t>Grade 12 HUMSS</t>
  </si>
  <si>
    <t>Grade 12 STEM</t>
  </si>
  <si>
    <t>Grade 12 GAS</t>
  </si>
  <si>
    <t>Grade 12 PBM</t>
  </si>
  <si>
    <t>Grade 12 ACADEMIC Track</t>
  </si>
  <si>
    <t>Grade 12 TVL</t>
  </si>
  <si>
    <t>Grade 12 SPORTs</t>
  </si>
  <si>
    <t>Grade 12 ARTs &amp; DESIGN</t>
  </si>
  <si>
    <t>Grade 12 Enrollment</t>
  </si>
  <si>
    <t>Grade 11 &amp; 12 Enrollment</t>
  </si>
  <si>
    <t>K to 12 Total Enrollment</t>
  </si>
  <si>
    <t>Male</t>
  </si>
  <si>
    <t>Female</t>
  </si>
  <si>
    <t>Total</t>
  </si>
  <si>
    <t>Region</t>
  </si>
  <si>
    <t>Division</t>
  </si>
  <si>
    <t>District</t>
  </si>
  <si>
    <t>BEIS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</si>
  <si>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</si>
  <si>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</si>
  <si>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</si>
  <si>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</si>
  <si>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</si>
  <si>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</si>
  <si>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</si>
  <si>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</si>
  <si>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</si>
  <si>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</si>
  <si>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Curricular Offering Classification</t>
  </si>
  <si>
    <t>Implementing Unit</t>
  </si>
  <si>
    <t>Modified Curricular Offering Classification</t>
  </si>
  <si>
    <t>K Male</t>
  </si>
  <si>
    <t>K Female</t>
  </si>
  <si>
    <t>Ktotal</t>
  </si>
  <si>
    <t>G1 Male</t>
  </si>
  <si>
    <t>G1 Female</t>
  </si>
  <si>
    <t>G2 Male</t>
  </si>
  <si>
    <t>G2 Female</t>
  </si>
  <si>
    <t>G3 Male</t>
  </si>
  <si>
    <t>G3 Female</t>
  </si>
  <si>
    <t>G4 Male</t>
  </si>
  <si>
    <t>G4 Female</t>
  </si>
  <si>
    <t>G5 Male</t>
  </si>
  <si>
    <t>G5 Female</t>
  </si>
  <si>
    <t>G6 Male</t>
  </si>
  <si>
    <t>G6 Female</t>
  </si>
  <si>
    <t>Elem NG Male</t>
  </si>
  <si>
    <t>Elem NG Female</t>
  </si>
  <si>
    <t>G7 Male</t>
  </si>
  <si>
    <t>G7 Female</t>
  </si>
  <si>
    <t>G8 Male</t>
  </si>
  <si>
    <t>G8 Female</t>
  </si>
  <si>
    <t>G9 Male</t>
  </si>
  <si>
    <t>G9 Female</t>
  </si>
  <si>
    <t>G10 Male</t>
  </si>
  <si>
    <t>G10 Female</t>
  </si>
  <si>
    <t>JHS NG Male</t>
  </si>
  <si>
    <t>JHS NG Female</t>
  </si>
  <si>
    <t>G11 ACAD - ABM Male</t>
  </si>
  <si>
    <t>G11 ACAD - ABM Female</t>
  </si>
  <si>
    <t>G11 ACAD - HUMSS Male</t>
  </si>
  <si>
    <t>G11 ACAD - HUMSS Female</t>
  </si>
  <si>
    <t>G11 ACAD STEM Male</t>
  </si>
  <si>
    <t>G11 ACAD STEM Female</t>
  </si>
  <si>
    <t>G11 ACAD GAS Male</t>
  </si>
  <si>
    <t>G11 ACAD GAS Female</t>
  </si>
  <si>
    <t>G11 ACAD PBM Male</t>
  </si>
  <si>
    <t>G11 ACAD PBM Female</t>
  </si>
  <si>
    <t>G11 TVL Male</t>
  </si>
  <si>
    <t>G11 TVL Female</t>
  </si>
  <si>
    <t>G11 SPORTS Male</t>
  </si>
  <si>
    <t>G11 SPORTS Female</t>
  </si>
  <si>
    <t>G11 ARTS Male</t>
  </si>
  <si>
    <t>G11 ARTS Female</t>
  </si>
  <si>
    <t>G12 ACAD - ABM Male</t>
  </si>
  <si>
    <t>G12 ACAD - ABM Female</t>
  </si>
  <si>
    <t>G12 ACAD - HUMSS Male</t>
  </si>
  <si>
    <t>G12 ACAD - HUMSS Female</t>
  </si>
  <si>
    <t>G12 ACAD STEM Male</t>
  </si>
  <si>
    <t>G12 ACAD STEM Female</t>
  </si>
  <si>
    <t>G12 ACAD GAS Male</t>
  </si>
  <si>
    <t>G12 ACAD GAS Female</t>
  </si>
  <si>
    <t>G12 ACAD PBM Male</t>
  </si>
  <si>
    <t>G12 ACAD PBM Female</t>
  </si>
  <si>
    <t>G12 TVL Male</t>
  </si>
  <si>
    <t>G12 TVL Female</t>
  </si>
  <si>
    <t>G12 SPORTS Male</t>
  </si>
  <si>
    <t>G12 SPORTS Female</t>
  </si>
  <si>
    <t>G12 ARTS Male</t>
  </si>
  <si>
    <t>G12 ARTS Female</t>
  </si>
  <si>
    <t>Region XI</t>
  </si>
  <si>
    <t>Mati Central</t>
  </si>
  <si>
    <t>Badas ES</t>
  </si>
  <si>
    <t>Badas</t>
  </si>
  <si>
    <t>DAVAO ORIENTAL</t>
  </si>
  <si>
    <t>CITY OF MATI (Capital)</t>
  </si>
  <si>
    <t>2nd District</t>
  </si>
  <si>
    <t>BADAS</t>
  </si>
  <si>
    <t>DepED Managed</t>
  </si>
  <si>
    <t>School with no Annexes</t>
  </si>
  <si>
    <t>Kinder &amp; Grade 1-6</t>
  </si>
  <si>
    <t>No</t>
  </si>
  <si>
    <t>Purely ES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</si>
  <si>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</si>
  <si>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</si>
  <si>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</si>
  <si>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</si>
  <si>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</si>
  <si>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</si>
  <si>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</si>
  <si>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</si>
  <si>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</si>
  <si>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</si>
  <si>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</si>
  <si>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</si>
  <si>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</si>
  <si>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</si>
  <si>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</si>
  <si>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</si>
  <si>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</si>
  <si>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</si>
  <si>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</si>
  <si>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</si>
  <si>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</si>
  <si>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</si>
  <si>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</si>
  <si>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</si>
  <si>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</si>
  <si>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Grade 7-10 &amp; Grade 11-12</t>
  </si>
  <si>
    <t>JHS with SHS</t>
  </si>
  <si>
    <t>Mati SAT</t>
  </si>
  <si>
    <t>Garcia Avenue</t>
  </si>
  <si>
    <t>Yes</t>
  </si>
  <si>
    <t>Badas NHS</t>
  </si>
  <si>
    <t>Camansi</t>
  </si>
  <si>
    <t>Immaculate Heart of Mary Academy</t>
  </si>
  <si>
    <t>Quezon Street</t>
  </si>
  <si>
    <t xml:space="preserve">Sectarian </t>
  </si>
  <si>
    <t>Kinder, Grade 1-6, Grade 7-10 &amp; Grade 11-12</t>
  </si>
  <si>
    <t>All Offering (K to 12)</t>
  </si>
  <si>
    <t>Mati Polytechnic College</t>
  </si>
  <si>
    <t>Christian Life School of Davao Oriental, Inc.</t>
  </si>
  <si>
    <t>Sto. Niño  Street</t>
  </si>
  <si>
    <t>Kinder, Grade 1-6, Grade 7-10</t>
  </si>
  <si>
    <t>ES and JHS 
(K to 10)</t>
  </si>
  <si>
    <t>Don Bosco Training Center-Mati, Inc.</t>
  </si>
  <si>
    <t>Don Bosco Compound, Brgy. Dahican, Mati City, Davao Oriental</t>
  </si>
  <si>
    <t>DAHICAN</t>
  </si>
  <si>
    <t xml:space="preserve">Non-Sectarian </t>
  </si>
  <si>
    <t>Grade 11-12</t>
  </si>
  <si>
    <t>Purely SHS</t>
  </si>
  <si>
    <t>Christian Academy in Davao Oriental Technological Colleges, Inc.</t>
  </si>
  <si>
    <t>Kamagong Street</t>
  </si>
  <si>
    <t>Mother school</t>
  </si>
  <si>
    <t>Kinder, Grade 1-6  &amp; Grade 11-12</t>
  </si>
  <si>
    <t>Career Centre Academie and Technological Institute, Inc.</t>
  </si>
  <si>
    <t>BGR Phase II</t>
  </si>
  <si>
    <t>1st District</t>
  </si>
  <si>
    <t>Sunbeam Christian School of Mati, Inc.</t>
  </si>
  <si>
    <t>Mapantad, Sainz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</si>
  <si>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</si>
  <si>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</si>
  <si>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</si>
  <si>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</si>
  <si>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</si>
  <si>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</si>
  <si>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</si>
  <si>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</si>
  <si>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</si>
  <si>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</si>
  <si>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</si>
  <si>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</si>
  <si>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</si>
  <si>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</si>
  <si>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</si>
  <si>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</si>
  <si>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</si>
  <si>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</si>
  <si>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</si>
  <si>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</si>
  <si>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</si>
  <si>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</si>
  <si>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</si>
  <si>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</si>
  <si>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</si>
  <si>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</si>
  <si>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</si>
  <si>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</si>
  <si>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</si>
  <si>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</si>
  <si>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</si>
  <si>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</si>
  <si>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</si>
  <si>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</si>
  <si>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</si>
  <si>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</si>
  <si>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</si>
  <si>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</si>
  <si>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</si>
  <si>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</si>
  <si>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</si>
  <si>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</si>
  <si>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</si>
  <si>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</si>
  <si>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</si>
  <si>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</si>
  <si>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</si>
  <si>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</si>
  <si>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</si>
  <si>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</si>
  <si>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</si>
  <si>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</si>
  <si>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</si>
  <si>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</si>
  <si>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</si>
  <si>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</si>
  <si>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</si>
  <si>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</si>
  <si>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</si>
  <si>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</si>
  <si>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</si>
  <si>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</si>
  <si>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</si>
  <si>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</si>
  <si>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</si>
  <si>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</si>
  <si>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</si>
  <si>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</si>
  <si>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</si>
  <si>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</si>
  <si>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</si>
  <si>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</si>
  <si>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</si>
  <si>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</si>
  <si>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</si>
  <si>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</si>
  <si>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</si>
  <si>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</si>
  <si>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</si>
  <si>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</si>
  <si>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</si>
  <si>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</si>
  <si>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</si>
  <si>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</si>
  <si>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</si>
  <si>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Grade 7-10</t>
  </si>
  <si>
    <t>Purely JHS</t>
  </si>
  <si>
    <t>Lawigan National High School</t>
  </si>
  <si>
    <t>Batiano, Lawigan</t>
  </si>
  <si>
    <t>Mayo NHS</t>
  </si>
  <si>
    <t>Purok II</t>
  </si>
  <si>
    <t>Mati Doctors Academy, Inc.</t>
  </si>
  <si>
    <t>National Highway, Dahican</t>
  </si>
  <si>
    <t>Kinder, Grade 1-6, Grade 7-10 &amp; Grade 11-12 attached to Tertiary</t>
  </si>
  <si>
    <t>Agape Partners Academy of Mati, Inc.</t>
  </si>
  <si>
    <t>Blk 13 Phase 7 New Mati Estate Subd.</t>
  </si>
  <si>
    <t>Davao Oriental State University (Formerly DOSCST)</t>
  </si>
  <si>
    <t>Guang-guang</t>
  </si>
  <si>
    <t>Kinder</t>
  </si>
  <si>
    <t>Colegio San Agustin-Mati, Inc.</t>
  </si>
  <si>
    <t>San Agustin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</si>
  <si>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</si>
  <si>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</si>
  <si>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</si>
  <si>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</si>
  <si>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</si>
  <si>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</si>
  <si>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</si>
  <si>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</si>
  <si>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</si>
  <si>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</si>
  <si>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</si>
  <si>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</si>
  <si>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</si>
  <si>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</si>
  <si>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</si>
  <si>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</si>
  <si>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</si>
  <si>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</si>
  <si>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</si>
  <si>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</si>
  <si>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</si>
  <si>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</si>
  <si>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</si>
  <si>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</si>
  <si>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</si>
  <si>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</si>
  <si>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</si>
  <si>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</si>
  <si>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</si>
  <si>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</si>
  <si>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</si>
  <si>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</si>
  <si>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</si>
  <si>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</si>
  <si>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</si>
  <si>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</si>
  <si>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</si>
  <si>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</si>
  <si>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</si>
  <si>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</si>
  <si>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</si>
  <si>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</si>
  <si>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</si>
  <si>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Sanghay National High School</t>
  </si>
  <si>
    <t>Brgy. Sanghay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</si>
</sst>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theme="0"/>
      <name val="Calibri"/>
      <family val="2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  <xf numFmtId="3" fontId="3" fillId="0" borderId="0" xfId="0" applyNumberFormat="1" applyFont="1"/>
    <xf numFmtId="0" fontId="3" fillId="0" borderId="0" xfId="0" applyFont="1"/>
    <xf numFmtId="0" fontId="4" fillId="0" borderId="0" xfId="0" applyFont="1"/>
    <xf numFmtId="164" fontId="1" fillId="2" borderId="1" xfId="0" applyNumberFormat="1" applyFont="1" applyFill="1" applyBorder="1" applyAlignment="1">
      <alignment vertical="center"/>
    </xf>
    <xf numFmtId="164" fontId="1" fillId="2" borderId="2" xfId="0" applyNumberFormat="1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vertical="center"/>
    </xf>
    <xf numFmtId="164" fontId="1" fillId="2" borderId="4" xfId="0" applyNumberFormat="1" applyFont="1" applyFill="1" applyBorder="1" applyAlignment="1">
      <alignment vertical="center"/>
    </xf>
    <xf numFmtId="164" fontId="1" fillId="3" borderId="4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164" fontId="1" fillId="3" borderId="2" xfId="0" applyNumberFormat="1" applyFont="1" applyFill="1" applyBorder="1" applyAlignment="1">
      <alignment vertical="center"/>
    </xf>
    <xf numFmtId="164" fontId="1" fillId="3" borderId="3" xfId="0" applyNumberFormat="1" applyFont="1" applyFill="1" applyBorder="1" applyAlignment="1">
      <alignment vertical="center"/>
    </xf>
    <xf numFmtId="164" fontId="1" fillId="4" borderId="4" xfId="0" applyNumberFormat="1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vertical="center"/>
    </xf>
    <xf numFmtId="164" fontId="1" fillId="4" borderId="2" xfId="0" applyNumberFormat="1" applyFont="1" applyFill="1" applyBorder="1" applyAlignment="1">
      <alignment vertical="center"/>
    </xf>
    <xf numFmtId="164" fontId="1" fillId="4" borderId="3" xfId="0" applyNumberFormat="1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1" fillId="2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164" fontId="1" fillId="4" borderId="3" xfId="0" applyNumberFormat="1" applyFont="1" applyFill="1" applyBorder="1" applyAlignment="1">
      <alignment horizontal="center" vertical="center"/>
    </xf>
    <xf numFmtId="164" fontId="1" fillId="4" borderId="4" xfId="0" applyNumberFormat="1" applyFont="1" applyFill="1" applyBorder="1" applyAlignment="1">
      <alignment horizontal="center" vertical="center"/>
    </xf>
    <xf numFmtId="164" fontId="1" fillId="3" borderId="4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depedph-my.sharepoint.com/personal/shellalu_delacerna_deped_gov_ph/Documents/PPRD%20Files/LIS_BEIS/Data%20Management/From%20CO-Regional%20DataSet_bySY/SY%202022-2023%20LIS%20&amp;%20BEIS%20DATA/LIS%20DATABASE%20SY%202022-2023/_SY%202022-2023%20School%20Level%20Data%20on%20Official%20Enrollment%20REGION%20XI.xlsx" TargetMode="External"/><Relationship Id="rId2" Type="http://schemas.microsoft.com/office/2019/04/relationships/externalLinkLongPath" Target="/personal/shellalu_delacerna_deped_gov_ph/Documents/PPRD%20Files/LIS_BEIS/Data%20Management/From%20CO-Regional%20DataSet_bySY/SY%202022-2023%20LIS%20&amp;%20BEIS%20DATA/LIS%20DATABASE%20SY%202022-2023/_SY%202022-2023%20School%20Level%20Data%20on%20Official%20Enrollment%20REGION%20XI.xlsx?AFEC61FD" TargetMode="External"/><Relationship Id="rId1" Type="http://schemas.openxmlformats.org/officeDocument/2006/relationships/externalLinkPath" Target="file:///\\AFEC61FD\_SY%202022-2023%20School%20Level%20Data%20on%20Official%20Enrollment%20REGION%20X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Data"/>
      <sheetName val="DATABASE"/>
      <sheetName val="Summary"/>
      <sheetName val="Summary_Mun"/>
      <sheetName val="Schools"/>
      <sheetName val="Districts"/>
    </sheetNames>
    <sheetDataSet>
      <sheetData sheetId="0">
        <row r="3">
          <cell r="A3" t="str">
            <v>ES</v>
          </cell>
        </row>
        <row r="16">
          <cell r="B16" t="str">
            <v>Kindergarten</v>
          </cell>
          <cell r="D16" t="str">
            <v>ES_K</v>
          </cell>
        </row>
        <row r="17">
          <cell r="B17" t="str">
            <v>Total Kindergarten</v>
          </cell>
        </row>
        <row r="18">
          <cell r="B18" t="str">
            <v>Grade 1</v>
          </cell>
          <cell r="D18" t="str">
            <v>ES_G1</v>
          </cell>
        </row>
        <row r="19">
          <cell r="B19" t="str">
            <v>Grade 2</v>
          </cell>
          <cell r="D19" t="str">
            <v>ES_G2</v>
          </cell>
        </row>
        <row r="20">
          <cell r="B20" t="str">
            <v>Grade 3</v>
          </cell>
          <cell r="D20" t="str">
            <v>ES_G3</v>
          </cell>
        </row>
        <row r="21">
          <cell r="B21" t="str">
            <v>Grade 4</v>
          </cell>
          <cell r="D21" t="str">
            <v>ES_G4</v>
          </cell>
        </row>
        <row r="22">
          <cell r="B22" t="str">
            <v>Grade 5</v>
          </cell>
          <cell r="D22" t="str">
            <v>ES_G5</v>
          </cell>
        </row>
        <row r="23">
          <cell r="B23" t="str">
            <v>Grade 6</v>
          </cell>
          <cell r="D23" t="str">
            <v>ES_G6</v>
          </cell>
        </row>
        <row r="24">
          <cell r="B24" t="str">
            <v>Non-Graded ES</v>
          </cell>
          <cell r="D24" t="str">
            <v>ES_NG_ES</v>
          </cell>
        </row>
        <row r="25">
          <cell r="B25" t="str">
            <v>Grade 1 to 6 with LWD</v>
          </cell>
        </row>
        <row r="26">
          <cell r="B26" t="str">
            <v>Kinder, Grade 1 to 6 with LWD</v>
          </cell>
        </row>
        <row r="27">
          <cell r="B27" t="str">
            <v>Grade 7</v>
          </cell>
          <cell r="D27" t="str">
            <v>JHS_G7</v>
          </cell>
        </row>
        <row r="28">
          <cell r="B28" t="str">
            <v>Grade 8</v>
          </cell>
          <cell r="D28" t="str">
            <v>JHS_G8</v>
          </cell>
        </row>
        <row r="29">
          <cell r="B29" t="str">
            <v>Grade 9</v>
          </cell>
          <cell r="D29" t="str">
            <v>JHS_G9</v>
          </cell>
        </row>
        <row r="30">
          <cell r="B30" t="str">
            <v>Grade 10</v>
          </cell>
          <cell r="D30" t="str">
            <v>JHS_G10</v>
          </cell>
        </row>
        <row r="31">
          <cell r="B31" t="str">
            <v>Non-Graded JHS</v>
          </cell>
          <cell r="D31" t="str">
            <v>JHS_NG_JHS</v>
          </cell>
        </row>
        <row r="32">
          <cell r="B32" t="str">
            <v>Grade 7 to 10 with LWD</v>
          </cell>
        </row>
        <row r="33">
          <cell r="B33" t="str">
            <v>Grade 11 ABM</v>
          </cell>
          <cell r="D33" t="str">
            <v>ABM_11</v>
          </cell>
        </row>
        <row r="34">
          <cell r="B34" t="str">
            <v>Grade 11 HUMSS</v>
          </cell>
          <cell r="D34" t="str">
            <v>HUMSS_11</v>
          </cell>
        </row>
        <row r="35">
          <cell r="B35" t="str">
            <v>Grade 11 STEM</v>
          </cell>
          <cell r="D35" t="str">
            <v>STEM_11</v>
          </cell>
        </row>
        <row r="36">
          <cell r="B36" t="str">
            <v>Grade 11 GAS</v>
          </cell>
          <cell r="D36" t="str">
            <v>GAS_11</v>
          </cell>
        </row>
        <row r="37">
          <cell r="B37" t="str">
            <v>Grade 11 PBM</v>
          </cell>
          <cell r="D37" t="str">
            <v>PBM_11</v>
          </cell>
        </row>
        <row r="38">
          <cell r="B38" t="str">
            <v>Grade 11 ACADEMIC Track</v>
          </cell>
          <cell r="D38" t="str">
            <v>Track_11</v>
          </cell>
        </row>
        <row r="39">
          <cell r="B39" t="str">
            <v>Grade 11 TVL</v>
          </cell>
          <cell r="D39" t="str">
            <v>TVL_11</v>
          </cell>
        </row>
        <row r="40">
          <cell r="B40" t="str">
            <v>Grade 11 SPORTs</v>
          </cell>
          <cell r="D40" t="str">
            <v>SPORTs_11</v>
          </cell>
        </row>
        <row r="41">
          <cell r="B41" t="str">
            <v>Grade 11 ARTs &amp; DESIGN</v>
          </cell>
          <cell r="D41" t="str">
            <v>DESIGN_11</v>
          </cell>
        </row>
        <row r="42">
          <cell r="B42" t="str">
            <v>Grade 11 Enrollment</v>
          </cell>
          <cell r="D42" t="str">
            <v>Enrollment_11</v>
          </cell>
        </row>
        <row r="43">
          <cell r="B43" t="str">
            <v>Grade 12 ABM</v>
          </cell>
          <cell r="D43" t="str">
            <v>ABM_12</v>
          </cell>
        </row>
        <row r="44">
          <cell r="B44" t="str">
            <v>Grade 12 HUMSS</v>
          </cell>
          <cell r="D44" t="str">
            <v>HUMSS_12</v>
          </cell>
        </row>
        <row r="45">
          <cell r="B45" t="str">
            <v>Grade 12 STEM</v>
          </cell>
          <cell r="D45" t="str">
            <v>STEM_12</v>
          </cell>
        </row>
        <row r="46">
          <cell r="B46" t="str">
            <v>Grade 12 GAS</v>
          </cell>
          <cell r="D46" t="str">
            <v>GAS_12</v>
          </cell>
        </row>
        <row r="47">
          <cell r="B47" t="str">
            <v>Grade 12 PBM</v>
          </cell>
          <cell r="D47" t="str">
            <v>PBM_12</v>
          </cell>
        </row>
        <row r="48">
          <cell r="B48" t="str">
            <v>Grade 12 ACADEMIC Track</v>
          </cell>
          <cell r="D48" t="str">
            <v>Track_12</v>
          </cell>
        </row>
        <row r="49">
          <cell r="B49" t="str">
            <v>Grade 12 TVL</v>
          </cell>
          <cell r="D49" t="str">
            <v>TVL_12</v>
          </cell>
        </row>
        <row r="50">
          <cell r="B50" t="str">
            <v>Grade 12 SPORTs</v>
          </cell>
          <cell r="D50" t="str">
            <v>SPORTs_12</v>
          </cell>
        </row>
        <row r="51">
          <cell r="B51" t="str">
            <v>Grade 12 ARTs &amp; DESIGN</v>
          </cell>
          <cell r="D51" t="str">
            <v>DESIGN_12</v>
          </cell>
        </row>
        <row r="52">
          <cell r="B52" t="str">
            <v>Grade 12 Enrollment</v>
          </cell>
          <cell r="D52" t="str">
            <v>Enrollment_12</v>
          </cell>
        </row>
        <row r="53">
          <cell r="B53" t="str">
            <v>Grade 11 &amp; 12 Enrollment</v>
          </cell>
        </row>
        <row r="54">
          <cell r="B54" t="str">
            <v>K to 12 Total Enrollment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D6384-999E-40F9-A5BC-72E04B4BFFEF}">
  <sheetPr filterMode="1">
    <tabColor rgb="FFFF0000"/>
  </sheetPr>
  <dimension ref="A1:DB120"/>
  <sheetViews>
    <sheetView tabSelected="1" topLeftCell="A30" workbookViewId="0">
      <pane xSplit="17" ySplit="8" topLeftCell="AI95" activePane="bottomRight" state="frozen"/>
      <selection pane="bottomRight" activeCell="AI117" sqref="AI117:AI119"/>
      <selection pane="bottomLeft" activeCell="A38" sqref="A38"/>
      <selection pane="topRight" activeCell="R30" sqref="R30"/>
    </sheetView>
  </sheetViews>
  <sheetFormatPr defaultRowHeight="15"/>
  <cols>
    <col min="1" max="1" width="11.42578125" customWidth="1"/>
    <col min="2" max="2" width="29" customWidth="1"/>
    <col min="3" max="3" width="9.5703125" hidden="1" customWidth="1"/>
    <col min="4" max="4" width="8.7109375" customWidth="1"/>
    <col min="5" max="5" width="32" style="2" customWidth="1"/>
    <col min="6" max="8" width="9.140625" hidden="1" customWidth="1"/>
    <col min="9" max="9" width="9.140625" customWidth="1"/>
    <col min="10" max="11" width="9.140625" hidden="1" customWidth="1"/>
    <col min="12" max="12" width="10" customWidth="1"/>
    <col min="13" max="16" width="9.140625" hidden="1" customWidth="1"/>
    <col min="17" max="17" width="30.42578125" hidden="1" customWidth="1"/>
    <col min="18" max="43" width="11.5703125" customWidth="1"/>
    <col min="44" max="97" width="9.7109375" customWidth="1"/>
    <col min="98" max="106" width="11.140625" customWidth="1"/>
    <col min="107" max="107" width="9.140625" customWidth="1"/>
  </cols>
  <sheetData>
    <row r="1" spans="5:106">
      <c r="E1" s="1" t="s">
        <v>0</v>
      </c>
    </row>
    <row r="2" spans="5:106">
      <c r="E2" s="1"/>
    </row>
    <row r="3" spans="5:106">
      <c r="E3" s="2" t="s">
        <v>1</v>
      </c>
      <c r="R3" s="3">
        <f>SUMIFS(R$38:R$120,$B$38:$B$120,$E3,$L$38:$L$120,$E$1)</f>
        <v>0</v>
      </c>
      <c r="S3" s="3">
        <f>SUMIFS(S$38:S$120,$B$38:$B$120,$E3,$L$38:$L$120,$E$1)</f>
        <v>0</v>
      </c>
      <c r="T3" s="3">
        <f>SUMIFS(T$38:T$120,$B$38:$B$120,$E3,$L$38:$L$120,$E$1)</f>
        <v>0</v>
      </c>
      <c r="U3" s="3">
        <f>SUMIFS(U$38:U$120,$B$38:$B$120,$E3,$L$38:$L$120,$E$1)</f>
        <v>0</v>
      </c>
      <c r="V3" s="3">
        <f>SUMIFS(V$38:V$120,$B$38:$B$120,$E3,$L$38:$L$120,$E$1)</f>
        <v>0</v>
      </c>
      <c r="W3" s="3">
        <f>SUMIFS(W$38:W$120,$B$38:$B$120,$E3,$L$38:$L$120,$E$1)</f>
        <v>0</v>
      </c>
      <c r="X3" s="3">
        <f>SUMIFS(X$38:X$120,$B$38:$B$120,$E3,$L$38:$L$120,$E$1)</f>
        <v>0</v>
      </c>
      <c r="Y3" s="3">
        <f>SUMIFS(Y$38:Y$120,$B$38:$B$120,$E3,$L$38:$L$120,$E$1)</f>
        <v>0</v>
      </c>
      <c r="Z3" s="3">
        <f>SUMIFS(Z$38:Z$120,$B$38:$B$120,$E3,$L$38:$L$120,$E$1)</f>
        <v>0</v>
      </c>
      <c r="AA3" s="3">
        <f>SUMIFS(AA$38:AA$120,$B$38:$B$120,$E3,$L$38:$L$120,$E$1)</f>
        <v>0</v>
      </c>
      <c r="AB3" s="3">
        <f>SUMIFS(AB$38:AB$120,$B$38:$B$120,$E3,$L$38:$L$120,$E$1)</f>
        <v>0</v>
      </c>
      <c r="AC3" s="3">
        <f>SUMIFS(AC$38:AC$120,$B$38:$B$120,$E3,$L$38:$L$120,$E$1)</f>
        <v>0</v>
      </c>
      <c r="AD3" s="3">
        <f>SUMIFS(AD$38:AD$120,$B$38:$B$120,$E3,$L$38:$L$120,$E$1)</f>
        <v>0</v>
      </c>
      <c r="AE3" s="3">
        <f>SUMIFS(AE$38:AE$120,$B$38:$B$120,$E3,$L$38:$L$120,$E$1)</f>
        <v>0</v>
      </c>
      <c r="AF3" s="3">
        <f>SUMIFS(AF$38:AF$120,$B$38:$B$120,$E3,$L$38:$L$120,$E$1)</f>
        <v>0</v>
      </c>
      <c r="AG3" s="3">
        <f>SUMIFS(AG$38:AG$120,$B$38:$B$120,$E3,$L$38:$L$120,$E$1)</f>
        <v>0</v>
      </c>
      <c r="AH3" s="3">
        <f>SUMIFS(AH$38:AH$120,$B$38:$B$120,$E3,$L$38:$L$120,$E$1)</f>
        <v>0</v>
      </c>
      <c r="AI3" s="3"/>
      <c r="AJ3" s="3"/>
      <c r="AK3" s="3"/>
      <c r="AL3" s="3">
        <f>SUMIFS(AL$38:AL$120,$B$38:$B$120,$E3,$L$38:$L$120,$E$1)</f>
        <v>0</v>
      </c>
      <c r="AM3" s="3">
        <f>SUMIFS(AM$38:AM$120,$B$38:$B$120,$E3,$L$38:$L$120,$E$1)</f>
        <v>0</v>
      </c>
      <c r="AN3" s="3">
        <f>SUMIFS(AN$38:AN$120,$B$38:$B$120,$E3,$L$38:$L$120,$E$1)</f>
        <v>0</v>
      </c>
      <c r="AO3" s="3">
        <f>SUMIFS(AO$38:AO$120,$B$38:$B$120,$E3,$L$38:$L$120,$E$1)</f>
        <v>0</v>
      </c>
      <c r="AP3" s="3">
        <f>SUMIFS(AP$38:AP$120,$B$38:$B$120,$E3,$L$38:$L$120,$E$1)</f>
        <v>0</v>
      </c>
      <c r="AQ3" s="3">
        <f>SUMIFS(AQ$38:AQ$120,$B$38:$B$120,$E3,$L$38:$L$120,$E$1)</f>
        <v>0</v>
      </c>
      <c r="AR3" s="3">
        <f>SUMIFS(AR$38:AR$120,$B$38:$B$120,$E3,$L$38:$L$120,$E$1)</f>
        <v>0</v>
      </c>
      <c r="AS3" s="3">
        <f>SUMIFS(AS$38:AS$120,$B$38:$B$120,$E3,$L$38:$L$120,$E$1)</f>
        <v>0</v>
      </c>
      <c r="AT3" s="3">
        <f>SUMIFS(AT$38:AT$120,$B$38:$B$120,$E3,$L$38:$L$120,$E$1)</f>
        <v>0</v>
      </c>
      <c r="AU3" s="3">
        <f>SUMIFS(AU$38:AU$120,$B$38:$B$120,$E3,$L$38:$L$120,$E$1)</f>
        <v>0</v>
      </c>
      <c r="AV3" s="3">
        <f>SUMIFS(AV$38:AV$120,$B$38:$B$120,$E3,$L$38:$L$120,$E$1)</f>
        <v>0</v>
      </c>
      <c r="AW3" s="3">
        <f>SUMIFS(AW$38:AW$120,$B$38:$B$120,$E3,$L$38:$L$120,$E$1)</f>
        <v>0</v>
      </c>
      <c r="AX3" s="3">
        <f>SUMIFS(AX$38:AX$120,$B$38:$B$120,$E3,$L$38:$L$120,$E$1)</f>
        <v>0</v>
      </c>
      <c r="AY3" s="3">
        <f>SUMIFS(AY$38:AY$120,$B$38:$B$120,$E3,$L$38:$L$120,$E$1)</f>
        <v>0</v>
      </c>
      <c r="AZ3" s="3">
        <f>SUMIFS(AZ$38:AZ$120,$B$38:$B$120,$E3,$L$38:$L$120,$E$1)</f>
        <v>0</v>
      </c>
      <c r="BA3" s="3">
        <f>SUMIFS(BA$38:BA$120,$B$38:$B$120,$E3,$L$38:$L$120,$E$1)</f>
        <v>0</v>
      </c>
      <c r="BB3" s="3">
        <f>SUMIFS(BB$38:BB$120,$B$38:$B$120,$E3,$L$38:$L$120,$E$1)</f>
        <v>0</v>
      </c>
      <c r="BC3" s="3">
        <f>SUMIFS(BC$38:BC$120,$B$38:$B$120,$E3,$L$38:$L$120,$E$1)</f>
        <v>0</v>
      </c>
      <c r="BD3" s="3">
        <f>SUMIFS(BD$38:BD$120,$B$38:$B$120,$E3,$L$38:$L$120,$E$1)</f>
        <v>0</v>
      </c>
      <c r="BE3" s="3">
        <f>SUMIFS(BE$38:BE$120,$B$38:$B$120,$E3,$L$38:$L$120,$E$1)</f>
        <v>0</v>
      </c>
      <c r="BF3" s="3">
        <f>SUMIFS(BF$38:BF$120,$B$38:$B$120,$E3,$L$38:$L$120,$E$1)</f>
        <v>0</v>
      </c>
      <c r="BG3" s="3">
        <f>SUMIFS(BG$38:BG$120,$B$38:$B$120,$E3,$L$38:$L$120,$E$1)</f>
        <v>0</v>
      </c>
      <c r="BH3" s="3">
        <f>SUMIFS(BH$38:BH$120,$B$38:$B$120,$E3,$L$38:$L$120,$E$1)</f>
        <v>0</v>
      </c>
      <c r="BI3" s="3">
        <f>SUMIFS(BI$38:BI$120,$B$38:$B$120,$E3,$L$38:$L$120,$E$1)</f>
        <v>0</v>
      </c>
      <c r="BJ3" s="3">
        <f>SUMIFS(BJ$38:BJ$120,$B$38:$B$120,$E3,$L$38:$L$120,$E$1)</f>
        <v>0</v>
      </c>
      <c r="BK3" s="3">
        <f>SUMIFS(BK$38:BK$120,$B$38:$B$120,$E3,$L$38:$L$120,$E$1)</f>
        <v>0</v>
      </c>
      <c r="BL3" s="3">
        <f>SUMIFS(BL$38:BL$120,$B$38:$B$120,$E3,$L$38:$L$120,$E$1)</f>
        <v>0</v>
      </c>
      <c r="BM3" s="3">
        <f>SUMIFS(BM$38:BM$120,$B$38:$B$120,$E3,$L$38:$L$120,$E$1)</f>
        <v>0</v>
      </c>
      <c r="BN3" s="3">
        <f>SUMIFS(BN$38:BN$120,$B$38:$B$120,$E3,$L$38:$L$120,$E$1)</f>
        <v>0</v>
      </c>
      <c r="BO3" s="3">
        <f>SUMIFS(BO$38:BO$120,$B$38:$B$120,$E3,$L$38:$L$120,$E$1)</f>
        <v>0</v>
      </c>
      <c r="BP3" s="3">
        <f>SUMIFS(BP$38:BP$120,$B$38:$B$120,$E3,$L$38:$L$120,$E$1)</f>
        <v>0</v>
      </c>
      <c r="BQ3" s="3">
        <f>SUMIFS(BQ$38:BQ$120,$B$38:$B$120,$E3,$L$38:$L$120,$E$1)</f>
        <v>0</v>
      </c>
      <c r="BR3" s="3">
        <f>SUMIFS(BR$38:BR$120,$B$38:$B$120,$E3,$L$38:$L$120,$E$1)</f>
        <v>0</v>
      </c>
      <c r="BS3" s="3">
        <f>SUMIFS(BS$38:BS$120,$B$38:$B$120,$E3,$L$38:$L$120,$E$1)</f>
        <v>0</v>
      </c>
      <c r="BT3" s="3">
        <f>SUMIFS(BT$38:BT$120,$B$38:$B$120,$E3,$L$38:$L$120,$E$1)</f>
        <v>0</v>
      </c>
      <c r="BU3" s="3">
        <f>SUMIFS(BU$38:BU$120,$B$38:$B$120,$E3,$L$38:$L$120,$E$1)</f>
        <v>0</v>
      </c>
      <c r="BV3" s="3">
        <f>SUMIFS(BV$38:BV$120,$B$38:$B$120,$E3,$L$38:$L$120,$E$1)</f>
        <v>0</v>
      </c>
      <c r="BW3" s="3">
        <f>SUMIFS(BW$38:BW$120,$B$38:$B$120,$E3,$L$38:$L$120,$E$1)</f>
        <v>0</v>
      </c>
      <c r="BX3" s="3">
        <f>SUMIFS(BX$38:BX$120,$B$38:$B$120,$E3,$L$38:$L$120,$E$1)</f>
        <v>0</v>
      </c>
      <c r="BY3" s="3">
        <f>SUMIFS(BY$38:BY$120,$B$38:$B$120,$E3,$L$38:$L$120,$E$1)</f>
        <v>0</v>
      </c>
      <c r="BZ3" s="3">
        <f>SUMIFS(BZ$38:BZ$120,$B$38:$B$120,$E3,$L$38:$L$120,$E$1)</f>
        <v>0</v>
      </c>
      <c r="CA3" s="3">
        <f>SUMIFS(CA$38:CA$120,$B$38:$B$120,$E3,$L$38:$L$120,$E$1)</f>
        <v>0</v>
      </c>
      <c r="CB3" s="3">
        <f>SUMIFS(CB$38:CB$120,$B$38:$B$120,$E3,$L$38:$L$120,$E$1)</f>
        <v>0</v>
      </c>
      <c r="CC3" s="3">
        <f>SUMIFS(CC$38:CC$120,$B$38:$B$120,$E3,$L$38:$L$120,$E$1)</f>
        <v>0</v>
      </c>
      <c r="CD3" s="3">
        <f>SUMIFS(CD$38:CD$120,$B$38:$B$120,$E3,$L$38:$L$120,$E$1)</f>
        <v>0</v>
      </c>
      <c r="CE3" s="3">
        <f>SUMIFS(CE$38:CE$120,$B$38:$B$120,$E3,$L$38:$L$120,$E$1)</f>
        <v>0</v>
      </c>
      <c r="CF3" s="3">
        <f>SUMIFS(CF$38:CF$120,$B$38:$B$120,$E3,$L$38:$L$120,$E$1)</f>
        <v>0</v>
      </c>
      <c r="CG3" s="3">
        <f>SUMIFS(CG$38:CG$120,$B$38:$B$120,$E3,$L$38:$L$120,$E$1)</f>
        <v>0</v>
      </c>
      <c r="CH3" s="3">
        <f>SUMIFS(CH$38:CH$120,$B$38:$B$120,$E3,$L$38:$L$120,$E$1)</f>
        <v>0</v>
      </c>
      <c r="CI3" s="3">
        <f>SUMIFS(CI$38:CI$120,$B$38:$B$120,$E3,$L$38:$L$120,$E$1)</f>
        <v>0</v>
      </c>
      <c r="CJ3" s="3">
        <f>SUMIFS(CJ$38:CJ$120,$B$38:$B$120,$E3,$L$38:$L$120,$E$1)</f>
        <v>0</v>
      </c>
      <c r="CK3" s="3">
        <f>SUMIFS(CK$38:CK$120,$B$38:$B$120,$E3,$L$38:$L$120,$E$1)</f>
        <v>0</v>
      </c>
      <c r="CL3" s="3">
        <f>SUMIFS(CL$38:CL$120,$B$38:$B$120,$E3,$L$38:$L$120,$E$1)</f>
        <v>0</v>
      </c>
      <c r="CM3" s="3">
        <f>SUMIFS(CM$38:CM$120,$B$38:$B$120,$E3,$L$38:$L$120,$E$1)</f>
        <v>0</v>
      </c>
      <c r="CN3" s="3">
        <f>SUMIFS(CN$38:CN$120,$B$38:$B$120,$E3,$L$38:$L$120,$E$1)</f>
        <v>0</v>
      </c>
      <c r="CO3" s="3">
        <f>SUMIFS(CO$38:CO$120,$B$38:$B$120,$E3,$L$38:$L$120,$E$1)</f>
        <v>0</v>
      </c>
      <c r="CP3" s="3">
        <f>SUMIFS(CP$38:CP$120,$B$38:$B$120,$E3,$L$38:$L$120,$E$1)</f>
        <v>0</v>
      </c>
      <c r="CQ3" s="3">
        <f>SUMIFS(CQ$38:CQ$120,$B$38:$B$120,$E3,$L$38:$L$120,$E$1)</f>
        <v>0</v>
      </c>
      <c r="CR3" s="3">
        <f>SUMIFS(CR$38:CR$120,$B$38:$B$120,$E3,$L$38:$L$120,$E$1)</f>
        <v>0</v>
      </c>
      <c r="CS3" s="3">
        <f>SUMIFS(CS$38:CS$120,$B$38:$B$120,$E3,$L$38:$L$120,$E$1)</f>
        <v>0</v>
      </c>
      <c r="CT3" s="3">
        <f>SUMIFS(CT$38:CT$120,$B$38:$B$120,$E3,$L$38:$L$120,$E$1)</f>
        <v>0</v>
      </c>
      <c r="CU3" s="3">
        <f>SUMIFS(CU$38:CU$120,$B$38:$B$120,$E3,$L$38:$L$120,$E$1)</f>
        <v>0</v>
      </c>
      <c r="CV3" s="3">
        <f>SUMIFS(CV$38:CV$120,$B$38:$B$120,$E3,$L$38:$L$120,$E$1)</f>
        <v>0</v>
      </c>
      <c r="CW3" s="3">
        <f>SUMIFS(CW$38:CW$120,$B$38:$B$120,$E3,$L$38:$L$120,$E$1)</f>
        <v>0</v>
      </c>
      <c r="CX3" s="3">
        <f>SUMIFS(CX$38:CX$120,$B$38:$B$120,$E3,$L$38:$L$120,$E$1)</f>
        <v>0</v>
      </c>
      <c r="CY3" s="3">
        <f>SUMIFS(CY$38:CY$120,$B$38:$B$120,$E3,$L$38:$L$120,$E$1)</f>
        <v>0</v>
      </c>
      <c r="CZ3" s="3">
        <f>SUMIFS(CZ$38:CZ$120,$B$38:$B$120,$E3,$L$38:$L$120,$E$1)</f>
        <v>0</v>
      </c>
      <c r="DA3" s="3">
        <f>SUMIFS(DA$38:DA$120,$B$38:$B$120,$E3,$L$38:$L$120,$E$1)</f>
        <v>0</v>
      </c>
      <c r="DB3" s="3">
        <f>SUMIFS(DB$38:DB$120,$B$38:$B$120,$E3,$L$38:$L$120,$E$1)</f>
        <v>0</v>
      </c>
    </row>
    <row r="4" spans="5:106">
      <c r="E4" s="2" t="s">
        <v>2</v>
      </c>
      <c r="R4" s="3">
        <f>SUMIFS(R$38:R$120,$B$38:$B$120,$E4,$L$38:$L$120,$E$1)</f>
        <v>0</v>
      </c>
      <c r="S4" s="3">
        <f>SUMIFS(S$38:S$120,$B$38:$B$120,$E4,$L$38:$L$120,$E$1)</f>
        <v>0</v>
      </c>
      <c r="T4" s="3">
        <f>SUMIFS(T$38:T$120,$B$38:$B$120,$E4,$L$38:$L$120,$E$1)</f>
        <v>0</v>
      </c>
      <c r="U4" s="3">
        <f>SUMIFS(U$38:U$120,$B$38:$B$120,$E4,$L$38:$L$120,$E$1)</f>
        <v>0</v>
      </c>
      <c r="V4" s="3">
        <f>SUMIFS(V$38:V$120,$B$38:$B$120,$E4,$L$38:$L$120,$E$1)</f>
        <v>0</v>
      </c>
      <c r="W4" s="3">
        <f>SUMIFS(W$38:W$120,$B$38:$B$120,$E4,$L$38:$L$120,$E$1)</f>
        <v>0</v>
      </c>
      <c r="X4" s="3">
        <f>SUMIFS(X$38:X$120,$B$38:$B$120,$E4,$L$38:$L$120,$E$1)</f>
        <v>0</v>
      </c>
      <c r="Y4" s="3">
        <f>SUMIFS(Y$38:Y$120,$B$38:$B$120,$E4,$L$38:$L$120,$E$1)</f>
        <v>0</v>
      </c>
      <c r="Z4" s="3">
        <f>SUMIFS(Z$38:Z$120,$B$38:$B$120,$E4,$L$38:$L$120,$E$1)</f>
        <v>0</v>
      </c>
      <c r="AA4" s="3">
        <f>SUMIFS(AA$38:AA$120,$B$38:$B$120,$E4,$L$38:$L$120,$E$1)</f>
        <v>0</v>
      </c>
      <c r="AB4" s="3">
        <f>SUMIFS(AB$38:AB$120,$B$38:$B$120,$E4,$L$38:$L$120,$E$1)</f>
        <v>0</v>
      </c>
      <c r="AC4" s="3">
        <f>SUMIFS(AC$38:AC$120,$B$38:$B$120,$E4,$L$38:$L$120,$E$1)</f>
        <v>0</v>
      </c>
      <c r="AD4" s="3">
        <f>SUMIFS(AD$38:AD$120,$B$38:$B$120,$E4,$L$38:$L$120,$E$1)</f>
        <v>0</v>
      </c>
      <c r="AE4" s="3">
        <f>SUMIFS(AE$38:AE$120,$B$38:$B$120,$E4,$L$38:$L$120,$E$1)</f>
        <v>0</v>
      </c>
      <c r="AF4" s="3">
        <f>SUMIFS(AF$38:AF$120,$B$38:$B$120,$E4,$L$38:$L$120,$E$1)</f>
        <v>0</v>
      </c>
      <c r="AG4" s="3">
        <f>SUMIFS(AG$38:AG$120,$B$38:$B$120,$E4,$L$38:$L$120,$E$1)</f>
        <v>0</v>
      </c>
      <c r="AH4" s="3">
        <f>SUMIFS(AH$38:AH$120,$B$38:$B$120,$E4,$L$38:$L$120,$E$1)</f>
        <v>0</v>
      </c>
      <c r="AI4" s="3"/>
      <c r="AJ4" s="3"/>
      <c r="AK4" s="3"/>
      <c r="AL4" s="3">
        <f>SUMIFS(AL$38:AL$120,$B$38:$B$120,$E4,$L$38:$L$120,$E$1)</f>
        <v>0</v>
      </c>
      <c r="AM4" s="3">
        <f>SUMIFS(AM$38:AM$120,$B$38:$B$120,$E4,$L$38:$L$120,$E$1)</f>
        <v>0</v>
      </c>
      <c r="AN4" s="3">
        <f>SUMIFS(AN$38:AN$120,$B$38:$B$120,$E4,$L$38:$L$120,$E$1)</f>
        <v>0</v>
      </c>
      <c r="AO4" s="3">
        <f>SUMIFS(AO$38:AO$120,$B$38:$B$120,$E4,$L$38:$L$120,$E$1)</f>
        <v>0</v>
      </c>
      <c r="AP4" s="3">
        <f>SUMIFS(AP$38:AP$120,$B$38:$B$120,$E4,$L$38:$L$120,$E$1)</f>
        <v>0</v>
      </c>
      <c r="AQ4" s="3">
        <f>SUMIFS(AQ$38:AQ$120,$B$38:$B$120,$E4,$L$38:$L$120,$E$1)</f>
        <v>0</v>
      </c>
      <c r="AR4" s="3">
        <f>SUMIFS(AR$38:AR$120,$B$38:$B$120,$E4,$L$38:$L$120,$E$1)</f>
        <v>0</v>
      </c>
      <c r="AS4" s="3">
        <f>SUMIFS(AS$38:AS$120,$B$38:$B$120,$E4,$L$38:$L$120,$E$1)</f>
        <v>0</v>
      </c>
      <c r="AT4" s="3">
        <f>SUMIFS(AT$38:AT$120,$B$38:$B$120,$E4,$L$38:$L$120,$E$1)</f>
        <v>0</v>
      </c>
      <c r="AU4" s="3">
        <f>SUMIFS(AU$38:AU$120,$B$38:$B$120,$E4,$L$38:$L$120,$E$1)</f>
        <v>0</v>
      </c>
      <c r="AV4" s="3">
        <f>SUMIFS(AV$38:AV$120,$B$38:$B$120,$E4,$L$38:$L$120,$E$1)</f>
        <v>0</v>
      </c>
      <c r="AW4" s="3">
        <f>SUMIFS(AW$38:AW$120,$B$38:$B$120,$E4,$L$38:$L$120,$E$1)</f>
        <v>0</v>
      </c>
      <c r="AX4" s="3">
        <f>SUMIFS(AX$38:AX$120,$B$38:$B$120,$E4,$L$38:$L$120,$E$1)</f>
        <v>0</v>
      </c>
      <c r="AY4" s="3">
        <f>SUMIFS(AY$38:AY$120,$B$38:$B$120,$E4,$L$38:$L$120,$E$1)</f>
        <v>0</v>
      </c>
      <c r="AZ4" s="3">
        <f>SUMIFS(AZ$38:AZ$120,$B$38:$B$120,$E4,$L$38:$L$120,$E$1)</f>
        <v>0</v>
      </c>
      <c r="BA4" s="3">
        <f>SUMIFS(BA$38:BA$120,$B$38:$B$120,$E4,$L$38:$L$120,$E$1)</f>
        <v>0</v>
      </c>
      <c r="BB4" s="3">
        <f>SUMIFS(BB$38:BB$120,$B$38:$B$120,$E4,$L$38:$L$120,$E$1)</f>
        <v>0</v>
      </c>
      <c r="BC4" s="3">
        <f>SUMIFS(BC$38:BC$120,$B$38:$B$120,$E4,$L$38:$L$120,$E$1)</f>
        <v>0</v>
      </c>
      <c r="BD4" s="3">
        <f>SUMIFS(BD$38:BD$120,$B$38:$B$120,$E4,$L$38:$L$120,$E$1)</f>
        <v>0</v>
      </c>
      <c r="BE4" s="3">
        <f>SUMIFS(BE$38:BE$120,$B$38:$B$120,$E4,$L$38:$L$120,$E$1)</f>
        <v>0</v>
      </c>
      <c r="BF4" s="3">
        <f>SUMIFS(BF$38:BF$120,$B$38:$B$120,$E4,$L$38:$L$120,$E$1)</f>
        <v>0</v>
      </c>
      <c r="BG4" s="3">
        <f>SUMIFS(BG$38:BG$120,$B$38:$B$120,$E4,$L$38:$L$120,$E$1)</f>
        <v>0</v>
      </c>
      <c r="BH4" s="3">
        <f>SUMIFS(BH$38:BH$120,$B$38:$B$120,$E4,$L$38:$L$120,$E$1)</f>
        <v>0</v>
      </c>
      <c r="BI4" s="3">
        <f>SUMIFS(BI$38:BI$120,$B$38:$B$120,$E4,$L$38:$L$120,$E$1)</f>
        <v>0</v>
      </c>
      <c r="BJ4" s="3">
        <f>SUMIFS(BJ$38:BJ$120,$B$38:$B$120,$E4,$L$38:$L$120,$E$1)</f>
        <v>0</v>
      </c>
      <c r="BK4" s="3">
        <f>SUMIFS(BK$38:BK$120,$B$38:$B$120,$E4,$L$38:$L$120,$E$1)</f>
        <v>0</v>
      </c>
      <c r="BL4" s="3">
        <f>SUMIFS(BL$38:BL$120,$B$38:$B$120,$E4,$L$38:$L$120,$E$1)</f>
        <v>0</v>
      </c>
      <c r="BM4" s="3">
        <f>SUMIFS(BM$38:BM$120,$B$38:$B$120,$E4,$L$38:$L$120,$E$1)</f>
        <v>0</v>
      </c>
      <c r="BN4" s="3">
        <f>SUMIFS(BN$38:BN$120,$B$38:$B$120,$E4,$L$38:$L$120,$E$1)</f>
        <v>0</v>
      </c>
      <c r="BO4" s="3">
        <f>SUMIFS(BO$38:BO$120,$B$38:$B$120,$E4,$L$38:$L$120,$E$1)</f>
        <v>0</v>
      </c>
      <c r="BP4" s="3">
        <f>SUMIFS(BP$38:BP$120,$B$38:$B$120,$E4,$L$38:$L$120,$E$1)</f>
        <v>0</v>
      </c>
      <c r="BQ4" s="3">
        <f>SUMIFS(BQ$38:BQ$120,$B$38:$B$120,$E4,$L$38:$L$120,$E$1)</f>
        <v>0</v>
      </c>
      <c r="BR4" s="3">
        <f>SUMIFS(BR$38:BR$120,$B$38:$B$120,$E4,$L$38:$L$120,$E$1)</f>
        <v>0</v>
      </c>
      <c r="BS4" s="3">
        <f>SUMIFS(BS$38:BS$120,$B$38:$B$120,$E4,$L$38:$L$120,$E$1)</f>
        <v>0</v>
      </c>
      <c r="BT4" s="3">
        <f>SUMIFS(BT$38:BT$120,$B$38:$B$120,$E4,$L$38:$L$120,$E$1)</f>
        <v>0</v>
      </c>
      <c r="BU4" s="3">
        <f>SUMIFS(BU$38:BU$120,$B$38:$B$120,$E4,$L$38:$L$120,$E$1)</f>
        <v>0</v>
      </c>
      <c r="BV4" s="3">
        <f>SUMIFS(BV$38:BV$120,$B$38:$B$120,$E4,$L$38:$L$120,$E$1)</f>
        <v>0</v>
      </c>
      <c r="BW4" s="3">
        <f>SUMIFS(BW$38:BW$120,$B$38:$B$120,$E4,$L$38:$L$120,$E$1)</f>
        <v>0</v>
      </c>
      <c r="BX4" s="3">
        <f>SUMIFS(BX$38:BX$120,$B$38:$B$120,$E4,$L$38:$L$120,$E$1)</f>
        <v>0</v>
      </c>
      <c r="BY4" s="3">
        <f>SUMIFS(BY$38:BY$120,$B$38:$B$120,$E4,$L$38:$L$120,$E$1)</f>
        <v>0</v>
      </c>
      <c r="BZ4" s="3">
        <f>SUMIFS(BZ$38:BZ$120,$B$38:$B$120,$E4,$L$38:$L$120,$E$1)</f>
        <v>0</v>
      </c>
      <c r="CA4" s="3">
        <f>SUMIFS(CA$38:CA$120,$B$38:$B$120,$E4,$L$38:$L$120,$E$1)</f>
        <v>0</v>
      </c>
      <c r="CB4" s="3">
        <f>SUMIFS(CB$38:CB$120,$B$38:$B$120,$E4,$L$38:$L$120,$E$1)</f>
        <v>0</v>
      </c>
      <c r="CC4" s="3">
        <f>SUMIFS(CC$38:CC$120,$B$38:$B$120,$E4,$L$38:$L$120,$E$1)</f>
        <v>0</v>
      </c>
      <c r="CD4" s="3">
        <f>SUMIFS(CD$38:CD$120,$B$38:$B$120,$E4,$L$38:$L$120,$E$1)</f>
        <v>0</v>
      </c>
      <c r="CE4" s="3">
        <f>SUMIFS(CE$38:CE$120,$B$38:$B$120,$E4,$L$38:$L$120,$E$1)</f>
        <v>0</v>
      </c>
      <c r="CF4" s="3">
        <f>SUMIFS(CF$38:CF$120,$B$38:$B$120,$E4,$L$38:$L$120,$E$1)</f>
        <v>0</v>
      </c>
      <c r="CG4" s="3">
        <f>SUMIFS(CG$38:CG$120,$B$38:$B$120,$E4,$L$38:$L$120,$E$1)</f>
        <v>0</v>
      </c>
      <c r="CH4" s="3">
        <f>SUMIFS(CH$38:CH$120,$B$38:$B$120,$E4,$L$38:$L$120,$E$1)</f>
        <v>0</v>
      </c>
      <c r="CI4" s="3">
        <f>SUMIFS(CI$38:CI$120,$B$38:$B$120,$E4,$L$38:$L$120,$E$1)</f>
        <v>0</v>
      </c>
      <c r="CJ4" s="3">
        <f>SUMIFS(CJ$38:CJ$120,$B$38:$B$120,$E4,$L$38:$L$120,$E$1)</f>
        <v>0</v>
      </c>
      <c r="CK4" s="3">
        <f>SUMIFS(CK$38:CK$120,$B$38:$B$120,$E4,$L$38:$L$120,$E$1)</f>
        <v>0</v>
      </c>
      <c r="CL4" s="3">
        <f>SUMIFS(CL$38:CL$120,$B$38:$B$120,$E4,$L$38:$L$120,$E$1)</f>
        <v>0</v>
      </c>
      <c r="CM4" s="3">
        <f>SUMIFS(CM$38:CM$120,$B$38:$B$120,$E4,$L$38:$L$120,$E$1)</f>
        <v>0</v>
      </c>
      <c r="CN4" s="3">
        <f>SUMIFS(CN$38:CN$120,$B$38:$B$120,$E4,$L$38:$L$120,$E$1)</f>
        <v>0</v>
      </c>
      <c r="CO4" s="3">
        <f>SUMIFS(CO$38:CO$120,$B$38:$B$120,$E4,$L$38:$L$120,$E$1)</f>
        <v>0</v>
      </c>
      <c r="CP4" s="3">
        <f>SUMIFS(CP$38:CP$120,$B$38:$B$120,$E4,$L$38:$L$120,$E$1)</f>
        <v>0</v>
      </c>
      <c r="CQ4" s="3">
        <f>SUMIFS(CQ$38:CQ$120,$B$38:$B$120,$E4,$L$38:$L$120,$E$1)</f>
        <v>0</v>
      </c>
      <c r="CR4" s="3">
        <f>SUMIFS(CR$38:CR$120,$B$38:$B$120,$E4,$L$38:$L$120,$E$1)</f>
        <v>0</v>
      </c>
      <c r="CS4" s="3">
        <f>SUMIFS(CS$38:CS$120,$B$38:$B$120,$E4,$L$38:$L$120,$E$1)</f>
        <v>0</v>
      </c>
      <c r="CT4" s="3">
        <f>SUMIFS(CT$38:CT$120,$B$38:$B$120,$E4,$L$38:$L$120,$E$1)</f>
        <v>0</v>
      </c>
      <c r="CU4" s="3">
        <f>SUMIFS(CU$38:CU$120,$B$38:$B$120,$E4,$L$38:$L$120,$E$1)</f>
        <v>0</v>
      </c>
      <c r="CV4" s="3">
        <f>SUMIFS(CV$38:CV$120,$B$38:$B$120,$E4,$L$38:$L$120,$E$1)</f>
        <v>0</v>
      </c>
      <c r="CW4" s="3">
        <f>SUMIFS(CW$38:CW$120,$B$38:$B$120,$E4,$L$38:$L$120,$E$1)</f>
        <v>0</v>
      </c>
      <c r="CX4" s="3">
        <f>SUMIFS(CX$38:CX$120,$B$38:$B$120,$E4,$L$38:$L$120,$E$1)</f>
        <v>0</v>
      </c>
      <c r="CY4" s="3">
        <f>SUMIFS(CY$38:CY$120,$B$38:$B$120,$E4,$L$38:$L$120,$E$1)</f>
        <v>0</v>
      </c>
      <c r="CZ4" s="3">
        <f>SUMIFS(CZ$38:CZ$120,$B$38:$B$120,$E4,$L$38:$L$120,$E$1)</f>
        <v>0</v>
      </c>
      <c r="DA4" s="3">
        <f>SUMIFS(DA$38:DA$120,$B$38:$B$120,$E4,$L$38:$L$120,$E$1)</f>
        <v>0</v>
      </c>
      <c r="DB4" s="3">
        <f>SUMIFS(DB$38:DB$120,$B$38:$B$120,$E4,$L$38:$L$120,$E$1)</f>
        <v>0</v>
      </c>
    </row>
    <row r="5" spans="5:106">
      <c r="E5" s="2" t="s">
        <v>3</v>
      </c>
      <c r="R5" s="3">
        <f>SUMIFS(R$38:R$120,$B$38:$B$120,$E5,$L$38:$L$120,$E$1)</f>
        <v>0</v>
      </c>
      <c r="S5" s="3">
        <f>SUMIFS(S$38:S$120,$B$38:$B$120,$E5,$L$38:$L$120,$E$1)</f>
        <v>0</v>
      </c>
      <c r="T5" s="3">
        <f>SUMIFS(T$38:T$120,$B$38:$B$120,$E5,$L$38:$L$120,$E$1)</f>
        <v>0</v>
      </c>
      <c r="U5" s="3">
        <f>SUMIFS(U$38:U$120,$B$38:$B$120,$E5,$L$38:$L$120,$E$1)</f>
        <v>0</v>
      </c>
      <c r="V5" s="3">
        <f>SUMIFS(V$38:V$120,$B$38:$B$120,$E5,$L$38:$L$120,$E$1)</f>
        <v>0</v>
      </c>
      <c r="W5" s="3">
        <f>SUMIFS(W$38:W$120,$B$38:$B$120,$E5,$L$38:$L$120,$E$1)</f>
        <v>0</v>
      </c>
      <c r="X5" s="3">
        <f>SUMIFS(X$38:X$120,$B$38:$B$120,$E5,$L$38:$L$120,$E$1)</f>
        <v>0</v>
      </c>
      <c r="Y5" s="3">
        <f>SUMIFS(Y$38:Y$120,$B$38:$B$120,$E5,$L$38:$L$120,$E$1)</f>
        <v>0</v>
      </c>
      <c r="Z5" s="3">
        <f>SUMIFS(Z$38:Z$120,$B$38:$B$120,$E5,$L$38:$L$120,$E$1)</f>
        <v>0</v>
      </c>
      <c r="AA5" s="3">
        <f>SUMIFS(AA$38:AA$120,$B$38:$B$120,$E5,$L$38:$L$120,$E$1)</f>
        <v>0</v>
      </c>
      <c r="AB5" s="3">
        <f>SUMIFS(AB$38:AB$120,$B$38:$B$120,$E5,$L$38:$L$120,$E$1)</f>
        <v>0</v>
      </c>
      <c r="AC5" s="3">
        <f>SUMIFS(AC$38:AC$120,$B$38:$B$120,$E5,$L$38:$L$120,$E$1)</f>
        <v>0</v>
      </c>
      <c r="AD5" s="3">
        <f>SUMIFS(AD$38:AD$120,$B$38:$B$120,$E5,$L$38:$L$120,$E$1)</f>
        <v>0</v>
      </c>
      <c r="AE5" s="3">
        <f>SUMIFS(AE$38:AE$120,$B$38:$B$120,$E5,$L$38:$L$120,$E$1)</f>
        <v>0</v>
      </c>
      <c r="AF5" s="3">
        <f>SUMIFS(AF$38:AF$120,$B$38:$B$120,$E5,$L$38:$L$120,$E$1)</f>
        <v>0</v>
      </c>
      <c r="AG5" s="3">
        <f>SUMIFS(AG$38:AG$120,$B$38:$B$120,$E5,$L$38:$L$120,$E$1)</f>
        <v>0</v>
      </c>
      <c r="AH5" s="3">
        <f>SUMIFS(AH$38:AH$120,$B$38:$B$120,$E5,$L$38:$L$120,$E$1)</f>
        <v>0</v>
      </c>
      <c r="AI5" s="3"/>
      <c r="AJ5" s="3"/>
      <c r="AK5" s="3"/>
      <c r="AL5" s="3">
        <f>SUMIFS(AL$38:AL$120,$B$38:$B$120,$E5,$L$38:$L$120,$E$1)</f>
        <v>0</v>
      </c>
      <c r="AM5" s="3">
        <f>SUMIFS(AM$38:AM$120,$B$38:$B$120,$E5,$L$38:$L$120,$E$1)</f>
        <v>0</v>
      </c>
      <c r="AN5" s="3">
        <f>SUMIFS(AN$38:AN$120,$B$38:$B$120,$E5,$L$38:$L$120,$E$1)</f>
        <v>0</v>
      </c>
      <c r="AO5" s="3">
        <f>SUMIFS(AO$38:AO$120,$B$38:$B$120,$E5,$L$38:$L$120,$E$1)</f>
        <v>0</v>
      </c>
      <c r="AP5" s="3">
        <f>SUMIFS(AP$38:AP$120,$B$38:$B$120,$E5,$L$38:$L$120,$E$1)</f>
        <v>0</v>
      </c>
      <c r="AQ5" s="3">
        <f>SUMIFS(AQ$38:AQ$120,$B$38:$B$120,$E5,$L$38:$L$120,$E$1)</f>
        <v>0</v>
      </c>
      <c r="AR5" s="3">
        <f>SUMIFS(AR$38:AR$120,$B$38:$B$120,$E5,$L$38:$L$120,$E$1)</f>
        <v>0</v>
      </c>
      <c r="AS5" s="3">
        <f>SUMIFS(AS$38:AS$120,$B$38:$B$120,$E5,$L$38:$L$120,$E$1)</f>
        <v>0</v>
      </c>
      <c r="AT5" s="3">
        <f>SUMIFS(AT$38:AT$120,$B$38:$B$120,$E5,$L$38:$L$120,$E$1)</f>
        <v>0</v>
      </c>
      <c r="AU5" s="3">
        <f>SUMIFS(AU$38:AU$120,$B$38:$B$120,$E5,$L$38:$L$120,$E$1)</f>
        <v>0</v>
      </c>
      <c r="AV5" s="3">
        <f>SUMIFS(AV$38:AV$120,$B$38:$B$120,$E5,$L$38:$L$120,$E$1)</f>
        <v>0</v>
      </c>
      <c r="AW5" s="3">
        <f>SUMIFS(AW$38:AW$120,$B$38:$B$120,$E5,$L$38:$L$120,$E$1)</f>
        <v>0</v>
      </c>
      <c r="AX5" s="3">
        <f>SUMIFS(AX$38:AX$120,$B$38:$B$120,$E5,$L$38:$L$120,$E$1)</f>
        <v>0</v>
      </c>
      <c r="AY5" s="3">
        <f>SUMIFS(AY$38:AY$120,$B$38:$B$120,$E5,$L$38:$L$120,$E$1)</f>
        <v>0</v>
      </c>
      <c r="AZ5" s="3">
        <f>SUMIFS(AZ$38:AZ$120,$B$38:$B$120,$E5,$L$38:$L$120,$E$1)</f>
        <v>0</v>
      </c>
      <c r="BA5" s="3">
        <f>SUMIFS(BA$38:BA$120,$B$38:$B$120,$E5,$L$38:$L$120,$E$1)</f>
        <v>0</v>
      </c>
      <c r="BB5" s="3">
        <f>SUMIFS(BB$38:BB$120,$B$38:$B$120,$E5,$L$38:$L$120,$E$1)</f>
        <v>0</v>
      </c>
      <c r="BC5" s="3">
        <f>SUMIFS(BC$38:BC$120,$B$38:$B$120,$E5,$L$38:$L$120,$E$1)</f>
        <v>0</v>
      </c>
      <c r="BD5" s="3">
        <f>SUMIFS(BD$38:BD$120,$B$38:$B$120,$E5,$L$38:$L$120,$E$1)</f>
        <v>0</v>
      </c>
      <c r="BE5" s="3">
        <f>SUMIFS(BE$38:BE$120,$B$38:$B$120,$E5,$L$38:$L$120,$E$1)</f>
        <v>0</v>
      </c>
      <c r="BF5" s="3">
        <f>SUMIFS(BF$38:BF$120,$B$38:$B$120,$E5,$L$38:$L$120,$E$1)</f>
        <v>0</v>
      </c>
      <c r="BG5" s="3">
        <f>SUMIFS(BG$38:BG$120,$B$38:$B$120,$E5,$L$38:$L$120,$E$1)</f>
        <v>0</v>
      </c>
      <c r="BH5" s="3">
        <f>SUMIFS(BH$38:BH$120,$B$38:$B$120,$E5,$L$38:$L$120,$E$1)</f>
        <v>0</v>
      </c>
      <c r="BI5" s="3">
        <f>SUMIFS(BI$38:BI$120,$B$38:$B$120,$E5,$L$38:$L$120,$E$1)</f>
        <v>0</v>
      </c>
      <c r="BJ5" s="3">
        <f>SUMIFS(BJ$38:BJ$120,$B$38:$B$120,$E5,$L$38:$L$120,$E$1)</f>
        <v>0</v>
      </c>
      <c r="BK5" s="3">
        <f>SUMIFS(BK$38:BK$120,$B$38:$B$120,$E5,$L$38:$L$120,$E$1)</f>
        <v>0</v>
      </c>
      <c r="BL5" s="3">
        <f>SUMIFS(BL$38:BL$120,$B$38:$B$120,$E5,$L$38:$L$120,$E$1)</f>
        <v>0</v>
      </c>
      <c r="BM5" s="3">
        <f>SUMIFS(BM$38:BM$120,$B$38:$B$120,$E5,$L$38:$L$120,$E$1)</f>
        <v>0</v>
      </c>
      <c r="BN5" s="3">
        <f>SUMIFS(BN$38:BN$120,$B$38:$B$120,$E5,$L$38:$L$120,$E$1)</f>
        <v>0</v>
      </c>
      <c r="BO5" s="3">
        <f>SUMIFS(BO$38:BO$120,$B$38:$B$120,$E5,$L$38:$L$120,$E$1)</f>
        <v>0</v>
      </c>
      <c r="BP5" s="3">
        <f>SUMIFS(BP$38:BP$120,$B$38:$B$120,$E5,$L$38:$L$120,$E$1)</f>
        <v>0</v>
      </c>
      <c r="BQ5" s="3">
        <f>SUMIFS(BQ$38:BQ$120,$B$38:$B$120,$E5,$L$38:$L$120,$E$1)</f>
        <v>0</v>
      </c>
      <c r="BR5" s="3">
        <f>SUMIFS(BR$38:BR$120,$B$38:$B$120,$E5,$L$38:$L$120,$E$1)</f>
        <v>0</v>
      </c>
      <c r="BS5" s="3">
        <f>SUMIFS(BS$38:BS$120,$B$38:$B$120,$E5,$L$38:$L$120,$E$1)</f>
        <v>0</v>
      </c>
      <c r="BT5" s="3">
        <f>SUMIFS(BT$38:BT$120,$B$38:$B$120,$E5,$L$38:$L$120,$E$1)</f>
        <v>0</v>
      </c>
      <c r="BU5" s="3">
        <f>SUMIFS(BU$38:BU$120,$B$38:$B$120,$E5,$L$38:$L$120,$E$1)</f>
        <v>0</v>
      </c>
      <c r="BV5" s="3">
        <f>SUMIFS(BV$38:BV$120,$B$38:$B$120,$E5,$L$38:$L$120,$E$1)</f>
        <v>0</v>
      </c>
      <c r="BW5" s="3">
        <f>SUMIFS(BW$38:BW$120,$B$38:$B$120,$E5,$L$38:$L$120,$E$1)</f>
        <v>0</v>
      </c>
      <c r="BX5" s="3">
        <f>SUMIFS(BX$38:BX$120,$B$38:$B$120,$E5,$L$38:$L$120,$E$1)</f>
        <v>0</v>
      </c>
      <c r="BY5" s="3">
        <f>SUMIFS(BY$38:BY$120,$B$38:$B$120,$E5,$L$38:$L$120,$E$1)</f>
        <v>0</v>
      </c>
      <c r="BZ5" s="3">
        <f>SUMIFS(BZ$38:BZ$120,$B$38:$B$120,$E5,$L$38:$L$120,$E$1)</f>
        <v>0</v>
      </c>
      <c r="CA5" s="3">
        <f>SUMIFS(CA$38:CA$120,$B$38:$B$120,$E5,$L$38:$L$120,$E$1)</f>
        <v>0</v>
      </c>
      <c r="CB5" s="3">
        <f>SUMIFS(CB$38:CB$120,$B$38:$B$120,$E5,$L$38:$L$120,$E$1)</f>
        <v>0</v>
      </c>
      <c r="CC5" s="3">
        <f>SUMIFS(CC$38:CC$120,$B$38:$B$120,$E5,$L$38:$L$120,$E$1)</f>
        <v>0</v>
      </c>
      <c r="CD5" s="3">
        <f>SUMIFS(CD$38:CD$120,$B$38:$B$120,$E5,$L$38:$L$120,$E$1)</f>
        <v>0</v>
      </c>
      <c r="CE5" s="3">
        <f>SUMIFS(CE$38:CE$120,$B$38:$B$120,$E5,$L$38:$L$120,$E$1)</f>
        <v>0</v>
      </c>
      <c r="CF5" s="3">
        <f>SUMIFS(CF$38:CF$120,$B$38:$B$120,$E5,$L$38:$L$120,$E$1)</f>
        <v>0</v>
      </c>
      <c r="CG5" s="3">
        <f>SUMIFS(CG$38:CG$120,$B$38:$B$120,$E5,$L$38:$L$120,$E$1)</f>
        <v>0</v>
      </c>
      <c r="CH5" s="3">
        <f>SUMIFS(CH$38:CH$120,$B$38:$B$120,$E5,$L$38:$L$120,$E$1)</f>
        <v>0</v>
      </c>
      <c r="CI5" s="3">
        <f>SUMIFS(CI$38:CI$120,$B$38:$B$120,$E5,$L$38:$L$120,$E$1)</f>
        <v>0</v>
      </c>
      <c r="CJ5" s="3">
        <f>SUMIFS(CJ$38:CJ$120,$B$38:$B$120,$E5,$L$38:$L$120,$E$1)</f>
        <v>0</v>
      </c>
      <c r="CK5" s="3">
        <f>SUMIFS(CK$38:CK$120,$B$38:$B$120,$E5,$L$38:$L$120,$E$1)</f>
        <v>0</v>
      </c>
      <c r="CL5" s="3">
        <f>SUMIFS(CL$38:CL$120,$B$38:$B$120,$E5,$L$38:$L$120,$E$1)</f>
        <v>0</v>
      </c>
      <c r="CM5" s="3">
        <f>SUMIFS(CM$38:CM$120,$B$38:$B$120,$E5,$L$38:$L$120,$E$1)</f>
        <v>0</v>
      </c>
      <c r="CN5" s="3">
        <f>SUMIFS(CN$38:CN$120,$B$38:$B$120,$E5,$L$38:$L$120,$E$1)</f>
        <v>0</v>
      </c>
      <c r="CO5" s="3">
        <f>SUMIFS(CO$38:CO$120,$B$38:$B$120,$E5,$L$38:$L$120,$E$1)</f>
        <v>0</v>
      </c>
      <c r="CP5" s="3">
        <f>SUMIFS(CP$38:CP$120,$B$38:$B$120,$E5,$L$38:$L$120,$E$1)</f>
        <v>0</v>
      </c>
      <c r="CQ5" s="3">
        <f>SUMIFS(CQ$38:CQ$120,$B$38:$B$120,$E5,$L$38:$L$120,$E$1)</f>
        <v>0</v>
      </c>
      <c r="CR5" s="3">
        <f>SUMIFS(CR$38:CR$120,$B$38:$B$120,$E5,$L$38:$L$120,$E$1)</f>
        <v>0</v>
      </c>
      <c r="CS5" s="3">
        <f>SUMIFS(CS$38:CS$120,$B$38:$B$120,$E5,$L$38:$L$120,$E$1)</f>
        <v>0</v>
      </c>
      <c r="CT5" s="3">
        <f>SUMIFS(CT$38:CT$120,$B$38:$B$120,$E5,$L$38:$L$120,$E$1)</f>
        <v>0</v>
      </c>
      <c r="CU5" s="3">
        <f>SUMIFS(CU$38:CU$120,$B$38:$B$120,$E5,$L$38:$L$120,$E$1)</f>
        <v>0</v>
      </c>
      <c r="CV5" s="3">
        <f>SUMIFS(CV$38:CV$120,$B$38:$B$120,$E5,$L$38:$L$120,$E$1)</f>
        <v>0</v>
      </c>
      <c r="CW5" s="3">
        <f>SUMIFS(CW$38:CW$120,$B$38:$B$120,$E5,$L$38:$L$120,$E$1)</f>
        <v>0</v>
      </c>
      <c r="CX5" s="3">
        <f>SUMIFS(CX$38:CX$120,$B$38:$B$120,$E5,$L$38:$L$120,$E$1)</f>
        <v>0</v>
      </c>
      <c r="CY5" s="3">
        <f>SUMIFS(CY$38:CY$120,$B$38:$B$120,$E5,$L$38:$L$120,$E$1)</f>
        <v>0</v>
      </c>
      <c r="CZ5" s="3">
        <f>SUMIFS(CZ$38:CZ$120,$B$38:$B$120,$E5,$L$38:$L$120,$E$1)</f>
        <v>0</v>
      </c>
      <c r="DA5" s="3">
        <f>SUMIFS(DA$38:DA$120,$B$38:$B$120,$E5,$L$38:$L$120,$E$1)</f>
        <v>0</v>
      </c>
      <c r="DB5" s="3">
        <f>SUMIFS(DB$38:DB$120,$B$38:$B$120,$E5,$L$38:$L$120,$E$1)</f>
        <v>0</v>
      </c>
    </row>
    <row r="6" spans="5:106">
      <c r="E6" s="2" t="s">
        <v>4</v>
      </c>
      <c r="R6" s="3">
        <f>SUMIFS(R$38:R$120,$B$38:$B$120,$E6,$L$38:$L$120,$E$1)</f>
        <v>0</v>
      </c>
      <c r="S6" s="3">
        <f>SUMIFS(S$38:S$120,$B$38:$B$120,$E6,$L$38:$L$120,$E$1)</f>
        <v>0</v>
      </c>
      <c r="T6" s="3">
        <f>SUMIFS(T$38:T$120,$B$38:$B$120,$E6,$L$38:$L$120,$E$1)</f>
        <v>0</v>
      </c>
      <c r="U6" s="3">
        <f>SUMIFS(U$38:U$120,$B$38:$B$120,$E6,$L$38:$L$120,$E$1)</f>
        <v>0</v>
      </c>
      <c r="V6" s="3">
        <f>SUMIFS(V$38:V$120,$B$38:$B$120,$E6,$L$38:$L$120,$E$1)</f>
        <v>0</v>
      </c>
      <c r="W6" s="3">
        <f>SUMIFS(W$38:W$120,$B$38:$B$120,$E6,$L$38:$L$120,$E$1)</f>
        <v>0</v>
      </c>
      <c r="X6" s="3">
        <f>SUMIFS(X$38:X$120,$B$38:$B$120,$E6,$L$38:$L$120,$E$1)</f>
        <v>0</v>
      </c>
      <c r="Y6" s="3">
        <f>SUMIFS(Y$38:Y$120,$B$38:$B$120,$E6,$L$38:$L$120,$E$1)</f>
        <v>0</v>
      </c>
      <c r="Z6" s="3">
        <f>SUMIFS(Z$38:Z$120,$B$38:$B$120,$E6,$L$38:$L$120,$E$1)</f>
        <v>0</v>
      </c>
      <c r="AA6" s="3">
        <f>SUMIFS(AA$38:AA$120,$B$38:$B$120,$E6,$L$38:$L$120,$E$1)</f>
        <v>0</v>
      </c>
      <c r="AB6" s="3">
        <f>SUMIFS(AB$38:AB$120,$B$38:$B$120,$E6,$L$38:$L$120,$E$1)</f>
        <v>0</v>
      </c>
      <c r="AC6" s="3">
        <f>SUMIFS(AC$38:AC$120,$B$38:$B$120,$E6,$L$38:$L$120,$E$1)</f>
        <v>0</v>
      </c>
      <c r="AD6" s="3">
        <f>SUMIFS(AD$38:AD$120,$B$38:$B$120,$E6,$L$38:$L$120,$E$1)</f>
        <v>0</v>
      </c>
      <c r="AE6" s="3">
        <f>SUMIFS(AE$38:AE$120,$B$38:$B$120,$E6,$L$38:$L$120,$E$1)</f>
        <v>0</v>
      </c>
      <c r="AF6" s="3">
        <f>SUMIFS(AF$38:AF$120,$B$38:$B$120,$E6,$L$38:$L$120,$E$1)</f>
        <v>0</v>
      </c>
      <c r="AG6" s="3">
        <f>SUMIFS(AG$38:AG$120,$B$38:$B$120,$E6,$L$38:$L$120,$E$1)</f>
        <v>0</v>
      </c>
      <c r="AH6" s="3">
        <f>SUMIFS(AH$38:AH$120,$B$38:$B$120,$E6,$L$38:$L$120,$E$1)</f>
        <v>0</v>
      </c>
      <c r="AI6" s="3"/>
      <c r="AJ6" s="3"/>
      <c r="AK6" s="3"/>
      <c r="AL6" s="3">
        <f>SUMIFS(AL$38:AL$120,$B$38:$B$120,$E6,$L$38:$L$120,$E$1)</f>
        <v>0</v>
      </c>
      <c r="AM6" s="3">
        <f>SUMIFS(AM$38:AM$120,$B$38:$B$120,$E6,$L$38:$L$120,$E$1)</f>
        <v>0</v>
      </c>
      <c r="AN6" s="3">
        <f>SUMIFS(AN$38:AN$120,$B$38:$B$120,$E6,$L$38:$L$120,$E$1)</f>
        <v>0</v>
      </c>
      <c r="AO6" s="3">
        <f>SUMIFS(AO$38:AO$120,$B$38:$B$120,$E6,$L$38:$L$120,$E$1)</f>
        <v>0</v>
      </c>
      <c r="AP6" s="3">
        <f>SUMIFS(AP$38:AP$120,$B$38:$B$120,$E6,$L$38:$L$120,$E$1)</f>
        <v>0</v>
      </c>
      <c r="AQ6" s="3">
        <f>SUMIFS(AQ$38:AQ$120,$B$38:$B$120,$E6,$L$38:$L$120,$E$1)</f>
        <v>0</v>
      </c>
      <c r="AR6" s="3">
        <f>SUMIFS(AR$38:AR$120,$B$38:$B$120,$E6,$L$38:$L$120,$E$1)</f>
        <v>0</v>
      </c>
      <c r="AS6" s="3">
        <f>SUMIFS(AS$38:AS$120,$B$38:$B$120,$E6,$L$38:$L$120,$E$1)</f>
        <v>0</v>
      </c>
      <c r="AT6" s="3">
        <f>SUMIFS(AT$38:AT$120,$B$38:$B$120,$E6,$L$38:$L$120,$E$1)</f>
        <v>0</v>
      </c>
      <c r="AU6" s="3">
        <f>SUMIFS(AU$38:AU$120,$B$38:$B$120,$E6,$L$38:$L$120,$E$1)</f>
        <v>0</v>
      </c>
      <c r="AV6" s="3">
        <f>SUMIFS(AV$38:AV$120,$B$38:$B$120,$E6,$L$38:$L$120,$E$1)</f>
        <v>0</v>
      </c>
      <c r="AW6" s="3">
        <f>SUMIFS(AW$38:AW$120,$B$38:$B$120,$E6,$L$38:$L$120,$E$1)</f>
        <v>0</v>
      </c>
      <c r="AX6" s="3">
        <f>SUMIFS(AX$38:AX$120,$B$38:$B$120,$E6,$L$38:$L$120,$E$1)</f>
        <v>0</v>
      </c>
      <c r="AY6" s="3">
        <f>SUMIFS(AY$38:AY$120,$B$38:$B$120,$E6,$L$38:$L$120,$E$1)</f>
        <v>0</v>
      </c>
      <c r="AZ6" s="3">
        <f>SUMIFS(AZ$38:AZ$120,$B$38:$B$120,$E6,$L$38:$L$120,$E$1)</f>
        <v>0</v>
      </c>
      <c r="BA6" s="3">
        <f>SUMIFS(BA$38:BA$120,$B$38:$B$120,$E6,$L$38:$L$120,$E$1)</f>
        <v>0</v>
      </c>
      <c r="BB6" s="3">
        <f>SUMIFS(BB$38:BB$120,$B$38:$B$120,$E6,$L$38:$L$120,$E$1)</f>
        <v>0</v>
      </c>
      <c r="BC6" s="3">
        <f>SUMIFS(BC$38:BC$120,$B$38:$B$120,$E6,$L$38:$L$120,$E$1)</f>
        <v>0</v>
      </c>
      <c r="BD6" s="3">
        <f>SUMIFS(BD$38:BD$120,$B$38:$B$120,$E6,$L$38:$L$120,$E$1)</f>
        <v>0</v>
      </c>
      <c r="BE6" s="3">
        <f>SUMIFS(BE$38:BE$120,$B$38:$B$120,$E6,$L$38:$L$120,$E$1)</f>
        <v>0</v>
      </c>
      <c r="BF6" s="3">
        <f>SUMIFS(BF$38:BF$120,$B$38:$B$120,$E6,$L$38:$L$120,$E$1)</f>
        <v>0</v>
      </c>
      <c r="BG6" s="3">
        <f>SUMIFS(BG$38:BG$120,$B$38:$B$120,$E6,$L$38:$L$120,$E$1)</f>
        <v>0</v>
      </c>
      <c r="BH6" s="3">
        <f>SUMIFS(BH$38:BH$120,$B$38:$B$120,$E6,$L$38:$L$120,$E$1)</f>
        <v>0</v>
      </c>
      <c r="BI6" s="3">
        <f>SUMIFS(BI$38:BI$120,$B$38:$B$120,$E6,$L$38:$L$120,$E$1)</f>
        <v>0</v>
      </c>
      <c r="BJ6" s="3">
        <f>SUMIFS(BJ$38:BJ$120,$B$38:$B$120,$E6,$L$38:$L$120,$E$1)</f>
        <v>0</v>
      </c>
      <c r="BK6" s="3">
        <f>SUMIFS(BK$38:BK$120,$B$38:$B$120,$E6,$L$38:$L$120,$E$1)</f>
        <v>0</v>
      </c>
      <c r="BL6" s="3">
        <f>SUMIFS(BL$38:BL$120,$B$38:$B$120,$E6,$L$38:$L$120,$E$1)</f>
        <v>0</v>
      </c>
      <c r="BM6" s="3">
        <f>SUMIFS(BM$38:BM$120,$B$38:$B$120,$E6,$L$38:$L$120,$E$1)</f>
        <v>0</v>
      </c>
      <c r="BN6" s="3">
        <f>SUMIFS(BN$38:BN$120,$B$38:$B$120,$E6,$L$38:$L$120,$E$1)</f>
        <v>0</v>
      </c>
      <c r="BO6" s="3">
        <f>SUMIFS(BO$38:BO$120,$B$38:$B$120,$E6,$L$38:$L$120,$E$1)</f>
        <v>0</v>
      </c>
      <c r="BP6" s="3">
        <f>SUMIFS(BP$38:BP$120,$B$38:$B$120,$E6,$L$38:$L$120,$E$1)</f>
        <v>0</v>
      </c>
      <c r="BQ6" s="3">
        <f>SUMIFS(BQ$38:BQ$120,$B$38:$B$120,$E6,$L$38:$L$120,$E$1)</f>
        <v>0</v>
      </c>
      <c r="BR6" s="3">
        <f>SUMIFS(BR$38:BR$120,$B$38:$B$120,$E6,$L$38:$L$120,$E$1)</f>
        <v>0</v>
      </c>
      <c r="BS6" s="3">
        <f>SUMIFS(BS$38:BS$120,$B$38:$B$120,$E6,$L$38:$L$120,$E$1)</f>
        <v>0</v>
      </c>
      <c r="BT6" s="3">
        <f>SUMIFS(BT$38:BT$120,$B$38:$B$120,$E6,$L$38:$L$120,$E$1)</f>
        <v>0</v>
      </c>
      <c r="BU6" s="3">
        <f>SUMIFS(BU$38:BU$120,$B$38:$B$120,$E6,$L$38:$L$120,$E$1)</f>
        <v>0</v>
      </c>
      <c r="BV6" s="3">
        <f>SUMIFS(BV$38:BV$120,$B$38:$B$120,$E6,$L$38:$L$120,$E$1)</f>
        <v>0</v>
      </c>
      <c r="BW6" s="3">
        <f>SUMIFS(BW$38:BW$120,$B$38:$B$120,$E6,$L$38:$L$120,$E$1)</f>
        <v>0</v>
      </c>
      <c r="BX6" s="3">
        <f>SUMIFS(BX$38:BX$120,$B$38:$B$120,$E6,$L$38:$L$120,$E$1)</f>
        <v>0</v>
      </c>
      <c r="BY6" s="3">
        <f>SUMIFS(BY$38:BY$120,$B$38:$B$120,$E6,$L$38:$L$120,$E$1)</f>
        <v>0</v>
      </c>
      <c r="BZ6" s="3">
        <f>SUMIFS(BZ$38:BZ$120,$B$38:$B$120,$E6,$L$38:$L$120,$E$1)</f>
        <v>0</v>
      </c>
      <c r="CA6" s="3">
        <f>SUMIFS(CA$38:CA$120,$B$38:$B$120,$E6,$L$38:$L$120,$E$1)</f>
        <v>0</v>
      </c>
      <c r="CB6" s="3">
        <f>SUMIFS(CB$38:CB$120,$B$38:$B$120,$E6,$L$38:$L$120,$E$1)</f>
        <v>0</v>
      </c>
      <c r="CC6" s="3">
        <f>SUMIFS(CC$38:CC$120,$B$38:$B$120,$E6,$L$38:$L$120,$E$1)</f>
        <v>0</v>
      </c>
      <c r="CD6" s="3">
        <f>SUMIFS(CD$38:CD$120,$B$38:$B$120,$E6,$L$38:$L$120,$E$1)</f>
        <v>0</v>
      </c>
      <c r="CE6" s="3">
        <f>SUMIFS(CE$38:CE$120,$B$38:$B$120,$E6,$L$38:$L$120,$E$1)</f>
        <v>0</v>
      </c>
      <c r="CF6" s="3">
        <f>SUMIFS(CF$38:CF$120,$B$38:$B$120,$E6,$L$38:$L$120,$E$1)</f>
        <v>0</v>
      </c>
      <c r="CG6" s="3">
        <f>SUMIFS(CG$38:CG$120,$B$38:$B$120,$E6,$L$38:$L$120,$E$1)</f>
        <v>0</v>
      </c>
      <c r="CH6" s="3">
        <f>SUMIFS(CH$38:CH$120,$B$38:$B$120,$E6,$L$38:$L$120,$E$1)</f>
        <v>0</v>
      </c>
      <c r="CI6" s="3">
        <f>SUMIFS(CI$38:CI$120,$B$38:$B$120,$E6,$L$38:$L$120,$E$1)</f>
        <v>0</v>
      </c>
      <c r="CJ6" s="3">
        <f>SUMIFS(CJ$38:CJ$120,$B$38:$B$120,$E6,$L$38:$L$120,$E$1)</f>
        <v>0</v>
      </c>
      <c r="CK6" s="3">
        <f>SUMIFS(CK$38:CK$120,$B$38:$B$120,$E6,$L$38:$L$120,$E$1)</f>
        <v>0</v>
      </c>
      <c r="CL6" s="3">
        <f>SUMIFS(CL$38:CL$120,$B$38:$B$120,$E6,$L$38:$L$120,$E$1)</f>
        <v>0</v>
      </c>
      <c r="CM6" s="3">
        <f>SUMIFS(CM$38:CM$120,$B$38:$B$120,$E6,$L$38:$L$120,$E$1)</f>
        <v>0</v>
      </c>
      <c r="CN6" s="3">
        <f>SUMIFS(CN$38:CN$120,$B$38:$B$120,$E6,$L$38:$L$120,$E$1)</f>
        <v>0</v>
      </c>
      <c r="CO6" s="3">
        <f>SUMIFS(CO$38:CO$120,$B$38:$B$120,$E6,$L$38:$L$120,$E$1)</f>
        <v>0</v>
      </c>
      <c r="CP6" s="3">
        <f>SUMIFS(CP$38:CP$120,$B$38:$B$120,$E6,$L$38:$L$120,$E$1)</f>
        <v>0</v>
      </c>
      <c r="CQ6" s="3">
        <f>SUMIFS(CQ$38:CQ$120,$B$38:$B$120,$E6,$L$38:$L$120,$E$1)</f>
        <v>0</v>
      </c>
      <c r="CR6" s="3">
        <f>SUMIFS(CR$38:CR$120,$B$38:$B$120,$E6,$L$38:$L$120,$E$1)</f>
        <v>0</v>
      </c>
      <c r="CS6" s="3">
        <f>SUMIFS(CS$38:CS$120,$B$38:$B$120,$E6,$L$38:$L$120,$E$1)</f>
        <v>0</v>
      </c>
      <c r="CT6" s="3">
        <f>SUMIFS(CT$38:CT$120,$B$38:$B$120,$E6,$L$38:$L$120,$E$1)</f>
        <v>0</v>
      </c>
      <c r="CU6" s="3">
        <f>SUMIFS(CU$38:CU$120,$B$38:$B$120,$E6,$L$38:$L$120,$E$1)</f>
        <v>0</v>
      </c>
      <c r="CV6" s="3">
        <f>SUMIFS(CV$38:CV$120,$B$38:$B$120,$E6,$L$38:$L$120,$E$1)</f>
        <v>0</v>
      </c>
      <c r="CW6" s="3">
        <f>SUMIFS(CW$38:CW$120,$B$38:$B$120,$E6,$L$38:$L$120,$E$1)</f>
        <v>0</v>
      </c>
      <c r="CX6" s="3">
        <f>SUMIFS(CX$38:CX$120,$B$38:$B$120,$E6,$L$38:$L$120,$E$1)</f>
        <v>0</v>
      </c>
      <c r="CY6" s="3">
        <f>SUMIFS(CY$38:CY$120,$B$38:$B$120,$E6,$L$38:$L$120,$E$1)</f>
        <v>0</v>
      </c>
      <c r="CZ6" s="3">
        <f>SUMIFS(CZ$38:CZ$120,$B$38:$B$120,$E6,$L$38:$L$120,$E$1)</f>
        <v>0</v>
      </c>
      <c r="DA6" s="3">
        <f>SUMIFS(DA$38:DA$120,$B$38:$B$120,$E6,$L$38:$L$120,$E$1)</f>
        <v>0</v>
      </c>
      <c r="DB6" s="3">
        <f>SUMIFS(DB$38:DB$120,$B$38:$B$120,$E6,$L$38:$L$120,$E$1)</f>
        <v>0</v>
      </c>
    </row>
    <row r="7" spans="5:106">
      <c r="E7" s="2" t="s">
        <v>5</v>
      </c>
      <c r="R7" s="3">
        <f>SUMIFS(R$38:R$120,$B$38:$B$120,$E7,$L$38:$L$120,$E$1)</f>
        <v>0</v>
      </c>
      <c r="S7" s="3">
        <f>SUMIFS(S$38:S$120,$B$38:$B$120,$E7,$L$38:$L$120,$E$1)</f>
        <v>0</v>
      </c>
      <c r="T7" s="3">
        <f>SUMIFS(T$38:T$120,$B$38:$B$120,$E7,$L$38:$L$120,$E$1)</f>
        <v>0</v>
      </c>
      <c r="U7" s="3">
        <f>SUMIFS(U$38:U$120,$B$38:$B$120,$E7,$L$38:$L$120,$E$1)</f>
        <v>0</v>
      </c>
      <c r="V7" s="3">
        <f>SUMIFS(V$38:V$120,$B$38:$B$120,$E7,$L$38:$L$120,$E$1)</f>
        <v>0</v>
      </c>
      <c r="W7" s="3">
        <f>SUMIFS(W$38:W$120,$B$38:$B$120,$E7,$L$38:$L$120,$E$1)</f>
        <v>0</v>
      </c>
      <c r="X7" s="3">
        <f>SUMIFS(X$38:X$120,$B$38:$B$120,$E7,$L$38:$L$120,$E$1)</f>
        <v>0</v>
      </c>
      <c r="Y7" s="3">
        <f>SUMIFS(Y$38:Y$120,$B$38:$B$120,$E7,$L$38:$L$120,$E$1)</f>
        <v>0</v>
      </c>
      <c r="Z7" s="3">
        <f>SUMIFS(Z$38:Z$120,$B$38:$B$120,$E7,$L$38:$L$120,$E$1)</f>
        <v>0</v>
      </c>
      <c r="AA7" s="3">
        <f>SUMIFS(AA$38:AA$120,$B$38:$B$120,$E7,$L$38:$L$120,$E$1)</f>
        <v>0</v>
      </c>
      <c r="AB7" s="3">
        <f>SUMIFS(AB$38:AB$120,$B$38:$B$120,$E7,$L$38:$L$120,$E$1)</f>
        <v>0</v>
      </c>
      <c r="AC7" s="3">
        <f>SUMIFS(AC$38:AC$120,$B$38:$B$120,$E7,$L$38:$L$120,$E$1)</f>
        <v>0</v>
      </c>
      <c r="AD7" s="3">
        <f>SUMIFS(AD$38:AD$120,$B$38:$B$120,$E7,$L$38:$L$120,$E$1)</f>
        <v>0</v>
      </c>
      <c r="AE7" s="3">
        <f>SUMIFS(AE$38:AE$120,$B$38:$B$120,$E7,$L$38:$L$120,$E$1)</f>
        <v>0</v>
      </c>
      <c r="AF7" s="3">
        <f>SUMIFS(AF$38:AF$120,$B$38:$B$120,$E7,$L$38:$L$120,$E$1)</f>
        <v>0</v>
      </c>
      <c r="AG7" s="3">
        <f>SUMIFS(AG$38:AG$120,$B$38:$B$120,$E7,$L$38:$L$120,$E$1)</f>
        <v>0</v>
      </c>
      <c r="AH7" s="3">
        <f>SUMIFS(AH$38:AH$120,$B$38:$B$120,$E7,$L$38:$L$120,$E$1)</f>
        <v>0</v>
      </c>
      <c r="AI7" s="3"/>
      <c r="AJ7" s="3"/>
      <c r="AK7" s="3"/>
      <c r="AL7" s="3">
        <f>SUMIFS(AL$38:AL$120,$B$38:$B$120,$E7,$L$38:$L$120,$E$1)</f>
        <v>0</v>
      </c>
      <c r="AM7" s="3">
        <f>SUMIFS(AM$38:AM$120,$B$38:$B$120,$E7,$L$38:$L$120,$E$1)</f>
        <v>0</v>
      </c>
      <c r="AN7" s="3">
        <f>SUMIFS(AN$38:AN$120,$B$38:$B$120,$E7,$L$38:$L$120,$E$1)</f>
        <v>0</v>
      </c>
      <c r="AO7" s="3">
        <f>SUMIFS(AO$38:AO$120,$B$38:$B$120,$E7,$L$38:$L$120,$E$1)</f>
        <v>0</v>
      </c>
      <c r="AP7" s="3">
        <f>SUMIFS(AP$38:AP$120,$B$38:$B$120,$E7,$L$38:$L$120,$E$1)</f>
        <v>0</v>
      </c>
      <c r="AQ7" s="3">
        <f>SUMIFS(AQ$38:AQ$120,$B$38:$B$120,$E7,$L$38:$L$120,$E$1)</f>
        <v>0</v>
      </c>
      <c r="AR7" s="3">
        <f>SUMIFS(AR$38:AR$120,$B$38:$B$120,$E7,$L$38:$L$120,$E$1)</f>
        <v>0</v>
      </c>
      <c r="AS7" s="3">
        <f>SUMIFS(AS$38:AS$120,$B$38:$B$120,$E7,$L$38:$L$120,$E$1)</f>
        <v>0</v>
      </c>
      <c r="AT7" s="3">
        <f>SUMIFS(AT$38:AT$120,$B$38:$B$120,$E7,$L$38:$L$120,$E$1)</f>
        <v>0</v>
      </c>
      <c r="AU7" s="3">
        <f>SUMIFS(AU$38:AU$120,$B$38:$B$120,$E7,$L$38:$L$120,$E$1)</f>
        <v>0</v>
      </c>
      <c r="AV7" s="3">
        <f>SUMIFS(AV$38:AV$120,$B$38:$B$120,$E7,$L$38:$L$120,$E$1)</f>
        <v>0</v>
      </c>
      <c r="AW7" s="3">
        <f>SUMIFS(AW$38:AW$120,$B$38:$B$120,$E7,$L$38:$L$120,$E$1)</f>
        <v>0</v>
      </c>
      <c r="AX7" s="3">
        <f>SUMIFS(AX$38:AX$120,$B$38:$B$120,$E7,$L$38:$L$120,$E$1)</f>
        <v>0</v>
      </c>
      <c r="AY7" s="3">
        <f>SUMIFS(AY$38:AY$120,$B$38:$B$120,$E7,$L$38:$L$120,$E$1)</f>
        <v>0</v>
      </c>
      <c r="AZ7" s="3">
        <f>SUMIFS(AZ$38:AZ$120,$B$38:$B$120,$E7,$L$38:$L$120,$E$1)</f>
        <v>0</v>
      </c>
      <c r="BA7" s="3">
        <f>SUMIFS(BA$38:BA$120,$B$38:$B$120,$E7,$L$38:$L$120,$E$1)</f>
        <v>0</v>
      </c>
      <c r="BB7" s="3">
        <f>SUMIFS(BB$38:BB$120,$B$38:$B$120,$E7,$L$38:$L$120,$E$1)</f>
        <v>0</v>
      </c>
      <c r="BC7" s="3">
        <f>SUMIFS(BC$38:BC$120,$B$38:$B$120,$E7,$L$38:$L$120,$E$1)</f>
        <v>0</v>
      </c>
      <c r="BD7" s="3">
        <f>SUMIFS(BD$38:BD$120,$B$38:$B$120,$E7,$L$38:$L$120,$E$1)</f>
        <v>0</v>
      </c>
      <c r="BE7" s="3">
        <f>SUMIFS(BE$38:BE$120,$B$38:$B$120,$E7,$L$38:$L$120,$E$1)</f>
        <v>0</v>
      </c>
      <c r="BF7" s="3">
        <f>SUMIFS(BF$38:BF$120,$B$38:$B$120,$E7,$L$38:$L$120,$E$1)</f>
        <v>0</v>
      </c>
      <c r="BG7" s="3">
        <f>SUMIFS(BG$38:BG$120,$B$38:$B$120,$E7,$L$38:$L$120,$E$1)</f>
        <v>0</v>
      </c>
      <c r="BH7" s="3">
        <f>SUMIFS(BH$38:BH$120,$B$38:$B$120,$E7,$L$38:$L$120,$E$1)</f>
        <v>0</v>
      </c>
      <c r="BI7" s="3">
        <f>SUMIFS(BI$38:BI$120,$B$38:$B$120,$E7,$L$38:$L$120,$E$1)</f>
        <v>0</v>
      </c>
      <c r="BJ7" s="3">
        <f>SUMIFS(BJ$38:BJ$120,$B$38:$B$120,$E7,$L$38:$L$120,$E$1)</f>
        <v>0</v>
      </c>
      <c r="BK7" s="3">
        <f>SUMIFS(BK$38:BK$120,$B$38:$B$120,$E7,$L$38:$L$120,$E$1)</f>
        <v>0</v>
      </c>
      <c r="BL7" s="3">
        <f>SUMIFS(BL$38:BL$120,$B$38:$B$120,$E7,$L$38:$L$120,$E$1)</f>
        <v>0</v>
      </c>
      <c r="BM7" s="3">
        <f>SUMIFS(BM$38:BM$120,$B$38:$B$120,$E7,$L$38:$L$120,$E$1)</f>
        <v>0</v>
      </c>
      <c r="BN7" s="3">
        <f>SUMIFS(BN$38:BN$120,$B$38:$B$120,$E7,$L$38:$L$120,$E$1)</f>
        <v>0</v>
      </c>
      <c r="BO7" s="3">
        <f>SUMIFS(BO$38:BO$120,$B$38:$B$120,$E7,$L$38:$L$120,$E$1)</f>
        <v>0</v>
      </c>
      <c r="BP7" s="3">
        <f>SUMIFS(BP$38:BP$120,$B$38:$B$120,$E7,$L$38:$L$120,$E$1)</f>
        <v>0</v>
      </c>
      <c r="BQ7" s="3">
        <f>SUMIFS(BQ$38:BQ$120,$B$38:$B$120,$E7,$L$38:$L$120,$E$1)</f>
        <v>0</v>
      </c>
      <c r="BR7" s="3">
        <f>SUMIFS(BR$38:BR$120,$B$38:$B$120,$E7,$L$38:$L$120,$E$1)</f>
        <v>0</v>
      </c>
      <c r="BS7" s="3">
        <f>SUMIFS(BS$38:BS$120,$B$38:$B$120,$E7,$L$38:$L$120,$E$1)</f>
        <v>0</v>
      </c>
      <c r="BT7" s="3">
        <f>SUMIFS(BT$38:BT$120,$B$38:$B$120,$E7,$L$38:$L$120,$E$1)</f>
        <v>0</v>
      </c>
      <c r="BU7" s="3">
        <f>SUMIFS(BU$38:BU$120,$B$38:$B$120,$E7,$L$38:$L$120,$E$1)</f>
        <v>0</v>
      </c>
      <c r="BV7" s="3">
        <f>SUMIFS(BV$38:BV$120,$B$38:$B$120,$E7,$L$38:$L$120,$E$1)</f>
        <v>0</v>
      </c>
      <c r="BW7" s="3">
        <f>SUMIFS(BW$38:BW$120,$B$38:$B$120,$E7,$L$38:$L$120,$E$1)</f>
        <v>0</v>
      </c>
      <c r="BX7" s="3">
        <f>SUMIFS(BX$38:BX$120,$B$38:$B$120,$E7,$L$38:$L$120,$E$1)</f>
        <v>0</v>
      </c>
      <c r="BY7" s="3">
        <f>SUMIFS(BY$38:BY$120,$B$38:$B$120,$E7,$L$38:$L$120,$E$1)</f>
        <v>0</v>
      </c>
      <c r="BZ7" s="3">
        <f>SUMIFS(BZ$38:BZ$120,$B$38:$B$120,$E7,$L$38:$L$120,$E$1)</f>
        <v>0</v>
      </c>
      <c r="CA7" s="3">
        <f>SUMIFS(CA$38:CA$120,$B$38:$B$120,$E7,$L$38:$L$120,$E$1)</f>
        <v>0</v>
      </c>
      <c r="CB7" s="3">
        <f>SUMIFS(CB$38:CB$120,$B$38:$B$120,$E7,$L$38:$L$120,$E$1)</f>
        <v>0</v>
      </c>
      <c r="CC7" s="3">
        <f>SUMIFS(CC$38:CC$120,$B$38:$B$120,$E7,$L$38:$L$120,$E$1)</f>
        <v>0</v>
      </c>
      <c r="CD7" s="3">
        <f>SUMIFS(CD$38:CD$120,$B$38:$B$120,$E7,$L$38:$L$120,$E$1)</f>
        <v>0</v>
      </c>
      <c r="CE7" s="3">
        <f>SUMIFS(CE$38:CE$120,$B$38:$B$120,$E7,$L$38:$L$120,$E$1)</f>
        <v>0</v>
      </c>
      <c r="CF7" s="3">
        <f>SUMIFS(CF$38:CF$120,$B$38:$B$120,$E7,$L$38:$L$120,$E$1)</f>
        <v>0</v>
      </c>
      <c r="CG7" s="3">
        <f>SUMIFS(CG$38:CG$120,$B$38:$B$120,$E7,$L$38:$L$120,$E$1)</f>
        <v>0</v>
      </c>
      <c r="CH7" s="3">
        <f>SUMIFS(CH$38:CH$120,$B$38:$B$120,$E7,$L$38:$L$120,$E$1)</f>
        <v>0</v>
      </c>
      <c r="CI7" s="3">
        <f>SUMIFS(CI$38:CI$120,$B$38:$B$120,$E7,$L$38:$L$120,$E$1)</f>
        <v>0</v>
      </c>
      <c r="CJ7" s="3">
        <f>SUMIFS(CJ$38:CJ$120,$B$38:$B$120,$E7,$L$38:$L$120,$E$1)</f>
        <v>0</v>
      </c>
      <c r="CK7" s="3">
        <f>SUMIFS(CK$38:CK$120,$B$38:$B$120,$E7,$L$38:$L$120,$E$1)</f>
        <v>0</v>
      </c>
      <c r="CL7" s="3">
        <f>SUMIFS(CL$38:CL$120,$B$38:$B$120,$E7,$L$38:$L$120,$E$1)</f>
        <v>0</v>
      </c>
      <c r="CM7" s="3">
        <f>SUMIFS(CM$38:CM$120,$B$38:$B$120,$E7,$L$38:$L$120,$E$1)</f>
        <v>0</v>
      </c>
      <c r="CN7" s="3">
        <f>SUMIFS(CN$38:CN$120,$B$38:$B$120,$E7,$L$38:$L$120,$E$1)</f>
        <v>0</v>
      </c>
      <c r="CO7" s="3">
        <f>SUMIFS(CO$38:CO$120,$B$38:$B$120,$E7,$L$38:$L$120,$E$1)</f>
        <v>0</v>
      </c>
      <c r="CP7" s="3">
        <f>SUMIFS(CP$38:CP$120,$B$38:$B$120,$E7,$L$38:$L$120,$E$1)</f>
        <v>0</v>
      </c>
      <c r="CQ7" s="3">
        <f>SUMIFS(CQ$38:CQ$120,$B$38:$B$120,$E7,$L$38:$L$120,$E$1)</f>
        <v>0</v>
      </c>
      <c r="CR7" s="3">
        <f>SUMIFS(CR$38:CR$120,$B$38:$B$120,$E7,$L$38:$L$120,$E$1)</f>
        <v>0</v>
      </c>
      <c r="CS7" s="3">
        <f>SUMIFS(CS$38:CS$120,$B$38:$B$120,$E7,$L$38:$L$120,$E$1)</f>
        <v>0</v>
      </c>
      <c r="CT7" s="3">
        <f>SUMIFS(CT$38:CT$120,$B$38:$B$120,$E7,$L$38:$L$120,$E$1)</f>
        <v>0</v>
      </c>
      <c r="CU7" s="3">
        <f>SUMIFS(CU$38:CU$120,$B$38:$B$120,$E7,$L$38:$L$120,$E$1)</f>
        <v>0</v>
      </c>
      <c r="CV7" s="3">
        <f>SUMIFS(CV$38:CV$120,$B$38:$B$120,$E7,$L$38:$L$120,$E$1)</f>
        <v>0</v>
      </c>
      <c r="CW7" s="3">
        <f>SUMIFS(CW$38:CW$120,$B$38:$B$120,$E7,$L$38:$L$120,$E$1)</f>
        <v>0</v>
      </c>
      <c r="CX7" s="3">
        <f>SUMIFS(CX$38:CX$120,$B$38:$B$120,$E7,$L$38:$L$120,$E$1)</f>
        <v>0</v>
      </c>
      <c r="CY7" s="3">
        <f>SUMIFS(CY$38:CY$120,$B$38:$B$120,$E7,$L$38:$L$120,$E$1)</f>
        <v>0</v>
      </c>
      <c r="CZ7" s="3">
        <f>SUMIFS(CZ$38:CZ$120,$B$38:$B$120,$E7,$L$38:$L$120,$E$1)</f>
        <v>0</v>
      </c>
      <c r="DA7" s="3">
        <f>SUMIFS(DA$38:DA$120,$B$38:$B$120,$E7,$L$38:$L$120,$E$1)</f>
        <v>0</v>
      </c>
      <c r="DB7" s="3">
        <f>SUMIFS(DB$38:DB$120,$B$38:$B$120,$E7,$L$38:$L$120,$E$1)</f>
        <v>0</v>
      </c>
    </row>
    <row r="8" spans="5:106">
      <c r="E8" s="2" t="s">
        <v>6</v>
      </c>
      <c r="R8" s="3">
        <f>SUMIFS(R$38:R$120,$B$38:$B$120,$E8,$L$38:$L$120,$E$1)</f>
        <v>0</v>
      </c>
      <c r="S8" s="3">
        <f>SUMIFS(S$38:S$120,$B$38:$B$120,$E8,$L$38:$L$120,$E$1)</f>
        <v>0</v>
      </c>
      <c r="T8" s="3">
        <f>SUMIFS(T$38:T$120,$B$38:$B$120,$E8,$L$38:$L$120,$E$1)</f>
        <v>0</v>
      </c>
      <c r="U8" s="3">
        <f>SUMIFS(U$38:U$120,$B$38:$B$120,$E8,$L$38:$L$120,$E$1)</f>
        <v>0</v>
      </c>
      <c r="V8" s="3">
        <f>SUMIFS(V$38:V$120,$B$38:$B$120,$E8,$L$38:$L$120,$E$1)</f>
        <v>0</v>
      </c>
      <c r="W8" s="3">
        <f>SUMIFS(W$38:W$120,$B$38:$B$120,$E8,$L$38:$L$120,$E$1)</f>
        <v>0</v>
      </c>
      <c r="X8" s="3">
        <f>SUMIFS(X$38:X$120,$B$38:$B$120,$E8,$L$38:$L$120,$E$1)</f>
        <v>0</v>
      </c>
      <c r="Y8" s="3">
        <f>SUMIFS(Y$38:Y$120,$B$38:$B$120,$E8,$L$38:$L$120,$E$1)</f>
        <v>0</v>
      </c>
      <c r="Z8" s="3">
        <f>SUMIFS(Z$38:Z$120,$B$38:$B$120,$E8,$L$38:$L$120,$E$1)</f>
        <v>0</v>
      </c>
      <c r="AA8" s="3">
        <f>SUMIFS(AA$38:AA$120,$B$38:$B$120,$E8,$L$38:$L$120,$E$1)</f>
        <v>0</v>
      </c>
      <c r="AB8" s="3">
        <f>SUMIFS(AB$38:AB$120,$B$38:$B$120,$E8,$L$38:$L$120,$E$1)</f>
        <v>0</v>
      </c>
      <c r="AC8" s="3">
        <f>SUMIFS(AC$38:AC$120,$B$38:$B$120,$E8,$L$38:$L$120,$E$1)</f>
        <v>0</v>
      </c>
      <c r="AD8" s="3">
        <f>SUMIFS(AD$38:AD$120,$B$38:$B$120,$E8,$L$38:$L$120,$E$1)</f>
        <v>0</v>
      </c>
      <c r="AE8" s="3">
        <f>SUMIFS(AE$38:AE$120,$B$38:$B$120,$E8,$L$38:$L$120,$E$1)</f>
        <v>0</v>
      </c>
      <c r="AF8" s="3">
        <f>SUMIFS(AF$38:AF$120,$B$38:$B$120,$E8,$L$38:$L$120,$E$1)</f>
        <v>0</v>
      </c>
      <c r="AG8" s="3">
        <f>SUMIFS(AG$38:AG$120,$B$38:$B$120,$E8,$L$38:$L$120,$E$1)</f>
        <v>0</v>
      </c>
      <c r="AH8" s="3">
        <f>SUMIFS(AH$38:AH$120,$B$38:$B$120,$E8,$L$38:$L$120,$E$1)</f>
        <v>0</v>
      </c>
      <c r="AI8" s="3"/>
      <c r="AJ8" s="3"/>
      <c r="AK8" s="3"/>
      <c r="AL8" s="3">
        <f>SUMIFS(AL$38:AL$120,$B$38:$B$120,$E8,$L$38:$L$120,$E$1)</f>
        <v>0</v>
      </c>
      <c r="AM8" s="3">
        <f>SUMIFS(AM$38:AM$120,$B$38:$B$120,$E8,$L$38:$L$120,$E$1)</f>
        <v>0</v>
      </c>
      <c r="AN8" s="3">
        <f>SUMIFS(AN$38:AN$120,$B$38:$B$120,$E8,$L$38:$L$120,$E$1)</f>
        <v>0</v>
      </c>
      <c r="AO8" s="3">
        <f>SUMIFS(AO$38:AO$120,$B$38:$B$120,$E8,$L$38:$L$120,$E$1)</f>
        <v>0</v>
      </c>
      <c r="AP8" s="3">
        <f>SUMIFS(AP$38:AP$120,$B$38:$B$120,$E8,$L$38:$L$120,$E$1)</f>
        <v>0</v>
      </c>
      <c r="AQ8" s="3">
        <f>SUMIFS(AQ$38:AQ$120,$B$38:$B$120,$E8,$L$38:$L$120,$E$1)</f>
        <v>0</v>
      </c>
      <c r="AR8" s="3">
        <f>SUMIFS(AR$38:AR$120,$B$38:$B$120,$E8,$L$38:$L$120,$E$1)</f>
        <v>0</v>
      </c>
      <c r="AS8" s="3">
        <f>SUMIFS(AS$38:AS$120,$B$38:$B$120,$E8,$L$38:$L$120,$E$1)</f>
        <v>0</v>
      </c>
      <c r="AT8" s="3">
        <f>SUMIFS(AT$38:AT$120,$B$38:$B$120,$E8,$L$38:$L$120,$E$1)</f>
        <v>0</v>
      </c>
      <c r="AU8" s="3">
        <f>SUMIFS(AU$38:AU$120,$B$38:$B$120,$E8,$L$38:$L$120,$E$1)</f>
        <v>0</v>
      </c>
      <c r="AV8" s="3">
        <f>SUMIFS(AV$38:AV$120,$B$38:$B$120,$E8,$L$38:$L$120,$E$1)</f>
        <v>0</v>
      </c>
      <c r="AW8" s="3">
        <f>SUMIFS(AW$38:AW$120,$B$38:$B$120,$E8,$L$38:$L$120,$E$1)</f>
        <v>0</v>
      </c>
      <c r="AX8" s="3">
        <f>SUMIFS(AX$38:AX$120,$B$38:$B$120,$E8,$L$38:$L$120,$E$1)</f>
        <v>0</v>
      </c>
      <c r="AY8" s="3">
        <f>SUMIFS(AY$38:AY$120,$B$38:$B$120,$E8,$L$38:$L$120,$E$1)</f>
        <v>0</v>
      </c>
      <c r="AZ8" s="3">
        <f>SUMIFS(AZ$38:AZ$120,$B$38:$B$120,$E8,$L$38:$L$120,$E$1)</f>
        <v>0</v>
      </c>
      <c r="BA8" s="3">
        <f>SUMIFS(BA$38:BA$120,$B$38:$B$120,$E8,$L$38:$L$120,$E$1)</f>
        <v>0</v>
      </c>
      <c r="BB8" s="3">
        <f>SUMIFS(BB$38:BB$120,$B$38:$B$120,$E8,$L$38:$L$120,$E$1)</f>
        <v>0</v>
      </c>
      <c r="BC8" s="3">
        <f>SUMIFS(BC$38:BC$120,$B$38:$B$120,$E8,$L$38:$L$120,$E$1)</f>
        <v>0</v>
      </c>
      <c r="BD8" s="3">
        <f>SUMIFS(BD$38:BD$120,$B$38:$B$120,$E8,$L$38:$L$120,$E$1)</f>
        <v>0</v>
      </c>
      <c r="BE8" s="3">
        <f>SUMIFS(BE$38:BE$120,$B$38:$B$120,$E8,$L$38:$L$120,$E$1)</f>
        <v>0</v>
      </c>
      <c r="BF8" s="3">
        <f>SUMIFS(BF$38:BF$120,$B$38:$B$120,$E8,$L$38:$L$120,$E$1)</f>
        <v>0</v>
      </c>
      <c r="BG8" s="3">
        <f>SUMIFS(BG$38:BG$120,$B$38:$B$120,$E8,$L$38:$L$120,$E$1)</f>
        <v>0</v>
      </c>
      <c r="BH8" s="3">
        <f>SUMIFS(BH$38:BH$120,$B$38:$B$120,$E8,$L$38:$L$120,$E$1)</f>
        <v>0</v>
      </c>
      <c r="BI8" s="3">
        <f>SUMIFS(BI$38:BI$120,$B$38:$B$120,$E8,$L$38:$L$120,$E$1)</f>
        <v>0</v>
      </c>
      <c r="BJ8" s="3">
        <f>SUMIFS(BJ$38:BJ$120,$B$38:$B$120,$E8,$L$38:$L$120,$E$1)</f>
        <v>0</v>
      </c>
      <c r="BK8" s="3">
        <f>SUMIFS(BK$38:BK$120,$B$38:$B$120,$E8,$L$38:$L$120,$E$1)</f>
        <v>0</v>
      </c>
      <c r="BL8" s="3">
        <f>SUMIFS(BL$38:BL$120,$B$38:$B$120,$E8,$L$38:$L$120,$E$1)</f>
        <v>0</v>
      </c>
      <c r="BM8" s="3">
        <f>SUMIFS(BM$38:BM$120,$B$38:$B$120,$E8,$L$38:$L$120,$E$1)</f>
        <v>0</v>
      </c>
      <c r="BN8" s="3">
        <f>SUMIFS(BN$38:BN$120,$B$38:$B$120,$E8,$L$38:$L$120,$E$1)</f>
        <v>0</v>
      </c>
      <c r="BO8" s="3">
        <f>SUMIFS(BO$38:BO$120,$B$38:$B$120,$E8,$L$38:$L$120,$E$1)</f>
        <v>0</v>
      </c>
      <c r="BP8" s="3">
        <f>SUMIFS(BP$38:BP$120,$B$38:$B$120,$E8,$L$38:$L$120,$E$1)</f>
        <v>0</v>
      </c>
      <c r="BQ8" s="3">
        <f>SUMIFS(BQ$38:BQ$120,$B$38:$B$120,$E8,$L$38:$L$120,$E$1)</f>
        <v>0</v>
      </c>
      <c r="BR8" s="3">
        <f>SUMIFS(BR$38:BR$120,$B$38:$B$120,$E8,$L$38:$L$120,$E$1)</f>
        <v>0</v>
      </c>
      <c r="BS8" s="3">
        <f>SUMIFS(BS$38:BS$120,$B$38:$B$120,$E8,$L$38:$L$120,$E$1)</f>
        <v>0</v>
      </c>
      <c r="BT8" s="3">
        <f>SUMIFS(BT$38:BT$120,$B$38:$B$120,$E8,$L$38:$L$120,$E$1)</f>
        <v>0</v>
      </c>
      <c r="BU8" s="3">
        <f>SUMIFS(BU$38:BU$120,$B$38:$B$120,$E8,$L$38:$L$120,$E$1)</f>
        <v>0</v>
      </c>
      <c r="BV8" s="3">
        <f>SUMIFS(BV$38:BV$120,$B$38:$B$120,$E8,$L$38:$L$120,$E$1)</f>
        <v>0</v>
      </c>
      <c r="BW8" s="3">
        <f>SUMIFS(BW$38:BW$120,$B$38:$B$120,$E8,$L$38:$L$120,$E$1)</f>
        <v>0</v>
      </c>
      <c r="BX8" s="3">
        <f>SUMIFS(BX$38:BX$120,$B$38:$B$120,$E8,$L$38:$L$120,$E$1)</f>
        <v>0</v>
      </c>
      <c r="BY8" s="3">
        <f>SUMIFS(BY$38:BY$120,$B$38:$B$120,$E8,$L$38:$L$120,$E$1)</f>
        <v>0</v>
      </c>
      <c r="BZ8" s="3">
        <f>SUMIFS(BZ$38:BZ$120,$B$38:$B$120,$E8,$L$38:$L$120,$E$1)</f>
        <v>0</v>
      </c>
      <c r="CA8" s="3">
        <f>SUMIFS(CA$38:CA$120,$B$38:$B$120,$E8,$L$38:$L$120,$E$1)</f>
        <v>0</v>
      </c>
      <c r="CB8" s="3">
        <f>SUMIFS(CB$38:CB$120,$B$38:$B$120,$E8,$L$38:$L$120,$E$1)</f>
        <v>0</v>
      </c>
      <c r="CC8" s="3">
        <f>SUMIFS(CC$38:CC$120,$B$38:$B$120,$E8,$L$38:$L$120,$E$1)</f>
        <v>0</v>
      </c>
      <c r="CD8" s="3">
        <f>SUMIFS(CD$38:CD$120,$B$38:$B$120,$E8,$L$38:$L$120,$E$1)</f>
        <v>0</v>
      </c>
      <c r="CE8" s="3">
        <f>SUMIFS(CE$38:CE$120,$B$38:$B$120,$E8,$L$38:$L$120,$E$1)</f>
        <v>0</v>
      </c>
      <c r="CF8" s="3">
        <f>SUMIFS(CF$38:CF$120,$B$38:$B$120,$E8,$L$38:$L$120,$E$1)</f>
        <v>0</v>
      </c>
      <c r="CG8" s="3">
        <f>SUMIFS(CG$38:CG$120,$B$38:$B$120,$E8,$L$38:$L$120,$E$1)</f>
        <v>0</v>
      </c>
      <c r="CH8" s="3">
        <f>SUMIFS(CH$38:CH$120,$B$38:$B$120,$E8,$L$38:$L$120,$E$1)</f>
        <v>0</v>
      </c>
      <c r="CI8" s="3">
        <f>SUMIFS(CI$38:CI$120,$B$38:$B$120,$E8,$L$38:$L$120,$E$1)</f>
        <v>0</v>
      </c>
      <c r="CJ8" s="3">
        <f>SUMIFS(CJ$38:CJ$120,$B$38:$B$120,$E8,$L$38:$L$120,$E$1)</f>
        <v>0</v>
      </c>
      <c r="CK8" s="3">
        <f>SUMIFS(CK$38:CK$120,$B$38:$B$120,$E8,$L$38:$L$120,$E$1)</f>
        <v>0</v>
      </c>
      <c r="CL8" s="3">
        <f>SUMIFS(CL$38:CL$120,$B$38:$B$120,$E8,$L$38:$L$120,$E$1)</f>
        <v>0</v>
      </c>
      <c r="CM8" s="3">
        <f>SUMIFS(CM$38:CM$120,$B$38:$B$120,$E8,$L$38:$L$120,$E$1)</f>
        <v>0</v>
      </c>
      <c r="CN8" s="3">
        <f>SUMIFS(CN$38:CN$120,$B$38:$B$120,$E8,$L$38:$L$120,$E$1)</f>
        <v>0</v>
      </c>
      <c r="CO8" s="3">
        <f>SUMIFS(CO$38:CO$120,$B$38:$B$120,$E8,$L$38:$L$120,$E$1)</f>
        <v>0</v>
      </c>
      <c r="CP8" s="3">
        <f>SUMIFS(CP$38:CP$120,$B$38:$B$120,$E8,$L$38:$L$120,$E$1)</f>
        <v>0</v>
      </c>
      <c r="CQ8" s="3">
        <f>SUMIFS(CQ$38:CQ$120,$B$38:$B$120,$E8,$L$38:$L$120,$E$1)</f>
        <v>0</v>
      </c>
      <c r="CR8" s="3">
        <f>SUMIFS(CR$38:CR$120,$B$38:$B$120,$E8,$L$38:$L$120,$E$1)</f>
        <v>0</v>
      </c>
      <c r="CS8" s="3">
        <f>SUMIFS(CS$38:CS$120,$B$38:$B$120,$E8,$L$38:$L$120,$E$1)</f>
        <v>0</v>
      </c>
      <c r="CT8" s="3">
        <f>SUMIFS(CT$38:CT$120,$B$38:$B$120,$E8,$L$38:$L$120,$E$1)</f>
        <v>0</v>
      </c>
      <c r="CU8" s="3">
        <f>SUMIFS(CU$38:CU$120,$B$38:$B$120,$E8,$L$38:$L$120,$E$1)</f>
        <v>0</v>
      </c>
      <c r="CV8" s="3">
        <f>SUMIFS(CV$38:CV$120,$B$38:$B$120,$E8,$L$38:$L$120,$E$1)</f>
        <v>0</v>
      </c>
      <c r="CW8" s="3">
        <f>SUMIFS(CW$38:CW$120,$B$38:$B$120,$E8,$L$38:$L$120,$E$1)</f>
        <v>0</v>
      </c>
      <c r="CX8" s="3">
        <f>SUMIFS(CX$38:CX$120,$B$38:$B$120,$E8,$L$38:$L$120,$E$1)</f>
        <v>0</v>
      </c>
      <c r="CY8" s="3">
        <f>SUMIFS(CY$38:CY$120,$B$38:$B$120,$E8,$L$38:$L$120,$E$1)</f>
        <v>0</v>
      </c>
      <c r="CZ8" s="3">
        <f>SUMIFS(CZ$38:CZ$120,$B$38:$B$120,$E8,$L$38:$L$120,$E$1)</f>
        <v>0</v>
      </c>
      <c r="DA8" s="3">
        <f>SUMIFS(DA$38:DA$120,$B$38:$B$120,$E8,$L$38:$L$120,$E$1)</f>
        <v>0</v>
      </c>
      <c r="DB8" s="3">
        <f>SUMIFS(DB$38:DB$120,$B$38:$B$120,$E8,$L$38:$L$120,$E$1)</f>
        <v>0</v>
      </c>
    </row>
    <row r="9" spans="5:106">
      <c r="E9" s="2" t="s">
        <v>7</v>
      </c>
      <c r="R9" s="3">
        <f>SUMIFS(R$38:R$120,$B$38:$B$120,$E9,$L$38:$L$120,$E$1)</f>
        <v>0</v>
      </c>
      <c r="S9" s="3">
        <f>SUMIFS(S$38:S$120,$B$38:$B$120,$E9,$L$38:$L$120,$E$1)</f>
        <v>0</v>
      </c>
      <c r="T9" s="3">
        <f>SUMIFS(T$38:T$120,$B$38:$B$120,$E9,$L$38:$L$120,$E$1)</f>
        <v>0</v>
      </c>
      <c r="U9" s="3">
        <f>SUMIFS(U$38:U$120,$B$38:$B$120,$E9,$L$38:$L$120,$E$1)</f>
        <v>0</v>
      </c>
      <c r="V9" s="3">
        <f>SUMIFS(V$38:V$120,$B$38:$B$120,$E9,$L$38:$L$120,$E$1)</f>
        <v>0</v>
      </c>
      <c r="W9" s="3">
        <f>SUMIFS(W$38:W$120,$B$38:$B$120,$E9,$L$38:$L$120,$E$1)</f>
        <v>0</v>
      </c>
      <c r="X9" s="3">
        <f>SUMIFS(X$38:X$120,$B$38:$B$120,$E9,$L$38:$L$120,$E$1)</f>
        <v>0</v>
      </c>
      <c r="Y9" s="3">
        <f>SUMIFS(Y$38:Y$120,$B$38:$B$120,$E9,$L$38:$L$120,$E$1)</f>
        <v>0</v>
      </c>
      <c r="Z9" s="3">
        <f>SUMIFS(Z$38:Z$120,$B$38:$B$120,$E9,$L$38:$L$120,$E$1)</f>
        <v>0</v>
      </c>
      <c r="AA9" s="3">
        <f>SUMIFS(AA$38:AA$120,$B$38:$B$120,$E9,$L$38:$L$120,$E$1)</f>
        <v>0</v>
      </c>
      <c r="AB9" s="3">
        <f>SUMIFS(AB$38:AB$120,$B$38:$B$120,$E9,$L$38:$L$120,$E$1)</f>
        <v>0</v>
      </c>
      <c r="AC9" s="3">
        <f>SUMIFS(AC$38:AC$120,$B$38:$B$120,$E9,$L$38:$L$120,$E$1)</f>
        <v>0</v>
      </c>
      <c r="AD9" s="3">
        <f>SUMIFS(AD$38:AD$120,$B$38:$B$120,$E9,$L$38:$L$120,$E$1)</f>
        <v>0</v>
      </c>
      <c r="AE9" s="3">
        <f>SUMIFS(AE$38:AE$120,$B$38:$B$120,$E9,$L$38:$L$120,$E$1)</f>
        <v>0</v>
      </c>
      <c r="AF9" s="3">
        <f>SUMIFS(AF$38:AF$120,$B$38:$B$120,$E9,$L$38:$L$120,$E$1)</f>
        <v>0</v>
      </c>
      <c r="AG9" s="3">
        <f>SUMIFS(AG$38:AG$120,$B$38:$B$120,$E9,$L$38:$L$120,$E$1)</f>
        <v>0</v>
      </c>
      <c r="AH9" s="3">
        <f>SUMIFS(AH$38:AH$120,$B$38:$B$120,$E9,$L$38:$L$120,$E$1)</f>
        <v>0</v>
      </c>
      <c r="AI9" s="3"/>
      <c r="AJ9" s="3"/>
      <c r="AK9" s="3"/>
      <c r="AL9" s="3">
        <f>SUMIFS(AL$38:AL$120,$B$38:$B$120,$E9,$L$38:$L$120,$E$1)</f>
        <v>0</v>
      </c>
      <c r="AM9" s="3">
        <f>SUMIFS(AM$38:AM$120,$B$38:$B$120,$E9,$L$38:$L$120,$E$1)</f>
        <v>0</v>
      </c>
      <c r="AN9" s="3">
        <f>SUMIFS(AN$38:AN$120,$B$38:$B$120,$E9,$L$38:$L$120,$E$1)</f>
        <v>0</v>
      </c>
      <c r="AO9" s="3">
        <f>SUMIFS(AO$38:AO$120,$B$38:$B$120,$E9,$L$38:$L$120,$E$1)</f>
        <v>0</v>
      </c>
      <c r="AP9" s="3">
        <f>SUMIFS(AP$38:AP$120,$B$38:$B$120,$E9,$L$38:$L$120,$E$1)</f>
        <v>0</v>
      </c>
      <c r="AQ9" s="3">
        <f>SUMIFS(AQ$38:AQ$120,$B$38:$B$120,$E9,$L$38:$L$120,$E$1)</f>
        <v>0</v>
      </c>
      <c r="AR9" s="3">
        <f>SUMIFS(AR$38:AR$120,$B$38:$B$120,$E9,$L$38:$L$120,$E$1)</f>
        <v>0</v>
      </c>
      <c r="AS9" s="3">
        <f>SUMIFS(AS$38:AS$120,$B$38:$B$120,$E9,$L$38:$L$120,$E$1)</f>
        <v>0</v>
      </c>
      <c r="AT9" s="3">
        <f>SUMIFS(AT$38:AT$120,$B$38:$B$120,$E9,$L$38:$L$120,$E$1)</f>
        <v>0</v>
      </c>
      <c r="AU9" s="3">
        <f>SUMIFS(AU$38:AU$120,$B$38:$B$120,$E9,$L$38:$L$120,$E$1)</f>
        <v>0</v>
      </c>
      <c r="AV9" s="3">
        <f>SUMIFS(AV$38:AV$120,$B$38:$B$120,$E9,$L$38:$L$120,$E$1)</f>
        <v>0</v>
      </c>
      <c r="AW9" s="3">
        <f>SUMIFS(AW$38:AW$120,$B$38:$B$120,$E9,$L$38:$L$120,$E$1)</f>
        <v>0</v>
      </c>
      <c r="AX9" s="3">
        <f>SUMIFS(AX$38:AX$120,$B$38:$B$120,$E9,$L$38:$L$120,$E$1)</f>
        <v>0</v>
      </c>
      <c r="AY9" s="3">
        <f>SUMIFS(AY$38:AY$120,$B$38:$B$120,$E9,$L$38:$L$120,$E$1)</f>
        <v>0</v>
      </c>
      <c r="AZ9" s="3">
        <f>SUMIFS(AZ$38:AZ$120,$B$38:$B$120,$E9,$L$38:$L$120,$E$1)</f>
        <v>0</v>
      </c>
      <c r="BA9" s="3">
        <f>SUMIFS(BA$38:BA$120,$B$38:$B$120,$E9,$L$38:$L$120,$E$1)</f>
        <v>0</v>
      </c>
      <c r="BB9" s="3">
        <f>SUMIFS(BB$38:BB$120,$B$38:$B$120,$E9,$L$38:$L$120,$E$1)</f>
        <v>0</v>
      </c>
      <c r="BC9" s="3">
        <f>SUMIFS(BC$38:BC$120,$B$38:$B$120,$E9,$L$38:$L$120,$E$1)</f>
        <v>0</v>
      </c>
      <c r="BD9" s="3">
        <f>SUMIFS(BD$38:BD$120,$B$38:$B$120,$E9,$L$38:$L$120,$E$1)</f>
        <v>0</v>
      </c>
      <c r="BE9" s="3">
        <f>SUMIFS(BE$38:BE$120,$B$38:$B$120,$E9,$L$38:$L$120,$E$1)</f>
        <v>0</v>
      </c>
      <c r="BF9" s="3">
        <f>SUMIFS(BF$38:BF$120,$B$38:$B$120,$E9,$L$38:$L$120,$E$1)</f>
        <v>0</v>
      </c>
      <c r="BG9" s="3">
        <f>SUMIFS(BG$38:BG$120,$B$38:$B$120,$E9,$L$38:$L$120,$E$1)</f>
        <v>0</v>
      </c>
      <c r="BH9" s="3">
        <f>SUMIFS(BH$38:BH$120,$B$38:$B$120,$E9,$L$38:$L$120,$E$1)</f>
        <v>0</v>
      </c>
      <c r="BI9" s="3">
        <f>SUMIFS(BI$38:BI$120,$B$38:$B$120,$E9,$L$38:$L$120,$E$1)</f>
        <v>0</v>
      </c>
      <c r="BJ9" s="3">
        <f>SUMIFS(BJ$38:BJ$120,$B$38:$B$120,$E9,$L$38:$L$120,$E$1)</f>
        <v>0</v>
      </c>
      <c r="BK9" s="3">
        <f>SUMIFS(BK$38:BK$120,$B$38:$B$120,$E9,$L$38:$L$120,$E$1)</f>
        <v>0</v>
      </c>
      <c r="BL9" s="3">
        <f>SUMIFS(BL$38:BL$120,$B$38:$B$120,$E9,$L$38:$L$120,$E$1)</f>
        <v>0</v>
      </c>
      <c r="BM9" s="3">
        <f>SUMIFS(BM$38:BM$120,$B$38:$B$120,$E9,$L$38:$L$120,$E$1)</f>
        <v>0</v>
      </c>
      <c r="BN9" s="3">
        <f>SUMIFS(BN$38:BN$120,$B$38:$B$120,$E9,$L$38:$L$120,$E$1)</f>
        <v>0</v>
      </c>
      <c r="BO9" s="3">
        <f>SUMIFS(BO$38:BO$120,$B$38:$B$120,$E9,$L$38:$L$120,$E$1)</f>
        <v>0</v>
      </c>
      <c r="BP9" s="3">
        <f>SUMIFS(BP$38:BP$120,$B$38:$B$120,$E9,$L$38:$L$120,$E$1)</f>
        <v>0</v>
      </c>
      <c r="BQ9" s="3">
        <f>SUMIFS(BQ$38:BQ$120,$B$38:$B$120,$E9,$L$38:$L$120,$E$1)</f>
        <v>0</v>
      </c>
      <c r="BR9" s="3">
        <f>SUMIFS(BR$38:BR$120,$B$38:$B$120,$E9,$L$38:$L$120,$E$1)</f>
        <v>0</v>
      </c>
      <c r="BS9" s="3">
        <f>SUMIFS(BS$38:BS$120,$B$38:$B$120,$E9,$L$38:$L$120,$E$1)</f>
        <v>0</v>
      </c>
      <c r="BT9" s="3">
        <f>SUMIFS(BT$38:BT$120,$B$38:$B$120,$E9,$L$38:$L$120,$E$1)</f>
        <v>0</v>
      </c>
      <c r="BU9" s="3">
        <f>SUMIFS(BU$38:BU$120,$B$38:$B$120,$E9,$L$38:$L$120,$E$1)</f>
        <v>0</v>
      </c>
      <c r="BV9" s="3">
        <f>SUMIFS(BV$38:BV$120,$B$38:$B$120,$E9,$L$38:$L$120,$E$1)</f>
        <v>0</v>
      </c>
      <c r="BW9" s="3">
        <f>SUMIFS(BW$38:BW$120,$B$38:$B$120,$E9,$L$38:$L$120,$E$1)</f>
        <v>0</v>
      </c>
      <c r="BX9" s="3">
        <f>SUMIFS(BX$38:BX$120,$B$38:$B$120,$E9,$L$38:$L$120,$E$1)</f>
        <v>0</v>
      </c>
      <c r="BY9" s="3">
        <f>SUMIFS(BY$38:BY$120,$B$38:$B$120,$E9,$L$38:$L$120,$E$1)</f>
        <v>0</v>
      </c>
      <c r="BZ9" s="3">
        <f>SUMIFS(BZ$38:BZ$120,$B$38:$B$120,$E9,$L$38:$L$120,$E$1)</f>
        <v>0</v>
      </c>
      <c r="CA9" s="3">
        <f>SUMIFS(CA$38:CA$120,$B$38:$B$120,$E9,$L$38:$L$120,$E$1)</f>
        <v>0</v>
      </c>
      <c r="CB9" s="3">
        <f>SUMIFS(CB$38:CB$120,$B$38:$B$120,$E9,$L$38:$L$120,$E$1)</f>
        <v>0</v>
      </c>
      <c r="CC9" s="3">
        <f>SUMIFS(CC$38:CC$120,$B$38:$B$120,$E9,$L$38:$L$120,$E$1)</f>
        <v>0</v>
      </c>
      <c r="CD9" s="3">
        <f>SUMIFS(CD$38:CD$120,$B$38:$B$120,$E9,$L$38:$L$120,$E$1)</f>
        <v>0</v>
      </c>
      <c r="CE9" s="3">
        <f>SUMIFS(CE$38:CE$120,$B$38:$B$120,$E9,$L$38:$L$120,$E$1)</f>
        <v>0</v>
      </c>
      <c r="CF9" s="3">
        <f>SUMIFS(CF$38:CF$120,$B$38:$B$120,$E9,$L$38:$L$120,$E$1)</f>
        <v>0</v>
      </c>
      <c r="CG9" s="3">
        <f>SUMIFS(CG$38:CG$120,$B$38:$B$120,$E9,$L$38:$L$120,$E$1)</f>
        <v>0</v>
      </c>
      <c r="CH9" s="3">
        <f>SUMIFS(CH$38:CH$120,$B$38:$B$120,$E9,$L$38:$L$120,$E$1)</f>
        <v>0</v>
      </c>
      <c r="CI9" s="3">
        <f>SUMIFS(CI$38:CI$120,$B$38:$B$120,$E9,$L$38:$L$120,$E$1)</f>
        <v>0</v>
      </c>
      <c r="CJ9" s="3">
        <f>SUMIFS(CJ$38:CJ$120,$B$38:$B$120,$E9,$L$38:$L$120,$E$1)</f>
        <v>0</v>
      </c>
      <c r="CK9" s="3">
        <f>SUMIFS(CK$38:CK$120,$B$38:$B$120,$E9,$L$38:$L$120,$E$1)</f>
        <v>0</v>
      </c>
      <c r="CL9" s="3">
        <f>SUMIFS(CL$38:CL$120,$B$38:$B$120,$E9,$L$38:$L$120,$E$1)</f>
        <v>0</v>
      </c>
      <c r="CM9" s="3">
        <f>SUMIFS(CM$38:CM$120,$B$38:$B$120,$E9,$L$38:$L$120,$E$1)</f>
        <v>0</v>
      </c>
      <c r="CN9" s="3">
        <f>SUMIFS(CN$38:CN$120,$B$38:$B$120,$E9,$L$38:$L$120,$E$1)</f>
        <v>0</v>
      </c>
      <c r="CO9" s="3">
        <f>SUMIFS(CO$38:CO$120,$B$38:$B$120,$E9,$L$38:$L$120,$E$1)</f>
        <v>0</v>
      </c>
      <c r="CP9" s="3">
        <f>SUMIFS(CP$38:CP$120,$B$38:$B$120,$E9,$L$38:$L$120,$E$1)</f>
        <v>0</v>
      </c>
      <c r="CQ9" s="3">
        <f>SUMIFS(CQ$38:CQ$120,$B$38:$B$120,$E9,$L$38:$L$120,$E$1)</f>
        <v>0</v>
      </c>
      <c r="CR9" s="3">
        <f>SUMIFS(CR$38:CR$120,$B$38:$B$120,$E9,$L$38:$L$120,$E$1)</f>
        <v>0</v>
      </c>
      <c r="CS9" s="3">
        <f>SUMIFS(CS$38:CS$120,$B$38:$B$120,$E9,$L$38:$L$120,$E$1)</f>
        <v>0</v>
      </c>
      <c r="CT9" s="3">
        <f>SUMIFS(CT$38:CT$120,$B$38:$B$120,$E9,$L$38:$L$120,$E$1)</f>
        <v>0</v>
      </c>
      <c r="CU9" s="3">
        <f>SUMIFS(CU$38:CU$120,$B$38:$B$120,$E9,$L$38:$L$120,$E$1)</f>
        <v>0</v>
      </c>
      <c r="CV9" s="3">
        <f>SUMIFS(CV$38:CV$120,$B$38:$B$120,$E9,$L$38:$L$120,$E$1)</f>
        <v>0</v>
      </c>
      <c r="CW9" s="3">
        <f>SUMIFS(CW$38:CW$120,$B$38:$B$120,$E9,$L$38:$L$120,$E$1)</f>
        <v>0</v>
      </c>
      <c r="CX9" s="3">
        <f>SUMIFS(CX$38:CX$120,$B$38:$B$120,$E9,$L$38:$L$120,$E$1)</f>
        <v>0</v>
      </c>
      <c r="CY9" s="3">
        <f>SUMIFS(CY$38:CY$120,$B$38:$B$120,$E9,$L$38:$L$120,$E$1)</f>
        <v>0</v>
      </c>
      <c r="CZ9" s="3">
        <f>SUMIFS(CZ$38:CZ$120,$B$38:$B$120,$E9,$L$38:$L$120,$E$1)</f>
        <v>0</v>
      </c>
      <c r="DA9" s="3">
        <f>SUMIFS(DA$38:DA$120,$B$38:$B$120,$E9,$L$38:$L$120,$E$1)</f>
        <v>0</v>
      </c>
      <c r="DB9" s="3">
        <f>SUMIFS(DB$38:DB$120,$B$38:$B$120,$E9,$L$38:$L$120,$E$1)</f>
        <v>0</v>
      </c>
    </row>
    <row r="10" spans="5:106">
      <c r="E10" s="2" t="s">
        <v>8</v>
      </c>
      <c r="R10" s="3">
        <f>SUMIFS(R$38:R$120,$B$38:$B$120,$E10,$L$38:$L$120,$E$1)</f>
        <v>0</v>
      </c>
      <c r="S10" s="3">
        <f>SUMIFS(S$38:S$120,$B$38:$B$120,$E10,$L$38:$L$120,$E$1)</f>
        <v>0</v>
      </c>
      <c r="T10" s="3">
        <f>SUMIFS(T$38:T$120,$B$38:$B$120,$E10,$L$38:$L$120,$E$1)</f>
        <v>0</v>
      </c>
      <c r="U10" s="3">
        <f>SUMIFS(U$38:U$120,$B$38:$B$120,$E10,$L$38:$L$120,$E$1)</f>
        <v>0</v>
      </c>
      <c r="V10" s="3">
        <f>SUMIFS(V$38:V$120,$B$38:$B$120,$E10,$L$38:$L$120,$E$1)</f>
        <v>0</v>
      </c>
      <c r="W10" s="3">
        <f>SUMIFS(W$38:W$120,$B$38:$B$120,$E10,$L$38:$L$120,$E$1)</f>
        <v>0</v>
      </c>
      <c r="X10" s="3">
        <f>SUMIFS(X$38:X$120,$B$38:$B$120,$E10,$L$38:$L$120,$E$1)</f>
        <v>0</v>
      </c>
      <c r="Y10" s="3">
        <f>SUMIFS(Y$38:Y$120,$B$38:$B$120,$E10,$L$38:$L$120,$E$1)</f>
        <v>0</v>
      </c>
      <c r="Z10" s="3">
        <f>SUMIFS(Z$38:Z$120,$B$38:$B$120,$E10,$L$38:$L$120,$E$1)</f>
        <v>0</v>
      </c>
      <c r="AA10" s="3">
        <f>SUMIFS(AA$38:AA$120,$B$38:$B$120,$E10,$L$38:$L$120,$E$1)</f>
        <v>0</v>
      </c>
      <c r="AB10" s="3">
        <f>SUMIFS(AB$38:AB$120,$B$38:$B$120,$E10,$L$38:$L$120,$E$1)</f>
        <v>0</v>
      </c>
      <c r="AC10" s="3">
        <f>SUMIFS(AC$38:AC$120,$B$38:$B$120,$E10,$L$38:$L$120,$E$1)</f>
        <v>0</v>
      </c>
      <c r="AD10" s="3">
        <f>SUMIFS(AD$38:AD$120,$B$38:$B$120,$E10,$L$38:$L$120,$E$1)</f>
        <v>0</v>
      </c>
      <c r="AE10" s="3">
        <f>SUMIFS(AE$38:AE$120,$B$38:$B$120,$E10,$L$38:$L$120,$E$1)</f>
        <v>0</v>
      </c>
      <c r="AF10" s="3">
        <f>SUMIFS(AF$38:AF$120,$B$38:$B$120,$E10,$L$38:$L$120,$E$1)</f>
        <v>0</v>
      </c>
      <c r="AG10" s="3">
        <f>SUMIFS(AG$38:AG$120,$B$38:$B$120,$E10,$L$38:$L$120,$E$1)</f>
        <v>0</v>
      </c>
      <c r="AH10" s="3">
        <f>SUMIFS(AH$38:AH$120,$B$38:$B$120,$E10,$L$38:$L$120,$E$1)</f>
        <v>0</v>
      </c>
      <c r="AI10" s="3"/>
      <c r="AJ10" s="3"/>
      <c r="AK10" s="3"/>
      <c r="AL10" s="3">
        <f>SUMIFS(AL$38:AL$120,$B$38:$B$120,$E10,$L$38:$L$120,$E$1)</f>
        <v>0</v>
      </c>
      <c r="AM10" s="3">
        <f>SUMIFS(AM$38:AM$120,$B$38:$B$120,$E10,$L$38:$L$120,$E$1)</f>
        <v>0</v>
      </c>
      <c r="AN10" s="3">
        <f>SUMIFS(AN$38:AN$120,$B$38:$B$120,$E10,$L$38:$L$120,$E$1)</f>
        <v>0</v>
      </c>
      <c r="AO10" s="3">
        <f>SUMIFS(AO$38:AO$120,$B$38:$B$120,$E10,$L$38:$L$120,$E$1)</f>
        <v>0</v>
      </c>
      <c r="AP10" s="3">
        <f>SUMIFS(AP$38:AP$120,$B$38:$B$120,$E10,$L$38:$L$120,$E$1)</f>
        <v>0</v>
      </c>
      <c r="AQ10" s="3">
        <f>SUMIFS(AQ$38:AQ$120,$B$38:$B$120,$E10,$L$38:$L$120,$E$1)</f>
        <v>0</v>
      </c>
      <c r="AR10" s="3">
        <f>SUMIFS(AR$38:AR$120,$B$38:$B$120,$E10,$L$38:$L$120,$E$1)</f>
        <v>0</v>
      </c>
      <c r="AS10" s="3">
        <f>SUMIFS(AS$38:AS$120,$B$38:$B$120,$E10,$L$38:$L$120,$E$1)</f>
        <v>0</v>
      </c>
      <c r="AT10" s="3">
        <f>SUMIFS(AT$38:AT$120,$B$38:$B$120,$E10,$L$38:$L$120,$E$1)</f>
        <v>0</v>
      </c>
      <c r="AU10" s="3">
        <f>SUMIFS(AU$38:AU$120,$B$38:$B$120,$E10,$L$38:$L$120,$E$1)</f>
        <v>0</v>
      </c>
      <c r="AV10" s="3">
        <f>SUMIFS(AV$38:AV$120,$B$38:$B$120,$E10,$L$38:$L$120,$E$1)</f>
        <v>0</v>
      </c>
      <c r="AW10" s="3">
        <f>SUMIFS(AW$38:AW$120,$B$38:$B$120,$E10,$L$38:$L$120,$E$1)</f>
        <v>0</v>
      </c>
      <c r="AX10" s="3">
        <f>SUMIFS(AX$38:AX$120,$B$38:$B$120,$E10,$L$38:$L$120,$E$1)</f>
        <v>0</v>
      </c>
      <c r="AY10" s="3">
        <f>SUMIFS(AY$38:AY$120,$B$38:$B$120,$E10,$L$38:$L$120,$E$1)</f>
        <v>0</v>
      </c>
      <c r="AZ10" s="3">
        <f>SUMIFS(AZ$38:AZ$120,$B$38:$B$120,$E10,$L$38:$L$120,$E$1)</f>
        <v>0</v>
      </c>
      <c r="BA10" s="3">
        <f>SUMIFS(BA$38:BA$120,$B$38:$B$120,$E10,$L$38:$L$120,$E$1)</f>
        <v>0</v>
      </c>
      <c r="BB10" s="3">
        <f>SUMIFS(BB$38:BB$120,$B$38:$B$120,$E10,$L$38:$L$120,$E$1)</f>
        <v>0</v>
      </c>
      <c r="BC10" s="3">
        <f>SUMIFS(BC$38:BC$120,$B$38:$B$120,$E10,$L$38:$L$120,$E$1)</f>
        <v>0</v>
      </c>
      <c r="BD10" s="3">
        <f>SUMIFS(BD$38:BD$120,$B$38:$B$120,$E10,$L$38:$L$120,$E$1)</f>
        <v>0</v>
      </c>
      <c r="BE10" s="3">
        <f>SUMIFS(BE$38:BE$120,$B$38:$B$120,$E10,$L$38:$L$120,$E$1)</f>
        <v>0</v>
      </c>
      <c r="BF10" s="3">
        <f>SUMIFS(BF$38:BF$120,$B$38:$B$120,$E10,$L$38:$L$120,$E$1)</f>
        <v>0</v>
      </c>
      <c r="BG10" s="3">
        <f>SUMIFS(BG$38:BG$120,$B$38:$B$120,$E10,$L$38:$L$120,$E$1)</f>
        <v>0</v>
      </c>
      <c r="BH10" s="3">
        <f>SUMIFS(BH$38:BH$120,$B$38:$B$120,$E10,$L$38:$L$120,$E$1)</f>
        <v>0</v>
      </c>
      <c r="BI10" s="3">
        <f>SUMIFS(BI$38:BI$120,$B$38:$B$120,$E10,$L$38:$L$120,$E$1)</f>
        <v>0</v>
      </c>
      <c r="BJ10" s="3">
        <f>SUMIFS(BJ$38:BJ$120,$B$38:$B$120,$E10,$L$38:$L$120,$E$1)</f>
        <v>0</v>
      </c>
      <c r="BK10" s="3">
        <f>SUMIFS(BK$38:BK$120,$B$38:$B$120,$E10,$L$38:$L$120,$E$1)</f>
        <v>0</v>
      </c>
      <c r="BL10" s="3">
        <f>SUMIFS(BL$38:BL$120,$B$38:$B$120,$E10,$L$38:$L$120,$E$1)</f>
        <v>0</v>
      </c>
      <c r="BM10" s="3">
        <f>SUMIFS(BM$38:BM$120,$B$38:$B$120,$E10,$L$38:$L$120,$E$1)</f>
        <v>0</v>
      </c>
      <c r="BN10" s="3">
        <f>SUMIFS(BN$38:BN$120,$B$38:$B$120,$E10,$L$38:$L$120,$E$1)</f>
        <v>0</v>
      </c>
      <c r="BO10" s="3">
        <f>SUMIFS(BO$38:BO$120,$B$38:$B$120,$E10,$L$38:$L$120,$E$1)</f>
        <v>0</v>
      </c>
      <c r="BP10" s="3">
        <f>SUMIFS(BP$38:BP$120,$B$38:$B$120,$E10,$L$38:$L$120,$E$1)</f>
        <v>0</v>
      </c>
      <c r="BQ10" s="3">
        <f>SUMIFS(BQ$38:BQ$120,$B$38:$B$120,$E10,$L$38:$L$120,$E$1)</f>
        <v>0</v>
      </c>
      <c r="BR10" s="3">
        <f>SUMIFS(BR$38:BR$120,$B$38:$B$120,$E10,$L$38:$L$120,$E$1)</f>
        <v>0</v>
      </c>
      <c r="BS10" s="3">
        <f>SUMIFS(BS$38:BS$120,$B$38:$B$120,$E10,$L$38:$L$120,$E$1)</f>
        <v>0</v>
      </c>
      <c r="BT10" s="3">
        <f>SUMIFS(BT$38:BT$120,$B$38:$B$120,$E10,$L$38:$L$120,$E$1)</f>
        <v>0</v>
      </c>
      <c r="BU10" s="3">
        <f>SUMIFS(BU$38:BU$120,$B$38:$B$120,$E10,$L$38:$L$120,$E$1)</f>
        <v>0</v>
      </c>
      <c r="BV10" s="3">
        <f>SUMIFS(BV$38:BV$120,$B$38:$B$120,$E10,$L$38:$L$120,$E$1)</f>
        <v>0</v>
      </c>
      <c r="BW10" s="3">
        <f>SUMIFS(BW$38:BW$120,$B$38:$B$120,$E10,$L$38:$L$120,$E$1)</f>
        <v>0</v>
      </c>
      <c r="BX10" s="3">
        <f>SUMIFS(BX$38:BX$120,$B$38:$B$120,$E10,$L$38:$L$120,$E$1)</f>
        <v>0</v>
      </c>
      <c r="BY10" s="3">
        <f>SUMIFS(BY$38:BY$120,$B$38:$B$120,$E10,$L$38:$L$120,$E$1)</f>
        <v>0</v>
      </c>
      <c r="BZ10" s="3">
        <f>SUMIFS(BZ$38:BZ$120,$B$38:$B$120,$E10,$L$38:$L$120,$E$1)</f>
        <v>0</v>
      </c>
      <c r="CA10" s="3">
        <f>SUMIFS(CA$38:CA$120,$B$38:$B$120,$E10,$L$38:$L$120,$E$1)</f>
        <v>0</v>
      </c>
      <c r="CB10" s="3">
        <f>SUMIFS(CB$38:CB$120,$B$38:$B$120,$E10,$L$38:$L$120,$E$1)</f>
        <v>0</v>
      </c>
      <c r="CC10" s="3">
        <f>SUMIFS(CC$38:CC$120,$B$38:$B$120,$E10,$L$38:$L$120,$E$1)</f>
        <v>0</v>
      </c>
      <c r="CD10" s="3">
        <f>SUMIFS(CD$38:CD$120,$B$38:$B$120,$E10,$L$38:$L$120,$E$1)</f>
        <v>0</v>
      </c>
      <c r="CE10" s="3">
        <f>SUMIFS(CE$38:CE$120,$B$38:$B$120,$E10,$L$38:$L$120,$E$1)</f>
        <v>0</v>
      </c>
      <c r="CF10" s="3">
        <f>SUMIFS(CF$38:CF$120,$B$38:$B$120,$E10,$L$38:$L$120,$E$1)</f>
        <v>0</v>
      </c>
      <c r="CG10" s="3">
        <f>SUMIFS(CG$38:CG$120,$B$38:$B$120,$E10,$L$38:$L$120,$E$1)</f>
        <v>0</v>
      </c>
      <c r="CH10" s="3">
        <f>SUMIFS(CH$38:CH$120,$B$38:$B$120,$E10,$L$38:$L$120,$E$1)</f>
        <v>0</v>
      </c>
      <c r="CI10" s="3">
        <f>SUMIFS(CI$38:CI$120,$B$38:$B$120,$E10,$L$38:$L$120,$E$1)</f>
        <v>0</v>
      </c>
      <c r="CJ10" s="3">
        <f>SUMIFS(CJ$38:CJ$120,$B$38:$B$120,$E10,$L$38:$L$120,$E$1)</f>
        <v>0</v>
      </c>
      <c r="CK10" s="3">
        <f>SUMIFS(CK$38:CK$120,$B$38:$B$120,$E10,$L$38:$L$120,$E$1)</f>
        <v>0</v>
      </c>
      <c r="CL10" s="3">
        <f>SUMIFS(CL$38:CL$120,$B$38:$B$120,$E10,$L$38:$L$120,$E$1)</f>
        <v>0</v>
      </c>
      <c r="CM10" s="3">
        <f>SUMIFS(CM$38:CM$120,$B$38:$B$120,$E10,$L$38:$L$120,$E$1)</f>
        <v>0</v>
      </c>
      <c r="CN10" s="3">
        <f>SUMIFS(CN$38:CN$120,$B$38:$B$120,$E10,$L$38:$L$120,$E$1)</f>
        <v>0</v>
      </c>
      <c r="CO10" s="3">
        <f>SUMIFS(CO$38:CO$120,$B$38:$B$120,$E10,$L$38:$L$120,$E$1)</f>
        <v>0</v>
      </c>
      <c r="CP10" s="3">
        <f>SUMIFS(CP$38:CP$120,$B$38:$B$120,$E10,$L$38:$L$120,$E$1)</f>
        <v>0</v>
      </c>
      <c r="CQ10" s="3">
        <f>SUMIFS(CQ$38:CQ$120,$B$38:$B$120,$E10,$L$38:$L$120,$E$1)</f>
        <v>0</v>
      </c>
      <c r="CR10" s="3">
        <f>SUMIFS(CR$38:CR$120,$B$38:$B$120,$E10,$L$38:$L$120,$E$1)</f>
        <v>0</v>
      </c>
      <c r="CS10" s="3">
        <f>SUMIFS(CS$38:CS$120,$B$38:$B$120,$E10,$L$38:$L$120,$E$1)</f>
        <v>0</v>
      </c>
      <c r="CT10" s="3">
        <f>SUMIFS(CT$38:CT$120,$B$38:$B$120,$E10,$L$38:$L$120,$E$1)</f>
        <v>0</v>
      </c>
      <c r="CU10" s="3">
        <f>SUMIFS(CU$38:CU$120,$B$38:$B$120,$E10,$L$38:$L$120,$E$1)</f>
        <v>0</v>
      </c>
      <c r="CV10" s="3">
        <f>SUMIFS(CV$38:CV$120,$B$38:$B$120,$E10,$L$38:$L$120,$E$1)</f>
        <v>0</v>
      </c>
      <c r="CW10" s="3">
        <f>SUMIFS(CW$38:CW$120,$B$38:$B$120,$E10,$L$38:$L$120,$E$1)</f>
        <v>0</v>
      </c>
      <c r="CX10" s="3">
        <f>SUMIFS(CX$38:CX$120,$B$38:$B$120,$E10,$L$38:$L$120,$E$1)</f>
        <v>0</v>
      </c>
      <c r="CY10" s="3">
        <f>SUMIFS(CY$38:CY$120,$B$38:$B$120,$E10,$L$38:$L$120,$E$1)</f>
        <v>0</v>
      </c>
      <c r="CZ10" s="3">
        <f>SUMIFS(CZ$38:CZ$120,$B$38:$B$120,$E10,$L$38:$L$120,$E$1)</f>
        <v>0</v>
      </c>
      <c r="DA10" s="3">
        <f>SUMIFS(DA$38:DA$120,$B$38:$B$120,$E10,$L$38:$L$120,$E$1)</f>
        <v>0</v>
      </c>
      <c r="DB10" s="3">
        <f>SUMIFS(DB$38:DB$120,$B$38:$B$120,$E10,$L$38:$L$120,$E$1)</f>
        <v>0</v>
      </c>
    </row>
    <row r="11" spans="5:106">
      <c r="E11" s="2" t="s">
        <v>9</v>
      </c>
      <c r="R11" s="3">
        <f>SUMIFS(R$38:R$120,$B$38:$B$120,$E11,$L$38:$L$120,$E$1)</f>
        <v>1759</v>
      </c>
      <c r="S11" s="3">
        <f>SUMIFS(S$38:S$120,$B$38:$B$120,$E11,$L$38:$L$120,$E$1)</f>
        <v>1523</v>
      </c>
      <c r="T11" s="3">
        <f>SUMIFS(T$38:T$120,$B$38:$B$120,$E11,$L$38:$L$120,$E$1)</f>
        <v>3282</v>
      </c>
      <c r="U11" s="3">
        <f>SUMIFS(U$38:U$120,$B$38:$B$120,$E11,$L$38:$L$120,$E$1)</f>
        <v>1785</v>
      </c>
      <c r="V11" s="3">
        <f>SUMIFS(V$38:V$120,$B$38:$B$120,$E11,$L$38:$L$120,$E$1)</f>
        <v>1593</v>
      </c>
      <c r="W11" s="3">
        <f>SUMIFS(W$38:W$120,$B$38:$B$120,$E11,$L$38:$L$120,$E$1)</f>
        <v>1788</v>
      </c>
      <c r="X11" s="3">
        <f>SUMIFS(X$38:X$120,$B$38:$B$120,$E11,$L$38:$L$120,$E$1)</f>
        <v>1578</v>
      </c>
      <c r="Y11" s="3">
        <f>SUMIFS(Y$38:Y$120,$B$38:$B$120,$E11,$L$38:$L$120,$E$1)</f>
        <v>1714</v>
      </c>
      <c r="Z11" s="3">
        <f>SUMIFS(Z$38:Z$120,$B$38:$B$120,$E11,$L$38:$L$120,$E$1)</f>
        <v>1589</v>
      </c>
      <c r="AA11" s="3">
        <f>SUMIFS(AA$38:AA$120,$B$38:$B$120,$E11,$L$38:$L$120,$E$1)</f>
        <v>1902</v>
      </c>
      <c r="AB11" s="3">
        <f>SUMIFS(AB$38:AB$120,$B$38:$B$120,$E11,$L$38:$L$120,$E$1)</f>
        <v>1727</v>
      </c>
      <c r="AC11" s="3">
        <f>SUMIFS(AC$38:AC$120,$B$38:$B$120,$E11,$L$38:$L$120,$E$1)</f>
        <v>1783</v>
      </c>
      <c r="AD11" s="3">
        <f>SUMIFS(AD$38:AD$120,$B$38:$B$120,$E11,$L$38:$L$120,$E$1)</f>
        <v>1611</v>
      </c>
      <c r="AE11" s="3">
        <f>SUMIFS(AE$38:AE$120,$B$38:$B$120,$E11,$L$38:$L$120,$E$1)</f>
        <v>1420</v>
      </c>
      <c r="AF11" s="3">
        <f>SUMIFS(AF$38:AF$120,$B$38:$B$120,$E11,$L$38:$L$120,$E$1)</f>
        <v>1302</v>
      </c>
      <c r="AG11" s="3">
        <f>SUMIFS(AG$38:AG$120,$B$38:$B$120,$E11,$L$38:$L$120,$E$1)</f>
        <v>48</v>
      </c>
      <c r="AH11" s="3">
        <f>SUMIFS(AH$38:AH$120,$B$38:$B$120,$E11,$L$38:$L$120,$E$1)</f>
        <v>41</v>
      </c>
      <c r="AI11" s="3"/>
      <c r="AJ11" s="3"/>
      <c r="AK11" s="3"/>
      <c r="AL11" s="3">
        <f>SUMIFS(AL$38:AL$120,$B$38:$B$120,$E11,$L$38:$L$120,$E$1)</f>
        <v>10440</v>
      </c>
      <c r="AM11" s="3">
        <f>SUMIFS(AM$38:AM$120,$B$38:$B$120,$E11,$L$38:$L$120,$E$1)</f>
        <v>9441</v>
      </c>
      <c r="AN11" s="3">
        <f>SUMIFS(AN$38:AN$120,$B$38:$B$120,$E11,$L$38:$L$120,$E$1)</f>
        <v>19881</v>
      </c>
      <c r="AO11" s="3">
        <f>SUMIFS(AO$38:AO$120,$B$38:$B$120,$E11,$L$38:$L$120,$E$1)</f>
        <v>12199</v>
      </c>
      <c r="AP11" s="3">
        <f>SUMIFS(AP$38:AP$120,$B$38:$B$120,$E11,$L$38:$L$120,$E$1)</f>
        <v>10964</v>
      </c>
      <c r="AQ11" s="3">
        <f>SUMIFS(AQ$38:AQ$120,$B$38:$B$120,$E11,$L$38:$L$120,$E$1)</f>
        <v>23163</v>
      </c>
      <c r="AR11" s="3">
        <f>SUMIFS(AR$38:AR$120,$B$38:$B$120,$E11,$L$38:$L$120,$E$1)</f>
        <v>1581</v>
      </c>
      <c r="AS11" s="3">
        <f>SUMIFS(AS$38:AS$120,$B$38:$B$120,$E11,$L$38:$L$120,$E$1)</f>
        <v>1447</v>
      </c>
      <c r="AT11" s="3">
        <f>SUMIFS(AT$38:AT$120,$B$38:$B$120,$E11,$L$38:$L$120,$E$1)</f>
        <v>1501</v>
      </c>
      <c r="AU11" s="3">
        <f>SUMIFS(AU$38:AU$120,$B$38:$B$120,$E11,$L$38:$L$120,$E$1)</f>
        <v>1623</v>
      </c>
      <c r="AV11" s="3">
        <f>SUMIFS(AV$38:AV$120,$B$38:$B$120,$E11,$L$38:$L$120,$E$1)</f>
        <v>1573</v>
      </c>
      <c r="AW11" s="3">
        <f>SUMIFS(AW$38:AW$120,$B$38:$B$120,$E11,$L$38:$L$120,$E$1)</f>
        <v>1599</v>
      </c>
      <c r="AX11" s="3">
        <f>SUMIFS(AX$38:AX$120,$B$38:$B$120,$E11,$L$38:$L$120,$E$1)</f>
        <v>1569</v>
      </c>
      <c r="AY11" s="3">
        <f>SUMIFS(AY$38:AY$120,$B$38:$B$120,$E11,$L$38:$L$120,$E$1)</f>
        <v>1627</v>
      </c>
      <c r="AZ11" s="3">
        <f>SUMIFS(AZ$38:AZ$120,$B$38:$B$120,$E11,$L$38:$L$120,$E$1)</f>
        <v>0</v>
      </c>
      <c r="BA11" s="3">
        <f>SUMIFS(BA$38:BA$120,$B$38:$B$120,$E11,$L$38:$L$120,$E$1)</f>
        <v>0</v>
      </c>
      <c r="BB11" s="3">
        <f>SUMIFS(BB$38:BB$120,$B$38:$B$120,$E11,$L$38:$L$120,$E$1)</f>
        <v>6224</v>
      </c>
      <c r="BC11" s="3">
        <f>SUMIFS(BC$38:BC$120,$B$38:$B$120,$E11,$L$38:$L$120,$E$1)</f>
        <v>6296</v>
      </c>
      <c r="BD11" s="3">
        <f>SUMIFS(BD$38:BD$120,$B$38:$B$120,$E11,$L$38:$L$120,$E$1)</f>
        <v>12520</v>
      </c>
      <c r="BE11" s="3">
        <f>SUMIFS(BE$38:BE$120,$B$38:$B$120,$E11,$L$38:$L$120,$E$1)</f>
        <v>34</v>
      </c>
      <c r="BF11" s="3">
        <f>SUMIFS(BF$38:BF$120,$B$38:$B$120,$E11,$L$38:$L$120,$E$1)</f>
        <v>82</v>
      </c>
      <c r="BG11" s="3">
        <f>SUMIFS(BG$38:BG$120,$B$38:$B$120,$E11,$L$38:$L$120,$E$1)</f>
        <v>135</v>
      </c>
      <c r="BH11" s="3">
        <f>SUMIFS(BH$38:BH$120,$B$38:$B$120,$E11,$L$38:$L$120,$E$1)</f>
        <v>194</v>
      </c>
      <c r="BI11" s="3">
        <f>SUMIFS(BI$38:BI$120,$B$38:$B$120,$E11,$L$38:$L$120,$E$1)</f>
        <v>51</v>
      </c>
      <c r="BJ11" s="3">
        <f>SUMIFS(BJ$38:BJ$120,$B$38:$B$120,$E11,$L$38:$L$120,$E$1)</f>
        <v>107</v>
      </c>
      <c r="BK11" s="3">
        <f>SUMIFS(BK$38:BK$120,$B$38:$B$120,$E11,$L$38:$L$120,$E$1)</f>
        <v>512</v>
      </c>
      <c r="BL11" s="3">
        <f>SUMIFS(BL$38:BL$120,$B$38:$B$120,$E11,$L$38:$L$120,$E$1)</f>
        <v>628</v>
      </c>
      <c r="BM11" s="3">
        <f>SUMIFS(BM$38:BM$120,$B$38:$B$120,$E11,$L$38:$L$120,$E$1)</f>
        <v>0</v>
      </c>
      <c r="BN11" s="3">
        <f>SUMIFS(BN$38:BN$120,$B$38:$B$120,$E11,$L$38:$L$120,$E$1)</f>
        <v>0</v>
      </c>
      <c r="BO11" s="3">
        <f>SUMIFS(BO$38:BO$120,$B$38:$B$120,$E11,$L$38:$L$120,$E$1)</f>
        <v>732</v>
      </c>
      <c r="BP11" s="3">
        <f>SUMIFS(BP$38:BP$120,$B$38:$B$120,$E11,$L$38:$L$120,$E$1)</f>
        <v>1011</v>
      </c>
      <c r="BQ11" s="3">
        <f>SUMIFS(BQ$38:BQ$120,$B$38:$B$120,$E11,$L$38:$L$120,$E$1)</f>
        <v>1743</v>
      </c>
      <c r="BR11" s="3">
        <f>SUMIFS(BR$38:BR$120,$B$38:$B$120,$E11,$L$38:$L$120,$E$1)</f>
        <v>668</v>
      </c>
      <c r="BS11" s="3">
        <f>SUMIFS(BS$38:BS$120,$B$38:$B$120,$E11,$L$38:$L$120,$E$1)</f>
        <v>607</v>
      </c>
      <c r="BT11" s="3">
        <f>SUMIFS(BT$38:BT$120,$B$38:$B$120,$E11,$L$38:$L$120,$E$1)</f>
        <v>0</v>
      </c>
      <c r="BU11" s="3">
        <f>SUMIFS(BU$38:BU$120,$B$38:$B$120,$E11,$L$38:$L$120,$E$1)</f>
        <v>0</v>
      </c>
      <c r="BV11" s="3">
        <f>SUMIFS(BV$38:BV$120,$B$38:$B$120,$E11,$L$38:$L$120,$E$1)</f>
        <v>24</v>
      </c>
      <c r="BW11" s="3">
        <f>SUMIFS(BW$38:BW$120,$B$38:$B$120,$E11,$L$38:$L$120,$E$1)</f>
        <v>16</v>
      </c>
      <c r="BX11" s="3">
        <f>SUMIFS(BX$38:BX$120,$B$38:$B$120,$E11,$L$38:$L$120,$E$1)</f>
        <v>1424</v>
      </c>
      <c r="BY11" s="3">
        <f>SUMIFS(BY$38:BY$120,$B$38:$B$120,$E11,$L$38:$L$120,$E$1)</f>
        <v>1634</v>
      </c>
      <c r="BZ11" s="3">
        <f>SUMIFS(BZ$38:BZ$120,$B$38:$B$120,$E11,$L$38:$L$120,$E$1)</f>
        <v>3058</v>
      </c>
      <c r="CA11" s="3">
        <f>SUMIFS(CA$38:CA$120,$B$38:$B$120,$E11,$L$38:$L$120,$E$1)</f>
        <v>31</v>
      </c>
      <c r="CB11" s="3">
        <f>SUMIFS(CB$38:CB$120,$B$38:$B$120,$E11,$L$38:$L$120,$E$1)</f>
        <v>73</v>
      </c>
      <c r="CC11" s="3">
        <f>SUMIFS(CC$38:CC$120,$B$38:$B$120,$E11,$L$38:$L$120,$E$1)</f>
        <v>93</v>
      </c>
      <c r="CD11" s="3">
        <f>SUMIFS(CD$38:CD$120,$B$38:$B$120,$E11,$L$38:$L$120,$E$1)</f>
        <v>212</v>
      </c>
      <c r="CE11" s="3">
        <f>SUMIFS(CE$38:CE$120,$B$38:$B$120,$E11,$L$38:$L$120,$E$1)</f>
        <v>33</v>
      </c>
      <c r="CF11" s="3">
        <f>SUMIFS(CF$38:CF$120,$B$38:$B$120,$E11,$L$38:$L$120,$E$1)</f>
        <v>99</v>
      </c>
      <c r="CG11" s="3">
        <f>SUMIFS(CG$38:CG$120,$B$38:$B$120,$E11,$L$38:$L$120,$E$1)</f>
        <v>315</v>
      </c>
      <c r="CH11" s="3">
        <f>SUMIFS(CH$38:CH$120,$B$38:$B$120,$E11,$L$38:$L$120,$E$1)</f>
        <v>437</v>
      </c>
      <c r="CI11" s="3">
        <f>SUMIFS(CI$38:CI$120,$B$38:$B$120,$E11,$L$38:$L$120,$E$1)</f>
        <v>0</v>
      </c>
      <c r="CJ11" s="3">
        <f>SUMIFS(CJ$38:CJ$120,$B$38:$B$120,$E11,$L$38:$L$120,$E$1)</f>
        <v>0</v>
      </c>
      <c r="CK11" s="3">
        <f>SUMIFS(CK$38:CK$120,$B$38:$B$120,$E11,$L$38:$L$120,$E$1)</f>
        <v>472</v>
      </c>
      <c r="CL11" s="3">
        <f>SUMIFS(CL$38:CL$120,$B$38:$B$120,$E11,$L$38:$L$120,$E$1)</f>
        <v>821</v>
      </c>
      <c r="CM11" s="3">
        <f>SUMIFS(CM$38:CM$120,$B$38:$B$120,$E11,$L$38:$L$120,$E$1)</f>
        <v>1293</v>
      </c>
      <c r="CN11" s="3">
        <f>SUMIFS(CN$38:CN$120,$B$38:$B$120,$E11,$L$38:$L$120,$E$1)</f>
        <v>511</v>
      </c>
      <c r="CO11" s="3">
        <f>SUMIFS(CO$38:CO$120,$B$38:$B$120,$E11,$L$38:$L$120,$E$1)</f>
        <v>386</v>
      </c>
      <c r="CP11" s="3">
        <f>SUMIFS(CP$38:CP$120,$B$38:$B$120,$E11,$L$38:$L$120,$E$1)</f>
        <v>0</v>
      </c>
      <c r="CQ11" s="3">
        <f>SUMIFS(CQ$38:CQ$120,$B$38:$B$120,$E11,$L$38:$L$120,$E$1)</f>
        <v>0</v>
      </c>
      <c r="CR11" s="3">
        <f>SUMIFS(CR$38:CR$120,$B$38:$B$120,$E11,$L$38:$L$120,$E$1)</f>
        <v>21</v>
      </c>
      <c r="CS11" s="3">
        <f>SUMIFS(CS$38:CS$120,$B$38:$B$120,$E11,$L$38:$L$120,$E$1)</f>
        <v>21</v>
      </c>
      <c r="CT11" s="3">
        <f>SUMIFS(CT$38:CT$120,$B$38:$B$120,$E11,$L$38:$L$120,$E$1)</f>
        <v>1004</v>
      </c>
      <c r="CU11" s="3">
        <f>SUMIFS(CU$38:CU$120,$B$38:$B$120,$E11,$L$38:$L$120,$E$1)</f>
        <v>1228</v>
      </c>
      <c r="CV11" s="3">
        <f>SUMIFS(CV$38:CV$120,$B$38:$B$120,$E11,$L$38:$L$120,$E$1)</f>
        <v>2232</v>
      </c>
      <c r="CW11" s="3">
        <f>SUMIFS(CW$38:CW$120,$B$38:$B$120,$E11,$L$38:$L$120,$E$1)</f>
        <v>2428</v>
      </c>
      <c r="CX11" s="3">
        <f>SUMIFS(CX$38:CX$120,$B$38:$B$120,$E11,$L$38:$L$120,$E$1)</f>
        <v>2862</v>
      </c>
      <c r="CY11" s="3">
        <f>SUMIFS(CY$38:CY$120,$B$38:$B$120,$E11,$L$38:$L$120,$E$1)</f>
        <v>5290</v>
      </c>
      <c r="CZ11" s="3">
        <f>SUMIFS(CZ$38:CZ$120,$B$38:$B$120,$E11,$L$38:$L$120,$E$1)</f>
        <v>20851</v>
      </c>
      <c r="DA11" s="3">
        <f>SUMIFS(DA$38:DA$120,$B$38:$B$120,$E11,$L$38:$L$120,$E$1)</f>
        <v>20122</v>
      </c>
      <c r="DB11" s="3">
        <f>SUMIFS(DB$38:DB$120,$B$38:$B$120,$E11,$L$38:$L$120,$E$1)</f>
        <v>40973</v>
      </c>
    </row>
    <row r="12" spans="5:106">
      <c r="E12" s="2" t="s">
        <v>10</v>
      </c>
      <c r="R12" s="3">
        <f>SUMIFS(R$38:R$120,$B$38:$B$120,$E12,$L$38:$L$120,$E$1)</f>
        <v>0</v>
      </c>
      <c r="S12" s="3">
        <f>SUMIFS(S$38:S$120,$B$38:$B$120,$E12,$L$38:$L$120,$E$1)</f>
        <v>0</v>
      </c>
      <c r="T12" s="3">
        <f>SUMIFS(T$38:T$120,$B$38:$B$120,$E12,$L$38:$L$120,$E$1)</f>
        <v>0</v>
      </c>
      <c r="U12" s="3">
        <f>SUMIFS(U$38:U$120,$B$38:$B$120,$E12,$L$38:$L$120,$E$1)</f>
        <v>0</v>
      </c>
      <c r="V12" s="3">
        <f>SUMIFS(V$38:V$120,$B$38:$B$120,$E12,$L$38:$L$120,$E$1)</f>
        <v>0</v>
      </c>
      <c r="W12" s="3">
        <f>SUMIFS(W$38:W$120,$B$38:$B$120,$E12,$L$38:$L$120,$E$1)</f>
        <v>0</v>
      </c>
      <c r="X12" s="3">
        <f>SUMIFS(X$38:X$120,$B$38:$B$120,$E12,$L$38:$L$120,$E$1)</f>
        <v>0</v>
      </c>
      <c r="Y12" s="3">
        <f>SUMIFS(Y$38:Y$120,$B$38:$B$120,$E12,$L$38:$L$120,$E$1)</f>
        <v>0</v>
      </c>
      <c r="Z12" s="3">
        <f>SUMIFS(Z$38:Z$120,$B$38:$B$120,$E12,$L$38:$L$120,$E$1)</f>
        <v>0</v>
      </c>
      <c r="AA12" s="3">
        <f>SUMIFS(AA$38:AA$120,$B$38:$B$120,$E12,$L$38:$L$120,$E$1)</f>
        <v>0</v>
      </c>
      <c r="AB12" s="3">
        <f>SUMIFS(AB$38:AB$120,$B$38:$B$120,$E12,$L$38:$L$120,$E$1)</f>
        <v>0</v>
      </c>
      <c r="AC12" s="3">
        <f>SUMIFS(AC$38:AC$120,$B$38:$B$120,$E12,$L$38:$L$120,$E$1)</f>
        <v>0</v>
      </c>
      <c r="AD12" s="3">
        <f>SUMIFS(AD$38:AD$120,$B$38:$B$120,$E12,$L$38:$L$120,$E$1)</f>
        <v>0</v>
      </c>
      <c r="AE12" s="3">
        <f>SUMIFS(AE$38:AE$120,$B$38:$B$120,$E12,$L$38:$L$120,$E$1)</f>
        <v>0</v>
      </c>
      <c r="AF12" s="3">
        <f>SUMIFS(AF$38:AF$120,$B$38:$B$120,$E12,$L$38:$L$120,$E$1)</f>
        <v>0</v>
      </c>
      <c r="AG12" s="3">
        <f>SUMIFS(AG$38:AG$120,$B$38:$B$120,$E12,$L$38:$L$120,$E$1)</f>
        <v>0</v>
      </c>
      <c r="AH12" s="3">
        <f>SUMIFS(AH$38:AH$120,$B$38:$B$120,$E12,$L$38:$L$120,$E$1)</f>
        <v>0</v>
      </c>
      <c r="AI12" s="3"/>
      <c r="AJ12" s="3"/>
      <c r="AK12" s="3"/>
      <c r="AL12" s="3">
        <f>SUMIFS(AL$38:AL$120,$B$38:$B$120,$E12,$L$38:$L$120,$E$1)</f>
        <v>0</v>
      </c>
      <c r="AM12" s="3">
        <f>SUMIFS(AM$38:AM$120,$B$38:$B$120,$E12,$L$38:$L$120,$E$1)</f>
        <v>0</v>
      </c>
      <c r="AN12" s="3">
        <f>SUMIFS(AN$38:AN$120,$B$38:$B$120,$E12,$L$38:$L$120,$E$1)</f>
        <v>0</v>
      </c>
      <c r="AO12" s="3">
        <f>SUMIFS(AO$38:AO$120,$B$38:$B$120,$E12,$L$38:$L$120,$E$1)</f>
        <v>0</v>
      </c>
      <c r="AP12" s="3">
        <f>SUMIFS(AP$38:AP$120,$B$38:$B$120,$E12,$L$38:$L$120,$E$1)</f>
        <v>0</v>
      </c>
      <c r="AQ12" s="3">
        <f>SUMIFS(AQ$38:AQ$120,$B$38:$B$120,$E12,$L$38:$L$120,$E$1)</f>
        <v>0</v>
      </c>
      <c r="AR12" s="3">
        <f>SUMIFS(AR$38:AR$120,$B$38:$B$120,$E12,$L$38:$L$120,$E$1)</f>
        <v>0</v>
      </c>
      <c r="AS12" s="3">
        <f>SUMIFS(AS$38:AS$120,$B$38:$B$120,$E12,$L$38:$L$120,$E$1)</f>
        <v>0</v>
      </c>
      <c r="AT12" s="3">
        <f>SUMIFS(AT$38:AT$120,$B$38:$B$120,$E12,$L$38:$L$120,$E$1)</f>
        <v>0</v>
      </c>
      <c r="AU12" s="3">
        <f>SUMIFS(AU$38:AU$120,$B$38:$B$120,$E12,$L$38:$L$120,$E$1)</f>
        <v>0</v>
      </c>
      <c r="AV12" s="3">
        <f>SUMIFS(AV$38:AV$120,$B$38:$B$120,$E12,$L$38:$L$120,$E$1)</f>
        <v>0</v>
      </c>
      <c r="AW12" s="3">
        <f>SUMIFS(AW$38:AW$120,$B$38:$B$120,$E12,$L$38:$L$120,$E$1)</f>
        <v>0</v>
      </c>
      <c r="AX12" s="3">
        <f>SUMIFS(AX$38:AX$120,$B$38:$B$120,$E12,$L$38:$L$120,$E$1)</f>
        <v>0</v>
      </c>
      <c r="AY12" s="3">
        <f>SUMIFS(AY$38:AY$120,$B$38:$B$120,$E12,$L$38:$L$120,$E$1)</f>
        <v>0</v>
      </c>
      <c r="AZ12" s="3">
        <f>SUMIFS(AZ$38:AZ$120,$B$38:$B$120,$E12,$L$38:$L$120,$E$1)</f>
        <v>0</v>
      </c>
      <c r="BA12" s="3">
        <f>SUMIFS(BA$38:BA$120,$B$38:$B$120,$E12,$L$38:$L$120,$E$1)</f>
        <v>0</v>
      </c>
      <c r="BB12" s="3">
        <f>SUMIFS(BB$38:BB$120,$B$38:$B$120,$E12,$L$38:$L$120,$E$1)</f>
        <v>0</v>
      </c>
      <c r="BC12" s="3">
        <f>SUMIFS(BC$38:BC$120,$B$38:$B$120,$E12,$L$38:$L$120,$E$1)</f>
        <v>0</v>
      </c>
      <c r="BD12" s="3">
        <f>SUMIFS(BD$38:BD$120,$B$38:$B$120,$E12,$L$38:$L$120,$E$1)</f>
        <v>0</v>
      </c>
      <c r="BE12" s="3">
        <f>SUMIFS(BE$38:BE$120,$B$38:$B$120,$E12,$L$38:$L$120,$E$1)</f>
        <v>0</v>
      </c>
      <c r="BF12" s="3">
        <f>SUMIFS(BF$38:BF$120,$B$38:$B$120,$E12,$L$38:$L$120,$E$1)</f>
        <v>0</v>
      </c>
      <c r="BG12" s="3">
        <f>SUMIFS(BG$38:BG$120,$B$38:$B$120,$E12,$L$38:$L$120,$E$1)</f>
        <v>0</v>
      </c>
      <c r="BH12" s="3">
        <f>SUMIFS(BH$38:BH$120,$B$38:$B$120,$E12,$L$38:$L$120,$E$1)</f>
        <v>0</v>
      </c>
      <c r="BI12" s="3">
        <f>SUMIFS(BI$38:BI$120,$B$38:$B$120,$E12,$L$38:$L$120,$E$1)</f>
        <v>0</v>
      </c>
      <c r="BJ12" s="3">
        <f>SUMIFS(BJ$38:BJ$120,$B$38:$B$120,$E12,$L$38:$L$120,$E$1)</f>
        <v>0</v>
      </c>
      <c r="BK12" s="3">
        <f>SUMIFS(BK$38:BK$120,$B$38:$B$120,$E12,$L$38:$L$120,$E$1)</f>
        <v>0</v>
      </c>
      <c r="BL12" s="3">
        <f>SUMIFS(BL$38:BL$120,$B$38:$B$120,$E12,$L$38:$L$120,$E$1)</f>
        <v>0</v>
      </c>
      <c r="BM12" s="3">
        <f>SUMIFS(BM$38:BM$120,$B$38:$B$120,$E12,$L$38:$L$120,$E$1)</f>
        <v>0</v>
      </c>
      <c r="BN12" s="3">
        <f>SUMIFS(BN$38:BN$120,$B$38:$B$120,$E12,$L$38:$L$120,$E$1)</f>
        <v>0</v>
      </c>
      <c r="BO12" s="3">
        <f>SUMIFS(BO$38:BO$120,$B$38:$B$120,$E12,$L$38:$L$120,$E$1)</f>
        <v>0</v>
      </c>
      <c r="BP12" s="3">
        <f>SUMIFS(BP$38:BP$120,$B$38:$B$120,$E12,$L$38:$L$120,$E$1)</f>
        <v>0</v>
      </c>
      <c r="BQ12" s="3">
        <f>SUMIFS(BQ$38:BQ$120,$B$38:$B$120,$E12,$L$38:$L$120,$E$1)</f>
        <v>0</v>
      </c>
      <c r="BR12" s="3">
        <f>SUMIFS(BR$38:BR$120,$B$38:$B$120,$E12,$L$38:$L$120,$E$1)</f>
        <v>0</v>
      </c>
      <c r="BS12" s="3">
        <f>SUMIFS(BS$38:BS$120,$B$38:$B$120,$E12,$L$38:$L$120,$E$1)</f>
        <v>0</v>
      </c>
      <c r="BT12" s="3">
        <f>SUMIFS(BT$38:BT$120,$B$38:$B$120,$E12,$L$38:$L$120,$E$1)</f>
        <v>0</v>
      </c>
      <c r="BU12" s="3">
        <f>SUMIFS(BU$38:BU$120,$B$38:$B$120,$E12,$L$38:$L$120,$E$1)</f>
        <v>0</v>
      </c>
      <c r="BV12" s="3">
        <f>SUMIFS(BV$38:BV$120,$B$38:$B$120,$E12,$L$38:$L$120,$E$1)</f>
        <v>0</v>
      </c>
      <c r="BW12" s="3">
        <f>SUMIFS(BW$38:BW$120,$B$38:$B$120,$E12,$L$38:$L$120,$E$1)</f>
        <v>0</v>
      </c>
      <c r="BX12" s="3">
        <f>SUMIFS(BX$38:BX$120,$B$38:$B$120,$E12,$L$38:$L$120,$E$1)</f>
        <v>0</v>
      </c>
      <c r="BY12" s="3">
        <f>SUMIFS(BY$38:BY$120,$B$38:$B$120,$E12,$L$38:$L$120,$E$1)</f>
        <v>0</v>
      </c>
      <c r="BZ12" s="3">
        <f>SUMIFS(BZ$38:BZ$120,$B$38:$B$120,$E12,$L$38:$L$120,$E$1)</f>
        <v>0</v>
      </c>
      <c r="CA12" s="3">
        <f>SUMIFS(CA$38:CA$120,$B$38:$B$120,$E12,$L$38:$L$120,$E$1)</f>
        <v>0</v>
      </c>
      <c r="CB12" s="3">
        <f>SUMIFS(CB$38:CB$120,$B$38:$B$120,$E12,$L$38:$L$120,$E$1)</f>
        <v>0</v>
      </c>
      <c r="CC12" s="3">
        <f>SUMIFS(CC$38:CC$120,$B$38:$B$120,$E12,$L$38:$L$120,$E$1)</f>
        <v>0</v>
      </c>
      <c r="CD12" s="3">
        <f>SUMIFS(CD$38:CD$120,$B$38:$B$120,$E12,$L$38:$L$120,$E$1)</f>
        <v>0</v>
      </c>
      <c r="CE12" s="3">
        <f>SUMIFS(CE$38:CE$120,$B$38:$B$120,$E12,$L$38:$L$120,$E$1)</f>
        <v>0</v>
      </c>
      <c r="CF12" s="3">
        <f>SUMIFS(CF$38:CF$120,$B$38:$B$120,$E12,$L$38:$L$120,$E$1)</f>
        <v>0</v>
      </c>
      <c r="CG12" s="3">
        <f>SUMIFS(CG$38:CG$120,$B$38:$B$120,$E12,$L$38:$L$120,$E$1)</f>
        <v>0</v>
      </c>
      <c r="CH12" s="3">
        <f>SUMIFS(CH$38:CH$120,$B$38:$B$120,$E12,$L$38:$L$120,$E$1)</f>
        <v>0</v>
      </c>
      <c r="CI12" s="3">
        <f>SUMIFS(CI$38:CI$120,$B$38:$B$120,$E12,$L$38:$L$120,$E$1)</f>
        <v>0</v>
      </c>
      <c r="CJ12" s="3">
        <f>SUMIFS(CJ$38:CJ$120,$B$38:$B$120,$E12,$L$38:$L$120,$E$1)</f>
        <v>0</v>
      </c>
      <c r="CK12" s="3">
        <f>SUMIFS(CK$38:CK$120,$B$38:$B$120,$E12,$L$38:$L$120,$E$1)</f>
        <v>0</v>
      </c>
      <c r="CL12" s="3">
        <f>SUMIFS(CL$38:CL$120,$B$38:$B$120,$E12,$L$38:$L$120,$E$1)</f>
        <v>0</v>
      </c>
      <c r="CM12" s="3">
        <f>SUMIFS(CM$38:CM$120,$B$38:$B$120,$E12,$L$38:$L$120,$E$1)</f>
        <v>0</v>
      </c>
      <c r="CN12" s="3">
        <f>SUMIFS(CN$38:CN$120,$B$38:$B$120,$E12,$L$38:$L$120,$E$1)</f>
        <v>0</v>
      </c>
      <c r="CO12" s="3">
        <f>SUMIFS(CO$38:CO$120,$B$38:$B$120,$E12,$L$38:$L$120,$E$1)</f>
        <v>0</v>
      </c>
      <c r="CP12" s="3">
        <f>SUMIFS(CP$38:CP$120,$B$38:$B$120,$E12,$L$38:$L$120,$E$1)</f>
        <v>0</v>
      </c>
      <c r="CQ12" s="3">
        <f>SUMIFS(CQ$38:CQ$120,$B$38:$B$120,$E12,$L$38:$L$120,$E$1)</f>
        <v>0</v>
      </c>
      <c r="CR12" s="3">
        <f>SUMIFS(CR$38:CR$120,$B$38:$B$120,$E12,$L$38:$L$120,$E$1)</f>
        <v>0</v>
      </c>
      <c r="CS12" s="3">
        <f>SUMIFS(CS$38:CS$120,$B$38:$B$120,$E12,$L$38:$L$120,$E$1)</f>
        <v>0</v>
      </c>
      <c r="CT12" s="3">
        <f>SUMIFS(CT$38:CT$120,$B$38:$B$120,$E12,$L$38:$L$120,$E$1)</f>
        <v>0</v>
      </c>
      <c r="CU12" s="3">
        <f>SUMIFS(CU$38:CU$120,$B$38:$B$120,$E12,$L$38:$L$120,$E$1)</f>
        <v>0</v>
      </c>
      <c r="CV12" s="3">
        <f>SUMIFS(CV$38:CV$120,$B$38:$B$120,$E12,$L$38:$L$120,$E$1)</f>
        <v>0</v>
      </c>
      <c r="CW12" s="3">
        <f>SUMIFS(CW$38:CW$120,$B$38:$B$120,$E12,$L$38:$L$120,$E$1)</f>
        <v>0</v>
      </c>
      <c r="CX12" s="3">
        <f>SUMIFS(CX$38:CX$120,$B$38:$B$120,$E12,$L$38:$L$120,$E$1)</f>
        <v>0</v>
      </c>
      <c r="CY12" s="3">
        <f>SUMIFS(CY$38:CY$120,$B$38:$B$120,$E12,$L$38:$L$120,$E$1)</f>
        <v>0</v>
      </c>
      <c r="CZ12" s="3">
        <f>SUMIFS(CZ$38:CZ$120,$B$38:$B$120,$E12,$L$38:$L$120,$E$1)</f>
        <v>0</v>
      </c>
      <c r="DA12" s="3">
        <f>SUMIFS(DA$38:DA$120,$B$38:$B$120,$E12,$L$38:$L$120,$E$1)</f>
        <v>0</v>
      </c>
      <c r="DB12" s="3">
        <f>SUMIFS(DB$38:DB$120,$B$38:$B$120,$E12,$L$38:$L$120,$E$1)</f>
        <v>0</v>
      </c>
    </row>
    <row r="13" spans="5:106">
      <c r="E13" s="2" t="s">
        <v>11</v>
      </c>
      <c r="R13" s="3">
        <f>SUMIFS(R$38:R$120,$B$38:$B$120,$E13,$L$38:$L$120,$E$1)</f>
        <v>0</v>
      </c>
      <c r="S13" s="3">
        <f>SUMIFS(S$38:S$120,$B$38:$B$120,$E13,$L$38:$L$120,$E$1)</f>
        <v>0</v>
      </c>
      <c r="T13" s="3">
        <f>SUMIFS(T$38:T$120,$B$38:$B$120,$E13,$L$38:$L$120,$E$1)</f>
        <v>0</v>
      </c>
      <c r="U13" s="3">
        <f>SUMIFS(U$38:U$120,$B$38:$B$120,$E13,$L$38:$L$120,$E$1)</f>
        <v>0</v>
      </c>
      <c r="V13" s="3">
        <f>SUMIFS(V$38:V$120,$B$38:$B$120,$E13,$L$38:$L$120,$E$1)</f>
        <v>0</v>
      </c>
      <c r="W13" s="3">
        <f>SUMIFS(W$38:W$120,$B$38:$B$120,$E13,$L$38:$L$120,$E$1)</f>
        <v>0</v>
      </c>
      <c r="X13" s="3">
        <f>SUMIFS(X$38:X$120,$B$38:$B$120,$E13,$L$38:$L$120,$E$1)</f>
        <v>0</v>
      </c>
      <c r="Y13" s="3">
        <f>SUMIFS(Y$38:Y$120,$B$38:$B$120,$E13,$L$38:$L$120,$E$1)</f>
        <v>0</v>
      </c>
      <c r="Z13" s="3">
        <f>SUMIFS(Z$38:Z$120,$B$38:$B$120,$E13,$L$38:$L$120,$E$1)</f>
        <v>0</v>
      </c>
      <c r="AA13" s="3">
        <f>SUMIFS(AA$38:AA$120,$B$38:$B$120,$E13,$L$38:$L$120,$E$1)</f>
        <v>0</v>
      </c>
      <c r="AB13" s="3">
        <f>SUMIFS(AB$38:AB$120,$B$38:$B$120,$E13,$L$38:$L$120,$E$1)</f>
        <v>0</v>
      </c>
      <c r="AC13" s="3">
        <f>SUMIFS(AC$38:AC$120,$B$38:$B$120,$E13,$L$38:$L$120,$E$1)</f>
        <v>0</v>
      </c>
      <c r="AD13" s="3">
        <f>SUMIFS(AD$38:AD$120,$B$38:$B$120,$E13,$L$38:$L$120,$E$1)</f>
        <v>0</v>
      </c>
      <c r="AE13" s="3">
        <f>SUMIFS(AE$38:AE$120,$B$38:$B$120,$E13,$L$38:$L$120,$E$1)</f>
        <v>0</v>
      </c>
      <c r="AF13" s="3">
        <f>SUMIFS(AF$38:AF$120,$B$38:$B$120,$E13,$L$38:$L$120,$E$1)</f>
        <v>0</v>
      </c>
      <c r="AG13" s="3">
        <f>SUMIFS(AG$38:AG$120,$B$38:$B$120,$E13,$L$38:$L$120,$E$1)</f>
        <v>0</v>
      </c>
      <c r="AH13" s="3">
        <f>SUMIFS(AH$38:AH$120,$B$38:$B$120,$E13,$L$38:$L$120,$E$1)</f>
        <v>0</v>
      </c>
      <c r="AI13" s="3"/>
      <c r="AJ13" s="3"/>
      <c r="AK13" s="3"/>
      <c r="AL13" s="3">
        <f>SUMIFS(AL$38:AL$120,$B$38:$B$120,$E13,$L$38:$L$120,$E$1)</f>
        <v>0</v>
      </c>
      <c r="AM13" s="3">
        <f>SUMIFS(AM$38:AM$120,$B$38:$B$120,$E13,$L$38:$L$120,$E$1)</f>
        <v>0</v>
      </c>
      <c r="AN13" s="3">
        <f>SUMIFS(AN$38:AN$120,$B$38:$B$120,$E13,$L$38:$L$120,$E$1)</f>
        <v>0</v>
      </c>
      <c r="AO13" s="3">
        <f>SUMIFS(AO$38:AO$120,$B$38:$B$120,$E13,$L$38:$L$120,$E$1)</f>
        <v>0</v>
      </c>
      <c r="AP13" s="3">
        <f>SUMIFS(AP$38:AP$120,$B$38:$B$120,$E13,$L$38:$L$120,$E$1)</f>
        <v>0</v>
      </c>
      <c r="AQ13" s="3">
        <f>SUMIFS(AQ$38:AQ$120,$B$38:$B$120,$E13,$L$38:$L$120,$E$1)</f>
        <v>0</v>
      </c>
      <c r="AR13" s="3">
        <f>SUMIFS(AR$38:AR$120,$B$38:$B$120,$E13,$L$38:$L$120,$E$1)</f>
        <v>0</v>
      </c>
      <c r="AS13" s="3">
        <f>SUMIFS(AS$38:AS$120,$B$38:$B$120,$E13,$L$38:$L$120,$E$1)</f>
        <v>0</v>
      </c>
      <c r="AT13" s="3">
        <f>SUMIFS(AT$38:AT$120,$B$38:$B$120,$E13,$L$38:$L$120,$E$1)</f>
        <v>0</v>
      </c>
      <c r="AU13" s="3">
        <f>SUMIFS(AU$38:AU$120,$B$38:$B$120,$E13,$L$38:$L$120,$E$1)</f>
        <v>0</v>
      </c>
      <c r="AV13" s="3">
        <f>SUMIFS(AV$38:AV$120,$B$38:$B$120,$E13,$L$38:$L$120,$E$1)</f>
        <v>0</v>
      </c>
      <c r="AW13" s="3">
        <f>SUMIFS(AW$38:AW$120,$B$38:$B$120,$E13,$L$38:$L$120,$E$1)</f>
        <v>0</v>
      </c>
      <c r="AX13" s="3">
        <f>SUMIFS(AX$38:AX$120,$B$38:$B$120,$E13,$L$38:$L$120,$E$1)</f>
        <v>0</v>
      </c>
      <c r="AY13" s="3">
        <f>SUMIFS(AY$38:AY$120,$B$38:$B$120,$E13,$L$38:$L$120,$E$1)</f>
        <v>0</v>
      </c>
      <c r="AZ13" s="3">
        <f>SUMIFS(AZ$38:AZ$120,$B$38:$B$120,$E13,$L$38:$L$120,$E$1)</f>
        <v>0</v>
      </c>
      <c r="BA13" s="3">
        <f>SUMIFS(BA$38:BA$120,$B$38:$B$120,$E13,$L$38:$L$120,$E$1)</f>
        <v>0</v>
      </c>
      <c r="BB13" s="3">
        <f>SUMIFS(BB$38:BB$120,$B$38:$B$120,$E13,$L$38:$L$120,$E$1)</f>
        <v>0</v>
      </c>
      <c r="BC13" s="3">
        <f>SUMIFS(BC$38:BC$120,$B$38:$B$120,$E13,$L$38:$L$120,$E$1)</f>
        <v>0</v>
      </c>
      <c r="BD13" s="3">
        <f>SUMIFS(BD$38:BD$120,$B$38:$B$120,$E13,$L$38:$L$120,$E$1)</f>
        <v>0</v>
      </c>
      <c r="BE13" s="3">
        <f>SUMIFS(BE$38:BE$120,$B$38:$B$120,$E13,$L$38:$L$120,$E$1)</f>
        <v>0</v>
      </c>
      <c r="BF13" s="3">
        <f>SUMIFS(BF$38:BF$120,$B$38:$B$120,$E13,$L$38:$L$120,$E$1)</f>
        <v>0</v>
      </c>
      <c r="BG13" s="3">
        <f>SUMIFS(BG$38:BG$120,$B$38:$B$120,$E13,$L$38:$L$120,$E$1)</f>
        <v>0</v>
      </c>
      <c r="BH13" s="3">
        <f>SUMIFS(BH$38:BH$120,$B$38:$B$120,$E13,$L$38:$L$120,$E$1)</f>
        <v>0</v>
      </c>
      <c r="BI13" s="3">
        <f>SUMIFS(BI$38:BI$120,$B$38:$B$120,$E13,$L$38:$L$120,$E$1)</f>
        <v>0</v>
      </c>
      <c r="BJ13" s="3">
        <f>SUMIFS(BJ$38:BJ$120,$B$38:$B$120,$E13,$L$38:$L$120,$E$1)</f>
        <v>0</v>
      </c>
      <c r="BK13" s="3">
        <f>SUMIFS(BK$38:BK$120,$B$38:$B$120,$E13,$L$38:$L$120,$E$1)</f>
        <v>0</v>
      </c>
      <c r="BL13" s="3">
        <f>SUMIFS(BL$38:BL$120,$B$38:$B$120,$E13,$L$38:$L$120,$E$1)</f>
        <v>0</v>
      </c>
      <c r="BM13" s="3">
        <f>SUMIFS(BM$38:BM$120,$B$38:$B$120,$E13,$L$38:$L$120,$E$1)</f>
        <v>0</v>
      </c>
      <c r="BN13" s="3">
        <f>SUMIFS(BN$38:BN$120,$B$38:$B$120,$E13,$L$38:$L$120,$E$1)</f>
        <v>0</v>
      </c>
      <c r="BO13" s="3">
        <f>SUMIFS(BO$38:BO$120,$B$38:$B$120,$E13,$L$38:$L$120,$E$1)</f>
        <v>0</v>
      </c>
      <c r="BP13" s="3">
        <f>SUMIFS(BP$38:BP$120,$B$38:$B$120,$E13,$L$38:$L$120,$E$1)</f>
        <v>0</v>
      </c>
      <c r="BQ13" s="3">
        <f>SUMIFS(BQ$38:BQ$120,$B$38:$B$120,$E13,$L$38:$L$120,$E$1)</f>
        <v>0</v>
      </c>
      <c r="BR13" s="3">
        <f>SUMIFS(BR$38:BR$120,$B$38:$B$120,$E13,$L$38:$L$120,$E$1)</f>
        <v>0</v>
      </c>
      <c r="BS13" s="3">
        <f>SUMIFS(BS$38:BS$120,$B$38:$B$120,$E13,$L$38:$L$120,$E$1)</f>
        <v>0</v>
      </c>
      <c r="BT13" s="3">
        <f>SUMIFS(BT$38:BT$120,$B$38:$B$120,$E13,$L$38:$L$120,$E$1)</f>
        <v>0</v>
      </c>
      <c r="BU13" s="3">
        <f>SUMIFS(BU$38:BU$120,$B$38:$B$120,$E13,$L$38:$L$120,$E$1)</f>
        <v>0</v>
      </c>
      <c r="BV13" s="3">
        <f>SUMIFS(BV$38:BV$120,$B$38:$B$120,$E13,$L$38:$L$120,$E$1)</f>
        <v>0</v>
      </c>
      <c r="BW13" s="3">
        <f>SUMIFS(BW$38:BW$120,$B$38:$B$120,$E13,$L$38:$L$120,$E$1)</f>
        <v>0</v>
      </c>
      <c r="BX13" s="3">
        <f>SUMIFS(BX$38:BX$120,$B$38:$B$120,$E13,$L$38:$L$120,$E$1)</f>
        <v>0</v>
      </c>
      <c r="BY13" s="3">
        <f>SUMIFS(BY$38:BY$120,$B$38:$B$120,$E13,$L$38:$L$120,$E$1)</f>
        <v>0</v>
      </c>
      <c r="BZ13" s="3">
        <f>SUMIFS(BZ$38:BZ$120,$B$38:$B$120,$E13,$L$38:$L$120,$E$1)</f>
        <v>0</v>
      </c>
      <c r="CA13" s="3">
        <f>SUMIFS(CA$38:CA$120,$B$38:$B$120,$E13,$L$38:$L$120,$E$1)</f>
        <v>0</v>
      </c>
      <c r="CB13" s="3">
        <f>SUMIFS(CB$38:CB$120,$B$38:$B$120,$E13,$L$38:$L$120,$E$1)</f>
        <v>0</v>
      </c>
      <c r="CC13" s="3">
        <f>SUMIFS(CC$38:CC$120,$B$38:$B$120,$E13,$L$38:$L$120,$E$1)</f>
        <v>0</v>
      </c>
      <c r="CD13" s="3">
        <f>SUMIFS(CD$38:CD$120,$B$38:$B$120,$E13,$L$38:$L$120,$E$1)</f>
        <v>0</v>
      </c>
      <c r="CE13" s="3">
        <f>SUMIFS(CE$38:CE$120,$B$38:$B$120,$E13,$L$38:$L$120,$E$1)</f>
        <v>0</v>
      </c>
      <c r="CF13" s="3">
        <f>SUMIFS(CF$38:CF$120,$B$38:$B$120,$E13,$L$38:$L$120,$E$1)</f>
        <v>0</v>
      </c>
      <c r="CG13" s="3">
        <f>SUMIFS(CG$38:CG$120,$B$38:$B$120,$E13,$L$38:$L$120,$E$1)</f>
        <v>0</v>
      </c>
      <c r="CH13" s="3">
        <f>SUMIFS(CH$38:CH$120,$B$38:$B$120,$E13,$L$38:$L$120,$E$1)</f>
        <v>0</v>
      </c>
      <c r="CI13" s="3">
        <f>SUMIFS(CI$38:CI$120,$B$38:$B$120,$E13,$L$38:$L$120,$E$1)</f>
        <v>0</v>
      </c>
      <c r="CJ13" s="3">
        <f>SUMIFS(CJ$38:CJ$120,$B$38:$B$120,$E13,$L$38:$L$120,$E$1)</f>
        <v>0</v>
      </c>
      <c r="CK13" s="3">
        <f>SUMIFS(CK$38:CK$120,$B$38:$B$120,$E13,$L$38:$L$120,$E$1)</f>
        <v>0</v>
      </c>
      <c r="CL13" s="3">
        <f>SUMIFS(CL$38:CL$120,$B$38:$B$120,$E13,$L$38:$L$120,$E$1)</f>
        <v>0</v>
      </c>
      <c r="CM13" s="3">
        <f>SUMIFS(CM$38:CM$120,$B$38:$B$120,$E13,$L$38:$L$120,$E$1)</f>
        <v>0</v>
      </c>
      <c r="CN13" s="3">
        <f>SUMIFS(CN$38:CN$120,$B$38:$B$120,$E13,$L$38:$L$120,$E$1)</f>
        <v>0</v>
      </c>
      <c r="CO13" s="3">
        <f>SUMIFS(CO$38:CO$120,$B$38:$B$120,$E13,$L$38:$L$120,$E$1)</f>
        <v>0</v>
      </c>
      <c r="CP13" s="3">
        <f>SUMIFS(CP$38:CP$120,$B$38:$B$120,$E13,$L$38:$L$120,$E$1)</f>
        <v>0</v>
      </c>
      <c r="CQ13" s="3">
        <f>SUMIFS(CQ$38:CQ$120,$B$38:$B$120,$E13,$L$38:$L$120,$E$1)</f>
        <v>0</v>
      </c>
      <c r="CR13" s="3">
        <f>SUMIFS(CR$38:CR$120,$B$38:$B$120,$E13,$L$38:$L$120,$E$1)</f>
        <v>0</v>
      </c>
      <c r="CS13" s="3">
        <f>SUMIFS(CS$38:CS$120,$B$38:$B$120,$E13,$L$38:$L$120,$E$1)</f>
        <v>0</v>
      </c>
      <c r="CT13" s="3">
        <f>SUMIFS(CT$38:CT$120,$B$38:$B$120,$E13,$L$38:$L$120,$E$1)</f>
        <v>0</v>
      </c>
      <c r="CU13" s="3">
        <f>SUMIFS(CU$38:CU$120,$B$38:$B$120,$E13,$L$38:$L$120,$E$1)</f>
        <v>0</v>
      </c>
      <c r="CV13" s="3">
        <f>SUMIFS(CV$38:CV$120,$B$38:$B$120,$E13,$L$38:$L$120,$E$1)</f>
        <v>0</v>
      </c>
      <c r="CW13" s="3">
        <f>SUMIFS(CW$38:CW$120,$B$38:$B$120,$E13,$L$38:$L$120,$E$1)</f>
        <v>0</v>
      </c>
      <c r="CX13" s="3">
        <f>SUMIFS(CX$38:CX$120,$B$38:$B$120,$E13,$L$38:$L$120,$E$1)</f>
        <v>0</v>
      </c>
      <c r="CY13" s="3">
        <f>SUMIFS(CY$38:CY$120,$B$38:$B$120,$E13,$L$38:$L$120,$E$1)</f>
        <v>0</v>
      </c>
      <c r="CZ13" s="3">
        <f>SUMIFS(CZ$38:CZ$120,$B$38:$B$120,$E13,$L$38:$L$120,$E$1)</f>
        <v>0</v>
      </c>
      <c r="DA13" s="3">
        <f>SUMIFS(DA$38:DA$120,$B$38:$B$120,$E13,$L$38:$L$120,$E$1)</f>
        <v>0</v>
      </c>
      <c r="DB13" s="3">
        <f>SUMIFS(DB$38:DB$120,$B$38:$B$120,$E13,$L$38:$L$120,$E$1)</f>
        <v>0</v>
      </c>
    </row>
    <row r="14" spans="5:106">
      <c r="R14" s="4">
        <f>SUM(R3:R13)</f>
        <v>1759</v>
      </c>
      <c r="S14" s="4">
        <f t="shared" ref="S14:CG14" si="0">SUM(S3:S13)</f>
        <v>1523</v>
      </c>
      <c r="T14" s="4">
        <f t="shared" si="0"/>
        <v>3282</v>
      </c>
      <c r="U14" s="4">
        <f t="shared" si="0"/>
        <v>1785</v>
      </c>
      <c r="V14" s="4">
        <f t="shared" si="0"/>
        <v>1593</v>
      </c>
      <c r="W14" s="4">
        <f t="shared" si="0"/>
        <v>1788</v>
      </c>
      <c r="X14" s="4">
        <f t="shared" si="0"/>
        <v>1578</v>
      </c>
      <c r="Y14" s="4">
        <f t="shared" si="0"/>
        <v>1714</v>
      </c>
      <c r="Z14" s="4">
        <f t="shared" si="0"/>
        <v>1589</v>
      </c>
      <c r="AA14" s="4">
        <f t="shared" si="0"/>
        <v>1902</v>
      </c>
      <c r="AB14" s="4">
        <f t="shared" si="0"/>
        <v>1727</v>
      </c>
      <c r="AC14" s="4">
        <f t="shared" si="0"/>
        <v>1783</v>
      </c>
      <c r="AD14" s="4">
        <f t="shared" si="0"/>
        <v>1611</v>
      </c>
      <c r="AE14" s="4">
        <f t="shared" si="0"/>
        <v>1420</v>
      </c>
      <c r="AF14" s="4">
        <f t="shared" si="0"/>
        <v>1302</v>
      </c>
      <c r="AG14" s="4">
        <f t="shared" si="0"/>
        <v>48</v>
      </c>
      <c r="AH14" s="4">
        <f t="shared" si="0"/>
        <v>41</v>
      </c>
      <c r="AI14" s="4"/>
      <c r="AJ14" s="4"/>
      <c r="AK14" s="4"/>
      <c r="AL14" s="4">
        <f t="shared" si="0"/>
        <v>10440</v>
      </c>
      <c r="AM14" s="4">
        <f t="shared" si="0"/>
        <v>9441</v>
      </c>
      <c r="AN14" s="4">
        <f t="shared" si="0"/>
        <v>19881</v>
      </c>
      <c r="AO14" s="4">
        <f t="shared" si="0"/>
        <v>12199</v>
      </c>
      <c r="AP14" s="4">
        <f t="shared" si="0"/>
        <v>10964</v>
      </c>
      <c r="AQ14" s="4">
        <f t="shared" si="0"/>
        <v>23163</v>
      </c>
      <c r="AR14" s="4">
        <f t="shared" si="0"/>
        <v>1581</v>
      </c>
      <c r="AS14" s="4">
        <f t="shared" si="0"/>
        <v>1447</v>
      </c>
      <c r="AT14" s="4">
        <f t="shared" si="0"/>
        <v>1501</v>
      </c>
      <c r="AU14" s="4">
        <f t="shared" si="0"/>
        <v>1623</v>
      </c>
      <c r="AV14" s="4">
        <f t="shared" si="0"/>
        <v>1573</v>
      </c>
      <c r="AW14" s="4">
        <f t="shared" si="0"/>
        <v>1599</v>
      </c>
      <c r="AX14" s="4">
        <f t="shared" si="0"/>
        <v>1569</v>
      </c>
      <c r="AY14" s="4">
        <f t="shared" si="0"/>
        <v>1627</v>
      </c>
      <c r="AZ14" s="4">
        <f t="shared" si="0"/>
        <v>0</v>
      </c>
      <c r="BA14" s="4">
        <f t="shared" si="0"/>
        <v>0</v>
      </c>
      <c r="BB14" s="4">
        <f t="shared" si="0"/>
        <v>6224</v>
      </c>
      <c r="BC14" s="4">
        <f t="shared" si="0"/>
        <v>6296</v>
      </c>
      <c r="BD14" s="4">
        <f t="shared" si="0"/>
        <v>12520</v>
      </c>
      <c r="BE14" s="4">
        <f t="shared" si="0"/>
        <v>34</v>
      </c>
      <c r="BF14" s="4">
        <f t="shared" si="0"/>
        <v>82</v>
      </c>
      <c r="BG14" s="4">
        <f t="shared" si="0"/>
        <v>135</v>
      </c>
      <c r="BH14" s="4">
        <f t="shared" si="0"/>
        <v>194</v>
      </c>
      <c r="BI14" s="4">
        <f t="shared" si="0"/>
        <v>51</v>
      </c>
      <c r="BJ14" s="4">
        <f t="shared" si="0"/>
        <v>107</v>
      </c>
      <c r="BK14" s="4">
        <f t="shared" si="0"/>
        <v>512</v>
      </c>
      <c r="BL14" s="4">
        <f t="shared" si="0"/>
        <v>628</v>
      </c>
      <c r="BM14" s="4">
        <f t="shared" si="0"/>
        <v>0</v>
      </c>
      <c r="BN14" s="4">
        <f t="shared" si="0"/>
        <v>0</v>
      </c>
      <c r="BO14" s="4">
        <f t="shared" si="0"/>
        <v>732</v>
      </c>
      <c r="BP14" s="4">
        <f t="shared" si="0"/>
        <v>1011</v>
      </c>
      <c r="BQ14" s="4">
        <f t="shared" si="0"/>
        <v>1743</v>
      </c>
      <c r="BR14" s="4">
        <f t="shared" si="0"/>
        <v>668</v>
      </c>
      <c r="BS14" s="4">
        <f t="shared" si="0"/>
        <v>607</v>
      </c>
      <c r="BT14" s="4">
        <f t="shared" si="0"/>
        <v>0</v>
      </c>
      <c r="BU14" s="4">
        <f t="shared" si="0"/>
        <v>0</v>
      </c>
      <c r="BV14" s="4">
        <f t="shared" si="0"/>
        <v>24</v>
      </c>
      <c r="BW14" s="4">
        <f t="shared" si="0"/>
        <v>16</v>
      </c>
      <c r="BX14" s="4">
        <f t="shared" si="0"/>
        <v>1424</v>
      </c>
      <c r="BY14" s="4">
        <f t="shared" si="0"/>
        <v>1634</v>
      </c>
      <c r="BZ14" s="4">
        <f t="shared" si="0"/>
        <v>3058</v>
      </c>
      <c r="CA14" s="4">
        <f t="shared" si="0"/>
        <v>31</v>
      </c>
      <c r="CB14" s="4">
        <f t="shared" si="0"/>
        <v>73</v>
      </c>
      <c r="CC14" s="4">
        <f t="shared" si="0"/>
        <v>93</v>
      </c>
      <c r="CD14" s="4">
        <f t="shared" si="0"/>
        <v>212</v>
      </c>
      <c r="CE14" s="4">
        <f t="shared" si="0"/>
        <v>33</v>
      </c>
      <c r="CF14" s="4">
        <f t="shared" si="0"/>
        <v>99</v>
      </c>
      <c r="CG14" s="4">
        <f t="shared" si="0"/>
        <v>315</v>
      </c>
      <c r="CH14" s="4">
        <f t="shared" ref="CH14:DB14" si="1">SUM(CH3:CH13)</f>
        <v>437</v>
      </c>
      <c r="CI14" s="4">
        <f t="shared" si="1"/>
        <v>0</v>
      </c>
      <c r="CJ14" s="4">
        <f t="shared" si="1"/>
        <v>0</v>
      </c>
      <c r="CK14" s="4">
        <f t="shared" si="1"/>
        <v>472</v>
      </c>
      <c r="CL14" s="4">
        <f t="shared" si="1"/>
        <v>821</v>
      </c>
      <c r="CM14" s="4">
        <f t="shared" si="1"/>
        <v>1293</v>
      </c>
      <c r="CN14" s="4">
        <f t="shared" si="1"/>
        <v>511</v>
      </c>
      <c r="CO14" s="4">
        <f t="shared" si="1"/>
        <v>386</v>
      </c>
      <c r="CP14" s="4">
        <f t="shared" si="1"/>
        <v>0</v>
      </c>
      <c r="CQ14" s="4">
        <f t="shared" si="1"/>
        <v>0</v>
      </c>
      <c r="CR14" s="4">
        <f t="shared" si="1"/>
        <v>21</v>
      </c>
      <c r="CS14" s="4">
        <f t="shared" si="1"/>
        <v>21</v>
      </c>
      <c r="CT14" s="4">
        <f t="shared" si="1"/>
        <v>1004</v>
      </c>
      <c r="CU14" s="4">
        <f t="shared" si="1"/>
        <v>1228</v>
      </c>
      <c r="CV14" s="4">
        <f t="shared" si="1"/>
        <v>2232</v>
      </c>
      <c r="CW14" s="4">
        <f t="shared" si="1"/>
        <v>2428</v>
      </c>
      <c r="CX14" s="4">
        <f t="shared" si="1"/>
        <v>2862</v>
      </c>
      <c r="CY14" s="4">
        <f t="shared" si="1"/>
        <v>5290</v>
      </c>
      <c r="CZ14" s="4">
        <f t="shared" si="1"/>
        <v>20851</v>
      </c>
      <c r="DA14" s="4">
        <f t="shared" si="1"/>
        <v>20122</v>
      </c>
      <c r="DB14" s="4">
        <f t="shared" si="1"/>
        <v>40973</v>
      </c>
    </row>
    <row r="16" spans="5:106">
      <c r="E16" s="1" t="s">
        <v>12</v>
      </c>
    </row>
    <row r="17" spans="1:106">
      <c r="E17" s="2" t="s">
        <v>1</v>
      </c>
      <c r="R17" s="3">
        <f>SUMIFS(R$38:R$120,$B$38:$B$120,$E17,$L$38:$L$120,$E$16)</f>
        <v>0</v>
      </c>
      <c r="S17" s="3">
        <f>SUMIFS(S$38:S$120,$B$38:$B$120,$E17,$L$38:$L$120,$E$16)</f>
        <v>0</v>
      </c>
      <c r="T17" s="3">
        <f>SUMIFS(T$38:T$120,$B$38:$B$120,$E17,$L$38:$L$120,$E$16)</f>
        <v>0</v>
      </c>
      <c r="U17" s="3">
        <f>SUMIFS(U$38:U$120,$B$38:$B$120,$E17,$L$38:$L$120,$E$16)</f>
        <v>0</v>
      </c>
      <c r="V17" s="3">
        <f>SUMIFS(V$38:V$120,$B$38:$B$120,$E17,$L$38:$L$120,$E$16)</f>
        <v>0</v>
      </c>
      <c r="W17" s="3">
        <f>SUMIFS(W$38:W$120,$B$38:$B$120,$E17,$L$38:$L$120,$E$16)</f>
        <v>0</v>
      </c>
      <c r="X17" s="3">
        <f>SUMIFS(X$38:X$120,$B$38:$B$120,$E17,$L$38:$L$120,$E$16)</f>
        <v>0</v>
      </c>
      <c r="Y17" s="3">
        <f>SUMIFS(Y$38:Y$120,$B$38:$B$120,$E17,$L$38:$L$120,$E$16)</f>
        <v>0</v>
      </c>
      <c r="Z17" s="3">
        <f>SUMIFS(Z$38:Z$120,$B$38:$B$120,$E17,$L$38:$L$120,$E$16)</f>
        <v>0</v>
      </c>
      <c r="AA17" s="3">
        <f>SUMIFS(AA$38:AA$120,$B$38:$B$120,$E17,$L$38:$L$120,$E$16)</f>
        <v>0</v>
      </c>
      <c r="AB17" s="3">
        <f>SUMIFS(AB$38:AB$120,$B$38:$B$120,$E17,$L$38:$L$120,$E$16)</f>
        <v>0</v>
      </c>
      <c r="AC17" s="3">
        <f>SUMIFS(AC$38:AC$120,$B$38:$B$120,$E17,$L$38:$L$120,$E$16)</f>
        <v>0</v>
      </c>
      <c r="AD17" s="3">
        <f>SUMIFS(AD$38:AD$120,$B$38:$B$120,$E17,$L$38:$L$120,$E$16)</f>
        <v>0</v>
      </c>
      <c r="AE17" s="3">
        <f>SUMIFS(AE$38:AE$120,$B$38:$B$120,$E17,$L$38:$L$120,$E$16)</f>
        <v>0</v>
      </c>
      <c r="AF17" s="3">
        <f>SUMIFS(AF$38:AF$120,$B$38:$B$120,$E17,$L$38:$L$120,$E$16)</f>
        <v>0</v>
      </c>
      <c r="AG17" s="3">
        <f>SUMIFS(AG$38:AG$120,$B$38:$B$120,$E17,$L$38:$L$120,$E$16)</f>
        <v>0</v>
      </c>
      <c r="AH17" s="3">
        <f>SUMIFS(AH$38:AH$120,$B$38:$B$120,$E17,$L$38:$L$120,$E$16)</f>
        <v>0</v>
      </c>
      <c r="AI17" s="3"/>
      <c r="AJ17" s="3"/>
      <c r="AK17" s="3"/>
      <c r="AL17" s="3">
        <f>SUMIFS(AL$38:AL$120,$B$38:$B$120,$E17,$L$38:$L$120,$E$16)</f>
        <v>0</v>
      </c>
      <c r="AM17" s="3">
        <f>SUMIFS(AM$38:AM$120,$B$38:$B$120,$E17,$L$38:$L$120,$E$16)</f>
        <v>0</v>
      </c>
      <c r="AN17" s="3">
        <f>SUMIFS(AN$38:AN$120,$B$38:$B$120,$E17,$L$38:$L$120,$E$16)</f>
        <v>0</v>
      </c>
      <c r="AO17" s="3">
        <f>SUMIFS(AO$38:AO$120,$B$38:$B$120,$E17,$L$38:$L$120,$E$16)</f>
        <v>0</v>
      </c>
      <c r="AP17" s="3">
        <f>SUMIFS(AP$38:AP$120,$B$38:$B$120,$E17,$L$38:$L$120,$E$16)</f>
        <v>0</v>
      </c>
      <c r="AQ17" s="3">
        <f>SUMIFS(AQ$38:AQ$120,$B$38:$B$120,$E17,$L$38:$L$120,$E$16)</f>
        <v>0</v>
      </c>
      <c r="AR17" s="3">
        <f>SUMIFS(AR$38:AR$120,$B$38:$B$120,$E17,$L$38:$L$120,$E$16)</f>
        <v>0</v>
      </c>
      <c r="AS17" s="3">
        <f>SUMIFS(AS$38:AS$120,$B$38:$B$120,$E17,$L$38:$L$120,$E$16)</f>
        <v>0</v>
      </c>
      <c r="AT17" s="3">
        <f>SUMIFS(AT$38:AT$120,$B$38:$B$120,$E17,$L$38:$L$120,$E$16)</f>
        <v>0</v>
      </c>
      <c r="AU17" s="3">
        <f>SUMIFS(AU$38:AU$120,$B$38:$B$120,$E17,$L$38:$L$120,$E$16)</f>
        <v>0</v>
      </c>
      <c r="AV17" s="3">
        <f>SUMIFS(AV$38:AV$120,$B$38:$B$120,$E17,$L$38:$L$120,$E$16)</f>
        <v>0</v>
      </c>
      <c r="AW17" s="3">
        <f>SUMIFS(AW$38:AW$120,$B$38:$B$120,$E17,$L$38:$L$120,$E$16)</f>
        <v>0</v>
      </c>
      <c r="AX17" s="3">
        <f>SUMIFS(AX$38:AX$120,$B$38:$B$120,$E17,$L$38:$L$120,$E$16)</f>
        <v>0</v>
      </c>
      <c r="AY17" s="3">
        <f>SUMIFS(AY$38:AY$120,$B$38:$B$120,$E17,$L$38:$L$120,$E$16)</f>
        <v>0</v>
      </c>
      <c r="AZ17" s="3">
        <f>SUMIFS(AZ$38:AZ$120,$B$38:$B$120,$E17,$L$38:$L$120,$E$16)</f>
        <v>0</v>
      </c>
      <c r="BA17" s="3">
        <f>SUMIFS(BA$38:BA$120,$B$38:$B$120,$E17,$L$38:$L$120,$E$16)</f>
        <v>0</v>
      </c>
      <c r="BB17" s="3">
        <f>SUMIFS(BB$38:BB$120,$B$38:$B$120,$E17,$L$38:$L$120,$E$16)</f>
        <v>0</v>
      </c>
      <c r="BC17" s="3">
        <f>SUMIFS(BC$38:BC$120,$B$38:$B$120,$E17,$L$38:$L$120,$E$16)</f>
        <v>0</v>
      </c>
      <c r="BD17" s="3">
        <f>SUMIFS(BD$38:BD$120,$B$38:$B$120,$E17,$L$38:$L$120,$E$16)</f>
        <v>0</v>
      </c>
      <c r="BE17" s="3">
        <f>SUMIFS(BE$38:BE$120,$B$38:$B$120,$E17,$L$38:$L$120,$E$16)</f>
        <v>0</v>
      </c>
      <c r="BF17" s="3">
        <f>SUMIFS(BF$38:BF$120,$B$38:$B$120,$E17,$L$38:$L$120,$E$16)</f>
        <v>0</v>
      </c>
      <c r="BG17" s="3">
        <f>SUMIFS(BG$38:BG$120,$B$38:$B$120,$E17,$L$38:$L$120,$E$16)</f>
        <v>0</v>
      </c>
      <c r="BH17" s="3">
        <f>SUMIFS(BH$38:BH$120,$B$38:$B$120,$E17,$L$38:$L$120,$E$16)</f>
        <v>0</v>
      </c>
      <c r="BI17" s="3">
        <f>SUMIFS(BI$38:BI$120,$B$38:$B$120,$E17,$L$38:$L$120,$E$16)</f>
        <v>0</v>
      </c>
      <c r="BJ17" s="3">
        <f>SUMIFS(BJ$38:BJ$120,$B$38:$B$120,$E17,$L$38:$L$120,$E$16)</f>
        <v>0</v>
      </c>
      <c r="BK17" s="3">
        <f>SUMIFS(BK$38:BK$120,$B$38:$B$120,$E17,$L$38:$L$120,$E$16)</f>
        <v>0</v>
      </c>
      <c r="BL17" s="3">
        <f>SUMIFS(BL$38:BL$120,$B$38:$B$120,$E17,$L$38:$L$120,$E$16)</f>
        <v>0</v>
      </c>
      <c r="BM17" s="3">
        <f>SUMIFS(BM$38:BM$120,$B$38:$B$120,$E17,$L$38:$L$120,$E$16)</f>
        <v>0</v>
      </c>
      <c r="BN17" s="3">
        <f>SUMIFS(BN$38:BN$120,$B$38:$B$120,$E17,$L$38:$L$120,$E$16)</f>
        <v>0</v>
      </c>
      <c r="BO17" s="3">
        <f>SUMIFS(BO$38:BO$120,$B$38:$B$120,$E17,$L$38:$L$120,$E$16)</f>
        <v>0</v>
      </c>
      <c r="BP17" s="3">
        <f>SUMIFS(BP$38:BP$120,$B$38:$B$120,$E17,$L$38:$L$120,$E$16)</f>
        <v>0</v>
      </c>
      <c r="BQ17" s="3">
        <f>SUMIFS(BQ$38:BQ$120,$B$38:$B$120,$E17,$L$38:$L$120,$E$16)</f>
        <v>0</v>
      </c>
      <c r="BR17" s="3">
        <f>SUMIFS(BR$38:BR$120,$B$38:$B$120,$E17,$L$38:$L$120,$E$16)</f>
        <v>0</v>
      </c>
      <c r="BS17" s="3">
        <f>SUMIFS(BS$38:BS$120,$B$38:$B$120,$E17,$L$38:$L$120,$E$16)</f>
        <v>0</v>
      </c>
      <c r="BT17" s="3">
        <f>SUMIFS(BT$38:BT$120,$B$38:$B$120,$E17,$L$38:$L$120,$E$16)</f>
        <v>0</v>
      </c>
      <c r="BU17" s="3">
        <f>SUMIFS(BU$38:BU$120,$B$38:$B$120,$E17,$L$38:$L$120,$E$16)</f>
        <v>0</v>
      </c>
      <c r="BV17" s="3">
        <f>SUMIFS(BV$38:BV$120,$B$38:$B$120,$E17,$L$38:$L$120,$E$16)</f>
        <v>0</v>
      </c>
      <c r="BW17" s="3">
        <f>SUMIFS(BW$38:BW$120,$B$38:$B$120,$E17,$L$38:$L$120,$E$16)</f>
        <v>0</v>
      </c>
      <c r="BX17" s="3">
        <f>SUMIFS(BX$38:BX$120,$B$38:$B$120,$E17,$L$38:$L$120,$E$16)</f>
        <v>0</v>
      </c>
      <c r="BY17" s="3">
        <f>SUMIFS(BY$38:BY$120,$B$38:$B$120,$E17,$L$38:$L$120,$E$16)</f>
        <v>0</v>
      </c>
      <c r="BZ17" s="3">
        <f>SUMIFS(BZ$38:BZ$120,$B$38:$B$120,$E17,$L$38:$L$120,$E$16)</f>
        <v>0</v>
      </c>
      <c r="CA17" s="3">
        <f>SUMIFS(CA$38:CA$120,$B$38:$B$120,$E17,$L$38:$L$120,$E$16)</f>
        <v>0</v>
      </c>
      <c r="CB17" s="3">
        <f>SUMIFS(CB$38:CB$120,$B$38:$B$120,$E17,$L$38:$L$120,$E$16)</f>
        <v>0</v>
      </c>
      <c r="CC17" s="3">
        <f>SUMIFS(CC$38:CC$120,$B$38:$B$120,$E17,$L$38:$L$120,$E$16)</f>
        <v>0</v>
      </c>
      <c r="CD17" s="3">
        <f>SUMIFS(CD$38:CD$120,$B$38:$B$120,$E17,$L$38:$L$120,$E$16)</f>
        <v>0</v>
      </c>
      <c r="CE17" s="3">
        <f>SUMIFS(CE$38:CE$120,$B$38:$B$120,$E17,$L$38:$L$120,$E$16)</f>
        <v>0</v>
      </c>
      <c r="CF17" s="3">
        <f>SUMIFS(CF$38:CF$120,$B$38:$B$120,$E17,$L$38:$L$120,$E$16)</f>
        <v>0</v>
      </c>
      <c r="CG17" s="3">
        <f>SUMIFS(CG$38:CG$120,$B$38:$B$120,$E17,$L$38:$L$120,$E$16)</f>
        <v>0</v>
      </c>
      <c r="CH17" s="3">
        <f>SUMIFS(CH$38:CH$120,$B$38:$B$120,$E17,$L$38:$L$120,$E$16)</f>
        <v>0</v>
      </c>
      <c r="CI17" s="3">
        <f>SUMIFS(CI$38:CI$120,$B$38:$B$120,$E17,$L$38:$L$120,$E$16)</f>
        <v>0</v>
      </c>
      <c r="CJ17" s="3">
        <f>SUMIFS(CJ$38:CJ$120,$B$38:$B$120,$E17,$L$38:$L$120,$E$16)</f>
        <v>0</v>
      </c>
      <c r="CK17" s="3">
        <f>SUMIFS(CK$38:CK$120,$B$38:$B$120,$E17,$L$38:$L$120,$E$16)</f>
        <v>0</v>
      </c>
      <c r="CL17" s="3">
        <f>SUMIFS(CL$38:CL$120,$B$38:$B$120,$E17,$L$38:$L$120,$E$16)</f>
        <v>0</v>
      </c>
      <c r="CM17" s="3">
        <f>SUMIFS(CM$38:CM$120,$B$38:$B$120,$E17,$L$38:$L$120,$E$16)</f>
        <v>0</v>
      </c>
      <c r="CN17" s="3">
        <f>SUMIFS(CN$38:CN$120,$B$38:$B$120,$E17,$L$38:$L$120,$E$16)</f>
        <v>0</v>
      </c>
      <c r="CO17" s="3">
        <f>SUMIFS(CO$38:CO$120,$B$38:$B$120,$E17,$L$38:$L$120,$E$16)</f>
        <v>0</v>
      </c>
      <c r="CP17" s="3">
        <f>SUMIFS(CP$38:CP$120,$B$38:$B$120,$E17,$L$38:$L$120,$E$16)</f>
        <v>0</v>
      </c>
      <c r="CQ17" s="3">
        <f>SUMIFS(CQ$38:CQ$120,$B$38:$B$120,$E17,$L$38:$L$120,$E$16)</f>
        <v>0</v>
      </c>
      <c r="CR17" s="3">
        <f>SUMIFS(CR$38:CR$120,$B$38:$B$120,$E17,$L$38:$L$120,$E$16)</f>
        <v>0</v>
      </c>
      <c r="CS17" s="3">
        <f>SUMIFS(CS$38:CS$120,$B$38:$B$120,$E17,$L$38:$L$120,$E$16)</f>
        <v>0</v>
      </c>
      <c r="CT17" s="3">
        <f>SUMIFS(CT$38:CT$120,$B$38:$B$120,$E17,$L$38:$L$120,$E$16)</f>
        <v>0</v>
      </c>
      <c r="CU17" s="3">
        <f>SUMIFS(CU$38:CU$120,$B$38:$B$120,$E17,$L$38:$L$120,$E$16)</f>
        <v>0</v>
      </c>
      <c r="CV17" s="3">
        <f>SUMIFS(CV$38:CV$120,$B$38:$B$120,$E17,$L$38:$L$120,$E$16)</f>
        <v>0</v>
      </c>
      <c r="CW17" s="3">
        <f>SUMIFS(CW$38:CW$120,$B$38:$B$120,$E17,$L$38:$L$120,$E$16)</f>
        <v>0</v>
      </c>
      <c r="CX17" s="3">
        <f>SUMIFS(CX$38:CX$120,$B$38:$B$120,$E17,$L$38:$L$120,$E$16)</f>
        <v>0</v>
      </c>
      <c r="CY17" s="3">
        <f>SUMIFS(CY$38:CY$120,$B$38:$B$120,$E17,$L$38:$L$120,$E$16)</f>
        <v>0</v>
      </c>
      <c r="CZ17" s="3">
        <f>SUMIFS(CZ$38:CZ$120,$B$38:$B$120,$E17,$L$38:$L$120,$E$16)</f>
        <v>0</v>
      </c>
      <c r="DA17" s="3">
        <f>SUMIFS(DA$38:DA$120,$B$38:$B$120,$E17,$L$38:$L$120,$E$16)</f>
        <v>0</v>
      </c>
      <c r="DB17" s="3">
        <f>SUMIFS(DB$38:DB$120,$B$38:$B$120,$E17,$L$38:$L$120,$E$16)</f>
        <v>0</v>
      </c>
    </row>
    <row r="18" spans="1:106">
      <c r="E18" s="2" t="s">
        <v>2</v>
      </c>
      <c r="R18" s="3">
        <f>SUMIFS(R$38:R$120,$B$38:$B$120,$E18,$L$38:$L$120,$E$16)</f>
        <v>0</v>
      </c>
      <c r="S18" s="3">
        <f>SUMIFS(S$38:S$120,$B$38:$B$120,$E18,$L$38:$L$120,$E$16)</f>
        <v>0</v>
      </c>
      <c r="T18" s="3">
        <f>SUMIFS(T$38:T$120,$B$38:$B$120,$E18,$L$38:$L$120,$E$16)</f>
        <v>0</v>
      </c>
      <c r="U18" s="3">
        <f>SUMIFS(U$38:U$120,$B$38:$B$120,$E18,$L$38:$L$120,$E$16)</f>
        <v>0</v>
      </c>
      <c r="V18" s="3">
        <f>SUMIFS(V$38:V$120,$B$38:$B$120,$E18,$L$38:$L$120,$E$16)</f>
        <v>0</v>
      </c>
      <c r="W18" s="3">
        <f>SUMIFS(W$38:W$120,$B$38:$B$120,$E18,$L$38:$L$120,$E$16)</f>
        <v>0</v>
      </c>
      <c r="X18" s="3">
        <f>SUMIFS(X$38:X$120,$B$38:$B$120,$E18,$L$38:$L$120,$E$16)</f>
        <v>0</v>
      </c>
      <c r="Y18" s="3">
        <f>SUMIFS(Y$38:Y$120,$B$38:$B$120,$E18,$L$38:$L$120,$E$16)</f>
        <v>0</v>
      </c>
      <c r="Z18" s="3">
        <f>SUMIFS(Z$38:Z$120,$B$38:$B$120,$E18,$L$38:$L$120,$E$16)</f>
        <v>0</v>
      </c>
      <c r="AA18" s="3">
        <f>SUMIFS(AA$38:AA$120,$B$38:$B$120,$E18,$L$38:$L$120,$E$16)</f>
        <v>0</v>
      </c>
      <c r="AB18" s="3">
        <f>SUMIFS(AB$38:AB$120,$B$38:$B$120,$E18,$L$38:$L$120,$E$16)</f>
        <v>0</v>
      </c>
      <c r="AC18" s="3">
        <f>SUMIFS(AC$38:AC$120,$B$38:$B$120,$E18,$L$38:$L$120,$E$16)</f>
        <v>0</v>
      </c>
      <c r="AD18" s="3">
        <f>SUMIFS(AD$38:AD$120,$B$38:$B$120,$E18,$L$38:$L$120,$E$16)</f>
        <v>0</v>
      </c>
      <c r="AE18" s="3">
        <f>SUMIFS(AE$38:AE$120,$B$38:$B$120,$E18,$L$38:$L$120,$E$16)</f>
        <v>0</v>
      </c>
      <c r="AF18" s="3">
        <f>SUMIFS(AF$38:AF$120,$B$38:$B$120,$E18,$L$38:$L$120,$E$16)</f>
        <v>0</v>
      </c>
      <c r="AG18" s="3">
        <f>SUMIFS(AG$38:AG$120,$B$38:$B$120,$E18,$L$38:$L$120,$E$16)</f>
        <v>0</v>
      </c>
      <c r="AH18" s="3">
        <f>SUMIFS(AH$38:AH$120,$B$38:$B$120,$E18,$L$38:$L$120,$E$16)</f>
        <v>0</v>
      </c>
      <c r="AI18" s="3"/>
      <c r="AJ18" s="3"/>
      <c r="AK18" s="3"/>
      <c r="AL18" s="3">
        <f>SUMIFS(AL$38:AL$120,$B$38:$B$120,$E18,$L$38:$L$120,$E$16)</f>
        <v>0</v>
      </c>
      <c r="AM18" s="3">
        <f>SUMIFS(AM$38:AM$120,$B$38:$B$120,$E18,$L$38:$L$120,$E$16)</f>
        <v>0</v>
      </c>
      <c r="AN18" s="3">
        <f>SUMIFS(AN$38:AN$120,$B$38:$B$120,$E18,$L$38:$L$120,$E$16)</f>
        <v>0</v>
      </c>
      <c r="AO18" s="3">
        <f>SUMIFS(AO$38:AO$120,$B$38:$B$120,$E18,$L$38:$L$120,$E$16)</f>
        <v>0</v>
      </c>
      <c r="AP18" s="3">
        <f>SUMIFS(AP$38:AP$120,$B$38:$B$120,$E18,$L$38:$L$120,$E$16)</f>
        <v>0</v>
      </c>
      <c r="AQ18" s="3">
        <f>SUMIFS(AQ$38:AQ$120,$B$38:$B$120,$E18,$L$38:$L$120,$E$16)</f>
        <v>0</v>
      </c>
      <c r="AR18" s="3">
        <f>SUMIFS(AR$38:AR$120,$B$38:$B$120,$E18,$L$38:$L$120,$E$16)</f>
        <v>0</v>
      </c>
      <c r="AS18" s="3">
        <f>SUMIFS(AS$38:AS$120,$B$38:$B$120,$E18,$L$38:$L$120,$E$16)</f>
        <v>0</v>
      </c>
      <c r="AT18" s="3">
        <f>SUMIFS(AT$38:AT$120,$B$38:$B$120,$E18,$L$38:$L$120,$E$16)</f>
        <v>0</v>
      </c>
      <c r="AU18" s="3">
        <f>SUMIFS(AU$38:AU$120,$B$38:$B$120,$E18,$L$38:$L$120,$E$16)</f>
        <v>0</v>
      </c>
      <c r="AV18" s="3">
        <f>SUMIFS(AV$38:AV$120,$B$38:$B$120,$E18,$L$38:$L$120,$E$16)</f>
        <v>0</v>
      </c>
      <c r="AW18" s="3">
        <f>SUMIFS(AW$38:AW$120,$B$38:$B$120,$E18,$L$38:$L$120,$E$16)</f>
        <v>0</v>
      </c>
      <c r="AX18" s="3">
        <f>SUMIFS(AX$38:AX$120,$B$38:$B$120,$E18,$L$38:$L$120,$E$16)</f>
        <v>0</v>
      </c>
      <c r="AY18" s="3">
        <f>SUMIFS(AY$38:AY$120,$B$38:$B$120,$E18,$L$38:$L$120,$E$16)</f>
        <v>0</v>
      </c>
      <c r="AZ18" s="3">
        <f>SUMIFS(AZ$38:AZ$120,$B$38:$B$120,$E18,$L$38:$L$120,$E$16)</f>
        <v>0</v>
      </c>
      <c r="BA18" s="3">
        <f>SUMIFS(BA$38:BA$120,$B$38:$B$120,$E18,$L$38:$L$120,$E$16)</f>
        <v>0</v>
      </c>
      <c r="BB18" s="3">
        <f>SUMIFS(BB$38:BB$120,$B$38:$B$120,$E18,$L$38:$L$120,$E$16)</f>
        <v>0</v>
      </c>
      <c r="BC18" s="3">
        <f>SUMIFS(BC$38:BC$120,$B$38:$B$120,$E18,$L$38:$L$120,$E$16)</f>
        <v>0</v>
      </c>
      <c r="BD18" s="3">
        <f>SUMIFS(BD$38:BD$120,$B$38:$B$120,$E18,$L$38:$L$120,$E$16)</f>
        <v>0</v>
      </c>
      <c r="BE18" s="3">
        <f>SUMIFS(BE$38:BE$120,$B$38:$B$120,$E18,$L$38:$L$120,$E$16)</f>
        <v>0</v>
      </c>
      <c r="BF18" s="3">
        <f>SUMIFS(BF$38:BF$120,$B$38:$B$120,$E18,$L$38:$L$120,$E$16)</f>
        <v>0</v>
      </c>
      <c r="BG18" s="3">
        <f>SUMIFS(BG$38:BG$120,$B$38:$B$120,$E18,$L$38:$L$120,$E$16)</f>
        <v>0</v>
      </c>
      <c r="BH18" s="3">
        <f>SUMIFS(BH$38:BH$120,$B$38:$B$120,$E18,$L$38:$L$120,$E$16)</f>
        <v>0</v>
      </c>
      <c r="BI18" s="3">
        <f>SUMIFS(BI$38:BI$120,$B$38:$B$120,$E18,$L$38:$L$120,$E$16)</f>
        <v>0</v>
      </c>
      <c r="BJ18" s="3">
        <f>SUMIFS(BJ$38:BJ$120,$B$38:$B$120,$E18,$L$38:$L$120,$E$16)</f>
        <v>0</v>
      </c>
      <c r="BK18" s="3">
        <f>SUMIFS(BK$38:BK$120,$B$38:$B$120,$E18,$L$38:$L$120,$E$16)</f>
        <v>0</v>
      </c>
      <c r="BL18" s="3">
        <f>SUMIFS(BL$38:BL$120,$B$38:$B$120,$E18,$L$38:$L$120,$E$16)</f>
        <v>0</v>
      </c>
      <c r="BM18" s="3">
        <f>SUMIFS(BM$38:BM$120,$B$38:$B$120,$E18,$L$38:$L$120,$E$16)</f>
        <v>0</v>
      </c>
      <c r="BN18" s="3">
        <f>SUMIFS(BN$38:BN$120,$B$38:$B$120,$E18,$L$38:$L$120,$E$16)</f>
        <v>0</v>
      </c>
      <c r="BO18" s="3">
        <f>SUMIFS(BO$38:BO$120,$B$38:$B$120,$E18,$L$38:$L$120,$E$16)</f>
        <v>0</v>
      </c>
      <c r="BP18" s="3">
        <f>SUMIFS(BP$38:BP$120,$B$38:$B$120,$E18,$L$38:$L$120,$E$16)</f>
        <v>0</v>
      </c>
      <c r="BQ18" s="3">
        <f>SUMIFS(BQ$38:BQ$120,$B$38:$B$120,$E18,$L$38:$L$120,$E$16)</f>
        <v>0</v>
      </c>
      <c r="BR18" s="3">
        <f>SUMIFS(BR$38:BR$120,$B$38:$B$120,$E18,$L$38:$L$120,$E$16)</f>
        <v>0</v>
      </c>
      <c r="BS18" s="3">
        <f>SUMIFS(BS$38:BS$120,$B$38:$B$120,$E18,$L$38:$L$120,$E$16)</f>
        <v>0</v>
      </c>
      <c r="BT18" s="3">
        <f>SUMIFS(BT$38:BT$120,$B$38:$B$120,$E18,$L$38:$L$120,$E$16)</f>
        <v>0</v>
      </c>
      <c r="BU18" s="3">
        <f>SUMIFS(BU$38:BU$120,$B$38:$B$120,$E18,$L$38:$L$120,$E$16)</f>
        <v>0</v>
      </c>
      <c r="BV18" s="3">
        <f>SUMIFS(BV$38:BV$120,$B$38:$B$120,$E18,$L$38:$L$120,$E$16)</f>
        <v>0</v>
      </c>
      <c r="BW18" s="3">
        <f>SUMIFS(BW$38:BW$120,$B$38:$B$120,$E18,$L$38:$L$120,$E$16)</f>
        <v>0</v>
      </c>
      <c r="BX18" s="3">
        <f>SUMIFS(BX$38:BX$120,$B$38:$B$120,$E18,$L$38:$L$120,$E$16)</f>
        <v>0</v>
      </c>
      <c r="BY18" s="3">
        <f>SUMIFS(BY$38:BY$120,$B$38:$B$120,$E18,$L$38:$L$120,$E$16)</f>
        <v>0</v>
      </c>
      <c r="BZ18" s="3">
        <f>SUMIFS(BZ$38:BZ$120,$B$38:$B$120,$E18,$L$38:$L$120,$E$16)</f>
        <v>0</v>
      </c>
      <c r="CA18" s="3">
        <f>SUMIFS(CA$38:CA$120,$B$38:$B$120,$E18,$L$38:$L$120,$E$16)</f>
        <v>0</v>
      </c>
      <c r="CB18" s="3">
        <f>SUMIFS(CB$38:CB$120,$B$38:$B$120,$E18,$L$38:$L$120,$E$16)</f>
        <v>0</v>
      </c>
      <c r="CC18" s="3">
        <f>SUMIFS(CC$38:CC$120,$B$38:$B$120,$E18,$L$38:$L$120,$E$16)</f>
        <v>0</v>
      </c>
      <c r="CD18" s="3">
        <f>SUMIFS(CD$38:CD$120,$B$38:$B$120,$E18,$L$38:$L$120,$E$16)</f>
        <v>0</v>
      </c>
      <c r="CE18" s="3">
        <f>SUMIFS(CE$38:CE$120,$B$38:$B$120,$E18,$L$38:$L$120,$E$16)</f>
        <v>0</v>
      </c>
      <c r="CF18" s="3">
        <f>SUMIFS(CF$38:CF$120,$B$38:$B$120,$E18,$L$38:$L$120,$E$16)</f>
        <v>0</v>
      </c>
      <c r="CG18" s="3">
        <f>SUMIFS(CG$38:CG$120,$B$38:$B$120,$E18,$L$38:$L$120,$E$16)</f>
        <v>0</v>
      </c>
      <c r="CH18" s="3">
        <f>SUMIFS(CH$38:CH$120,$B$38:$B$120,$E18,$L$38:$L$120,$E$16)</f>
        <v>0</v>
      </c>
      <c r="CI18" s="3">
        <f>SUMIFS(CI$38:CI$120,$B$38:$B$120,$E18,$L$38:$L$120,$E$16)</f>
        <v>0</v>
      </c>
      <c r="CJ18" s="3">
        <f>SUMIFS(CJ$38:CJ$120,$B$38:$B$120,$E18,$L$38:$L$120,$E$16)</f>
        <v>0</v>
      </c>
      <c r="CK18" s="3">
        <f>SUMIFS(CK$38:CK$120,$B$38:$B$120,$E18,$L$38:$L$120,$E$16)</f>
        <v>0</v>
      </c>
      <c r="CL18" s="3">
        <f>SUMIFS(CL$38:CL$120,$B$38:$B$120,$E18,$L$38:$L$120,$E$16)</f>
        <v>0</v>
      </c>
      <c r="CM18" s="3">
        <f>SUMIFS(CM$38:CM$120,$B$38:$B$120,$E18,$L$38:$L$120,$E$16)</f>
        <v>0</v>
      </c>
      <c r="CN18" s="3">
        <f>SUMIFS(CN$38:CN$120,$B$38:$B$120,$E18,$L$38:$L$120,$E$16)</f>
        <v>0</v>
      </c>
      <c r="CO18" s="3">
        <f>SUMIFS(CO$38:CO$120,$B$38:$B$120,$E18,$L$38:$L$120,$E$16)</f>
        <v>0</v>
      </c>
      <c r="CP18" s="3">
        <f>SUMIFS(CP$38:CP$120,$B$38:$B$120,$E18,$L$38:$L$120,$E$16)</f>
        <v>0</v>
      </c>
      <c r="CQ18" s="3">
        <f>SUMIFS(CQ$38:CQ$120,$B$38:$B$120,$E18,$L$38:$L$120,$E$16)</f>
        <v>0</v>
      </c>
      <c r="CR18" s="3">
        <f>SUMIFS(CR$38:CR$120,$B$38:$B$120,$E18,$L$38:$L$120,$E$16)</f>
        <v>0</v>
      </c>
      <c r="CS18" s="3">
        <f>SUMIFS(CS$38:CS$120,$B$38:$B$120,$E18,$L$38:$L$120,$E$16)</f>
        <v>0</v>
      </c>
      <c r="CT18" s="3">
        <f>SUMIFS(CT$38:CT$120,$B$38:$B$120,$E18,$L$38:$L$120,$E$16)</f>
        <v>0</v>
      </c>
      <c r="CU18" s="3">
        <f>SUMIFS(CU$38:CU$120,$B$38:$B$120,$E18,$L$38:$L$120,$E$16)</f>
        <v>0</v>
      </c>
      <c r="CV18" s="3">
        <f>SUMIFS(CV$38:CV$120,$B$38:$B$120,$E18,$L$38:$L$120,$E$16)</f>
        <v>0</v>
      </c>
      <c r="CW18" s="3">
        <f>SUMIFS(CW$38:CW$120,$B$38:$B$120,$E18,$L$38:$L$120,$E$16)</f>
        <v>0</v>
      </c>
      <c r="CX18" s="3">
        <f>SUMIFS(CX$38:CX$120,$B$38:$B$120,$E18,$L$38:$L$120,$E$16)</f>
        <v>0</v>
      </c>
      <c r="CY18" s="3">
        <f>SUMIFS(CY$38:CY$120,$B$38:$B$120,$E18,$L$38:$L$120,$E$16)</f>
        <v>0</v>
      </c>
      <c r="CZ18" s="3">
        <f>SUMIFS(CZ$38:CZ$120,$B$38:$B$120,$E18,$L$38:$L$120,$E$16)</f>
        <v>0</v>
      </c>
      <c r="DA18" s="3">
        <f>SUMIFS(DA$38:DA$120,$B$38:$B$120,$E18,$L$38:$L$120,$E$16)</f>
        <v>0</v>
      </c>
      <c r="DB18" s="3">
        <f>SUMIFS(DB$38:DB$120,$B$38:$B$120,$E18,$L$38:$L$120,$E$16)</f>
        <v>0</v>
      </c>
    </row>
    <row r="19" spans="1:106">
      <c r="E19" s="2" t="s">
        <v>3</v>
      </c>
      <c r="R19" s="3">
        <f>SUMIFS(R$38:R$120,$B$38:$B$120,$E19,$L$38:$L$120,$E$16)</f>
        <v>0</v>
      </c>
      <c r="S19" s="3">
        <f>SUMIFS(S$38:S$120,$B$38:$B$120,$E19,$L$38:$L$120,$E$16)</f>
        <v>0</v>
      </c>
      <c r="T19" s="3">
        <f>SUMIFS(T$38:T$120,$B$38:$B$120,$E19,$L$38:$L$120,$E$16)</f>
        <v>0</v>
      </c>
      <c r="U19" s="3">
        <f>SUMIFS(U$38:U$120,$B$38:$B$120,$E19,$L$38:$L$120,$E$16)</f>
        <v>0</v>
      </c>
      <c r="V19" s="3">
        <f>SUMIFS(V$38:V$120,$B$38:$B$120,$E19,$L$38:$L$120,$E$16)</f>
        <v>0</v>
      </c>
      <c r="W19" s="3">
        <f>SUMIFS(W$38:W$120,$B$38:$B$120,$E19,$L$38:$L$120,$E$16)</f>
        <v>0</v>
      </c>
      <c r="X19" s="3">
        <f>SUMIFS(X$38:X$120,$B$38:$B$120,$E19,$L$38:$L$120,$E$16)</f>
        <v>0</v>
      </c>
      <c r="Y19" s="3">
        <f>SUMIFS(Y$38:Y$120,$B$38:$B$120,$E19,$L$38:$L$120,$E$16)</f>
        <v>0</v>
      </c>
      <c r="Z19" s="3">
        <f>SUMIFS(Z$38:Z$120,$B$38:$B$120,$E19,$L$38:$L$120,$E$16)</f>
        <v>0</v>
      </c>
      <c r="AA19" s="3">
        <f>SUMIFS(AA$38:AA$120,$B$38:$B$120,$E19,$L$38:$L$120,$E$16)</f>
        <v>0</v>
      </c>
      <c r="AB19" s="3">
        <f>SUMIFS(AB$38:AB$120,$B$38:$B$120,$E19,$L$38:$L$120,$E$16)</f>
        <v>0</v>
      </c>
      <c r="AC19" s="3">
        <f>SUMIFS(AC$38:AC$120,$B$38:$B$120,$E19,$L$38:$L$120,$E$16)</f>
        <v>0</v>
      </c>
      <c r="AD19" s="3">
        <f>SUMIFS(AD$38:AD$120,$B$38:$B$120,$E19,$L$38:$L$120,$E$16)</f>
        <v>0</v>
      </c>
      <c r="AE19" s="3">
        <f>SUMIFS(AE$38:AE$120,$B$38:$B$120,$E19,$L$38:$L$120,$E$16)</f>
        <v>0</v>
      </c>
      <c r="AF19" s="3">
        <f>SUMIFS(AF$38:AF$120,$B$38:$B$120,$E19,$L$38:$L$120,$E$16)</f>
        <v>0</v>
      </c>
      <c r="AG19" s="3">
        <f>SUMIFS(AG$38:AG$120,$B$38:$B$120,$E19,$L$38:$L$120,$E$16)</f>
        <v>0</v>
      </c>
      <c r="AH19" s="3">
        <f>SUMIFS(AH$38:AH$120,$B$38:$B$120,$E19,$L$38:$L$120,$E$16)</f>
        <v>0</v>
      </c>
      <c r="AI19" s="3"/>
      <c r="AJ19" s="3"/>
      <c r="AK19" s="3"/>
      <c r="AL19" s="3">
        <f>SUMIFS(AL$38:AL$120,$B$38:$B$120,$E19,$L$38:$L$120,$E$16)</f>
        <v>0</v>
      </c>
      <c r="AM19" s="3">
        <f>SUMIFS(AM$38:AM$120,$B$38:$B$120,$E19,$L$38:$L$120,$E$16)</f>
        <v>0</v>
      </c>
      <c r="AN19" s="3">
        <f>SUMIFS(AN$38:AN$120,$B$38:$B$120,$E19,$L$38:$L$120,$E$16)</f>
        <v>0</v>
      </c>
      <c r="AO19" s="3">
        <f>SUMIFS(AO$38:AO$120,$B$38:$B$120,$E19,$L$38:$L$120,$E$16)</f>
        <v>0</v>
      </c>
      <c r="AP19" s="3">
        <f>SUMIFS(AP$38:AP$120,$B$38:$B$120,$E19,$L$38:$L$120,$E$16)</f>
        <v>0</v>
      </c>
      <c r="AQ19" s="3">
        <f>SUMIFS(AQ$38:AQ$120,$B$38:$B$120,$E19,$L$38:$L$120,$E$16)</f>
        <v>0</v>
      </c>
      <c r="AR19" s="3">
        <f>SUMIFS(AR$38:AR$120,$B$38:$B$120,$E19,$L$38:$L$120,$E$16)</f>
        <v>0</v>
      </c>
      <c r="AS19" s="3">
        <f>SUMIFS(AS$38:AS$120,$B$38:$B$120,$E19,$L$38:$L$120,$E$16)</f>
        <v>0</v>
      </c>
      <c r="AT19" s="3">
        <f>SUMIFS(AT$38:AT$120,$B$38:$B$120,$E19,$L$38:$L$120,$E$16)</f>
        <v>0</v>
      </c>
      <c r="AU19" s="3">
        <f>SUMIFS(AU$38:AU$120,$B$38:$B$120,$E19,$L$38:$L$120,$E$16)</f>
        <v>0</v>
      </c>
      <c r="AV19" s="3">
        <f>SUMIFS(AV$38:AV$120,$B$38:$B$120,$E19,$L$38:$L$120,$E$16)</f>
        <v>0</v>
      </c>
      <c r="AW19" s="3">
        <f>SUMIFS(AW$38:AW$120,$B$38:$B$120,$E19,$L$38:$L$120,$E$16)</f>
        <v>0</v>
      </c>
      <c r="AX19" s="3">
        <f>SUMIFS(AX$38:AX$120,$B$38:$B$120,$E19,$L$38:$L$120,$E$16)</f>
        <v>0</v>
      </c>
      <c r="AY19" s="3">
        <f>SUMIFS(AY$38:AY$120,$B$38:$B$120,$E19,$L$38:$L$120,$E$16)</f>
        <v>0</v>
      </c>
      <c r="AZ19" s="3">
        <f>SUMIFS(AZ$38:AZ$120,$B$38:$B$120,$E19,$L$38:$L$120,$E$16)</f>
        <v>0</v>
      </c>
      <c r="BA19" s="3">
        <f>SUMIFS(BA$38:BA$120,$B$38:$B$120,$E19,$L$38:$L$120,$E$16)</f>
        <v>0</v>
      </c>
      <c r="BB19" s="3">
        <f>SUMIFS(BB$38:BB$120,$B$38:$B$120,$E19,$L$38:$L$120,$E$16)</f>
        <v>0</v>
      </c>
      <c r="BC19" s="3">
        <f>SUMIFS(BC$38:BC$120,$B$38:$B$120,$E19,$L$38:$L$120,$E$16)</f>
        <v>0</v>
      </c>
      <c r="BD19" s="3">
        <f>SUMIFS(BD$38:BD$120,$B$38:$B$120,$E19,$L$38:$L$120,$E$16)</f>
        <v>0</v>
      </c>
      <c r="BE19" s="3">
        <f>SUMIFS(BE$38:BE$120,$B$38:$B$120,$E19,$L$38:$L$120,$E$16)</f>
        <v>0</v>
      </c>
      <c r="BF19" s="3">
        <f>SUMIFS(BF$38:BF$120,$B$38:$B$120,$E19,$L$38:$L$120,$E$16)</f>
        <v>0</v>
      </c>
      <c r="BG19" s="3">
        <f>SUMIFS(BG$38:BG$120,$B$38:$B$120,$E19,$L$38:$L$120,$E$16)</f>
        <v>0</v>
      </c>
      <c r="BH19" s="3">
        <f>SUMIFS(BH$38:BH$120,$B$38:$B$120,$E19,$L$38:$L$120,$E$16)</f>
        <v>0</v>
      </c>
      <c r="BI19" s="3">
        <f>SUMIFS(BI$38:BI$120,$B$38:$B$120,$E19,$L$38:$L$120,$E$16)</f>
        <v>0</v>
      </c>
      <c r="BJ19" s="3">
        <f>SUMIFS(BJ$38:BJ$120,$B$38:$B$120,$E19,$L$38:$L$120,$E$16)</f>
        <v>0</v>
      </c>
      <c r="BK19" s="3">
        <f>SUMIFS(BK$38:BK$120,$B$38:$B$120,$E19,$L$38:$L$120,$E$16)</f>
        <v>0</v>
      </c>
      <c r="BL19" s="3">
        <f>SUMIFS(BL$38:BL$120,$B$38:$B$120,$E19,$L$38:$L$120,$E$16)</f>
        <v>0</v>
      </c>
      <c r="BM19" s="3">
        <f>SUMIFS(BM$38:BM$120,$B$38:$B$120,$E19,$L$38:$L$120,$E$16)</f>
        <v>0</v>
      </c>
      <c r="BN19" s="3">
        <f>SUMIFS(BN$38:BN$120,$B$38:$B$120,$E19,$L$38:$L$120,$E$16)</f>
        <v>0</v>
      </c>
      <c r="BO19" s="3">
        <f>SUMIFS(BO$38:BO$120,$B$38:$B$120,$E19,$L$38:$L$120,$E$16)</f>
        <v>0</v>
      </c>
      <c r="BP19" s="3">
        <f>SUMIFS(BP$38:BP$120,$B$38:$B$120,$E19,$L$38:$L$120,$E$16)</f>
        <v>0</v>
      </c>
      <c r="BQ19" s="3">
        <f>SUMIFS(BQ$38:BQ$120,$B$38:$B$120,$E19,$L$38:$L$120,$E$16)</f>
        <v>0</v>
      </c>
      <c r="BR19" s="3">
        <f>SUMIFS(BR$38:BR$120,$B$38:$B$120,$E19,$L$38:$L$120,$E$16)</f>
        <v>0</v>
      </c>
      <c r="BS19" s="3">
        <f>SUMIFS(BS$38:BS$120,$B$38:$B$120,$E19,$L$38:$L$120,$E$16)</f>
        <v>0</v>
      </c>
      <c r="BT19" s="3">
        <f>SUMIFS(BT$38:BT$120,$B$38:$B$120,$E19,$L$38:$L$120,$E$16)</f>
        <v>0</v>
      </c>
      <c r="BU19" s="3">
        <f>SUMIFS(BU$38:BU$120,$B$38:$B$120,$E19,$L$38:$L$120,$E$16)</f>
        <v>0</v>
      </c>
      <c r="BV19" s="3">
        <f>SUMIFS(BV$38:BV$120,$B$38:$B$120,$E19,$L$38:$L$120,$E$16)</f>
        <v>0</v>
      </c>
      <c r="BW19" s="3">
        <f>SUMIFS(BW$38:BW$120,$B$38:$B$120,$E19,$L$38:$L$120,$E$16)</f>
        <v>0</v>
      </c>
      <c r="BX19" s="3">
        <f>SUMIFS(BX$38:BX$120,$B$38:$B$120,$E19,$L$38:$L$120,$E$16)</f>
        <v>0</v>
      </c>
      <c r="BY19" s="3">
        <f>SUMIFS(BY$38:BY$120,$B$38:$B$120,$E19,$L$38:$L$120,$E$16)</f>
        <v>0</v>
      </c>
      <c r="BZ19" s="3">
        <f>SUMIFS(BZ$38:BZ$120,$B$38:$B$120,$E19,$L$38:$L$120,$E$16)</f>
        <v>0</v>
      </c>
      <c r="CA19" s="3">
        <f>SUMIFS(CA$38:CA$120,$B$38:$B$120,$E19,$L$38:$L$120,$E$16)</f>
        <v>0</v>
      </c>
      <c r="CB19" s="3">
        <f>SUMIFS(CB$38:CB$120,$B$38:$B$120,$E19,$L$38:$L$120,$E$16)</f>
        <v>0</v>
      </c>
      <c r="CC19" s="3">
        <f>SUMIFS(CC$38:CC$120,$B$38:$B$120,$E19,$L$38:$L$120,$E$16)</f>
        <v>0</v>
      </c>
      <c r="CD19" s="3">
        <f>SUMIFS(CD$38:CD$120,$B$38:$B$120,$E19,$L$38:$L$120,$E$16)</f>
        <v>0</v>
      </c>
      <c r="CE19" s="3">
        <f>SUMIFS(CE$38:CE$120,$B$38:$B$120,$E19,$L$38:$L$120,$E$16)</f>
        <v>0</v>
      </c>
      <c r="CF19" s="3">
        <f>SUMIFS(CF$38:CF$120,$B$38:$B$120,$E19,$L$38:$L$120,$E$16)</f>
        <v>0</v>
      </c>
      <c r="CG19" s="3">
        <f>SUMIFS(CG$38:CG$120,$B$38:$B$120,$E19,$L$38:$L$120,$E$16)</f>
        <v>0</v>
      </c>
      <c r="CH19" s="3">
        <f>SUMIFS(CH$38:CH$120,$B$38:$B$120,$E19,$L$38:$L$120,$E$16)</f>
        <v>0</v>
      </c>
      <c r="CI19" s="3">
        <f>SUMIFS(CI$38:CI$120,$B$38:$B$120,$E19,$L$38:$L$120,$E$16)</f>
        <v>0</v>
      </c>
      <c r="CJ19" s="3">
        <f>SUMIFS(CJ$38:CJ$120,$B$38:$B$120,$E19,$L$38:$L$120,$E$16)</f>
        <v>0</v>
      </c>
      <c r="CK19" s="3">
        <f>SUMIFS(CK$38:CK$120,$B$38:$B$120,$E19,$L$38:$L$120,$E$16)</f>
        <v>0</v>
      </c>
      <c r="CL19" s="3">
        <f>SUMIFS(CL$38:CL$120,$B$38:$B$120,$E19,$L$38:$L$120,$E$16)</f>
        <v>0</v>
      </c>
      <c r="CM19" s="3">
        <f>SUMIFS(CM$38:CM$120,$B$38:$B$120,$E19,$L$38:$L$120,$E$16)</f>
        <v>0</v>
      </c>
      <c r="CN19" s="3">
        <f>SUMIFS(CN$38:CN$120,$B$38:$B$120,$E19,$L$38:$L$120,$E$16)</f>
        <v>0</v>
      </c>
      <c r="CO19" s="3">
        <f>SUMIFS(CO$38:CO$120,$B$38:$B$120,$E19,$L$38:$L$120,$E$16)</f>
        <v>0</v>
      </c>
      <c r="CP19" s="3">
        <f>SUMIFS(CP$38:CP$120,$B$38:$B$120,$E19,$L$38:$L$120,$E$16)</f>
        <v>0</v>
      </c>
      <c r="CQ19" s="3">
        <f>SUMIFS(CQ$38:CQ$120,$B$38:$B$120,$E19,$L$38:$L$120,$E$16)</f>
        <v>0</v>
      </c>
      <c r="CR19" s="3">
        <f>SUMIFS(CR$38:CR$120,$B$38:$B$120,$E19,$L$38:$L$120,$E$16)</f>
        <v>0</v>
      </c>
      <c r="CS19" s="3">
        <f>SUMIFS(CS$38:CS$120,$B$38:$B$120,$E19,$L$38:$L$120,$E$16)</f>
        <v>0</v>
      </c>
      <c r="CT19" s="3">
        <f>SUMIFS(CT$38:CT$120,$B$38:$B$120,$E19,$L$38:$L$120,$E$16)</f>
        <v>0</v>
      </c>
      <c r="CU19" s="3">
        <f>SUMIFS(CU$38:CU$120,$B$38:$B$120,$E19,$L$38:$L$120,$E$16)</f>
        <v>0</v>
      </c>
      <c r="CV19" s="3">
        <f>SUMIFS(CV$38:CV$120,$B$38:$B$120,$E19,$L$38:$L$120,$E$16)</f>
        <v>0</v>
      </c>
      <c r="CW19" s="3">
        <f>SUMIFS(CW$38:CW$120,$B$38:$B$120,$E19,$L$38:$L$120,$E$16)</f>
        <v>0</v>
      </c>
      <c r="CX19" s="3">
        <f>SUMIFS(CX$38:CX$120,$B$38:$B$120,$E19,$L$38:$L$120,$E$16)</f>
        <v>0</v>
      </c>
      <c r="CY19" s="3">
        <f>SUMIFS(CY$38:CY$120,$B$38:$B$120,$E19,$L$38:$L$120,$E$16)</f>
        <v>0</v>
      </c>
      <c r="CZ19" s="3">
        <f>SUMIFS(CZ$38:CZ$120,$B$38:$B$120,$E19,$L$38:$L$120,$E$16)</f>
        <v>0</v>
      </c>
      <c r="DA19" s="3">
        <f>SUMIFS(DA$38:DA$120,$B$38:$B$120,$E19,$L$38:$L$120,$E$16)</f>
        <v>0</v>
      </c>
      <c r="DB19" s="3">
        <f>SUMIFS(DB$38:DB$120,$B$38:$B$120,$E19,$L$38:$L$120,$E$16)</f>
        <v>0</v>
      </c>
    </row>
    <row r="20" spans="1:106">
      <c r="E20" s="2" t="s">
        <v>4</v>
      </c>
      <c r="R20" s="3">
        <f>SUMIFS(R$38:R$120,$B$38:$B$120,$E20,$L$38:$L$120,$E$16)</f>
        <v>0</v>
      </c>
      <c r="S20" s="3">
        <f>SUMIFS(S$38:S$120,$B$38:$B$120,$E20,$L$38:$L$120,$E$16)</f>
        <v>0</v>
      </c>
      <c r="T20" s="3">
        <f>SUMIFS(T$38:T$120,$B$38:$B$120,$E20,$L$38:$L$120,$E$16)</f>
        <v>0</v>
      </c>
      <c r="U20" s="3">
        <f>SUMIFS(U$38:U$120,$B$38:$B$120,$E20,$L$38:$L$120,$E$16)</f>
        <v>0</v>
      </c>
      <c r="V20" s="3">
        <f>SUMIFS(V$38:V$120,$B$38:$B$120,$E20,$L$38:$L$120,$E$16)</f>
        <v>0</v>
      </c>
      <c r="W20" s="3">
        <f>SUMIFS(W$38:W$120,$B$38:$B$120,$E20,$L$38:$L$120,$E$16)</f>
        <v>0</v>
      </c>
      <c r="X20" s="3">
        <f>SUMIFS(X$38:X$120,$B$38:$B$120,$E20,$L$38:$L$120,$E$16)</f>
        <v>0</v>
      </c>
      <c r="Y20" s="3">
        <f>SUMIFS(Y$38:Y$120,$B$38:$B$120,$E20,$L$38:$L$120,$E$16)</f>
        <v>0</v>
      </c>
      <c r="Z20" s="3">
        <f>SUMIFS(Z$38:Z$120,$B$38:$B$120,$E20,$L$38:$L$120,$E$16)</f>
        <v>0</v>
      </c>
      <c r="AA20" s="3">
        <f>SUMIFS(AA$38:AA$120,$B$38:$B$120,$E20,$L$38:$L$120,$E$16)</f>
        <v>0</v>
      </c>
      <c r="AB20" s="3">
        <f>SUMIFS(AB$38:AB$120,$B$38:$B$120,$E20,$L$38:$L$120,$E$16)</f>
        <v>0</v>
      </c>
      <c r="AC20" s="3">
        <f>SUMIFS(AC$38:AC$120,$B$38:$B$120,$E20,$L$38:$L$120,$E$16)</f>
        <v>0</v>
      </c>
      <c r="AD20" s="3">
        <f>SUMIFS(AD$38:AD$120,$B$38:$B$120,$E20,$L$38:$L$120,$E$16)</f>
        <v>0</v>
      </c>
      <c r="AE20" s="3">
        <f>SUMIFS(AE$38:AE$120,$B$38:$B$120,$E20,$L$38:$L$120,$E$16)</f>
        <v>0</v>
      </c>
      <c r="AF20" s="3">
        <f>SUMIFS(AF$38:AF$120,$B$38:$B$120,$E20,$L$38:$L$120,$E$16)</f>
        <v>0</v>
      </c>
      <c r="AG20" s="3">
        <f>SUMIFS(AG$38:AG$120,$B$38:$B$120,$E20,$L$38:$L$120,$E$16)</f>
        <v>0</v>
      </c>
      <c r="AH20" s="3">
        <f>SUMIFS(AH$38:AH$120,$B$38:$B$120,$E20,$L$38:$L$120,$E$16)</f>
        <v>0</v>
      </c>
      <c r="AI20" s="3"/>
      <c r="AJ20" s="3"/>
      <c r="AK20" s="3"/>
      <c r="AL20" s="3">
        <f>SUMIFS(AL$38:AL$120,$B$38:$B$120,$E20,$L$38:$L$120,$E$16)</f>
        <v>0</v>
      </c>
      <c r="AM20" s="3">
        <f>SUMIFS(AM$38:AM$120,$B$38:$B$120,$E20,$L$38:$L$120,$E$16)</f>
        <v>0</v>
      </c>
      <c r="AN20" s="3">
        <f>SUMIFS(AN$38:AN$120,$B$38:$B$120,$E20,$L$38:$L$120,$E$16)</f>
        <v>0</v>
      </c>
      <c r="AO20" s="3">
        <f>SUMIFS(AO$38:AO$120,$B$38:$B$120,$E20,$L$38:$L$120,$E$16)</f>
        <v>0</v>
      </c>
      <c r="AP20" s="3">
        <f>SUMIFS(AP$38:AP$120,$B$38:$B$120,$E20,$L$38:$L$120,$E$16)</f>
        <v>0</v>
      </c>
      <c r="AQ20" s="3">
        <f>SUMIFS(AQ$38:AQ$120,$B$38:$B$120,$E20,$L$38:$L$120,$E$16)</f>
        <v>0</v>
      </c>
      <c r="AR20" s="3">
        <f>SUMIFS(AR$38:AR$120,$B$38:$B$120,$E20,$L$38:$L$120,$E$16)</f>
        <v>0</v>
      </c>
      <c r="AS20" s="3">
        <f>SUMIFS(AS$38:AS$120,$B$38:$B$120,$E20,$L$38:$L$120,$E$16)</f>
        <v>0</v>
      </c>
      <c r="AT20" s="3">
        <f>SUMIFS(AT$38:AT$120,$B$38:$B$120,$E20,$L$38:$L$120,$E$16)</f>
        <v>0</v>
      </c>
      <c r="AU20" s="3">
        <f>SUMIFS(AU$38:AU$120,$B$38:$B$120,$E20,$L$38:$L$120,$E$16)</f>
        <v>0</v>
      </c>
      <c r="AV20" s="3">
        <f>SUMIFS(AV$38:AV$120,$B$38:$B$120,$E20,$L$38:$L$120,$E$16)</f>
        <v>0</v>
      </c>
      <c r="AW20" s="3">
        <f>SUMIFS(AW$38:AW$120,$B$38:$B$120,$E20,$L$38:$L$120,$E$16)</f>
        <v>0</v>
      </c>
      <c r="AX20" s="3">
        <f>SUMIFS(AX$38:AX$120,$B$38:$B$120,$E20,$L$38:$L$120,$E$16)</f>
        <v>0</v>
      </c>
      <c r="AY20" s="3">
        <f>SUMIFS(AY$38:AY$120,$B$38:$B$120,$E20,$L$38:$L$120,$E$16)</f>
        <v>0</v>
      </c>
      <c r="AZ20" s="3">
        <f>SUMIFS(AZ$38:AZ$120,$B$38:$B$120,$E20,$L$38:$L$120,$E$16)</f>
        <v>0</v>
      </c>
      <c r="BA20" s="3">
        <f>SUMIFS(BA$38:BA$120,$B$38:$B$120,$E20,$L$38:$L$120,$E$16)</f>
        <v>0</v>
      </c>
      <c r="BB20" s="3">
        <f>SUMIFS(BB$38:BB$120,$B$38:$B$120,$E20,$L$38:$L$120,$E$16)</f>
        <v>0</v>
      </c>
      <c r="BC20" s="3">
        <f>SUMIFS(BC$38:BC$120,$B$38:$B$120,$E20,$L$38:$L$120,$E$16)</f>
        <v>0</v>
      </c>
      <c r="BD20" s="3">
        <f>SUMIFS(BD$38:BD$120,$B$38:$B$120,$E20,$L$38:$L$120,$E$16)</f>
        <v>0</v>
      </c>
      <c r="BE20" s="3">
        <f>SUMIFS(BE$38:BE$120,$B$38:$B$120,$E20,$L$38:$L$120,$E$16)</f>
        <v>0</v>
      </c>
      <c r="BF20" s="3">
        <f>SUMIFS(BF$38:BF$120,$B$38:$B$120,$E20,$L$38:$L$120,$E$16)</f>
        <v>0</v>
      </c>
      <c r="BG20" s="3">
        <f>SUMIFS(BG$38:BG$120,$B$38:$B$120,$E20,$L$38:$L$120,$E$16)</f>
        <v>0</v>
      </c>
      <c r="BH20" s="3">
        <f>SUMIFS(BH$38:BH$120,$B$38:$B$120,$E20,$L$38:$L$120,$E$16)</f>
        <v>0</v>
      </c>
      <c r="BI20" s="3">
        <f>SUMIFS(BI$38:BI$120,$B$38:$B$120,$E20,$L$38:$L$120,$E$16)</f>
        <v>0</v>
      </c>
      <c r="BJ20" s="3">
        <f>SUMIFS(BJ$38:BJ$120,$B$38:$B$120,$E20,$L$38:$L$120,$E$16)</f>
        <v>0</v>
      </c>
      <c r="BK20" s="3">
        <f>SUMIFS(BK$38:BK$120,$B$38:$B$120,$E20,$L$38:$L$120,$E$16)</f>
        <v>0</v>
      </c>
      <c r="BL20" s="3">
        <f>SUMIFS(BL$38:BL$120,$B$38:$B$120,$E20,$L$38:$L$120,$E$16)</f>
        <v>0</v>
      </c>
      <c r="BM20" s="3">
        <f>SUMIFS(BM$38:BM$120,$B$38:$B$120,$E20,$L$38:$L$120,$E$16)</f>
        <v>0</v>
      </c>
      <c r="BN20" s="3">
        <f>SUMIFS(BN$38:BN$120,$B$38:$B$120,$E20,$L$38:$L$120,$E$16)</f>
        <v>0</v>
      </c>
      <c r="BO20" s="3">
        <f>SUMIFS(BO$38:BO$120,$B$38:$B$120,$E20,$L$38:$L$120,$E$16)</f>
        <v>0</v>
      </c>
      <c r="BP20" s="3">
        <f>SUMIFS(BP$38:BP$120,$B$38:$B$120,$E20,$L$38:$L$120,$E$16)</f>
        <v>0</v>
      </c>
      <c r="BQ20" s="3">
        <f>SUMIFS(BQ$38:BQ$120,$B$38:$B$120,$E20,$L$38:$L$120,$E$16)</f>
        <v>0</v>
      </c>
      <c r="BR20" s="3">
        <f>SUMIFS(BR$38:BR$120,$B$38:$B$120,$E20,$L$38:$L$120,$E$16)</f>
        <v>0</v>
      </c>
      <c r="BS20" s="3">
        <f>SUMIFS(BS$38:BS$120,$B$38:$B$120,$E20,$L$38:$L$120,$E$16)</f>
        <v>0</v>
      </c>
      <c r="BT20" s="3">
        <f>SUMIFS(BT$38:BT$120,$B$38:$B$120,$E20,$L$38:$L$120,$E$16)</f>
        <v>0</v>
      </c>
      <c r="BU20" s="3">
        <f>SUMIFS(BU$38:BU$120,$B$38:$B$120,$E20,$L$38:$L$120,$E$16)</f>
        <v>0</v>
      </c>
      <c r="BV20" s="3">
        <f>SUMIFS(BV$38:BV$120,$B$38:$B$120,$E20,$L$38:$L$120,$E$16)</f>
        <v>0</v>
      </c>
      <c r="BW20" s="3">
        <f>SUMIFS(BW$38:BW$120,$B$38:$B$120,$E20,$L$38:$L$120,$E$16)</f>
        <v>0</v>
      </c>
      <c r="BX20" s="3">
        <f>SUMIFS(BX$38:BX$120,$B$38:$B$120,$E20,$L$38:$L$120,$E$16)</f>
        <v>0</v>
      </c>
      <c r="BY20" s="3">
        <f>SUMIFS(BY$38:BY$120,$B$38:$B$120,$E20,$L$38:$L$120,$E$16)</f>
        <v>0</v>
      </c>
      <c r="BZ20" s="3">
        <f>SUMIFS(BZ$38:BZ$120,$B$38:$B$120,$E20,$L$38:$L$120,$E$16)</f>
        <v>0</v>
      </c>
      <c r="CA20" s="3">
        <f>SUMIFS(CA$38:CA$120,$B$38:$B$120,$E20,$L$38:$L$120,$E$16)</f>
        <v>0</v>
      </c>
      <c r="CB20" s="3">
        <f>SUMIFS(CB$38:CB$120,$B$38:$B$120,$E20,$L$38:$L$120,$E$16)</f>
        <v>0</v>
      </c>
      <c r="CC20" s="3">
        <f>SUMIFS(CC$38:CC$120,$B$38:$B$120,$E20,$L$38:$L$120,$E$16)</f>
        <v>0</v>
      </c>
      <c r="CD20" s="3">
        <f>SUMIFS(CD$38:CD$120,$B$38:$B$120,$E20,$L$38:$L$120,$E$16)</f>
        <v>0</v>
      </c>
      <c r="CE20" s="3">
        <f>SUMIFS(CE$38:CE$120,$B$38:$B$120,$E20,$L$38:$L$120,$E$16)</f>
        <v>0</v>
      </c>
      <c r="CF20" s="3">
        <f>SUMIFS(CF$38:CF$120,$B$38:$B$120,$E20,$L$38:$L$120,$E$16)</f>
        <v>0</v>
      </c>
      <c r="CG20" s="3">
        <f>SUMIFS(CG$38:CG$120,$B$38:$B$120,$E20,$L$38:$L$120,$E$16)</f>
        <v>0</v>
      </c>
      <c r="CH20" s="3">
        <f>SUMIFS(CH$38:CH$120,$B$38:$B$120,$E20,$L$38:$L$120,$E$16)</f>
        <v>0</v>
      </c>
      <c r="CI20" s="3">
        <f>SUMIFS(CI$38:CI$120,$B$38:$B$120,$E20,$L$38:$L$120,$E$16)</f>
        <v>0</v>
      </c>
      <c r="CJ20" s="3">
        <f>SUMIFS(CJ$38:CJ$120,$B$38:$B$120,$E20,$L$38:$L$120,$E$16)</f>
        <v>0</v>
      </c>
      <c r="CK20" s="3">
        <f>SUMIFS(CK$38:CK$120,$B$38:$B$120,$E20,$L$38:$L$120,$E$16)</f>
        <v>0</v>
      </c>
      <c r="CL20" s="3">
        <f>SUMIFS(CL$38:CL$120,$B$38:$B$120,$E20,$L$38:$L$120,$E$16)</f>
        <v>0</v>
      </c>
      <c r="CM20" s="3">
        <f>SUMIFS(CM$38:CM$120,$B$38:$B$120,$E20,$L$38:$L$120,$E$16)</f>
        <v>0</v>
      </c>
      <c r="CN20" s="3">
        <f>SUMIFS(CN$38:CN$120,$B$38:$B$120,$E20,$L$38:$L$120,$E$16)</f>
        <v>0</v>
      </c>
      <c r="CO20" s="3">
        <f>SUMIFS(CO$38:CO$120,$B$38:$B$120,$E20,$L$38:$L$120,$E$16)</f>
        <v>0</v>
      </c>
      <c r="CP20" s="3">
        <f>SUMIFS(CP$38:CP$120,$B$38:$B$120,$E20,$L$38:$L$120,$E$16)</f>
        <v>0</v>
      </c>
      <c r="CQ20" s="3">
        <f>SUMIFS(CQ$38:CQ$120,$B$38:$B$120,$E20,$L$38:$L$120,$E$16)</f>
        <v>0</v>
      </c>
      <c r="CR20" s="3">
        <f>SUMIFS(CR$38:CR$120,$B$38:$B$120,$E20,$L$38:$L$120,$E$16)</f>
        <v>0</v>
      </c>
      <c r="CS20" s="3">
        <f>SUMIFS(CS$38:CS$120,$B$38:$B$120,$E20,$L$38:$L$120,$E$16)</f>
        <v>0</v>
      </c>
      <c r="CT20" s="3">
        <f>SUMIFS(CT$38:CT$120,$B$38:$B$120,$E20,$L$38:$L$120,$E$16)</f>
        <v>0</v>
      </c>
      <c r="CU20" s="3">
        <f>SUMIFS(CU$38:CU$120,$B$38:$B$120,$E20,$L$38:$L$120,$E$16)</f>
        <v>0</v>
      </c>
      <c r="CV20" s="3">
        <f>SUMIFS(CV$38:CV$120,$B$38:$B$120,$E20,$L$38:$L$120,$E$16)</f>
        <v>0</v>
      </c>
      <c r="CW20" s="3">
        <f>SUMIFS(CW$38:CW$120,$B$38:$B$120,$E20,$L$38:$L$120,$E$16)</f>
        <v>0</v>
      </c>
      <c r="CX20" s="3">
        <f>SUMIFS(CX$38:CX$120,$B$38:$B$120,$E20,$L$38:$L$120,$E$16)</f>
        <v>0</v>
      </c>
      <c r="CY20" s="3">
        <f>SUMIFS(CY$38:CY$120,$B$38:$B$120,$E20,$L$38:$L$120,$E$16)</f>
        <v>0</v>
      </c>
      <c r="CZ20" s="3">
        <f>SUMIFS(CZ$38:CZ$120,$B$38:$B$120,$E20,$L$38:$L$120,$E$16)</f>
        <v>0</v>
      </c>
      <c r="DA20" s="3">
        <f>SUMIFS(DA$38:DA$120,$B$38:$B$120,$E20,$L$38:$L$120,$E$16)</f>
        <v>0</v>
      </c>
      <c r="DB20" s="3">
        <f>SUMIFS(DB$38:DB$120,$B$38:$B$120,$E20,$L$38:$L$120,$E$16)</f>
        <v>0</v>
      </c>
    </row>
    <row r="21" spans="1:106">
      <c r="E21" s="2" t="s">
        <v>5</v>
      </c>
      <c r="R21" s="3">
        <f>SUMIFS(R$38:R$120,$B$38:$B$120,$E21,$L$38:$L$120,$E$16)</f>
        <v>0</v>
      </c>
      <c r="S21" s="3">
        <f>SUMIFS(S$38:S$120,$B$38:$B$120,$E21,$L$38:$L$120,$E$16)</f>
        <v>0</v>
      </c>
      <c r="T21" s="3">
        <f>SUMIFS(T$38:T$120,$B$38:$B$120,$E21,$L$38:$L$120,$E$16)</f>
        <v>0</v>
      </c>
      <c r="U21" s="3">
        <f>SUMIFS(U$38:U$120,$B$38:$B$120,$E21,$L$38:$L$120,$E$16)</f>
        <v>0</v>
      </c>
      <c r="V21" s="3">
        <f>SUMIFS(V$38:V$120,$B$38:$B$120,$E21,$L$38:$L$120,$E$16)</f>
        <v>0</v>
      </c>
      <c r="W21" s="3">
        <f>SUMIFS(W$38:W$120,$B$38:$B$120,$E21,$L$38:$L$120,$E$16)</f>
        <v>0</v>
      </c>
      <c r="X21" s="3">
        <f>SUMIFS(X$38:X$120,$B$38:$B$120,$E21,$L$38:$L$120,$E$16)</f>
        <v>0</v>
      </c>
      <c r="Y21" s="3">
        <f>SUMIFS(Y$38:Y$120,$B$38:$B$120,$E21,$L$38:$L$120,$E$16)</f>
        <v>0</v>
      </c>
      <c r="Z21" s="3">
        <f>SUMIFS(Z$38:Z$120,$B$38:$B$120,$E21,$L$38:$L$120,$E$16)</f>
        <v>0</v>
      </c>
      <c r="AA21" s="3">
        <f>SUMIFS(AA$38:AA$120,$B$38:$B$120,$E21,$L$38:$L$120,$E$16)</f>
        <v>0</v>
      </c>
      <c r="AB21" s="3">
        <f>SUMIFS(AB$38:AB$120,$B$38:$B$120,$E21,$L$38:$L$120,$E$16)</f>
        <v>0</v>
      </c>
      <c r="AC21" s="3">
        <f>SUMIFS(AC$38:AC$120,$B$38:$B$120,$E21,$L$38:$L$120,$E$16)</f>
        <v>0</v>
      </c>
      <c r="AD21" s="3">
        <f>SUMIFS(AD$38:AD$120,$B$38:$B$120,$E21,$L$38:$L$120,$E$16)</f>
        <v>0</v>
      </c>
      <c r="AE21" s="3">
        <f>SUMIFS(AE$38:AE$120,$B$38:$B$120,$E21,$L$38:$L$120,$E$16)</f>
        <v>0</v>
      </c>
      <c r="AF21" s="3">
        <f>SUMIFS(AF$38:AF$120,$B$38:$B$120,$E21,$L$38:$L$120,$E$16)</f>
        <v>0</v>
      </c>
      <c r="AG21" s="3">
        <f>SUMIFS(AG$38:AG$120,$B$38:$B$120,$E21,$L$38:$L$120,$E$16)</f>
        <v>0</v>
      </c>
      <c r="AH21" s="3">
        <f>SUMIFS(AH$38:AH$120,$B$38:$B$120,$E21,$L$38:$L$120,$E$16)</f>
        <v>0</v>
      </c>
      <c r="AI21" s="3"/>
      <c r="AJ21" s="3"/>
      <c r="AK21" s="3"/>
      <c r="AL21" s="3">
        <f>SUMIFS(AL$38:AL$120,$B$38:$B$120,$E21,$L$38:$L$120,$E$16)</f>
        <v>0</v>
      </c>
      <c r="AM21" s="3">
        <f>SUMIFS(AM$38:AM$120,$B$38:$B$120,$E21,$L$38:$L$120,$E$16)</f>
        <v>0</v>
      </c>
      <c r="AN21" s="3">
        <f>SUMIFS(AN$38:AN$120,$B$38:$B$120,$E21,$L$38:$L$120,$E$16)</f>
        <v>0</v>
      </c>
      <c r="AO21" s="3">
        <f>SUMIFS(AO$38:AO$120,$B$38:$B$120,$E21,$L$38:$L$120,$E$16)</f>
        <v>0</v>
      </c>
      <c r="AP21" s="3">
        <f>SUMIFS(AP$38:AP$120,$B$38:$B$120,$E21,$L$38:$L$120,$E$16)</f>
        <v>0</v>
      </c>
      <c r="AQ21" s="3">
        <f>SUMIFS(AQ$38:AQ$120,$B$38:$B$120,$E21,$L$38:$L$120,$E$16)</f>
        <v>0</v>
      </c>
      <c r="AR21" s="3">
        <f>SUMIFS(AR$38:AR$120,$B$38:$B$120,$E21,$L$38:$L$120,$E$16)</f>
        <v>0</v>
      </c>
      <c r="AS21" s="3">
        <f>SUMIFS(AS$38:AS$120,$B$38:$B$120,$E21,$L$38:$L$120,$E$16)</f>
        <v>0</v>
      </c>
      <c r="AT21" s="3">
        <f>SUMIFS(AT$38:AT$120,$B$38:$B$120,$E21,$L$38:$L$120,$E$16)</f>
        <v>0</v>
      </c>
      <c r="AU21" s="3">
        <f>SUMIFS(AU$38:AU$120,$B$38:$B$120,$E21,$L$38:$L$120,$E$16)</f>
        <v>0</v>
      </c>
      <c r="AV21" s="3">
        <f>SUMIFS(AV$38:AV$120,$B$38:$B$120,$E21,$L$38:$L$120,$E$16)</f>
        <v>0</v>
      </c>
      <c r="AW21" s="3">
        <f>SUMIFS(AW$38:AW$120,$B$38:$B$120,$E21,$L$38:$L$120,$E$16)</f>
        <v>0</v>
      </c>
      <c r="AX21" s="3">
        <f>SUMIFS(AX$38:AX$120,$B$38:$B$120,$E21,$L$38:$L$120,$E$16)</f>
        <v>0</v>
      </c>
      <c r="AY21" s="3">
        <f>SUMIFS(AY$38:AY$120,$B$38:$B$120,$E21,$L$38:$L$120,$E$16)</f>
        <v>0</v>
      </c>
      <c r="AZ21" s="3">
        <f>SUMIFS(AZ$38:AZ$120,$B$38:$B$120,$E21,$L$38:$L$120,$E$16)</f>
        <v>0</v>
      </c>
      <c r="BA21" s="3">
        <f>SUMIFS(BA$38:BA$120,$B$38:$B$120,$E21,$L$38:$L$120,$E$16)</f>
        <v>0</v>
      </c>
      <c r="BB21" s="3">
        <f>SUMIFS(BB$38:BB$120,$B$38:$B$120,$E21,$L$38:$L$120,$E$16)</f>
        <v>0</v>
      </c>
      <c r="BC21" s="3">
        <f>SUMIFS(BC$38:BC$120,$B$38:$B$120,$E21,$L$38:$L$120,$E$16)</f>
        <v>0</v>
      </c>
      <c r="BD21" s="3">
        <f>SUMIFS(BD$38:BD$120,$B$38:$B$120,$E21,$L$38:$L$120,$E$16)</f>
        <v>0</v>
      </c>
      <c r="BE21" s="3">
        <f>SUMIFS(BE$38:BE$120,$B$38:$B$120,$E21,$L$38:$L$120,$E$16)</f>
        <v>0</v>
      </c>
      <c r="BF21" s="3">
        <f>SUMIFS(BF$38:BF$120,$B$38:$B$120,$E21,$L$38:$L$120,$E$16)</f>
        <v>0</v>
      </c>
      <c r="BG21" s="3">
        <f>SUMIFS(BG$38:BG$120,$B$38:$B$120,$E21,$L$38:$L$120,$E$16)</f>
        <v>0</v>
      </c>
      <c r="BH21" s="3">
        <f>SUMIFS(BH$38:BH$120,$B$38:$B$120,$E21,$L$38:$L$120,$E$16)</f>
        <v>0</v>
      </c>
      <c r="BI21" s="3">
        <f>SUMIFS(BI$38:BI$120,$B$38:$B$120,$E21,$L$38:$L$120,$E$16)</f>
        <v>0</v>
      </c>
      <c r="BJ21" s="3">
        <f>SUMIFS(BJ$38:BJ$120,$B$38:$B$120,$E21,$L$38:$L$120,$E$16)</f>
        <v>0</v>
      </c>
      <c r="BK21" s="3">
        <f>SUMIFS(BK$38:BK$120,$B$38:$B$120,$E21,$L$38:$L$120,$E$16)</f>
        <v>0</v>
      </c>
      <c r="BL21" s="3">
        <f>SUMIFS(BL$38:BL$120,$B$38:$B$120,$E21,$L$38:$L$120,$E$16)</f>
        <v>0</v>
      </c>
      <c r="BM21" s="3">
        <f>SUMIFS(BM$38:BM$120,$B$38:$B$120,$E21,$L$38:$L$120,$E$16)</f>
        <v>0</v>
      </c>
      <c r="BN21" s="3">
        <f>SUMIFS(BN$38:BN$120,$B$38:$B$120,$E21,$L$38:$L$120,$E$16)</f>
        <v>0</v>
      </c>
      <c r="BO21" s="3">
        <f>SUMIFS(BO$38:BO$120,$B$38:$B$120,$E21,$L$38:$L$120,$E$16)</f>
        <v>0</v>
      </c>
      <c r="BP21" s="3">
        <f>SUMIFS(BP$38:BP$120,$B$38:$B$120,$E21,$L$38:$L$120,$E$16)</f>
        <v>0</v>
      </c>
      <c r="BQ21" s="3">
        <f>SUMIFS(BQ$38:BQ$120,$B$38:$B$120,$E21,$L$38:$L$120,$E$16)</f>
        <v>0</v>
      </c>
      <c r="BR21" s="3">
        <f>SUMIFS(BR$38:BR$120,$B$38:$B$120,$E21,$L$38:$L$120,$E$16)</f>
        <v>0</v>
      </c>
      <c r="BS21" s="3">
        <f>SUMIFS(BS$38:BS$120,$B$38:$B$120,$E21,$L$38:$L$120,$E$16)</f>
        <v>0</v>
      </c>
      <c r="BT21" s="3">
        <f>SUMIFS(BT$38:BT$120,$B$38:$B$120,$E21,$L$38:$L$120,$E$16)</f>
        <v>0</v>
      </c>
      <c r="BU21" s="3">
        <f>SUMIFS(BU$38:BU$120,$B$38:$B$120,$E21,$L$38:$L$120,$E$16)</f>
        <v>0</v>
      </c>
      <c r="BV21" s="3">
        <f>SUMIFS(BV$38:BV$120,$B$38:$B$120,$E21,$L$38:$L$120,$E$16)</f>
        <v>0</v>
      </c>
      <c r="BW21" s="3">
        <f>SUMIFS(BW$38:BW$120,$B$38:$B$120,$E21,$L$38:$L$120,$E$16)</f>
        <v>0</v>
      </c>
      <c r="BX21" s="3">
        <f>SUMIFS(BX$38:BX$120,$B$38:$B$120,$E21,$L$38:$L$120,$E$16)</f>
        <v>0</v>
      </c>
      <c r="BY21" s="3">
        <f>SUMIFS(BY$38:BY$120,$B$38:$B$120,$E21,$L$38:$L$120,$E$16)</f>
        <v>0</v>
      </c>
      <c r="BZ21" s="3">
        <f>SUMIFS(BZ$38:BZ$120,$B$38:$B$120,$E21,$L$38:$L$120,$E$16)</f>
        <v>0</v>
      </c>
      <c r="CA21" s="3">
        <f>SUMIFS(CA$38:CA$120,$B$38:$B$120,$E21,$L$38:$L$120,$E$16)</f>
        <v>0</v>
      </c>
      <c r="CB21" s="3">
        <f>SUMIFS(CB$38:CB$120,$B$38:$B$120,$E21,$L$38:$L$120,$E$16)</f>
        <v>0</v>
      </c>
      <c r="CC21" s="3">
        <f>SUMIFS(CC$38:CC$120,$B$38:$B$120,$E21,$L$38:$L$120,$E$16)</f>
        <v>0</v>
      </c>
      <c r="CD21" s="3">
        <f>SUMIFS(CD$38:CD$120,$B$38:$B$120,$E21,$L$38:$L$120,$E$16)</f>
        <v>0</v>
      </c>
      <c r="CE21" s="3">
        <f>SUMIFS(CE$38:CE$120,$B$38:$B$120,$E21,$L$38:$L$120,$E$16)</f>
        <v>0</v>
      </c>
      <c r="CF21" s="3">
        <f>SUMIFS(CF$38:CF$120,$B$38:$B$120,$E21,$L$38:$L$120,$E$16)</f>
        <v>0</v>
      </c>
      <c r="CG21" s="3">
        <f>SUMIFS(CG$38:CG$120,$B$38:$B$120,$E21,$L$38:$L$120,$E$16)</f>
        <v>0</v>
      </c>
      <c r="CH21" s="3">
        <f>SUMIFS(CH$38:CH$120,$B$38:$B$120,$E21,$L$38:$L$120,$E$16)</f>
        <v>0</v>
      </c>
      <c r="CI21" s="3">
        <f>SUMIFS(CI$38:CI$120,$B$38:$B$120,$E21,$L$38:$L$120,$E$16)</f>
        <v>0</v>
      </c>
      <c r="CJ21" s="3">
        <f>SUMIFS(CJ$38:CJ$120,$B$38:$B$120,$E21,$L$38:$L$120,$E$16)</f>
        <v>0</v>
      </c>
      <c r="CK21" s="3">
        <f>SUMIFS(CK$38:CK$120,$B$38:$B$120,$E21,$L$38:$L$120,$E$16)</f>
        <v>0</v>
      </c>
      <c r="CL21" s="3">
        <f>SUMIFS(CL$38:CL$120,$B$38:$B$120,$E21,$L$38:$L$120,$E$16)</f>
        <v>0</v>
      </c>
      <c r="CM21" s="3">
        <f>SUMIFS(CM$38:CM$120,$B$38:$B$120,$E21,$L$38:$L$120,$E$16)</f>
        <v>0</v>
      </c>
      <c r="CN21" s="3">
        <f>SUMIFS(CN$38:CN$120,$B$38:$B$120,$E21,$L$38:$L$120,$E$16)</f>
        <v>0</v>
      </c>
      <c r="CO21" s="3">
        <f>SUMIFS(CO$38:CO$120,$B$38:$B$120,$E21,$L$38:$L$120,$E$16)</f>
        <v>0</v>
      </c>
      <c r="CP21" s="3">
        <f>SUMIFS(CP$38:CP$120,$B$38:$B$120,$E21,$L$38:$L$120,$E$16)</f>
        <v>0</v>
      </c>
      <c r="CQ21" s="3">
        <f>SUMIFS(CQ$38:CQ$120,$B$38:$B$120,$E21,$L$38:$L$120,$E$16)</f>
        <v>0</v>
      </c>
      <c r="CR21" s="3">
        <f>SUMIFS(CR$38:CR$120,$B$38:$B$120,$E21,$L$38:$L$120,$E$16)</f>
        <v>0</v>
      </c>
      <c r="CS21" s="3">
        <f>SUMIFS(CS$38:CS$120,$B$38:$B$120,$E21,$L$38:$L$120,$E$16)</f>
        <v>0</v>
      </c>
      <c r="CT21" s="3">
        <f>SUMIFS(CT$38:CT$120,$B$38:$B$120,$E21,$L$38:$L$120,$E$16)</f>
        <v>0</v>
      </c>
      <c r="CU21" s="3">
        <f>SUMIFS(CU$38:CU$120,$B$38:$B$120,$E21,$L$38:$L$120,$E$16)</f>
        <v>0</v>
      </c>
      <c r="CV21" s="3">
        <f>SUMIFS(CV$38:CV$120,$B$38:$B$120,$E21,$L$38:$L$120,$E$16)</f>
        <v>0</v>
      </c>
      <c r="CW21" s="3">
        <f>SUMIFS(CW$38:CW$120,$B$38:$B$120,$E21,$L$38:$L$120,$E$16)</f>
        <v>0</v>
      </c>
      <c r="CX21" s="3">
        <f>SUMIFS(CX$38:CX$120,$B$38:$B$120,$E21,$L$38:$L$120,$E$16)</f>
        <v>0</v>
      </c>
      <c r="CY21" s="3">
        <f>SUMIFS(CY$38:CY$120,$B$38:$B$120,$E21,$L$38:$L$120,$E$16)</f>
        <v>0</v>
      </c>
      <c r="CZ21" s="3">
        <f>SUMIFS(CZ$38:CZ$120,$B$38:$B$120,$E21,$L$38:$L$120,$E$16)</f>
        <v>0</v>
      </c>
      <c r="DA21" s="3">
        <f>SUMIFS(DA$38:DA$120,$B$38:$B$120,$E21,$L$38:$L$120,$E$16)</f>
        <v>0</v>
      </c>
      <c r="DB21" s="3">
        <f>SUMIFS(DB$38:DB$120,$B$38:$B$120,$E21,$L$38:$L$120,$E$16)</f>
        <v>0</v>
      </c>
    </row>
    <row r="22" spans="1:106">
      <c r="E22" s="2" t="s">
        <v>6</v>
      </c>
      <c r="R22" s="3">
        <f>SUMIFS(R$38:R$120,$B$38:$B$120,$E22,$L$38:$L$120,$E$16)</f>
        <v>0</v>
      </c>
      <c r="S22" s="3">
        <f>SUMIFS(S$38:S$120,$B$38:$B$120,$E22,$L$38:$L$120,$E$16)</f>
        <v>0</v>
      </c>
      <c r="T22" s="3">
        <f>SUMIFS(T$38:T$120,$B$38:$B$120,$E22,$L$38:$L$120,$E$16)</f>
        <v>0</v>
      </c>
      <c r="U22" s="3">
        <f>SUMIFS(U$38:U$120,$B$38:$B$120,$E22,$L$38:$L$120,$E$16)</f>
        <v>0</v>
      </c>
      <c r="V22" s="3">
        <f>SUMIFS(V$38:V$120,$B$38:$B$120,$E22,$L$38:$L$120,$E$16)</f>
        <v>0</v>
      </c>
      <c r="W22" s="3">
        <f>SUMIFS(W$38:W$120,$B$38:$B$120,$E22,$L$38:$L$120,$E$16)</f>
        <v>0</v>
      </c>
      <c r="X22" s="3">
        <f>SUMIFS(X$38:X$120,$B$38:$B$120,$E22,$L$38:$L$120,$E$16)</f>
        <v>0</v>
      </c>
      <c r="Y22" s="3">
        <f>SUMIFS(Y$38:Y$120,$B$38:$B$120,$E22,$L$38:$L$120,$E$16)</f>
        <v>0</v>
      </c>
      <c r="Z22" s="3">
        <f>SUMIFS(Z$38:Z$120,$B$38:$B$120,$E22,$L$38:$L$120,$E$16)</f>
        <v>0</v>
      </c>
      <c r="AA22" s="3">
        <f>SUMIFS(AA$38:AA$120,$B$38:$B$120,$E22,$L$38:$L$120,$E$16)</f>
        <v>0</v>
      </c>
      <c r="AB22" s="3">
        <f>SUMIFS(AB$38:AB$120,$B$38:$B$120,$E22,$L$38:$L$120,$E$16)</f>
        <v>0</v>
      </c>
      <c r="AC22" s="3">
        <f>SUMIFS(AC$38:AC$120,$B$38:$B$120,$E22,$L$38:$L$120,$E$16)</f>
        <v>0</v>
      </c>
      <c r="AD22" s="3">
        <f>SUMIFS(AD$38:AD$120,$B$38:$B$120,$E22,$L$38:$L$120,$E$16)</f>
        <v>0</v>
      </c>
      <c r="AE22" s="3">
        <f>SUMIFS(AE$38:AE$120,$B$38:$B$120,$E22,$L$38:$L$120,$E$16)</f>
        <v>0</v>
      </c>
      <c r="AF22" s="3">
        <f>SUMIFS(AF$38:AF$120,$B$38:$B$120,$E22,$L$38:$L$120,$E$16)</f>
        <v>0</v>
      </c>
      <c r="AG22" s="3">
        <f>SUMIFS(AG$38:AG$120,$B$38:$B$120,$E22,$L$38:$L$120,$E$16)</f>
        <v>0</v>
      </c>
      <c r="AH22" s="3">
        <f>SUMIFS(AH$38:AH$120,$B$38:$B$120,$E22,$L$38:$L$120,$E$16)</f>
        <v>0</v>
      </c>
      <c r="AI22" s="3"/>
      <c r="AJ22" s="3"/>
      <c r="AK22" s="3"/>
      <c r="AL22" s="3">
        <f>SUMIFS(AL$38:AL$120,$B$38:$B$120,$E22,$L$38:$L$120,$E$16)</f>
        <v>0</v>
      </c>
      <c r="AM22" s="3">
        <f>SUMIFS(AM$38:AM$120,$B$38:$B$120,$E22,$L$38:$L$120,$E$16)</f>
        <v>0</v>
      </c>
      <c r="AN22" s="3">
        <f>SUMIFS(AN$38:AN$120,$B$38:$B$120,$E22,$L$38:$L$120,$E$16)</f>
        <v>0</v>
      </c>
      <c r="AO22" s="3">
        <f>SUMIFS(AO$38:AO$120,$B$38:$B$120,$E22,$L$38:$L$120,$E$16)</f>
        <v>0</v>
      </c>
      <c r="AP22" s="3">
        <f>SUMIFS(AP$38:AP$120,$B$38:$B$120,$E22,$L$38:$L$120,$E$16)</f>
        <v>0</v>
      </c>
      <c r="AQ22" s="3">
        <f>SUMIFS(AQ$38:AQ$120,$B$38:$B$120,$E22,$L$38:$L$120,$E$16)</f>
        <v>0</v>
      </c>
      <c r="AR22" s="3">
        <f>SUMIFS(AR$38:AR$120,$B$38:$B$120,$E22,$L$38:$L$120,$E$16)</f>
        <v>0</v>
      </c>
      <c r="AS22" s="3">
        <f>SUMIFS(AS$38:AS$120,$B$38:$B$120,$E22,$L$38:$L$120,$E$16)</f>
        <v>0</v>
      </c>
      <c r="AT22" s="3">
        <f>SUMIFS(AT$38:AT$120,$B$38:$B$120,$E22,$L$38:$L$120,$E$16)</f>
        <v>0</v>
      </c>
      <c r="AU22" s="3">
        <f>SUMIFS(AU$38:AU$120,$B$38:$B$120,$E22,$L$38:$L$120,$E$16)</f>
        <v>0</v>
      </c>
      <c r="AV22" s="3">
        <f>SUMIFS(AV$38:AV$120,$B$38:$B$120,$E22,$L$38:$L$120,$E$16)</f>
        <v>0</v>
      </c>
      <c r="AW22" s="3">
        <f>SUMIFS(AW$38:AW$120,$B$38:$B$120,$E22,$L$38:$L$120,$E$16)</f>
        <v>0</v>
      </c>
      <c r="AX22" s="3">
        <f>SUMIFS(AX$38:AX$120,$B$38:$B$120,$E22,$L$38:$L$120,$E$16)</f>
        <v>0</v>
      </c>
      <c r="AY22" s="3">
        <f>SUMIFS(AY$38:AY$120,$B$38:$B$120,$E22,$L$38:$L$120,$E$16)</f>
        <v>0</v>
      </c>
      <c r="AZ22" s="3">
        <f>SUMIFS(AZ$38:AZ$120,$B$38:$B$120,$E22,$L$38:$L$120,$E$16)</f>
        <v>0</v>
      </c>
      <c r="BA22" s="3">
        <f>SUMIFS(BA$38:BA$120,$B$38:$B$120,$E22,$L$38:$L$120,$E$16)</f>
        <v>0</v>
      </c>
      <c r="BB22" s="3">
        <f>SUMIFS(BB$38:BB$120,$B$38:$B$120,$E22,$L$38:$L$120,$E$16)</f>
        <v>0</v>
      </c>
      <c r="BC22" s="3">
        <f>SUMIFS(BC$38:BC$120,$B$38:$B$120,$E22,$L$38:$L$120,$E$16)</f>
        <v>0</v>
      </c>
      <c r="BD22" s="3">
        <f>SUMIFS(BD$38:BD$120,$B$38:$B$120,$E22,$L$38:$L$120,$E$16)</f>
        <v>0</v>
      </c>
      <c r="BE22" s="3">
        <f>SUMIFS(BE$38:BE$120,$B$38:$B$120,$E22,$L$38:$L$120,$E$16)</f>
        <v>0</v>
      </c>
      <c r="BF22" s="3">
        <f>SUMIFS(BF$38:BF$120,$B$38:$B$120,$E22,$L$38:$L$120,$E$16)</f>
        <v>0</v>
      </c>
      <c r="BG22" s="3">
        <f>SUMIFS(BG$38:BG$120,$B$38:$B$120,$E22,$L$38:$L$120,$E$16)</f>
        <v>0</v>
      </c>
      <c r="BH22" s="3">
        <f>SUMIFS(BH$38:BH$120,$B$38:$B$120,$E22,$L$38:$L$120,$E$16)</f>
        <v>0</v>
      </c>
      <c r="BI22" s="3">
        <f>SUMIFS(BI$38:BI$120,$B$38:$B$120,$E22,$L$38:$L$120,$E$16)</f>
        <v>0</v>
      </c>
      <c r="BJ22" s="3">
        <f>SUMIFS(BJ$38:BJ$120,$B$38:$B$120,$E22,$L$38:$L$120,$E$16)</f>
        <v>0</v>
      </c>
      <c r="BK22" s="3">
        <f>SUMIFS(BK$38:BK$120,$B$38:$B$120,$E22,$L$38:$L$120,$E$16)</f>
        <v>0</v>
      </c>
      <c r="BL22" s="3">
        <f>SUMIFS(BL$38:BL$120,$B$38:$B$120,$E22,$L$38:$L$120,$E$16)</f>
        <v>0</v>
      </c>
      <c r="BM22" s="3">
        <f>SUMIFS(BM$38:BM$120,$B$38:$B$120,$E22,$L$38:$L$120,$E$16)</f>
        <v>0</v>
      </c>
      <c r="BN22" s="3">
        <f>SUMIFS(BN$38:BN$120,$B$38:$B$120,$E22,$L$38:$L$120,$E$16)</f>
        <v>0</v>
      </c>
      <c r="BO22" s="3">
        <f>SUMIFS(BO$38:BO$120,$B$38:$B$120,$E22,$L$38:$L$120,$E$16)</f>
        <v>0</v>
      </c>
      <c r="BP22" s="3">
        <f>SUMIFS(BP$38:BP$120,$B$38:$B$120,$E22,$L$38:$L$120,$E$16)</f>
        <v>0</v>
      </c>
      <c r="BQ22" s="3">
        <f>SUMIFS(BQ$38:BQ$120,$B$38:$B$120,$E22,$L$38:$L$120,$E$16)</f>
        <v>0</v>
      </c>
      <c r="BR22" s="3">
        <f>SUMIFS(BR$38:BR$120,$B$38:$B$120,$E22,$L$38:$L$120,$E$16)</f>
        <v>0</v>
      </c>
      <c r="BS22" s="3">
        <f>SUMIFS(BS$38:BS$120,$B$38:$B$120,$E22,$L$38:$L$120,$E$16)</f>
        <v>0</v>
      </c>
      <c r="BT22" s="3">
        <f>SUMIFS(BT$38:BT$120,$B$38:$B$120,$E22,$L$38:$L$120,$E$16)</f>
        <v>0</v>
      </c>
      <c r="BU22" s="3">
        <f>SUMIFS(BU$38:BU$120,$B$38:$B$120,$E22,$L$38:$L$120,$E$16)</f>
        <v>0</v>
      </c>
      <c r="BV22" s="3">
        <f>SUMIFS(BV$38:BV$120,$B$38:$B$120,$E22,$L$38:$L$120,$E$16)</f>
        <v>0</v>
      </c>
      <c r="BW22" s="3">
        <f>SUMIFS(BW$38:BW$120,$B$38:$B$120,$E22,$L$38:$L$120,$E$16)</f>
        <v>0</v>
      </c>
      <c r="BX22" s="3">
        <f>SUMIFS(BX$38:BX$120,$B$38:$B$120,$E22,$L$38:$L$120,$E$16)</f>
        <v>0</v>
      </c>
      <c r="BY22" s="3">
        <f>SUMIFS(BY$38:BY$120,$B$38:$B$120,$E22,$L$38:$L$120,$E$16)</f>
        <v>0</v>
      </c>
      <c r="BZ22" s="3">
        <f>SUMIFS(BZ$38:BZ$120,$B$38:$B$120,$E22,$L$38:$L$120,$E$16)</f>
        <v>0</v>
      </c>
      <c r="CA22" s="3">
        <f>SUMIFS(CA$38:CA$120,$B$38:$B$120,$E22,$L$38:$L$120,$E$16)</f>
        <v>0</v>
      </c>
      <c r="CB22" s="3">
        <f>SUMIFS(CB$38:CB$120,$B$38:$B$120,$E22,$L$38:$L$120,$E$16)</f>
        <v>0</v>
      </c>
      <c r="CC22" s="3">
        <f>SUMIFS(CC$38:CC$120,$B$38:$B$120,$E22,$L$38:$L$120,$E$16)</f>
        <v>0</v>
      </c>
      <c r="CD22" s="3">
        <f>SUMIFS(CD$38:CD$120,$B$38:$B$120,$E22,$L$38:$L$120,$E$16)</f>
        <v>0</v>
      </c>
      <c r="CE22" s="3">
        <f>SUMIFS(CE$38:CE$120,$B$38:$B$120,$E22,$L$38:$L$120,$E$16)</f>
        <v>0</v>
      </c>
      <c r="CF22" s="3">
        <f>SUMIFS(CF$38:CF$120,$B$38:$B$120,$E22,$L$38:$L$120,$E$16)</f>
        <v>0</v>
      </c>
      <c r="CG22" s="3">
        <f>SUMIFS(CG$38:CG$120,$B$38:$B$120,$E22,$L$38:$L$120,$E$16)</f>
        <v>0</v>
      </c>
      <c r="CH22" s="3">
        <f>SUMIFS(CH$38:CH$120,$B$38:$B$120,$E22,$L$38:$L$120,$E$16)</f>
        <v>0</v>
      </c>
      <c r="CI22" s="3">
        <f>SUMIFS(CI$38:CI$120,$B$38:$B$120,$E22,$L$38:$L$120,$E$16)</f>
        <v>0</v>
      </c>
      <c r="CJ22" s="3">
        <f>SUMIFS(CJ$38:CJ$120,$B$38:$B$120,$E22,$L$38:$L$120,$E$16)</f>
        <v>0</v>
      </c>
      <c r="CK22" s="3">
        <f>SUMIFS(CK$38:CK$120,$B$38:$B$120,$E22,$L$38:$L$120,$E$16)</f>
        <v>0</v>
      </c>
      <c r="CL22" s="3">
        <f>SUMIFS(CL$38:CL$120,$B$38:$B$120,$E22,$L$38:$L$120,$E$16)</f>
        <v>0</v>
      </c>
      <c r="CM22" s="3">
        <f>SUMIFS(CM$38:CM$120,$B$38:$B$120,$E22,$L$38:$L$120,$E$16)</f>
        <v>0</v>
      </c>
      <c r="CN22" s="3">
        <f>SUMIFS(CN$38:CN$120,$B$38:$B$120,$E22,$L$38:$L$120,$E$16)</f>
        <v>0</v>
      </c>
      <c r="CO22" s="3">
        <f>SUMIFS(CO$38:CO$120,$B$38:$B$120,$E22,$L$38:$L$120,$E$16)</f>
        <v>0</v>
      </c>
      <c r="CP22" s="3">
        <f>SUMIFS(CP$38:CP$120,$B$38:$B$120,$E22,$L$38:$L$120,$E$16)</f>
        <v>0</v>
      </c>
      <c r="CQ22" s="3">
        <f>SUMIFS(CQ$38:CQ$120,$B$38:$B$120,$E22,$L$38:$L$120,$E$16)</f>
        <v>0</v>
      </c>
      <c r="CR22" s="3">
        <f>SUMIFS(CR$38:CR$120,$B$38:$B$120,$E22,$L$38:$L$120,$E$16)</f>
        <v>0</v>
      </c>
      <c r="CS22" s="3">
        <f>SUMIFS(CS$38:CS$120,$B$38:$B$120,$E22,$L$38:$L$120,$E$16)</f>
        <v>0</v>
      </c>
      <c r="CT22" s="3">
        <f>SUMIFS(CT$38:CT$120,$B$38:$B$120,$E22,$L$38:$L$120,$E$16)</f>
        <v>0</v>
      </c>
      <c r="CU22" s="3">
        <f>SUMIFS(CU$38:CU$120,$B$38:$B$120,$E22,$L$38:$L$120,$E$16)</f>
        <v>0</v>
      </c>
      <c r="CV22" s="3">
        <f>SUMIFS(CV$38:CV$120,$B$38:$B$120,$E22,$L$38:$L$120,$E$16)</f>
        <v>0</v>
      </c>
      <c r="CW22" s="3">
        <f>SUMIFS(CW$38:CW$120,$B$38:$B$120,$E22,$L$38:$L$120,$E$16)</f>
        <v>0</v>
      </c>
      <c r="CX22" s="3">
        <f>SUMIFS(CX$38:CX$120,$B$38:$B$120,$E22,$L$38:$L$120,$E$16)</f>
        <v>0</v>
      </c>
      <c r="CY22" s="3">
        <f>SUMIFS(CY$38:CY$120,$B$38:$B$120,$E22,$L$38:$L$120,$E$16)</f>
        <v>0</v>
      </c>
      <c r="CZ22" s="3">
        <f>SUMIFS(CZ$38:CZ$120,$B$38:$B$120,$E22,$L$38:$L$120,$E$16)</f>
        <v>0</v>
      </c>
      <c r="DA22" s="3">
        <f>SUMIFS(DA$38:DA$120,$B$38:$B$120,$E22,$L$38:$L$120,$E$16)</f>
        <v>0</v>
      </c>
      <c r="DB22" s="3">
        <f>SUMIFS(DB$38:DB$120,$B$38:$B$120,$E22,$L$38:$L$120,$E$16)</f>
        <v>0</v>
      </c>
    </row>
    <row r="23" spans="1:106">
      <c r="E23" s="2" t="s">
        <v>7</v>
      </c>
      <c r="R23" s="3">
        <f>SUMIFS(R$38:R$120,$B$38:$B$120,$E23,$L$38:$L$120,$E$16)</f>
        <v>0</v>
      </c>
      <c r="S23" s="3">
        <f>SUMIFS(S$38:S$120,$B$38:$B$120,$E23,$L$38:$L$120,$E$16)</f>
        <v>0</v>
      </c>
      <c r="T23" s="3">
        <f>SUMIFS(T$38:T$120,$B$38:$B$120,$E23,$L$38:$L$120,$E$16)</f>
        <v>0</v>
      </c>
      <c r="U23" s="3">
        <f>SUMIFS(U$38:U$120,$B$38:$B$120,$E23,$L$38:$L$120,$E$16)</f>
        <v>0</v>
      </c>
      <c r="V23" s="3">
        <f>SUMIFS(V$38:V$120,$B$38:$B$120,$E23,$L$38:$L$120,$E$16)</f>
        <v>0</v>
      </c>
      <c r="W23" s="3">
        <f>SUMIFS(W$38:W$120,$B$38:$B$120,$E23,$L$38:$L$120,$E$16)</f>
        <v>0</v>
      </c>
      <c r="X23" s="3">
        <f>SUMIFS(X$38:X$120,$B$38:$B$120,$E23,$L$38:$L$120,$E$16)</f>
        <v>0</v>
      </c>
      <c r="Y23" s="3">
        <f>SUMIFS(Y$38:Y$120,$B$38:$B$120,$E23,$L$38:$L$120,$E$16)</f>
        <v>0</v>
      </c>
      <c r="Z23" s="3">
        <f>SUMIFS(Z$38:Z$120,$B$38:$B$120,$E23,$L$38:$L$120,$E$16)</f>
        <v>0</v>
      </c>
      <c r="AA23" s="3">
        <f>SUMIFS(AA$38:AA$120,$B$38:$B$120,$E23,$L$38:$L$120,$E$16)</f>
        <v>0</v>
      </c>
      <c r="AB23" s="3">
        <f>SUMIFS(AB$38:AB$120,$B$38:$B$120,$E23,$L$38:$L$120,$E$16)</f>
        <v>0</v>
      </c>
      <c r="AC23" s="3">
        <f>SUMIFS(AC$38:AC$120,$B$38:$B$120,$E23,$L$38:$L$120,$E$16)</f>
        <v>0</v>
      </c>
      <c r="AD23" s="3">
        <f>SUMIFS(AD$38:AD$120,$B$38:$B$120,$E23,$L$38:$L$120,$E$16)</f>
        <v>0</v>
      </c>
      <c r="AE23" s="3">
        <f>SUMIFS(AE$38:AE$120,$B$38:$B$120,$E23,$L$38:$L$120,$E$16)</f>
        <v>0</v>
      </c>
      <c r="AF23" s="3">
        <f>SUMIFS(AF$38:AF$120,$B$38:$B$120,$E23,$L$38:$L$120,$E$16)</f>
        <v>0</v>
      </c>
      <c r="AG23" s="3">
        <f>SUMIFS(AG$38:AG$120,$B$38:$B$120,$E23,$L$38:$L$120,$E$16)</f>
        <v>0</v>
      </c>
      <c r="AH23" s="3">
        <f>SUMIFS(AH$38:AH$120,$B$38:$B$120,$E23,$L$38:$L$120,$E$16)</f>
        <v>0</v>
      </c>
      <c r="AI23" s="3"/>
      <c r="AJ23" s="3"/>
      <c r="AK23" s="3"/>
      <c r="AL23" s="3">
        <f>SUMIFS(AL$38:AL$120,$B$38:$B$120,$E23,$L$38:$L$120,$E$16)</f>
        <v>0</v>
      </c>
      <c r="AM23" s="3">
        <f>SUMIFS(AM$38:AM$120,$B$38:$B$120,$E23,$L$38:$L$120,$E$16)</f>
        <v>0</v>
      </c>
      <c r="AN23" s="3">
        <f>SUMIFS(AN$38:AN$120,$B$38:$B$120,$E23,$L$38:$L$120,$E$16)</f>
        <v>0</v>
      </c>
      <c r="AO23" s="3">
        <f>SUMIFS(AO$38:AO$120,$B$38:$B$120,$E23,$L$38:$L$120,$E$16)</f>
        <v>0</v>
      </c>
      <c r="AP23" s="3">
        <f>SUMIFS(AP$38:AP$120,$B$38:$B$120,$E23,$L$38:$L$120,$E$16)</f>
        <v>0</v>
      </c>
      <c r="AQ23" s="3">
        <f>SUMIFS(AQ$38:AQ$120,$B$38:$B$120,$E23,$L$38:$L$120,$E$16)</f>
        <v>0</v>
      </c>
      <c r="AR23" s="3">
        <f>SUMIFS(AR$38:AR$120,$B$38:$B$120,$E23,$L$38:$L$120,$E$16)</f>
        <v>0</v>
      </c>
      <c r="AS23" s="3">
        <f>SUMIFS(AS$38:AS$120,$B$38:$B$120,$E23,$L$38:$L$120,$E$16)</f>
        <v>0</v>
      </c>
      <c r="AT23" s="3">
        <f>SUMIFS(AT$38:AT$120,$B$38:$B$120,$E23,$L$38:$L$120,$E$16)</f>
        <v>0</v>
      </c>
      <c r="AU23" s="3">
        <f>SUMIFS(AU$38:AU$120,$B$38:$B$120,$E23,$L$38:$L$120,$E$16)</f>
        <v>0</v>
      </c>
      <c r="AV23" s="3">
        <f>SUMIFS(AV$38:AV$120,$B$38:$B$120,$E23,$L$38:$L$120,$E$16)</f>
        <v>0</v>
      </c>
      <c r="AW23" s="3">
        <f>SUMIFS(AW$38:AW$120,$B$38:$B$120,$E23,$L$38:$L$120,$E$16)</f>
        <v>0</v>
      </c>
      <c r="AX23" s="3">
        <f>SUMIFS(AX$38:AX$120,$B$38:$B$120,$E23,$L$38:$L$120,$E$16)</f>
        <v>0</v>
      </c>
      <c r="AY23" s="3">
        <f>SUMIFS(AY$38:AY$120,$B$38:$B$120,$E23,$L$38:$L$120,$E$16)</f>
        <v>0</v>
      </c>
      <c r="AZ23" s="3">
        <f>SUMIFS(AZ$38:AZ$120,$B$38:$B$120,$E23,$L$38:$L$120,$E$16)</f>
        <v>0</v>
      </c>
      <c r="BA23" s="3">
        <f>SUMIFS(BA$38:BA$120,$B$38:$B$120,$E23,$L$38:$L$120,$E$16)</f>
        <v>0</v>
      </c>
      <c r="BB23" s="3">
        <f>SUMIFS(BB$38:BB$120,$B$38:$B$120,$E23,$L$38:$L$120,$E$16)</f>
        <v>0</v>
      </c>
      <c r="BC23" s="3">
        <f>SUMIFS(BC$38:BC$120,$B$38:$B$120,$E23,$L$38:$L$120,$E$16)</f>
        <v>0</v>
      </c>
      <c r="BD23" s="3">
        <f>SUMIFS(BD$38:BD$120,$B$38:$B$120,$E23,$L$38:$L$120,$E$16)</f>
        <v>0</v>
      </c>
      <c r="BE23" s="3">
        <f>SUMIFS(BE$38:BE$120,$B$38:$B$120,$E23,$L$38:$L$120,$E$16)</f>
        <v>0</v>
      </c>
      <c r="BF23" s="3">
        <f>SUMIFS(BF$38:BF$120,$B$38:$B$120,$E23,$L$38:$L$120,$E$16)</f>
        <v>0</v>
      </c>
      <c r="BG23" s="3">
        <f>SUMIFS(BG$38:BG$120,$B$38:$B$120,$E23,$L$38:$L$120,$E$16)</f>
        <v>0</v>
      </c>
      <c r="BH23" s="3">
        <f>SUMIFS(BH$38:BH$120,$B$38:$B$120,$E23,$L$38:$L$120,$E$16)</f>
        <v>0</v>
      </c>
      <c r="BI23" s="3">
        <f>SUMIFS(BI$38:BI$120,$B$38:$B$120,$E23,$L$38:$L$120,$E$16)</f>
        <v>0</v>
      </c>
      <c r="BJ23" s="3">
        <f>SUMIFS(BJ$38:BJ$120,$B$38:$B$120,$E23,$L$38:$L$120,$E$16)</f>
        <v>0</v>
      </c>
      <c r="BK23" s="3">
        <f>SUMIFS(BK$38:BK$120,$B$38:$B$120,$E23,$L$38:$L$120,$E$16)</f>
        <v>0</v>
      </c>
      <c r="BL23" s="3">
        <f>SUMIFS(BL$38:BL$120,$B$38:$B$120,$E23,$L$38:$L$120,$E$16)</f>
        <v>0</v>
      </c>
      <c r="BM23" s="3">
        <f>SUMIFS(BM$38:BM$120,$B$38:$B$120,$E23,$L$38:$L$120,$E$16)</f>
        <v>0</v>
      </c>
      <c r="BN23" s="3">
        <f>SUMIFS(BN$38:BN$120,$B$38:$B$120,$E23,$L$38:$L$120,$E$16)</f>
        <v>0</v>
      </c>
      <c r="BO23" s="3">
        <f>SUMIFS(BO$38:BO$120,$B$38:$B$120,$E23,$L$38:$L$120,$E$16)</f>
        <v>0</v>
      </c>
      <c r="BP23" s="3">
        <f>SUMIFS(BP$38:BP$120,$B$38:$B$120,$E23,$L$38:$L$120,$E$16)</f>
        <v>0</v>
      </c>
      <c r="BQ23" s="3">
        <f>SUMIFS(BQ$38:BQ$120,$B$38:$B$120,$E23,$L$38:$L$120,$E$16)</f>
        <v>0</v>
      </c>
      <c r="BR23" s="3">
        <f>SUMIFS(BR$38:BR$120,$B$38:$B$120,$E23,$L$38:$L$120,$E$16)</f>
        <v>0</v>
      </c>
      <c r="BS23" s="3">
        <f>SUMIFS(BS$38:BS$120,$B$38:$B$120,$E23,$L$38:$L$120,$E$16)</f>
        <v>0</v>
      </c>
      <c r="BT23" s="3">
        <f>SUMIFS(BT$38:BT$120,$B$38:$B$120,$E23,$L$38:$L$120,$E$16)</f>
        <v>0</v>
      </c>
      <c r="BU23" s="3">
        <f>SUMIFS(BU$38:BU$120,$B$38:$B$120,$E23,$L$38:$L$120,$E$16)</f>
        <v>0</v>
      </c>
      <c r="BV23" s="3">
        <f>SUMIFS(BV$38:BV$120,$B$38:$B$120,$E23,$L$38:$L$120,$E$16)</f>
        <v>0</v>
      </c>
      <c r="BW23" s="3">
        <f>SUMIFS(BW$38:BW$120,$B$38:$B$120,$E23,$L$38:$L$120,$E$16)</f>
        <v>0</v>
      </c>
      <c r="BX23" s="3">
        <f>SUMIFS(BX$38:BX$120,$B$38:$B$120,$E23,$L$38:$L$120,$E$16)</f>
        <v>0</v>
      </c>
      <c r="BY23" s="3">
        <f>SUMIFS(BY$38:BY$120,$B$38:$B$120,$E23,$L$38:$L$120,$E$16)</f>
        <v>0</v>
      </c>
      <c r="BZ23" s="3">
        <f>SUMIFS(BZ$38:BZ$120,$B$38:$B$120,$E23,$L$38:$L$120,$E$16)</f>
        <v>0</v>
      </c>
      <c r="CA23" s="3">
        <f>SUMIFS(CA$38:CA$120,$B$38:$B$120,$E23,$L$38:$L$120,$E$16)</f>
        <v>0</v>
      </c>
      <c r="CB23" s="3">
        <f>SUMIFS(CB$38:CB$120,$B$38:$B$120,$E23,$L$38:$L$120,$E$16)</f>
        <v>0</v>
      </c>
      <c r="CC23" s="3">
        <f>SUMIFS(CC$38:CC$120,$B$38:$B$120,$E23,$L$38:$L$120,$E$16)</f>
        <v>0</v>
      </c>
      <c r="CD23" s="3">
        <f>SUMIFS(CD$38:CD$120,$B$38:$B$120,$E23,$L$38:$L$120,$E$16)</f>
        <v>0</v>
      </c>
      <c r="CE23" s="3">
        <f>SUMIFS(CE$38:CE$120,$B$38:$B$120,$E23,$L$38:$L$120,$E$16)</f>
        <v>0</v>
      </c>
      <c r="CF23" s="3">
        <f>SUMIFS(CF$38:CF$120,$B$38:$B$120,$E23,$L$38:$L$120,$E$16)</f>
        <v>0</v>
      </c>
      <c r="CG23" s="3">
        <f>SUMIFS(CG$38:CG$120,$B$38:$B$120,$E23,$L$38:$L$120,$E$16)</f>
        <v>0</v>
      </c>
      <c r="CH23" s="3">
        <f>SUMIFS(CH$38:CH$120,$B$38:$B$120,$E23,$L$38:$L$120,$E$16)</f>
        <v>0</v>
      </c>
      <c r="CI23" s="3">
        <f>SUMIFS(CI$38:CI$120,$B$38:$B$120,$E23,$L$38:$L$120,$E$16)</f>
        <v>0</v>
      </c>
      <c r="CJ23" s="3">
        <f>SUMIFS(CJ$38:CJ$120,$B$38:$B$120,$E23,$L$38:$L$120,$E$16)</f>
        <v>0</v>
      </c>
      <c r="CK23" s="3">
        <f>SUMIFS(CK$38:CK$120,$B$38:$B$120,$E23,$L$38:$L$120,$E$16)</f>
        <v>0</v>
      </c>
      <c r="CL23" s="3">
        <f>SUMIFS(CL$38:CL$120,$B$38:$B$120,$E23,$L$38:$L$120,$E$16)</f>
        <v>0</v>
      </c>
      <c r="CM23" s="3">
        <f>SUMIFS(CM$38:CM$120,$B$38:$B$120,$E23,$L$38:$L$120,$E$16)</f>
        <v>0</v>
      </c>
      <c r="CN23" s="3">
        <f>SUMIFS(CN$38:CN$120,$B$38:$B$120,$E23,$L$38:$L$120,$E$16)</f>
        <v>0</v>
      </c>
      <c r="CO23" s="3">
        <f>SUMIFS(CO$38:CO$120,$B$38:$B$120,$E23,$L$38:$L$120,$E$16)</f>
        <v>0</v>
      </c>
      <c r="CP23" s="3">
        <f>SUMIFS(CP$38:CP$120,$B$38:$B$120,$E23,$L$38:$L$120,$E$16)</f>
        <v>0</v>
      </c>
      <c r="CQ23" s="3">
        <f>SUMIFS(CQ$38:CQ$120,$B$38:$B$120,$E23,$L$38:$L$120,$E$16)</f>
        <v>0</v>
      </c>
      <c r="CR23" s="3">
        <f>SUMIFS(CR$38:CR$120,$B$38:$B$120,$E23,$L$38:$L$120,$E$16)</f>
        <v>0</v>
      </c>
      <c r="CS23" s="3">
        <f>SUMIFS(CS$38:CS$120,$B$38:$B$120,$E23,$L$38:$L$120,$E$16)</f>
        <v>0</v>
      </c>
      <c r="CT23" s="3">
        <f>SUMIFS(CT$38:CT$120,$B$38:$B$120,$E23,$L$38:$L$120,$E$16)</f>
        <v>0</v>
      </c>
      <c r="CU23" s="3">
        <f>SUMIFS(CU$38:CU$120,$B$38:$B$120,$E23,$L$38:$L$120,$E$16)</f>
        <v>0</v>
      </c>
      <c r="CV23" s="3">
        <f>SUMIFS(CV$38:CV$120,$B$38:$B$120,$E23,$L$38:$L$120,$E$16)</f>
        <v>0</v>
      </c>
      <c r="CW23" s="3">
        <f>SUMIFS(CW$38:CW$120,$B$38:$B$120,$E23,$L$38:$L$120,$E$16)</f>
        <v>0</v>
      </c>
      <c r="CX23" s="3">
        <f>SUMIFS(CX$38:CX$120,$B$38:$B$120,$E23,$L$38:$L$120,$E$16)</f>
        <v>0</v>
      </c>
      <c r="CY23" s="3">
        <f>SUMIFS(CY$38:CY$120,$B$38:$B$120,$E23,$L$38:$L$120,$E$16)</f>
        <v>0</v>
      </c>
      <c r="CZ23" s="3">
        <f>SUMIFS(CZ$38:CZ$120,$B$38:$B$120,$E23,$L$38:$L$120,$E$16)</f>
        <v>0</v>
      </c>
      <c r="DA23" s="3">
        <f>SUMIFS(DA$38:DA$120,$B$38:$B$120,$E23,$L$38:$L$120,$E$16)</f>
        <v>0</v>
      </c>
      <c r="DB23" s="3">
        <f>SUMIFS(DB$38:DB$120,$B$38:$B$120,$E23,$L$38:$L$120,$E$16)</f>
        <v>0</v>
      </c>
    </row>
    <row r="24" spans="1:106">
      <c r="E24" s="2" t="s">
        <v>8</v>
      </c>
      <c r="R24" s="3">
        <f>SUMIFS(R$38:R$120,$B$38:$B$120,$E24,$L$38:$L$120,$E$16)</f>
        <v>0</v>
      </c>
      <c r="S24" s="3">
        <f>SUMIFS(S$38:S$120,$B$38:$B$120,$E24,$L$38:$L$120,$E$16)</f>
        <v>0</v>
      </c>
      <c r="T24" s="3">
        <f>SUMIFS(T$38:T$120,$B$38:$B$120,$E24,$L$38:$L$120,$E$16)</f>
        <v>0</v>
      </c>
      <c r="U24" s="3">
        <f>SUMIFS(U$38:U$120,$B$38:$B$120,$E24,$L$38:$L$120,$E$16)</f>
        <v>0</v>
      </c>
      <c r="V24" s="3">
        <f>SUMIFS(V$38:V$120,$B$38:$B$120,$E24,$L$38:$L$120,$E$16)</f>
        <v>0</v>
      </c>
      <c r="W24" s="3">
        <f>SUMIFS(W$38:W$120,$B$38:$B$120,$E24,$L$38:$L$120,$E$16)</f>
        <v>0</v>
      </c>
      <c r="X24" s="3">
        <f>SUMIFS(X$38:X$120,$B$38:$B$120,$E24,$L$38:$L$120,$E$16)</f>
        <v>0</v>
      </c>
      <c r="Y24" s="3">
        <f>SUMIFS(Y$38:Y$120,$B$38:$B$120,$E24,$L$38:$L$120,$E$16)</f>
        <v>0</v>
      </c>
      <c r="Z24" s="3">
        <f>SUMIFS(Z$38:Z$120,$B$38:$B$120,$E24,$L$38:$L$120,$E$16)</f>
        <v>0</v>
      </c>
      <c r="AA24" s="3">
        <f>SUMIFS(AA$38:AA$120,$B$38:$B$120,$E24,$L$38:$L$120,$E$16)</f>
        <v>0</v>
      </c>
      <c r="AB24" s="3">
        <f>SUMIFS(AB$38:AB$120,$B$38:$B$120,$E24,$L$38:$L$120,$E$16)</f>
        <v>0</v>
      </c>
      <c r="AC24" s="3">
        <f>SUMIFS(AC$38:AC$120,$B$38:$B$120,$E24,$L$38:$L$120,$E$16)</f>
        <v>0</v>
      </c>
      <c r="AD24" s="3">
        <f>SUMIFS(AD$38:AD$120,$B$38:$B$120,$E24,$L$38:$L$120,$E$16)</f>
        <v>0</v>
      </c>
      <c r="AE24" s="3">
        <f>SUMIFS(AE$38:AE$120,$B$38:$B$120,$E24,$L$38:$L$120,$E$16)</f>
        <v>0</v>
      </c>
      <c r="AF24" s="3">
        <f>SUMIFS(AF$38:AF$120,$B$38:$B$120,$E24,$L$38:$L$120,$E$16)</f>
        <v>0</v>
      </c>
      <c r="AG24" s="3">
        <f>SUMIFS(AG$38:AG$120,$B$38:$B$120,$E24,$L$38:$L$120,$E$16)</f>
        <v>0</v>
      </c>
      <c r="AH24" s="3">
        <f>SUMIFS(AH$38:AH$120,$B$38:$B$120,$E24,$L$38:$L$120,$E$16)</f>
        <v>0</v>
      </c>
      <c r="AI24" s="3"/>
      <c r="AJ24" s="3"/>
      <c r="AK24" s="3"/>
      <c r="AL24" s="3">
        <f>SUMIFS(AL$38:AL$120,$B$38:$B$120,$E24,$L$38:$L$120,$E$16)</f>
        <v>0</v>
      </c>
      <c r="AM24" s="3">
        <f>SUMIFS(AM$38:AM$120,$B$38:$B$120,$E24,$L$38:$L$120,$E$16)</f>
        <v>0</v>
      </c>
      <c r="AN24" s="3">
        <f>SUMIFS(AN$38:AN$120,$B$38:$B$120,$E24,$L$38:$L$120,$E$16)</f>
        <v>0</v>
      </c>
      <c r="AO24" s="3">
        <f>SUMIFS(AO$38:AO$120,$B$38:$B$120,$E24,$L$38:$L$120,$E$16)</f>
        <v>0</v>
      </c>
      <c r="AP24" s="3">
        <f>SUMIFS(AP$38:AP$120,$B$38:$B$120,$E24,$L$38:$L$120,$E$16)</f>
        <v>0</v>
      </c>
      <c r="AQ24" s="3">
        <f>SUMIFS(AQ$38:AQ$120,$B$38:$B$120,$E24,$L$38:$L$120,$E$16)</f>
        <v>0</v>
      </c>
      <c r="AR24" s="3">
        <f>SUMIFS(AR$38:AR$120,$B$38:$B$120,$E24,$L$38:$L$120,$E$16)</f>
        <v>0</v>
      </c>
      <c r="AS24" s="3">
        <f>SUMIFS(AS$38:AS$120,$B$38:$B$120,$E24,$L$38:$L$120,$E$16)</f>
        <v>0</v>
      </c>
      <c r="AT24" s="3">
        <f>SUMIFS(AT$38:AT$120,$B$38:$B$120,$E24,$L$38:$L$120,$E$16)</f>
        <v>0</v>
      </c>
      <c r="AU24" s="3">
        <f>SUMIFS(AU$38:AU$120,$B$38:$B$120,$E24,$L$38:$L$120,$E$16)</f>
        <v>0</v>
      </c>
      <c r="AV24" s="3">
        <f>SUMIFS(AV$38:AV$120,$B$38:$B$120,$E24,$L$38:$L$120,$E$16)</f>
        <v>0</v>
      </c>
      <c r="AW24" s="3">
        <f>SUMIFS(AW$38:AW$120,$B$38:$B$120,$E24,$L$38:$L$120,$E$16)</f>
        <v>0</v>
      </c>
      <c r="AX24" s="3">
        <f>SUMIFS(AX$38:AX$120,$B$38:$B$120,$E24,$L$38:$L$120,$E$16)</f>
        <v>0</v>
      </c>
      <c r="AY24" s="3">
        <f>SUMIFS(AY$38:AY$120,$B$38:$B$120,$E24,$L$38:$L$120,$E$16)</f>
        <v>0</v>
      </c>
      <c r="AZ24" s="3">
        <f>SUMIFS(AZ$38:AZ$120,$B$38:$B$120,$E24,$L$38:$L$120,$E$16)</f>
        <v>0</v>
      </c>
      <c r="BA24" s="3">
        <f>SUMIFS(BA$38:BA$120,$B$38:$B$120,$E24,$L$38:$L$120,$E$16)</f>
        <v>0</v>
      </c>
      <c r="BB24" s="3">
        <f>SUMIFS(BB$38:BB$120,$B$38:$B$120,$E24,$L$38:$L$120,$E$16)</f>
        <v>0</v>
      </c>
      <c r="BC24" s="3">
        <f>SUMIFS(BC$38:BC$120,$B$38:$B$120,$E24,$L$38:$L$120,$E$16)</f>
        <v>0</v>
      </c>
      <c r="BD24" s="3">
        <f>SUMIFS(BD$38:BD$120,$B$38:$B$120,$E24,$L$38:$L$120,$E$16)</f>
        <v>0</v>
      </c>
      <c r="BE24" s="3">
        <f>SUMIFS(BE$38:BE$120,$B$38:$B$120,$E24,$L$38:$L$120,$E$16)</f>
        <v>0</v>
      </c>
      <c r="BF24" s="3">
        <f>SUMIFS(BF$38:BF$120,$B$38:$B$120,$E24,$L$38:$L$120,$E$16)</f>
        <v>0</v>
      </c>
      <c r="BG24" s="3">
        <f>SUMIFS(BG$38:BG$120,$B$38:$B$120,$E24,$L$38:$L$120,$E$16)</f>
        <v>0</v>
      </c>
      <c r="BH24" s="3">
        <f>SUMIFS(BH$38:BH$120,$B$38:$B$120,$E24,$L$38:$L$120,$E$16)</f>
        <v>0</v>
      </c>
      <c r="BI24" s="3">
        <f>SUMIFS(BI$38:BI$120,$B$38:$B$120,$E24,$L$38:$L$120,$E$16)</f>
        <v>0</v>
      </c>
      <c r="BJ24" s="3">
        <f>SUMIFS(BJ$38:BJ$120,$B$38:$B$120,$E24,$L$38:$L$120,$E$16)</f>
        <v>0</v>
      </c>
      <c r="BK24" s="3">
        <f>SUMIFS(BK$38:BK$120,$B$38:$B$120,$E24,$L$38:$L$120,$E$16)</f>
        <v>0</v>
      </c>
      <c r="BL24" s="3">
        <f>SUMIFS(BL$38:BL$120,$B$38:$B$120,$E24,$L$38:$L$120,$E$16)</f>
        <v>0</v>
      </c>
      <c r="BM24" s="3">
        <f>SUMIFS(BM$38:BM$120,$B$38:$B$120,$E24,$L$38:$L$120,$E$16)</f>
        <v>0</v>
      </c>
      <c r="BN24" s="3">
        <f>SUMIFS(BN$38:BN$120,$B$38:$B$120,$E24,$L$38:$L$120,$E$16)</f>
        <v>0</v>
      </c>
      <c r="BO24" s="3">
        <f>SUMIFS(BO$38:BO$120,$B$38:$B$120,$E24,$L$38:$L$120,$E$16)</f>
        <v>0</v>
      </c>
      <c r="BP24" s="3">
        <f>SUMIFS(BP$38:BP$120,$B$38:$B$120,$E24,$L$38:$L$120,$E$16)</f>
        <v>0</v>
      </c>
      <c r="BQ24" s="3">
        <f>SUMIFS(BQ$38:BQ$120,$B$38:$B$120,$E24,$L$38:$L$120,$E$16)</f>
        <v>0</v>
      </c>
      <c r="BR24" s="3">
        <f>SUMIFS(BR$38:BR$120,$B$38:$B$120,$E24,$L$38:$L$120,$E$16)</f>
        <v>0</v>
      </c>
      <c r="BS24" s="3">
        <f>SUMIFS(BS$38:BS$120,$B$38:$B$120,$E24,$L$38:$L$120,$E$16)</f>
        <v>0</v>
      </c>
      <c r="BT24" s="3">
        <f>SUMIFS(BT$38:BT$120,$B$38:$B$120,$E24,$L$38:$L$120,$E$16)</f>
        <v>0</v>
      </c>
      <c r="BU24" s="3">
        <f>SUMIFS(BU$38:BU$120,$B$38:$B$120,$E24,$L$38:$L$120,$E$16)</f>
        <v>0</v>
      </c>
      <c r="BV24" s="3">
        <f>SUMIFS(BV$38:BV$120,$B$38:$B$120,$E24,$L$38:$L$120,$E$16)</f>
        <v>0</v>
      </c>
      <c r="BW24" s="3">
        <f>SUMIFS(BW$38:BW$120,$B$38:$B$120,$E24,$L$38:$L$120,$E$16)</f>
        <v>0</v>
      </c>
      <c r="BX24" s="3">
        <f>SUMIFS(BX$38:BX$120,$B$38:$B$120,$E24,$L$38:$L$120,$E$16)</f>
        <v>0</v>
      </c>
      <c r="BY24" s="3">
        <f>SUMIFS(BY$38:BY$120,$B$38:$B$120,$E24,$L$38:$L$120,$E$16)</f>
        <v>0</v>
      </c>
      <c r="BZ24" s="3">
        <f>SUMIFS(BZ$38:BZ$120,$B$38:$B$120,$E24,$L$38:$L$120,$E$16)</f>
        <v>0</v>
      </c>
      <c r="CA24" s="3">
        <f>SUMIFS(CA$38:CA$120,$B$38:$B$120,$E24,$L$38:$L$120,$E$16)</f>
        <v>0</v>
      </c>
      <c r="CB24" s="3">
        <f>SUMIFS(CB$38:CB$120,$B$38:$B$120,$E24,$L$38:$L$120,$E$16)</f>
        <v>0</v>
      </c>
      <c r="CC24" s="3">
        <f>SUMIFS(CC$38:CC$120,$B$38:$B$120,$E24,$L$38:$L$120,$E$16)</f>
        <v>0</v>
      </c>
      <c r="CD24" s="3">
        <f>SUMIFS(CD$38:CD$120,$B$38:$B$120,$E24,$L$38:$L$120,$E$16)</f>
        <v>0</v>
      </c>
      <c r="CE24" s="3">
        <f>SUMIFS(CE$38:CE$120,$B$38:$B$120,$E24,$L$38:$L$120,$E$16)</f>
        <v>0</v>
      </c>
      <c r="CF24" s="3">
        <f>SUMIFS(CF$38:CF$120,$B$38:$B$120,$E24,$L$38:$L$120,$E$16)</f>
        <v>0</v>
      </c>
      <c r="CG24" s="3">
        <f>SUMIFS(CG$38:CG$120,$B$38:$B$120,$E24,$L$38:$L$120,$E$16)</f>
        <v>0</v>
      </c>
      <c r="CH24" s="3">
        <f>SUMIFS(CH$38:CH$120,$B$38:$B$120,$E24,$L$38:$L$120,$E$16)</f>
        <v>0</v>
      </c>
      <c r="CI24" s="3">
        <f>SUMIFS(CI$38:CI$120,$B$38:$B$120,$E24,$L$38:$L$120,$E$16)</f>
        <v>0</v>
      </c>
      <c r="CJ24" s="3">
        <f>SUMIFS(CJ$38:CJ$120,$B$38:$B$120,$E24,$L$38:$L$120,$E$16)</f>
        <v>0</v>
      </c>
      <c r="CK24" s="3">
        <f>SUMIFS(CK$38:CK$120,$B$38:$B$120,$E24,$L$38:$L$120,$E$16)</f>
        <v>0</v>
      </c>
      <c r="CL24" s="3">
        <f>SUMIFS(CL$38:CL$120,$B$38:$B$120,$E24,$L$38:$L$120,$E$16)</f>
        <v>0</v>
      </c>
      <c r="CM24" s="3">
        <f>SUMIFS(CM$38:CM$120,$B$38:$B$120,$E24,$L$38:$L$120,$E$16)</f>
        <v>0</v>
      </c>
      <c r="CN24" s="3">
        <f>SUMIFS(CN$38:CN$120,$B$38:$B$120,$E24,$L$38:$L$120,$E$16)</f>
        <v>0</v>
      </c>
      <c r="CO24" s="3">
        <f>SUMIFS(CO$38:CO$120,$B$38:$B$120,$E24,$L$38:$L$120,$E$16)</f>
        <v>0</v>
      </c>
      <c r="CP24" s="3">
        <f>SUMIFS(CP$38:CP$120,$B$38:$B$120,$E24,$L$38:$L$120,$E$16)</f>
        <v>0</v>
      </c>
      <c r="CQ24" s="3">
        <f>SUMIFS(CQ$38:CQ$120,$B$38:$B$120,$E24,$L$38:$L$120,$E$16)</f>
        <v>0</v>
      </c>
      <c r="CR24" s="3">
        <f>SUMIFS(CR$38:CR$120,$B$38:$B$120,$E24,$L$38:$L$120,$E$16)</f>
        <v>0</v>
      </c>
      <c r="CS24" s="3">
        <f>SUMIFS(CS$38:CS$120,$B$38:$B$120,$E24,$L$38:$L$120,$E$16)</f>
        <v>0</v>
      </c>
      <c r="CT24" s="3">
        <f>SUMIFS(CT$38:CT$120,$B$38:$B$120,$E24,$L$38:$L$120,$E$16)</f>
        <v>0</v>
      </c>
      <c r="CU24" s="3">
        <f>SUMIFS(CU$38:CU$120,$B$38:$B$120,$E24,$L$38:$L$120,$E$16)</f>
        <v>0</v>
      </c>
      <c r="CV24" s="3">
        <f>SUMIFS(CV$38:CV$120,$B$38:$B$120,$E24,$L$38:$L$120,$E$16)</f>
        <v>0</v>
      </c>
      <c r="CW24" s="3">
        <f>SUMIFS(CW$38:CW$120,$B$38:$B$120,$E24,$L$38:$L$120,$E$16)</f>
        <v>0</v>
      </c>
      <c r="CX24" s="3">
        <f>SUMIFS(CX$38:CX$120,$B$38:$B$120,$E24,$L$38:$L$120,$E$16)</f>
        <v>0</v>
      </c>
      <c r="CY24" s="3">
        <f>SUMIFS(CY$38:CY$120,$B$38:$B$120,$E24,$L$38:$L$120,$E$16)</f>
        <v>0</v>
      </c>
      <c r="CZ24" s="3">
        <f>SUMIFS(CZ$38:CZ$120,$B$38:$B$120,$E24,$L$38:$L$120,$E$16)</f>
        <v>0</v>
      </c>
      <c r="DA24" s="3">
        <f>SUMIFS(DA$38:DA$120,$B$38:$B$120,$E24,$L$38:$L$120,$E$16)</f>
        <v>0</v>
      </c>
      <c r="DB24" s="3">
        <f>SUMIFS(DB$38:DB$120,$B$38:$B$120,$E24,$L$38:$L$120,$E$16)</f>
        <v>0</v>
      </c>
    </row>
    <row r="25" spans="1:106">
      <c r="E25" s="2" t="s">
        <v>9</v>
      </c>
      <c r="R25" s="3">
        <f>SUMIFS(R$38:R$120,$B$38:$B$120,$E25,$L$38:$L$120,$E$16)</f>
        <v>122</v>
      </c>
      <c r="S25" s="3">
        <f>SUMIFS(S$38:S$120,$B$38:$B$120,$E25,$L$38:$L$120,$E$16)</f>
        <v>119</v>
      </c>
      <c r="T25" s="3">
        <f>SUMIFS(T$38:T$120,$B$38:$B$120,$E25,$L$38:$L$120,$E$16)</f>
        <v>241</v>
      </c>
      <c r="U25" s="3">
        <f>SUMIFS(U$38:U$120,$B$38:$B$120,$E25,$L$38:$L$120,$E$16)</f>
        <v>105</v>
      </c>
      <c r="V25" s="3">
        <f>SUMIFS(V$38:V$120,$B$38:$B$120,$E25,$L$38:$L$120,$E$16)</f>
        <v>99</v>
      </c>
      <c r="W25" s="3">
        <f>SUMIFS(W$38:W$120,$B$38:$B$120,$E25,$L$38:$L$120,$E$16)</f>
        <v>111</v>
      </c>
      <c r="X25" s="3">
        <f>SUMIFS(X$38:X$120,$B$38:$B$120,$E25,$L$38:$L$120,$E$16)</f>
        <v>111</v>
      </c>
      <c r="Y25" s="3">
        <f>SUMIFS(Y$38:Y$120,$B$38:$B$120,$E25,$L$38:$L$120,$E$16)</f>
        <v>118</v>
      </c>
      <c r="Z25" s="3">
        <f>SUMIFS(Z$38:Z$120,$B$38:$B$120,$E25,$L$38:$L$120,$E$16)</f>
        <v>103</v>
      </c>
      <c r="AA25" s="3">
        <f>SUMIFS(AA$38:AA$120,$B$38:$B$120,$E25,$L$38:$L$120,$E$16)</f>
        <v>113</v>
      </c>
      <c r="AB25" s="3">
        <f>SUMIFS(AB$38:AB$120,$B$38:$B$120,$E25,$L$38:$L$120,$E$16)</f>
        <v>106</v>
      </c>
      <c r="AC25" s="3">
        <f>SUMIFS(AC$38:AC$120,$B$38:$B$120,$E25,$L$38:$L$120,$E$16)</f>
        <v>111</v>
      </c>
      <c r="AD25" s="3">
        <f>SUMIFS(AD$38:AD$120,$B$38:$B$120,$E25,$L$38:$L$120,$E$16)</f>
        <v>103</v>
      </c>
      <c r="AE25" s="3">
        <f>SUMIFS(AE$38:AE$120,$B$38:$B$120,$E25,$L$38:$L$120,$E$16)</f>
        <v>102</v>
      </c>
      <c r="AF25" s="3">
        <f>SUMIFS(AF$38:AF$120,$B$38:$B$120,$E25,$L$38:$L$120,$E$16)</f>
        <v>85</v>
      </c>
      <c r="AG25" s="3">
        <f>SUMIFS(AG$38:AG$120,$B$38:$B$120,$E25,$L$38:$L$120,$E$16)</f>
        <v>0</v>
      </c>
      <c r="AH25" s="3">
        <f>SUMIFS(AH$38:AH$120,$B$38:$B$120,$E25,$L$38:$L$120,$E$16)</f>
        <v>0</v>
      </c>
      <c r="AI25" s="3"/>
      <c r="AJ25" s="3"/>
      <c r="AK25" s="3"/>
      <c r="AL25" s="3">
        <f>SUMIFS(AL$38:AL$120,$B$38:$B$120,$E25,$L$38:$L$120,$E$16)</f>
        <v>660</v>
      </c>
      <c r="AM25" s="3">
        <f>SUMIFS(AM$38:AM$120,$B$38:$B$120,$E25,$L$38:$L$120,$E$16)</f>
        <v>607</v>
      </c>
      <c r="AN25" s="3">
        <f>SUMIFS(AN$38:AN$120,$B$38:$B$120,$E25,$L$38:$L$120,$E$16)</f>
        <v>1267</v>
      </c>
      <c r="AO25" s="3">
        <f>SUMIFS(AO$38:AO$120,$B$38:$B$120,$E25,$L$38:$L$120,$E$16)</f>
        <v>782</v>
      </c>
      <c r="AP25" s="3">
        <f>SUMIFS(AP$38:AP$120,$B$38:$B$120,$E25,$L$38:$L$120,$E$16)</f>
        <v>726</v>
      </c>
      <c r="AQ25" s="3">
        <f>SUMIFS(AQ$38:AQ$120,$B$38:$B$120,$E25,$L$38:$L$120,$E$16)</f>
        <v>1508</v>
      </c>
      <c r="AR25" s="3">
        <f>SUMIFS(AR$38:AR$120,$B$38:$B$120,$E25,$L$38:$L$120,$E$16)</f>
        <v>136</v>
      </c>
      <c r="AS25" s="3">
        <f>SUMIFS(AS$38:AS$120,$B$38:$B$120,$E25,$L$38:$L$120,$E$16)</f>
        <v>123</v>
      </c>
      <c r="AT25" s="3">
        <f>SUMIFS(AT$38:AT$120,$B$38:$B$120,$E25,$L$38:$L$120,$E$16)</f>
        <v>121</v>
      </c>
      <c r="AU25" s="3">
        <f>SUMIFS(AU$38:AU$120,$B$38:$B$120,$E25,$L$38:$L$120,$E$16)</f>
        <v>110</v>
      </c>
      <c r="AV25" s="3">
        <f>SUMIFS(AV$38:AV$120,$B$38:$B$120,$E25,$L$38:$L$120,$E$16)</f>
        <v>130</v>
      </c>
      <c r="AW25" s="3">
        <f>SUMIFS(AW$38:AW$120,$B$38:$B$120,$E25,$L$38:$L$120,$E$16)</f>
        <v>131</v>
      </c>
      <c r="AX25" s="3">
        <f>SUMIFS(AX$38:AX$120,$B$38:$B$120,$E25,$L$38:$L$120,$E$16)</f>
        <v>158</v>
      </c>
      <c r="AY25" s="3">
        <f>SUMIFS(AY$38:AY$120,$B$38:$B$120,$E25,$L$38:$L$120,$E$16)</f>
        <v>123</v>
      </c>
      <c r="AZ25" s="3">
        <f>SUMIFS(AZ$38:AZ$120,$B$38:$B$120,$E25,$L$38:$L$120,$E$16)</f>
        <v>0</v>
      </c>
      <c r="BA25" s="3">
        <f>SUMIFS(BA$38:BA$120,$B$38:$B$120,$E25,$L$38:$L$120,$E$16)</f>
        <v>0</v>
      </c>
      <c r="BB25" s="3">
        <f>SUMIFS(BB$38:BB$120,$B$38:$B$120,$E25,$L$38:$L$120,$E$16)</f>
        <v>545</v>
      </c>
      <c r="BC25" s="3">
        <f>SUMIFS(BC$38:BC$120,$B$38:$B$120,$E25,$L$38:$L$120,$E$16)</f>
        <v>487</v>
      </c>
      <c r="BD25" s="3">
        <f>SUMIFS(BD$38:BD$120,$B$38:$B$120,$E25,$L$38:$L$120,$E$16)</f>
        <v>1032</v>
      </c>
      <c r="BE25" s="3">
        <f>SUMIFS(BE$38:BE$120,$B$38:$B$120,$E25,$L$38:$L$120,$E$16)</f>
        <v>60</v>
      </c>
      <c r="BF25" s="3">
        <f>SUMIFS(BF$38:BF$120,$B$38:$B$120,$E25,$L$38:$L$120,$E$16)</f>
        <v>85</v>
      </c>
      <c r="BG25" s="3">
        <f>SUMIFS(BG$38:BG$120,$B$38:$B$120,$E25,$L$38:$L$120,$E$16)</f>
        <v>123</v>
      </c>
      <c r="BH25" s="3">
        <f>SUMIFS(BH$38:BH$120,$B$38:$B$120,$E25,$L$38:$L$120,$E$16)</f>
        <v>148</v>
      </c>
      <c r="BI25" s="3">
        <f>SUMIFS(BI$38:BI$120,$B$38:$B$120,$E25,$L$38:$L$120,$E$16)</f>
        <v>35</v>
      </c>
      <c r="BJ25" s="3">
        <f>SUMIFS(BJ$38:BJ$120,$B$38:$B$120,$E25,$L$38:$L$120,$E$16)</f>
        <v>74</v>
      </c>
      <c r="BK25" s="3">
        <f>SUMIFS(BK$38:BK$120,$B$38:$B$120,$E25,$L$38:$L$120,$E$16)</f>
        <v>57</v>
      </c>
      <c r="BL25" s="3">
        <f>SUMIFS(BL$38:BL$120,$B$38:$B$120,$E25,$L$38:$L$120,$E$16)</f>
        <v>47</v>
      </c>
      <c r="BM25" s="3">
        <f>SUMIFS(BM$38:BM$120,$B$38:$B$120,$E25,$L$38:$L$120,$E$16)</f>
        <v>0</v>
      </c>
      <c r="BN25" s="3">
        <f>SUMIFS(BN$38:BN$120,$B$38:$B$120,$E25,$L$38:$L$120,$E$16)</f>
        <v>0</v>
      </c>
      <c r="BO25" s="3">
        <f>SUMIFS(BO$38:BO$120,$B$38:$B$120,$E25,$L$38:$L$120,$E$16)</f>
        <v>275</v>
      </c>
      <c r="BP25" s="3">
        <f>SUMIFS(BP$38:BP$120,$B$38:$B$120,$E25,$L$38:$L$120,$E$16)</f>
        <v>354</v>
      </c>
      <c r="BQ25" s="3">
        <f>SUMIFS(BQ$38:BQ$120,$B$38:$B$120,$E25,$L$38:$L$120,$E$16)</f>
        <v>629</v>
      </c>
      <c r="BR25" s="3">
        <f>SUMIFS(BR$38:BR$120,$B$38:$B$120,$E25,$L$38:$L$120,$E$16)</f>
        <v>166</v>
      </c>
      <c r="BS25" s="3">
        <f>SUMIFS(BS$38:BS$120,$B$38:$B$120,$E25,$L$38:$L$120,$E$16)</f>
        <v>73</v>
      </c>
      <c r="BT25" s="3">
        <f>SUMIFS(BT$38:BT$120,$B$38:$B$120,$E25,$L$38:$L$120,$E$16)</f>
        <v>0</v>
      </c>
      <c r="BU25" s="3">
        <f>SUMIFS(BU$38:BU$120,$B$38:$B$120,$E25,$L$38:$L$120,$E$16)</f>
        <v>0</v>
      </c>
      <c r="BV25" s="3">
        <f>SUMIFS(BV$38:BV$120,$B$38:$B$120,$E25,$L$38:$L$120,$E$16)</f>
        <v>0</v>
      </c>
      <c r="BW25" s="3">
        <f>SUMIFS(BW$38:BW$120,$B$38:$B$120,$E25,$L$38:$L$120,$E$16)</f>
        <v>0</v>
      </c>
      <c r="BX25" s="3">
        <f>SUMIFS(BX$38:BX$120,$B$38:$B$120,$E25,$L$38:$L$120,$E$16)</f>
        <v>441</v>
      </c>
      <c r="BY25" s="3">
        <f>SUMIFS(BY$38:BY$120,$B$38:$B$120,$E25,$L$38:$L$120,$E$16)</f>
        <v>427</v>
      </c>
      <c r="BZ25" s="3">
        <f>SUMIFS(BZ$38:BZ$120,$B$38:$B$120,$E25,$L$38:$L$120,$E$16)</f>
        <v>868</v>
      </c>
      <c r="CA25" s="3">
        <f>SUMIFS(CA$38:CA$120,$B$38:$B$120,$E25,$L$38:$L$120,$E$16)</f>
        <v>38</v>
      </c>
      <c r="CB25" s="3">
        <f>SUMIFS(CB$38:CB$120,$B$38:$B$120,$E25,$L$38:$L$120,$E$16)</f>
        <v>44</v>
      </c>
      <c r="CC25" s="3">
        <f>SUMIFS(CC$38:CC$120,$B$38:$B$120,$E25,$L$38:$L$120,$E$16)</f>
        <v>99</v>
      </c>
      <c r="CD25" s="3">
        <f>SUMIFS(CD$38:CD$120,$B$38:$B$120,$E25,$L$38:$L$120,$E$16)</f>
        <v>138</v>
      </c>
      <c r="CE25" s="3">
        <f>SUMIFS(CE$38:CE$120,$B$38:$B$120,$E25,$L$38:$L$120,$E$16)</f>
        <v>39</v>
      </c>
      <c r="CF25" s="3">
        <f>SUMIFS(CF$38:CF$120,$B$38:$B$120,$E25,$L$38:$L$120,$E$16)</f>
        <v>59</v>
      </c>
      <c r="CG25" s="3">
        <f>SUMIFS(CG$38:CG$120,$B$38:$B$120,$E25,$L$38:$L$120,$E$16)</f>
        <v>68</v>
      </c>
      <c r="CH25" s="3">
        <f>SUMIFS(CH$38:CH$120,$B$38:$B$120,$E25,$L$38:$L$120,$E$16)</f>
        <v>64</v>
      </c>
      <c r="CI25" s="3">
        <f>SUMIFS(CI$38:CI$120,$B$38:$B$120,$E25,$L$38:$L$120,$E$16)</f>
        <v>0</v>
      </c>
      <c r="CJ25" s="3">
        <f>SUMIFS(CJ$38:CJ$120,$B$38:$B$120,$E25,$L$38:$L$120,$E$16)</f>
        <v>0</v>
      </c>
      <c r="CK25" s="3">
        <f>SUMIFS(CK$38:CK$120,$B$38:$B$120,$E25,$L$38:$L$120,$E$16)</f>
        <v>244</v>
      </c>
      <c r="CL25" s="3">
        <f>SUMIFS(CL$38:CL$120,$B$38:$B$120,$E25,$L$38:$L$120,$E$16)</f>
        <v>305</v>
      </c>
      <c r="CM25" s="3">
        <f>SUMIFS(CM$38:CM$120,$B$38:$B$120,$E25,$L$38:$L$120,$E$16)</f>
        <v>549</v>
      </c>
      <c r="CN25" s="3">
        <f>SUMIFS(CN$38:CN$120,$B$38:$B$120,$E25,$L$38:$L$120,$E$16)</f>
        <v>117</v>
      </c>
      <c r="CO25" s="3">
        <f>SUMIFS(CO$38:CO$120,$B$38:$B$120,$E25,$L$38:$L$120,$E$16)</f>
        <v>81</v>
      </c>
      <c r="CP25" s="3">
        <f>SUMIFS(CP$38:CP$120,$B$38:$B$120,$E25,$L$38:$L$120,$E$16)</f>
        <v>0</v>
      </c>
      <c r="CQ25" s="3">
        <f>SUMIFS(CQ$38:CQ$120,$B$38:$B$120,$E25,$L$38:$L$120,$E$16)</f>
        <v>0</v>
      </c>
      <c r="CR25" s="3">
        <f>SUMIFS(CR$38:CR$120,$B$38:$B$120,$E25,$L$38:$L$120,$E$16)</f>
        <v>0</v>
      </c>
      <c r="CS25" s="3">
        <f>SUMIFS(CS$38:CS$120,$B$38:$B$120,$E25,$L$38:$L$120,$E$16)</f>
        <v>0</v>
      </c>
      <c r="CT25" s="3">
        <f>SUMIFS(CT$38:CT$120,$B$38:$B$120,$E25,$L$38:$L$120,$E$16)</f>
        <v>361</v>
      </c>
      <c r="CU25" s="3">
        <f>SUMIFS(CU$38:CU$120,$B$38:$B$120,$E25,$L$38:$L$120,$E$16)</f>
        <v>386</v>
      </c>
      <c r="CV25" s="3">
        <f>SUMIFS(CV$38:CV$120,$B$38:$B$120,$E25,$L$38:$L$120,$E$16)</f>
        <v>747</v>
      </c>
      <c r="CW25" s="3">
        <f>SUMIFS(CW$38:CW$120,$B$38:$B$120,$E25,$L$38:$L$120,$E$16)</f>
        <v>802</v>
      </c>
      <c r="CX25" s="3">
        <f>SUMIFS(CX$38:CX$120,$B$38:$B$120,$E25,$L$38:$L$120,$E$16)</f>
        <v>813</v>
      </c>
      <c r="CY25" s="3">
        <f>SUMIFS(CY$38:CY$120,$B$38:$B$120,$E25,$L$38:$L$120,$E$16)</f>
        <v>1615</v>
      </c>
      <c r="CZ25" s="3">
        <f>SUMIFS(CZ$38:CZ$120,$B$38:$B$120,$E25,$L$38:$L$120,$E$16)</f>
        <v>2129</v>
      </c>
      <c r="DA25" s="3">
        <f>SUMIFS(DA$38:DA$120,$B$38:$B$120,$E25,$L$38:$L$120,$E$16)</f>
        <v>2026</v>
      </c>
      <c r="DB25" s="3">
        <f>SUMIFS(DB$38:DB$120,$B$38:$B$120,$E25,$L$38:$L$120,$E$16)</f>
        <v>4155</v>
      </c>
    </row>
    <row r="26" spans="1:106">
      <c r="E26" s="2" t="s">
        <v>10</v>
      </c>
      <c r="R26" s="3">
        <f>SUMIFS(R$38:R$120,$B$38:$B$120,$E26,$L$38:$L$120,$E$16)</f>
        <v>0</v>
      </c>
      <c r="S26" s="3">
        <f>SUMIFS(S$38:S$120,$B$38:$B$120,$E26,$L$38:$L$120,$E$16)</f>
        <v>0</v>
      </c>
      <c r="T26" s="3">
        <f>SUMIFS(T$38:T$120,$B$38:$B$120,$E26,$L$38:$L$120,$E$16)</f>
        <v>0</v>
      </c>
      <c r="U26" s="3">
        <f>SUMIFS(U$38:U$120,$B$38:$B$120,$E26,$L$38:$L$120,$E$16)</f>
        <v>0</v>
      </c>
      <c r="V26" s="3">
        <f>SUMIFS(V$38:V$120,$B$38:$B$120,$E26,$L$38:$L$120,$E$16)</f>
        <v>0</v>
      </c>
      <c r="W26" s="3">
        <f>SUMIFS(W$38:W$120,$B$38:$B$120,$E26,$L$38:$L$120,$E$16)</f>
        <v>0</v>
      </c>
      <c r="X26" s="3">
        <f>SUMIFS(X$38:X$120,$B$38:$B$120,$E26,$L$38:$L$120,$E$16)</f>
        <v>0</v>
      </c>
      <c r="Y26" s="3">
        <f>SUMIFS(Y$38:Y$120,$B$38:$B$120,$E26,$L$38:$L$120,$E$16)</f>
        <v>0</v>
      </c>
      <c r="Z26" s="3">
        <f>SUMIFS(Z$38:Z$120,$B$38:$B$120,$E26,$L$38:$L$120,$E$16)</f>
        <v>0</v>
      </c>
      <c r="AA26" s="3">
        <f>SUMIFS(AA$38:AA$120,$B$38:$B$120,$E26,$L$38:$L$120,$E$16)</f>
        <v>0</v>
      </c>
      <c r="AB26" s="3">
        <f>SUMIFS(AB$38:AB$120,$B$38:$B$120,$E26,$L$38:$L$120,$E$16)</f>
        <v>0</v>
      </c>
      <c r="AC26" s="3">
        <f>SUMIFS(AC$38:AC$120,$B$38:$B$120,$E26,$L$38:$L$120,$E$16)</f>
        <v>0</v>
      </c>
      <c r="AD26" s="3">
        <f>SUMIFS(AD$38:AD$120,$B$38:$B$120,$E26,$L$38:$L$120,$E$16)</f>
        <v>0</v>
      </c>
      <c r="AE26" s="3">
        <f>SUMIFS(AE$38:AE$120,$B$38:$B$120,$E26,$L$38:$L$120,$E$16)</f>
        <v>0</v>
      </c>
      <c r="AF26" s="3">
        <f>SUMIFS(AF$38:AF$120,$B$38:$B$120,$E26,$L$38:$L$120,$E$16)</f>
        <v>0</v>
      </c>
      <c r="AG26" s="3">
        <f>SUMIFS(AG$38:AG$120,$B$38:$B$120,$E26,$L$38:$L$120,$E$16)</f>
        <v>0</v>
      </c>
      <c r="AH26" s="3">
        <f>SUMIFS(AH$38:AH$120,$B$38:$B$120,$E26,$L$38:$L$120,$E$16)</f>
        <v>0</v>
      </c>
      <c r="AI26" s="3"/>
      <c r="AJ26" s="3"/>
      <c r="AK26" s="3"/>
      <c r="AL26" s="3">
        <f>SUMIFS(AL$38:AL$120,$B$38:$B$120,$E26,$L$38:$L$120,$E$16)</f>
        <v>0</v>
      </c>
      <c r="AM26" s="3">
        <f>SUMIFS(AM$38:AM$120,$B$38:$B$120,$E26,$L$38:$L$120,$E$16)</f>
        <v>0</v>
      </c>
      <c r="AN26" s="3">
        <f>SUMIFS(AN$38:AN$120,$B$38:$B$120,$E26,$L$38:$L$120,$E$16)</f>
        <v>0</v>
      </c>
      <c r="AO26" s="3">
        <f>SUMIFS(AO$38:AO$120,$B$38:$B$120,$E26,$L$38:$L$120,$E$16)</f>
        <v>0</v>
      </c>
      <c r="AP26" s="3">
        <f>SUMIFS(AP$38:AP$120,$B$38:$B$120,$E26,$L$38:$L$120,$E$16)</f>
        <v>0</v>
      </c>
      <c r="AQ26" s="3">
        <f>SUMIFS(AQ$38:AQ$120,$B$38:$B$120,$E26,$L$38:$L$120,$E$16)</f>
        <v>0</v>
      </c>
      <c r="AR26" s="3">
        <f>SUMIFS(AR$38:AR$120,$B$38:$B$120,$E26,$L$38:$L$120,$E$16)</f>
        <v>0</v>
      </c>
      <c r="AS26" s="3">
        <f>SUMIFS(AS$38:AS$120,$B$38:$B$120,$E26,$L$38:$L$120,$E$16)</f>
        <v>0</v>
      </c>
      <c r="AT26" s="3">
        <f>SUMIFS(AT$38:AT$120,$B$38:$B$120,$E26,$L$38:$L$120,$E$16)</f>
        <v>0</v>
      </c>
      <c r="AU26" s="3">
        <f>SUMIFS(AU$38:AU$120,$B$38:$B$120,$E26,$L$38:$L$120,$E$16)</f>
        <v>0</v>
      </c>
      <c r="AV26" s="3">
        <f>SUMIFS(AV$38:AV$120,$B$38:$B$120,$E26,$L$38:$L$120,$E$16)</f>
        <v>0</v>
      </c>
      <c r="AW26" s="3">
        <f>SUMIFS(AW$38:AW$120,$B$38:$B$120,$E26,$L$38:$L$120,$E$16)</f>
        <v>0</v>
      </c>
      <c r="AX26" s="3">
        <f>SUMIFS(AX$38:AX$120,$B$38:$B$120,$E26,$L$38:$L$120,$E$16)</f>
        <v>0</v>
      </c>
      <c r="AY26" s="3">
        <f>SUMIFS(AY$38:AY$120,$B$38:$B$120,$E26,$L$38:$L$120,$E$16)</f>
        <v>0</v>
      </c>
      <c r="AZ26" s="3">
        <f>SUMIFS(AZ$38:AZ$120,$B$38:$B$120,$E26,$L$38:$L$120,$E$16)</f>
        <v>0</v>
      </c>
      <c r="BA26" s="3">
        <f>SUMIFS(BA$38:BA$120,$B$38:$B$120,$E26,$L$38:$L$120,$E$16)</f>
        <v>0</v>
      </c>
      <c r="BB26" s="3">
        <f>SUMIFS(BB$38:BB$120,$B$38:$B$120,$E26,$L$38:$L$120,$E$16)</f>
        <v>0</v>
      </c>
      <c r="BC26" s="3">
        <f>SUMIFS(BC$38:BC$120,$B$38:$B$120,$E26,$L$38:$L$120,$E$16)</f>
        <v>0</v>
      </c>
      <c r="BD26" s="3">
        <f>SUMIFS(BD$38:BD$120,$B$38:$B$120,$E26,$L$38:$L$120,$E$16)</f>
        <v>0</v>
      </c>
      <c r="BE26" s="3">
        <f>SUMIFS(BE$38:BE$120,$B$38:$B$120,$E26,$L$38:$L$120,$E$16)</f>
        <v>0</v>
      </c>
      <c r="BF26" s="3">
        <f>SUMIFS(BF$38:BF$120,$B$38:$B$120,$E26,$L$38:$L$120,$E$16)</f>
        <v>0</v>
      </c>
      <c r="BG26" s="3">
        <f>SUMIFS(BG$38:BG$120,$B$38:$B$120,$E26,$L$38:$L$120,$E$16)</f>
        <v>0</v>
      </c>
      <c r="BH26" s="3">
        <f>SUMIFS(BH$38:BH$120,$B$38:$B$120,$E26,$L$38:$L$120,$E$16)</f>
        <v>0</v>
      </c>
      <c r="BI26" s="3">
        <f>SUMIFS(BI$38:BI$120,$B$38:$B$120,$E26,$L$38:$L$120,$E$16)</f>
        <v>0</v>
      </c>
      <c r="BJ26" s="3">
        <f>SUMIFS(BJ$38:BJ$120,$B$38:$B$120,$E26,$L$38:$L$120,$E$16)</f>
        <v>0</v>
      </c>
      <c r="BK26" s="3">
        <f>SUMIFS(BK$38:BK$120,$B$38:$B$120,$E26,$L$38:$L$120,$E$16)</f>
        <v>0</v>
      </c>
      <c r="BL26" s="3">
        <f>SUMIFS(BL$38:BL$120,$B$38:$B$120,$E26,$L$38:$L$120,$E$16)</f>
        <v>0</v>
      </c>
      <c r="BM26" s="3">
        <f>SUMIFS(BM$38:BM$120,$B$38:$B$120,$E26,$L$38:$L$120,$E$16)</f>
        <v>0</v>
      </c>
      <c r="BN26" s="3">
        <f>SUMIFS(BN$38:BN$120,$B$38:$B$120,$E26,$L$38:$L$120,$E$16)</f>
        <v>0</v>
      </c>
      <c r="BO26" s="3">
        <f>SUMIFS(BO$38:BO$120,$B$38:$B$120,$E26,$L$38:$L$120,$E$16)</f>
        <v>0</v>
      </c>
      <c r="BP26" s="3">
        <f>SUMIFS(BP$38:BP$120,$B$38:$B$120,$E26,$L$38:$L$120,$E$16)</f>
        <v>0</v>
      </c>
      <c r="BQ26" s="3">
        <f>SUMIFS(BQ$38:BQ$120,$B$38:$B$120,$E26,$L$38:$L$120,$E$16)</f>
        <v>0</v>
      </c>
      <c r="BR26" s="3">
        <f>SUMIFS(BR$38:BR$120,$B$38:$B$120,$E26,$L$38:$L$120,$E$16)</f>
        <v>0</v>
      </c>
      <c r="BS26" s="3">
        <f>SUMIFS(BS$38:BS$120,$B$38:$B$120,$E26,$L$38:$L$120,$E$16)</f>
        <v>0</v>
      </c>
      <c r="BT26" s="3">
        <f>SUMIFS(BT$38:BT$120,$B$38:$B$120,$E26,$L$38:$L$120,$E$16)</f>
        <v>0</v>
      </c>
      <c r="BU26" s="3">
        <f>SUMIFS(BU$38:BU$120,$B$38:$B$120,$E26,$L$38:$L$120,$E$16)</f>
        <v>0</v>
      </c>
      <c r="BV26" s="3">
        <f>SUMIFS(BV$38:BV$120,$B$38:$B$120,$E26,$L$38:$L$120,$E$16)</f>
        <v>0</v>
      </c>
      <c r="BW26" s="3">
        <f>SUMIFS(BW$38:BW$120,$B$38:$B$120,$E26,$L$38:$L$120,$E$16)</f>
        <v>0</v>
      </c>
      <c r="BX26" s="3">
        <f>SUMIFS(BX$38:BX$120,$B$38:$B$120,$E26,$L$38:$L$120,$E$16)</f>
        <v>0</v>
      </c>
      <c r="BY26" s="3">
        <f>SUMIFS(BY$38:BY$120,$B$38:$B$120,$E26,$L$38:$L$120,$E$16)</f>
        <v>0</v>
      </c>
      <c r="BZ26" s="3">
        <f>SUMIFS(BZ$38:BZ$120,$B$38:$B$120,$E26,$L$38:$L$120,$E$16)</f>
        <v>0</v>
      </c>
      <c r="CA26" s="3">
        <f>SUMIFS(CA$38:CA$120,$B$38:$B$120,$E26,$L$38:$L$120,$E$16)</f>
        <v>0</v>
      </c>
      <c r="CB26" s="3">
        <f>SUMIFS(CB$38:CB$120,$B$38:$B$120,$E26,$L$38:$L$120,$E$16)</f>
        <v>0</v>
      </c>
      <c r="CC26" s="3">
        <f>SUMIFS(CC$38:CC$120,$B$38:$B$120,$E26,$L$38:$L$120,$E$16)</f>
        <v>0</v>
      </c>
      <c r="CD26" s="3">
        <f>SUMIFS(CD$38:CD$120,$B$38:$B$120,$E26,$L$38:$L$120,$E$16)</f>
        <v>0</v>
      </c>
      <c r="CE26" s="3">
        <f>SUMIFS(CE$38:CE$120,$B$38:$B$120,$E26,$L$38:$L$120,$E$16)</f>
        <v>0</v>
      </c>
      <c r="CF26" s="3">
        <f>SUMIFS(CF$38:CF$120,$B$38:$B$120,$E26,$L$38:$L$120,$E$16)</f>
        <v>0</v>
      </c>
      <c r="CG26" s="3">
        <f>SUMIFS(CG$38:CG$120,$B$38:$B$120,$E26,$L$38:$L$120,$E$16)</f>
        <v>0</v>
      </c>
      <c r="CH26" s="3">
        <f>SUMIFS(CH$38:CH$120,$B$38:$B$120,$E26,$L$38:$L$120,$E$16)</f>
        <v>0</v>
      </c>
      <c r="CI26" s="3">
        <f>SUMIFS(CI$38:CI$120,$B$38:$B$120,$E26,$L$38:$L$120,$E$16)</f>
        <v>0</v>
      </c>
      <c r="CJ26" s="3">
        <f>SUMIFS(CJ$38:CJ$120,$B$38:$B$120,$E26,$L$38:$L$120,$E$16)</f>
        <v>0</v>
      </c>
      <c r="CK26" s="3">
        <f>SUMIFS(CK$38:CK$120,$B$38:$B$120,$E26,$L$38:$L$120,$E$16)</f>
        <v>0</v>
      </c>
      <c r="CL26" s="3">
        <f>SUMIFS(CL$38:CL$120,$B$38:$B$120,$E26,$L$38:$L$120,$E$16)</f>
        <v>0</v>
      </c>
      <c r="CM26" s="3">
        <f>SUMIFS(CM$38:CM$120,$B$38:$B$120,$E26,$L$38:$L$120,$E$16)</f>
        <v>0</v>
      </c>
      <c r="CN26" s="3">
        <f>SUMIFS(CN$38:CN$120,$B$38:$B$120,$E26,$L$38:$L$120,$E$16)</f>
        <v>0</v>
      </c>
      <c r="CO26" s="3">
        <f>SUMIFS(CO$38:CO$120,$B$38:$B$120,$E26,$L$38:$L$120,$E$16)</f>
        <v>0</v>
      </c>
      <c r="CP26" s="3">
        <f>SUMIFS(CP$38:CP$120,$B$38:$B$120,$E26,$L$38:$L$120,$E$16)</f>
        <v>0</v>
      </c>
      <c r="CQ26" s="3">
        <f>SUMIFS(CQ$38:CQ$120,$B$38:$B$120,$E26,$L$38:$L$120,$E$16)</f>
        <v>0</v>
      </c>
      <c r="CR26" s="3">
        <f>SUMIFS(CR$38:CR$120,$B$38:$B$120,$E26,$L$38:$L$120,$E$16)</f>
        <v>0</v>
      </c>
      <c r="CS26" s="3">
        <f>SUMIFS(CS$38:CS$120,$B$38:$B$120,$E26,$L$38:$L$120,$E$16)</f>
        <v>0</v>
      </c>
      <c r="CT26" s="3">
        <f>SUMIFS(CT$38:CT$120,$B$38:$B$120,$E26,$L$38:$L$120,$E$16)</f>
        <v>0</v>
      </c>
      <c r="CU26" s="3">
        <f>SUMIFS(CU$38:CU$120,$B$38:$B$120,$E26,$L$38:$L$120,$E$16)</f>
        <v>0</v>
      </c>
      <c r="CV26" s="3">
        <f>SUMIFS(CV$38:CV$120,$B$38:$B$120,$E26,$L$38:$L$120,$E$16)</f>
        <v>0</v>
      </c>
      <c r="CW26" s="3">
        <f>SUMIFS(CW$38:CW$120,$B$38:$B$120,$E26,$L$38:$L$120,$E$16)</f>
        <v>0</v>
      </c>
      <c r="CX26" s="3">
        <f>SUMIFS(CX$38:CX$120,$B$38:$B$120,$E26,$L$38:$L$120,$E$16)</f>
        <v>0</v>
      </c>
      <c r="CY26" s="3">
        <f>SUMIFS(CY$38:CY$120,$B$38:$B$120,$E26,$L$38:$L$120,$E$16)</f>
        <v>0</v>
      </c>
      <c r="CZ26" s="3">
        <f>SUMIFS(CZ$38:CZ$120,$B$38:$B$120,$E26,$L$38:$L$120,$E$16)</f>
        <v>0</v>
      </c>
      <c r="DA26" s="3">
        <f>SUMIFS(DA$38:DA$120,$B$38:$B$120,$E26,$L$38:$L$120,$E$16)</f>
        <v>0</v>
      </c>
      <c r="DB26" s="3">
        <f>SUMIFS(DB$38:DB$120,$B$38:$B$120,$E26,$L$38:$L$120,$E$16)</f>
        <v>0</v>
      </c>
    </row>
    <row r="27" spans="1:106">
      <c r="E27" s="2" t="s">
        <v>11</v>
      </c>
      <c r="R27" s="3">
        <f>SUMIFS(R$38:R$120,$B$38:$B$120,$E27,$L$38:$L$120,$E$16)</f>
        <v>0</v>
      </c>
      <c r="S27" s="3">
        <f>SUMIFS(S$38:S$120,$B$38:$B$120,$E27,$L$38:$L$120,$E$16)</f>
        <v>0</v>
      </c>
      <c r="T27" s="3">
        <f>SUMIFS(T$38:T$120,$B$38:$B$120,$E27,$L$38:$L$120,$E$16)</f>
        <v>0</v>
      </c>
      <c r="U27" s="3">
        <f>SUMIFS(U$38:U$120,$B$38:$B$120,$E27,$L$38:$L$120,$E$16)</f>
        <v>0</v>
      </c>
      <c r="V27" s="3">
        <f>SUMIFS(V$38:V$120,$B$38:$B$120,$E27,$L$38:$L$120,$E$16)</f>
        <v>0</v>
      </c>
      <c r="W27" s="3">
        <f>SUMIFS(W$38:W$120,$B$38:$B$120,$E27,$L$38:$L$120,$E$16)</f>
        <v>0</v>
      </c>
      <c r="X27" s="3">
        <f>SUMIFS(X$38:X$120,$B$38:$B$120,$E27,$L$38:$L$120,$E$16)</f>
        <v>0</v>
      </c>
      <c r="Y27" s="3">
        <f>SUMIFS(Y$38:Y$120,$B$38:$B$120,$E27,$L$38:$L$120,$E$16)</f>
        <v>0</v>
      </c>
      <c r="Z27" s="3">
        <f>SUMIFS(Z$38:Z$120,$B$38:$B$120,$E27,$L$38:$L$120,$E$16)</f>
        <v>0</v>
      </c>
      <c r="AA27" s="3">
        <f>SUMIFS(AA$38:AA$120,$B$38:$B$120,$E27,$L$38:$L$120,$E$16)</f>
        <v>0</v>
      </c>
      <c r="AB27" s="3">
        <f>SUMIFS(AB$38:AB$120,$B$38:$B$120,$E27,$L$38:$L$120,$E$16)</f>
        <v>0</v>
      </c>
      <c r="AC27" s="3">
        <f>SUMIFS(AC$38:AC$120,$B$38:$B$120,$E27,$L$38:$L$120,$E$16)</f>
        <v>0</v>
      </c>
      <c r="AD27" s="3">
        <f>SUMIFS(AD$38:AD$120,$B$38:$B$120,$E27,$L$38:$L$120,$E$16)</f>
        <v>0</v>
      </c>
      <c r="AE27" s="3">
        <f>SUMIFS(AE$38:AE$120,$B$38:$B$120,$E27,$L$38:$L$120,$E$16)</f>
        <v>0</v>
      </c>
      <c r="AF27" s="3">
        <f>SUMIFS(AF$38:AF$120,$B$38:$B$120,$E27,$L$38:$L$120,$E$16)</f>
        <v>0</v>
      </c>
      <c r="AG27" s="3">
        <f>SUMIFS(AG$38:AG$120,$B$38:$B$120,$E27,$L$38:$L$120,$E$16)</f>
        <v>0</v>
      </c>
      <c r="AH27" s="3">
        <f>SUMIFS(AH$38:AH$120,$B$38:$B$120,$E27,$L$38:$L$120,$E$16)</f>
        <v>0</v>
      </c>
      <c r="AI27" s="3"/>
      <c r="AJ27" s="3"/>
      <c r="AK27" s="3"/>
      <c r="AL27" s="3">
        <f>SUMIFS(AL$38:AL$120,$B$38:$B$120,$E27,$L$38:$L$120,$E$16)</f>
        <v>0</v>
      </c>
      <c r="AM27" s="3">
        <f>SUMIFS(AM$38:AM$120,$B$38:$B$120,$E27,$L$38:$L$120,$E$16)</f>
        <v>0</v>
      </c>
      <c r="AN27" s="3">
        <f>SUMIFS(AN$38:AN$120,$B$38:$B$120,$E27,$L$38:$L$120,$E$16)</f>
        <v>0</v>
      </c>
      <c r="AO27" s="3">
        <f>SUMIFS(AO$38:AO$120,$B$38:$B$120,$E27,$L$38:$L$120,$E$16)</f>
        <v>0</v>
      </c>
      <c r="AP27" s="3">
        <f>SUMIFS(AP$38:AP$120,$B$38:$B$120,$E27,$L$38:$L$120,$E$16)</f>
        <v>0</v>
      </c>
      <c r="AQ27" s="3">
        <f>SUMIFS(AQ$38:AQ$120,$B$38:$B$120,$E27,$L$38:$L$120,$E$16)</f>
        <v>0</v>
      </c>
      <c r="AR27" s="3">
        <f>SUMIFS(AR$38:AR$120,$B$38:$B$120,$E27,$L$38:$L$120,$E$16)</f>
        <v>0</v>
      </c>
      <c r="AS27" s="3">
        <f>SUMIFS(AS$38:AS$120,$B$38:$B$120,$E27,$L$38:$L$120,$E$16)</f>
        <v>0</v>
      </c>
      <c r="AT27" s="3">
        <f>SUMIFS(AT$38:AT$120,$B$38:$B$120,$E27,$L$38:$L$120,$E$16)</f>
        <v>0</v>
      </c>
      <c r="AU27" s="3">
        <f>SUMIFS(AU$38:AU$120,$B$38:$B$120,$E27,$L$38:$L$120,$E$16)</f>
        <v>0</v>
      </c>
      <c r="AV27" s="3">
        <f>SUMIFS(AV$38:AV$120,$B$38:$B$120,$E27,$L$38:$L$120,$E$16)</f>
        <v>0</v>
      </c>
      <c r="AW27" s="3">
        <f>SUMIFS(AW$38:AW$120,$B$38:$B$120,$E27,$L$38:$L$120,$E$16)</f>
        <v>0</v>
      </c>
      <c r="AX27" s="3">
        <f>SUMIFS(AX$38:AX$120,$B$38:$B$120,$E27,$L$38:$L$120,$E$16)</f>
        <v>0</v>
      </c>
      <c r="AY27" s="3">
        <f>SUMIFS(AY$38:AY$120,$B$38:$B$120,$E27,$L$38:$L$120,$E$16)</f>
        <v>0</v>
      </c>
      <c r="AZ27" s="3">
        <f>SUMIFS(AZ$38:AZ$120,$B$38:$B$120,$E27,$L$38:$L$120,$E$16)</f>
        <v>0</v>
      </c>
      <c r="BA27" s="3">
        <f>SUMIFS(BA$38:BA$120,$B$38:$B$120,$E27,$L$38:$L$120,$E$16)</f>
        <v>0</v>
      </c>
      <c r="BB27" s="3">
        <f>SUMIFS(BB$38:BB$120,$B$38:$B$120,$E27,$L$38:$L$120,$E$16)</f>
        <v>0</v>
      </c>
      <c r="BC27" s="3">
        <f>SUMIFS(BC$38:BC$120,$B$38:$B$120,$E27,$L$38:$L$120,$E$16)</f>
        <v>0</v>
      </c>
      <c r="BD27" s="3">
        <f>SUMIFS(BD$38:BD$120,$B$38:$B$120,$E27,$L$38:$L$120,$E$16)</f>
        <v>0</v>
      </c>
      <c r="BE27" s="3">
        <f>SUMIFS(BE$38:BE$120,$B$38:$B$120,$E27,$L$38:$L$120,$E$16)</f>
        <v>0</v>
      </c>
      <c r="BF27" s="3">
        <f>SUMIFS(BF$38:BF$120,$B$38:$B$120,$E27,$L$38:$L$120,$E$16)</f>
        <v>0</v>
      </c>
      <c r="BG27" s="3">
        <f>SUMIFS(BG$38:BG$120,$B$38:$B$120,$E27,$L$38:$L$120,$E$16)</f>
        <v>0</v>
      </c>
      <c r="BH27" s="3">
        <f>SUMIFS(BH$38:BH$120,$B$38:$B$120,$E27,$L$38:$L$120,$E$16)</f>
        <v>0</v>
      </c>
      <c r="BI27" s="3">
        <f>SUMIFS(BI$38:BI$120,$B$38:$B$120,$E27,$L$38:$L$120,$E$16)</f>
        <v>0</v>
      </c>
      <c r="BJ27" s="3">
        <f>SUMIFS(BJ$38:BJ$120,$B$38:$B$120,$E27,$L$38:$L$120,$E$16)</f>
        <v>0</v>
      </c>
      <c r="BK27" s="3">
        <f>SUMIFS(BK$38:BK$120,$B$38:$B$120,$E27,$L$38:$L$120,$E$16)</f>
        <v>0</v>
      </c>
      <c r="BL27" s="3">
        <f>SUMIFS(BL$38:BL$120,$B$38:$B$120,$E27,$L$38:$L$120,$E$16)</f>
        <v>0</v>
      </c>
      <c r="BM27" s="3">
        <f>SUMIFS(BM$38:BM$120,$B$38:$B$120,$E27,$L$38:$L$120,$E$16)</f>
        <v>0</v>
      </c>
      <c r="BN27" s="3">
        <f>SUMIFS(BN$38:BN$120,$B$38:$B$120,$E27,$L$38:$L$120,$E$16)</f>
        <v>0</v>
      </c>
      <c r="BO27" s="3">
        <f>SUMIFS(BO$38:BO$120,$B$38:$B$120,$E27,$L$38:$L$120,$E$16)</f>
        <v>0</v>
      </c>
      <c r="BP27" s="3">
        <f>SUMIFS(BP$38:BP$120,$B$38:$B$120,$E27,$L$38:$L$120,$E$16)</f>
        <v>0</v>
      </c>
      <c r="BQ27" s="3">
        <f>SUMIFS(BQ$38:BQ$120,$B$38:$B$120,$E27,$L$38:$L$120,$E$16)</f>
        <v>0</v>
      </c>
      <c r="BR27" s="3">
        <f>SUMIFS(BR$38:BR$120,$B$38:$B$120,$E27,$L$38:$L$120,$E$16)</f>
        <v>0</v>
      </c>
      <c r="BS27" s="3">
        <f>SUMIFS(BS$38:BS$120,$B$38:$B$120,$E27,$L$38:$L$120,$E$16)</f>
        <v>0</v>
      </c>
      <c r="BT27" s="3">
        <f>SUMIFS(BT$38:BT$120,$B$38:$B$120,$E27,$L$38:$L$120,$E$16)</f>
        <v>0</v>
      </c>
      <c r="BU27" s="3">
        <f>SUMIFS(BU$38:BU$120,$B$38:$B$120,$E27,$L$38:$L$120,$E$16)</f>
        <v>0</v>
      </c>
      <c r="BV27" s="3">
        <f>SUMIFS(BV$38:BV$120,$B$38:$B$120,$E27,$L$38:$L$120,$E$16)</f>
        <v>0</v>
      </c>
      <c r="BW27" s="3">
        <f>SUMIFS(BW$38:BW$120,$B$38:$B$120,$E27,$L$38:$L$120,$E$16)</f>
        <v>0</v>
      </c>
      <c r="BX27" s="3">
        <f>SUMIFS(BX$38:BX$120,$B$38:$B$120,$E27,$L$38:$L$120,$E$16)</f>
        <v>0</v>
      </c>
      <c r="BY27" s="3">
        <f>SUMIFS(BY$38:BY$120,$B$38:$B$120,$E27,$L$38:$L$120,$E$16)</f>
        <v>0</v>
      </c>
      <c r="BZ27" s="3">
        <f>SUMIFS(BZ$38:BZ$120,$B$38:$B$120,$E27,$L$38:$L$120,$E$16)</f>
        <v>0</v>
      </c>
      <c r="CA27" s="3">
        <f>SUMIFS(CA$38:CA$120,$B$38:$B$120,$E27,$L$38:$L$120,$E$16)</f>
        <v>0</v>
      </c>
      <c r="CB27" s="3">
        <f>SUMIFS(CB$38:CB$120,$B$38:$B$120,$E27,$L$38:$L$120,$E$16)</f>
        <v>0</v>
      </c>
      <c r="CC27" s="3">
        <f>SUMIFS(CC$38:CC$120,$B$38:$B$120,$E27,$L$38:$L$120,$E$16)</f>
        <v>0</v>
      </c>
      <c r="CD27" s="3">
        <f>SUMIFS(CD$38:CD$120,$B$38:$B$120,$E27,$L$38:$L$120,$E$16)</f>
        <v>0</v>
      </c>
      <c r="CE27" s="3">
        <f>SUMIFS(CE$38:CE$120,$B$38:$B$120,$E27,$L$38:$L$120,$E$16)</f>
        <v>0</v>
      </c>
      <c r="CF27" s="3">
        <f>SUMIFS(CF$38:CF$120,$B$38:$B$120,$E27,$L$38:$L$120,$E$16)</f>
        <v>0</v>
      </c>
      <c r="CG27" s="3">
        <f>SUMIFS(CG$38:CG$120,$B$38:$B$120,$E27,$L$38:$L$120,$E$16)</f>
        <v>0</v>
      </c>
      <c r="CH27" s="3">
        <f>SUMIFS(CH$38:CH$120,$B$38:$B$120,$E27,$L$38:$L$120,$E$16)</f>
        <v>0</v>
      </c>
      <c r="CI27" s="3">
        <f>SUMIFS(CI$38:CI$120,$B$38:$B$120,$E27,$L$38:$L$120,$E$16)</f>
        <v>0</v>
      </c>
      <c r="CJ27" s="3">
        <f>SUMIFS(CJ$38:CJ$120,$B$38:$B$120,$E27,$L$38:$L$120,$E$16)</f>
        <v>0</v>
      </c>
      <c r="CK27" s="3">
        <f>SUMIFS(CK$38:CK$120,$B$38:$B$120,$E27,$L$38:$L$120,$E$16)</f>
        <v>0</v>
      </c>
      <c r="CL27" s="3">
        <f>SUMIFS(CL$38:CL$120,$B$38:$B$120,$E27,$L$38:$L$120,$E$16)</f>
        <v>0</v>
      </c>
      <c r="CM27" s="3">
        <f>SUMIFS(CM$38:CM$120,$B$38:$B$120,$E27,$L$38:$L$120,$E$16)</f>
        <v>0</v>
      </c>
      <c r="CN27" s="3">
        <f>SUMIFS(CN$38:CN$120,$B$38:$B$120,$E27,$L$38:$L$120,$E$16)</f>
        <v>0</v>
      </c>
      <c r="CO27" s="3">
        <f>SUMIFS(CO$38:CO$120,$B$38:$B$120,$E27,$L$38:$L$120,$E$16)</f>
        <v>0</v>
      </c>
      <c r="CP27" s="3">
        <f>SUMIFS(CP$38:CP$120,$B$38:$B$120,$E27,$L$38:$L$120,$E$16)</f>
        <v>0</v>
      </c>
      <c r="CQ27" s="3">
        <f>SUMIFS(CQ$38:CQ$120,$B$38:$B$120,$E27,$L$38:$L$120,$E$16)</f>
        <v>0</v>
      </c>
      <c r="CR27" s="3">
        <f>SUMIFS(CR$38:CR$120,$B$38:$B$120,$E27,$L$38:$L$120,$E$16)</f>
        <v>0</v>
      </c>
      <c r="CS27" s="3">
        <f>SUMIFS(CS$38:CS$120,$B$38:$B$120,$E27,$L$38:$L$120,$E$16)</f>
        <v>0</v>
      </c>
      <c r="CT27" s="3">
        <f>SUMIFS(CT$38:CT$120,$B$38:$B$120,$E27,$L$38:$L$120,$E$16)</f>
        <v>0</v>
      </c>
      <c r="CU27" s="3">
        <f>SUMIFS(CU$38:CU$120,$B$38:$B$120,$E27,$L$38:$L$120,$E$16)</f>
        <v>0</v>
      </c>
      <c r="CV27" s="3">
        <f>SUMIFS(CV$38:CV$120,$B$38:$B$120,$E27,$L$38:$L$120,$E$16)</f>
        <v>0</v>
      </c>
      <c r="CW27" s="3">
        <f>SUMIFS(CW$38:CW$120,$B$38:$B$120,$E27,$L$38:$L$120,$E$16)</f>
        <v>0</v>
      </c>
      <c r="CX27" s="3">
        <f>SUMIFS(CX$38:CX$120,$B$38:$B$120,$E27,$L$38:$L$120,$E$16)</f>
        <v>0</v>
      </c>
      <c r="CY27" s="3">
        <f>SUMIFS(CY$38:CY$120,$B$38:$B$120,$E27,$L$38:$L$120,$E$16)</f>
        <v>0</v>
      </c>
      <c r="CZ27" s="3">
        <f>SUMIFS(CZ$38:CZ$120,$B$38:$B$120,$E27,$L$38:$L$120,$E$16)</f>
        <v>0</v>
      </c>
      <c r="DA27" s="3">
        <f>SUMIFS(DA$38:DA$120,$B$38:$B$120,$E27,$L$38:$L$120,$E$16)</f>
        <v>0</v>
      </c>
      <c r="DB27" s="3">
        <f>SUMIFS(DB$38:DB$120,$B$38:$B$120,$E27,$L$38:$L$120,$E$16)</f>
        <v>0</v>
      </c>
    </row>
    <row r="28" spans="1:106">
      <c r="R28" s="4">
        <f>SUM(R17:R27)</f>
        <v>122</v>
      </c>
      <c r="S28" s="4">
        <f t="shared" ref="S28:CG28" si="2">SUM(S17:S27)</f>
        <v>119</v>
      </c>
      <c r="T28" s="4">
        <f t="shared" si="2"/>
        <v>241</v>
      </c>
      <c r="U28" s="4">
        <f t="shared" si="2"/>
        <v>105</v>
      </c>
      <c r="V28" s="4">
        <f t="shared" si="2"/>
        <v>99</v>
      </c>
      <c r="W28" s="4">
        <f t="shared" si="2"/>
        <v>111</v>
      </c>
      <c r="X28" s="4">
        <f t="shared" si="2"/>
        <v>111</v>
      </c>
      <c r="Y28" s="4">
        <f t="shared" si="2"/>
        <v>118</v>
      </c>
      <c r="Z28" s="4">
        <f t="shared" si="2"/>
        <v>103</v>
      </c>
      <c r="AA28" s="4">
        <f t="shared" si="2"/>
        <v>113</v>
      </c>
      <c r="AB28" s="4">
        <f t="shared" si="2"/>
        <v>106</v>
      </c>
      <c r="AC28" s="4">
        <f t="shared" si="2"/>
        <v>111</v>
      </c>
      <c r="AD28" s="4">
        <f t="shared" si="2"/>
        <v>103</v>
      </c>
      <c r="AE28" s="4">
        <f t="shared" si="2"/>
        <v>102</v>
      </c>
      <c r="AF28" s="4">
        <f t="shared" si="2"/>
        <v>85</v>
      </c>
      <c r="AG28" s="4">
        <f t="shared" si="2"/>
        <v>0</v>
      </c>
      <c r="AH28" s="4">
        <f t="shared" si="2"/>
        <v>0</v>
      </c>
      <c r="AI28" s="4"/>
      <c r="AJ28" s="4"/>
      <c r="AK28" s="4"/>
      <c r="AL28" s="4">
        <f t="shared" si="2"/>
        <v>660</v>
      </c>
      <c r="AM28" s="4">
        <f t="shared" si="2"/>
        <v>607</v>
      </c>
      <c r="AN28" s="4">
        <f t="shared" si="2"/>
        <v>1267</v>
      </c>
      <c r="AO28" s="4">
        <f t="shared" si="2"/>
        <v>782</v>
      </c>
      <c r="AP28" s="4">
        <f t="shared" si="2"/>
        <v>726</v>
      </c>
      <c r="AQ28" s="4">
        <f t="shared" si="2"/>
        <v>1508</v>
      </c>
      <c r="AR28" s="4">
        <f t="shared" si="2"/>
        <v>136</v>
      </c>
      <c r="AS28" s="4">
        <f t="shared" si="2"/>
        <v>123</v>
      </c>
      <c r="AT28" s="4">
        <f t="shared" si="2"/>
        <v>121</v>
      </c>
      <c r="AU28" s="4">
        <f t="shared" si="2"/>
        <v>110</v>
      </c>
      <c r="AV28" s="4">
        <f t="shared" si="2"/>
        <v>130</v>
      </c>
      <c r="AW28" s="4">
        <f t="shared" si="2"/>
        <v>131</v>
      </c>
      <c r="AX28" s="4">
        <f t="shared" si="2"/>
        <v>158</v>
      </c>
      <c r="AY28" s="4">
        <f t="shared" si="2"/>
        <v>123</v>
      </c>
      <c r="AZ28" s="4">
        <f t="shared" si="2"/>
        <v>0</v>
      </c>
      <c r="BA28" s="4">
        <f t="shared" si="2"/>
        <v>0</v>
      </c>
      <c r="BB28" s="4">
        <f t="shared" si="2"/>
        <v>545</v>
      </c>
      <c r="BC28" s="4">
        <f t="shared" si="2"/>
        <v>487</v>
      </c>
      <c r="BD28" s="4">
        <f t="shared" si="2"/>
        <v>1032</v>
      </c>
      <c r="BE28" s="4">
        <f t="shared" si="2"/>
        <v>60</v>
      </c>
      <c r="BF28" s="4">
        <f t="shared" si="2"/>
        <v>85</v>
      </c>
      <c r="BG28" s="4">
        <f t="shared" si="2"/>
        <v>123</v>
      </c>
      <c r="BH28" s="4">
        <f t="shared" si="2"/>
        <v>148</v>
      </c>
      <c r="BI28" s="4">
        <f t="shared" si="2"/>
        <v>35</v>
      </c>
      <c r="BJ28" s="4">
        <f t="shared" si="2"/>
        <v>74</v>
      </c>
      <c r="BK28" s="4">
        <f t="shared" si="2"/>
        <v>57</v>
      </c>
      <c r="BL28" s="4">
        <f t="shared" si="2"/>
        <v>47</v>
      </c>
      <c r="BM28" s="4">
        <f t="shared" si="2"/>
        <v>0</v>
      </c>
      <c r="BN28" s="4">
        <f t="shared" si="2"/>
        <v>0</v>
      </c>
      <c r="BO28" s="4">
        <f t="shared" si="2"/>
        <v>275</v>
      </c>
      <c r="BP28" s="4">
        <f t="shared" si="2"/>
        <v>354</v>
      </c>
      <c r="BQ28" s="4">
        <f t="shared" si="2"/>
        <v>629</v>
      </c>
      <c r="BR28" s="4">
        <f t="shared" si="2"/>
        <v>166</v>
      </c>
      <c r="BS28" s="4">
        <f t="shared" si="2"/>
        <v>73</v>
      </c>
      <c r="BT28" s="4">
        <f t="shared" si="2"/>
        <v>0</v>
      </c>
      <c r="BU28" s="4">
        <f t="shared" si="2"/>
        <v>0</v>
      </c>
      <c r="BV28" s="4">
        <f t="shared" si="2"/>
        <v>0</v>
      </c>
      <c r="BW28" s="4">
        <f t="shared" si="2"/>
        <v>0</v>
      </c>
      <c r="BX28" s="4">
        <f t="shared" si="2"/>
        <v>441</v>
      </c>
      <c r="BY28" s="4">
        <f t="shared" si="2"/>
        <v>427</v>
      </c>
      <c r="BZ28" s="4">
        <f t="shared" si="2"/>
        <v>868</v>
      </c>
      <c r="CA28" s="4">
        <f t="shared" si="2"/>
        <v>38</v>
      </c>
      <c r="CB28" s="4">
        <f t="shared" si="2"/>
        <v>44</v>
      </c>
      <c r="CC28" s="4">
        <f t="shared" si="2"/>
        <v>99</v>
      </c>
      <c r="CD28" s="4">
        <f t="shared" si="2"/>
        <v>138</v>
      </c>
      <c r="CE28" s="4">
        <f t="shared" si="2"/>
        <v>39</v>
      </c>
      <c r="CF28" s="4">
        <f t="shared" si="2"/>
        <v>59</v>
      </c>
      <c r="CG28" s="4">
        <f t="shared" si="2"/>
        <v>68</v>
      </c>
      <c r="CH28" s="4">
        <f t="shared" ref="CH28:DB28" si="3">SUM(CH17:CH27)</f>
        <v>64</v>
      </c>
      <c r="CI28" s="4">
        <f t="shared" si="3"/>
        <v>0</v>
      </c>
      <c r="CJ28" s="4">
        <f t="shared" si="3"/>
        <v>0</v>
      </c>
      <c r="CK28" s="4">
        <f t="shared" si="3"/>
        <v>244</v>
      </c>
      <c r="CL28" s="4">
        <f t="shared" si="3"/>
        <v>305</v>
      </c>
      <c r="CM28" s="4">
        <f t="shared" si="3"/>
        <v>549</v>
      </c>
      <c r="CN28" s="4">
        <f t="shared" si="3"/>
        <v>117</v>
      </c>
      <c r="CO28" s="4">
        <f t="shared" si="3"/>
        <v>81</v>
      </c>
      <c r="CP28" s="4">
        <f t="shared" si="3"/>
        <v>0</v>
      </c>
      <c r="CQ28" s="4">
        <f t="shared" si="3"/>
        <v>0</v>
      </c>
      <c r="CR28" s="4">
        <f t="shared" si="3"/>
        <v>0</v>
      </c>
      <c r="CS28" s="4">
        <f t="shared" si="3"/>
        <v>0</v>
      </c>
      <c r="CT28" s="4">
        <f t="shared" si="3"/>
        <v>361</v>
      </c>
      <c r="CU28" s="4">
        <f t="shared" si="3"/>
        <v>386</v>
      </c>
      <c r="CV28" s="4">
        <f t="shared" si="3"/>
        <v>747</v>
      </c>
      <c r="CW28" s="4">
        <f t="shared" si="3"/>
        <v>802</v>
      </c>
      <c r="CX28" s="4">
        <f t="shared" si="3"/>
        <v>813</v>
      </c>
      <c r="CY28" s="4">
        <f t="shared" si="3"/>
        <v>1615</v>
      </c>
      <c r="CZ28" s="4">
        <f t="shared" si="3"/>
        <v>2129</v>
      </c>
      <c r="DA28" s="4">
        <f t="shared" si="3"/>
        <v>2026</v>
      </c>
      <c r="DB28" s="4">
        <f t="shared" si="3"/>
        <v>4155</v>
      </c>
    </row>
    <row r="30" spans="1:106">
      <c r="A30" s="5" t="s">
        <v>13</v>
      </c>
      <c r="R30" s="3">
        <f>R14+R28</f>
        <v>1881</v>
      </c>
      <c r="S30" s="3">
        <f t="shared" ref="S30:CG30" si="4">S14+S28</f>
        <v>1642</v>
      </c>
      <c r="T30" s="3">
        <f t="shared" si="4"/>
        <v>3523</v>
      </c>
      <c r="U30" s="3">
        <f t="shared" si="4"/>
        <v>1890</v>
      </c>
      <c r="V30" s="3">
        <f t="shared" si="4"/>
        <v>1692</v>
      </c>
      <c r="W30" s="3">
        <f t="shared" si="4"/>
        <v>1899</v>
      </c>
      <c r="X30" s="3">
        <f t="shared" si="4"/>
        <v>1689</v>
      </c>
      <c r="Y30" s="3">
        <f t="shared" si="4"/>
        <v>1832</v>
      </c>
      <c r="Z30" s="3">
        <f t="shared" si="4"/>
        <v>1692</v>
      </c>
      <c r="AA30" s="3">
        <f t="shared" si="4"/>
        <v>2015</v>
      </c>
      <c r="AB30" s="3">
        <f t="shared" si="4"/>
        <v>1833</v>
      </c>
      <c r="AC30" s="3">
        <f t="shared" si="4"/>
        <v>1894</v>
      </c>
      <c r="AD30" s="3">
        <f t="shared" si="4"/>
        <v>1714</v>
      </c>
      <c r="AE30" s="3">
        <f t="shared" si="4"/>
        <v>1522</v>
      </c>
      <c r="AF30" s="3">
        <f t="shared" si="4"/>
        <v>1387</v>
      </c>
      <c r="AG30" s="3">
        <f t="shared" si="4"/>
        <v>48</v>
      </c>
      <c r="AH30" s="3">
        <f t="shared" si="4"/>
        <v>41</v>
      </c>
      <c r="AI30" s="3"/>
      <c r="AJ30" s="3"/>
      <c r="AK30" s="3"/>
      <c r="AL30" s="3">
        <f t="shared" si="4"/>
        <v>11100</v>
      </c>
      <c r="AM30" s="3">
        <f t="shared" si="4"/>
        <v>10048</v>
      </c>
      <c r="AN30" s="3">
        <f t="shared" si="4"/>
        <v>21148</v>
      </c>
      <c r="AO30" s="3">
        <f t="shared" si="4"/>
        <v>12981</v>
      </c>
      <c r="AP30" s="3">
        <f t="shared" si="4"/>
        <v>11690</v>
      </c>
      <c r="AQ30" s="3">
        <f t="shared" si="4"/>
        <v>24671</v>
      </c>
      <c r="AR30" s="3">
        <f t="shared" si="4"/>
        <v>1717</v>
      </c>
      <c r="AS30" s="3">
        <f t="shared" si="4"/>
        <v>1570</v>
      </c>
      <c r="AT30" s="3">
        <f t="shared" si="4"/>
        <v>1622</v>
      </c>
      <c r="AU30" s="3">
        <f t="shared" si="4"/>
        <v>1733</v>
      </c>
      <c r="AV30" s="3">
        <f t="shared" si="4"/>
        <v>1703</v>
      </c>
      <c r="AW30" s="3">
        <f t="shared" si="4"/>
        <v>1730</v>
      </c>
      <c r="AX30" s="3">
        <f t="shared" si="4"/>
        <v>1727</v>
      </c>
      <c r="AY30" s="3">
        <f t="shared" si="4"/>
        <v>1750</v>
      </c>
      <c r="AZ30" s="3">
        <f t="shared" si="4"/>
        <v>0</v>
      </c>
      <c r="BA30" s="3">
        <f t="shared" si="4"/>
        <v>0</v>
      </c>
      <c r="BB30" s="3">
        <f t="shared" si="4"/>
        <v>6769</v>
      </c>
      <c r="BC30" s="3">
        <f t="shared" si="4"/>
        <v>6783</v>
      </c>
      <c r="BD30" s="3">
        <f t="shared" si="4"/>
        <v>13552</v>
      </c>
      <c r="BE30" s="3">
        <f t="shared" si="4"/>
        <v>94</v>
      </c>
      <c r="BF30" s="3">
        <f t="shared" si="4"/>
        <v>167</v>
      </c>
      <c r="BG30" s="3">
        <f t="shared" si="4"/>
        <v>258</v>
      </c>
      <c r="BH30" s="3">
        <f t="shared" si="4"/>
        <v>342</v>
      </c>
      <c r="BI30" s="3">
        <f t="shared" si="4"/>
        <v>86</v>
      </c>
      <c r="BJ30" s="3">
        <f t="shared" si="4"/>
        <v>181</v>
      </c>
      <c r="BK30" s="3">
        <f t="shared" si="4"/>
        <v>569</v>
      </c>
      <c r="BL30" s="3">
        <f t="shared" si="4"/>
        <v>675</v>
      </c>
      <c r="BM30" s="3">
        <f t="shared" si="4"/>
        <v>0</v>
      </c>
      <c r="BN30" s="3">
        <f t="shared" si="4"/>
        <v>0</v>
      </c>
      <c r="BO30" s="3">
        <f t="shared" si="4"/>
        <v>1007</v>
      </c>
      <c r="BP30" s="3">
        <f t="shared" si="4"/>
        <v>1365</v>
      </c>
      <c r="BQ30" s="3">
        <f t="shared" si="4"/>
        <v>2372</v>
      </c>
      <c r="BR30" s="3">
        <f t="shared" si="4"/>
        <v>834</v>
      </c>
      <c r="BS30" s="3">
        <f t="shared" si="4"/>
        <v>680</v>
      </c>
      <c r="BT30" s="3">
        <f t="shared" si="4"/>
        <v>0</v>
      </c>
      <c r="BU30" s="3">
        <f t="shared" si="4"/>
        <v>0</v>
      </c>
      <c r="BV30" s="3">
        <f t="shared" si="4"/>
        <v>24</v>
      </c>
      <c r="BW30" s="3">
        <f t="shared" si="4"/>
        <v>16</v>
      </c>
      <c r="BX30" s="3">
        <f t="shared" si="4"/>
        <v>1865</v>
      </c>
      <c r="BY30" s="3">
        <f t="shared" si="4"/>
        <v>2061</v>
      </c>
      <c r="BZ30" s="3">
        <f t="shared" si="4"/>
        <v>3926</v>
      </c>
      <c r="CA30" s="3">
        <f t="shared" si="4"/>
        <v>69</v>
      </c>
      <c r="CB30" s="3">
        <f t="shared" si="4"/>
        <v>117</v>
      </c>
      <c r="CC30" s="3">
        <f t="shared" si="4"/>
        <v>192</v>
      </c>
      <c r="CD30" s="3">
        <f t="shared" si="4"/>
        <v>350</v>
      </c>
      <c r="CE30" s="3">
        <f t="shared" si="4"/>
        <v>72</v>
      </c>
      <c r="CF30" s="3">
        <f t="shared" si="4"/>
        <v>158</v>
      </c>
      <c r="CG30" s="3">
        <f t="shared" si="4"/>
        <v>383</v>
      </c>
      <c r="CH30" s="3">
        <f t="shared" ref="CH30:DB30" si="5">CH14+CH28</f>
        <v>501</v>
      </c>
      <c r="CI30" s="3">
        <f t="shared" si="5"/>
        <v>0</v>
      </c>
      <c r="CJ30" s="3">
        <f t="shared" si="5"/>
        <v>0</v>
      </c>
      <c r="CK30" s="3">
        <f t="shared" si="5"/>
        <v>716</v>
      </c>
      <c r="CL30" s="3">
        <f t="shared" si="5"/>
        <v>1126</v>
      </c>
      <c r="CM30" s="3">
        <f t="shared" si="5"/>
        <v>1842</v>
      </c>
      <c r="CN30" s="3">
        <f t="shared" si="5"/>
        <v>628</v>
      </c>
      <c r="CO30" s="3">
        <f t="shared" si="5"/>
        <v>467</v>
      </c>
      <c r="CP30" s="3">
        <f t="shared" si="5"/>
        <v>0</v>
      </c>
      <c r="CQ30" s="3">
        <f t="shared" si="5"/>
        <v>0</v>
      </c>
      <c r="CR30" s="3">
        <f t="shared" si="5"/>
        <v>21</v>
      </c>
      <c r="CS30" s="3">
        <f t="shared" si="5"/>
        <v>21</v>
      </c>
      <c r="CT30" s="3">
        <f t="shared" si="5"/>
        <v>1365</v>
      </c>
      <c r="CU30" s="3">
        <f t="shared" si="5"/>
        <v>1614</v>
      </c>
      <c r="CV30" s="3">
        <f t="shared" si="5"/>
        <v>2979</v>
      </c>
      <c r="CW30" s="3">
        <f t="shared" si="5"/>
        <v>3230</v>
      </c>
      <c r="CX30" s="3">
        <f t="shared" si="5"/>
        <v>3675</v>
      </c>
      <c r="CY30" s="3">
        <f t="shared" si="5"/>
        <v>6905</v>
      </c>
      <c r="CZ30" s="3">
        <f t="shared" si="5"/>
        <v>22980</v>
      </c>
      <c r="DA30" s="3">
        <f t="shared" si="5"/>
        <v>22148</v>
      </c>
      <c r="DB30" s="3">
        <f t="shared" si="5"/>
        <v>45128</v>
      </c>
    </row>
    <row r="31" spans="1:106">
      <c r="A31" s="5" t="s">
        <v>14</v>
      </c>
    </row>
    <row r="32" spans="1:106">
      <c r="A32" s="5" t="s">
        <v>15</v>
      </c>
      <c r="R32" s="6" t="str">
        <f>_xlfn.XLOOKUP(R33,[1]Data!$B$16:$B$54,[1]Data!$D$16:$D$54)</f>
        <v>ES_K</v>
      </c>
      <c r="S32" s="6" t="str">
        <f>_xlfn.XLOOKUP(S33,[1]Data!$B$16:$B$54,[1]Data!$D$16:$D$54)</f>
        <v>ES_K</v>
      </c>
      <c r="T32" s="6">
        <f>_xlfn.XLOOKUP(T33,[1]Data!$B$16:$B$54,[1]Data!$D$16:$D$54)</f>
        <v>0</v>
      </c>
      <c r="U32" s="6" t="str">
        <f>_xlfn.XLOOKUP(U33,[1]Data!$B$16:$B$54,[1]Data!$D$16:$D$54)</f>
        <v>ES_G1</v>
      </c>
      <c r="V32" s="6" t="str">
        <f>_xlfn.XLOOKUP(V33,[1]Data!$B$16:$B$54,[1]Data!$D$16:$D$54)</f>
        <v>ES_G1</v>
      </c>
      <c r="W32" s="6" t="str">
        <f>_xlfn.XLOOKUP(W33,[1]Data!$B$16:$B$54,[1]Data!$D$16:$D$54)</f>
        <v>ES_G2</v>
      </c>
      <c r="X32" s="6" t="str">
        <f>_xlfn.XLOOKUP(X33,[1]Data!$B$16:$B$54,[1]Data!$D$16:$D$54)</f>
        <v>ES_G2</v>
      </c>
      <c r="Y32" s="6" t="str">
        <f>_xlfn.XLOOKUP(Y33,[1]Data!$B$16:$B$54,[1]Data!$D$16:$D$54)</f>
        <v>ES_G3</v>
      </c>
      <c r="Z32" s="6" t="str">
        <f>_xlfn.XLOOKUP(Z33,[1]Data!$B$16:$B$54,[1]Data!$D$16:$D$54)</f>
        <v>ES_G3</v>
      </c>
      <c r="AA32" s="6" t="str">
        <f>_xlfn.XLOOKUP(AA33,[1]Data!$B$16:$B$54,[1]Data!$D$16:$D$54)</f>
        <v>ES_G4</v>
      </c>
      <c r="AB32" s="6" t="str">
        <f>_xlfn.XLOOKUP(AB33,[1]Data!$B$16:$B$54,[1]Data!$D$16:$D$54)</f>
        <v>ES_G4</v>
      </c>
      <c r="AC32" s="6" t="str">
        <f>_xlfn.XLOOKUP(AC33,[1]Data!$B$16:$B$54,[1]Data!$D$16:$D$54)</f>
        <v>ES_G5</v>
      </c>
      <c r="AD32" s="6" t="str">
        <f>_xlfn.XLOOKUP(AD33,[1]Data!$B$16:$B$54,[1]Data!$D$16:$D$54)</f>
        <v>ES_G5</v>
      </c>
      <c r="AE32" s="6" t="str">
        <f>_xlfn.XLOOKUP(AE33,[1]Data!$B$16:$B$54,[1]Data!$D$16:$D$54)</f>
        <v>ES_G6</v>
      </c>
      <c r="AF32" s="6" t="str">
        <f>_xlfn.XLOOKUP(AF33,[1]Data!$B$16:$B$54,[1]Data!$D$16:$D$54)</f>
        <v>ES_G6</v>
      </c>
      <c r="AG32" s="6" t="str">
        <f>_xlfn.XLOOKUP(AG33,[1]Data!$B$16:$B$54,[1]Data!$D$16:$D$54)</f>
        <v>ES_NG_ES</v>
      </c>
      <c r="AH32" s="6" t="str">
        <f>_xlfn.XLOOKUP(AH33,[1]Data!$B$16:$B$54,[1]Data!$D$16:$D$54)</f>
        <v>ES_NG_ES</v>
      </c>
      <c r="AI32" s="6"/>
      <c r="AJ32" s="6"/>
      <c r="AK32" s="6"/>
      <c r="AL32" s="6">
        <f>_xlfn.XLOOKUP(AL33,[1]Data!$B$16:$B$54,[1]Data!$D$16:$D$54)</f>
        <v>0</v>
      </c>
      <c r="AM32" s="6">
        <f>_xlfn.XLOOKUP(AM33,[1]Data!$B$16:$B$54,[1]Data!$D$16:$D$54)</f>
        <v>0</v>
      </c>
      <c r="AN32" s="6">
        <f>_xlfn.XLOOKUP(AN33,[1]Data!$B$16:$B$54,[1]Data!$D$16:$D$54)</f>
        <v>0</v>
      </c>
      <c r="AO32" s="6">
        <f>_xlfn.XLOOKUP(AO33,[1]Data!$B$16:$B$54,[1]Data!$D$16:$D$54)</f>
        <v>0</v>
      </c>
      <c r="AP32" s="6">
        <f>_xlfn.XLOOKUP(AP33,[1]Data!$B$16:$B$54,[1]Data!$D$16:$D$54)</f>
        <v>0</v>
      </c>
      <c r="AQ32" s="6">
        <f>_xlfn.XLOOKUP(AQ33,[1]Data!$B$16:$B$54,[1]Data!$D$16:$D$54)</f>
        <v>0</v>
      </c>
      <c r="AR32" s="6" t="str">
        <f>_xlfn.XLOOKUP(AR33,[1]Data!$B$16:$B$54,[1]Data!$D$16:$D$54)</f>
        <v>JHS_G7</v>
      </c>
      <c r="AS32" s="6" t="str">
        <f>_xlfn.XLOOKUP(AS33,[1]Data!$B$16:$B$54,[1]Data!$D$16:$D$54)</f>
        <v>JHS_G7</v>
      </c>
      <c r="AT32" s="6" t="str">
        <f>_xlfn.XLOOKUP(AT33,[1]Data!$B$16:$B$54,[1]Data!$D$16:$D$54)</f>
        <v>JHS_G8</v>
      </c>
      <c r="AU32" s="6" t="str">
        <f>_xlfn.XLOOKUP(AU33,[1]Data!$B$16:$B$54,[1]Data!$D$16:$D$54)</f>
        <v>JHS_G8</v>
      </c>
      <c r="AV32" s="6" t="str">
        <f>_xlfn.XLOOKUP(AV33,[1]Data!$B$16:$B$54,[1]Data!$D$16:$D$54)</f>
        <v>JHS_G9</v>
      </c>
      <c r="AW32" s="6" t="str">
        <f>_xlfn.XLOOKUP(AW33,[1]Data!$B$16:$B$54,[1]Data!$D$16:$D$54)</f>
        <v>JHS_G9</v>
      </c>
      <c r="AX32" s="6" t="str">
        <f>_xlfn.XLOOKUP(AX33,[1]Data!$B$16:$B$54,[1]Data!$D$16:$D$54)</f>
        <v>JHS_G10</v>
      </c>
      <c r="AY32" s="6" t="str">
        <f>_xlfn.XLOOKUP(AY33,[1]Data!$B$16:$B$54,[1]Data!$D$16:$D$54)</f>
        <v>JHS_G10</v>
      </c>
      <c r="AZ32" s="6" t="str">
        <f>_xlfn.XLOOKUP(AZ33,[1]Data!$B$16:$B$54,[1]Data!$D$16:$D$54)</f>
        <v>JHS_NG_JHS</v>
      </c>
      <c r="BA32" s="6" t="str">
        <f>_xlfn.XLOOKUP(BA33,[1]Data!$B$16:$B$54,[1]Data!$D$16:$D$54)</f>
        <v>JHS_NG_JHS</v>
      </c>
      <c r="BB32" s="6">
        <f>_xlfn.XLOOKUP(BB33,[1]Data!$B$16:$B$54,[1]Data!$D$16:$D$54)</f>
        <v>0</v>
      </c>
      <c r="BC32" s="6">
        <f>_xlfn.XLOOKUP(BC33,[1]Data!$B$16:$B$54,[1]Data!$D$16:$D$54)</f>
        <v>0</v>
      </c>
      <c r="BD32" s="6">
        <f>_xlfn.XLOOKUP(BD33,[1]Data!$B$16:$B$54,[1]Data!$D$16:$D$54)</f>
        <v>0</v>
      </c>
      <c r="BE32" s="6" t="str">
        <f>_xlfn.XLOOKUP(BE33,[1]Data!$B$16:$B$54,[1]Data!$D$16:$D$54)</f>
        <v>ABM_11</v>
      </c>
      <c r="BF32" s="6" t="str">
        <f>_xlfn.XLOOKUP(BF33,[1]Data!$B$16:$B$54,[1]Data!$D$16:$D$54)</f>
        <v>ABM_11</v>
      </c>
      <c r="BG32" s="6" t="str">
        <f>_xlfn.XLOOKUP(BG33,[1]Data!$B$16:$B$54,[1]Data!$D$16:$D$54)</f>
        <v>HUMSS_11</v>
      </c>
      <c r="BH32" s="6" t="str">
        <f>_xlfn.XLOOKUP(BH33,[1]Data!$B$16:$B$54,[1]Data!$D$16:$D$54)</f>
        <v>HUMSS_11</v>
      </c>
      <c r="BI32" s="6" t="str">
        <f>_xlfn.XLOOKUP(BI33,[1]Data!$B$16:$B$54,[1]Data!$D$16:$D$54)</f>
        <v>STEM_11</v>
      </c>
      <c r="BJ32" s="6" t="str">
        <f>_xlfn.XLOOKUP(BJ33,[1]Data!$B$16:$B$54,[1]Data!$D$16:$D$54)</f>
        <v>STEM_11</v>
      </c>
      <c r="BK32" s="6" t="str">
        <f>_xlfn.XLOOKUP(BK33,[1]Data!$B$16:$B$54,[1]Data!$D$16:$D$54)</f>
        <v>GAS_11</v>
      </c>
      <c r="BL32" s="6" t="str">
        <f>_xlfn.XLOOKUP(BL33,[1]Data!$B$16:$B$54,[1]Data!$D$16:$D$54)</f>
        <v>GAS_11</v>
      </c>
      <c r="BM32" s="6" t="str">
        <f>_xlfn.XLOOKUP(BM33,[1]Data!$B$16:$B$54,[1]Data!$D$16:$D$54)</f>
        <v>PBM_11</v>
      </c>
      <c r="BN32" s="6" t="str">
        <f>_xlfn.XLOOKUP(BN33,[1]Data!$B$16:$B$54,[1]Data!$D$16:$D$54)</f>
        <v>PBM_11</v>
      </c>
      <c r="BO32" s="6" t="str">
        <f>_xlfn.XLOOKUP(BO33,[1]Data!$B$16:$B$54,[1]Data!$D$16:$D$54)</f>
        <v>Track_11</v>
      </c>
      <c r="BP32" s="6" t="str">
        <f>_xlfn.XLOOKUP(BP33,[1]Data!$B$16:$B$54,[1]Data!$D$16:$D$54)</f>
        <v>Track_11</v>
      </c>
      <c r="BQ32" s="6" t="str">
        <f>_xlfn.XLOOKUP(BQ33,[1]Data!$B$16:$B$54,[1]Data!$D$16:$D$54)</f>
        <v>Track_11</v>
      </c>
      <c r="BR32" s="6" t="str">
        <f>_xlfn.XLOOKUP(BR33,[1]Data!$B$16:$B$54,[1]Data!$D$16:$D$54)</f>
        <v>TVL_11</v>
      </c>
      <c r="BS32" s="6" t="str">
        <f>_xlfn.XLOOKUP(BS33,[1]Data!$B$16:$B$54,[1]Data!$D$16:$D$54)</f>
        <v>TVL_11</v>
      </c>
      <c r="BT32" s="6" t="str">
        <f>_xlfn.XLOOKUP(BT33,[1]Data!$B$16:$B$54,[1]Data!$D$16:$D$54)</f>
        <v>SPORTs_11</v>
      </c>
      <c r="BU32" s="6" t="str">
        <f>_xlfn.XLOOKUP(BU33,[1]Data!$B$16:$B$54,[1]Data!$D$16:$D$54)</f>
        <v>SPORTs_11</v>
      </c>
      <c r="BV32" s="6" t="str">
        <f>_xlfn.XLOOKUP(BV33,[1]Data!$B$16:$B$54,[1]Data!$D$16:$D$54)</f>
        <v>DESIGN_11</v>
      </c>
      <c r="BW32" s="6" t="str">
        <f>_xlfn.XLOOKUP(BW33,[1]Data!$B$16:$B$54,[1]Data!$D$16:$D$54)</f>
        <v>DESIGN_11</v>
      </c>
      <c r="BX32" s="6" t="str">
        <f>_xlfn.XLOOKUP(BX33,[1]Data!$B$16:$B$54,[1]Data!$D$16:$D$54)</f>
        <v>Enrollment_11</v>
      </c>
      <c r="BY32" s="6" t="str">
        <f>_xlfn.XLOOKUP(BY33,[1]Data!$B$16:$B$54,[1]Data!$D$16:$D$54)</f>
        <v>Enrollment_11</v>
      </c>
      <c r="BZ32" s="6" t="str">
        <f>_xlfn.XLOOKUP(BZ33,[1]Data!$B$16:$B$54,[1]Data!$D$16:$D$54)</f>
        <v>Enrollment_11</v>
      </c>
      <c r="CA32" s="6" t="str">
        <f>_xlfn.XLOOKUP(CA33,[1]Data!$B$16:$B$54,[1]Data!$D$16:$D$54)</f>
        <v>ABM_12</v>
      </c>
      <c r="CB32" s="6" t="str">
        <f>_xlfn.XLOOKUP(CB33,[1]Data!$B$16:$B$54,[1]Data!$D$16:$D$54)</f>
        <v>ABM_12</v>
      </c>
      <c r="CC32" s="6" t="str">
        <f>_xlfn.XLOOKUP(CC33,[1]Data!$B$16:$B$54,[1]Data!$D$16:$D$54)</f>
        <v>HUMSS_12</v>
      </c>
      <c r="CD32" s="6" t="str">
        <f>_xlfn.XLOOKUP(CD33,[1]Data!$B$16:$B$54,[1]Data!$D$16:$D$54)</f>
        <v>HUMSS_12</v>
      </c>
      <c r="CE32" s="6" t="str">
        <f>_xlfn.XLOOKUP(CE33,[1]Data!$B$16:$B$54,[1]Data!$D$16:$D$54)</f>
        <v>STEM_12</v>
      </c>
      <c r="CF32" s="6" t="str">
        <f>_xlfn.XLOOKUP(CF33,[1]Data!$B$16:$B$54,[1]Data!$D$16:$D$54)</f>
        <v>STEM_12</v>
      </c>
      <c r="CG32" s="6" t="str">
        <f>_xlfn.XLOOKUP(CG33,[1]Data!$B$16:$B$54,[1]Data!$D$16:$D$54)</f>
        <v>GAS_12</v>
      </c>
      <c r="CH32" s="6" t="str">
        <f>_xlfn.XLOOKUP(CH33,[1]Data!$B$16:$B$54,[1]Data!$D$16:$D$54)</f>
        <v>GAS_12</v>
      </c>
      <c r="CI32" s="6" t="str">
        <f>_xlfn.XLOOKUP(CI33,[1]Data!$B$16:$B$54,[1]Data!$D$16:$D$54)</f>
        <v>PBM_12</v>
      </c>
      <c r="CJ32" s="6" t="str">
        <f>_xlfn.XLOOKUP(CJ33,[1]Data!$B$16:$B$54,[1]Data!$D$16:$D$54)</f>
        <v>PBM_12</v>
      </c>
      <c r="CK32" s="6" t="str">
        <f>_xlfn.XLOOKUP(CK33,[1]Data!$B$16:$B$54,[1]Data!$D$16:$D$54)</f>
        <v>Track_12</v>
      </c>
      <c r="CL32" s="6" t="str">
        <f>_xlfn.XLOOKUP(CL33,[1]Data!$B$16:$B$54,[1]Data!$D$16:$D$54)</f>
        <v>Track_12</v>
      </c>
      <c r="CM32" s="6" t="str">
        <f>_xlfn.XLOOKUP(CM33,[1]Data!$B$16:$B$54,[1]Data!$D$16:$D$54)</f>
        <v>Track_12</v>
      </c>
      <c r="CN32" s="6" t="str">
        <f>_xlfn.XLOOKUP(CN33,[1]Data!$B$16:$B$54,[1]Data!$D$16:$D$54)</f>
        <v>TVL_12</v>
      </c>
      <c r="CO32" s="6" t="str">
        <f>_xlfn.XLOOKUP(CO33,[1]Data!$B$16:$B$54,[1]Data!$D$16:$D$54)</f>
        <v>TVL_12</v>
      </c>
      <c r="CP32" s="6" t="str">
        <f>_xlfn.XLOOKUP(CP33,[1]Data!$B$16:$B$54,[1]Data!$D$16:$D$54)</f>
        <v>SPORTs_12</v>
      </c>
      <c r="CQ32" s="6" t="str">
        <f>_xlfn.XLOOKUP(CQ33,[1]Data!$B$16:$B$54,[1]Data!$D$16:$D$54)</f>
        <v>SPORTs_12</v>
      </c>
      <c r="CR32" s="6" t="str">
        <f>_xlfn.XLOOKUP(CR33,[1]Data!$B$16:$B$54,[1]Data!$D$16:$D$54)</f>
        <v>DESIGN_12</v>
      </c>
      <c r="CS32" s="6" t="str">
        <f>_xlfn.XLOOKUP(CS33,[1]Data!$B$16:$B$54,[1]Data!$D$16:$D$54)</f>
        <v>DESIGN_12</v>
      </c>
      <c r="CT32" s="6" t="str">
        <f>_xlfn.XLOOKUP(CT33,[1]Data!$B$16:$B$54,[1]Data!$D$16:$D$54)</f>
        <v>Enrollment_12</v>
      </c>
      <c r="CU32" s="6" t="str">
        <f>_xlfn.XLOOKUP(CU33,[1]Data!$B$16:$B$54,[1]Data!$D$16:$D$54)</f>
        <v>Enrollment_12</v>
      </c>
      <c r="CV32" s="6" t="str">
        <f>_xlfn.XLOOKUP(CV33,[1]Data!$B$16:$B$54,[1]Data!$D$16:$D$54)</f>
        <v>Enrollment_12</v>
      </c>
      <c r="CW32" s="6">
        <f>_xlfn.XLOOKUP(CW33,[1]Data!$B$16:$B$54,[1]Data!$D$16:$D$54)</f>
        <v>0</v>
      </c>
      <c r="CX32" s="6">
        <f>_xlfn.XLOOKUP(CX33,[1]Data!$B$16:$B$54,[1]Data!$D$16:$D$54)</f>
        <v>0</v>
      </c>
      <c r="CY32" s="6">
        <f>_xlfn.XLOOKUP(CY33,[1]Data!$B$16:$B$54,[1]Data!$D$16:$D$54)</f>
        <v>0</v>
      </c>
      <c r="CZ32" s="6">
        <f>_xlfn.XLOOKUP(CZ33,[1]Data!$B$16:$B$54,[1]Data!$D$16:$D$54)</f>
        <v>0</v>
      </c>
      <c r="DA32" s="6">
        <f>_xlfn.XLOOKUP(DA33,[1]Data!$B$16:$B$54,[1]Data!$D$16:$D$54)</f>
        <v>0</v>
      </c>
      <c r="DB32" s="6">
        <f>_xlfn.XLOOKUP(DB33,[1]Data!$B$16:$B$54,[1]Data!$D$16:$D$54)</f>
        <v>0</v>
      </c>
    </row>
    <row r="33" spans="1:106">
      <c r="R33" s="7" t="s">
        <v>16</v>
      </c>
      <c r="S33" s="8" t="s">
        <v>16</v>
      </c>
      <c r="T33" s="9" t="s">
        <v>17</v>
      </c>
      <c r="U33" s="10" t="s">
        <v>18</v>
      </c>
      <c r="V33" s="10" t="s">
        <v>18</v>
      </c>
      <c r="W33" s="10" t="s">
        <v>19</v>
      </c>
      <c r="X33" s="10" t="s">
        <v>19</v>
      </c>
      <c r="Y33" s="10" t="s">
        <v>20</v>
      </c>
      <c r="Z33" s="10" t="s">
        <v>20</v>
      </c>
      <c r="AA33" s="10" t="s">
        <v>21</v>
      </c>
      <c r="AB33" s="10" t="s">
        <v>21</v>
      </c>
      <c r="AC33" s="10" t="s">
        <v>22</v>
      </c>
      <c r="AD33" s="10" t="s">
        <v>22</v>
      </c>
      <c r="AE33" s="10" t="s">
        <v>23</v>
      </c>
      <c r="AF33" s="10" t="s">
        <v>23</v>
      </c>
      <c r="AG33" s="10" t="s">
        <v>24</v>
      </c>
      <c r="AH33" s="10" t="s">
        <v>24</v>
      </c>
      <c r="AI33" s="7"/>
      <c r="AJ33" s="7"/>
      <c r="AK33" s="7"/>
      <c r="AL33" s="7" t="s">
        <v>25</v>
      </c>
      <c r="AM33" s="8" t="s">
        <v>25</v>
      </c>
      <c r="AN33" s="9" t="s">
        <v>25</v>
      </c>
      <c r="AO33" s="7" t="s">
        <v>26</v>
      </c>
      <c r="AP33" s="8" t="s">
        <v>26</v>
      </c>
      <c r="AQ33" s="9" t="s">
        <v>26</v>
      </c>
      <c r="AR33" s="11" t="s">
        <v>27</v>
      </c>
      <c r="AS33" s="11" t="s">
        <v>27</v>
      </c>
      <c r="AT33" s="11" t="s">
        <v>28</v>
      </c>
      <c r="AU33" s="11" t="s">
        <v>28</v>
      </c>
      <c r="AV33" s="11" t="s">
        <v>29</v>
      </c>
      <c r="AW33" s="11" t="s">
        <v>29</v>
      </c>
      <c r="AX33" s="11" t="s">
        <v>30</v>
      </c>
      <c r="AY33" s="11" t="s">
        <v>30</v>
      </c>
      <c r="AZ33" s="11" t="s">
        <v>31</v>
      </c>
      <c r="BA33" s="11" t="s">
        <v>31</v>
      </c>
      <c r="BB33" s="12" t="s">
        <v>32</v>
      </c>
      <c r="BC33" s="13" t="s">
        <v>32</v>
      </c>
      <c r="BD33" s="14" t="s">
        <v>32</v>
      </c>
      <c r="BE33" s="15" t="s">
        <v>33</v>
      </c>
      <c r="BF33" s="15" t="s">
        <v>33</v>
      </c>
      <c r="BG33" s="15" t="s">
        <v>34</v>
      </c>
      <c r="BH33" s="15" t="s">
        <v>34</v>
      </c>
      <c r="BI33" s="15" t="s">
        <v>35</v>
      </c>
      <c r="BJ33" s="15" t="s">
        <v>35</v>
      </c>
      <c r="BK33" s="15" t="s">
        <v>36</v>
      </c>
      <c r="BL33" s="15" t="s">
        <v>36</v>
      </c>
      <c r="BM33" s="15" t="s">
        <v>37</v>
      </c>
      <c r="BN33" s="15" t="s">
        <v>37</v>
      </c>
      <c r="BO33" s="16" t="s">
        <v>38</v>
      </c>
      <c r="BP33" s="17" t="s">
        <v>38</v>
      </c>
      <c r="BQ33" s="18" t="s">
        <v>38</v>
      </c>
      <c r="BR33" s="15" t="s">
        <v>39</v>
      </c>
      <c r="BS33" s="15" t="s">
        <v>39</v>
      </c>
      <c r="BT33" s="15" t="s">
        <v>40</v>
      </c>
      <c r="BU33" s="15" t="s">
        <v>40</v>
      </c>
      <c r="BV33" s="15" t="s">
        <v>41</v>
      </c>
      <c r="BW33" s="15" t="s">
        <v>41</v>
      </c>
      <c r="BX33" s="16" t="s">
        <v>42</v>
      </c>
      <c r="BY33" s="17" t="s">
        <v>42</v>
      </c>
      <c r="BZ33" s="18" t="s">
        <v>42</v>
      </c>
      <c r="CA33" s="15" t="s">
        <v>43</v>
      </c>
      <c r="CB33" s="15" t="s">
        <v>43</v>
      </c>
      <c r="CC33" s="15" t="s">
        <v>44</v>
      </c>
      <c r="CD33" s="15" t="s">
        <v>44</v>
      </c>
      <c r="CE33" s="15" t="s">
        <v>45</v>
      </c>
      <c r="CF33" s="15" t="s">
        <v>45</v>
      </c>
      <c r="CG33" s="15" t="s">
        <v>46</v>
      </c>
      <c r="CH33" s="15" t="s">
        <v>46</v>
      </c>
      <c r="CI33" s="15" t="s">
        <v>47</v>
      </c>
      <c r="CJ33" s="15" t="s">
        <v>47</v>
      </c>
      <c r="CK33" s="16" t="s">
        <v>48</v>
      </c>
      <c r="CL33" s="17" t="s">
        <v>48</v>
      </c>
      <c r="CM33" s="18" t="s">
        <v>48</v>
      </c>
      <c r="CN33" s="15" t="s">
        <v>49</v>
      </c>
      <c r="CO33" s="15" t="s">
        <v>49</v>
      </c>
      <c r="CP33" s="15" t="s">
        <v>50</v>
      </c>
      <c r="CQ33" s="15" t="s">
        <v>50</v>
      </c>
      <c r="CR33" s="15" t="s">
        <v>51</v>
      </c>
      <c r="CS33" s="15" t="s">
        <v>51</v>
      </c>
      <c r="CT33" s="16" t="s">
        <v>52</v>
      </c>
      <c r="CU33" s="17" t="s">
        <v>52</v>
      </c>
      <c r="CV33" s="18" t="s">
        <v>52</v>
      </c>
      <c r="CW33" s="16" t="s">
        <v>53</v>
      </c>
      <c r="CX33" s="17" t="s">
        <v>53</v>
      </c>
      <c r="CY33" s="18" t="s">
        <v>53</v>
      </c>
      <c r="CZ33" s="16" t="s">
        <v>54</v>
      </c>
      <c r="DA33" s="17" t="s">
        <v>54</v>
      </c>
      <c r="DB33" s="18" t="s">
        <v>54</v>
      </c>
    </row>
    <row r="34" spans="1:106">
      <c r="A34" s="5"/>
      <c r="R34" s="4">
        <f>SUM(R38:R120)</f>
        <v>1881</v>
      </c>
      <c r="S34" s="4">
        <f>SUM(S38:S120)</f>
        <v>1642</v>
      </c>
      <c r="T34" s="4">
        <f>SUM(T38:T120)</f>
        <v>3523</v>
      </c>
      <c r="U34" s="4">
        <f>SUM(U38:U120)</f>
        <v>1890</v>
      </c>
      <c r="V34" s="4">
        <f>SUM(V38:V120)</f>
        <v>1692</v>
      </c>
      <c r="W34" s="4">
        <f>SUM(W38:W120)</f>
        <v>1899</v>
      </c>
      <c r="X34" s="4">
        <f>SUM(X38:X120)</f>
        <v>1689</v>
      </c>
      <c r="Y34" s="4">
        <f>SUM(Y38:Y120)</f>
        <v>1832</v>
      </c>
      <c r="Z34" s="4">
        <f>SUM(Z38:Z120)</f>
        <v>1692</v>
      </c>
      <c r="AA34" s="4">
        <f>SUM(AA38:AA120)</f>
        <v>2015</v>
      </c>
      <c r="AB34" s="4">
        <f>SUM(AB38:AB120)</f>
        <v>1833</v>
      </c>
      <c r="AC34" s="4">
        <f>SUM(AC38:AC120)</f>
        <v>1894</v>
      </c>
      <c r="AD34" s="4">
        <f>SUM(AD38:AD120)</f>
        <v>1714</v>
      </c>
      <c r="AE34" s="4">
        <f>SUM(AE38:AE120)</f>
        <v>1522</v>
      </c>
      <c r="AF34" s="4">
        <f>SUM(AF38:AF120)</f>
        <v>1387</v>
      </c>
      <c r="AG34" s="4">
        <f>SUM(AG38:AG120)</f>
        <v>48</v>
      </c>
      <c r="AH34" s="4">
        <f>SUM(AH38:AH120)</f>
        <v>41</v>
      </c>
      <c r="AI34" s="4"/>
      <c r="AJ34" s="4"/>
      <c r="AK34" s="4"/>
      <c r="AL34" s="4">
        <f>SUM(AL38:AL120)</f>
        <v>11100</v>
      </c>
      <c r="AM34" s="4">
        <f>SUM(AM38:AM120)</f>
        <v>10048</v>
      </c>
      <c r="AN34" s="4">
        <f>SUM(AN38:AN120)</f>
        <v>21148</v>
      </c>
      <c r="AO34" s="4">
        <f>SUM(AO38:AO120)</f>
        <v>12981</v>
      </c>
      <c r="AP34" s="4">
        <f>SUM(AP38:AP120)</f>
        <v>11690</v>
      </c>
      <c r="AQ34" s="4">
        <f>SUM(AQ38:AQ120)</f>
        <v>24671</v>
      </c>
      <c r="AR34" s="4">
        <f>SUM(AR38:AR120)</f>
        <v>1717</v>
      </c>
      <c r="AS34" s="4">
        <f>SUM(AS38:AS120)</f>
        <v>1570</v>
      </c>
      <c r="AT34" s="4">
        <f>SUM(AT38:AT120)</f>
        <v>1622</v>
      </c>
      <c r="AU34" s="4">
        <f>SUM(AU38:AU120)</f>
        <v>1733</v>
      </c>
      <c r="AV34" s="4">
        <f>SUM(AV38:AV120)</f>
        <v>1703</v>
      </c>
      <c r="AW34" s="4">
        <f>SUM(AW38:AW120)</f>
        <v>1730</v>
      </c>
      <c r="AX34" s="4">
        <f>SUM(AX38:AX120)</f>
        <v>1727</v>
      </c>
      <c r="AY34" s="4">
        <f>SUM(AY38:AY120)</f>
        <v>1750</v>
      </c>
      <c r="AZ34" s="4">
        <f>SUM(AZ38:AZ120)</f>
        <v>0</v>
      </c>
      <c r="BA34" s="4">
        <f>SUM(BA38:BA120)</f>
        <v>0</v>
      </c>
      <c r="BB34" s="4">
        <f>SUM(BB38:BB120)</f>
        <v>6769</v>
      </c>
      <c r="BC34" s="4">
        <f>SUM(BC38:BC120)</f>
        <v>6783</v>
      </c>
      <c r="BD34" s="4">
        <f>SUM(BD38:BD120)</f>
        <v>13552</v>
      </c>
      <c r="BE34" s="4">
        <f>SUM(BE38:BE120)</f>
        <v>94</v>
      </c>
      <c r="BF34" s="4">
        <f>SUM(BF38:BF120)</f>
        <v>167</v>
      </c>
      <c r="BG34" s="4">
        <f>SUM(BG38:BG120)</f>
        <v>258</v>
      </c>
      <c r="BH34" s="4">
        <f>SUM(BH38:BH120)</f>
        <v>342</v>
      </c>
      <c r="BI34" s="4">
        <f>SUM(BI38:BI120)</f>
        <v>86</v>
      </c>
      <c r="BJ34" s="4">
        <f>SUM(BJ38:BJ120)</f>
        <v>181</v>
      </c>
      <c r="BK34" s="4">
        <f>SUM(BK38:BK120)</f>
        <v>569</v>
      </c>
      <c r="BL34" s="4">
        <f>SUM(BL38:BL120)</f>
        <v>675</v>
      </c>
      <c r="BM34" s="4">
        <f>SUM(BM38:BM120)</f>
        <v>0</v>
      </c>
      <c r="BN34" s="4">
        <f>SUM(BN38:BN120)</f>
        <v>0</v>
      </c>
      <c r="BO34" s="4">
        <f>SUM(BO38:BO120)</f>
        <v>1007</v>
      </c>
      <c r="BP34" s="4">
        <f>SUM(BP38:BP120)</f>
        <v>1365</v>
      </c>
      <c r="BQ34" s="4">
        <f>SUM(BQ38:BQ120)</f>
        <v>2372</v>
      </c>
      <c r="BR34" s="4">
        <f>SUM(BR38:BR120)</f>
        <v>834</v>
      </c>
      <c r="BS34" s="4">
        <f>SUM(BS38:BS120)</f>
        <v>680</v>
      </c>
      <c r="BT34" s="4">
        <f>SUM(BT38:BT120)</f>
        <v>0</v>
      </c>
      <c r="BU34" s="4">
        <f>SUM(BU38:BU120)</f>
        <v>0</v>
      </c>
      <c r="BV34" s="4">
        <f>SUM(BV38:BV120)</f>
        <v>24</v>
      </c>
      <c r="BW34" s="4">
        <f>SUM(BW38:BW120)</f>
        <v>16</v>
      </c>
      <c r="BX34" s="4">
        <f>SUM(BX38:BX120)</f>
        <v>1865</v>
      </c>
      <c r="BY34" s="4">
        <f>SUM(BY38:BY120)</f>
        <v>2061</v>
      </c>
      <c r="BZ34" s="4">
        <f>SUM(BZ38:BZ120)</f>
        <v>3926</v>
      </c>
      <c r="CA34" s="4">
        <f>SUM(CA38:CA120)</f>
        <v>69</v>
      </c>
      <c r="CB34" s="4">
        <f>SUM(CB38:CB120)</f>
        <v>117</v>
      </c>
      <c r="CC34" s="4">
        <f>SUM(CC38:CC120)</f>
        <v>192</v>
      </c>
      <c r="CD34" s="4">
        <f>SUM(CD38:CD120)</f>
        <v>350</v>
      </c>
      <c r="CE34" s="4">
        <f>SUM(CE38:CE120)</f>
        <v>72</v>
      </c>
      <c r="CF34" s="4">
        <f>SUM(CF38:CF120)</f>
        <v>158</v>
      </c>
      <c r="CG34" s="4">
        <f>SUM(CG38:CG120)</f>
        <v>383</v>
      </c>
      <c r="CH34" s="4">
        <f>SUM(CH38:CH120)</f>
        <v>501</v>
      </c>
      <c r="CI34" s="4">
        <f>SUM(CI38:CI120)</f>
        <v>0</v>
      </c>
      <c r="CJ34" s="4">
        <f>SUM(CJ38:CJ120)</f>
        <v>0</v>
      </c>
      <c r="CK34" s="4">
        <f>SUM(CK38:CK120)</f>
        <v>716</v>
      </c>
      <c r="CL34" s="4">
        <f>SUM(CL38:CL120)</f>
        <v>1126</v>
      </c>
      <c r="CM34" s="4">
        <f>SUM(CM38:CM120)</f>
        <v>1842</v>
      </c>
      <c r="CN34" s="4">
        <f>SUM(CN38:CN120)</f>
        <v>628</v>
      </c>
      <c r="CO34" s="4">
        <f>SUM(CO38:CO120)</f>
        <v>467</v>
      </c>
      <c r="CP34" s="4">
        <f>SUM(CP38:CP120)</f>
        <v>0</v>
      </c>
      <c r="CQ34" s="4">
        <f>SUM(CQ38:CQ120)</f>
        <v>0</v>
      </c>
      <c r="CR34" s="4">
        <f>SUM(CR38:CR120)</f>
        <v>21</v>
      </c>
      <c r="CS34" s="4">
        <f>SUM(CS38:CS120)</f>
        <v>21</v>
      </c>
      <c r="CT34" s="4">
        <f>SUM(CT38:CT120)</f>
        <v>1365</v>
      </c>
      <c r="CU34" s="4">
        <f>SUM(CU38:CU120)</f>
        <v>1614</v>
      </c>
      <c r="CV34" s="4">
        <f>SUM(CV38:CV120)</f>
        <v>2979</v>
      </c>
      <c r="CW34" s="4">
        <f>SUM(CW38:CW120)</f>
        <v>3230</v>
      </c>
      <c r="CX34" s="4">
        <f>SUM(CX38:CX120)</f>
        <v>3675</v>
      </c>
      <c r="CY34" s="4">
        <f>SUM(CY38:CY120)</f>
        <v>6905</v>
      </c>
      <c r="CZ34" s="4">
        <f>SUM(CZ38:CZ120)</f>
        <v>22980</v>
      </c>
      <c r="DA34" s="4">
        <f>SUM(DA38:DA120)</f>
        <v>22148</v>
      </c>
      <c r="DB34" s="4">
        <f>SUM(DB38:DB120)</f>
        <v>45128</v>
      </c>
    </row>
    <row r="35" spans="1:106">
      <c r="R35" s="38" t="s">
        <v>16</v>
      </c>
      <c r="S35" s="39"/>
      <c r="T35" s="40"/>
      <c r="U35" s="37" t="s">
        <v>18</v>
      </c>
      <c r="V35" s="37"/>
      <c r="W35" s="37" t="s">
        <v>19</v>
      </c>
      <c r="X35" s="37"/>
      <c r="Y35" s="37" t="s">
        <v>20</v>
      </c>
      <c r="Z35" s="37"/>
      <c r="AA35" s="37" t="s">
        <v>21</v>
      </c>
      <c r="AB35" s="37"/>
      <c r="AC35" s="37" t="s">
        <v>22</v>
      </c>
      <c r="AD35" s="37"/>
      <c r="AE35" s="37" t="s">
        <v>23</v>
      </c>
      <c r="AF35" s="37"/>
      <c r="AG35" s="37" t="s">
        <v>24</v>
      </c>
      <c r="AH35" s="37"/>
      <c r="AI35" s="19"/>
      <c r="AJ35" s="19"/>
      <c r="AK35" s="19"/>
      <c r="AL35" s="38" t="s">
        <v>25</v>
      </c>
      <c r="AM35" s="39"/>
      <c r="AN35" s="40"/>
      <c r="AO35" s="38" t="s">
        <v>26</v>
      </c>
      <c r="AP35" s="39"/>
      <c r="AQ35" s="40"/>
      <c r="AR35" s="33" t="s">
        <v>27</v>
      </c>
      <c r="AS35" s="33"/>
      <c r="AT35" s="33" t="s">
        <v>28</v>
      </c>
      <c r="AU35" s="33"/>
      <c r="AV35" s="33" t="s">
        <v>29</v>
      </c>
      <c r="AW35" s="33"/>
      <c r="AX35" s="33" t="s">
        <v>30</v>
      </c>
      <c r="AY35" s="33"/>
      <c r="AZ35" s="33" t="s">
        <v>31</v>
      </c>
      <c r="BA35" s="33"/>
      <c r="BB35" s="34" t="s">
        <v>32</v>
      </c>
      <c r="BC35" s="35"/>
      <c r="BD35" s="36"/>
      <c r="BE35" s="32" t="s">
        <v>33</v>
      </c>
      <c r="BF35" s="32"/>
      <c r="BG35" s="32" t="s">
        <v>34</v>
      </c>
      <c r="BH35" s="32"/>
      <c r="BI35" s="32" t="s">
        <v>35</v>
      </c>
      <c r="BJ35" s="32"/>
      <c r="BK35" s="32" t="s">
        <v>36</v>
      </c>
      <c r="BL35" s="32"/>
      <c r="BM35" s="32" t="s">
        <v>37</v>
      </c>
      <c r="BN35" s="32"/>
      <c r="BO35" s="29" t="s">
        <v>38</v>
      </c>
      <c r="BP35" s="30"/>
      <c r="BQ35" s="31"/>
      <c r="BR35" s="32" t="s">
        <v>39</v>
      </c>
      <c r="BS35" s="32"/>
      <c r="BT35" s="32" t="s">
        <v>40</v>
      </c>
      <c r="BU35" s="32"/>
      <c r="BV35" s="32" t="s">
        <v>41</v>
      </c>
      <c r="BW35" s="32"/>
      <c r="BX35" s="29" t="s">
        <v>42</v>
      </c>
      <c r="BY35" s="30"/>
      <c r="BZ35" s="31"/>
      <c r="CA35" s="32" t="s">
        <v>43</v>
      </c>
      <c r="CB35" s="32"/>
      <c r="CC35" s="32" t="s">
        <v>44</v>
      </c>
      <c r="CD35" s="32"/>
      <c r="CE35" s="32" t="s">
        <v>45</v>
      </c>
      <c r="CF35" s="32"/>
      <c r="CG35" s="32" t="s">
        <v>46</v>
      </c>
      <c r="CH35" s="32"/>
      <c r="CI35" s="32" t="s">
        <v>47</v>
      </c>
      <c r="CJ35" s="32"/>
      <c r="CK35" s="29" t="s">
        <v>48</v>
      </c>
      <c r="CL35" s="30"/>
      <c r="CM35" s="31"/>
      <c r="CN35" s="32" t="s">
        <v>49</v>
      </c>
      <c r="CO35" s="32"/>
      <c r="CP35" s="32" t="s">
        <v>50</v>
      </c>
      <c r="CQ35" s="32"/>
      <c r="CR35" s="32" t="s">
        <v>51</v>
      </c>
      <c r="CS35" s="32"/>
      <c r="CT35" s="29" t="s">
        <v>52</v>
      </c>
      <c r="CU35" s="30"/>
      <c r="CV35" s="31"/>
      <c r="CW35" s="29" t="s">
        <v>53</v>
      </c>
      <c r="CX35" s="30"/>
      <c r="CY35" s="31"/>
      <c r="CZ35" s="29" t="s">
        <v>54</v>
      </c>
      <c r="DA35" s="30"/>
      <c r="DB35" s="31"/>
    </row>
    <row r="36" spans="1:106">
      <c r="Q36" s="20"/>
      <c r="R36" s="21" t="s">
        <v>55</v>
      </c>
      <c r="S36" s="21" t="s">
        <v>56</v>
      </c>
      <c r="T36" s="21" t="s">
        <v>57</v>
      </c>
      <c r="U36" s="21" t="s">
        <v>55</v>
      </c>
      <c r="V36" s="21" t="s">
        <v>56</v>
      </c>
      <c r="W36" s="21" t="s">
        <v>55</v>
      </c>
      <c r="X36" s="21" t="s">
        <v>56</v>
      </c>
      <c r="Y36" s="21" t="s">
        <v>55</v>
      </c>
      <c r="Z36" s="21" t="s">
        <v>56</v>
      </c>
      <c r="AA36" s="21" t="s">
        <v>55</v>
      </c>
      <c r="AB36" s="21" t="s">
        <v>56</v>
      </c>
      <c r="AC36" s="21" t="s">
        <v>55</v>
      </c>
      <c r="AD36" s="21" t="s">
        <v>56</v>
      </c>
      <c r="AE36" s="21" t="s">
        <v>55</v>
      </c>
      <c r="AF36" s="21" t="s">
        <v>56</v>
      </c>
      <c r="AG36" s="21" t="s">
        <v>55</v>
      </c>
      <c r="AH36" s="21" t="s">
        <v>56</v>
      </c>
      <c r="AI36" s="21"/>
      <c r="AJ36" s="21"/>
      <c r="AK36" s="21"/>
      <c r="AL36" s="21" t="s">
        <v>55</v>
      </c>
      <c r="AM36" s="21" t="s">
        <v>56</v>
      </c>
      <c r="AN36" s="21" t="s">
        <v>57</v>
      </c>
      <c r="AO36" s="21" t="s">
        <v>55</v>
      </c>
      <c r="AP36" s="21" t="s">
        <v>56</v>
      </c>
      <c r="AQ36" s="21" t="s">
        <v>57</v>
      </c>
      <c r="AR36" s="22" t="s">
        <v>55</v>
      </c>
      <c r="AS36" s="22" t="s">
        <v>56</v>
      </c>
      <c r="AT36" s="22" t="s">
        <v>55</v>
      </c>
      <c r="AU36" s="22" t="s">
        <v>56</v>
      </c>
      <c r="AV36" s="22" t="s">
        <v>55</v>
      </c>
      <c r="AW36" s="22" t="s">
        <v>56</v>
      </c>
      <c r="AX36" s="22" t="s">
        <v>55</v>
      </c>
      <c r="AY36" s="22" t="s">
        <v>56</v>
      </c>
      <c r="AZ36" s="22" t="s">
        <v>55</v>
      </c>
      <c r="BA36" s="22" t="s">
        <v>56</v>
      </c>
      <c r="BB36" s="22" t="s">
        <v>55</v>
      </c>
      <c r="BC36" s="22" t="s">
        <v>56</v>
      </c>
      <c r="BD36" s="22" t="s">
        <v>57</v>
      </c>
      <c r="BE36" s="23" t="s">
        <v>55</v>
      </c>
      <c r="BF36" s="23" t="s">
        <v>56</v>
      </c>
      <c r="BG36" s="23" t="s">
        <v>55</v>
      </c>
      <c r="BH36" s="23" t="s">
        <v>56</v>
      </c>
      <c r="BI36" s="23" t="s">
        <v>55</v>
      </c>
      <c r="BJ36" s="23" t="s">
        <v>56</v>
      </c>
      <c r="BK36" s="23" t="s">
        <v>55</v>
      </c>
      <c r="BL36" s="23" t="s">
        <v>56</v>
      </c>
      <c r="BM36" s="23" t="s">
        <v>55</v>
      </c>
      <c r="BN36" s="23" t="s">
        <v>56</v>
      </c>
      <c r="BO36" s="23" t="s">
        <v>55</v>
      </c>
      <c r="BP36" s="23" t="s">
        <v>56</v>
      </c>
      <c r="BQ36" s="23" t="s">
        <v>57</v>
      </c>
      <c r="BR36" s="23" t="s">
        <v>55</v>
      </c>
      <c r="BS36" s="23" t="s">
        <v>56</v>
      </c>
      <c r="BT36" s="23" t="s">
        <v>55</v>
      </c>
      <c r="BU36" s="23" t="s">
        <v>56</v>
      </c>
      <c r="BV36" s="23" t="s">
        <v>55</v>
      </c>
      <c r="BW36" s="23" t="s">
        <v>56</v>
      </c>
      <c r="BX36" s="23" t="s">
        <v>55</v>
      </c>
      <c r="BY36" s="23" t="s">
        <v>56</v>
      </c>
      <c r="BZ36" s="23" t="s">
        <v>57</v>
      </c>
      <c r="CA36" s="23" t="s">
        <v>55</v>
      </c>
      <c r="CB36" s="23" t="s">
        <v>56</v>
      </c>
      <c r="CC36" s="23" t="s">
        <v>55</v>
      </c>
      <c r="CD36" s="23" t="s">
        <v>56</v>
      </c>
      <c r="CE36" s="23" t="s">
        <v>55</v>
      </c>
      <c r="CF36" s="23" t="s">
        <v>56</v>
      </c>
      <c r="CG36" s="23" t="s">
        <v>55</v>
      </c>
      <c r="CH36" s="23" t="s">
        <v>56</v>
      </c>
      <c r="CI36" s="23" t="s">
        <v>55</v>
      </c>
      <c r="CJ36" s="23" t="s">
        <v>56</v>
      </c>
      <c r="CK36" s="23" t="s">
        <v>55</v>
      </c>
      <c r="CL36" s="23" t="s">
        <v>56</v>
      </c>
      <c r="CM36" s="23" t="s">
        <v>57</v>
      </c>
      <c r="CN36" s="23" t="s">
        <v>55</v>
      </c>
      <c r="CO36" s="23" t="s">
        <v>56</v>
      </c>
      <c r="CP36" s="23" t="s">
        <v>55</v>
      </c>
      <c r="CQ36" s="23" t="s">
        <v>56</v>
      </c>
      <c r="CR36" s="23" t="s">
        <v>55</v>
      </c>
      <c r="CS36" s="23" t="s">
        <v>56</v>
      </c>
      <c r="CT36" s="23" t="s">
        <v>55</v>
      </c>
      <c r="CU36" s="23" t="s">
        <v>56</v>
      </c>
      <c r="CV36" s="23" t="s">
        <v>57</v>
      </c>
      <c r="CW36" s="23" t="s">
        <v>55</v>
      </c>
      <c r="CX36" s="23" t="s">
        <v>56</v>
      </c>
      <c r="CY36" s="23" t="s">
        <v>57</v>
      </c>
      <c r="CZ36" s="23" t="s">
        <v>55</v>
      </c>
      <c r="DA36" s="23" t="s">
        <v>56</v>
      </c>
      <c r="DB36" s="23" t="s">
        <v>57</v>
      </c>
    </row>
    <row r="37" spans="1:106" s="1" customFormat="1" ht="60.75">
      <c r="A37" s="1" t="s">
        <v>58</v>
      </c>
      <c r="B37" s="1" t="s">
        <v>59</v>
      </c>
      <c r="C37" s="1" t="s">
        <v>60</v>
      </c>
      <c r="D37" s="1" t="s">
        <v>61</v>
      </c>
      <c r="E37" s="1" t="s">
        <v>62</v>
      </c>
      <c r="F37" s="1" t="s">
        <v>63</v>
      </c>
      <c r="G37" s="1" t="s">
        <v>64</v>
      </c>
      <c r="H37" s="1" t="s">
        <v>65</v>
      </c>
      <c r="I37" s="1" t="s">
        <v>66</v>
      </c>
      <c r="J37" s="1" t="s">
        <v>67</v>
      </c>
      <c r="K37" s="1" t="s">
        <v>68</v>
      </c>
      <c r="L37" s="1" t="s">
        <v>69</v>
      </c>
      <c r="M37" s="1" t="s">
        <v>70</v>
      </c>
      <c r="N37" s="1" t="s">
        <v>71</v>
      </c>
      <c r="O37" s="1" t="s">
        <v>72</v>
      </c>
      <c r="P37" s="1" t="s">
        <v>73</v>
      </c>
      <c r="Q37" s="1" t="s">
        <v>74</v>
      </c>
      <c r="R37" s="1" t="s">
        <v>75</v>
      </c>
      <c r="S37" s="1" t="s">
        <v>76</v>
      </c>
      <c r="T37" s="1" t="s">
        <v>77</v>
      </c>
      <c r="U37" s="1" t="s">
        <v>78</v>
      </c>
      <c r="V37" s="1" t="s">
        <v>79</v>
      </c>
      <c r="W37" s="1" t="s">
        <v>80</v>
      </c>
      <c r="X37" s="1" t="s">
        <v>81</v>
      </c>
      <c r="Y37" s="1" t="s">
        <v>82</v>
      </c>
      <c r="Z37" s="1" t="s">
        <v>83</v>
      </c>
      <c r="AA37" s="1" t="s">
        <v>84</v>
      </c>
      <c r="AB37" s="1" t="s">
        <v>85</v>
      </c>
      <c r="AC37" s="1" t="s">
        <v>86</v>
      </c>
      <c r="AD37" s="1" t="s">
        <v>87</v>
      </c>
      <c r="AE37" s="1" t="s">
        <v>88</v>
      </c>
      <c r="AF37" s="1" t="s">
        <v>89</v>
      </c>
      <c r="AG37" s="1" t="s">
        <v>90</v>
      </c>
      <c r="AH37" s="1" t="s">
        <v>91</v>
      </c>
      <c r="AL37" s="24" t="s">
        <v>55</v>
      </c>
      <c r="AM37" s="24" t="s">
        <v>56</v>
      </c>
      <c r="AN37" s="24" t="s">
        <v>57</v>
      </c>
      <c r="AO37" s="24" t="s">
        <v>55</v>
      </c>
      <c r="AP37" s="24" t="s">
        <v>56</v>
      </c>
      <c r="AQ37" s="24" t="s">
        <v>57</v>
      </c>
      <c r="AR37" s="1" t="s">
        <v>92</v>
      </c>
      <c r="AS37" s="1" t="s">
        <v>93</v>
      </c>
      <c r="AT37" s="1" t="s">
        <v>94</v>
      </c>
      <c r="AU37" s="1" t="s">
        <v>95</v>
      </c>
      <c r="AV37" s="1" t="s">
        <v>96</v>
      </c>
      <c r="AW37" s="1" t="s">
        <v>97</v>
      </c>
      <c r="AX37" s="1" t="s">
        <v>98</v>
      </c>
      <c r="AY37" s="1" t="s">
        <v>99</v>
      </c>
      <c r="AZ37" s="1" t="s">
        <v>100</v>
      </c>
      <c r="BA37" s="1" t="s">
        <v>101</v>
      </c>
      <c r="BB37" s="25" t="s">
        <v>55</v>
      </c>
      <c r="BC37" s="25" t="s">
        <v>56</v>
      </c>
      <c r="BD37" s="25" t="s">
        <v>57</v>
      </c>
      <c r="BE37" s="1" t="s">
        <v>102</v>
      </c>
      <c r="BF37" s="1" t="s">
        <v>103</v>
      </c>
      <c r="BG37" s="1" t="s">
        <v>104</v>
      </c>
      <c r="BH37" s="1" t="s">
        <v>105</v>
      </c>
      <c r="BI37" s="1" t="s">
        <v>106</v>
      </c>
      <c r="BJ37" s="1" t="s">
        <v>107</v>
      </c>
      <c r="BK37" s="1" t="s">
        <v>108</v>
      </c>
      <c r="BL37" s="1" t="s">
        <v>109</v>
      </c>
      <c r="BM37" s="1" t="s">
        <v>110</v>
      </c>
      <c r="BN37" s="1" t="s">
        <v>111</v>
      </c>
      <c r="BO37" s="26" t="s">
        <v>55</v>
      </c>
      <c r="BP37" s="26" t="s">
        <v>56</v>
      </c>
      <c r="BQ37" s="26" t="s">
        <v>57</v>
      </c>
      <c r="BR37" s="1" t="s">
        <v>112</v>
      </c>
      <c r="BS37" s="1" t="s">
        <v>113</v>
      </c>
      <c r="BT37" s="1" t="s">
        <v>114</v>
      </c>
      <c r="BU37" s="1" t="s">
        <v>115</v>
      </c>
      <c r="BV37" s="1" t="s">
        <v>116</v>
      </c>
      <c r="BW37" s="1" t="s">
        <v>117</v>
      </c>
      <c r="BX37" s="26" t="s">
        <v>55</v>
      </c>
      <c r="BY37" s="26" t="s">
        <v>56</v>
      </c>
      <c r="BZ37" s="26" t="s">
        <v>57</v>
      </c>
      <c r="CA37" s="1" t="s">
        <v>118</v>
      </c>
      <c r="CB37" s="1" t="s">
        <v>119</v>
      </c>
      <c r="CC37" s="1" t="s">
        <v>120</v>
      </c>
      <c r="CD37" s="1" t="s">
        <v>121</v>
      </c>
      <c r="CE37" s="1" t="s">
        <v>122</v>
      </c>
      <c r="CF37" s="1" t="s">
        <v>123</v>
      </c>
      <c r="CG37" s="1" t="s">
        <v>124</v>
      </c>
      <c r="CH37" s="1" t="s">
        <v>125</v>
      </c>
      <c r="CI37" s="1" t="s">
        <v>126</v>
      </c>
      <c r="CJ37" s="1" t="s">
        <v>127</v>
      </c>
      <c r="CK37" s="26" t="s">
        <v>55</v>
      </c>
      <c r="CL37" s="26" t="s">
        <v>56</v>
      </c>
      <c r="CM37" s="26" t="s">
        <v>57</v>
      </c>
      <c r="CN37" s="1" t="s">
        <v>128</v>
      </c>
      <c r="CO37" s="1" t="s">
        <v>129</v>
      </c>
      <c r="CP37" s="1" t="s">
        <v>130</v>
      </c>
      <c r="CQ37" s="1" t="s">
        <v>131</v>
      </c>
      <c r="CR37" s="1" t="s">
        <v>132</v>
      </c>
      <c r="CS37" s="1" t="s">
        <v>133</v>
      </c>
      <c r="CT37" s="26" t="s">
        <v>55</v>
      </c>
      <c r="CU37" s="26" t="s">
        <v>56</v>
      </c>
      <c r="CV37" s="26" t="s">
        <v>57</v>
      </c>
      <c r="CW37" s="26" t="s">
        <v>55</v>
      </c>
      <c r="CX37" s="26" t="s">
        <v>56</v>
      </c>
      <c r="CY37" s="26" t="s">
        <v>57</v>
      </c>
      <c r="CZ37" s="26" t="s">
        <v>55</v>
      </c>
      <c r="DA37" s="26" t="s">
        <v>56</v>
      </c>
      <c r="DB37" s="26" t="s">
        <v>57</v>
      </c>
    </row>
    <row r="38" spans="1:106">
      <c r="A38" t="s">
        <v>134</v>
      </c>
      <c r="B38" t="s">
        <v>9</v>
      </c>
      <c r="C38" t="s">
        <v>135</v>
      </c>
      <c r="D38">
        <v>129374</v>
      </c>
      <c r="E38" t="s">
        <v>136</v>
      </c>
      <c r="F38" t="s">
        <v>137</v>
      </c>
      <c r="H38" t="s">
        <v>138</v>
      </c>
      <c r="I38" t="s">
        <v>139</v>
      </c>
      <c r="J38" t="s">
        <v>140</v>
      </c>
      <c r="K38" t="s">
        <v>141</v>
      </c>
      <c r="L38" t="s">
        <v>0</v>
      </c>
      <c r="M38" t="s">
        <v>142</v>
      </c>
      <c r="N38" t="s">
        <v>143</v>
      </c>
      <c r="O38" t="s">
        <v>144</v>
      </c>
      <c r="P38" t="s">
        <v>145</v>
      </c>
      <c r="Q38" s="27" t="s">
        <v>146</v>
      </c>
      <c r="R38">
        <v>32</v>
      </c>
      <c r="S38">
        <v>21</v>
      </c>
      <c r="T38">
        <f>SUM(R38:S38)</f>
        <v>53</v>
      </c>
      <c r="U38">
        <v>38</v>
      </c>
      <c r="V38">
        <v>35</v>
      </c>
      <c r="W38">
        <v>32</v>
      </c>
      <c r="X38">
        <v>31</v>
      </c>
      <c r="Y38">
        <v>36</v>
      </c>
      <c r="Z38">
        <v>28</v>
      </c>
      <c r="AA38">
        <v>37</v>
      </c>
      <c r="AB38">
        <v>43</v>
      </c>
      <c r="AC38">
        <v>39</v>
      </c>
      <c r="AD38">
        <v>33</v>
      </c>
      <c r="AE38">
        <v>35</v>
      </c>
      <c r="AF38">
        <v>21</v>
      </c>
      <c r="AG38">
        <v>0</v>
      </c>
      <c r="AH38">
        <v>0</v>
      </c>
      <c r="AI38">
        <f>SUM(AA38:AF38)</f>
        <v>208</v>
      </c>
      <c r="AL38">
        <f>U38+W38+Y38+AA38+AC38+AE38+AG38</f>
        <v>217</v>
      </c>
      <c r="AM38">
        <f>V38+X38+Z38+AB38+AD38+AF38+AH38</f>
        <v>191</v>
      </c>
      <c r="AN38">
        <f>SUM(AL38:AM38)</f>
        <v>408</v>
      </c>
      <c r="AO38">
        <f>R38+AL38</f>
        <v>249</v>
      </c>
      <c r="AP38">
        <f>S38+AM38</f>
        <v>212</v>
      </c>
      <c r="AQ38">
        <f>T38+AN38</f>
        <v>461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f>AR38+AT38+AV38+AX38+AZ38</f>
        <v>0</v>
      </c>
      <c r="BC38">
        <f>AS38+AU38+AW38+AY38+BA38</f>
        <v>0</v>
      </c>
      <c r="BD38">
        <f>SUM(BB38:BC38)</f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f>BE38+BG38+BI38+BK38+BM38</f>
        <v>0</v>
      </c>
      <c r="BP38">
        <f>BF38+BH38+BJ38+BL38+BN38</f>
        <v>0</v>
      </c>
      <c r="BQ38">
        <f>SUM(BO38:BP38)</f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f>BO38+BR38+BT38+BV38</f>
        <v>0</v>
      </c>
      <c r="BY38">
        <f>BP38+BS38+BU38+BW38</f>
        <v>0</v>
      </c>
      <c r="BZ38">
        <f>SUM(BX38:BY38)</f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f>CA38+CC38+CE38+CG38+CI38</f>
        <v>0</v>
      </c>
      <c r="CL38">
        <f>CB38+CD38+CF38+CH38+CJ38</f>
        <v>0</v>
      </c>
      <c r="CM38">
        <f>SUM(CK38:CL38)</f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f>CK38+CN38+CP38+CR38</f>
        <v>0</v>
      </c>
      <c r="CU38">
        <f>CL38+CO38+CQ38+CS38</f>
        <v>0</v>
      </c>
      <c r="CV38">
        <f>SUM(CT38:CU38)</f>
        <v>0</v>
      </c>
      <c r="CW38">
        <f>BX38+CT38</f>
        <v>0</v>
      </c>
      <c r="CX38">
        <f>BY38+CU38</f>
        <v>0</v>
      </c>
      <c r="CY38">
        <f>BZ38+CV38</f>
        <v>0</v>
      </c>
      <c r="CZ38">
        <f>AO38+BB38+CW38</f>
        <v>249</v>
      </c>
      <c r="DA38">
        <f>AP38+BC38+CX38</f>
        <v>212</v>
      </c>
      <c r="DB38">
        <f>AQ38+BD38+CY38</f>
        <v>461</v>
      </c>
    </row>
    <row r="39" spans="1:106">
      <c r="A39" t="s">
        <v>134</v>
      </c>
      <c r="B39" t="s">
        <v>9</v>
      </c>
      <c r="C39" t="s">
        <v>135</v>
      </c>
      <c r="D39">
        <v>129375</v>
      </c>
      <c r="E39" t="s">
        <v>147</v>
      </c>
      <c r="F39" t="s">
        <v>148</v>
      </c>
      <c r="H39" t="s">
        <v>138</v>
      </c>
      <c r="I39" t="s">
        <v>139</v>
      </c>
      <c r="J39" t="s">
        <v>140</v>
      </c>
      <c r="K39" t="s">
        <v>141</v>
      </c>
      <c r="L39" t="s">
        <v>0</v>
      </c>
      <c r="M39" t="s">
        <v>142</v>
      </c>
      <c r="N39" t="s">
        <v>143</v>
      </c>
      <c r="O39" t="s">
        <v>144</v>
      </c>
      <c r="P39" t="s">
        <v>145</v>
      </c>
      <c r="Q39" s="27" t="s">
        <v>146</v>
      </c>
      <c r="R39">
        <v>12</v>
      </c>
      <c r="S39">
        <v>17</v>
      </c>
      <c r="T39">
        <f>SUM(R39:S39)</f>
        <v>29</v>
      </c>
      <c r="U39">
        <v>12</v>
      </c>
      <c r="V39">
        <v>16</v>
      </c>
      <c r="W39">
        <v>14</v>
      </c>
      <c r="X39">
        <v>15</v>
      </c>
      <c r="Y39">
        <v>14</v>
      </c>
      <c r="Z39">
        <v>14</v>
      </c>
      <c r="AA39">
        <v>11</v>
      </c>
      <c r="AB39">
        <v>20</v>
      </c>
      <c r="AC39">
        <v>10</v>
      </c>
      <c r="AD39">
        <v>13</v>
      </c>
      <c r="AE39">
        <v>14</v>
      </c>
      <c r="AF39">
        <v>10</v>
      </c>
      <c r="AG39">
        <v>0</v>
      </c>
      <c r="AH39">
        <v>0</v>
      </c>
      <c r="AI39">
        <f t="shared" ref="AI39:AI52" si="6">SUM(AA39:AF39)</f>
        <v>78</v>
      </c>
      <c r="AL39">
        <f>U39+W39+Y39+AA39+AC39+AE39+AG39</f>
        <v>75</v>
      </c>
      <c r="AM39">
        <f>V39+X39+Z39+AB39+AD39+AF39+AH39</f>
        <v>88</v>
      </c>
      <c r="AN39">
        <f>SUM(AL39:AM39)</f>
        <v>163</v>
      </c>
      <c r="AO39">
        <f>R39+AL39</f>
        <v>87</v>
      </c>
      <c r="AP39">
        <f>S39+AM39</f>
        <v>105</v>
      </c>
      <c r="AQ39">
        <f>T39+AN39</f>
        <v>192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f>AR39+AT39+AV39+AX39+AZ39</f>
        <v>0</v>
      </c>
      <c r="BC39">
        <f>AS39+AU39+AW39+AY39+BA39</f>
        <v>0</v>
      </c>
      <c r="BD39">
        <f>SUM(BB39:BC39)</f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f>BE39+BG39+BI39+BK39+BM39</f>
        <v>0</v>
      </c>
      <c r="BP39">
        <f>BF39+BH39+BJ39+BL39+BN39</f>
        <v>0</v>
      </c>
      <c r="BQ39">
        <f>SUM(BO39:BP39)</f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f>BO39+BR39+BT39+BV39</f>
        <v>0</v>
      </c>
      <c r="BY39">
        <f>BP39+BS39+BU39+BW39</f>
        <v>0</v>
      </c>
      <c r="BZ39">
        <f>SUM(BX39:BY39)</f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f>CA39+CC39+CE39+CG39+CI39</f>
        <v>0</v>
      </c>
      <c r="CL39">
        <f>CB39+CD39+CF39+CH39+CJ39</f>
        <v>0</v>
      </c>
      <c r="CM39">
        <f>SUM(CK39:CL39)</f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f>CK39+CN39+CP39+CR39</f>
        <v>0</v>
      </c>
      <c r="CU39">
        <f>CL39+CO39+CQ39+CS39</f>
        <v>0</v>
      </c>
      <c r="CV39">
        <f>SUM(CT39:CU39)</f>
        <v>0</v>
      </c>
      <c r="CW39">
        <f>BX39+CT39</f>
        <v>0</v>
      </c>
      <c r="CX39">
        <f>BY39+CU39</f>
        <v>0</v>
      </c>
      <c r="CY39">
        <f>BZ39+CV39</f>
        <v>0</v>
      </c>
      <c r="CZ39">
        <f>AO39+BB39+CW39</f>
        <v>87</v>
      </c>
      <c r="DA39">
        <f>AP39+BC39+CX39</f>
        <v>105</v>
      </c>
      <c r="DB39">
        <f>AQ39+BD39+CY39</f>
        <v>192</v>
      </c>
    </row>
    <row r="40" spans="1:106">
      <c r="A40" t="s">
        <v>134</v>
      </c>
      <c r="B40" t="s">
        <v>9</v>
      </c>
      <c r="C40" t="s">
        <v>135</v>
      </c>
      <c r="D40">
        <v>129376</v>
      </c>
      <c r="E40" t="s">
        <v>149</v>
      </c>
      <c r="F40" t="s">
        <v>150</v>
      </c>
      <c r="H40" t="s">
        <v>138</v>
      </c>
      <c r="I40" t="s">
        <v>139</v>
      </c>
      <c r="J40" t="s">
        <v>140</v>
      </c>
      <c r="K40" t="s">
        <v>151</v>
      </c>
      <c r="L40" t="s">
        <v>0</v>
      </c>
      <c r="M40" t="s">
        <v>142</v>
      </c>
      <c r="N40" t="s">
        <v>143</v>
      </c>
      <c r="O40" t="s">
        <v>144</v>
      </c>
      <c r="P40" t="s">
        <v>145</v>
      </c>
      <c r="Q40" s="27" t="s">
        <v>146</v>
      </c>
      <c r="R40">
        <v>24</v>
      </c>
      <c r="S40">
        <v>17</v>
      </c>
      <c r="T40">
        <f>SUM(R40:S40)</f>
        <v>41</v>
      </c>
      <c r="U40">
        <v>33</v>
      </c>
      <c r="V40">
        <v>21</v>
      </c>
      <c r="W40">
        <v>24</v>
      </c>
      <c r="X40">
        <v>21</v>
      </c>
      <c r="Y40">
        <v>23</v>
      </c>
      <c r="Z40">
        <v>13</v>
      </c>
      <c r="AA40">
        <v>37</v>
      </c>
      <c r="AB40">
        <v>16</v>
      </c>
      <c r="AC40">
        <v>19</v>
      </c>
      <c r="AD40">
        <v>22</v>
      </c>
      <c r="AE40">
        <v>20</v>
      </c>
      <c r="AF40">
        <v>14</v>
      </c>
      <c r="AG40">
        <v>0</v>
      </c>
      <c r="AH40">
        <v>0</v>
      </c>
      <c r="AI40">
        <f t="shared" si="6"/>
        <v>128</v>
      </c>
      <c r="AL40">
        <f>U40+W40+Y40+AA40+AC40+AE40+AG40</f>
        <v>156</v>
      </c>
      <c r="AM40">
        <f>V40+X40+Z40+AB40+AD40+AF40+AH40</f>
        <v>107</v>
      </c>
      <c r="AN40">
        <f>SUM(AL40:AM40)</f>
        <v>263</v>
      </c>
      <c r="AO40">
        <f>R40+AL40</f>
        <v>180</v>
      </c>
      <c r="AP40">
        <f>S40+AM40</f>
        <v>124</v>
      </c>
      <c r="AQ40">
        <f>T40+AN40</f>
        <v>304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f>AR40+AT40+AV40+AX40+AZ40</f>
        <v>0</v>
      </c>
      <c r="BC40">
        <f>AS40+AU40+AW40+AY40+BA40</f>
        <v>0</v>
      </c>
      <c r="BD40">
        <f>SUM(BB40:BC40)</f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f>BE40+BG40+BI40+BK40+BM40</f>
        <v>0</v>
      </c>
      <c r="BP40">
        <f>BF40+BH40+BJ40+BL40+BN40</f>
        <v>0</v>
      </c>
      <c r="BQ40">
        <f>SUM(BO40:BP40)</f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f>BO40+BR40+BT40+BV40</f>
        <v>0</v>
      </c>
      <c r="BY40">
        <f>BP40+BS40+BU40+BW40</f>
        <v>0</v>
      </c>
      <c r="BZ40">
        <f>SUM(BX40:BY40)</f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f>CA40+CC40+CE40+CG40+CI40</f>
        <v>0</v>
      </c>
      <c r="CL40">
        <f>CB40+CD40+CF40+CH40+CJ40</f>
        <v>0</v>
      </c>
      <c r="CM40">
        <f>SUM(CK40:CL40)</f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f>CK40+CN40+CP40+CR40</f>
        <v>0</v>
      </c>
      <c r="CU40">
        <f>CL40+CO40+CQ40+CS40</f>
        <v>0</v>
      </c>
      <c r="CV40">
        <f>SUM(CT40:CU40)</f>
        <v>0</v>
      </c>
      <c r="CW40">
        <f>BX40+CT40</f>
        <v>0</v>
      </c>
      <c r="CX40">
        <f>BY40+CU40</f>
        <v>0</v>
      </c>
      <c r="CY40">
        <f>BZ40+CV40</f>
        <v>0</v>
      </c>
      <c r="CZ40">
        <f>AO40+BB40+CW40</f>
        <v>180</v>
      </c>
      <c r="DA40">
        <f>AP40+BC40+CX40</f>
        <v>124</v>
      </c>
      <c r="DB40">
        <f>AQ40+BD40+CY40</f>
        <v>304</v>
      </c>
    </row>
    <row r="41" spans="1:106">
      <c r="A41" t="s">
        <v>134</v>
      </c>
      <c r="B41" t="s">
        <v>9</v>
      </c>
      <c r="C41" t="s">
        <v>135</v>
      </c>
      <c r="D41">
        <v>129377</v>
      </c>
      <c r="E41" t="s">
        <v>152</v>
      </c>
      <c r="F41" t="s">
        <v>153</v>
      </c>
      <c r="H41" t="s">
        <v>138</v>
      </c>
      <c r="I41" t="s">
        <v>139</v>
      </c>
      <c r="J41" t="s">
        <v>140</v>
      </c>
      <c r="K41" t="s">
        <v>154</v>
      </c>
      <c r="L41" t="s">
        <v>0</v>
      </c>
      <c r="M41" t="s">
        <v>142</v>
      </c>
      <c r="N41" t="s">
        <v>143</v>
      </c>
      <c r="O41" t="s">
        <v>144</v>
      </c>
      <c r="P41" t="s">
        <v>145</v>
      </c>
      <c r="Q41" s="27" t="s">
        <v>146</v>
      </c>
      <c r="R41">
        <v>19</v>
      </c>
      <c r="S41">
        <v>23</v>
      </c>
      <c r="T41">
        <f>SUM(R41:S41)</f>
        <v>42</v>
      </c>
      <c r="U41">
        <v>17</v>
      </c>
      <c r="V41">
        <v>18</v>
      </c>
      <c r="W41">
        <v>22</v>
      </c>
      <c r="X41">
        <v>29</v>
      </c>
      <c r="Y41">
        <v>26</v>
      </c>
      <c r="Z41">
        <v>23</v>
      </c>
      <c r="AA41">
        <v>22</v>
      </c>
      <c r="AB41">
        <v>23</v>
      </c>
      <c r="AC41">
        <v>20</v>
      </c>
      <c r="AD41">
        <v>31</v>
      </c>
      <c r="AE41">
        <v>24</v>
      </c>
      <c r="AF41">
        <v>24</v>
      </c>
      <c r="AG41">
        <v>0</v>
      </c>
      <c r="AH41">
        <v>0</v>
      </c>
      <c r="AI41">
        <f t="shared" si="6"/>
        <v>144</v>
      </c>
      <c r="AL41">
        <f>U41+W41+Y41+AA41+AC41+AE41+AG41</f>
        <v>131</v>
      </c>
      <c r="AM41">
        <f>V41+X41+Z41+AB41+AD41+AF41+AH41</f>
        <v>148</v>
      </c>
      <c r="AN41">
        <f>SUM(AL41:AM41)</f>
        <v>279</v>
      </c>
      <c r="AO41">
        <f>R41+AL41</f>
        <v>150</v>
      </c>
      <c r="AP41">
        <f>S41+AM41</f>
        <v>171</v>
      </c>
      <c r="AQ41">
        <f>T41+AN41</f>
        <v>321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f>AR41+AT41+AV41+AX41+AZ41</f>
        <v>0</v>
      </c>
      <c r="BC41">
        <f>AS41+AU41+AW41+AY41+BA41</f>
        <v>0</v>
      </c>
      <c r="BD41">
        <f>SUM(BB41:BC41)</f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f>BE41+BG41+BI41+BK41+BM41</f>
        <v>0</v>
      </c>
      <c r="BP41">
        <f>BF41+BH41+BJ41+BL41+BN41</f>
        <v>0</v>
      </c>
      <c r="BQ41">
        <f>SUM(BO41:BP41)</f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f>BO41+BR41+BT41+BV41</f>
        <v>0</v>
      </c>
      <c r="BY41">
        <f>BP41+BS41+BU41+BW41</f>
        <v>0</v>
      </c>
      <c r="BZ41">
        <f>SUM(BX41:BY41)</f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f>CA41+CC41+CE41+CG41+CI41</f>
        <v>0</v>
      </c>
      <c r="CL41">
        <f>CB41+CD41+CF41+CH41+CJ41</f>
        <v>0</v>
      </c>
      <c r="CM41">
        <f>SUM(CK41:CL41)</f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f>CK41+CN41+CP41+CR41</f>
        <v>0</v>
      </c>
      <c r="CU41">
        <f>CL41+CO41+CQ41+CS41</f>
        <v>0</v>
      </c>
      <c r="CV41">
        <f>SUM(CT41:CU41)</f>
        <v>0</v>
      </c>
      <c r="CW41">
        <f>BX41+CT41</f>
        <v>0</v>
      </c>
      <c r="CX41">
        <f>BY41+CU41</f>
        <v>0</v>
      </c>
      <c r="CY41">
        <f>BZ41+CV41</f>
        <v>0</v>
      </c>
      <c r="CZ41">
        <f>AO41+BB41+CW41</f>
        <v>150</v>
      </c>
      <c r="DA41">
        <f>AP41+BC41+CX41</f>
        <v>171</v>
      </c>
      <c r="DB41">
        <f>AQ41+BD41+CY41</f>
        <v>321</v>
      </c>
    </row>
    <row r="42" spans="1:106">
      <c r="A42" t="s">
        <v>134</v>
      </c>
      <c r="B42" t="s">
        <v>9</v>
      </c>
      <c r="C42" t="s">
        <v>135</v>
      </c>
      <c r="D42">
        <v>129380</v>
      </c>
      <c r="E42" t="s">
        <v>155</v>
      </c>
      <c r="F42" t="s">
        <v>156</v>
      </c>
      <c r="H42" t="s">
        <v>138</v>
      </c>
      <c r="I42" t="s">
        <v>139</v>
      </c>
      <c r="J42" t="s">
        <v>140</v>
      </c>
      <c r="K42" t="s">
        <v>151</v>
      </c>
      <c r="L42" t="s">
        <v>0</v>
      </c>
      <c r="M42" t="s">
        <v>142</v>
      </c>
      <c r="N42" t="s">
        <v>143</v>
      </c>
      <c r="O42" t="s">
        <v>144</v>
      </c>
      <c r="P42" t="s">
        <v>145</v>
      </c>
      <c r="Q42" s="27" t="s">
        <v>146</v>
      </c>
      <c r="R42">
        <v>104</v>
      </c>
      <c r="S42">
        <v>65</v>
      </c>
      <c r="T42">
        <f>SUM(R42:S42)</f>
        <v>169</v>
      </c>
      <c r="U42">
        <v>78</v>
      </c>
      <c r="V42">
        <v>78</v>
      </c>
      <c r="W42">
        <v>84</v>
      </c>
      <c r="X42">
        <v>74</v>
      </c>
      <c r="Y42">
        <v>101</v>
      </c>
      <c r="Z42">
        <v>78</v>
      </c>
      <c r="AA42">
        <v>92</v>
      </c>
      <c r="AB42">
        <v>94</v>
      </c>
      <c r="AC42">
        <v>99</v>
      </c>
      <c r="AD42">
        <v>97</v>
      </c>
      <c r="AE42">
        <v>79</v>
      </c>
      <c r="AF42">
        <v>65</v>
      </c>
      <c r="AG42">
        <v>0</v>
      </c>
      <c r="AH42">
        <v>0</v>
      </c>
      <c r="AI42">
        <f t="shared" si="6"/>
        <v>526</v>
      </c>
      <c r="AL42">
        <f>U42+W42+Y42+AA42+AC42+AE42+AG42</f>
        <v>533</v>
      </c>
      <c r="AM42">
        <f>V42+X42+Z42+AB42+AD42+AF42+AH42</f>
        <v>486</v>
      </c>
      <c r="AN42">
        <f>SUM(AL42:AM42)</f>
        <v>1019</v>
      </c>
      <c r="AO42">
        <f>R42+AL42</f>
        <v>637</v>
      </c>
      <c r="AP42">
        <f>S42+AM42</f>
        <v>551</v>
      </c>
      <c r="AQ42">
        <f>T42+AN42</f>
        <v>1188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f>AR42+AT42+AV42+AX42+AZ42</f>
        <v>0</v>
      </c>
      <c r="BC42">
        <f>AS42+AU42+AW42+AY42+BA42</f>
        <v>0</v>
      </c>
      <c r="BD42">
        <f>SUM(BB42:BC42)</f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f>BE42+BG42+BI42+BK42+BM42</f>
        <v>0</v>
      </c>
      <c r="BP42">
        <f>BF42+BH42+BJ42+BL42+BN42</f>
        <v>0</v>
      </c>
      <c r="BQ42">
        <f>SUM(BO42:BP42)</f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f>BO42+BR42+BT42+BV42</f>
        <v>0</v>
      </c>
      <c r="BY42">
        <f>BP42+BS42+BU42+BW42</f>
        <v>0</v>
      </c>
      <c r="BZ42">
        <f>SUM(BX42:BY42)</f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f>CA42+CC42+CE42+CG42+CI42</f>
        <v>0</v>
      </c>
      <c r="CL42">
        <f>CB42+CD42+CF42+CH42+CJ42</f>
        <v>0</v>
      </c>
      <c r="CM42">
        <f>SUM(CK42:CL42)</f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f>CK42+CN42+CP42+CR42</f>
        <v>0</v>
      </c>
      <c r="CU42">
        <f>CL42+CO42+CQ42+CS42</f>
        <v>0</v>
      </c>
      <c r="CV42">
        <f>SUM(CT42:CU42)</f>
        <v>0</v>
      </c>
      <c r="CW42">
        <f>BX42+CT42</f>
        <v>0</v>
      </c>
      <c r="CX42">
        <f>BY42+CU42</f>
        <v>0</v>
      </c>
      <c r="CY42">
        <f>BZ42+CV42</f>
        <v>0</v>
      </c>
      <c r="CZ42">
        <f>AO42+BB42+CW42</f>
        <v>637</v>
      </c>
      <c r="DA42">
        <f>AP42+BC42+CX42</f>
        <v>551</v>
      </c>
      <c r="DB42">
        <f>AQ42+BD42+CY42</f>
        <v>1188</v>
      </c>
    </row>
    <row r="43" spans="1:106">
      <c r="A43" t="s">
        <v>134</v>
      </c>
      <c r="B43" t="s">
        <v>9</v>
      </c>
      <c r="C43" t="s">
        <v>135</v>
      </c>
      <c r="D43">
        <v>129381</v>
      </c>
      <c r="E43" t="s">
        <v>157</v>
      </c>
      <c r="F43" t="s">
        <v>158</v>
      </c>
      <c r="H43" t="s">
        <v>138</v>
      </c>
      <c r="I43" t="s">
        <v>139</v>
      </c>
      <c r="J43" t="s">
        <v>140</v>
      </c>
      <c r="K43" t="s">
        <v>151</v>
      </c>
      <c r="L43" t="s">
        <v>0</v>
      </c>
      <c r="M43" t="s">
        <v>142</v>
      </c>
      <c r="N43" t="s">
        <v>143</v>
      </c>
      <c r="O43" t="s">
        <v>144</v>
      </c>
      <c r="P43" t="s">
        <v>145</v>
      </c>
      <c r="Q43" s="27" t="s">
        <v>146</v>
      </c>
      <c r="R43">
        <v>108</v>
      </c>
      <c r="S43">
        <v>88</v>
      </c>
      <c r="T43">
        <f>SUM(R43:S43)</f>
        <v>196</v>
      </c>
      <c r="U43">
        <v>94</v>
      </c>
      <c r="V43">
        <v>85</v>
      </c>
      <c r="W43">
        <v>77</v>
      </c>
      <c r="X43">
        <v>69</v>
      </c>
      <c r="Y43">
        <v>90</v>
      </c>
      <c r="Z43">
        <v>79</v>
      </c>
      <c r="AA43">
        <v>87</v>
      </c>
      <c r="AB43">
        <v>102</v>
      </c>
      <c r="AC43">
        <v>99</v>
      </c>
      <c r="AD43">
        <v>89</v>
      </c>
      <c r="AE43">
        <v>74</v>
      </c>
      <c r="AF43">
        <v>75</v>
      </c>
      <c r="AG43">
        <v>0</v>
      </c>
      <c r="AH43">
        <v>0</v>
      </c>
      <c r="AI43">
        <f t="shared" si="6"/>
        <v>526</v>
      </c>
      <c r="AL43">
        <f>U43+W43+Y43+AA43+AC43+AE43+AG43</f>
        <v>521</v>
      </c>
      <c r="AM43">
        <f>V43+X43+Z43+AB43+AD43+AF43+AH43</f>
        <v>499</v>
      </c>
      <c r="AN43">
        <f>SUM(AL43:AM43)</f>
        <v>1020</v>
      </c>
      <c r="AO43">
        <f>R43+AL43</f>
        <v>629</v>
      </c>
      <c r="AP43">
        <f>S43+AM43</f>
        <v>587</v>
      </c>
      <c r="AQ43">
        <f>T43+AN43</f>
        <v>1216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f>AR43+AT43+AV43+AX43+AZ43</f>
        <v>0</v>
      </c>
      <c r="BC43">
        <f>AS43+AU43+AW43+AY43+BA43</f>
        <v>0</v>
      </c>
      <c r="BD43">
        <f>SUM(BB43:BC43)</f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f>BE43+BG43+BI43+BK43+BM43</f>
        <v>0</v>
      </c>
      <c r="BP43">
        <f>BF43+BH43+BJ43+BL43+BN43</f>
        <v>0</v>
      </c>
      <c r="BQ43">
        <f>SUM(BO43:BP43)</f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f>BO43+BR43+BT43+BV43</f>
        <v>0</v>
      </c>
      <c r="BY43">
        <f>BP43+BS43+BU43+BW43</f>
        <v>0</v>
      </c>
      <c r="BZ43">
        <f>SUM(BX43:BY43)</f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f>CA43+CC43+CE43+CG43+CI43</f>
        <v>0</v>
      </c>
      <c r="CL43">
        <f>CB43+CD43+CF43+CH43+CJ43</f>
        <v>0</v>
      </c>
      <c r="CM43">
        <f>SUM(CK43:CL43)</f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f>CK43+CN43+CP43+CR43</f>
        <v>0</v>
      </c>
      <c r="CU43">
        <f>CL43+CO43+CQ43+CS43</f>
        <v>0</v>
      </c>
      <c r="CV43">
        <f>SUM(CT43:CU43)</f>
        <v>0</v>
      </c>
      <c r="CW43">
        <f>BX43+CT43</f>
        <v>0</v>
      </c>
      <c r="CX43">
        <f>BY43+CU43</f>
        <v>0</v>
      </c>
      <c r="CY43">
        <f>BZ43+CV43</f>
        <v>0</v>
      </c>
      <c r="CZ43">
        <f>AO43+BB43+CW43</f>
        <v>629</v>
      </c>
      <c r="DA43">
        <f>AP43+BC43+CX43</f>
        <v>587</v>
      </c>
      <c r="DB43">
        <f>AQ43+BD43+CY43</f>
        <v>1216</v>
      </c>
    </row>
    <row r="44" spans="1:106">
      <c r="A44" t="s">
        <v>134</v>
      </c>
      <c r="B44" t="s">
        <v>9</v>
      </c>
      <c r="C44" t="s">
        <v>135</v>
      </c>
      <c r="D44">
        <v>129382</v>
      </c>
      <c r="E44" t="s">
        <v>159</v>
      </c>
      <c r="F44" t="s">
        <v>160</v>
      </c>
      <c r="H44" t="s">
        <v>138</v>
      </c>
      <c r="I44" t="s">
        <v>139</v>
      </c>
      <c r="J44" t="s">
        <v>140</v>
      </c>
      <c r="K44" t="s">
        <v>151</v>
      </c>
      <c r="L44" t="s">
        <v>0</v>
      </c>
      <c r="M44" t="s">
        <v>142</v>
      </c>
      <c r="N44" t="s">
        <v>143</v>
      </c>
      <c r="O44" t="s">
        <v>144</v>
      </c>
      <c r="P44" t="s">
        <v>145</v>
      </c>
      <c r="Q44" s="27" t="s">
        <v>146</v>
      </c>
      <c r="R44">
        <v>145</v>
      </c>
      <c r="S44">
        <v>117</v>
      </c>
      <c r="T44">
        <f>SUM(R44:S44)</f>
        <v>262</v>
      </c>
      <c r="U44">
        <v>150</v>
      </c>
      <c r="V44">
        <v>144</v>
      </c>
      <c r="W44">
        <v>160</v>
      </c>
      <c r="X44">
        <v>135</v>
      </c>
      <c r="Y44">
        <v>152</v>
      </c>
      <c r="Z44">
        <v>146</v>
      </c>
      <c r="AA44">
        <v>161</v>
      </c>
      <c r="AB44">
        <v>155</v>
      </c>
      <c r="AC44">
        <v>147</v>
      </c>
      <c r="AD44">
        <v>123</v>
      </c>
      <c r="AE44">
        <v>121</v>
      </c>
      <c r="AF44">
        <v>128</v>
      </c>
      <c r="AG44">
        <v>0</v>
      </c>
      <c r="AH44">
        <v>0</v>
      </c>
      <c r="AI44">
        <f t="shared" si="6"/>
        <v>835</v>
      </c>
      <c r="AL44">
        <f>U44+W44+Y44+AA44+AC44+AE44+AG44</f>
        <v>891</v>
      </c>
      <c r="AM44">
        <f>V44+X44+Z44+AB44+AD44+AF44+AH44</f>
        <v>831</v>
      </c>
      <c r="AN44">
        <f>SUM(AL44:AM44)</f>
        <v>1722</v>
      </c>
      <c r="AO44">
        <f>R44+AL44</f>
        <v>1036</v>
      </c>
      <c r="AP44">
        <f>S44+AM44</f>
        <v>948</v>
      </c>
      <c r="AQ44">
        <f>T44+AN44</f>
        <v>1984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f>AR44+AT44+AV44+AX44+AZ44</f>
        <v>0</v>
      </c>
      <c r="BC44">
        <f>AS44+AU44+AW44+AY44+BA44</f>
        <v>0</v>
      </c>
      <c r="BD44">
        <f>SUM(BB44:BC44)</f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f>BE44+BG44+BI44+BK44+BM44</f>
        <v>0</v>
      </c>
      <c r="BP44">
        <f>BF44+BH44+BJ44+BL44+BN44</f>
        <v>0</v>
      </c>
      <c r="BQ44">
        <f>SUM(BO44:BP44)</f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f>BO44+BR44+BT44+BV44</f>
        <v>0</v>
      </c>
      <c r="BY44">
        <f>BP44+BS44+BU44+BW44</f>
        <v>0</v>
      </c>
      <c r="BZ44">
        <f>SUM(BX44:BY44)</f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f>CA44+CC44+CE44+CG44+CI44</f>
        <v>0</v>
      </c>
      <c r="CL44">
        <f>CB44+CD44+CF44+CH44+CJ44</f>
        <v>0</v>
      </c>
      <c r="CM44">
        <f>SUM(CK44:CL44)</f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f>CK44+CN44+CP44+CR44</f>
        <v>0</v>
      </c>
      <c r="CU44">
        <f>CL44+CO44+CQ44+CS44</f>
        <v>0</v>
      </c>
      <c r="CV44">
        <f>SUM(CT44:CU44)</f>
        <v>0</v>
      </c>
      <c r="CW44">
        <f>BX44+CT44</f>
        <v>0</v>
      </c>
      <c r="CX44">
        <f>BY44+CU44</f>
        <v>0</v>
      </c>
      <c r="CY44">
        <f>BZ44+CV44</f>
        <v>0</v>
      </c>
      <c r="CZ44">
        <f>AO44+BB44+CW44</f>
        <v>1036</v>
      </c>
      <c r="DA44">
        <f>AP44+BC44+CX44</f>
        <v>948</v>
      </c>
      <c r="DB44">
        <f>AQ44+BD44+CY44</f>
        <v>1984</v>
      </c>
    </row>
    <row r="45" spans="1:106">
      <c r="A45" t="s">
        <v>134</v>
      </c>
      <c r="B45" t="s">
        <v>9</v>
      </c>
      <c r="C45" t="s">
        <v>135</v>
      </c>
      <c r="D45">
        <v>129383</v>
      </c>
      <c r="E45" t="s">
        <v>161</v>
      </c>
      <c r="F45" t="s">
        <v>162</v>
      </c>
      <c r="H45" t="s">
        <v>138</v>
      </c>
      <c r="I45" t="s">
        <v>139</v>
      </c>
      <c r="J45" t="s">
        <v>140</v>
      </c>
      <c r="K45" t="s">
        <v>151</v>
      </c>
      <c r="L45" t="s">
        <v>0</v>
      </c>
      <c r="M45" t="s">
        <v>142</v>
      </c>
      <c r="N45" t="s">
        <v>143</v>
      </c>
      <c r="O45" t="s">
        <v>144</v>
      </c>
      <c r="P45" t="s">
        <v>145</v>
      </c>
      <c r="Q45" s="27" t="s">
        <v>146</v>
      </c>
      <c r="R45">
        <v>74</v>
      </c>
      <c r="S45">
        <v>82</v>
      </c>
      <c r="T45">
        <f>SUM(R45:S45)</f>
        <v>156</v>
      </c>
      <c r="U45">
        <v>80</v>
      </c>
      <c r="V45">
        <v>58</v>
      </c>
      <c r="W45">
        <v>90</v>
      </c>
      <c r="X45">
        <v>69</v>
      </c>
      <c r="Y45">
        <v>79</v>
      </c>
      <c r="Z45">
        <v>57</v>
      </c>
      <c r="AA45">
        <v>96</v>
      </c>
      <c r="AB45">
        <v>55</v>
      </c>
      <c r="AC45">
        <v>67</v>
      </c>
      <c r="AD45">
        <v>63</v>
      </c>
      <c r="AE45">
        <v>71</v>
      </c>
      <c r="AF45">
        <v>41</v>
      </c>
      <c r="AG45">
        <v>0</v>
      </c>
      <c r="AH45">
        <v>0</v>
      </c>
      <c r="AI45">
        <f t="shared" si="6"/>
        <v>393</v>
      </c>
      <c r="AL45">
        <f>U45+W45+Y45+AA45+AC45+AE45+AG45</f>
        <v>483</v>
      </c>
      <c r="AM45">
        <f>V45+X45+Z45+AB45+AD45+AF45+AH45</f>
        <v>343</v>
      </c>
      <c r="AN45">
        <f>SUM(AL45:AM45)</f>
        <v>826</v>
      </c>
      <c r="AO45">
        <f>R45+AL45</f>
        <v>557</v>
      </c>
      <c r="AP45">
        <f>S45+AM45</f>
        <v>425</v>
      </c>
      <c r="AQ45">
        <f>T45+AN45</f>
        <v>982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f>AR45+AT45+AV45+AX45+AZ45</f>
        <v>0</v>
      </c>
      <c r="BC45">
        <f>AS45+AU45+AW45+AY45+BA45</f>
        <v>0</v>
      </c>
      <c r="BD45">
        <f>SUM(BB45:BC45)</f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f>BE45+BG45+BI45+BK45+BM45</f>
        <v>0</v>
      </c>
      <c r="BP45">
        <f>BF45+BH45+BJ45+BL45+BN45</f>
        <v>0</v>
      </c>
      <c r="BQ45">
        <f>SUM(BO45:BP45)</f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f>BO45+BR45+BT45+BV45</f>
        <v>0</v>
      </c>
      <c r="BY45">
        <f>BP45+BS45+BU45+BW45</f>
        <v>0</v>
      </c>
      <c r="BZ45">
        <f>SUM(BX45:BY45)</f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f>CA45+CC45+CE45+CG45+CI45</f>
        <v>0</v>
      </c>
      <c r="CL45">
        <f>CB45+CD45+CF45+CH45+CJ45</f>
        <v>0</v>
      </c>
      <c r="CM45">
        <f>SUM(CK45:CL45)</f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f>CK45+CN45+CP45+CR45</f>
        <v>0</v>
      </c>
      <c r="CU45">
        <f>CL45+CO45+CQ45+CS45</f>
        <v>0</v>
      </c>
      <c r="CV45">
        <f>SUM(CT45:CU45)</f>
        <v>0</v>
      </c>
      <c r="CW45">
        <f>BX45+CT45</f>
        <v>0</v>
      </c>
      <c r="CX45">
        <f>BY45+CU45</f>
        <v>0</v>
      </c>
      <c r="CY45">
        <f>BZ45+CV45</f>
        <v>0</v>
      </c>
      <c r="CZ45">
        <f>AO45+BB45+CW45</f>
        <v>557</v>
      </c>
      <c r="DA45">
        <f>AP45+BC45+CX45</f>
        <v>425</v>
      </c>
      <c r="DB45">
        <f>AQ45+BD45+CY45</f>
        <v>982</v>
      </c>
    </row>
    <row r="46" spans="1:106">
      <c r="A46" t="s">
        <v>134</v>
      </c>
      <c r="B46" t="s">
        <v>9</v>
      </c>
      <c r="C46" t="s">
        <v>135</v>
      </c>
      <c r="D46">
        <v>129384</v>
      </c>
      <c r="E46" t="s">
        <v>163</v>
      </c>
      <c r="F46" t="s">
        <v>164</v>
      </c>
      <c r="H46" t="s">
        <v>138</v>
      </c>
      <c r="I46" t="s">
        <v>139</v>
      </c>
      <c r="J46" t="s">
        <v>140</v>
      </c>
      <c r="K46" t="s">
        <v>151</v>
      </c>
      <c r="L46" t="s">
        <v>0</v>
      </c>
      <c r="M46" t="s">
        <v>142</v>
      </c>
      <c r="N46" t="s">
        <v>143</v>
      </c>
      <c r="O46" t="s">
        <v>144</v>
      </c>
      <c r="P46" t="s">
        <v>145</v>
      </c>
      <c r="Q46" s="27" t="s">
        <v>146</v>
      </c>
      <c r="R46">
        <v>10</v>
      </c>
      <c r="S46">
        <v>6</v>
      </c>
      <c r="T46">
        <f>SUM(R46:S46)</f>
        <v>16</v>
      </c>
      <c r="U46">
        <v>12</v>
      </c>
      <c r="V46">
        <v>9</v>
      </c>
      <c r="W46">
        <v>6</v>
      </c>
      <c r="X46">
        <v>6</v>
      </c>
      <c r="Y46">
        <v>15</v>
      </c>
      <c r="Z46">
        <v>11</v>
      </c>
      <c r="AA46">
        <v>6</v>
      </c>
      <c r="AB46">
        <v>11</v>
      </c>
      <c r="AC46">
        <v>9</v>
      </c>
      <c r="AD46">
        <v>9</v>
      </c>
      <c r="AE46">
        <v>6</v>
      </c>
      <c r="AF46">
        <v>10</v>
      </c>
      <c r="AG46">
        <v>0</v>
      </c>
      <c r="AH46">
        <v>0</v>
      </c>
      <c r="AI46">
        <f t="shared" si="6"/>
        <v>51</v>
      </c>
      <c r="AL46">
        <f>U46+W46+Y46+AA46+AC46+AE46+AG46</f>
        <v>54</v>
      </c>
      <c r="AM46">
        <f>V46+X46+Z46+AB46+AD46+AF46+AH46</f>
        <v>56</v>
      </c>
      <c r="AN46">
        <f>SUM(AL46:AM46)</f>
        <v>110</v>
      </c>
      <c r="AO46">
        <f>R46+AL46</f>
        <v>64</v>
      </c>
      <c r="AP46">
        <f>S46+AM46</f>
        <v>62</v>
      </c>
      <c r="AQ46">
        <f>T46+AN46</f>
        <v>126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f>AR46+AT46+AV46+AX46+AZ46</f>
        <v>0</v>
      </c>
      <c r="BC46">
        <f>AS46+AU46+AW46+AY46+BA46</f>
        <v>0</v>
      </c>
      <c r="BD46">
        <f>SUM(BB46:BC46)</f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f>BE46+BG46+BI46+BK46+BM46</f>
        <v>0</v>
      </c>
      <c r="BP46">
        <f>BF46+BH46+BJ46+BL46+BN46</f>
        <v>0</v>
      </c>
      <c r="BQ46">
        <f>SUM(BO46:BP46)</f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f>BO46+BR46+BT46+BV46</f>
        <v>0</v>
      </c>
      <c r="BY46">
        <f>BP46+BS46+BU46+BW46</f>
        <v>0</v>
      </c>
      <c r="BZ46">
        <f>SUM(BX46:BY46)</f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f>CA46+CC46+CE46+CG46+CI46</f>
        <v>0</v>
      </c>
      <c r="CL46">
        <f>CB46+CD46+CF46+CH46+CJ46</f>
        <v>0</v>
      </c>
      <c r="CM46">
        <f>SUM(CK46:CL46)</f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f>CK46+CN46+CP46+CR46</f>
        <v>0</v>
      </c>
      <c r="CU46">
        <f>CL46+CO46+CQ46+CS46</f>
        <v>0</v>
      </c>
      <c r="CV46">
        <f>SUM(CT46:CU46)</f>
        <v>0</v>
      </c>
      <c r="CW46">
        <f>BX46+CT46</f>
        <v>0</v>
      </c>
      <c r="CX46">
        <f>BY46+CU46</f>
        <v>0</v>
      </c>
      <c r="CY46">
        <f>BZ46+CV46</f>
        <v>0</v>
      </c>
      <c r="CZ46">
        <f>AO46+BB46+CW46</f>
        <v>64</v>
      </c>
      <c r="DA46">
        <f>AP46+BC46+CX46</f>
        <v>62</v>
      </c>
      <c r="DB46">
        <f>AQ46+BD46+CY46</f>
        <v>126</v>
      </c>
    </row>
    <row r="47" spans="1:106">
      <c r="A47" t="s">
        <v>134</v>
      </c>
      <c r="B47" t="s">
        <v>9</v>
      </c>
      <c r="C47" t="s">
        <v>135</v>
      </c>
      <c r="D47">
        <v>129385</v>
      </c>
      <c r="E47" t="s">
        <v>165</v>
      </c>
      <c r="F47" t="s">
        <v>166</v>
      </c>
      <c r="H47" t="s">
        <v>138</v>
      </c>
      <c r="I47" t="s">
        <v>139</v>
      </c>
      <c r="J47" t="s">
        <v>140</v>
      </c>
      <c r="K47" t="s">
        <v>141</v>
      </c>
      <c r="L47" t="s">
        <v>0</v>
      </c>
      <c r="M47" t="s">
        <v>142</v>
      </c>
      <c r="N47" t="s">
        <v>143</v>
      </c>
      <c r="O47" t="s">
        <v>144</v>
      </c>
      <c r="P47" t="s">
        <v>145</v>
      </c>
      <c r="Q47" s="27" t="s">
        <v>146</v>
      </c>
      <c r="R47">
        <v>82</v>
      </c>
      <c r="S47">
        <v>55</v>
      </c>
      <c r="T47">
        <f>SUM(R47:S47)</f>
        <v>137</v>
      </c>
      <c r="U47">
        <v>53</v>
      </c>
      <c r="V47">
        <v>55</v>
      </c>
      <c r="W47">
        <v>58</v>
      </c>
      <c r="X47">
        <v>51</v>
      </c>
      <c r="Y47">
        <v>61</v>
      </c>
      <c r="Z47">
        <v>49</v>
      </c>
      <c r="AA47">
        <v>73</v>
      </c>
      <c r="AB47">
        <v>59</v>
      </c>
      <c r="AC47">
        <v>72</v>
      </c>
      <c r="AD47">
        <v>55</v>
      </c>
      <c r="AE47">
        <v>44</v>
      </c>
      <c r="AF47">
        <v>39</v>
      </c>
      <c r="AG47">
        <v>0</v>
      </c>
      <c r="AH47">
        <v>0</v>
      </c>
      <c r="AI47">
        <f t="shared" si="6"/>
        <v>342</v>
      </c>
      <c r="AL47">
        <f>U47+W47+Y47+AA47+AC47+AE47+AG47</f>
        <v>361</v>
      </c>
      <c r="AM47">
        <f>V47+X47+Z47+AB47+AD47+AF47+AH47</f>
        <v>308</v>
      </c>
      <c r="AN47">
        <f>SUM(AL47:AM47)</f>
        <v>669</v>
      </c>
      <c r="AO47">
        <f>R47+AL47</f>
        <v>443</v>
      </c>
      <c r="AP47">
        <f>S47+AM47</f>
        <v>363</v>
      </c>
      <c r="AQ47">
        <f>T47+AN47</f>
        <v>806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f>AR47+AT47+AV47+AX47+AZ47</f>
        <v>0</v>
      </c>
      <c r="BC47">
        <f>AS47+AU47+AW47+AY47+BA47</f>
        <v>0</v>
      </c>
      <c r="BD47">
        <f>SUM(BB47:BC47)</f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f>BE47+BG47+BI47+BK47+BM47</f>
        <v>0</v>
      </c>
      <c r="BP47">
        <f>BF47+BH47+BJ47+BL47+BN47</f>
        <v>0</v>
      </c>
      <c r="BQ47">
        <f>SUM(BO47:BP47)</f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f>BO47+BR47+BT47+BV47</f>
        <v>0</v>
      </c>
      <c r="BY47">
        <f>BP47+BS47+BU47+BW47</f>
        <v>0</v>
      </c>
      <c r="BZ47">
        <f>SUM(BX47:BY47)</f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f>CA47+CC47+CE47+CG47+CI47</f>
        <v>0</v>
      </c>
      <c r="CL47">
        <f>CB47+CD47+CF47+CH47+CJ47</f>
        <v>0</v>
      </c>
      <c r="CM47">
        <f>SUM(CK47:CL47)</f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f>CK47+CN47+CP47+CR47</f>
        <v>0</v>
      </c>
      <c r="CU47">
        <f>CL47+CO47+CQ47+CS47</f>
        <v>0</v>
      </c>
      <c r="CV47">
        <f>SUM(CT47:CU47)</f>
        <v>0</v>
      </c>
      <c r="CW47">
        <f>BX47+CT47</f>
        <v>0</v>
      </c>
      <c r="CX47">
        <f>BY47+CU47</f>
        <v>0</v>
      </c>
      <c r="CY47">
        <f>BZ47+CV47</f>
        <v>0</v>
      </c>
      <c r="CZ47">
        <f>AO47+BB47+CW47</f>
        <v>443</v>
      </c>
      <c r="DA47">
        <f>AP47+BC47+CX47</f>
        <v>363</v>
      </c>
      <c r="DB47">
        <f>AQ47+BD47+CY47</f>
        <v>806</v>
      </c>
    </row>
    <row r="48" spans="1:106">
      <c r="A48" t="s">
        <v>134</v>
      </c>
      <c r="B48" t="s">
        <v>9</v>
      </c>
      <c r="C48" t="s">
        <v>135</v>
      </c>
      <c r="D48">
        <v>129386</v>
      </c>
      <c r="E48" t="s">
        <v>167</v>
      </c>
      <c r="F48" t="s">
        <v>168</v>
      </c>
      <c r="H48" t="s">
        <v>138</v>
      </c>
      <c r="I48" t="s">
        <v>139</v>
      </c>
      <c r="J48" t="s">
        <v>140</v>
      </c>
      <c r="K48" t="s">
        <v>154</v>
      </c>
      <c r="L48" t="s">
        <v>0</v>
      </c>
      <c r="M48" t="s">
        <v>142</v>
      </c>
      <c r="N48" t="s">
        <v>143</v>
      </c>
      <c r="O48" t="s">
        <v>144</v>
      </c>
      <c r="P48" t="s">
        <v>145</v>
      </c>
      <c r="Q48" s="27" t="s">
        <v>146</v>
      </c>
      <c r="R48">
        <v>16</v>
      </c>
      <c r="S48">
        <v>15</v>
      </c>
      <c r="T48">
        <f>SUM(R48:S48)</f>
        <v>31</v>
      </c>
      <c r="U48">
        <v>10</v>
      </c>
      <c r="V48">
        <v>11</v>
      </c>
      <c r="W48">
        <v>11</v>
      </c>
      <c r="X48">
        <v>8</v>
      </c>
      <c r="Y48">
        <v>12</v>
      </c>
      <c r="Z48">
        <v>9</v>
      </c>
      <c r="AA48">
        <v>12</v>
      </c>
      <c r="AB48">
        <v>11</v>
      </c>
      <c r="AC48">
        <v>3</v>
      </c>
      <c r="AD48">
        <v>10</v>
      </c>
      <c r="AE48">
        <v>13</v>
      </c>
      <c r="AF48">
        <v>5</v>
      </c>
      <c r="AG48">
        <v>0</v>
      </c>
      <c r="AH48">
        <v>0</v>
      </c>
      <c r="AI48">
        <f t="shared" si="6"/>
        <v>54</v>
      </c>
      <c r="AL48">
        <f>U48+W48+Y48+AA48+AC48+AE48+AG48</f>
        <v>61</v>
      </c>
      <c r="AM48">
        <f>V48+X48+Z48+AB48+AD48+AF48+AH48</f>
        <v>54</v>
      </c>
      <c r="AN48">
        <f>SUM(AL48:AM48)</f>
        <v>115</v>
      </c>
      <c r="AO48">
        <f>R48+AL48</f>
        <v>77</v>
      </c>
      <c r="AP48">
        <f>S48+AM48</f>
        <v>69</v>
      </c>
      <c r="AQ48">
        <f>T48+AN48</f>
        <v>146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f>AR48+AT48+AV48+AX48+AZ48</f>
        <v>0</v>
      </c>
      <c r="BC48">
        <f>AS48+AU48+AW48+AY48+BA48</f>
        <v>0</v>
      </c>
      <c r="BD48">
        <f>SUM(BB48:BC48)</f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f>BE48+BG48+BI48+BK48+BM48</f>
        <v>0</v>
      </c>
      <c r="BP48">
        <f>BF48+BH48+BJ48+BL48+BN48</f>
        <v>0</v>
      </c>
      <c r="BQ48">
        <f>SUM(BO48:BP48)</f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f>BO48+BR48+BT48+BV48</f>
        <v>0</v>
      </c>
      <c r="BY48">
        <f>BP48+BS48+BU48+BW48</f>
        <v>0</v>
      </c>
      <c r="BZ48">
        <f>SUM(BX48:BY48)</f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f>CA48+CC48+CE48+CG48+CI48</f>
        <v>0</v>
      </c>
      <c r="CL48">
        <f>CB48+CD48+CF48+CH48+CJ48</f>
        <v>0</v>
      </c>
      <c r="CM48">
        <f>SUM(CK48:CL48)</f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f>CK48+CN48+CP48+CR48</f>
        <v>0</v>
      </c>
      <c r="CU48">
        <f>CL48+CO48+CQ48+CS48</f>
        <v>0</v>
      </c>
      <c r="CV48">
        <f>SUM(CT48:CU48)</f>
        <v>0</v>
      </c>
      <c r="CW48">
        <f>BX48+CT48</f>
        <v>0</v>
      </c>
      <c r="CX48">
        <f>BY48+CU48</f>
        <v>0</v>
      </c>
      <c r="CY48">
        <f>BZ48+CV48</f>
        <v>0</v>
      </c>
      <c r="CZ48">
        <f>AO48+BB48+CW48</f>
        <v>77</v>
      </c>
      <c r="DA48">
        <f>AP48+BC48+CX48</f>
        <v>69</v>
      </c>
      <c r="DB48">
        <f>AQ48+BD48+CY48</f>
        <v>146</v>
      </c>
    </row>
    <row r="49" spans="1:106">
      <c r="A49" t="s">
        <v>134</v>
      </c>
      <c r="B49" t="s">
        <v>9</v>
      </c>
      <c r="C49" t="s">
        <v>135</v>
      </c>
      <c r="D49">
        <v>205504</v>
      </c>
      <c r="E49" t="s">
        <v>169</v>
      </c>
      <c r="F49" t="s">
        <v>158</v>
      </c>
      <c r="H49" t="s">
        <v>138</v>
      </c>
      <c r="I49" t="s">
        <v>139</v>
      </c>
      <c r="J49" t="s">
        <v>140</v>
      </c>
      <c r="K49" t="s">
        <v>151</v>
      </c>
      <c r="L49" t="s">
        <v>0</v>
      </c>
      <c r="M49" t="s">
        <v>142</v>
      </c>
      <c r="N49" t="s">
        <v>143</v>
      </c>
      <c r="O49" t="s">
        <v>144</v>
      </c>
      <c r="P49" t="s">
        <v>145</v>
      </c>
      <c r="Q49" s="27" t="s">
        <v>146</v>
      </c>
      <c r="R49">
        <v>60</v>
      </c>
      <c r="S49">
        <v>53</v>
      </c>
      <c r="T49">
        <f>SUM(R49:S49)</f>
        <v>113</v>
      </c>
      <c r="U49">
        <v>64</v>
      </c>
      <c r="V49">
        <v>64</v>
      </c>
      <c r="W49">
        <v>59</v>
      </c>
      <c r="X49">
        <v>60</v>
      </c>
      <c r="Y49">
        <v>59</v>
      </c>
      <c r="Z49">
        <v>66</v>
      </c>
      <c r="AA49">
        <v>60</v>
      </c>
      <c r="AB49">
        <v>77</v>
      </c>
      <c r="AC49">
        <v>80</v>
      </c>
      <c r="AD49">
        <v>64</v>
      </c>
      <c r="AE49">
        <v>60</v>
      </c>
      <c r="AF49">
        <v>63</v>
      </c>
      <c r="AG49">
        <v>47</v>
      </c>
      <c r="AH49">
        <v>39</v>
      </c>
      <c r="AI49">
        <f t="shared" si="6"/>
        <v>404</v>
      </c>
      <c r="AL49">
        <f>U49+W49+Y49+AA49+AC49+AE49+AG49</f>
        <v>429</v>
      </c>
      <c r="AM49">
        <f>V49+X49+Z49+AB49+AD49+AF49+AH49</f>
        <v>433</v>
      </c>
      <c r="AN49">
        <f>SUM(AL49:AM49)</f>
        <v>862</v>
      </c>
      <c r="AO49">
        <f>R49+AL49</f>
        <v>489</v>
      </c>
      <c r="AP49">
        <f>S49+AM49</f>
        <v>486</v>
      </c>
      <c r="AQ49">
        <f>T49+AN49</f>
        <v>975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f>AR49+AT49+AV49+AX49+AZ49</f>
        <v>0</v>
      </c>
      <c r="BC49">
        <f>AS49+AU49+AW49+AY49+BA49</f>
        <v>0</v>
      </c>
      <c r="BD49">
        <f>SUM(BB49:BC49)</f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f>BE49+BG49+BI49+BK49+BM49</f>
        <v>0</v>
      </c>
      <c r="BP49">
        <f>BF49+BH49+BJ49+BL49+BN49</f>
        <v>0</v>
      </c>
      <c r="BQ49">
        <f>SUM(BO49:BP49)</f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f>BO49+BR49+BT49+BV49</f>
        <v>0</v>
      </c>
      <c r="BY49">
        <f>BP49+BS49+BU49+BW49</f>
        <v>0</v>
      </c>
      <c r="BZ49">
        <f>SUM(BX49:BY49)</f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f>CA49+CC49+CE49+CG49+CI49</f>
        <v>0</v>
      </c>
      <c r="CL49">
        <f>CB49+CD49+CF49+CH49+CJ49</f>
        <v>0</v>
      </c>
      <c r="CM49">
        <f>SUM(CK49:CL49)</f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f>CK49+CN49+CP49+CR49</f>
        <v>0</v>
      </c>
      <c r="CU49">
        <f>CL49+CO49+CQ49+CS49</f>
        <v>0</v>
      </c>
      <c r="CV49">
        <f>SUM(CT49:CU49)</f>
        <v>0</v>
      </c>
      <c r="CW49">
        <f>BX49+CT49</f>
        <v>0</v>
      </c>
      <c r="CX49">
        <f>BY49+CU49</f>
        <v>0</v>
      </c>
      <c r="CY49">
        <f>BZ49+CV49</f>
        <v>0</v>
      </c>
      <c r="CZ49">
        <f>AO49+BB49+CW49</f>
        <v>489</v>
      </c>
      <c r="DA49">
        <f>AP49+BC49+CX49</f>
        <v>486</v>
      </c>
      <c r="DB49">
        <f>AQ49+BD49+CY49</f>
        <v>975</v>
      </c>
    </row>
    <row r="50" spans="1:106">
      <c r="A50" t="s">
        <v>134</v>
      </c>
      <c r="B50" t="s">
        <v>9</v>
      </c>
      <c r="C50" t="s">
        <v>135</v>
      </c>
      <c r="D50">
        <v>304325</v>
      </c>
      <c r="E50" t="s">
        <v>170</v>
      </c>
      <c r="F50" t="s">
        <v>171</v>
      </c>
      <c r="H50" t="s">
        <v>138</v>
      </c>
      <c r="I50" t="s">
        <v>139</v>
      </c>
      <c r="J50" t="s">
        <v>140</v>
      </c>
      <c r="K50" t="s">
        <v>154</v>
      </c>
      <c r="L50" t="s">
        <v>0</v>
      </c>
      <c r="M50" t="s">
        <v>142</v>
      </c>
      <c r="N50" t="s">
        <v>143</v>
      </c>
      <c r="O50" t="s">
        <v>172</v>
      </c>
      <c r="P50" t="s">
        <v>145</v>
      </c>
      <c r="Q50" s="27" t="s">
        <v>173</v>
      </c>
      <c r="R50">
        <v>0</v>
      </c>
      <c r="S50">
        <v>0</v>
      </c>
      <c r="T50">
        <f>SUM(R50:S50)</f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f t="shared" si="6"/>
        <v>0</v>
      </c>
      <c r="AL50">
        <f>U50+W50+Y50+AA50+AC50+AE50+AG50</f>
        <v>0</v>
      </c>
      <c r="AM50">
        <f>V50+X50+Z50+AB50+AD50+AF50+AH50</f>
        <v>0</v>
      </c>
      <c r="AN50">
        <f>SUM(AL50:AM50)</f>
        <v>0</v>
      </c>
      <c r="AO50">
        <f>R50+AL50</f>
        <v>0</v>
      </c>
      <c r="AP50">
        <f>S50+AM50</f>
        <v>0</v>
      </c>
      <c r="AQ50">
        <f>T50+AN50</f>
        <v>0</v>
      </c>
      <c r="AR50">
        <v>425</v>
      </c>
      <c r="AS50">
        <v>368</v>
      </c>
      <c r="AT50">
        <v>397</v>
      </c>
      <c r="AU50">
        <v>470</v>
      </c>
      <c r="AV50">
        <v>435</v>
      </c>
      <c r="AW50">
        <v>443</v>
      </c>
      <c r="AX50">
        <v>443</v>
      </c>
      <c r="AY50">
        <v>490</v>
      </c>
      <c r="AZ50">
        <v>0</v>
      </c>
      <c r="BA50">
        <v>0</v>
      </c>
      <c r="BB50">
        <f>AR50+AT50+AV50+AX50+AZ50</f>
        <v>1700</v>
      </c>
      <c r="BC50">
        <f>AS50+AU50+AW50+AY50+BA50</f>
        <v>1771</v>
      </c>
      <c r="BD50">
        <f>SUM(BB50:BC50)</f>
        <v>3471</v>
      </c>
      <c r="BE50">
        <v>34</v>
      </c>
      <c r="BF50">
        <v>82</v>
      </c>
      <c r="BG50">
        <v>86</v>
      </c>
      <c r="BH50">
        <v>145</v>
      </c>
      <c r="BI50">
        <v>12</v>
      </c>
      <c r="BJ50">
        <v>38</v>
      </c>
      <c r="BK50">
        <v>38</v>
      </c>
      <c r="BL50">
        <v>85</v>
      </c>
      <c r="BM50">
        <v>0</v>
      </c>
      <c r="BN50">
        <v>0</v>
      </c>
      <c r="BO50">
        <f>BE50+BG50+BI50+BK50+BM50</f>
        <v>170</v>
      </c>
      <c r="BP50">
        <f>BF50+BH50+BJ50+BL50+BN50</f>
        <v>350</v>
      </c>
      <c r="BQ50">
        <f>SUM(BO50:BP50)</f>
        <v>520</v>
      </c>
      <c r="BR50">
        <v>304</v>
      </c>
      <c r="BS50">
        <v>265</v>
      </c>
      <c r="BT50">
        <v>0</v>
      </c>
      <c r="BU50">
        <v>0</v>
      </c>
      <c r="BV50">
        <v>0</v>
      </c>
      <c r="BW50">
        <v>0</v>
      </c>
      <c r="BX50">
        <f>BO50+BR50+BT50+BV50</f>
        <v>474</v>
      </c>
      <c r="BY50">
        <f>BP50+BS50+BU50+BW50</f>
        <v>615</v>
      </c>
      <c r="BZ50">
        <f>SUM(BX50:BY50)</f>
        <v>1089</v>
      </c>
      <c r="CA50">
        <v>31</v>
      </c>
      <c r="CB50">
        <v>73</v>
      </c>
      <c r="CC50">
        <v>74</v>
      </c>
      <c r="CD50">
        <v>178</v>
      </c>
      <c r="CE50">
        <v>7</v>
      </c>
      <c r="CF50">
        <v>29</v>
      </c>
      <c r="CG50">
        <v>37</v>
      </c>
      <c r="CH50">
        <v>63</v>
      </c>
      <c r="CI50">
        <v>0</v>
      </c>
      <c r="CJ50">
        <v>0</v>
      </c>
      <c r="CK50">
        <f>CA50+CC50+CE50+CG50+CI50</f>
        <v>149</v>
      </c>
      <c r="CL50">
        <f>CB50+CD50+CF50+CH50+CJ50</f>
        <v>343</v>
      </c>
      <c r="CM50">
        <f>SUM(CK50:CL50)</f>
        <v>492</v>
      </c>
      <c r="CN50">
        <v>247</v>
      </c>
      <c r="CO50">
        <v>172</v>
      </c>
      <c r="CP50">
        <v>0</v>
      </c>
      <c r="CQ50">
        <v>0</v>
      </c>
      <c r="CR50">
        <v>0</v>
      </c>
      <c r="CS50">
        <v>0</v>
      </c>
      <c r="CT50">
        <f>CK50+CN50+CP50+CR50</f>
        <v>396</v>
      </c>
      <c r="CU50">
        <f>CL50+CO50+CQ50+CS50</f>
        <v>515</v>
      </c>
      <c r="CV50">
        <f>SUM(CT50:CU50)</f>
        <v>911</v>
      </c>
      <c r="CW50">
        <f>BX50+CT50</f>
        <v>870</v>
      </c>
      <c r="CX50">
        <f>BY50+CU50</f>
        <v>1130</v>
      </c>
      <c r="CY50">
        <f>BZ50+CV50</f>
        <v>2000</v>
      </c>
      <c r="CZ50">
        <f>AO50+BB50+CW50</f>
        <v>2570</v>
      </c>
      <c r="DA50">
        <f>AP50+BC50+CX50</f>
        <v>2901</v>
      </c>
      <c r="DB50">
        <f>AQ50+BD50+CY50</f>
        <v>5471</v>
      </c>
    </row>
    <row r="51" spans="1:106">
      <c r="A51" t="s">
        <v>134</v>
      </c>
      <c r="B51" t="s">
        <v>9</v>
      </c>
      <c r="C51" t="s">
        <v>135</v>
      </c>
      <c r="D51">
        <v>304326</v>
      </c>
      <c r="E51" t="s">
        <v>174</v>
      </c>
      <c r="F51" t="s">
        <v>175</v>
      </c>
      <c r="H51" t="s">
        <v>138</v>
      </c>
      <c r="I51" t="s">
        <v>139</v>
      </c>
      <c r="J51" t="s">
        <v>140</v>
      </c>
      <c r="K51" t="s">
        <v>154</v>
      </c>
      <c r="L51" t="s">
        <v>0</v>
      </c>
      <c r="M51" t="s">
        <v>142</v>
      </c>
      <c r="N51" t="s">
        <v>143</v>
      </c>
      <c r="O51" t="s">
        <v>172</v>
      </c>
      <c r="P51" t="s">
        <v>176</v>
      </c>
      <c r="Q51" s="27" t="s">
        <v>173</v>
      </c>
      <c r="R51">
        <v>0</v>
      </c>
      <c r="S51">
        <v>0</v>
      </c>
      <c r="T51">
        <f>SUM(R51:S51)</f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f t="shared" si="6"/>
        <v>0</v>
      </c>
      <c r="AL51">
        <f>U51+W51+Y51+AA51+AC51+AE51+AG51</f>
        <v>0</v>
      </c>
      <c r="AM51">
        <f>V51+X51+Z51+AB51+AD51+AF51+AH51</f>
        <v>0</v>
      </c>
      <c r="AN51">
        <f>SUM(AL51:AM51)</f>
        <v>0</v>
      </c>
      <c r="AO51">
        <f>R51+AL51</f>
        <v>0</v>
      </c>
      <c r="AP51">
        <f>S51+AM51</f>
        <v>0</v>
      </c>
      <c r="AQ51">
        <f>T51+AN51</f>
        <v>0</v>
      </c>
      <c r="AR51">
        <v>85</v>
      </c>
      <c r="AS51">
        <v>79</v>
      </c>
      <c r="AT51">
        <v>84</v>
      </c>
      <c r="AU51">
        <v>71</v>
      </c>
      <c r="AV51">
        <v>97</v>
      </c>
      <c r="AW51">
        <v>91</v>
      </c>
      <c r="AX51">
        <v>115</v>
      </c>
      <c r="AY51">
        <v>83</v>
      </c>
      <c r="AZ51">
        <v>0</v>
      </c>
      <c r="BA51">
        <v>0</v>
      </c>
      <c r="BB51">
        <f>AR51+AT51+AV51+AX51+AZ51</f>
        <v>381</v>
      </c>
      <c r="BC51">
        <f>AS51+AU51+AW51+AY51+BA51</f>
        <v>324</v>
      </c>
      <c r="BD51">
        <f>SUM(BB51:BC51)</f>
        <v>705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f>BE51+BG51+BI51+BK51+BM51</f>
        <v>0</v>
      </c>
      <c r="BP51">
        <f>BF51+BH51+BJ51+BL51+BN51</f>
        <v>0</v>
      </c>
      <c r="BQ51">
        <f>SUM(BO51:BP51)</f>
        <v>0</v>
      </c>
      <c r="BR51">
        <v>159</v>
      </c>
      <c r="BS51">
        <v>151</v>
      </c>
      <c r="BT51">
        <v>0</v>
      </c>
      <c r="BU51">
        <v>0</v>
      </c>
      <c r="BV51">
        <v>0</v>
      </c>
      <c r="BW51">
        <v>0</v>
      </c>
      <c r="BX51">
        <f>BO51+BR51+BT51+BV51</f>
        <v>159</v>
      </c>
      <c r="BY51">
        <f>BP51+BS51+BU51+BW51</f>
        <v>151</v>
      </c>
      <c r="BZ51">
        <f>SUM(BX51:BY51)</f>
        <v>310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f>CA51+CC51+CE51+CG51+CI51</f>
        <v>0</v>
      </c>
      <c r="CL51">
        <f>CB51+CD51+CF51+CH51+CJ51</f>
        <v>0</v>
      </c>
      <c r="CM51">
        <f>SUM(CK51:CL51)</f>
        <v>0</v>
      </c>
      <c r="CN51">
        <v>143</v>
      </c>
      <c r="CO51">
        <v>109</v>
      </c>
      <c r="CP51">
        <v>0</v>
      </c>
      <c r="CQ51">
        <v>0</v>
      </c>
      <c r="CR51">
        <v>0</v>
      </c>
      <c r="CS51">
        <v>0</v>
      </c>
      <c r="CT51">
        <f>CK51+CN51+CP51+CR51</f>
        <v>143</v>
      </c>
      <c r="CU51">
        <f>CL51+CO51+CQ51+CS51</f>
        <v>109</v>
      </c>
      <c r="CV51">
        <f>SUM(CT51:CU51)</f>
        <v>252</v>
      </c>
      <c r="CW51">
        <f>BX51+CT51</f>
        <v>302</v>
      </c>
      <c r="CX51">
        <f>BY51+CU51</f>
        <v>260</v>
      </c>
      <c r="CY51">
        <f>BZ51+CV51</f>
        <v>562</v>
      </c>
      <c r="CZ51">
        <f>AO51+BB51+CW51</f>
        <v>683</v>
      </c>
      <c r="DA51">
        <f>AP51+BC51+CX51</f>
        <v>584</v>
      </c>
      <c r="DB51">
        <f>AQ51+BD51+CY51</f>
        <v>1267</v>
      </c>
    </row>
    <row r="52" spans="1:106">
      <c r="A52" t="s">
        <v>134</v>
      </c>
      <c r="B52" t="s">
        <v>9</v>
      </c>
      <c r="C52" t="s">
        <v>135</v>
      </c>
      <c r="D52">
        <v>325104</v>
      </c>
      <c r="E52" t="s">
        <v>177</v>
      </c>
      <c r="F52" t="s">
        <v>178</v>
      </c>
      <c r="H52" t="s">
        <v>138</v>
      </c>
      <c r="I52" t="s">
        <v>139</v>
      </c>
      <c r="J52" t="s">
        <v>140</v>
      </c>
      <c r="K52" t="s">
        <v>141</v>
      </c>
      <c r="L52" t="s">
        <v>0</v>
      </c>
      <c r="M52" t="s">
        <v>142</v>
      </c>
      <c r="N52" t="s">
        <v>143</v>
      </c>
      <c r="O52" t="s">
        <v>172</v>
      </c>
      <c r="P52" t="s">
        <v>145</v>
      </c>
      <c r="Q52" s="27" t="s">
        <v>173</v>
      </c>
      <c r="R52">
        <v>0</v>
      </c>
      <c r="S52">
        <v>0</v>
      </c>
      <c r="T52">
        <f>SUM(R52:S52)</f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f t="shared" si="6"/>
        <v>0</v>
      </c>
      <c r="AL52">
        <f>U52+W52+Y52+AA52+AC52+AE52+AG52</f>
        <v>0</v>
      </c>
      <c r="AM52">
        <f>V52+X52+Z52+AB52+AD52+AF52+AH52</f>
        <v>0</v>
      </c>
      <c r="AN52">
        <f>SUM(AL52:AM52)</f>
        <v>0</v>
      </c>
      <c r="AO52">
        <f>R52+AL52</f>
        <v>0</v>
      </c>
      <c r="AP52">
        <f>S52+AM52</f>
        <v>0</v>
      </c>
      <c r="AQ52">
        <f>T52+AN52</f>
        <v>0</v>
      </c>
      <c r="AR52">
        <v>95</v>
      </c>
      <c r="AS52">
        <v>72</v>
      </c>
      <c r="AT52">
        <v>73</v>
      </c>
      <c r="AU52">
        <v>92</v>
      </c>
      <c r="AV52">
        <v>81</v>
      </c>
      <c r="AW52">
        <v>82</v>
      </c>
      <c r="AX52">
        <v>64</v>
      </c>
      <c r="AY52">
        <v>83</v>
      </c>
      <c r="AZ52">
        <v>0</v>
      </c>
      <c r="BA52">
        <v>0</v>
      </c>
      <c r="BB52">
        <f>AR52+AT52+AV52+AX52+AZ52</f>
        <v>313</v>
      </c>
      <c r="BC52">
        <f>AS52+AU52+AW52+AY52+BA52</f>
        <v>329</v>
      </c>
      <c r="BD52">
        <f>SUM(BB52:BC52)</f>
        <v>642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71</v>
      </c>
      <c r="BL52">
        <v>101</v>
      </c>
      <c r="BM52">
        <v>0</v>
      </c>
      <c r="BN52">
        <v>0</v>
      </c>
      <c r="BO52">
        <f>BE52+BG52+BI52+BK52+BM52</f>
        <v>71</v>
      </c>
      <c r="BP52">
        <f>BF52+BH52+BJ52+BL52+BN52</f>
        <v>101</v>
      </c>
      <c r="BQ52">
        <f>SUM(BO52:BP52)</f>
        <v>172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f>BO52+BR52+BT52+BV52</f>
        <v>71</v>
      </c>
      <c r="BY52">
        <f>BP52+BS52+BU52+BW52</f>
        <v>101</v>
      </c>
      <c r="BZ52">
        <f>SUM(BX52:BY52)</f>
        <v>172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39</v>
      </c>
      <c r="CH52">
        <v>52</v>
      </c>
      <c r="CI52">
        <v>0</v>
      </c>
      <c r="CJ52">
        <v>0</v>
      </c>
      <c r="CK52">
        <f>CA52+CC52+CE52+CG52+CI52</f>
        <v>39</v>
      </c>
      <c r="CL52">
        <f>CB52+CD52+CF52+CH52+CJ52</f>
        <v>52</v>
      </c>
      <c r="CM52">
        <f>SUM(CK52:CL52)</f>
        <v>91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f>CK52+CN52+CP52+CR52</f>
        <v>39</v>
      </c>
      <c r="CU52">
        <f>CL52+CO52+CQ52+CS52</f>
        <v>52</v>
      </c>
      <c r="CV52">
        <f>SUM(CT52:CU52)</f>
        <v>91</v>
      </c>
      <c r="CW52">
        <f>BX52+CT52</f>
        <v>110</v>
      </c>
      <c r="CX52">
        <f>BY52+CU52</f>
        <v>153</v>
      </c>
      <c r="CY52">
        <f>BZ52+CV52</f>
        <v>263</v>
      </c>
      <c r="CZ52">
        <f>AO52+BB52+CW52</f>
        <v>423</v>
      </c>
      <c r="DA52">
        <f>AP52+BC52+CX52</f>
        <v>482</v>
      </c>
      <c r="DB52">
        <f>AQ52+BD52+CY52</f>
        <v>905</v>
      </c>
    </row>
    <row r="53" spans="1:106" hidden="1">
      <c r="A53" t="s">
        <v>134</v>
      </c>
      <c r="B53" t="s">
        <v>9</v>
      </c>
      <c r="C53" t="s">
        <v>135</v>
      </c>
      <c r="D53">
        <v>405423</v>
      </c>
      <c r="E53" t="s">
        <v>179</v>
      </c>
      <c r="F53" t="s">
        <v>180</v>
      </c>
      <c r="H53" t="s">
        <v>138</v>
      </c>
      <c r="I53" t="s">
        <v>139</v>
      </c>
      <c r="J53" t="s">
        <v>140</v>
      </c>
      <c r="K53" t="s">
        <v>151</v>
      </c>
      <c r="L53" t="s">
        <v>12</v>
      </c>
      <c r="M53" t="s">
        <v>181</v>
      </c>
      <c r="N53" t="s">
        <v>143</v>
      </c>
      <c r="O53" t="s">
        <v>182</v>
      </c>
      <c r="P53" t="s">
        <v>145</v>
      </c>
      <c r="Q53" t="s">
        <v>183</v>
      </c>
      <c r="R53">
        <v>24</v>
      </c>
      <c r="S53">
        <v>32</v>
      </c>
      <c r="T53">
        <f>SUM(R53:S53)</f>
        <v>56</v>
      </c>
      <c r="U53">
        <v>40</v>
      </c>
      <c r="V53">
        <v>33</v>
      </c>
      <c r="W53">
        <v>31</v>
      </c>
      <c r="X53">
        <v>36</v>
      </c>
      <c r="Y53">
        <v>38</v>
      </c>
      <c r="Z53">
        <v>33</v>
      </c>
      <c r="AA53">
        <v>39</v>
      </c>
      <c r="AB53">
        <v>46</v>
      </c>
      <c r="AC53">
        <v>38</v>
      </c>
      <c r="AD53">
        <v>45</v>
      </c>
      <c r="AE53">
        <v>37</v>
      </c>
      <c r="AF53">
        <v>38</v>
      </c>
      <c r="AG53">
        <v>0</v>
      </c>
      <c r="AH53">
        <v>0</v>
      </c>
      <c r="AL53">
        <f>U53+W53+Y53+AA53+AC53+AE53+AG53</f>
        <v>223</v>
      </c>
      <c r="AM53">
        <f>V53+X53+Z53+AB53+AD53+AF53+AH53</f>
        <v>231</v>
      </c>
      <c r="AN53">
        <f>SUM(AL53:AM53)</f>
        <v>454</v>
      </c>
      <c r="AO53">
        <f>R53+AL53</f>
        <v>247</v>
      </c>
      <c r="AP53">
        <f>S53+AM53</f>
        <v>263</v>
      </c>
      <c r="AQ53">
        <f>T53+AN53</f>
        <v>510</v>
      </c>
      <c r="AR53">
        <v>63</v>
      </c>
      <c r="AS53">
        <v>67</v>
      </c>
      <c r="AT53">
        <v>43</v>
      </c>
      <c r="AU53">
        <v>56</v>
      </c>
      <c r="AV53">
        <v>50</v>
      </c>
      <c r="AW53">
        <v>66</v>
      </c>
      <c r="AX53">
        <v>81</v>
      </c>
      <c r="AY53">
        <v>69</v>
      </c>
      <c r="AZ53">
        <v>0</v>
      </c>
      <c r="BA53">
        <v>0</v>
      </c>
      <c r="BB53">
        <f>AR53+AT53+AV53+AX53+AZ53</f>
        <v>237</v>
      </c>
      <c r="BC53">
        <f>AS53+AU53+AW53+AY53+BA53</f>
        <v>258</v>
      </c>
      <c r="BD53">
        <f>SUM(BB53:BC53)</f>
        <v>495</v>
      </c>
      <c r="BE53">
        <v>16</v>
      </c>
      <c r="BF53">
        <v>17</v>
      </c>
      <c r="BG53">
        <v>44</v>
      </c>
      <c r="BH53">
        <v>28</v>
      </c>
      <c r="BI53">
        <v>25</v>
      </c>
      <c r="BJ53">
        <v>30</v>
      </c>
      <c r="BK53">
        <v>0</v>
      </c>
      <c r="BL53">
        <v>0</v>
      </c>
      <c r="BM53">
        <v>0</v>
      </c>
      <c r="BN53">
        <v>0</v>
      </c>
      <c r="BO53">
        <f>BE53+BG53+BI53+BK53+BM53</f>
        <v>85</v>
      </c>
      <c r="BP53">
        <f>BF53+BH53+BJ53+BL53+BN53</f>
        <v>75</v>
      </c>
      <c r="BQ53">
        <f>SUM(BO53:BP53)</f>
        <v>160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f>BO53+BR53+BT53+BV53</f>
        <v>85</v>
      </c>
      <c r="BY53">
        <f>BP53+BS53+BU53+BW53</f>
        <v>75</v>
      </c>
      <c r="BZ53">
        <f>SUM(BX53:BY53)</f>
        <v>160</v>
      </c>
      <c r="CA53">
        <v>20</v>
      </c>
      <c r="CB53">
        <v>13</v>
      </c>
      <c r="CC53">
        <v>28</v>
      </c>
      <c r="CD53">
        <v>21</v>
      </c>
      <c r="CE53">
        <v>18</v>
      </c>
      <c r="CF53">
        <v>27</v>
      </c>
      <c r="CG53">
        <v>0</v>
      </c>
      <c r="CH53">
        <v>0</v>
      </c>
      <c r="CI53">
        <v>0</v>
      </c>
      <c r="CJ53">
        <v>0</v>
      </c>
      <c r="CK53">
        <f>CA53+CC53+CE53+CG53+CI53</f>
        <v>66</v>
      </c>
      <c r="CL53">
        <f>CB53+CD53+CF53+CH53+CJ53</f>
        <v>61</v>
      </c>
      <c r="CM53">
        <f>SUM(CK53:CL53)</f>
        <v>127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f>CK53+CN53+CP53+CR53</f>
        <v>66</v>
      </c>
      <c r="CU53">
        <f>CL53+CO53+CQ53+CS53</f>
        <v>61</v>
      </c>
      <c r="CV53">
        <f>SUM(CT53:CU53)</f>
        <v>127</v>
      </c>
      <c r="CW53">
        <f>BX53+CT53</f>
        <v>151</v>
      </c>
      <c r="CX53">
        <f>BY53+CU53</f>
        <v>136</v>
      </c>
      <c r="CY53">
        <f>BZ53+CV53</f>
        <v>287</v>
      </c>
      <c r="CZ53">
        <f>AO53+BB53+CW53</f>
        <v>635</v>
      </c>
      <c r="DA53">
        <f>AP53+BC53+CX53</f>
        <v>657</v>
      </c>
      <c r="DB53">
        <f>AQ53+BD53+CY53</f>
        <v>1292</v>
      </c>
    </row>
    <row r="54" spans="1:106" hidden="1">
      <c r="A54" t="s">
        <v>134</v>
      </c>
      <c r="B54" t="s">
        <v>9</v>
      </c>
      <c r="C54" t="s">
        <v>135</v>
      </c>
      <c r="D54">
        <v>405424</v>
      </c>
      <c r="E54" t="s">
        <v>184</v>
      </c>
      <c r="F54" t="s">
        <v>158</v>
      </c>
      <c r="H54" t="s">
        <v>138</v>
      </c>
      <c r="I54" t="s">
        <v>139</v>
      </c>
      <c r="J54" t="s">
        <v>140</v>
      </c>
      <c r="K54" t="s">
        <v>154</v>
      </c>
      <c r="L54" t="s">
        <v>12</v>
      </c>
      <c r="M54" t="s">
        <v>181</v>
      </c>
      <c r="N54" t="s">
        <v>143</v>
      </c>
      <c r="O54" t="s">
        <v>172</v>
      </c>
      <c r="P54" t="s">
        <v>145</v>
      </c>
      <c r="Q54" s="27" t="s">
        <v>173</v>
      </c>
      <c r="R54">
        <v>0</v>
      </c>
      <c r="S54">
        <v>0</v>
      </c>
      <c r="T54">
        <f>SUM(R54:S54)</f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L54">
        <f>U54+W54+Y54+AA54+AC54+AE54+AG54</f>
        <v>0</v>
      </c>
      <c r="AM54">
        <f>V54+X54+Z54+AB54+AD54+AF54+AH54</f>
        <v>0</v>
      </c>
      <c r="AN54">
        <f>SUM(AL54:AM54)</f>
        <v>0</v>
      </c>
      <c r="AO54">
        <f>R54+AL54</f>
        <v>0</v>
      </c>
      <c r="AP54">
        <f>S54+AM54</f>
        <v>0</v>
      </c>
      <c r="AQ54">
        <f>T54+AN54</f>
        <v>0</v>
      </c>
      <c r="AR54">
        <v>14</v>
      </c>
      <c r="AS54">
        <v>9</v>
      </c>
      <c r="AT54">
        <v>14</v>
      </c>
      <c r="AU54">
        <v>12</v>
      </c>
      <c r="AV54">
        <v>22</v>
      </c>
      <c r="AW54">
        <v>16</v>
      </c>
      <c r="AX54">
        <v>32</v>
      </c>
      <c r="AY54">
        <v>10</v>
      </c>
      <c r="AZ54">
        <v>0</v>
      </c>
      <c r="BA54">
        <v>0</v>
      </c>
      <c r="BB54">
        <f>AR54+AT54+AV54+AX54+AZ54</f>
        <v>82</v>
      </c>
      <c r="BC54">
        <f>AS54+AU54+AW54+AY54+BA54</f>
        <v>47</v>
      </c>
      <c r="BD54">
        <f>SUM(BB54:BC54)</f>
        <v>129</v>
      </c>
      <c r="BE54">
        <v>4</v>
      </c>
      <c r="BF54">
        <v>7</v>
      </c>
      <c r="BG54">
        <v>11</v>
      </c>
      <c r="BH54">
        <v>4</v>
      </c>
      <c r="BI54">
        <v>0</v>
      </c>
      <c r="BJ54">
        <v>4</v>
      </c>
      <c r="BK54">
        <v>7</v>
      </c>
      <c r="BL54">
        <v>3</v>
      </c>
      <c r="BM54">
        <v>0</v>
      </c>
      <c r="BN54">
        <v>0</v>
      </c>
      <c r="BO54">
        <f>BE54+BG54+BI54+BK54+BM54</f>
        <v>22</v>
      </c>
      <c r="BP54">
        <f>BF54+BH54+BJ54+BL54+BN54</f>
        <v>18</v>
      </c>
      <c r="BQ54">
        <f>SUM(BO54:BP54)</f>
        <v>40</v>
      </c>
      <c r="BR54">
        <v>7</v>
      </c>
      <c r="BS54">
        <v>8</v>
      </c>
      <c r="BT54">
        <v>0</v>
      </c>
      <c r="BU54">
        <v>0</v>
      </c>
      <c r="BV54">
        <v>0</v>
      </c>
      <c r="BW54">
        <v>0</v>
      </c>
      <c r="BX54">
        <f>BO54+BR54+BT54+BV54</f>
        <v>29</v>
      </c>
      <c r="BY54">
        <f>BP54+BS54+BU54+BW54</f>
        <v>26</v>
      </c>
      <c r="BZ54">
        <f>SUM(BX54:BY54)</f>
        <v>55</v>
      </c>
      <c r="CA54">
        <v>4</v>
      </c>
      <c r="CB54">
        <v>3</v>
      </c>
      <c r="CC54">
        <v>2</v>
      </c>
      <c r="CD54">
        <v>4</v>
      </c>
      <c r="CE54">
        <v>1</v>
      </c>
      <c r="CF54">
        <v>1</v>
      </c>
      <c r="CG54">
        <v>16</v>
      </c>
      <c r="CH54">
        <v>14</v>
      </c>
      <c r="CI54">
        <v>0</v>
      </c>
      <c r="CJ54">
        <v>0</v>
      </c>
      <c r="CK54">
        <f>CA54+CC54+CE54+CG54+CI54</f>
        <v>23</v>
      </c>
      <c r="CL54">
        <f>CB54+CD54+CF54+CH54+CJ54</f>
        <v>22</v>
      </c>
      <c r="CM54">
        <f>SUM(CK54:CL54)</f>
        <v>45</v>
      </c>
      <c r="CN54">
        <v>9</v>
      </c>
      <c r="CO54">
        <v>4</v>
      </c>
      <c r="CP54">
        <v>0</v>
      </c>
      <c r="CQ54">
        <v>0</v>
      </c>
      <c r="CR54">
        <v>0</v>
      </c>
      <c r="CS54">
        <v>0</v>
      </c>
      <c r="CT54">
        <f>CK54+CN54+CP54+CR54</f>
        <v>32</v>
      </c>
      <c r="CU54">
        <f>CL54+CO54+CQ54+CS54</f>
        <v>26</v>
      </c>
      <c r="CV54">
        <f>SUM(CT54:CU54)</f>
        <v>58</v>
      </c>
      <c r="CW54">
        <f>BX54+CT54</f>
        <v>61</v>
      </c>
      <c r="CX54">
        <f>BY54+CU54</f>
        <v>52</v>
      </c>
      <c r="CY54">
        <f>BZ54+CV54</f>
        <v>113</v>
      </c>
      <c r="CZ54">
        <f>AO54+BB54+CW54</f>
        <v>143</v>
      </c>
      <c r="DA54">
        <f>AP54+BC54+CX54</f>
        <v>99</v>
      </c>
      <c r="DB54">
        <f>AQ54+BD54+CY54</f>
        <v>242</v>
      </c>
    </row>
    <row r="55" spans="1:106" hidden="1">
      <c r="A55" t="s">
        <v>134</v>
      </c>
      <c r="B55" t="s">
        <v>9</v>
      </c>
      <c r="C55" t="s">
        <v>135</v>
      </c>
      <c r="D55">
        <v>405426</v>
      </c>
      <c r="E55" t="s">
        <v>185</v>
      </c>
      <c r="F55" t="s">
        <v>186</v>
      </c>
      <c r="H55" t="s">
        <v>138</v>
      </c>
      <c r="I55" t="s">
        <v>139</v>
      </c>
      <c r="J55" t="s">
        <v>140</v>
      </c>
      <c r="K55" t="s">
        <v>151</v>
      </c>
      <c r="L55" t="s">
        <v>12</v>
      </c>
      <c r="M55" t="s">
        <v>181</v>
      </c>
      <c r="N55" t="s">
        <v>143</v>
      </c>
      <c r="O55" t="s">
        <v>187</v>
      </c>
      <c r="P55" t="s">
        <v>145</v>
      </c>
      <c r="Q55" s="28" t="s">
        <v>188</v>
      </c>
      <c r="R55">
        <v>16</v>
      </c>
      <c r="S55">
        <v>9</v>
      </c>
      <c r="T55">
        <f>SUM(R55:S55)</f>
        <v>25</v>
      </c>
      <c r="U55">
        <v>13</v>
      </c>
      <c r="V55">
        <v>8</v>
      </c>
      <c r="W55">
        <v>9</v>
      </c>
      <c r="X55">
        <v>7</v>
      </c>
      <c r="Y55">
        <v>15</v>
      </c>
      <c r="Z55">
        <v>5</v>
      </c>
      <c r="AA55">
        <v>13</v>
      </c>
      <c r="AB55">
        <v>9</v>
      </c>
      <c r="AC55">
        <v>10</v>
      </c>
      <c r="AD55">
        <v>7</v>
      </c>
      <c r="AE55">
        <v>9</v>
      </c>
      <c r="AF55">
        <v>2</v>
      </c>
      <c r="AG55">
        <v>0</v>
      </c>
      <c r="AH55">
        <v>0</v>
      </c>
      <c r="AL55">
        <f>U55+W55+Y55+AA55+AC55+AE55+AG55</f>
        <v>69</v>
      </c>
      <c r="AM55">
        <f>V55+X55+Z55+AB55+AD55+AF55+AH55</f>
        <v>38</v>
      </c>
      <c r="AN55">
        <f>SUM(AL55:AM55)</f>
        <v>107</v>
      </c>
      <c r="AO55">
        <f>R55+AL55</f>
        <v>85</v>
      </c>
      <c r="AP55">
        <f>S55+AM55</f>
        <v>47</v>
      </c>
      <c r="AQ55">
        <f>T55+AN55</f>
        <v>132</v>
      </c>
      <c r="AR55">
        <v>5</v>
      </c>
      <c r="AS55">
        <v>4</v>
      </c>
      <c r="AT55">
        <v>3</v>
      </c>
      <c r="AU55">
        <v>3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f>AR55+AT55+AV55+AX55+AZ55</f>
        <v>8</v>
      </c>
      <c r="BC55">
        <f>AS55+AU55+AW55+AY55+BA55</f>
        <v>7</v>
      </c>
      <c r="BD55">
        <f>SUM(BB55:BC55)</f>
        <v>15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f>BE55+BG55+BI55+BK55+BM55</f>
        <v>0</v>
      </c>
      <c r="BP55">
        <f>BF55+BH55+BJ55+BL55+BN55</f>
        <v>0</v>
      </c>
      <c r="BQ55">
        <f>SUM(BO55:BP55)</f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f>BO55+BR55+BT55+BV55</f>
        <v>0</v>
      </c>
      <c r="BY55">
        <f>BP55+BS55+BU55+BW55</f>
        <v>0</v>
      </c>
      <c r="BZ55">
        <f>SUM(BX55:BY55)</f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f>CA55+CC55+CE55+CG55+CI55</f>
        <v>0</v>
      </c>
      <c r="CL55">
        <f>CB55+CD55+CF55+CH55+CJ55</f>
        <v>0</v>
      </c>
      <c r="CM55">
        <f>SUM(CK55:CL55)</f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f>CK55+CN55+CP55+CR55</f>
        <v>0</v>
      </c>
      <c r="CU55">
        <f>CL55+CO55+CQ55+CS55</f>
        <v>0</v>
      </c>
      <c r="CV55">
        <f>SUM(CT55:CU55)</f>
        <v>0</v>
      </c>
      <c r="CW55">
        <f>BX55+CT55</f>
        <v>0</v>
      </c>
      <c r="CX55">
        <f>BY55+CU55</f>
        <v>0</v>
      </c>
      <c r="CY55">
        <f>BZ55+CV55</f>
        <v>0</v>
      </c>
      <c r="CZ55">
        <f>AO55+BB55+CW55</f>
        <v>93</v>
      </c>
      <c r="DA55">
        <f>AP55+BC55+CX55</f>
        <v>54</v>
      </c>
      <c r="DB55">
        <f>AQ55+BD55+CY55</f>
        <v>147</v>
      </c>
    </row>
    <row r="56" spans="1:106" hidden="1">
      <c r="A56" t="s">
        <v>134</v>
      </c>
      <c r="B56" t="s">
        <v>9</v>
      </c>
      <c r="C56" t="s">
        <v>135</v>
      </c>
      <c r="D56">
        <v>405812</v>
      </c>
      <c r="E56" t="s">
        <v>189</v>
      </c>
      <c r="F56" t="s">
        <v>190</v>
      </c>
      <c r="H56" t="s">
        <v>138</v>
      </c>
      <c r="I56" t="s">
        <v>139</v>
      </c>
      <c r="J56" t="s">
        <v>140</v>
      </c>
      <c r="K56" t="s">
        <v>191</v>
      </c>
      <c r="L56" t="s">
        <v>12</v>
      </c>
      <c r="M56" t="s">
        <v>192</v>
      </c>
      <c r="N56" t="s">
        <v>143</v>
      </c>
      <c r="O56" t="s">
        <v>193</v>
      </c>
      <c r="P56" t="s">
        <v>145</v>
      </c>
      <c r="Q56" s="27" t="s">
        <v>194</v>
      </c>
      <c r="R56">
        <v>0</v>
      </c>
      <c r="S56">
        <v>0</v>
      </c>
      <c r="T56">
        <f>SUM(R56:S56)</f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L56">
        <f>U56+W56+Y56+AA56+AC56+AE56+AG56</f>
        <v>0</v>
      </c>
      <c r="AM56">
        <f>V56+X56+Z56+AB56+AD56+AF56+AH56</f>
        <v>0</v>
      </c>
      <c r="AN56">
        <f>SUM(AL56:AM56)</f>
        <v>0</v>
      </c>
      <c r="AO56">
        <f>R56+AL56</f>
        <v>0</v>
      </c>
      <c r="AP56">
        <f>S56+AM56</f>
        <v>0</v>
      </c>
      <c r="AQ56">
        <f>T56+AN56</f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f>AR56+AT56+AV56+AX56+AZ56</f>
        <v>0</v>
      </c>
      <c r="BC56">
        <f>AS56+AU56+AW56+AY56+BA56</f>
        <v>0</v>
      </c>
      <c r="BD56">
        <f>SUM(BB56:BC56)</f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f>BE56+BG56+BI56+BK56+BM56</f>
        <v>0</v>
      </c>
      <c r="BP56">
        <f>BF56+BH56+BJ56+BL56+BN56</f>
        <v>0</v>
      </c>
      <c r="BQ56">
        <f>SUM(BO56:BP56)</f>
        <v>0</v>
      </c>
      <c r="BR56">
        <v>123</v>
      </c>
      <c r="BS56">
        <v>25</v>
      </c>
      <c r="BT56">
        <v>0</v>
      </c>
      <c r="BU56">
        <v>0</v>
      </c>
      <c r="BV56">
        <v>0</v>
      </c>
      <c r="BW56">
        <v>0</v>
      </c>
      <c r="BX56">
        <f>BO56+BR56+BT56+BV56</f>
        <v>123</v>
      </c>
      <c r="BY56">
        <f>BP56+BS56+BU56+BW56</f>
        <v>25</v>
      </c>
      <c r="BZ56">
        <f>SUM(BX56:BY56)</f>
        <v>148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f>CA56+CC56+CE56+CG56+CI56</f>
        <v>0</v>
      </c>
      <c r="CL56">
        <f>CB56+CD56+CF56+CH56+CJ56</f>
        <v>0</v>
      </c>
      <c r="CM56">
        <f>SUM(CK56:CL56)</f>
        <v>0</v>
      </c>
      <c r="CN56">
        <v>85</v>
      </c>
      <c r="CO56">
        <v>32</v>
      </c>
      <c r="CP56">
        <v>0</v>
      </c>
      <c r="CQ56">
        <v>0</v>
      </c>
      <c r="CR56">
        <v>0</v>
      </c>
      <c r="CS56">
        <v>0</v>
      </c>
      <c r="CT56">
        <f>CK56+CN56+CP56+CR56</f>
        <v>85</v>
      </c>
      <c r="CU56">
        <f>CL56+CO56+CQ56+CS56</f>
        <v>32</v>
      </c>
      <c r="CV56">
        <f>SUM(CT56:CU56)</f>
        <v>117</v>
      </c>
      <c r="CW56">
        <f>BX56+CT56</f>
        <v>208</v>
      </c>
      <c r="CX56">
        <f>BY56+CU56</f>
        <v>57</v>
      </c>
      <c r="CY56">
        <f>BZ56+CV56</f>
        <v>265</v>
      </c>
      <c r="CZ56">
        <f>AO56+BB56+CW56</f>
        <v>208</v>
      </c>
      <c r="DA56">
        <f>AP56+BC56+CX56</f>
        <v>57</v>
      </c>
      <c r="DB56">
        <f>AQ56+BD56+CY56</f>
        <v>265</v>
      </c>
    </row>
    <row r="57" spans="1:106" hidden="1">
      <c r="A57" t="s">
        <v>134</v>
      </c>
      <c r="B57" t="s">
        <v>9</v>
      </c>
      <c r="C57" t="s">
        <v>135</v>
      </c>
      <c r="D57">
        <v>407899</v>
      </c>
      <c r="E57" t="s">
        <v>195</v>
      </c>
      <c r="F57" t="s">
        <v>196</v>
      </c>
      <c r="H57" t="s">
        <v>138</v>
      </c>
      <c r="I57" t="s">
        <v>139</v>
      </c>
      <c r="J57" t="s">
        <v>140</v>
      </c>
      <c r="K57" t="s">
        <v>154</v>
      </c>
      <c r="L57" t="s">
        <v>12</v>
      </c>
      <c r="M57" t="s">
        <v>181</v>
      </c>
      <c r="N57" t="s">
        <v>197</v>
      </c>
      <c r="O57" t="s">
        <v>198</v>
      </c>
      <c r="P57" t="s">
        <v>145</v>
      </c>
      <c r="Q57" s="27" t="s">
        <v>183</v>
      </c>
      <c r="R57">
        <v>0</v>
      </c>
      <c r="S57">
        <v>3</v>
      </c>
      <c r="T57">
        <f>SUM(R57:S57)</f>
        <v>3</v>
      </c>
      <c r="U57">
        <v>0</v>
      </c>
      <c r="V57">
        <v>1</v>
      </c>
      <c r="W57">
        <v>1</v>
      </c>
      <c r="X57">
        <v>3</v>
      </c>
      <c r="Y57">
        <v>2</v>
      </c>
      <c r="Z57">
        <v>1</v>
      </c>
      <c r="AA57">
        <v>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L57">
        <f>U57+W57+Y57+AA57+AC57+AE57+AG57</f>
        <v>5</v>
      </c>
      <c r="AM57">
        <f>V57+X57+Z57+AB57+AD57+AF57+AH57</f>
        <v>5</v>
      </c>
      <c r="AN57">
        <f>SUM(AL57:AM57)</f>
        <v>10</v>
      </c>
      <c r="AO57">
        <f>R57+AL57</f>
        <v>5</v>
      </c>
      <c r="AP57">
        <f>S57+AM57</f>
        <v>8</v>
      </c>
      <c r="AQ57">
        <f>T57+AN57</f>
        <v>13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f>AR57+AT57+AV57+AX57+AZ57</f>
        <v>0</v>
      </c>
      <c r="BC57">
        <f>AS57+AU57+AW57+AY57+BA57</f>
        <v>0</v>
      </c>
      <c r="BD57">
        <f>SUM(BB57:BC57)</f>
        <v>0</v>
      </c>
      <c r="BE57">
        <v>4</v>
      </c>
      <c r="BF57">
        <v>8</v>
      </c>
      <c r="BG57">
        <v>4</v>
      </c>
      <c r="BH57">
        <v>10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f>BE57+BG57+BI57+BK57+BM57</f>
        <v>8</v>
      </c>
      <c r="BP57">
        <f>BF57+BH57+BJ57+BL57+BN57</f>
        <v>18</v>
      </c>
      <c r="BQ57">
        <f>SUM(BO57:BP57)</f>
        <v>26</v>
      </c>
      <c r="BR57">
        <v>4</v>
      </c>
      <c r="BS57">
        <v>13</v>
      </c>
      <c r="BT57">
        <v>0</v>
      </c>
      <c r="BU57">
        <v>0</v>
      </c>
      <c r="BV57">
        <v>0</v>
      </c>
      <c r="BW57">
        <v>0</v>
      </c>
      <c r="BX57">
        <f>BO57+BR57+BT57+BV57</f>
        <v>12</v>
      </c>
      <c r="BY57">
        <f>BP57+BS57+BU57+BW57</f>
        <v>31</v>
      </c>
      <c r="BZ57">
        <f>SUM(BX57:BY57)</f>
        <v>43</v>
      </c>
      <c r="CA57">
        <v>3</v>
      </c>
      <c r="CB57">
        <v>2</v>
      </c>
      <c r="CC57">
        <v>4</v>
      </c>
      <c r="CD57">
        <v>6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f>CA57+CC57+CE57+CG57+CI57</f>
        <v>7</v>
      </c>
      <c r="CL57">
        <f>CB57+CD57+CF57+CH57+CJ57</f>
        <v>8</v>
      </c>
      <c r="CM57">
        <f>SUM(CK57:CL57)</f>
        <v>15</v>
      </c>
      <c r="CN57">
        <v>1</v>
      </c>
      <c r="CO57">
        <v>4</v>
      </c>
      <c r="CP57">
        <v>0</v>
      </c>
      <c r="CQ57">
        <v>0</v>
      </c>
      <c r="CR57">
        <v>0</v>
      </c>
      <c r="CS57">
        <v>0</v>
      </c>
      <c r="CT57">
        <f>CK57+CN57+CP57+CR57</f>
        <v>8</v>
      </c>
      <c r="CU57">
        <f>CL57+CO57+CQ57+CS57</f>
        <v>12</v>
      </c>
      <c r="CV57">
        <f>SUM(CT57:CU57)</f>
        <v>20</v>
      </c>
      <c r="CW57">
        <f>BX57+CT57</f>
        <v>20</v>
      </c>
      <c r="CX57">
        <f>BY57+CU57</f>
        <v>43</v>
      </c>
      <c r="CY57">
        <f>BZ57+CV57</f>
        <v>63</v>
      </c>
      <c r="CZ57">
        <f>AO57+BB57+CW57</f>
        <v>25</v>
      </c>
      <c r="DA57">
        <f>AP57+BC57+CX57</f>
        <v>51</v>
      </c>
      <c r="DB57">
        <f>AQ57+BD57+CY57</f>
        <v>76</v>
      </c>
    </row>
    <row r="58" spans="1:106" hidden="1">
      <c r="A58" t="s">
        <v>134</v>
      </c>
      <c r="B58" t="s">
        <v>9</v>
      </c>
      <c r="C58" t="s">
        <v>135</v>
      </c>
      <c r="D58">
        <v>410494</v>
      </c>
      <c r="E58" t="s">
        <v>199</v>
      </c>
      <c r="F58" t="s">
        <v>200</v>
      </c>
      <c r="H58" t="s">
        <v>138</v>
      </c>
      <c r="I58" t="s">
        <v>139</v>
      </c>
      <c r="J58" t="s">
        <v>201</v>
      </c>
      <c r="K58" t="s">
        <v>191</v>
      </c>
      <c r="L58" t="s">
        <v>12</v>
      </c>
      <c r="M58" t="s">
        <v>192</v>
      </c>
      <c r="N58" t="s">
        <v>143</v>
      </c>
      <c r="O58" t="s">
        <v>193</v>
      </c>
      <c r="P58" t="s">
        <v>145</v>
      </c>
      <c r="Q58" s="27" t="s">
        <v>194</v>
      </c>
      <c r="R58">
        <v>0</v>
      </c>
      <c r="S58">
        <v>0</v>
      </c>
      <c r="T58">
        <f>SUM(R58:S58)</f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L58">
        <f>U58+W58+Y58+AA58+AC58+AE58+AG58</f>
        <v>0</v>
      </c>
      <c r="AM58">
        <f>V58+X58+Z58+AB58+AD58+AF58+AH58</f>
        <v>0</v>
      </c>
      <c r="AN58">
        <f>SUM(AL58:AM58)</f>
        <v>0</v>
      </c>
      <c r="AO58">
        <f>R58+AL58</f>
        <v>0</v>
      </c>
      <c r="AP58">
        <f>S58+AM58</f>
        <v>0</v>
      </c>
      <c r="AQ58">
        <f>T58+AN58</f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f>AR58+AT58+AV58+AX58+AZ58</f>
        <v>0</v>
      </c>
      <c r="BC58">
        <f>AS58+AU58+AW58+AY58+BA58</f>
        <v>0</v>
      </c>
      <c r="BD58">
        <f>SUM(BB58:BC58)</f>
        <v>0</v>
      </c>
      <c r="BE58">
        <v>4</v>
      </c>
      <c r="BF58">
        <v>1</v>
      </c>
      <c r="BG58">
        <v>0</v>
      </c>
      <c r="BH58">
        <v>0</v>
      </c>
      <c r="BI58">
        <v>0</v>
      </c>
      <c r="BJ58">
        <v>0</v>
      </c>
      <c r="BK58">
        <v>6</v>
      </c>
      <c r="BL58">
        <v>4</v>
      </c>
      <c r="BM58">
        <v>0</v>
      </c>
      <c r="BN58">
        <v>0</v>
      </c>
      <c r="BO58">
        <f>BE58+BG58+BI58+BK58+BM58</f>
        <v>10</v>
      </c>
      <c r="BP58">
        <f>BF58+BH58+BJ58+BL58+BN58</f>
        <v>5</v>
      </c>
      <c r="BQ58">
        <f>SUM(BO58:BP58)</f>
        <v>15</v>
      </c>
      <c r="BR58">
        <v>3</v>
      </c>
      <c r="BS58">
        <v>7</v>
      </c>
      <c r="BT58">
        <v>0</v>
      </c>
      <c r="BU58">
        <v>0</v>
      </c>
      <c r="BV58">
        <v>0</v>
      </c>
      <c r="BW58">
        <v>0</v>
      </c>
      <c r="BX58">
        <f>BO58+BR58+BT58+BV58</f>
        <v>13</v>
      </c>
      <c r="BY58">
        <f>BP58+BS58+BU58+BW58</f>
        <v>12</v>
      </c>
      <c r="BZ58">
        <f>SUM(BX58:BY58)</f>
        <v>25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f>CA58+CC58+CE58+CG58+CI58</f>
        <v>0</v>
      </c>
      <c r="CL58">
        <f>CB58+CD58+CF58+CH58+CJ58</f>
        <v>0</v>
      </c>
      <c r="CM58">
        <f>SUM(CK58:CL58)</f>
        <v>0</v>
      </c>
      <c r="CN58">
        <v>8</v>
      </c>
      <c r="CO58">
        <v>27</v>
      </c>
      <c r="CP58">
        <v>0</v>
      </c>
      <c r="CQ58">
        <v>0</v>
      </c>
      <c r="CR58">
        <v>0</v>
      </c>
      <c r="CS58">
        <v>0</v>
      </c>
      <c r="CT58">
        <f>CK58+CN58+CP58+CR58</f>
        <v>8</v>
      </c>
      <c r="CU58">
        <f>CL58+CO58+CQ58+CS58</f>
        <v>27</v>
      </c>
      <c r="CV58">
        <f>SUM(CT58:CU58)</f>
        <v>35</v>
      </c>
      <c r="CW58">
        <f>BX58+CT58</f>
        <v>21</v>
      </c>
      <c r="CX58">
        <f>BY58+CU58</f>
        <v>39</v>
      </c>
      <c r="CY58">
        <f>BZ58+CV58</f>
        <v>60</v>
      </c>
      <c r="CZ58">
        <f>AO58+BB58+CW58</f>
        <v>21</v>
      </c>
      <c r="DA58">
        <f>AP58+BC58+CX58</f>
        <v>39</v>
      </c>
      <c r="DB58">
        <f>AQ58+BD58+CY58</f>
        <v>60</v>
      </c>
    </row>
    <row r="59" spans="1:106" hidden="1">
      <c r="A59" t="s">
        <v>134</v>
      </c>
      <c r="B59" t="s">
        <v>9</v>
      </c>
      <c r="C59" t="s">
        <v>135</v>
      </c>
      <c r="D59">
        <v>465506</v>
      </c>
      <c r="E59" t="s">
        <v>202</v>
      </c>
      <c r="F59" t="s">
        <v>203</v>
      </c>
      <c r="H59" t="s">
        <v>138</v>
      </c>
      <c r="I59" t="s">
        <v>139</v>
      </c>
      <c r="J59" t="s">
        <v>140</v>
      </c>
      <c r="K59" t="s">
        <v>154</v>
      </c>
      <c r="L59" t="s">
        <v>12</v>
      </c>
      <c r="M59" t="s">
        <v>192</v>
      </c>
      <c r="N59" t="s">
        <v>143</v>
      </c>
      <c r="O59" t="s">
        <v>182</v>
      </c>
      <c r="P59" t="s">
        <v>145</v>
      </c>
      <c r="Q59" t="s">
        <v>183</v>
      </c>
      <c r="R59">
        <v>10</v>
      </c>
      <c r="S59">
        <v>11</v>
      </c>
      <c r="T59">
        <f>SUM(R59:S59)</f>
        <v>21</v>
      </c>
      <c r="U59">
        <v>12</v>
      </c>
      <c r="V59">
        <v>8</v>
      </c>
      <c r="W59">
        <v>13</v>
      </c>
      <c r="X59">
        <v>16</v>
      </c>
      <c r="Y59">
        <v>13</v>
      </c>
      <c r="Z59">
        <v>10</v>
      </c>
      <c r="AA59">
        <v>9</v>
      </c>
      <c r="AB59">
        <v>13</v>
      </c>
      <c r="AC59">
        <v>14</v>
      </c>
      <c r="AD59">
        <v>15</v>
      </c>
      <c r="AE59">
        <v>16</v>
      </c>
      <c r="AF59">
        <v>6</v>
      </c>
      <c r="AG59">
        <v>0</v>
      </c>
      <c r="AH59">
        <v>0</v>
      </c>
      <c r="AL59">
        <f>U59+W59+Y59+AA59+AC59+AE59+AG59</f>
        <v>77</v>
      </c>
      <c r="AM59">
        <f>V59+X59+Z59+AB59+AD59+AF59+AH59</f>
        <v>68</v>
      </c>
      <c r="AN59">
        <f>SUM(AL59:AM59)</f>
        <v>145</v>
      </c>
      <c r="AO59">
        <f>R59+AL59</f>
        <v>87</v>
      </c>
      <c r="AP59">
        <f>S59+AM59</f>
        <v>79</v>
      </c>
      <c r="AQ59">
        <f>T59+AN59</f>
        <v>166</v>
      </c>
      <c r="AR59">
        <v>9</v>
      </c>
      <c r="AS59">
        <v>13</v>
      </c>
      <c r="AT59">
        <v>24</v>
      </c>
      <c r="AU59">
        <v>13</v>
      </c>
      <c r="AV59">
        <v>21</v>
      </c>
      <c r="AW59">
        <v>13</v>
      </c>
      <c r="AX59">
        <v>10</v>
      </c>
      <c r="AY59">
        <v>18</v>
      </c>
      <c r="AZ59">
        <v>0</v>
      </c>
      <c r="BA59">
        <v>0</v>
      </c>
      <c r="BB59">
        <f>AR59+AT59+AV59+AX59+AZ59</f>
        <v>64</v>
      </c>
      <c r="BC59">
        <f>AS59+AU59+AW59+AY59+BA59</f>
        <v>57</v>
      </c>
      <c r="BD59">
        <f>SUM(BB59:BC59)</f>
        <v>121</v>
      </c>
      <c r="BE59">
        <v>3</v>
      </c>
      <c r="BF59">
        <v>6</v>
      </c>
      <c r="BG59">
        <v>11</v>
      </c>
      <c r="BH59">
        <v>7</v>
      </c>
      <c r="BI59">
        <v>0</v>
      </c>
      <c r="BJ59">
        <v>0</v>
      </c>
      <c r="BK59">
        <v>18</v>
      </c>
      <c r="BL59">
        <v>8</v>
      </c>
      <c r="BM59">
        <v>0</v>
      </c>
      <c r="BN59">
        <v>0</v>
      </c>
      <c r="BO59">
        <f>BE59+BG59+BI59+BK59+BM59</f>
        <v>32</v>
      </c>
      <c r="BP59">
        <f>BF59+BH59+BJ59+BL59+BN59</f>
        <v>21</v>
      </c>
      <c r="BQ59">
        <f>SUM(BO59:BP59)</f>
        <v>53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f>BO59+BR59+BT59+BV59</f>
        <v>32</v>
      </c>
      <c r="BY59">
        <f>BP59+BS59+BU59+BW59</f>
        <v>21</v>
      </c>
      <c r="BZ59">
        <f>SUM(BX59:BY59)</f>
        <v>53</v>
      </c>
      <c r="CA59">
        <v>4</v>
      </c>
      <c r="CB59">
        <v>5</v>
      </c>
      <c r="CC59">
        <v>7</v>
      </c>
      <c r="CD59">
        <v>13</v>
      </c>
      <c r="CE59">
        <v>0</v>
      </c>
      <c r="CF59">
        <v>0</v>
      </c>
      <c r="CG59">
        <v>23</v>
      </c>
      <c r="CH59">
        <v>7</v>
      </c>
      <c r="CI59">
        <v>0</v>
      </c>
      <c r="CJ59">
        <v>0</v>
      </c>
      <c r="CK59">
        <f>CA59+CC59+CE59+CG59+CI59</f>
        <v>34</v>
      </c>
      <c r="CL59">
        <f>CB59+CD59+CF59+CH59+CJ59</f>
        <v>25</v>
      </c>
      <c r="CM59">
        <f>SUM(CK59:CL59)</f>
        <v>59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f>CK59+CN59+CP59+CR59</f>
        <v>34</v>
      </c>
      <c r="CU59">
        <f>CL59+CO59+CQ59+CS59</f>
        <v>25</v>
      </c>
      <c r="CV59">
        <f>SUM(CT59:CU59)</f>
        <v>59</v>
      </c>
      <c r="CW59">
        <f>BX59+CT59</f>
        <v>66</v>
      </c>
      <c r="CX59">
        <f>BY59+CU59</f>
        <v>46</v>
      </c>
      <c r="CY59">
        <f>BZ59+CV59</f>
        <v>112</v>
      </c>
      <c r="CZ59">
        <f>AO59+BB59+CW59</f>
        <v>217</v>
      </c>
      <c r="DA59">
        <f>AP59+BC59+CX59</f>
        <v>182</v>
      </c>
      <c r="DB59">
        <f>AQ59+BD59+CY59</f>
        <v>399</v>
      </c>
    </row>
    <row r="60" spans="1:106">
      <c r="A60" t="s">
        <v>134</v>
      </c>
      <c r="B60" t="s">
        <v>9</v>
      </c>
      <c r="C60" t="s">
        <v>135</v>
      </c>
      <c r="D60">
        <v>500454</v>
      </c>
      <c r="E60" t="s">
        <v>204</v>
      </c>
      <c r="F60" t="s">
        <v>205</v>
      </c>
      <c r="H60" t="s">
        <v>138</v>
      </c>
      <c r="I60" t="s">
        <v>139</v>
      </c>
      <c r="J60" t="s">
        <v>140</v>
      </c>
      <c r="K60" t="s">
        <v>154</v>
      </c>
      <c r="L60" t="s">
        <v>0</v>
      </c>
      <c r="M60" t="s">
        <v>142</v>
      </c>
      <c r="N60" t="s">
        <v>143</v>
      </c>
      <c r="O60" t="s">
        <v>182</v>
      </c>
      <c r="P60" t="s">
        <v>145</v>
      </c>
      <c r="Q60" t="s">
        <v>183</v>
      </c>
      <c r="R60">
        <v>18</v>
      </c>
      <c r="S60">
        <v>14</v>
      </c>
      <c r="T60">
        <f>SUM(R60:S60)</f>
        <v>32</v>
      </c>
      <c r="U60">
        <v>17</v>
      </c>
      <c r="V60">
        <v>14</v>
      </c>
      <c r="W60">
        <v>26</v>
      </c>
      <c r="X60">
        <v>15</v>
      </c>
      <c r="Y60">
        <v>13</v>
      </c>
      <c r="Z60">
        <v>11</v>
      </c>
      <c r="AA60">
        <v>18</v>
      </c>
      <c r="AB60">
        <v>17</v>
      </c>
      <c r="AC60">
        <v>23</v>
      </c>
      <c r="AD60">
        <v>19</v>
      </c>
      <c r="AE60">
        <v>11</v>
      </c>
      <c r="AF60">
        <v>17</v>
      </c>
      <c r="AG60">
        <v>0</v>
      </c>
      <c r="AH60">
        <v>0</v>
      </c>
      <c r="AI60">
        <f t="shared" ref="AI60:AI97" si="7">SUM(AA60:AF60)</f>
        <v>105</v>
      </c>
      <c r="AL60">
        <f>U60+W60+Y60+AA60+AC60+AE60+AG60</f>
        <v>108</v>
      </c>
      <c r="AM60">
        <f>V60+X60+Z60+AB60+AD60+AF60+AH60</f>
        <v>93</v>
      </c>
      <c r="AN60">
        <f>SUM(AL60:AM60)</f>
        <v>201</v>
      </c>
      <c r="AO60">
        <f>R60+AL60</f>
        <v>126</v>
      </c>
      <c r="AP60">
        <f>S60+AM60</f>
        <v>107</v>
      </c>
      <c r="AQ60">
        <f>T60+AN60</f>
        <v>233</v>
      </c>
      <c r="AR60">
        <v>10</v>
      </c>
      <c r="AS60">
        <v>13</v>
      </c>
      <c r="AT60">
        <v>5</v>
      </c>
      <c r="AU60">
        <v>19</v>
      </c>
      <c r="AV60">
        <v>16</v>
      </c>
      <c r="AW60">
        <v>7</v>
      </c>
      <c r="AX60">
        <v>7</v>
      </c>
      <c r="AY60">
        <v>9</v>
      </c>
      <c r="AZ60">
        <v>0</v>
      </c>
      <c r="BA60">
        <v>0</v>
      </c>
      <c r="BB60">
        <f>AR60+AT60+AV60+AX60+AZ60</f>
        <v>38</v>
      </c>
      <c r="BC60">
        <f>AS60+AU60+AW60+AY60+BA60</f>
        <v>48</v>
      </c>
      <c r="BD60">
        <f>SUM(BB60:BC60)</f>
        <v>86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10</v>
      </c>
      <c r="BL60">
        <v>12</v>
      </c>
      <c r="BM60">
        <v>0</v>
      </c>
      <c r="BN60">
        <v>0</v>
      </c>
      <c r="BO60">
        <f>BE60+BG60+BI60+BK60+BM60</f>
        <v>10</v>
      </c>
      <c r="BP60">
        <f>BF60+BH60+BJ60+BL60+BN60</f>
        <v>12</v>
      </c>
      <c r="BQ60">
        <f>SUM(BO60:BP60)</f>
        <v>22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f>BO60+BR60+BT60+BV60</f>
        <v>10</v>
      </c>
      <c r="BY60">
        <f>BP60+BS60+BU60+BW60</f>
        <v>12</v>
      </c>
      <c r="BZ60">
        <f>SUM(BX60:BY60)</f>
        <v>22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9</v>
      </c>
      <c r="CH60">
        <v>7</v>
      </c>
      <c r="CI60">
        <v>0</v>
      </c>
      <c r="CJ60">
        <v>0</v>
      </c>
      <c r="CK60">
        <f>CA60+CC60+CE60+CG60+CI60</f>
        <v>9</v>
      </c>
      <c r="CL60">
        <f>CB60+CD60+CF60+CH60+CJ60</f>
        <v>7</v>
      </c>
      <c r="CM60">
        <f>SUM(CK60:CL60)</f>
        <v>16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f>CK60+CN60+CP60+CR60</f>
        <v>9</v>
      </c>
      <c r="CU60">
        <f>CL60+CO60+CQ60+CS60</f>
        <v>7</v>
      </c>
      <c r="CV60">
        <f>SUM(CT60:CU60)</f>
        <v>16</v>
      </c>
      <c r="CW60">
        <f>BX60+CT60</f>
        <v>19</v>
      </c>
      <c r="CX60">
        <f>BY60+CU60</f>
        <v>19</v>
      </c>
      <c r="CY60">
        <f>BZ60+CV60</f>
        <v>38</v>
      </c>
      <c r="CZ60">
        <f>AO60+BB60+CW60</f>
        <v>183</v>
      </c>
      <c r="DA60">
        <f>AP60+BC60+CX60</f>
        <v>174</v>
      </c>
      <c r="DB60">
        <f>AQ60+BD60+CY60</f>
        <v>357</v>
      </c>
    </row>
    <row r="61" spans="1:106">
      <c r="A61" t="s">
        <v>134</v>
      </c>
      <c r="B61" t="s">
        <v>9</v>
      </c>
      <c r="C61" t="s">
        <v>135</v>
      </c>
      <c r="D61">
        <v>501424</v>
      </c>
      <c r="E61" t="s">
        <v>206</v>
      </c>
      <c r="F61" t="s">
        <v>207</v>
      </c>
      <c r="H61" t="s">
        <v>138</v>
      </c>
      <c r="I61" t="s">
        <v>139</v>
      </c>
      <c r="J61" t="s">
        <v>140</v>
      </c>
      <c r="K61" t="s">
        <v>208</v>
      </c>
      <c r="L61" t="s">
        <v>0</v>
      </c>
      <c r="M61" t="s">
        <v>142</v>
      </c>
      <c r="N61" t="s">
        <v>143</v>
      </c>
      <c r="O61" t="s">
        <v>182</v>
      </c>
      <c r="P61" t="s">
        <v>145</v>
      </c>
      <c r="Q61" t="s">
        <v>183</v>
      </c>
      <c r="R61">
        <v>19</v>
      </c>
      <c r="S61">
        <v>25</v>
      </c>
      <c r="T61">
        <f>SUM(R61:S61)</f>
        <v>44</v>
      </c>
      <c r="U61">
        <v>46</v>
      </c>
      <c r="V61">
        <v>28</v>
      </c>
      <c r="W61">
        <v>19</v>
      </c>
      <c r="X61">
        <v>16</v>
      </c>
      <c r="Y61">
        <v>28</v>
      </c>
      <c r="Z61">
        <v>26</v>
      </c>
      <c r="AA61">
        <v>19</v>
      </c>
      <c r="AB61">
        <v>22</v>
      </c>
      <c r="AC61">
        <v>16</v>
      </c>
      <c r="AD61">
        <v>22</v>
      </c>
      <c r="AE61">
        <v>15</v>
      </c>
      <c r="AF61">
        <v>15</v>
      </c>
      <c r="AG61">
        <v>0</v>
      </c>
      <c r="AH61">
        <v>0</v>
      </c>
      <c r="AI61">
        <f t="shared" si="7"/>
        <v>109</v>
      </c>
      <c r="AL61">
        <f>U61+W61+Y61+AA61+AC61+AE61+AG61</f>
        <v>143</v>
      </c>
      <c r="AM61">
        <f>V61+X61+Z61+AB61+AD61+AF61+AH61</f>
        <v>129</v>
      </c>
      <c r="AN61">
        <f>SUM(AL61:AM61)</f>
        <v>272</v>
      </c>
      <c r="AO61">
        <f>R61+AL61</f>
        <v>162</v>
      </c>
      <c r="AP61">
        <f>S61+AM61</f>
        <v>154</v>
      </c>
      <c r="AQ61">
        <f>T61+AN61</f>
        <v>316</v>
      </c>
      <c r="AR61">
        <v>20</v>
      </c>
      <c r="AS61">
        <v>25</v>
      </c>
      <c r="AT61">
        <v>10</v>
      </c>
      <c r="AU61">
        <v>19</v>
      </c>
      <c r="AV61">
        <v>16</v>
      </c>
      <c r="AW61">
        <v>15</v>
      </c>
      <c r="AX61">
        <v>14</v>
      </c>
      <c r="AY61">
        <v>17</v>
      </c>
      <c r="AZ61">
        <v>0</v>
      </c>
      <c r="BA61">
        <v>0</v>
      </c>
      <c r="BB61">
        <f>AR61+AT61+AV61+AX61+AZ61</f>
        <v>60</v>
      </c>
      <c r="BC61">
        <f>AS61+AU61+AW61+AY61+BA61</f>
        <v>76</v>
      </c>
      <c r="BD61">
        <f>SUM(BB61:BC61)</f>
        <v>136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3</v>
      </c>
      <c r="BL61">
        <v>9</v>
      </c>
      <c r="BM61">
        <v>0</v>
      </c>
      <c r="BN61">
        <v>0</v>
      </c>
      <c r="BO61">
        <f>BE61+BG61+BI61+BK61+BM61</f>
        <v>3</v>
      </c>
      <c r="BP61">
        <f>BF61+BH61+BJ61+BL61+BN61</f>
        <v>9</v>
      </c>
      <c r="BQ61">
        <f>SUM(BO61:BP61)</f>
        <v>12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f>BO61+BR61+BT61+BV61</f>
        <v>3</v>
      </c>
      <c r="BY61">
        <f>BP61+BS61+BU61+BW61</f>
        <v>9</v>
      </c>
      <c r="BZ61">
        <f>SUM(BX61:BY61)</f>
        <v>12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f>CA61+CC61+CE61+CG61+CI61</f>
        <v>0</v>
      </c>
      <c r="CL61">
        <f>CB61+CD61+CF61+CH61+CJ61</f>
        <v>0</v>
      </c>
      <c r="CM61">
        <f>SUM(CK61:CL61)</f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f>CK61+CN61+CP61+CR61</f>
        <v>0</v>
      </c>
      <c r="CU61">
        <f>CL61+CO61+CQ61+CS61</f>
        <v>0</v>
      </c>
      <c r="CV61">
        <f>SUM(CT61:CU61)</f>
        <v>0</v>
      </c>
      <c r="CW61">
        <f>BX61+CT61</f>
        <v>3</v>
      </c>
      <c r="CX61">
        <f>BY61+CU61</f>
        <v>9</v>
      </c>
      <c r="CY61">
        <f>BZ61+CV61</f>
        <v>12</v>
      </c>
      <c r="CZ61">
        <f>AO61+BB61+CW61</f>
        <v>225</v>
      </c>
      <c r="DA61">
        <f>AP61+BC61+CX61</f>
        <v>239</v>
      </c>
      <c r="DB61">
        <f>AQ61+BD61+CY61</f>
        <v>464</v>
      </c>
    </row>
    <row r="62" spans="1:106">
      <c r="A62" t="s">
        <v>134</v>
      </c>
      <c r="B62" t="s">
        <v>9</v>
      </c>
      <c r="C62" t="s">
        <v>209</v>
      </c>
      <c r="D62">
        <v>101813</v>
      </c>
      <c r="E62" t="s">
        <v>210</v>
      </c>
      <c r="F62" t="s">
        <v>211</v>
      </c>
      <c r="H62" t="s">
        <v>138</v>
      </c>
      <c r="I62" t="s">
        <v>139</v>
      </c>
      <c r="J62" t="s">
        <v>140</v>
      </c>
      <c r="K62" t="s">
        <v>212</v>
      </c>
      <c r="L62" t="s">
        <v>0</v>
      </c>
      <c r="M62" t="s">
        <v>142</v>
      </c>
      <c r="N62" t="s">
        <v>143</v>
      </c>
      <c r="O62" t="s">
        <v>144</v>
      </c>
      <c r="P62" t="s">
        <v>145</v>
      </c>
      <c r="Q62" s="27" t="s">
        <v>146</v>
      </c>
      <c r="R62">
        <v>10</v>
      </c>
      <c r="S62">
        <v>6</v>
      </c>
      <c r="T62">
        <f>SUM(R62:S62)</f>
        <v>16</v>
      </c>
      <c r="U62">
        <v>8</v>
      </c>
      <c r="V62">
        <v>11</v>
      </c>
      <c r="W62">
        <v>9</v>
      </c>
      <c r="X62">
        <v>3</v>
      </c>
      <c r="Y62">
        <v>12</v>
      </c>
      <c r="Z62">
        <v>7</v>
      </c>
      <c r="AA62">
        <v>15</v>
      </c>
      <c r="AB62">
        <v>13</v>
      </c>
      <c r="AC62">
        <v>5</v>
      </c>
      <c r="AD62">
        <v>5</v>
      </c>
      <c r="AE62">
        <v>7</v>
      </c>
      <c r="AF62">
        <v>8</v>
      </c>
      <c r="AG62">
        <v>0</v>
      </c>
      <c r="AH62">
        <v>0</v>
      </c>
      <c r="AI62">
        <f t="shared" si="7"/>
        <v>53</v>
      </c>
      <c r="AL62">
        <f>U62+W62+Y62+AA62+AC62+AE62+AG62</f>
        <v>56</v>
      </c>
      <c r="AM62">
        <f>V62+X62+Z62+AB62+AD62+AF62+AH62</f>
        <v>47</v>
      </c>
      <c r="AN62">
        <f>SUM(AL62:AM62)</f>
        <v>103</v>
      </c>
      <c r="AO62">
        <f>R62+AL62</f>
        <v>66</v>
      </c>
      <c r="AP62">
        <f>S62+AM62</f>
        <v>53</v>
      </c>
      <c r="AQ62">
        <f>T62+AN62</f>
        <v>119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f>AR62+AT62+AV62+AX62+AZ62</f>
        <v>0</v>
      </c>
      <c r="BC62">
        <f>AS62+AU62+AW62+AY62+BA62</f>
        <v>0</v>
      </c>
      <c r="BD62">
        <f>SUM(BB62:BC62)</f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f>BE62+BG62+BI62+BK62+BM62</f>
        <v>0</v>
      </c>
      <c r="BP62">
        <f>BF62+BH62+BJ62+BL62+BN62</f>
        <v>0</v>
      </c>
      <c r="BQ62">
        <f>SUM(BO62:BP62)</f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f>BO62+BR62+BT62+BV62</f>
        <v>0</v>
      </c>
      <c r="BY62">
        <f>BP62+BS62+BU62+BW62</f>
        <v>0</v>
      </c>
      <c r="BZ62">
        <f>SUM(BX62:BY62)</f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f>CA62+CC62+CE62+CG62+CI62</f>
        <v>0</v>
      </c>
      <c r="CL62">
        <f>CB62+CD62+CF62+CH62+CJ62</f>
        <v>0</v>
      </c>
      <c r="CM62">
        <f>SUM(CK62:CL62)</f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f>CK62+CN62+CP62+CR62</f>
        <v>0</v>
      </c>
      <c r="CU62">
        <f>CL62+CO62+CQ62+CS62</f>
        <v>0</v>
      </c>
      <c r="CV62">
        <f>SUM(CT62:CU62)</f>
        <v>0</v>
      </c>
      <c r="CW62">
        <f>BX62+CT62</f>
        <v>0</v>
      </c>
      <c r="CX62">
        <f>BY62+CU62</f>
        <v>0</v>
      </c>
      <c r="CY62">
        <f>BZ62+CV62</f>
        <v>0</v>
      </c>
      <c r="CZ62">
        <f>AO62+BB62+CW62</f>
        <v>66</v>
      </c>
      <c r="DA62">
        <f>AP62+BC62+CX62</f>
        <v>53</v>
      </c>
      <c r="DB62">
        <f>AQ62+BD62+CY62</f>
        <v>119</v>
      </c>
    </row>
    <row r="63" spans="1:106">
      <c r="A63" t="s">
        <v>134</v>
      </c>
      <c r="B63" t="s">
        <v>9</v>
      </c>
      <c r="C63" t="s">
        <v>209</v>
      </c>
      <c r="D63">
        <v>129387</v>
      </c>
      <c r="E63" t="s">
        <v>213</v>
      </c>
      <c r="F63" t="s">
        <v>214</v>
      </c>
      <c r="H63" t="s">
        <v>138</v>
      </c>
      <c r="I63" t="s">
        <v>139</v>
      </c>
      <c r="J63" t="s">
        <v>140</v>
      </c>
      <c r="K63" t="s">
        <v>215</v>
      </c>
      <c r="L63" t="s">
        <v>0</v>
      </c>
      <c r="M63" t="s">
        <v>142</v>
      </c>
      <c r="N63" t="s">
        <v>143</v>
      </c>
      <c r="O63" t="s">
        <v>144</v>
      </c>
      <c r="P63" t="s">
        <v>145</v>
      </c>
      <c r="Q63" s="27" t="s">
        <v>146</v>
      </c>
      <c r="R63">
        <v>19</v>
      </c>
      <c r="S63">
        <v>8</v>
      </c>
      <c r="T63">
        <f>SUM(R63:S63)</f>
        <v>27</v>
      </c>
      <c r="U63">
        <v>15</v>
      </c>
      <c r="V63">
        <v>11</v>
      </c>
      <c r="W63">
        <v>16</v>
      </c>
      <c r="X63">
        <v>20</v>
      </c>
      <c r="Y63">
        <v>15</v>
      </c>
      <c r="Z63">
        <v>22</v>
      </c>
      <c r="AA63">
        <v>22</v>
      </c>
      <c r="AB63">
        <v>26</v>
      </c>
      <c r="AC63">
        <v>17</v>
      </c>
      <c r="AD63">
        <v>12</v>
      </c>
      <c r="AE63">
        <v>15</v>
      </c>
      <c r="AF63">
        <v>14</v>
      </c>
      <c r="AG63">
        <v>0</v>
      </c>
      <c r="AH63">
        <v>0</v>
      </c>
      <c r="AI63">
        <f t="shared" si="7"/>
        <v>106</v>
      </c>
      <c r="AL63">
        <f>U63+W63+Y63+AA63+AC63+AE63+AG63</f>
        <v>100</v>
      </c>
      <c r="AM63">
        <f>V63+X63+Z63+AB63+AD63+AF63+AH63</f>
        <v>105</v>
      </c>
      <c r="AN63">
        <f>SUM(AL63:AM63)</f>
        <v>205</v>
      </c>
      <c r="AO63">
        <f>R63+AL63</f>
        <v>119</v>
      </c>
      <c r="AP63">
        <f>S63+AM63</f>
        <v>113</v>
      </c>
      <c r="AQ63">
        <f>T63+AN63</f>
        <v>232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f>AR63+AT63+AV63+AX63+AZ63</f>
        <v>0</v>
      </c>
      <c r="BC63">
        <f>AS63+AU63+AW63+AY63+BA63</f>
        <v>0</v>
      </c>
      <c r="BD63">
        <f>SUM(BB63:BC63)</f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f>BE63+BG63+BI63+BK63+BM63</f>
        <v>0</v>
      </c>
      <c r="BP63">
        <f>BF63+BH63+BJ63+BL63+BN63</f>
        <v>0</v>
      </c>
      <c r="BQ63">
        <f>SUM(BO63:BP63)</f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f>BO63+BR63+BT63+BV63</f>
        <v>0</v>
      </c>
      <c r="BY63">
        <f>BP63+BS63+BU63+BW63</f>
        <v>0</v>
      </c>
      <c r="BZ63">
        <f>SUM(BX63:BY63)</f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f>CA63+CC63+CE63+CG63+CI63</f>
        <v>0</v>
      </c>
      <c r="CL63">
        <f>CB63+CD63+CF63+CH63+CJ63</f>
        <v>0</v>
      </c>
      <c r="CM63">
        <f>SUM(CK63:CL63)</f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f>CK63+CN63+CP63+CR63</f>
        <v>0</v>
      </c>
      <c r="CU63">
        <f>CL63+CO63+CQ63+CS63</f>
        <v>0</v>
      </c>
      <c r="CV63">
        <f>SUM(CT63:CU63)</f>
        <v>0</v>
      </c>
      <c r="CW63">
        <f>BX63+CT63</f>
        <v>0</v>
      </c>
      <c r="CX63">
        <f>BY63+CU63</f>
        <v>0</v>
      </c>
      <c r="CY63">
        <f>BZ63+CV63</f>
        <v>0</v>
      </c>
      <c r="CZ63">
        <f>AO63+BB63+CW63</f>
        <v>119</v>
      </c>
      <c r="DA63">
        <f>AP63+BC63+CX63</f>
        <v>113</v>
      </c>
      <c r="DB63">
        <f>AQ63+BD63+CY63</f>
        <v>232</v>
      </c>
    </row>
    <row r="64" spans="1:106">
      <c r="A64" t="s">
        <v>134</v>
      </c>
      <c r="B64" t="s">
        <v>9</v>
      </c>
      <c r="C64" t="s">
        <v>209</v>
      </c>
      <c r="D64">
        <v>129388</v>
      </c>
      <c r="E64" t="s">
        <v>216</v>
      </c>
      <c r="F64" t="s">
        <v>217</v>
      </c>
      <c r="H64" t="s">
        <v>138</v>
      </c>
      <c r="I64" t="s">
        <v>139</v>
      </c>
      <c r="J64" t="s">
        <v>140</v>
      </c>
      <c r="K64" t="s">
        <v>218</v>
      </c>
      <c r="L64" t="s">
        <v>0</v>
      </c>
      <c r="M64" t="s">
        <v>142</v>
      </c>
      <c r="N64" t="s">
        <v>143</v>
      </c>
      <c r="O64" t="s">
        <v>144</v>
      </c>
      <c r="P64" t="s">
        <v>145</v>
      </c>
      <c r="Q64" s="27" t="s">
        <v>146</v>
      </c>
      <c r="R64">
        <v>15</v>
      </c>
      <c r="S64">
        <v>22</v>
      </c>
      <c r="T64">
        <f>SUM(R64:S64)</f>
        <v>37</v>
      </c>
      <c r="U64">
        <v>46</v>
      </c>
      <c r="V64">
        <v>22</v>
      </c>
      <c r="W64">
        <v>45</v>
      </c>
      <c r="X64">
        <v>25</v>
      </c>
      <c r="Y64">
        <v>30</v>
      </c>
      <c r="Z64">
        <v>26</v>
      </c>
      <c r="AA64">
        <v>22</v>
      </c>
      <c r="AB64">
        <v>27</v>
      </c>
      <c r="AC64">
        <v>26</v>
      </c>
      <c r="AD64">
        <v>26</v>
      </c>
      <c r="AE64">
        <v>20</v>
      </c>
      <c r="AF64">
        <v>18</v>
      </c>
      <c r="AG64">
        <v>0</v>
      </c>
      <c r="AH64">
        <v>0</v>
      </c>
      <c r="AI64">
        <f t="shared" si="7"/>
        <v>139</v>
      </c>
      <c r="AL64">
        <f>U64+W64+Y64+AA64+AC64+AE64+AG64</f>
        <v>189</v>
      </c>
      <c r="AM64">
        <f>V64+X64+Z64+AB64+AD64+AF64+AH64</f>
        <v>144</v>
      </c>
      <c r="AN64">
        <f>SUM(AL64:AM64)</f>
        <v>333</v>
      </c>
      <c r="AO64">
        <f>R64+AL64</f>
        <v>204</v>
      </c>
      <c r="AP64">
        <f>S64+AM64</f>
        <v>166</v>
      </c>
      <c r="AQ64">
        <f>T64+AN64</f>
        <v>370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f>AR64+AT64+AV64+AX64+AZ64</f>
        <v>0</v>
      </c>
      <c r="BC64">
        <f>AS64+AU64+AW64+AY64+BA64</f>
        <v>0</v>
      </c>
      <c r="BD64">
        <f>SUM(BB64:BC64)</f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f>BE64+BG64+BI64+BK64+BM64</f>
        <v>0</v>
      </c>
      <c r="BP64">
        <f>BF64+BH64+BJ64+BL64+BN64</f>
        <v>0</v>
      </c>
      <c r="BQ64">
        <f>SUM(BO64:BP64)</f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f>BO64+BR64+BT64+BV64</f>
        <v>0</v>
      </c>
      <c r="BY64">
        <f>BP64+BS64+BU64+BW64</f>
        <v>0</v>
      </c>
      <c r="BZ64">
        <f>SUM(BX64:BY64)</f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f>CA64+CC64+CE64+CG64+CI64</f>
        <v>0</v>
      </c>
      <c r="CL64">
        <f>CB64+CD64+CF64+CH64+CJ64</f>
        <v>0</v>
      </c>
      <c r="CM64">
        <f>SUM(CK64:CL64)</f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f>CK64+CN64+CP64+CR64</f>
        <v>0</v>
      </c>
      <c r="CU64">
        <f>CL64+CO64+CQ64+CS64</f>
        <v>0</v>
      </c>
      <c r="CV64">
        <f>SUM(CT64:CU64)</f>
        <v>0</v>
      </c>
      <c r="CW64">
        <f>BX64+CT64</f>
        <v>0</v>
      </c>
      <c r="CX64">
        <f>BY64+CU64</f>
        <v>0</v>
      </c>
      <c r="CY64">
        <f>BZ64+CV64</f>
        <v>0</v>
      </c>
      <c r="CZ64">
        <f>AO64+BB64+CW64</f>
        <v>204</v>
      </c>
      <c r="DA64">
        <f>AP64+BC64+CX64</f>
        <v>166</v>
      </c>
      <c r="DB64">
        <f>AQ64+BD64+CY64</f>
        <v>370</v>
      </c>
    </row>
    <row r="65" spans="1:106">
      <c r="A65" t="s">
        <v>134</v>
      </c>
      <c r="B65" t="s">
        <v>9</v>
      </c>
      <c r="C65" t="s">
        <v>209</v>
      </c>
      <c r="D65">
        <v>129389</v>
      </c>
      <c r="E65" t="s">
        <v>219</v>
      </c>
      <c r="F65" t="s">
        <v>220</v>
      </c>
      <c r="H65" t="s">
        <v>138</v>
      </c>
      <c r="I65" t="s">
        <v>139</v>
      </c>
      <c r="J65" t="s">
        <v>140</v>
      </c>
      <c r="K65" t="s">
        <v>191</v>
      </c>
      <c r="L65" t="s">
        <v>0</v>
      </c>
      <c r="M65" t="s">
        <v>142</v>
      </c>
      <c r="N65" t="s">
        <v>143</v>
      </c>
      <c r="O65" t="s">
        <v>144</v>
      </c>
      <c r="P65" t="s">
        <v>145</v>
      </c>
      <c r="Q65" s="27" t="s">
        <v>146</v>
      </c>
      <c r="R65">
        <v>70</v>
      </c>
      <c r="S65">
        <v>51</v>
      </c>
      <c r="T65">
        <f>SUM(R65:S65)</f>
        <v>121</v>
      </c>
      <c r="U65">
        <v>69</v>
      </c>
      <c r="V65">
        <v>70</v>
      </c>
      <c r="W65">
        <v>55</v>
      </c>
      <c r="X65">
        <v>60</v>
      </c>
      <c r="Y65">
        <v>64</v>
      </c>
      <c r="Z65">
        <v>60</v>
      </c>
      <c r="AA65">
        <v>68</v>
      </c>
      <c r="AB65">
        <v>65</v>
      </c>
      <c r="AC65">
        <v>65</v>
      </c>
      <c r="AD65">
        <v>51</v>
      </c>
      <c r="AE65">
        <v>59</v>
      </c>
      <c r="AF65">
        <v>44</v>
      </c>
      <c r="AG65">
        <v>0</v>
      </c>
      <c r="AH65">
        <v>0</v>
      </c>
      <c r="AI65">
        <f t="shared" si="7"/>
        <v>352</v>
      </c>
      <c r="AL65">
        <f>U65+W65+Y65+AA65+AC65+AE65+AG65</f>
        <v>380</v>
      </c>
      <c r="AM65">
        <f>V65+X65+Z65+AB65+AD65+AF65+AH65</f>
        <v>350</v>
      </c>
      <c r="AN65">
        <f>SUM(AL65:AM65)</f>
        <v>730</v>
      </c>
      <c r="AO65">
        <f>R65+AL65</f>
        <v>450</v>
      </c>
      <c r="AP65">
        <f>S65+AM65</f>
        <v>401</v>
      </c>
      <c r="AQ65">
        <f>T65+AN65</f>
        <v>851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f>AR65+AT65+AV65+AX65+AZ65</f>
        <v>0</v>
      </c>
      <c r="BC65">
        <f>AS65+AU65+AW65+AY65+BA65</f>
        <v>0</v>
      </c>
      <c r="BD65">
        <f>SUM(BB65:BC65)</f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f>BE65+BG65+BI65+BK65+BM65</f>
        <v>0</v>
      </c>
      <c r="BP65">
        <f>BF65+BH65+BJ65+BL65+BN65</f>
        <v>0</v>
      </c>
      <c r="BQ65">
        <f>SUM(BO65:BP65)</f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f>BO65+BR65+BT65+BV65</f>
        <v>0</v>
      </c>
      <c r="BY65">
        <f>BP65+BS65+BU65+BW65</f>
        <v>0</v>
      </c>
      <c r="BZ65">
        <f>SUM(BX65:BY65)</f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f>CA65+CC65+CE65+CG65+CI65</f>
        <v>0</v>
      </c>
      <c r="CL65">
        <f>CB65+CD65+CF65+CH65+CJ65</f>
        <v>0</v>
      </c>
      <c r="CM65">
        <f>SUM(CK65:CL65)</f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f>CK65+CN65+CP65+CR65</f>
        <v>0</v>
      </c>
      <c r="CU65">
        <f>CL65+CO65+CQ65+CS65</f>
        <v>0</v>
      </c>
      <c r="CV65">
        <f>SUM(CT65:CU65)</f>
        <v>0</v>
      </c>
      <c r="CW65">
        <f>BX65+CT65</f>
        <v>0</v>
      </c>
      <c r="CX65">
        <f>BY65+CU65</f>
        <v>0</v>
      </c>
      <c r="CY65">
        <f>BZ65+CV65</f>
        <v>0</v>
      </c>
      <c r="CZ65">
        <f>AO65+BB65+CW65</f>
        <v>450</v>
      </c>
      <c r="DA65">
        <f>AP65+BC65+CX65</f>
        <v>401</v>
      </c>
      <c r="DB65">
        <f>AQ65+BD65+CY65</f>
        <v>851</v>
      </c>
    </row>
    <row r="66" spans="1:106">
      <c r="A66" t="s">
        <v>134</v>
      </c>
      <c r="B66" t="s">
        <v>9</v>
      </c>
      <c r="C66" t="s">
        <v>209</v>
      </c>
      <c r="D66">
        <v>129390</v>
      </c>
      <c r="E66" t="s">
        <v>221</v>
      </c>
      <c r="F66" t="s">
        <v>222</v>
      </c>
      <c r="H66" t="s">
        <v>138</v>
      </c>
      <c r="I66" t="s">
        <v>139</v>
      </c>
      <c r="J66" t="s">
        <v>140</v>
      </c>
      <c r="K66" t="s">
        <v>215</v>
      </c>
      <c r="L66" t="s">
        <v>0</v>
      </c>
      <c r="M66" t="s">
        <v>142</v>
      </c>
      <c r="N66" t="s">
        <v>143</v>
      </c>
      <c r="O66" t="s">
        <v>144</v>
      </c>
      <c r="P66" t="s">
        <v>145</v>
      </c>
      <c r="Q66" s="27" t="s">
        <v>146</v>
      </c>
      <c r="R66">
        <v>63</v>
      </c>
      <c r="S66">
        <v>43</v>
      </c>
      <c r="T66">
        <f>SUM(R66:S66)</f>
        <v>106</v>
      </c>
      <c r="U66">
        <v>61</v>
      </c>
      <c r="V66">
        <v>58</v>
      </c>
      <c r="W66">
        <v>47</v>
      </c>
      <c r="X66">
        <v>48</v>
      </c>
      <c r="Y66">
        <v>40</v>
      </c>
      <c r="Z66">
        <v>59</v>
      </c>
      <c r="AA66">
        <v>73</v>
      </c>
      <c r="AB66">
        <v>54</v>
      </c>
      <c r="AC66">
        <v>46</v>
      </c>
      <c r="AD66">
        <v>46</v>
      </c>
      <c r="AE66">
        <v>41</v>
      </c>
      <c r="AF66">
        <v>40</v>
      </c>
      <c r="AG66">
        <v>0</v>
      </c>
      <c r="AH66">
        <v>0</v>
      </c>
      <c r="AI66">
        <f t="shared" si="7"/>
        <v>300</v>
      </c>
      <c r="AL66">
        <f>U66+W66+Y66+AA66+AC66+AE66+AG66</f>
        <v>308</v>
      </c>
      <c r="AM66">
        <f>V66+X66+Z66+AB66+AD66+AF66+AH66</f>
        <v>305</v>
      </c>
      <c r="AN66">
        <f>SUM(AL66:AM66)</f>
        <v>613</v>
      </c>
      <c r="AO66">
        <f>R66+AL66</f>
        <v>371</v>
      </c>
      <c r="AP66">
        <f>S66+AM66</f>
        <v>348</v>
      </c>
      <c r="AQ66">
        <f>T66+AN66</f>
        <v>719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f>AR66+AT66+AV66+AX66+AZ66</f>
        <v>0</v>
      </c>
      <c r="BC66">
        <f>AS66+AU66+AW66+AY66+BA66</f>
        <v>0</v>
      </c>
      <c r="BD66">
        <f>SUM(BB66:BC66)</f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f>BE66+BG66+BI66+BK66+BM66</f>
        <v>0</v>
      </c>
      <c r="BP66">
        <f>BF66+BH66+BJ66+BL66+BN66</f>
        <v>0</v>
      </c>
      <c r="BQ66">
        <f>SUM(BO66:BP66)</f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f>BO66+BR66+BT66+BV66</f>
        <v>0</v>
      </c>
      <c r="BY66">
        <f>BP66+BS66+BU66+BW66</f>
        <v>0</v>
      </c>
      <c r="BZ66">
        <f>SUM(BX66:BY66)</f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f>CA66+CC66+CE66+CG66+CI66</f>
        <v>0</v>
      </c>
      <c r="CL66">
        <f>CB66+CD66+CF66+CH66+CJ66</f>
        <v>0</v>
      </c>
      <c r="CM66">
        <f>SUM(CK66:CL66)</f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f>CK66+CN66+CP66+CR66</f>
        <v>0</v>
      </c>
      <c r="CU66">
        <f>CL66+CO66+CQ66+CS66</f>
        <v>0</v>
      </c>
      <c r="CV66">
        <f>SUM(CT66:CU66)</f>
        <v>0</v>
      </c>
      <c r="CW66">
        <f>BX66+CT66</f>
        <v>0</v>
      </c>
      <c r="CX66">
        <f>BY66+CU66</f>
        <v>0</v>
      </c>
      <c r="CY66">
        <f>BZ66+CV66</f>
        <v>0</v>
      </c>
      <c r="CZ66">
        <f>AO66+BB66+CW66</f>
        <v>371</v>
      </c>
      <c r="DA66">
        <f>AP66+BC66+CX66</f>
        <v>348</v>
      </c>
      <c r="DB66">
        <f>AQ66+BD66+CY66</f>
        <v>719</v>
      </c>
    </row>
    <row r="67" spans="1:106">
      <c r="A67" t="s">
        <v>134</v>
      </c>
      <c r="B67" t="s">
        <v>9</v>
      </c>
      <c r="C67" t="s">
        <v>209</v>
      </c>
      <c r="D67">
        <v>129391</v>
      </c>
      <c r="E67" t="s">
        <v>223</v>
      </c>
      <c r="F67" t="s">
        <v>224</v>
      </c>
      <c r="H67" t="s">
        <v>138</v>
      </c>
      <c r="I67" t="s">
        <v>139</v>
      </c>
      <c r="J67" t="s">
        <v>140</v>
      </c>
      <c r="K67" t="s">
        <v>225</v>
      </c>
      <c r="L67" t="s">
        <v>0</v>
      </c>
      <c r="M67" t="s">
        <v>142</v>
      </c>
      <c r="N67" t="s">
        <v>143</v>
      </c>
      <c r="O67" t="s">
        <v>144</v>
      </c>
      <c r="P67" t="s">
        <v>145</v>
      </c>
      <c r="Q67" s="27" t="s">
        <v>146</v>
      </c>
      <c r="R67">
        <v>19</v>
      </c>
      <c r="S67">
        <v>16</v>
      </c>
      <c r="T67">
        <f>SUM(R67:S67)</f>
        <v>35</v>
      </c>
      <c r="U67">
        <v>20</v>
      </c>
      <c r="V67">
        <v>21</v>
      </c>
      <c r="W67">
        <v>22</v>
      </c>
      <c r="X67">
        <v>26</v>
      </c>
      <c r="Y67">
        <v>20</v>
      </c>
      <c r="Z67">
        <v>21</v>
      </c>
      <c r="AA67">
        <v>27</v>
      </c>
      <c r="AB67">
        <v>22</v>
      </c>
      <c r="AC67">
        <v>24</v>
      </c>
      <c r="AD67">
        <v>16</v>
      </c>
      <c r="AE67">
        <v>16</v>
      </c>
      <c r="AF67">
        <v>15</v>
      </c>
      <c r="AG67">
        <v>0</v>
      </c>
      <c r="AH67">
        <v>0</v>
      </c>
      <c r="AI67">
        <f t="shared" si="7"/>
        <v>120</v>
      </c>
      <c r="AL67">
        <f>U67+W67+Y67+AA67+AC67+AE67+AG67</f>
        <v>129</v>
      </c>
      <c r="AM67">
        <f>V67+X67+Z67+AB67+AD67+AF67+AH67</f>
        <v>121</v>
      </c>
      <c r="AN67">
        <f>SUM(AL67:AM67)</f>
        <v>250</v>
      </c>
      <c r="AO67">
        <f>R67+AL67</f>
        <v>148</v>
      </c>
      <c r="AP67">
        <f>S67+AM67</f>
        <v>137</v>
      </c>
      <c r="AQ67">
        <f>T67+AN67</f>
        <v>285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f>AR67+AT67+AV67+AX67+AZ67</f>
        <v>0</v>
      </c>
      <c r="BC67">
        <f>AS67+AU67+AW67+AY67+BA67</f>
        <v>0</v>
      </c>
      <c r="BD67">
        <f>SUM(BB67:BC67)</f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f>BE67+BG67+BI67+BK67+BM67</f>
        <v>0</v>
      </c>
      <c r="BP67">
        <f>BF67+BH67+BJ67+BL67+BN67</f>
        <v>0</v>
      </c>
      <c r="BQ67">
        <f>SUM(BO67:BP67)</f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f>BO67+BR67+BT67+BV67</f>
        <v>0</v>
      </c>
      <c r="BY67">
        <f>BP67+BS67+BU67+BW67</f>
        <v>0</v>
      </c>
      <c r="BZ67">
        <f>SUM(BX67:BY67)</f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f>CA67+CC67+CE67+CG67+CI67</f>
        <v>0</v>
      </c>
      <c r="CL67">
        <f>CB67+CD67+CF67+CH67+CJ67</f>
        <v>0</v>
      </c>
      <c r="CM67">
        <f>SUM(CK67:CL67)</f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f>CK67+CN67+CP67+CR67</f>
        <v>0</v>
      </c>
      <c r="CU67">
        <f>CL67+CO67+CQ67+CS67</f>
        <v>0</v>
      </c>
      <c r="CV67">
        <f>SUM(CT67:CU67)</f>
        <v>0</v>
      </c>
      <c r="CW67">
        <f>BX67+CT67</f>
        <v>0</v>
      </c>
      <c r="CX67">
        <f>BY67+CU67</f>
        <v>0</v>
      </c>
      <c r="CY67">
        <f>BZ67+CV67</f>
        <v>0</v>
      </c>
      <c r="CZ67">
        <f>AO67+BB67+CW67</f>
        <v>148</v>
      </c>
      <c r="DA67">
        <f>AP67+BC67+CX67</f>
        <v>137</v>
      </c>
      <c r="DB67">
        <f>AQ67+BD67+CY67</f>
        <v>285</v>
      </c>
    </row>
    <row r="68" spans="1:106">
      <c r="A68" t="s">
        <v>134</v>
      </c>
      <c r="B68" t="s">
        <v>9</v>
      </c>
      <c r="C68" t="s">
        <v>209</v>
      </c>
      <c r="D68">
        <v>129392</v>
      </c>
      <c r="E68" t="s">
        <v>226</v>
      </c>
      <c r="F68" t="s">
        <v>227</v>
      </c>
      <c r="H68" t="s">
        <v>138</v>
      </c>
      <c r="I68" t="s">
        <v>139</v>
      </c>
      <c r="J68" t="s">
        <v>140</v>
      </c>
      <c r="K68" t="s">
        <v>228</v>
      </c>
      <c r="L68" t="s">
        <v>0</v>
      </c>
      <c r="M68" t="s">
        <v>142</v>
      </c>
      <c r="N68" t="s">
        <v>143</v>
      </c>
      <c r="O68" t="s">
        <v>144</v>
      </c>
      <c r="P68" t="s">
        <v>145</v>
      </c>
      <c r="Q68" s="27" t="s">
        <v>146</v>
      </c>
      <c r="R68">
        <v>29</v>
      </c>
      <c r="S68">
        <v>27</v>
      </c>
      <c r="T68">
        <f>SUM(R68:S68)</f>
        <v>56</v>
      </c>
      <c r="U68">
        <v>33</v>
      </c>
      <c r="V68">
        <v>24</v>
      </c>
      <c r="W68">
        <v>33</v>
      </c>
      <c r="X68">
        <v>21</v>
      </c>
      <c r="Y68">
        <v>22</v>
      </c>
      <c r="Z68">
        <v>19</v>
      </c>
      <c r="AA68">
        <v>29</v>
      </c>
      <c r="AB68">
        <v>23</v>
      </c>
      <c r="AC68">
        <v>30</v>
      </c>
      <c r="AD68">
        <v>24</v>
      </c>
      <c r="AE68">
        <v>19</v>
      </c>
      <c r="AF68">
        <v>16</v>
      </c>
      <c r="AG68">
        <v>0</v>
      </c>
      <c r="AH68">
        <v>0</v>
      </c>
      <c r="AI68">
        <f t="shared" si="7"/>
        <v>141</v>
      </c>
      <c r="AL68">
        <f>U68+W68+Y68+AA68+AC68+AE68+AG68</f>
        <v>166</v>
      </c>
      <c r="AM68">
        <f>V68+X68+Z68+AB68+AD68+AF68+AH68</f>
        <v>127</v>
      </c>
      <c r="AN68">
        <f>SUM(AL68:AM68)</f>
        <v>293</v>
      </c>
      <c r="AO68">
        <f>R68+AL68</f>
        <v>195</v>
      </c>
      <c r="AP68">
        <f>S68+AM68</f>
        <v>154</v>
      </c>
      <c r="AQ68">
        <f>T68+AN68</f>
        <v>349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f>AR68+AT68+AV68+AX68+AZ68</f>
        <v>0</v>
      </c>
      <c r="BC68">
        <f>AS68+AU68+AW68+AY68+BA68</f>
        <v>0</v>
      </c>
      <c r="BD68">
        <f>SUM(BB68:BC68)</f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f>BE68+BG68+BI68+BK68+BM68</f>
        <v>0</v>
      </c>
      <c r="BP68">
        <f>BF68+BH68+BJ68+BL68+BN68</f>
        <v>0</v>
      </c>
      <c r="BQ68">
        <f>SUM(BO68:BP68)</f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f>BO68+BR68+BT68+BV68</f>
        <v>0</v>
      </c>
      <c r="BY68">
        <f>BP68+BS68+BU68+BW68</f>
        <v>0</v>
      </c>
      <c r="BZ68">
        <f>SUM(BX68:BY68)</f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f>CA68+CC68+CE68+CG68+CI68</f>
        <v>0</v>
      </c>
      <c r="CL68">
        <f>CB68+CD68+CF68+CH68+CJ68</f>
        <v>0</v>
      </c>
      <c r="CM68">
        <f>SUM(CK68:CL68)</f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f>CK68+CN68+CP68+CR68</f>
        <v>0</v>
      </c>
      <c r="CU68">
        <f>CL68+CO68+CQ68+CS68</f>
        <v>0</v>
      </c>
      <c r="CV68">
        <f>SUM(CT68:CU68)</f>
        <v>0</v>
      </c>
      <c r="CW68">
        <f>BX68+CT68</f>
        <v>0</v>
      </c>
      <c r="CX68">
        <f>BY68+CU68</f>
        <v>0</v>
      </c>
      <c r="CY68">
        <f>BZ68+CV68</f>
        <v>0</v>
      </c>
      <c r="CZ68">
        <f>AO68+BB68+CW68</f>
        <v>195</v>
      </c>
      <c r="DA68">
        <f>AP68+BC68+CX68</f>
        <v>154</v>
      </c>
      <c r="DB68">
        <f>AQ68+BD68+CY68</f>
        <v>349</v>
      </c>
    </row>
    <row r="69" spans="1:106">
      <c r="A69" t="s">
        <v>134</v>
      </c>
      <c r="B69" t="s">
        <v>9</v>
      </c>
      <c r="C69" t="s">
        <v>209</v>
      </c>
      <c r="D69">
        <v>129393</v>
      </c>
      <c r="E69" t="s">
        <v>229</v>
      </c>
      <c r="F69" t="s">
        <v>230</v>
      </c>
      <c r="H69" t="s">
        <v>138</v>
      </c>
      <c r="I69" t="s">
        <v>139</v>
      </c>
      <c r="J69" t="s">
        <v>140</v>
      </c>
      <c r="K69" t="s">
        <v>231</v>
      </c>
      <c r="L69" t="s">
        <v>0</v>
      </c>
      <c r="M69" t="s">
        <v>142</v>
      </c>
      <c r="N69" t="s">
        <v>143</v>
      </c>
      <c r="O69" t="s">
        <v>144</v>
      </c>
      <c r="P69" t="s">
        <v>145</v>
      </c>
      <c r="Q69" s="27" t="s">
        <v>146</v>
      </c>
      <c r="R69">
        <v>3</v>
      </c>
      <c r="S69">
        <v>8</v>
      </c>
      <c r="T69">
        <f>SUM(R69:S69)</f>
        <v>11</v>
      </c>
      <c r="U69">
        <v>6</v>
      </c>
      <c r="V69">
        <v>5</v>
      </c>
      <c r="W69">
        <v>9</v>
      </c>
      <c r="X69">
        <v>6</v>
      </c>
      <c r="Y69">
        <v>4</v>
      </c>
      <c r="Z69">
        <v>8</v>
      </c>
      <c r="AA69">
        <v>8</v>
      </c>
      <c r="AB69">
        <v>4</v>
      </c>
      <c r="AC69">
        <v>10</v>
      </c>
      <c r="AD69">
        <v>2</v>
      </c>
      <c r="AE69">
        <v>2</v>
      </c>
      <c r="AF69">
        <v>4</v>
      </c>
      <c r="AG69">
        <v>0</v>
      </c>
      <c r="AH69">
        <v>0</v>
      </c>
      <c r="AI69">
        <f t="shared" si="7"/>
        <v>30</v>
      </c>
      <c r="AL69">
        <f>U69+W69+Y69+AA69+AC69+AE69+AG69</f>
        <v>39</v>
      </c>
      <c r="AM69">
        <f>V69+X69+Z69+AB69+AD69+AF69+AH69</f>
        <v>29</v>
      </c>
      <c r="AN69">
        <f>SUM(AL69:AM69)</f>
        <v>68</v>
      </c>
      <c r="AO69">
        <f>R69+AL69</f>
        <v>42</v>
      </c>
      <c r="AP69">
        <f>S69+AM69</f>
        <v>37</v>
      </c>
      <c r="AQ69">
        <f>T69+AN69</f>
        <v>79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f>AR69+AT69+AV69+AX69+AZ69</f>
        <v>0</v>
      </c>
      <c r="BC69">
        <f>AS69+AU69+AW69+AY69+BA69</f>
        <v>0</v>
      </c>
      <c r="BD69">
        <f>SUM(BB69:BC69)</f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f>BE69+BG69+BI69+BK69+BM69</f>
        <v>0</v>
      </c>
      <c r="BP69">
        <f>BF69+BH69+BJ69+BL69+BN69</f>
        <v>0</v>
      </c>
      <c r="BQ69">
        <f>SUM(BO69:BP69)</f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f>BO69+BR69+BT69+BV69</f>
        <v>0</v>
      </c>
      <c r="BY69">
        <f>BP69+BS69+BU69+BW69</f>
        <v>0</v>
      </c>
      <c r="BZ69">
        <f>SUM(BX69:BY69)</f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f>CA69+CC69+CE69+CG69+CI69</f>
        <v>0</v>
      </c>
      <c r="CL69">
        <f>CB69+CD69+CF69+CH69+CJ69</f>
        <v>0</v>
      </c>
      <c r="CM69">
        <f>SUM(CK69:CL69)</f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f>CK69+CN69+CP69+CR69</f>
        <v>0</v>
      </c>
      <c r="CU69">
        <f>CL69+CO69+CQ69+CS69</f>
        <v>0</v>
      </c>
      <c r="CV69">
        <f>SUM(CT69:CU69)</f>
        <v>0</v>
      </c>
      <c r="CW69">
        <f>BX69+CT69</f>
        <v>0</v>
      </c>
      <c r="CX69">
        <f>BY69+CU69</f>
        <v>0</v>
      </c>
      <c r="CY69">
        <f>BZ69+CV69</f>
        <v>0</v>
      </c>
      <c r="CZ69">
        <f>AO69+BB69+CW69</f>
        <v>42</v>
      </c>
      <c r="DA69">
        <f>AP69+BC69+CX69</f>
        <v>37</v>
      </c>
      <c r="DB69">
        <f>AQ69+BD69+CY69</f>
        <v>79</v>
      </c>
    </row>
    <row r="70" spans="1:106">
      <c r="A70" t="s">
        <v>134</v>
      </c>
      <c r="B70" t="s">
        <v>9</v>
      </c>
      <c r="C70" t="s">
        <v>209</v>
      </c>
      <c r="D70">
        <v>129394</v>
      </c>
      <c r="E70" t="s">
        <v>232</v>
      </c>
      <c r="F70" t="s">
        <v>233</v>
      </c>
      <c r="H70" t="s">
        <v>138</v>
      </c>
      <c r="I70" t="s">
        <v>139</v>
      </c>
      <c r="J70" t="s">
        <v>140</v>
      </c>
      <c r="K70" t="s">
        <v>225</v>
      </c>
      <c r="L70" t="s">
        <v>0</v>
      </c>
      <c r="M70" t="s">
        <v>142</v>
      </c>
      <c r="N70" t="s">
        <v>143</v>
      </c>
      <c r="O70" t="s">
        <v>144</v>
      </c>
      <c r="P70" t="s">
        <v>145</v>
      </c>
      <c r="Q70" s="27" t="s">
        <v>146</v>
      </c>
      <c r="R70">
        <v>12</v>
      </c>
      <c r="S70">
        <v>8</v>
      </c>
      <c r="T70">
        <f>SUM(R70:S70)</f>
        <v>20</v>
      </c>
      <c r="U70">
        <v>13</v>
      </c>
      <c r="V70">
        <v>6</v>
      </c>
      <c r="W70">
        <v>6</v>
      </c>
      <c r="X70">
        <v>8</v>
      </c>
      <c r="Y70">
        <v>11</v>
      </c>
      <c r="Z70">
        <v>7</v>
      </c>
      <c r="AA70">
        <v>11</v>
      </c>
      <c r="AB70">
        <v>7</v>
      </c>
      <c r="AC70">
        <v>11</v>
      </c>
      <c r="AD70">
        <v>11</v>
      </c>
      <c r="AE70">
        <v>10</v>
      </c>
      <c r="AF70">
        <v>5</v>
      </c>
      <c r="AG70">
        <v>0</v>
      </c>
      <c r="AH70">
        <v>1</v>
      </c>
      <c r="AI70">
        <f t="shared" si="7"/>
        <v>55</v>
      </c>
      <c r="AL70">
        <f>U70+W70+Y70+AA70+AC70+AE70+AG70</f>
        <v>62</v>
      </c>
      <c r="AM70">
        <f>V70+X70+Z70+AB70+AD70+AF70+AH70</f>
        <v>45</v>
      </c>
      <c r="AN70">
        <f>SUM(AL70:AM70)</f>
        <v>107</v>
      </c>
      <c r="AO70">
        <f>R70+AL70</f>
        <v>74</v>
      </c>
      <c r="AP70">
        <f>S70+AM70</f>
        <v>53</v>
      </c>
      <c r="AQ70">
        <f>T70+AN70</f>
        <v>127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f>AR70+AT70+AV70+AX70+AZ70</f>
        <v>0</v>
      </c>
      <c r="BC70">
        <f>AS70+AU70+AW70+AY70+BA70</f>
        <v>0</v>
      </c>
      <c r="BD70">
        <f>SUM(BB70:BC70)</f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f>BE70+BG70+BI70+BK70+BM70</f>
        <v>0</v>
      </c>
      <c r="BP70">
        <f>BF70+BH70+BJ70+BL70+BN70</f>
        <v>0</v>
      </c>
      <c r="BQ70">
        <f>SUM(BO70:BP70)</f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f>BO70+BR70+BT70+BV70</f>
        <v>0</v>
      </c>
      <c r="BY70">
        <f>BP70+BS70+BU70+BW70</f>
        <v>0</v>
      </c>
      <c r="BZ70">
        <f>SUM(BX70:BY70)</f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f>CA70+CC70+CE70+CG70+CI70</f>
        <v>0</v>
      </c>
      <c r="CL70">
        <f>CB70+CD70+CF70+CH70+CJ70</f>
        <v>0</v>
      </c>
      <c r="CM70">
        <f>SUM(CK70:CL70)</f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f>CK70+CN70+CP70+CR70</f>
        <v>0</v>
      </c>
      <c r="CU70">
        <f>CL70+CO70+CQ70+CS70</f>
        <v>0</v>
      </c>
      <c r="CV70">
        <f>SUM(CT70:CU70)</f>
        <v>0</v>
      </c>
      <c r="CW70">
        <f>BX70+CT70</f>
        <v>0</v>
      </c>
      <c r="CX70">
        <f>BY70+CU70</f>
        <v>0</v>
      </c>
      <c r="CY70">
        <f>BZ70+CV70</f>
        <v>0</v>
      </c>
      <c r="CZ70">
        <f>AO70+BB70+CW70</f>
        <v>74</v>
      </c>
      <c r="DA70">
        <f>AP70+BC70+CX70</f>
        <v>53</v>
      </c>
      <c r="DB70">
        <f>AQ70+BD70+CY70</f>
        <v>127</v>
      </c>
    </row>
    <row r="71" spans="1:106">
      <c r="A71" t="s">
        <v>134</v>
      </c>
      <c r="B71" t="s">
        <v>9</v>
      </c>
      <c r="C71" t="s">
        <v>209</v>
      </c>
      <c r="D71">
        <v>129395</v>
      </c>
      <c r="E71" t="s">
        <v>234</v>
      </c>
      <c r="F71" t="s">
        <v>235</v>
      </c>
      <c r="H71" t="s">
        <v>138</v>
      </c>
      <c r="I71" t="s">
        <v>139</v>
      </c>
      <c r="J71" t="s">
        <v>140</v>
      </c>
      <c r="K71" t="s">
        <v>191</v>
      </c>
      <c r="L71" t="s">
        <v>0</v>
      </c>
      <c r="M71" t="s">
        <v>142</v>
      </c>
      <c r="N71" t="s">
        <v>143</v>
      </c>
      <c r="O71" t="s">
        <v>144</v>
      </c>
      <c r="P71" t="s">
        <v>145</v>
      </c>
      <c r="Q71" s="27" t="s">
        <v>146</v>
      </c>
      <c r="R71">
        <v>54</v>
      </c>
      <c r="S71">
        <v>56</v>
      </c>
      <c r="T71">
        <f>SUM(R71:S71)</f>
        <v>110</v>
      </c>
      <c r="U71">
        <v>60</v>
      </c>
      <c r="V71">
        <v>59</v>
      </c>
      <c r="W71">
        <v>53</v>
      </c>
      <c r="X71">
        <v>51</v>
      </c>
      <c r="Y71">
        <v>54</v>
      </c>
      <c r="Z71">
        <v>67</v>
      </c>
      <c r="AA71">
        <v>73</v>
      </c>
      <c r="AB71">
        <v>42</v>
      </c>
      <c r="AC71">
        <v>64</v>
      </c>
      <c r="AD71">
        <v>48</v>
      </c>
      <c r="AE71">
        <v>50</v>
      </c>
      <c r="AF71">
        <v>42</v>
      </c>
      <c r="AG71">
        <v>0</v>
      </c>
      <c r="AH71">
        <v>0</v>
      </c>
      <c r="AI71">
        <f t="shared" si="7"/>
        <v>319</v>
      </c>
      <c r="AL71">
        <f>U71+W71+Y71+AA71+AC71+AE71+AG71</f>
        <v>354</v>
      </c>
      <c r="AM71">
        <f>V71+X71+Z71+AB71+AD71+AF71+AH71</f>
        <v>309</v>
      </c>
      <c r="AN71">
        <f>SUM(AL71:AM71)</f>
        <v>663</v>
      </c>
      <c r="AO71">
        <f>R71+AL71</f>
        <v>408</v>
      </c>
      <c r="AP71">
        <f>S71+AM71</f>
        <v>365</v>
      </c>
      <c r="AQ71">
        <f>T71+AN71</f>
        <v>773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f>AR71+AT71+AV71+AX71+AZ71</f>
        <v>0</v>
      </c>
      <c r="BC71">
        <f>AS71+AU71+AW71+AY71+BA71</f>
        <v>0</v>
      </c>
      <c r="BD71">
        <f>SUM(BB71:BC71)</f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f>BE71+BG71+BI71+BK71+BM71</f>
        <v>0</v>
      </c>
      <c r="BP71">
        <f>BF71+BH71+BJ71+BL71+BN71</f>
        <v>0</v>
      </c>
      <c r="BQ71">
        <f>SUM(BO71:BP71)</f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f>BO71+BR71+BT71+BV71</f>
        <v>0</v>
      </c>
      <c r="BY71">
        <f>BP71+BS71+BU71+BW71</f>
        <v>0</v>
      </c>
      <c r="BZ71">
        <f>SUM(BX71:BY71)</f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f>CA71+CC71+CE71+CG71+CI71</f>
        <v>0</v>
      </c>
      <c r="CL71">
        <f>CB71+CD71+CF71+CH71+CJ71</f>
        <v>0</v>
      </c>
      <c r="CM71">
        <f>SUM(CK71:CL71)</f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f>CK71+CN71+CP71+CR71</f>
        <v>0</v>
      </c>
      <c r="CU71">
        <f>CL71+CO71+CQ71+CS71</f>
        <v>0</v>
      </c>
      <c r="CV71">
        <f>SUM(CT71:CU71)</f>
        <v>0</v>
      </c>
      <c r="CW71">
        <f>BX71+CT71</f>
        <v>0</v>
      </c>
      <c r="CX71">
        <f>BY71+CU71</f>
        <v>0</v>
      </c>
      <c r="CY71">
        <f>BZ71+CV71</f>
        <v>0</v>
      </c>
      <c r="CZ71">
        <f>AO71+BB71+CW71</f>
        <v>408</v>
      </c>
      <c r="DA71">
        <f>AP71+BC71+CX71</f>
        <v>365</v>
      </c>
      <c r="DB71">
        <f>AQ71+BD71+CY71</f>
        <v>773</v>
      </c>
    </row>
    <row r="72" spans="1:106">
      <c r="A72" t="s">
        <v>134</v>
      </c>
      <c r="B72" t="s">
        <v>9</v>
      </c>
      <c r="C72" t="s">
        <v>209</v>
      </c>
      <c r="D72">
        <v>129396</v>
      </c>
      <c r="E72" t="s">
        <v>236</v>
      </c>
      <c r="F72" t="s">
        <v>237</v>
      </c>
      <c r="H72" t="s">
        <v>138</v>
      </c>
      <c r="I72" t="s">
        <v>139</v>
      </c>
      <c r="J72" t="s">
        <v>140</v>
      </c>
      <c r="K72" t="s">
        <v>231</v>
      </c>
      <c r="L72" t="s">
        <v>0</v>
      </c>
      <c r="M72" t="s">
        <v>142</v>
      </c>
      <c r="N72" t="s">
        <v>143</v>
      </c>
      <c r="O72" t="s">
        <v>144</v>
      </c>
      <c r="P72" t="s">
        <v>145</v>
      </c>
      <c r="Q72" s="27" t="s">
        <v>146</v>
      </c>
      <c r="R72">
        <v>50</v>
      </c>
      <c r="S72">
        <v>30</v>
      </c>
      <c r="T72">
        <f>SUM(R72:S72)</f>
        <v>80</v>
      </c>
      <c r="U72">
        <v>44</v>
      </c>
      <c r="V72">
        <v>35</v>
      </c>
      <c r="W72">
        <v>40</v>
      </c>
      <c r="X72">
        <v>42</v>
      </c>
      <c r="Y72">
        <v>42</v>
      </c>
      <c r="Z72">
        <v>41</v>
      </c>
      <c r="AA72">
        <v>39</v>
      </c>
      <c r="AB72">
        <v>30</v>
      </c>
      <c r="AC72">
        <v>46</v>
      </c>
      <c r="AD72">
        <v>37</v>
      </c>
      <c r="AE72">
        <v>38</v>
      </c>
      <c r="AF72">
        <v>27</v>
      </c>
      <c r="AG72">
        <v>0</v>
      </c>
      <c r="AH72">
        <v>0</v>
      </c>
      <c r="AI72">
        <f t="shared" si="7"/>
        <v>217</v>
      </c>
      <c r="AL72">
        <f>U72+W72+Y72+AA72+AC72+AE72+AG72</f>
        <v>249</v>
      </c>
      <c r="AM72">
        <f>V72+X72+Z72+AB72+AD72+AF72+AH72</f>
        <v>212</v>
      </c>
      <c r="AN72">
        <f>SUM(AL72:AM72)</f>
        <v>461</v>
      </c>
      <c r="AO72">
        <f>R72+AL72</f>
        <v>299</v>
      </c>
      <c r="AP72">
        <f>S72+AM72</f>
        <v>242</v>
      </c>
      <c r="AQ72">
        <f>T72+AN72</f>
        <v>541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f>AR72+AT72+AV72+AX72+AZ72</f>
        <v>0</v>
      </c>
      <c r="BC72">
        <f>AS72+AU72+AW72+AY72+BA72</f>
        <v>0</v>
      </c>
      <c r="BD72">
        <f>SUM(BB72:BC72)</f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f>BE72+BG72+BI72+BK72+BM72</f>
        <v>0</v>
      </c>
      <c r="BP72">
        <f>BF72+BH72+BJ72+BL72+BN72</f>
        <v>0</v>
      </c>
      <c r="BQ72">
        <f>SUM(BO72:BP72)</f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f>BO72+BR72+BT72+BV72</f>
        <v>0</v>
      </c>
      <c r="BY72">
        <f>BP72+BS72+BU72+BW72</f>
        <v>0</v>
      </c>
      <c r="BZ72">
        <f>SUM(BX72:BY72)</f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f>CA72+CC72+CE72+CG72+CI72</f>
        <v>0</v>
      </c>
      <c r="CL72">
        <f>CB72+CD72+CF72+CH72+CJ72</f>
        <v>0</v>
      </c>
      <c r="CM72">
        <f>SUM(CK72:CL72)</f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f>CK72+CN72+CP72+CR72</f>
        <v>0</v>
      </c>
      <c r="CU72">
        <f>CL72+CO72+CQ72+CS72</f>
        <v>0</v>
      </c>
      <c r="CV72">
        <f>SUM(CT72:CU72)</f>
        <v>0</v>
      </c>
      <c r="CW72">
        <f>BX72+CT72</f>
        <v>0</v>
      </c>
      <c r="CX72">
        <f>BY72+CU72</f>
        <v>0</v>
      </c>
      <c r="CY72">
        <f>BZ72+CV72</f>
        <v>0</v>
      </c>
      <c r="CZ72">
        <f>AO72+BB72+CW72</f>
        <v>299</v>
      </c>
      <c r="DA72">
        <f>AP72+BC72+CX72</f>
        <v>242</v>
      </c>
      <c r="DB72">
        <f>AQ72+BD72+CY72</f>
        <v>541</v>
      </c>
    </row>
    <row r="73" spans="1:106">
      <c r="A73" t="s">
        <v>134</v>
      </c>
      <c r="B73" t="s">
        <v>9</v>
      </c>
      <c r="C73" t="s">
        <v>209</v>
      </c>
      <c r="D73">
        <v>129397</v>
      </c>
      <c r="E73" t="s">
        <v>238</v>
      </c>
      <c r="F73" t="s">
        <v>239</v>
      </c>
      <c r="H73" t="s">
        <v>138</v>
      </c>
      <c r="I73" t="s">
        <v>139</v>
      </c>
      <c r="J73" t="s">
        <v>140</v>
      </c>
      <c r="K73" t="s">
        <v>240</v>
      </c>
      <c r="L73" t="s">
        <v>0</v>
      </c>
      <c r="M73" t="s">
        <v>142</v>
      </c>
      <c r="N73" t="s">
        <v>143</v>
      </c>
      <c r="O73" t="s">
        <v>144</v>
      </c>
      <c r="P73" t="s">
        <v>145</v>
      </c>
      <c r="Q73" s="27" t="s">
        <v>146</v>
      </c>
      <c r="R73">
        <v>15</v>
      </c>
      <c r="S73">
        <v>16</v>
      </c>
      <c r="T73">
        <f>SUM(R73:S73)</f>
        <v>31</v>
      </c>
      <c r="U73">
        <v>13</v>
      </c>
      <c r="V73">
        <v>10</v>
      </c>
      <c r="W73">
        <v>14</v>
      </c>
      <c r="X73">
        <v>9</v>
      </c>
      <c r="Y73">
        <v>16</v>
      </c>
      <c r="Z73">
        <v>15</v>
      </c>
      <c r="AA73">
        <v>14</v>
      </c>
      <c r="AB73">
        <v>10</v>
      </c>
      <c r="AC73">
        <v>15</v>
      </c>
      <c r="AD73">
        <v>16</v>
      </c>
      <c r="AE73">
        <v>12</v>
      </c>
      <c r="AF73">
        <v>4</v>
      </c>
      <c r="AG73">
        <v>0</v>
      </c>
      <c r="AH73">
        <v>0</v>
      </c>
      <c r="AI73">
        <f t="shared" si="7"/>
        <v>71</v>
      </c>
      <c r="AL73">
        <f>U73+W73+Y73+AA73+AC73+AE73+AG73</f>
        <v>84</v>
      </c>
      <c r="AM73">
        <f>V73+X73+Z73+AB73+AD73+AF73+AH73</f>
        <v>64</v>
      </c>
      <c r="AN73">
        <f>SUM(AL73:AM73)</f>
        <v>148</v>
      </c>
      <c r="AO73">
        <f>R73+AL73</f>
        <v>99</v>
      </c>
      <c r="AP73">
        <f>S73+AM73</f>
        <v>80</v>
      </c>
      <c r="AQ73">
        <f>T73+AN73</f>
        <v>179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f>AR73+AT73+AV73+AX73+AZ73</f>
        <v>0</v>
      </c>
      <c r="BC73">
        <f>AS73+AU73+AW73+AY73+BA73</f>
        <v>0</v>
      </c>
      <c r="BD73">
        <f>SUM(BB73:BC73)</f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f>BE73+BG73+BI73+BK73+BM73</f>
        <v>0</v>
      </c>
      <c r="BP73">
        <f>BF73+BH73+BJ73+BL73+BN73</f>
        <v>0</v>
      </c>
      <c r="BQ73">
        <f>SUM(BO73:BP73)</f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f>BO73+BR73+BT73+BV73</f>
        <v>0</v>
      </c>
      <c r="BY73">
        <f>BP73+BS73+BU73+BW73</f>
        <v>0</v>
      </c>
      <c r="BZ73">
        <f>SUM(BX73:BY73)</f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f>CA73+CC73+CE73+CG73+CI73</f>
        <v>0</v>
      </c>
      <c r="CL73">
        <f>CB73+CD73+CF73+CH73+CJ73</f>
        <v>0</v>
      </c>
      <c r="CM73">
        <f>SUM(CK73:CL73)</f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f>CK73+CN73+CP73+CR73</f>
        <v>0</v>
      </c>
      <c r="CU73">
        <f>CL73+CO73+CQ73+CS73</f>
        <v>0</v>
      </c>
      <c r="CV73">
        <f>SUM(CT73:CU73)</f>
        <v>0</v>
      </c>
      <c r="CW73">
        <f>BX73+CT73</f>
        <v>0</v>
      </c>
      <c r="CX73">
        <f>BY73+CU73</f>
        <v>0</v>
      </c>
      <c r="CY73">
        <f>BZ73+CV73</f>
        <v>0</v>
      </c>
      <c r="CZ73">
        <f>AO73+BB73+CW73</f>
        <v>99</v>
      </c>
      <c r="DA73">
        <f>AP73+BC73+CX73</f>
        <v>80</v>
      </c>
      <c r="DB73">
        <f>AQ73+BD73+CY73</f>
        <v>179</v>
      </c>
    </row>
    <row r="74" spans="1:106">
      <c r="A74" t="s">
        <v>134</v>
      </c>
      <c r="B74" t="s">
        <v>9</v>
      </c>
      <c r="C74" t="s">
        <v>209</v>
      </c>
      <c r="D74">
        <v>129398</v>
      </c>
      <c r="E74" t="s">
        <v>241</v>
      </c>
      <c r="F74" t="s">
        <v>242</v>
      </c>
      <c r="H74" t="s">
        <v>138</v>
      </c>
      <c r="I74" t="s">
        <v>139</v>
      </c>
      <c r="J74" t="s">
        <v>140</v>
      </c>
      <c r="K74" t="s">
        <v>243</v>
      </c>
      <c r="L74" t="s">
        <v>0</v>
      </c>
      <c r="M74" t="s">
        <v>142</v>
      </c>
      <c r="N74" t="s">
        <v>143</v>
      </c>
      <c r="O74" t="s">
        <v>144</v>
      </c>
      <c r="P74" t="s">
        <v>145</v>
      </c>
      <c r="Q74" s="27" t="s">
        <v>146</v>
      </c>
      <c r="R74">
        <v>49</v>
      </c>
      <c r="S74">
        <v>39</v>
      </c>
      <c r="T74">
        <f>SUM(R74:S74)</f>
        <v>88</v>
      </c>
      <c r="U74">
        <v>40</v>
      </c>
      <c r="V74">
        <v>37</v>
      </c>
      <c r="W74">
        <v>40</v>
      </c>
      <c r="X74">
        <v>52</v>
      </c>
      <c r="Y74">
        <v>37</v>
      </c>
      <c r="Z74">
        <v>38</v>
      </c>
      <c r="AA74">
        <v>53</v>
      </c>
      <c r="AB74">
        <v>60</v>
      </c>
      <c r="AC74">
        <v>40</v>
      </c>
      <c r="AD74">
        <v>51</v>
      </c>
      <c r="AE74">
        <v>34</v>
      </c>
      <c r="AF74">
        <v>21</v>
      </c>
      <c r="AG74">
        <v>0</v>
      </c>
      <c r="AH74">
        <v>0</v>
      </c>
      <c r="AI74">
        <f t="shared" si="7"/>
        <v>259</v>
      </c>
      <c r="AL74">
        <f>U74+W74+Y74+AA74+AC74+AE74+AG74</f>
        <v>244</v>
      </c>
      <c r="AM74">
        <f>V74+X74+Z74+AB74+AD74+AF74+AH74</f>
        <v>259</v>
      </c>
      <c r="AN74">
        <f>SUM(AL74:AM74)</f>
        <v>503</v>
      </c>
      <c r="AO74">
        <f>R74+AL74</f>
        <v>293</v>
      </c>
      <c r="AP74">
        <f>S74+AM74</f>
        <v>298</v>
      </c>
      <c r="AQ74">
        <f>T74+AN74</f>
        <v>591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f>AR74+AT74+AV74+AX74+AZ74</f>
        <v>0</v>
      </c>
      <c r="BC74">
        <f>AS74+AU74+AW74+AY74+BA74</f>
        <v>0</v>
      </c>
      <c r="BD74">
        <f>SUM(BB74:BC74)</f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f>BE74+BG74+BI74+BK74+BM74</f>
        <v>0</v>
      </c>
      <c r="BP74">
        <f>BF74+BH74+BJ74+BL74+BN74</f>
        <v>0</v>
      </c>
      <c r="BQ74">
        <f>SUM(BO74:BP74)</f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f>BO74+BR74+BT74+BV74</f>
        <v>0</v>
      </c>
      <c r="BY74">
        <f>BP74+BS74+BU74+BW74</f>
        <v>0</v>
      </c>
      <c r="BZ74">
        <f>SUM(BX74:BY74)</f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f>CA74+CC74+CE74+CG74+CI74</f>
        <v>0</v>
      </c>
      <c r="CL74">
        <f>CB74+CD74+CF74+CH74+CJ74</f>
        <v>0</v>
      </c>
      <c r="CM74">
        <f>SUM(CK74:CL74)</f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f>CK74+CN74+CP74+CR74</f>
        <v>0</v>
      </c>
      <c r="CU74">
        <f>CL74+CO74+CQ74+CS74</f>
        <v>0</v>
      </c>
      <c r="CV74">
        <f>SUM(CT74:CU74)</f>
        <v>0</v>
      </c>
      <c r="CW74">
        <f>BX74+CT74</f>
        <v>0</v>
      </c>
      <c r="CX74">
        <f>BY74+CU74</f>
        <v>0</v>
      </c>
      <c r="CY74">
        <f>BZ74+CV74</f>
        <v>0</v>
      </c>
      <c r="CZ74">
        <f>AO74+BB74+CW74</f>
        <v>293</v>
      </c>
      <c r="DA74">
        <f>AP74+BC74+CX74</f>
        <v>298</v>
      </c>
      <c r="DB74">
        <f>AQ74+BD74+CY74</f>
        <v>591</v>
      </c>
    </row>
    <row r="75" spans="1:106">
      <c r="A75" t="s">
        <v>134</v>
      </c>
      <c r="B75" t="s">
        <v>9</v>
      </c>
      <c r="C75" t="s">
        <v>209</v>
      </c>
      <c r="D75">
        <v>129399</v>
      </c>
      <c r="E75" t="s">
        <v>244</v>
      </c>
      <c r="F75" t="s">
        <v>245</v>
      </c>
      <c r="H75" t="s">
        <v>138</v>
      </c>
      <c r="I75" t="s">
        <v>139</v>
      </c>
      <c r="J75" t="s">
        <v>140</v>
      </c>
      <c r="K75" t="s">
        <v>246</v>
      </c>
      <c r="L75" t="s">
        <v>0</v>
      </c>
      <c r="M75" t="s">
        <v>142</v>
      </c>
      <c r="N75" t="s">
        <v>143</v>
      </c>
      <c r="O75" t="s">
        <v>144</v>
      </c>
      <c r="P75" t="s">
        <v>145</v>
      </c>
      <c r="Q75" s="27" t="s">
        <v>146</v>
      </c>
      <c r="R75">
        <v>46</v>
      </c>
      <c r="S75">
        <v>44</v>
      </c>
      <c r="T75">
        <f>SUM(R75:S75)</f>
        <v>90</v>
      </c>
      <c r="U75">
        <v>64</v>
      </c>
      <c r="V75">
        <v>48</v>
      </c>
      <c r="W75">
        <v>38</v>
      </c>
      <c r="X75">
        <v>39</v>
      </c>
      <c r="Y75">
        <v>40</v>
      </c>
      <c r="Z75">
        <v>45</v>
      </c>
      <c r="AA75">
        <v>45</v>
      </c>
      <c r="AB75">
        <v>31</v>
      </c>
      <c r="AC75">
        <v>55</v>
      </c>
      <c r="AD75">
        <v>44</v>
      </c>
      <c r="AE75">
        <v>39</v>
      </c>
      <c r="AF75">
        <v>33</v>
      </c>
      <c r="AG75">
        <v>0</v>
      </c>
      <c r="AH75">
        <v>0</v>
      </c>
      <c r="AI75">
        <f t="shared" si="7"/>
        <v>247</v>
      </c>
      <c r="AL75">
        <f>U75+W75+Y75+AA75+AC75+AE75+AG75</f>
        <v>281</v>
      </c>
      <c r="AM75">
        <f>V75+X75+Z75+AB75+AD75+AF75+AH75</f>
        <v>240</v>
      </c>
      <c r="AN75">
        <f>SUM(AL75:AM75)</f>
        <v>521</v>
      </c>
      <c r="AO75">
        <f>R75+AL75</f>
        <v>327</v>
      </c>
      <c r="AP75">
        <f>S75+AM75</f>
        <v>284</v>
      </c>
      <c r="AQ75">
        <f>T75+AN75</f>
        <v>611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f>AR75+AT75+AV75+AX75+AZ75</f>
        <v>0</v>
      </c>
      <c r="BC75">
        <f>AS75+AU75+AW75+AY75+BA75</f>
        <v>0</v>
      </c>
      <c r="BD75">
        <f>SUM(BB75:BC75)</f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f>BE75+BG75+BI75+BK75+BM75</f>
        <v>0</v>
      </c>
      <c r="BP75">
        <f>BF75+BH75+BJ75+BL75+BN75</f>
        <v>0</v>
      </c>
      <c r="BQ75">
        <f>SUM(BO75:BP75)</f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f>BO75+BR75+BT75+BV75</f>
        <v>0</v>
      </c>
      <c r="BY75">
        <f>BP75+BS75+BU75+BW75</f>
        <v>0</v>
      </c>
      <c r="BZ75">
        <f>SUM(BX75:BY75)</f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f>CA75+CC75+CE75+CG75+CI75</f>
        <v>0</v>
      </c>
      <c r="CL75">
        <f>CB75+CD75+CF75+CH75+CJ75</f>
        <v>0</v>
      </c>
      <c r="CM75">
        <f>SUM(CK75:CL75)</f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f>CK75+CN75+CP75+CR75</f>
        <v>0</v>
      </c>
      <c r="CU75">
        <f>CL75+CO75+CQ75+CS75</f>
        <v>0</v>
      </c>
      <c r="CV75">
        <f>SUM(CT75:CU75)</f>
        <v>0</v>
      </c>
      <c r="CW75">
        <f>BX75+CT75</f>
        <v>0</v>
      </c>
      <c r="CX75">
        <f>BY75+CU75</f>
        <v>0</v>
      </c>
      <c r="CY75">
        <f>BZ75+CV75</f>
        <v>0</v>
      </c>
      <c r="CZ75">
        <f>AO75+BB75+CW75</f>
        <v>327</v>
      </c>
      <c r="DA75">
        <f>AP75+BC75+CX75</f>
        <v>284</v>
      </c>
      <c r="DB75">
        <f>AQ75+BD75+CY75</f>
        <v>611</v>
      </c>
    </row>
    <row r="76" spans="1:106">
      <c r="A76" t="s">
        <v>134</v>
      </c>
      <c r="B76" t="s">
        <v>9</v>
      </c>
      <c r="C76" t="s">
        <v>209</v>
      </c>
      <c r="D76">
        <v>129400</v>
      </c>
      <c r="E76" t="s">
        <v>247</v>
      </c>
      <c r="F76" t="s">
        <v>248</v>
      </c>
      <c r="H76" t="s">
        <v>138</v>
      </c>
      <c r="I76" t="s">
        <v>139</v>
      </c>
      <c r="J76" t="s">
        <v>140</v>
      </c>
      <c r="K76" t="s">
        <v>243</v>
      </c>
      <c r="L76" t="s">
        <v>0</v>
      </c>
      <c r="M76" t="s">
        <v>142</v>
      </c>
      <c r="N76" t="s">
        <v>143</v>
      </c>
      <c r="O76" t="s">
        <v>144</v>
      </c>
      <c r="P76" t="s">
        <v>145</v>
      </c>
      <c r="Q76" s="27" t="s">
        <v>146</v>
      </c>
      <c r="R76">
        <v>76</v>
      </c>
      <c r="S76">
        <v>90</v>
      </c>
      <c r="T76">
        <f>SUM(R76:S76)</f>
        <v>166</v>
      </c>
      <c r="U76">
        <v>94</v>
      </c>
      <c r="V76">
        <v>104</v>
      </c>
      <c r="W76">
        <v>98</v>
      </c>
      <c r="X76">
        <v>102</v>
      </c>
      <c r="Y76">
        <v>92</v>
      </c>
      <c r="Z76">
        <v>86</v>
      </c>
      <c r="AA76">
        <v>117</v>
      </c>
      <c r="AB76">
        <v>122</v>
      </c>
      <c r="AC76">
        <v>109</v>
      </c>
      <c r="AD76">
        <v>122</v>
      </c>
      <c r="AE76">
        <v>102</v>
      </c>
      <c r="AF76">
        <v>97</v>
      </c>
      <c r="AG76">
        <v>0</v>
      </c>
      <c r="AH76">
        <v>0</v>
      </c>
      <c r="AI76">
        <f t="shared" si="7"/>
        <v>669</v>
      </c>
      <c r="AL76">
        <f>U76+W76+Y76+AA76+AC76+AE76+AG76</f>
        <v>612</v>
      </c>
      <c r="AM76">
        <f>V76+X76+Z76+AB76+AD76+AF76+AH76</f>
        <v>633</v>
      </c>
      <c r="AN76">
        <f>SUM(AL76:AM76)</f>
        <v>1245</v>
      </c>
      <c r="AO76">
        <f>R76+AL76</f>
        <v>688</v>
      </c>
      <c r="AP76">
        <f>S76+AM76</f>
        <v>723</v>
      </c>
      <c r="AQ76">
        <f>T76+AN76</f>
        <v>1411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f>AR76+AT76+AV76+AX76+AZ76</f>
        <v>0</v>
      </c>
      <c r="BC76">
        <f>AS76+AU76+AW76+AY76+BA76</f>
        <v>0</v>
      </c>
      <c r="BD76">
        <f>SUM(BB76:BC76)</f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f>BE76+BG76+BI76+BK76+BM76</f>
        <v>0</v>
      </c>
      <c r="BP76">
        <f>BF76+BH76+BJ76+BL76+BN76</f>
        <v>0</v>
      </c>
      <c r="BQ76">
        <f>SUM(BO76:BP76)</f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f>BO76+BR76+BT76+BV76</f>
        <v>0</v>
      </c>
      <c r="BY76">
        <f>BP76+BS76+BU76+BW76</f>
        <v>0</v>
      </c>
      <c r="BZ76">
        <f>SUM(BX76:BY76)</f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f>CA76+CC76+CE76+CG76+CI76</f>
        <v>0</v>
      </c>
      <c r="CL76">
        <f>CB76+CD76+CF76+CH76+CJ76</f>
        <v>0</v>
      </c>
      <c r="CM76">
        <f>SUM(CK76:CL76)</f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f>CK76+CN76+CP76+CR76</f>
        <v>0</v>
      </c>
      <c r="CU76">
        <f>CL76+CO76+CQ76+CS76</f>
        <v>0</v>
      </c>
      <c r="CV76">
        <f>SUM(CT76:CU76)</f>
        <v>0</v>
      </c>
      <c r="CW76">
        <f>BX76+CT76</f>
        <v>0</v>
      </c>
      <c r="CX76">
        <f>BY76+CU76</f>
        <v>0</v>
      </c>
      <c r="CY76">
        <f>BZ76+CV76</f>
        <v>0</v>
      </c>
      <c r="CZ76">
        <f>AO76+BB76+CW76</f>
        <v>688</v>
      </c>
      <c r="DA76">
        <f>AP76+BC76+CX76</f>
        <v>723</v>
      </c>
      <c r="DB76">
        <f>AQ76+BD76+CY76</f>
        <v>1411</v>
      </c>
    </row>
    <row r="77" spans="1:106">
      <c r="A77" t="s">
        <v>134</v>
      </c>
      <c r="B77" t="s">
        <v>9</v>
      </c>
      <c r="C77" t="s">
        <v>209</v>
      </c>
      <c r="D77">
        <v>129401</v>
      </c>
      <c r="E77" t="s">
        <v>249</v>
      </c>
      <c r="F77" t="s">
        <v>250</v>
      </c>
      <c r="H77" t="s">
        <v>138</v>
      </c>
      <c r="I77" t="s">
        <v>139</v>
      </c>
      <c r="J77" t="s">
        <v>140</v>
      </c>
      <c r="K77" t="s">
        <v>218</v>
      </c>
      <c r="L77" t="s">
        <v>0</v>
      </c>
      <c r="M77" t="s">
        <v>142</v>
      </c>
      <c r="N77" t="s">
        <v>143</v>
      </c>
      <c r="O77" t="s">
        <v>144</v>
      </c>
      <c r="P77" t="s">
        <v>145</v>
      </c>
      <c r="Q77" s="27" t="s">
        <v>146</v>
      </c>
      <c r="R77">
        <v>16</v>
      </c>
      <c r="S77">
        <v>19</v>
      </c>
      <c r="T77">
        <f>SUM(R77:S77)</f>
        <v>35</v>
      </c>
      <c r="U77">
        <v>18</v>
      </c>
      <c r="V77">
        <v>16</v>
      </c>
      <c r="W77">
        <v>18</v>
      </c>
      <c r="X77">
        <v>11</v>
      </c>
      <c r="Y77">
        <v>18</v>
      </c>
      <c r="Z77">
        <v>17</v>
      </c>
      <c r="AA77">
        <v>16</v>
      </c>
      <c r="AB77">
        <v>19</v>
      </c>
      <c r="AC77">
        <v>12</v>
      </c>
      <c r="AD77">
        <v>14</v>
      </c>
      <c r="AE77">
        <v>12</v>
      </c>
      <c r="AF77">
        <v>12</v>
      </c>
      <c r="AG77">
        <v>1</v>
      </c>
      <c r="AH77">
        <v>1</v>
      </c>
      <c r="AI77">
        <f t="shared" si="7"/>
        <v>85</v>
      </c>
      <c r="AL77">
        <f>U77+W77+Y77+AA77+AC77+AE77+AG77</f>
        <v>95</v>
      </c>
      <c r="AM77">
        <f>V77+X77+Z77+AB77+AD77+AF77+AH77</f>
        <v>90</v>
      </c>
      <c r="AN77">
        <f>SUM(AL77:AM77)</f>
        <v>185</v>
      </c>
      <c r="AO77">
        <f>R77+AL77</f>
        <v>111</v>
      </c>
      <c r="AP77">
        <f>S77+AM77</f>
        <v>109</v>
      </c>
      <c r="AQ77">
        <f>T77+AN77</f>
        <v>220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f>AR77+AT77+AV77+AX77+AZ77</f>
        <v>0</v>
      </c>
      <c r="BC77">
        <f>AS77+AU77+AW77+AY77+BA77</f>
        <v>0</v>
      </c>
      <c r="BD77">
        <f>SUM(BB77:BC77)</f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f>BE77+BG77+BI77+BK77+BM77</f>
        <v>0</v>
      </c>
      <c r="BP77">
        <f>BF77+BH77+BJ77+BL77+BN77</f>
        <v>0</v>
      </c>
      <c r="BQ77">
        <f>SUM(BO77:BP77)</f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f>BO77+BR77+BT77+BV77</f>
        <v>0</v>
      </c>
      <c r="BY77">
        <f>BP77+BS77+BU77+BW77</f>
        <v>0</v>
      </c>
      <c r="BZ77">
        <f>SUM(BX77:BY77)</f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f>CA77+CC77+CE77+CG77+CI77</f>
        <v>0</v>
      </c>
      <c r="CL77">
        <f>CB77+CD77+CF77+CH77+CJ77</f>
        <v>0</v>
      </c>
      <c r="CM77">
        <f>SUM(CK77:CL77)</f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f>CK77+CN77+CP77+CR77</f>
        <v>0</v>
      </c>
      <c r="CU77">
        <f>CL77+CO77+CQ77+CS77</f>
        <v>0</v>
      </c>
      <c r="CV77">
        <f>SUM(CT77:CU77)</f>
        <v>0</v>
      </c>
      <c r="CW77">
        <f>BX77+CT77</f>
        <v>0</v>
      </c>
      <c r="CX77">
        <f>BY77+CU77</f>
        <v>0</v>
      </c>
      <c r="CY77">
        <f>BZ77+CV77</f>
        <v>0</v>
      </c>
      <c r="CZ77">
        <f>AO77+BB77+CW77</f>
        <v>111</v>
      </c>
      <c r="DA77">
        <f>AP77+BC77+CX77</f>
        <v>109</v>
      </c>
      <c r="DB77">
        <f>AQ77+BD77+CY77</f>
        <v>220</v>
      </c>
    </row>
    <row r="78" spans="1:106">
      <c r="A78" t="s">
        <v>134</v>
      </c>
      <c r="B78" t="s">
        <v>9</v>
      </c>
      <c r="C78" t="s">
        <v>209</v>
      </c>
      <c r="D78">
        <v>129402</v>
      </c>
      <c r="E78" t="s">
        <v>251</v>
      </c>
      <c r="F78" t="s">
        <v>252</v>
      </c>
      <c r="H78" t="s">
        <v>138</v>
      </c>
      <c r="I78" t="s">
        <v>139</v>
      </c>
      <c r="J78" t="s">
        <v>140</v>
      </c>
      <c r="K78" t="s">
        <v>231</v>
      </c>
      <c r="L78" t="s">
        <v>0</v>
      </c>
      <c r="M78" t="s">
        <v>142</v>
      </c>
      <c r="N78" t="s">
        <v>143</v>
      </c>
      <c r="O78" t="s">
        <v>144</v>
      </c>
      <c r="P78" t="s">
        <v>145</v>
      </c>
      <c r="Q78" s="27" t="s">
        <v>146</v>
      </c>
      <c r="R78">
        <v>8</v>
      </c>
      <c r="S78">
        <v>3</v>
      </c>
      <c r="T78">
        <f>SUM(R78:S78)</f>
        <v>11</v>
      </c>
      <c r="U78">
        <v>4</v>
      </c>
      <c r="V78">
        <v>3</v>
      </c>
      <c r="W78">
        <v>9</v>
      </c>
      <c r="X78">
        <v>10</v>
      </c>
      <c r="Y78">
        <v>8</v>
      </c>
      <c r="Z78">
        <v>7</v>
      </c>
      <c r="AA78">
        <v>10</v>
      </c>
      <c r="AB78">
        <v>6</v>
      </c>
      <c r="AC78">
        <v>6</v>
      </c>
      <c r="AD78">
        <v>5</v>
      </c>
      <c r="AE78">
        <v>5</v>
      </c>
      <c r="AF78">
        <v>4</v>
      </c>
      <c r="AG78">
        <v>0</v>
      </c>
      <c r="AH78">
        <v>0</v>
      </c>
      <c r="AI78">
        <f t="shared" si="7"/>
        <v>36</v>
      </c>
      <c r="AL78">
        <f>U78+W78+Y78+AA78+AC78+AE78+AG78</f>
        <v>42</v>
      </c>
      <c r="AM78">
        <f>V78+X78+Z78+AB78+AD78+AF78+AH78</f>
        <v>35</v>
      </c>
      <c r="AN78">
        <f>SUM(AL78:AM78)</f>
        <v>77</v>
      </c>
      <c r="AO78">
        <f>R78+AL78</f>
        <v>50</v>
      </c>
      <c r="AP78">
        <f>S78+AM78</f>
        <v>38</v>
      </c>
      <c r="AQ78">
        <f>T78+AN78</f>
        <v>88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f>AR78+AT78+AV78+AX78+AZ78</f>
        <v>0</v>
      </c>
      <c r="BC78">
        <f>AS78+AU78+AW78+AY78+BA78</f>
        <v>0</v>
      </c>
      <c r="BD78">
        <f>SUM(BB78:BC78)</f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f>BE78+BG78+BI78+BK78+BM78</f>
        <v>0</v>
      </c>
      <c r="BP78">
        <f>BF78+BH78+BJ78+BL78+BN78</f>
        <v>0</v>
      </c>
      <c r="BQ78">
        <f>SUM(BO78:BP78)</f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f>BO78+BR78+BT78+BV78</f>
        <v>0</v>
      </c>
      <c r="BY78">
        <f>BP78+BS78+BU78+BW78</f>
        <v>0</v>
      </c>
      <c r="BZ78">
        <f>SUM(BX78:BY78)</f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f>CA78+CC78+CE78+CG78+CI78</f>
        <v>0</v>
      </c>
      <c r="CL78">
        <f>CB78+CD78+CF78+CH78+CJ78</f>
        <v>0</v>
      </c>
      <c r="CM78">
        <f>SUM(CK78:CL78)</f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f>CK78+CN78+CP78+CR78</f>
        <v>0</v>
      </c>
      <c r="CU78">
        <f>CL78+CO78+CQ78+CS78</f>
        <v>0</v>
      </c>
      <c r="CV78">
        <f>SUM(CT78:CU78)</f>
        <v>0</v>
      </c>
      <c r="CW78">
        <f>BX78+CT78</f>
        <v>0</v>
      </c>
      <c r="CX78">
        <f>BY78+CU78</f>
        <v>0</v>
      </c>
      <c r="CY78">
        <f>BZ78+CV78</f>
        <v>0</v>
      </c>
      <c r="CZ78">
        <f>AO78+BB78+CW78</f>
        <v>50</v>
      </c>
      <c r="DA78">
        <f>AP78+BC78+CX78</f>
        <v>38</v>
      </c>
      <c r="DB78">
        <f>AQ78+BD78+CY78</f>
        <v>88</v>
      </c>
    </row>
    <row r="79" spans="1:106">
      <c r="A79" t="s">
        <v>134</v>
      </c>
      <c r="B79" t="s">
        <v>9</v>
      </c>
      <c r="C79" t="s">
        <v>209</v>
      </c>
      <c r="D79">
        <v>129403</v>
      </c>
      <c r="E79" t="s">
        <v>253</v>
      </c>
      <c r="F79" t="s">
        <v>254</v>
      </c>
      <c r="H79" t="s">
        <v>138</v>
      </c>
      <c r="I79" t="s">
        <v>139</v>
      </c>
      <c r="J79" t="s">
        <v>140</v>
      </c>
      <c r="K79" t="s">
        <v>212</v>
      </c>
      <c r="L79" t="s">
        <v>0</v>
      </c>
      <c r="M79" t="s">
        <v>142</v>
      </c>
      <c r="N79" t="s">
        <v>143</v>
      </c>
      <c r="O79" t="s">
        <v>144</v>
      </c>
      <c r="P79" t="s">
        <v>145</v>
      </c>
      <c r="Q79" s="27" t="s">
        <v>146</v>
      </c>
      <c r="R79">
        <v>13</v>
      </c>
      <c r="S79">
        <v>5</v>
      </c>
      <c r="T79">
        <f>SUM(R79:S79)</f>
        <v>18</v>
      </c>
      <c r="U79">
        <v>10</v>
      </c>
      <c r="V79">
        <v>15</v>
      </c>
      <c r="W79">
        <v>11</v>
      </c>
      <c r="X79">
        <v>9</v>
      </c>
      <c r="Y79">
        <v>13</v>
      </c>
      <c r="Z79">
        <v>8</v>
      </c>
      <c r="AA79">
        <v>19</v>
      </c>
      <c r="AB79">
        <v>8</v>
      </c>
      <c r="AC79">
        <v>11</v>
      </c>
      <c r="AD79">
        <v>12</v>
      </c>
      <c r="AE79">
        <v>8</v>
      </c>
      <c r="AF79">
        <v>9</v>
      </c>
      <c r="AG79">
        <v>0</v>
      </c>
      <c r="AH79">
        <v>0</v>
      </c>
      <c r="AI79">
        <f t="shared" si="7"/>
        <v>67</v>
      </c>
      <c r="AL79">
        <f>U79+W79+Y79+AA79+AC79+AE79+AG79</f>
        <v>72</v>
      </c>
      <c r="AM79">
        <f>V79+X79+Z79+AB79+AD79+AF79+AH79</f>
        <v>61</v>
      </c>
      <c r="AN79">
        <f>SUM(AL79:AM79)</f>
        <v>133</v>
      </c>
      <c r="AO79">
        <f>R79+AL79</f>
        <v>85</v>
      </c>
      <c r="AP79">
        <f>S79+AM79</f>
        <v>66</v>
      </c>
      <c r="AQ79">
        <f>T79+AN79</f>
        <v>151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f>AR79+AT79+AV79+AX79+AZ79</f>
        <v>0</v>
      </c>
      <c r="BC79">
        <f>AS79+AU79+AW79+AY79+BA79</f>
        <v>0</v>
      </c>
      <c r="BD79">
        <f>SUM(BB79:BC79)</f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f>BE79+BG79+BI79+BK79+BM79</f>
        <v>0</v>
      </c>
      <c r="BP79">
        <f>BF79+BH79+BJ79+BL79+BN79</f>
        <v>0</v>
      </c>
      <c r="BQ79">
        <f>SUM(BO79:BP79)</f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f>BO79+BR79+BT79+BV79</f>
        <v>0</v>
      </c>
      <c r="BY79">
        <f>BP79+BS79+BU79+BW79</f>
        <v>0</v>
      </c>
      <c r="BZ79">
        <f>SUM(BX79:BY79)</f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f>CA79+CC79+CE79+CG79+CI79</f>
        <v>0</v>
      </c>
      <c r="CL79">
        <f>CB79+CD79+CF79+CH79+CJ79</f>
        <v>0</v>
      </c>
      <c r="CM79">
        <f>SUM(CK79:CL79)</f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f>CK79+CN79+CP79+CR79</f>
        <v>0</v>
      </c>
      <c r="CU79">
        <f>CL79+CO79+CQ79+CS79</f>
        <v>0</v>
      </c>
      <c r="CV79">
        <f>SUM(CT79:CU79)</f>
        <v>0</v>
      </c>
      <c r="CW79">
        <f>BX79+CT79</f>
        <v>0</v>
      </c>
      <c r="CX79">
        <f>BY79+CU79</f>
        <v>0</v>
      </c>
      <c r="CY79">
        <f>BZ79+CV79</f>
        <v>0</v>
      </c>
      <c r="CZ79">
        <f>AO79+BB79+CW79</f>
        <v>85</v>
      </c>
      <c r="DA79">
        <f>AP79+BC79+CX79</f>
        <v>66</v>
      </c>
      <c r="DB79">
        <f>AQ79+BD79+CY79</f>
        <v>151</v>
      </c>
    </row>
    <row r="80" spans="1:106">
      <c r="A80" t="s">
        <v>134</v>
      </c>
      <c r="B80" t="s">
        <v>9</v>
      </c>
      <c r="C80" t="s">
        <v>209</v>
      </c>
      <c r="D80">
        <v>129404</v>
      </c>
      <c r="E80" t="s">
        <v>255</v>
      </c>
      <c r="F80" t="s">
        <v>256</v>
      </c>
      <c r="H80" t="s">
        <v>138</v>
      </c>
      <c r="I80" t="s">
        <v>139</v>
      </c>
      <c r="J80" t="s">
        <v>140</v>
      </c>
      <c r="K80" t="s">
        <v>257</v>
      </c>
      <c r="L80" t="s">
        <v>0</v>
      </c>
      <c r="M80" t="s">
        <v>142</v>
      </c>
      <c r="N80" t="s">
        <v>143</v>
      </c>
      <c r="O80" t="s">
        <v>144</v>
      </c>
      <c r="P80" t="s">
        <v>145</v>
      </c>
      <c r="Q80" s="27" t="s">
        <v>146</v>
      </c>
      <c r="R80">
        <v>24</v>
      </c>
      <c r="S80">
        <v>8</v>
      </c>
      <c r="T80">
        <f>SUM(R80:S80)</f>
        <v>32</v>
      </c>
      <c r="U80">
        <v>31</v>
      </c>
      <c r="V80">
        <v>20</v>
      </c>
      <c r="W80">
        <v>13</v>
      </c>
      <c r="X80">
        <v>18</v>
      </c>
      <c r="Y80">
        <v>18</v>
      </c>
      <c r="Z80">
        <v>21</v>
      </c>
      <c r="AA80">
        <v>19</v>
      </c>
      <c r="AB80">
        <v>9</v>
      </c>
      <c r="AC80">
        <v>16</v>
      </c>
      <c r="AD80">
        <v>15</v>
      </c>
      <c r="AE80">
        <v>12</v>
      </c>
      <c r="AF80">
        <v>11</v>
      </c>
      <c r="AG80">
        <v>0</v>
      </c>
      <c r="AH80">
        <v>0</v>
      </c>
      <c r="AI80">
        <f t="shared" si="7"/>
        <v>82</v>
      </c>
      <c r="AL80">
        <f>U80+W80+Y80+AA80+AC80+AE80+AG80</f>
        <v>109</v>
      </c>
      <c r="AM80">
        <f>V80+X80+Z80+AB80+AD80+AF80+AH80</f>
        <v>94</v>
      </c>
      <c r="AN80">
        <f>SUM(AL80:AM80)</f>
        <v>203</v>
      </c>
      <c r="AO80">
        <f>R80+AL80</f>
        <v>133</v>
      </c>
      <c r="AP80">
        <f>S80+AM80</f>
        <v>102</v>
      </c>
      <c r="AQ80">
        <f>T80+AN80</f>
        <v>235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f>AR80+AT80+AV80+AX80+AZ80</f>
        <v>0</v>
      </c>
      <c r="BC80">
        <f>AS80+AU80+AW80+AY80+BA80</f>
        <v>0</v>
      </c>
      <c r="BD80">
        <f>SUM(BB80:BC80)</f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f>BE80+BG80+BI80+BK80+BM80</f>
        <v>0</v>
      </c>
      <c r="BP80">
        <f>BF80+BH80+BJ80+BL80+BN80</f>
        <v>0</v>
      </c>
      <c r="BQ80">
        <f>SUM(BO80:BP80)</f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f>BO80+BR80+BT80+BV80</f>
        <v>0</v>
      </c>
      <c r="BY80">
        <f>BP80+BS80+BU80+BW80</f>
        <v>0</v>
      </c>
      <c r="BZ80">
        <f>SUM(BX80:BY80)</f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f>CA80+CC80+CE80+CG80+CI80</f>
        <v>0</v>
      </c>
      <c r="CL80">
        <f>CB80+CD80+CF80+CH80+CJ80</f>
        <v>0</v>
      </c>
      <c r="CM80">
        <f>SUM(CK80:CL80)</f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f>CK80+CN80+CP80+CR80</f>
        <v>0</v>
      </c>
      <c r="CU80">
        <f>CL80+CO80+CQ80+CS80</f>
        <v>0</v>
      </c>
      <c r="CV80">
        <f>SUM(CT80:CU80)</f>
        <v>0</v>
      </c>
      <c r="CW80">
        <f>BX80+CT80</f>
        <v>0</v>
      </c>
      <c r="CX80">
        <f>BY80+CU80</f>
        <v>0</v>
      </c>
      <c r="CY80">
        <f>BZ80+CV80</f>
        <v>0</v>
      </c>
      <c r="CZ80">
        <f>AO80+BB80+CW80</f>
        <v>133</v>
      </c>
      <c r="DA80">
        <f>AP80+BC80+CX80</f>
        <v>102</v>
      </c>
      <c r="DB80">
        <f>AQ80+BD80+CY80</f>
        <v>235</v>
      </c>
    </row>
    <row r="81" spans="1:106">
      <c r="A81" t="s">
        <v>134</v>
      </c>
      <c r="B81" t="s">
        <v>9</v>
      </c>
      <c r="C81" t="s">
        <v>209</v>
      </c>
      <c r="D81">
        <v>129405</v>
      </c>
      <c r="E81" t="s">
        <v>258</v>
      </c>
      <c r="F81" t="s">
        <v>259</v>
      </c>
      <c r="H81" t="s">
        <v>138</v>
      </c>
      <c r="I81" t="s">
        <v>139</v>
      </c>
      <c r="J81" t="s">
        <v>140</v>
      </c>
      <c r="K81" t="s">
        <v>260</v>
      </c>
      <c r="L81" t="s">
        <v>0</v>
      </c>
      <c r="M81" t="s">
        <v>142</v>
      </c>
      <c r="N81" t="s">
        <v>143</v>
      </c>
      <c r="O81" t="s">
        <v>144</v>
      </c>
      <c r="P81" t="s">
        <v>145</v>
      </c>
      <c r="Q81" s="27" t="s">
        <v>146</v>
      </c>
      <c r="R81">
        <v>30</v>
      </c>
      <c r="S81">
        <v>31</v>
      </c>
      <c r="T81">
        <f>SUM(R81:S81)</f>
        <v>61</v>
      </c>
      <c r="U81">
        <v>31</v>
      </c>
      <c r="V81">
        <v>25</v>
      </c>
      <c r="W81">
        <v>38</v>
      </c>
      <c r="X81">
        <v>40</v>
      </c>
      <c r="Y81">
        <v>24</v>
      </c>
      <c r="Z81">
        <v>23</v>
      </c>
      <c r="AA81">
        <v>38</v>
      </c>
      <c r="AB81">
        <v>28</v>
      </c>
      <c r="AC81">
        <v>32</v>
      </c>
      <c r="AD81">
        <v>32</v>
      </c>
      <c r="AE81">
        <v>22</v>
      </c>
      <c r="AF81">
        <v>24</v>
      </c>
      <c r="AG81">
        <v>0</v>
      </c>
      <c r="AH81">
        <v>0</v>
      </c>
      <c r="AI81">
        <f t="shared" si="7"/>
        <v>176</v>
      </c>
      <c r="AL81">
        <f>U81+W81+Y81+AA81+AC81+AE81+AG81</f>
        <v>185</v>
      </c>
      <c r="AM81">
        <f>V81+X81+Z81+AB81+AD81+AF81+AH81</f>
        <v>172</v>
      </c>
      <c r="AN81">
        <f>SUM(AL81:AM81)</f>
        <v>357</v>
      </c>
      <c r="AO81">
        <f>R81+AL81</f>
        <v>215</v>
      </c>
      <c r="AP81">
        <f>S81+AM81</f>
        <v>203</v>
      </c>
      <c r="AQ81">
        <f>T81+AN81</f>
        <v>418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f>AR81+AT81+AV81+AX81+AZ81</f>
        <v>0</v>
      </c>
      <c r="BC81">
        <f>AS81+AU81+AW81+AY81+BA81</f>
        <v>0</v>
      </c>
      <c r="BD81">
        <f>SUM(BB81:BC81)</f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f>BE81+BG81+BI81+BK81+BM81</f>
        <v>0</v>
      </c>
      <c r="BP81">
        <f>BF81+BH81+BJ81+BL81+BN81</f>
        <v>0</v>
      </c>
      <c r="BQ81">
        <f>SUM(BO81:BP81)</f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f>BO81+BR81+BT81+BV81</f>
        <v>0</v>
      </c>
      <c r="BY81">
        <f>BP81+BS81+BU81+BW81</f>
        <v>0</v>
      </c>
      <c r="BZ81">
        <f>SUM(BX81:BY81)</f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f>CA81+CC81+CE81+CG81+CI81</f>
        <v>0</v>
      </c>
      <c r="CL81">
        <f>CB81+CD81+CF81+CH81+CJ81</f>
        <v>0</v>
      </c>
      <c r="CM81">
        <f>SUM(CK81:CL81)</f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f>CK81+CN81+CP81+CR81</f>
        <v>0</v>
      </c>
      <c r="CU81">
        <f>CL81+CO81+CQ81+CS81</f>
        <v>0</v>
      </c>
      <c r="CV81">
        <f>SUM(CT81:CU81)</f>
        <v>0</v>
      </c>
      <c r="CW81">
        <f>BX81+CT81</f>
        <v>0</v>
      </c>
      <c r="CX81">
        <f>BY81+CU81</f>
        <v>0</v>
      </c>
      <c r="CY81">
        <f>BZ81+CV81</f>
        <v>0</v>
      </c>
      <c r="CZ81">
        <f>AO81+BB81+CW81</f>
        <v>215</v>
      </c>
      <c r="DA81">
        <f>AP81+BC81+CX81</f>
        <v>203</v>
      </c>
      <c r="DB81">
        <f>AQ81+BD81+CY81</f>
        <v>418</v>
      </c>
    </row>
    <row r="82" spans="1:106">
      <c r="A82" t="s">
        <v>134</v>
      </c>
      <c r="B82" t="s">
        <v>9</v>
      </c>
      <c r="C82" t="s">
        <v>209</v>
      </c>
      <c r="D82">
        <v>129406</v>
      </c>
      <c r="E82" t="s">
        <v>261</v>
      </c>
      <c r="F82" t="s">
        <v>262</v>
      </c>
      <c r="H82" t="s">
        <v>138</v>
      </c>
      <c r="I82" t="s">
        <v>139</v>
      </c>
      <c r="J82" t="s">
        <v>140</v>
      </c>
      <c r="K82" t="s">
        <v>228</v>
      </c>
      <c r="L82" t="s">
        <v>0</v>
      </c>
      <c r="M82" t="s">
        <v>142</v>
      </c>
      <c r="N82" t="s">
        <v>143</v>
      </c>
      <c r="O82" t="s">
        <v>144</v>
      </c>
      <c r="P82" t="s">
        <v>145</v>
      </c>
      <c r="Q82" s="27" t="s">
        <v>146</v>
      </c>
      <c r="R82">
        <v>14</v>
      </c>
      <c r="S82">
        <v>14</v>
      </c>
      <c r="T82">
        <f>SUM(R82:S82)</f>
        <v>28</v>
      </c>
      <c r="U82">
        <v>14</v>
      </c>
      <c r="V82">
        <v>11</v>
      </c>
      <c r="W82">
        <v>15</v>
      </c>
      <c r="X82">
        <v>14</v>
      </c>
      <c r="Y82">
        <v>10</v>
      </c>
      <c r="Z82">
        <v>23</v>
      </c>
      <c r="AA82">
        <v>13</v>
      </c>
      <c r="AB82">
        <v>16</v>
      </c>
      <c r="AC82">
        <v>9</v>
      </c>
      <c r="AD82">
        <v>14</v>
      </c>
      <c r="AE82">
        <v>11</v>
      </c>
      <c r="AF82">
        <v>5</v>
      </c>
      <c r="AG82">
        <v>0</v>
      </c>
      <c r="AH82">
        <v>0</v>
      </c>
      <c r="AI82">
        <f t="shared" si="7"/>
        <v>68</v>
      </c>
      <c r="AL82">
        <f>U82+W82+Y82+AA82+AC82+AE82+AG82</f>
        <v>72</v>
      </c>
      <c r="AM82">
        <f>V82+X82+Z82+AB82+AD82+AF82+AH82</f>
        <v>83</v>
      </c>
      <c r="AN82">
        <f>SUM(AL82:AM82)</f>
        <v>155</v>
      </c>
      <c r="AO82">
        <f>R82+AL82</f>
        <v>86</v>
      </c>
      <c r="AP82">
        <f>S82+AM82</f>
        <v>97</v>
      </c>
      <c r="AQ82">
        <f>T82+AN82</f>
        <v>183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f>AR82+AT82+AV82+AX82+AZ82</f>
        <v>0</v>
      </c>
      <c r="BC82">
        <f>AS82+AU82+AW82+AY82+BA82</f>
        <v>0</v>
      </c>
      <c r="BD82">
        <f>SUM(BB82:BC82)</f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f>BE82+BG82+BI82+BK82+BM82</f>
        <v>0</v>
      </c>
      <c r="BP82">
        <f>BF82+BH82+BJ82+BL82+BN82</f>
        <v>0</v>
      </c>
      <c r="BQ82">
        <f>SUM(BO82:BP82)</f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f>BO82+BR82+BT82+BV82</f>
        <v>0</v>
      </c>
      <c r="BY82">
        <f>BP82+BS82+BU82+BW82</f>
        <v>0</v>
      </c>
      <c r="BZ82">
        <f>SUM(BX82:BY82)</f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f>CA82+CC82+CE82+CG82+CI82</f>
        <v>0</v>
      </c>
      <c r="CL82">
        <f>CB82+CD82+CF82+CH82+CJ82</f>
        <v>0</v>
      </c>
      <c r="CM82">
        <f>SUM(CK82:CL82)</f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f>CK82+CN82+CP82+CR82</f>
        <v>0</v>
      </c>
      <c r="CU82">
        <f>CL82+CO82+CQ82+CS82</f>
        <v>0</v>
      </c>
      <c r="CV82">
        <f>SUM(CT82:CU82)</f>
        <v>0</v>
      </c>
      <c r="CW82">
        <f>BX82+CT82</f>
        <v>0</v>
      </c>
      <c r="CX82">
        <f>BY82+CU82</f>
        <v>0</v>
      </c>
      <c r="CY82">
        <f>BZ82+CV82</f>
        <v>0</v>
      </c>
      <c r="CZ82">
        <f>AO82+BB82+CW82</f>
        <v>86</v>
      </c>
      <c r="DA82">
        <f>AP82+BC82+CX82</f>
        <v>97</v>
      </c>
      <c r="DB82">
        <f>AQ82+BD82+CY82</f>
        <v>183</v>
      </c>
    </row>
    <row r="83" spans="1:106">
      <c r="A83" t="s">
        <v>134</v>
      </c>
      <c r="B83" t="s">
        <v>9</v>
      </c>
      <c r="C83" t="s">
        <v>209</v>
      </c>
      <c r="D83">
        <v>129407</v>
      </c>
      <c r="E83" t="s">
        <v>263</v>
      </c>
      <c r="F83" t="s">
        <v>264</v>
      </c>
      <c r="H83" t="s">
        <v>138</v>
      </c>
      <c r="I83" t="s">
        <v>139</v>
      </c>
      <c r="J83" t="s">
        <v>140</v>
      </c>
      <c r="K83" t="s">
        <v>240</v>
      </c>
      <c r="L83" t="s">
        <v>0</v>
      </c>
      <c r="M83" t="s">
        <v>142</v>
      </c>
      <c r="N83" t="s">
        <v>143</v>
      </c>
      <c r="O83" t="s">
        <v>144</v>
      </c>
      <c r="P83" t="s">
        <v>145</v>
      </c>
      <c r="Q83" s="27" t="s">
        <v>146</v>
      </c>
      <c r="R83">
        <v>20</v>
      </c>
      <c r="S83">
        <v>20</v>
      </c>
      <c r="T83">
        <f>SUM(R83:S83)</f>
        <v>40</v>
      </c>
      <c r="U83">
        <v>11</v>
      </c>
      <c r="V83">
        <v>14</v>
      </c>
      <c r="W83">
        <v>29</v>
      </c>
      <c r="X83">
        <v>18</v>
      </c>
      <c r="Y83">
        <v>15</v>
      </c>
      <c r="Z83">
        <v>10</v>
      </c>
      <c r="AA83">
        <v>8</v>
      </c>
      <c r="AB83">
        <v>30</v>
      </c>
      <c r="AC83">
        <v>18</v>
      </c>
      <c r="AD83">
        <v>16</v>
      </c>
      <c r="AE83">
        <v>13</v>
      </c>
      <c r="AF83">
        <v>12</v>
      </c>
      <c r="AG83">
        <v>0</v>
      </c>
      <c r="AH83">
        <v>0</v>
      </c>
      <c r="AI83">
        <f t="shared" si="7"/>
        <v>97</v>
      </c>
      <c r="AL83">
        <f>U83+W83+Y83+AA83+AC83+AE83+AG83</f>
        <v>94</v>
      </c>
      <c r="AM83">
        <f>V83+X83+Z83+AB83+AD83+AF83+AH83</f>
        <v>100</v>
      </c>
      <c r="AN83">
        <f>SUM(AL83:AM83)</f>
        <v>194</v>
      </c>
      <c r="AO83">
        <f>R83+AL83</f>
        <v>114</v>
      </c>
      <c r="AP83">
        <f>S83+AM83</f>
        <v>120</v>
      </c>
      <c r="AQ83">
        <f>T83+AN83</f>
        <v>234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f>AR83+AT83+AV83+AX83+AZ83</f>
        <v>0</v>
      </c>
      <c r="BC83">
        <f>AS83+AU83+AW83+AY83+BA83</f>
        <v>0</v>
      </c>
      <c r="BD83">
        <f>SUM(BB83:BC83)</f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f>BE83+BG83+BI83+BK83+BM83</f>
        <v>0</v>
      </c>
      <c r="BP83">
        <f>BF83+BH83+BJ83+BL83+BN83</f>
        <v>0</v>
      </c>
      <c r="BQ83">
        <f>SUM(BO83:BP83)</f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f>BO83+BR83+BT83+BV83</f>
        <v>0</v>
      </c>
      <c r="BY83">
        <f>BP83+BS83+BU83+BW83</f>
        <v>0</v>
      </c>
      <c r="BZ83">
        <f>SUM(BX83:BY83)</f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f>CA83+CC83+CE83+CG83+CI83</f>
        <v>0</v>
      </c>
      <c r="CL83">
        <f>CB83+CD83+CF83+CH83+CJ83</f>
        <v>0</v>
      </c>
      <c r="CM83">
        <f>SUM(CK83:CL83)</f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f>CK83+CN83+CP83+CR83</f>
        <v>0</v>
      </c>
      <c r="CU83">
        <f>CL83+CO83+CQ83+CS83</f>
        <v>0</v>
      </c>
      <c r="CV83">
        <f>SUM(CT83:CU83)</f>
        <v>0</v>
      </c>
      <c r="CW83">
        <f>BX83+CT83</f>
        <v>0</v>
      </c>
      <c r="CX83">
        <f>BY83+CU83</f>
        <v>0</v>
      </c>
      <c r="CY83">
        <f>BZ83+CV83</f>
        <v>0</v>
      </c>
      <c r="CZ83">
        <f>AO83+BB83+CW83</f>
        <v>114</v>
      </c>
      <c r="DA83">
        <f>AP83+BC83+CX83</f>
        <v>120</v>
      </c>
      <c r="DB83">
        <f>AQ83+BD83+CY83</f>
        <v>234</v>
      </c>
    </row>
    <row r="84" spans="1:106">
      <c r="A84" t="s">
        <v>134</v>
      </c>
      <c r="B84" t="s">
        <v>9</v>
      </c>
      <c r="C84" t="s">
        <v>209</v>
      </c>
      <c r="D84">
        <v>129408</v>
      </c>
      <c r="E84" t="s">
        <v>265</v>
      </c>
      <c r="F84" t="s">
        <v>266</v>
      </c>
      <c r="H84" t="s">
        <v>138</v>
      </c>
      <c r="I84" t="s">
        <v>139</v>
      </c>
      <c r="J84" t="s">
        <v>140</v>
      </c>
      <c r="K84" t="s">
        <v>243</v>
      </c>
      <c r="L84" t="s">
        <v>0</v>
      </c>
      <c r="M84" t="s">
        <v>142</v>
      </c>
      <c r="N84" t="s">
        <v>143</v>
      </c>
      <c r="O84" t="s">
        <v>144</v>
      </c>
      <c r="P84" t="s">
        <v>145</v>
      </c>
      <c r="Q84" s="27" t="s">
        <v>146</v>
      </c>
      <c r="R84">
        <v>14</v>
      </c>
      <c r="S84">
        <v>7</v>
      </c>
      <c r="T84">
        <f>SUM(R84:S84)</f>
        <v>21</v>
      </c>
      <c r="U84">
        <v>8</v>
      </c>
      <c r="V84">
        <v>15</v>
      </c>
      <c r="W84">
        <v>15</v>
      </c>
      <c r="X84">
        <v>7</v>
      </c>
      <c r="Y84">
        <v>11</v>
      </c>
      <c r="Z84">
        <v>12</v>
      </c>
      <c r="AA84">
        <v>10</v>
      </c>
      <c r="AB84">
        <v>13</v>
      </c>
      <c r="AC84">
        <v>10</v>
      </c>
      <c r="AD84">
        <v>10</v>
      </c>
      <c r="AE84">
        <v>9</v>
      </c>
      <c r="AF84">
        <v>14</v>
      </c>
      <c r="AG84">
        <v>0</v>
      </c>
      <c r="AH84">
        <v>0</v>
      </c>
      <c r="AI84">
        <f t="shared" si="7"/>
        <v>66</v>
      </c>
      <c r="AL84">
        <f>U84+W84+Y84+AA84+AC84+AE84+AG84</f>
        <v>63</v>
      </c>
      <c r="AM84">
        <f>V84+X84+Z84+AB84+AD84+AF84+AH84</f>
        <v>71</v>
      </c>
      <c r="AN84">
        <f>SUM(AL84:AM84)</f>
        <v>134</v>
      </c>
      <c r="AO84">
        <f>R84+AL84</f>
        <v>77</v>
      </c>
      <c r="AP84">
        <f>S84+AM84</f>
        <v>78</v>
      </c>
      <c r="AQ84">
        <f>T84+AN84</f>
        <v>155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f>AR84+AT84+AV84+AX84+AZ84</f>
        <v>0</v>
      </c>
      <c r="BC84">
        <f>AS84+AU84+AW84+AY84+BA84</f>
        <v>0</v>
      </c>
      <c r="BD84">
        <f>SUM(BB84:BC84)</f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f>BE84+BG84+BI84+BK84+BM84</f>
        <v>0</v>
      </c>
      <c r="BP84">
        <f>BF84+BH84+BJ84+BL84+BN84</f>
        <v>0</v>
      </c>
      <c r="BQ84">
        <f>SUM(BO84:BP84)</f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f>BO84+BR84+BT84+BV84</f>
        <v>0</v>
      </c>
      <c r="BY84">
        <f>BP84+BS84+BU84+BW84</f>
        <v>0</v>
      </c>
      <c r="BZ84">
        <f>SUM(BX84:BY84)</f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f>CA84+CC84+CE84+CG84+CI84</f>
        <v>0</v>
      </c>
      <c r="CL84">
        <f>CB84+CD84+CF84+CH84+CJ84</f>
        <v>0</v>
      </c>
      <c r="CM84">
        <f>SUM(CK84:CL84)</f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f>CK84+CN84+CP84+CR84</f>
        <v>0</v>
      </c>
      <c r="CU84">
        <f>CL84+CO84+CQ84+CS84</f>
        <v>0</v>
      </c>
      <c r="CV84">
        <f>SUM(CT84:CU84)</f>
        <v>0</v>
      </c>
      <c r="CW84">
        <f>BX84+CT84</f>
        <v>0</v>
      </c>
      <c r="CX84">
        <f>BY84+CU84</f>
        <v>0</v>
      </c>
      <c r="CY84">
        <f>BZ84+CV84</f>
        <v>0</v>
      </c>
      <c r="CZ84">
        <f>AO84+BB84+CW84</f>
        <v>77</v>
      </c>
      <c r="DA84">
        <f>AP84+BC84+CX84</f>
        <v>78</v>
      </c>
      <c r="DB84">
        <f>AQ84+BD84+CY84</f>
        <v>155</v>
      </c>
    </row>
    <row r="85" spans="1:106">
      <c r="A85" t="s">
        <v>134</v>
      </c>
      <c r="B85" t="s">
        <v>9</v>
      </c>
      <c r="C85" t="s">
        <v>209</v>
      </c>
      <c r="D85">
        <v>129409</v>
      </c>
      <c r="E85" t="s">
        <v>267</v>
      </c>
      <c r="F85" t="s">
        <v>268</v>
      </c>
      <c r="H85" t="s">
        <v>138</v>
      </c>
      <c r="I85" t="s">
        <v>139</v>
      </c>
      <c r="J85" t="s">
        <v>140</v>
      </c>
      <c r="K85" t="s">
        <v>269</v>
      </c>
      <c r="L85" t="s">
        <v>0</v>
      </c>
      <c r="M85" t="s">
        <v>142</v>
      </c>
      <c r="N85" t="s">
        <v>143</v>
      </c>
      <c r="O85" t="s">
        <v>144</v>
      </c>
      <c r="P85" t="s">
        <v>145</v>
      </c>
      <c r="Q85" s="27" t="s">
        <v>146</v>
      </c>
      <c r="R85">
        <v>37</v>
      </c>
      <c r="S85">
        <v>37</v>
      </c>
      <c r="T85">
        <f>SUM(R85:S85)</f>
        <v>74</v>
      </c>
      <c r="U85">
        <v>52</v>
      </c>
      <c r="V85">
        <v>55</v>
      </c>
      <c r="W85">
        <v>59</v>
      </c>
      <c r="X85">
        <v>48</v>
      </c>
      <c r="Y85">
        <v>65</v>
      </c>
      <c r="Z85">
        <v>50</v>
      </c>
      <c r="AA85">
        <v>50</v>
      </c>
      <c r="AB85">
        <v>50</v>
      </c>
      <c r="AC85">
        <v>51</v>
      </c>
      <c r="AD85">
        <v>46</v>
      </c>
      <c r="AE85">
        <v>39</v>
      </c>
      <c r="AF85">
        <v>37</v>
      </c>
      <c r="AG85">
        <v>0</v>
      </c>
      <c r="AH85">
        <v>0</v>
      </c>
      <c r="AI85">
        <f t="shared" si="7"/>
        <v>273</v>
      </c>
      <c r="AL85">
        <f>U85+W85+Y85+AA85+AC85+AE85+AG85</f>
        <v>316</v>
      </c>
      <c r="AM85">
        <f>V85+X85+Z85+AB85+AD85+AF85+AH85</f>
        <v>286</v>
      </c>
      <c r="AN85">
        <f>SUM(AL85:AM85)</f>
        <v>602</v>
      </c>
      <c r="AO85">
        <f>R85+AL85</f>
        <v>353</v>
      </c>
      <c r="AP85">
        <f>S85+AM85</f>
        <v>323</v>
      </c>
      <c r="AQ85">
        <f>T85+AN85</f>
        <v>676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f>AR85+AT85+AV85+AX85+AZ85</f>
        <v>0</v>
      </c>
      <c r="BC85">
        <f>AS85+AU85+AW85+AY85+BA85</f>
        <v>0</v>
      </c>
      <c r="BD85">
        <f>SUM(BB85:BC85)</f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f>BE85+BG85+BI85+BK85+BM85</f>
        <v>0</v>
      </c>
      <c r="BP85">
        <f>BF85+BH85+BJ85+BL85+BN85</f>
        <v>0</v>
      </c>
      <c r="BQ85">
        <f>SUM(BO85:BP85)</f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f>BO85+BR85+BT85+BV85</f>
        <v>0</v>
      </c>
      <c r="BY85">
        <f>BP85+BS85+BU85+BW85</f>
        <v>0</v>
      </c>
      <c r="BZ85">
        <f>SUM(BX85:BY85)</f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f>CA85+CC85+CE85+CG85+CI85</f>
        <v>0</v>
      </c>
      <c r="CL85">
        <f>CB85+CD85+CF85+CH85+CJ85</f>
        <v>0</v>
      </c>
      <c r="CM85">
        <f>SUM(CK85:CL85)</f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f>CK85+CN85+CP85+CR85</f>
        <v>0</v>
      </c>
      <c r="CU85">
        <f>CL85+CO85+CQ85+CS85</f>
        <v>0</v>
      </c>
      <c r="CV85">
        <f>SUM(CT85:CU85)</f>
        <v>0</v>
      </c>
      <c r="CW85">
        <f>BX85+CT85</f>
        <v>0</v>
      </c>
      <c r="CX85">
        <f>BY85+CU85</f>
        <v>0</v>
      </c>
      <c r="CY85">
        <f>BZ85+CV85</f>
        <v>0</v>
      </c>
      <c r="CZ85">
        <f>AO85+BB85+CW85</f>
        <v>353</v>
      </c>
      <c r="DA85">
        <f>AP85+BC85+CX85</f>
        <v>323</v>
      </c>
      <c r="DB85">
        <f>AQ85+BD85+CY85</f>
        <v>676</v>
      </c>
    </row>
    <row r="86" spans="1:106">
      <c r="A86" t="s">
        <v>134</v>
      </c>
      <c r="B86" t="s">
        <v>9</v>
      </c>
      <c r="C86" t="s">
        <v>209</v>
      </c>
      <c r="D86">
        <v>257001</v>
      </c>
      <c r="E86" t="s">
        <v>270</v>
      </c>
      <c r="F86" t="s">
        <v>271</v>
      </c>
      <c r="H86" t="s">
        <v>138</v>
      </c>
      <c r="I86" t="s">
        <v>139</v>
      </c>
      <c r="J86" t="s">
        <v>140</v>
      </c>
      <c r="K86" t="s">
        <v>191</v>
      </c>
      <c r="L86" t="s">
        <v>0</v>
      </c>
      <c r="M86" t="s">
        <v>142</v>
      </c>
      <c r="N86" t="s">
        <v>143</v>
      </c>
      <c r="O86" t="s">
        <v>144</v>
      </c>
      <c r="P86" t="s">
        <v>145</v>
      </c>
      <c r="Q86" s="27" t="s">
        <v>146</v>
      </c>
      <c r="R86">
        <v>63</v>
      </c>
      <c r="S86">
        <v>61</v>
      </c>
      <c r="T86">
        <f>SUM(R86:S86)</f>
        <v>124</v>
      </c>
      <c r="U86">
        <v>61</v>
      </c>
      <c r="V86">
        <v>52</v>
      </c>
      <c r="W86">
        <v>58</v>
      </c>
      <c r="X86">
        <v>59</v>
      </c>
      <c r="Y86">
        <v>39</v>
      </c>
      <c r="Z86">
        <v>48</v>
      </c>
      <c r="AA86">
        <v>54</v>
      </c>
      <c r="AB86">
        <v>55</v>
      </c>
      <c r="AC86">
        <v>48</v>
      </c>
      <c r="AD86">
        <v>41</v>
      </c>
      <c r="AE86">
        <v>32</v>
      </c>
      <c r="AF86">
        <v>41</v>
      </c>
      <c r="AG86">
        <v>0</v>
      </c>
      <c r="AH86">
        <v>0</v>
      </c>
      <c r="AI86">
        <f t="shared" si="7"/>
        <v>271</v>
      </c>
      <c r="AL86">
        <f>U86+W86+Y86+AA86+AC86+AE86+AG86</f>
        <v>292</v>
      </c>
      <c r="AM86">
        <f>V86+X86+Z86+AB86+AD86+AF86+AH86</f>
        <v>296</v>
      </c>
      <c r="AN86">
        <f>SUM(AL86:AM86)</f>
        <v>588</v>
      </c>
      <c r="AO86">
        <f>R86+AL86</f>
        <v>355</v>
      </c>
      <c r="AP86">
        <f>S86+AM86</f>
        <v>357</v>
      </c>
      <c r="AQ86">
        <f>T86+AN86</f>
        <v>712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f>AR86+AT86+AV86+AX86+AZ86</f>
        <v>0</v>
      </c>
      <c r="BC86">
        <f>AS86+AU86+AW86+AY86+BA86</f>
        <v>0</v>
      </c>
      <c r="BD86">
        <f>SUM(BB86:BC86)</f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f>BE86+BG86+BI86+BK86+BM86</f>
        <v>0</v>
      </c>
      <c r="BP86">
        <f>BF86+BH86+BJ86+BL86+BN86</f>
        <v>0</v>
      </c>
      <c r="BQ86">
        <f>SUM(BO86:BP86)</f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f>BO86+BR86+BT86+BV86</f>
        <v>0</v>
      </c>
      <c r="BY86">
        <f>BP86+BS86+BU86+BW86</f>
        <v>0</v>
      </c>
      <c r="BZ86">
        <f>SUM(BX86:BY86)</f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f>CA86+CC86+CE86+CG86+CI86</f>
        <v>0</v>
      </c>
      <c r="CL86">
        <f>CB86+CD86+CF86+CH86+CJ86</f>
        <v>0</v>
      </c>
      <c r="CM86">
        <f>SUM(CK86:CL86)</f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f>CK86+CN86+CP86+CR86</f>
        <v>0</v>
      </c>
      <c r="CU86">
        <f>CL86+CO86+CQ86+CS86</f>
        <v>0</v>
      </c>
      <c r="CV86">
        <f>SUM(CT86:CU86)</f>
        <v>0</v>
      </c>
      <c r="CW86">
        <f>BX86+CT86</f>
        <v>0</v>
      </c>
      <c r="CX86">
        <f>BY86+CU86</f>
        <v>0</v>
      </c>
      <c r="CY86">
        <f>BZ86+CV86</f>
        <v>0</v>
      </c>
      <c r="CZ86">
        <f>AO86+BB86+CW86</f>
        <v>355</v>
      </c>
      <c r="DA86">
        <f>AP86+BC86+CX86</f>
        <v>357</v>
      </c>
      <c r="DB86">
        <f>AQ86+BD86+CY86</f>
        <v>712</v>
      </c>
    </row>
    <row r="87" spans="1:106">
      <c r="A87" t="s">
        <v>134</v>
      </c>
      <c r="B87" t="s">
        <v>9</v>
      </c>
      <c r="C87" t="s">
        <v>209</v>
      </c>
      <c r="D87">
        <v>304303</v>
      </c>
      <c r="E87" t="s">
        <v>272</v>
      </c>
      <c r="F87" t="s">
        <v>273</v>
      </c>
      <c r="H87" t="s">
        <v>138</v>
      </c>
      <c r="I87" t="s">
        <v>139</v>
      </c>
      <c r="J87" t="s">
        <v>140</v>
      </c>
      <c r="K87" t="s">
        <v>215</v>
      </c>
      <c r="L87" t="s">
        <v>0</v>
      </c>
      <c r="M87" t="s">
        <v>142</v>
      </c>
      <c r="N87" t="s">
        <v>143</v>
      </c>
      <c r="O87" t="s">
        <v>172</v>
      </c>
      <c r="P87" t="s">
        <v>145</v>
      </c>
      <c r="Q87" s="27" t="s">
        <v>173</v>
      </c>
      <c r="R87">
        <v>0</v>
      </c>
      <c r="S87">
        <v>0</v>
      </c>
      <c r="T87">
        <f>SUM(R87:S87)</f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f t="shared" si="7"/>
        <v>0</v>
      </c>
      <c r="AL87">
        <f>U87+W87+Y87+AA87+AC87+AE87+AG87</f>
        <v>0</v>
      </c>
      <c r="AM87">
        <f>V87+X87+Z87+AB87+AD87+AF87+AH87</f>
        <v>0</v>
      </c>
      <c r="AN87">
        <f>SUM(AL87:AM87)</f>
        <v>0</v>
      </c>
      <c r="AO87">
        <f>R87+AL87</f>
        <v>0</v>
      </c>
      <c r="AP87">
        <f>S87+AM87</f>
        <v>0</v>
      </c>
      <c r="AQ87">
        <f>T87+AN87</f>
        <v>0</v>
      </c>
      <c r="AR87">
        <v>51</v>
      </c>
      <c r="AS87">
        <v>76</v>
      </c>
      <c r="AT87">
        <v>66</v>
      </c>
      <c r="AU87">
        <v>62</v>
      </c>
      <c r="AV87">
        <v>66</v>
      </c>
      <c r="AW87">
        <v>74</v>
      </c>
      <c r="AX87">
        <v>54</v>
      </c>
      <c r="AY87">
        <v>86</v>
      </c>
      <c r="AZ87">
        <v>0</v>
      </c>
      <c r="BA87">
        <v>0</v>
      </c>
      <c r="BB87">
        <f>AR87+AT87+AV87+AX87+AZ87</f>
        <v>237</v>
      </c>
      <c r="BC87">
        <f>AS87+AU87+AW87+AY87+BA87</f>
        <v>298</v>
      </c>
      <c r="BD87">
        <f>SUM(BB87:BC87)</f>
        <v>535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51</v>
      </c>
      <c r="BL87">
        <v>61</v>
      </c>
      <c r="BM87">
        <v>0</v>
      </c>
      <c r="BN87">
        <v>0</v>
      </c>
      <c r="BO87">
        <f>BE87+BG87+BI87+BK87+BM87</f>
        <v>51</v>
      </c>
      <c r="BP87">
        <f>BF87+BH87+BJ87+BL87+BN87</f>
        <v>61</v>
      </c>
      <c r="BQ87">
        <f>SUM(BO87:BP87)</f>
        <v>112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f>BO87+BR87+BT87+BV87</f>
        <v>51</v>
      </c>
      <c r="BY87">
        <f>BP87+BS87+BU87+BW87</f>
        <v>61</v>
      </c>
      <c r="BZ87">
        <f>SUM(BX87:BY87)</f>
        <v>112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16</v>
      </c>
      <c r="CH87">
        <v>19</v>
      </c>
      <c r="CI87">
        <v>0</v>
      </c>
      <c r="CJ87">
        <v>0</v>
      </c>
      <c r="CK87">
        <f>CA87+CC87+CE87+CG87+CI87</f>
        <v>16</v>
      </c>
      <c r="CL87">
        <f>CB87+CD87+CF87+CH87+CJ87</f>
        <v>19</v>
      </c>
      <c r="CM87">
        <f>SUM(CK87:CL87)</f>
        <v>35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f>CK87+CN87+CP87+CR87</f>
        <v>16</v>
      </c>
      <c r="CU87">
        <f>CL87+CO87+CQ87+CS87</f>
        <v>19</v>
      </c>
      <c r="CV87">
        <f>SUM(CT87:CU87)</f>
        <v>35</v>
      </c>
      <c r="CW87">
        <f>BX87+CT87</f>
        <v>67</v>
      </c>
      <c r="CX87">
        <f>BY87+CU87</f>
        <v>80</v>
      </c>
      <c r="CY87">
        <f>BZ87+CV87</f>
        <v>147</v>
      </c>
      <c r="CZ87">
        <f>AO87+BB87+CW87</f>
        <v>304</v>
      </c>
      <c r="DA87">
        <f>AP87+BC87+CX87</f>
        <v>378</v>
      </c>
      <c r="DB87">
        <f>AQ87+BD87+CY87</f>
        <v>682</v>
      </c>
    </row>
    <row r="88" spans="1:106">
      <c r="A88" t="s">
        <v>134</v>
      </c>
      <c r="B88" t="s">
        <v>9</v>
      </c>
      <c r="C88" t="s">
        <v>209</v>
      </c>
      <c r="D88">
        <v>304305</v>
      </c>
      <c r="E88" t="s">
        <v>274</v>
      </c>
      <c r="F88" t="s">
        <v>275</v>
      </c>
      <c r="H88" t="s">
        <v>138</v>
      </c>
      <c r="I88" t="s">
        <v>139</v>
      </c>
      <c r="J88" t="s">
        <v>140</v>
      </c>
      <c r="K88" t="s">
        <v>225</v>
      </c>
      <c r="L88" t="s">
        <v>0</v>
      </c>
      <c r="M88" t="s">
        <v>142</v>
      </c>
      <c r="N88" t="s">
        <v>143</v>
      </c>
      <c r="O88" t="s">
        <v>172</v>
      </c>
      <c r="P88" t="s">
        <v>145</v>
      </c>
      <c r="Q88" s="27" t="s">
        <v>173</v>
      </c>
      <c r="R88">
        <v>0</v>
      </c>
      <c r="S88">
        <v>0</v>
      </c>
      <c r="T88">
        <f>SUM(R88:S88)</f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f t="shared" si="7"/>
        <v>0</v>
      </c>
      <c r="AL88">
        <f>U88+W88+Y88+AA88+AC88+AE88+AG88</f>
        <v>0</v>
      </c>
      <c r="AM88">
        <f>V88+X88+Z88+AB88+AD88+AF88+AH88</f>
        <v>0</v>
      </c>
      <c r="AN88">
        <f>SUM(AL88:AM88)</f>
        <v>0</v>
      </c>
      <c r="AO88">
        <f>R88+AL88</f>
        <v>0</v>
      </c>
      <c r="AP88">
        <f>S88+AM88</f>
        <v>0</v>
      </c>
      <c r="AQ88">
        <f>T88+AN88</f>
        <v>0</v>
      </c>
      <c r="AR88">
        <v>46</v>
      </c>
      <c r="AS88">
        <v>55</v>
      </c>
      <c r="AT88">
        <v>60</v>
      </c>
      <c r="AU88">
        <v>43</v>
      </c>
      <c r="AV88">
        <v>68</v>
      </c>
      <c r="AW88">
        <v>53</v>
      </c>
      <c r="AX88">
        <v>61</v>
      </c>
      <c r="AY88">
        <v>50</v>
      </c>
      <c r="AZ88">
        <v>0</v>
      </c>
      <c r="BA88">
        <v>0</v>
      </c>
      <c r="BB88">
        <f>AR88+AT88+AV88+AX88+AZ88</f>
        <v>235</v>
      </c>
      <c r="BC88">
        <f>AS88+AU88+AW88+AY88+BA88</f>
        <v>201</v>
      </c>
      <c r="BD88">
        <f>SUM(BB88:BC88)</f>
        <v>436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35</v>
      </c>
      <c r="BL88">
        <v>42</v>
      </c>
      <c r="BM88">
        <v>0</v>
      </c>
      <c r="BN88">
        <v>0</v>
      </c>
      <c r="BO88">
        <f>BE88+BG88+BI88+BK88+BM88</f>
        <v>35</v>
      </c>
      <c r="BP88">
        <f>BF88+BH88+BJ88+BL88+BN88</f>
        <v>42</v>
      </c>
      <c r="BQ88">
        <f>SUM(BO88:BP88)</f>
        <v>77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f>BO88+BR88+BT88+BV88</f>
        <v>35</v>
      </c>
      <c r="BY88">
        <f>BP88+BS88+BU88+BW88</f>
        <v>42</v>
      </c>
      <c r="BZ88">
        <f>SUM(BX88:BY88)</f>
        <v>77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35</v>
      </c>
      <c r="CH88">
        <v>46</v>
      </c>
      <c r="CI88">
        <v>0</v>
      </c>
      <c r="CJ88">
        <v>0</v>
      </c>
      <c r="CK88">
        <f>CA88+CC88+CE88+CG88+CI88</f>
        <v>35</v>
      </c>
      <c r="CL88">
        <f>CB88+CD88+CF88+CH88+CJ88</f>
        <v>46</v>
      </c>
      <c r="CM88">
        <f>SUM(CK88:CL88)</f>
        <v>81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f>CK88+CN88+CP88+CR88</f>
        <v>35</v>
      </c>
      <c r="CU88">
        <f>CL88+CO88+CQ88+CS88</f>
        <v>46</v>
      </c>
      <c r="CV88">
        <f>SUM(CT88:CU88)</f>
        <v>81</v>
      </c>
      <c r="CW88">
        <f>BX88+CT88</f>
        <v>70</v>
      </c>
      <c r="CX88">
        <f>BY88+CU88</f>
        <v>88</v>
      </c>
      <c r="CY88">
        <f>BZ88+CV88</f>
        <v>158</v>
      </c>
      <c r="CZ88">
        <f>AO88+BB88+CW88</f>
        <v>305</v>
      </c>
      <c r="DA88">
        <f>AP88+BC88+CX88</f>
        <v>289</v>
      </c>
      <c r="DB88">
        <f>AQ88+BD88+CY88</f>
        <v>594</v>
      </c>
    </row>
    <row r="89" spans="1:106">
      <c r="A89" t="s">
        <v>134</v>
      </c>
      <c r="B89" t="s">
        <v>9</v>
      </c>
      <c r="C89" t="s">
        <v>209</v>
      </c>
      <c r="D89">
        <v>304314</v>
      </c>
      <c r="E89" t="s">
        <v>276</v>
      </c>
      <c r="F89" t="s">
        <v>245</v>
      </c>
      <c r="H89" t="s">
        <v>138</v>
      </c>
      <c r="I89" t="s">
        <v>139</v>
      </c>
      <c r="J89" t="s">
        <v>140</v>
      </c>
      <c r="K89" t="s">
        <v>246</v>
      </c>
      <c r="L89" t="s">
        <v>0</v>
      </c>
      <c r="M89" t="s">
        <v>142</v>
      </c>
      <c r="N89" t="s">
        <v>143</v>
      </c>
      <c r="O89" t="s">
        <v>172</v>
      </c>
      <c r="P89" t="s">
        <v>145</v>
      </c>
      <c r="Q89" s="27" t="s">
        <v>173</v>
      </c>
      <c r="R89">
        <v>0</v>
      </c>
      <c r="S89">
        <v>0</v>
      </c>
      <c r="T89">
        <f>SUM(R89:S89)</f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f t="shared" si="7"/>
        <v>0</v>
      </c>
      <c r="AL89">
        <f>U89+W89+Y89+AA89+AC89+AE89+AG89</f>
        <v>0</v>
      </c>
      <c r="AM89">
        <f>V89+X89+Z89+AB89+AD89+AF89+AH89</f>
        <v>0</v>
      </c>
      <c r="AN89">
        <f>SUM(AL89:AM89)</f>
        <v>0</v>
      </c>
      <c r="AO89">
        <f>R89+AL89</f>
        <v>0</v>
      </c>
      <c r="AP89">
        <f>S89+AM89</f>
        <v>0</v>
      </c>
      <c r="AQ89">
        <f>T89+AN89</f>
        <v>0</v>
      </c>
      <c r="AR89">
        <v>46</v>
      </c>
      <c r="AS89">
        <v>32</v>
      </c>
      <c r="AT89">
        <v>40</v>
      </c>
      <c r="AU89">
        <v>43</v>
      </c>
      <c r="AV89">
        <v>48</v>
      </c>
      <c r="AW89">
        <v>41</v>
      </c>
      <c r="AX89">
        <v>38</v>
      </c>
      <c r="AY89">
        <v>45</v>
      </c>
      <c r="AZ89">
        <v>0</v>
      </c>
      <c r="BA89">
        <v>0</v>
      </c>
      <c r="BB89">
        <f>AR89+AT89+AV89+AX89+AZ89</f>
        <v>172</v>
      </c>
      <c r="BC89">
        <f>AS89+AU89+AW89+AY89+BA89</f>
        <v>161</v>
      </c>
      <c r="BD89">
        <f>SUM(BB89:BC89)</f>
        <v>333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39</v>
      </c>
      <c r="BL89">
        <v>45</v>
      </c>
      <c r="BM89">
        <v>0</v>
      </c>
      <c r="BN89">
        <v>0</v>
      </c>
      <c r="BO89">
        <f>BE89+BG89+BI89+BK89+BM89</f>
        <v>39</v>
      </c>
      <c r="BP89">
        <f>BF89+BH89+BJ89+BL89+BN89</f>
        <v>45</v>
      </c>
      <c r="BQ89">
        <f>SUM(BO89:BP89)</f>
        <v>84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f>BO89+BR89+BT89+BV89</f>
        <v>39</v>
      </c>
      <c r="BY89">
        <f>BP89+BS89+BU89+BW89</f>
        <v>45</v>
      </c>
      <c r="BZ89">
        <f>SUM(BX89:BY89)</f>
        <v>84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28</v>
      </c>
      <c r="CH89">
        <v>31</v>
      </c>
      <c r="CI89">
        <v>0</v>
      </c>
      <c r="CJ89">
        <v>0</v>
      </c>
      <c r="CK89">
        <f>CA89+CC89+CE89+CG89+CI89</f>
        <v>28</v>
      </c>
      <c r="CL89">
        <f>CB89+CD89+CF89+CH89+CJ89</f>
        <v>31</v>
      </c>
      <c r="CM89">
        <f>SUM(CK89:CL89)</f>
        <v>59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f>CK89+CN89+CP89+CR89</f>
        <v>28</v>
      </c>
      <c r="CU89">
        <f>CL89+CO89+CQ89+CS89</f>
        <v>31</v>
      </c>
      <c r="CV89">
        <f>SUM(CT89:CU89)</f>
        <v>59</v>
      </c>
      <c r="CW89">
        <f>BX89+CT89</f>
        <v>67</v>
      </c>
      <c r="CX89">
        <f>BY89+CU89</f>
        <v>76</v>
      </c>
      <c r="CY89">
        <f>BZ89+CV89</f>
        <v>143</v>
      </c>
      <c r="CZ89">
        <f>AO89+BB89+CW89</f>
        <v>239</v>
      </c>
      <c r="DA89">
        <f>AP89+BC89+CX89</f>
        <v>237</v>
      </c>
      <c r="DB89">
        <f>AQ89+BD89+CY89</f>
        <v>476</v>
      </c>
    </row>
    <row r="90" spans="1:106">
      <c r="A90" t="s">
        <v>134</v>
      </c>
      <c r="B90" t="s">
        <v>9</v>
      </c>
      <c r="C90" t="s">
        <v>209</v>
      </c>
      <c r="D90">
        <v>304327</v>
      </c>
      <c r="E90" t="s">
        <v>277</v>
      </c>
      <c r="F90" t="s">
        <v>278</v>
      </c>
      <c r="H90" t="s">
        <v>138</v>
      </c>
      <c r="I90" t="s">
        <v>139</v>
      </c>
      <c r="J90" t="s">
        <v>140</v>
      </c>
      <c r="K90" t="s">
        <v>243</v>
      </c>
      <c r="L90" t="s">
        <v>0</v>
      </c>
      <c r="M90" t="s">
        <v>142</v>
      </c>
      <c r="N90" t="s">
        <v>143</v>
      </c>
      <c r="O90" t="s">
        <v>172</v>
      </c>
      <c r="P90" t="s">
        <v>176</v>
      </c>
      <c r="Q90" s="27" t="s">
        <v>173</v>
      </c>
      <c r="R90">
        <v>0</v>
      </c>
      <c r="S90">
        <v>0</v>
      </c>
      <c r="T90">
        <f>SUM(R90:S90)</f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f t="shared" si="7"/>
        <v>0</v>
      </c>
      <c r="AL90">
        <f>U90+W90+Y90+AA90+AC90+AE90+AG90</f>
        <v>0</v>
      </c>
      <c r="AM90">
        <f>V90+X90+Z90+AB90+AD90+AF90+AH90</f>
        <v>0</v>
      </c>
      <c r="AN90">
        <f>SUM(AL90:AM90)</f>
        <v>0</v>
      </c>
      <c r="AO90">
        <f>R90+AL90</f>
        <v>0</v>
      </c>
      <c r="AP90">
        <f>S90+AM90</f>
        <v>0</v>
      </c>
      <c r="AQ90">
        <f>T90+AN90</f>
        <v>0</v>
      </c>
      <c r="AR90">
        <v>190</v>
      </c>
      <c r="AS90">
        <v>174</v>
      </c>
      <c r="AT90">
        <v>193</v>
      </c>
      <c r="AU90">
        <v>197</v>
      </c>
      <c r="AV90">
        <v>162</v>
      </c>
      <c r="AW90">
        <v>183</v>
      </c>
      <c r="AX90">
        <v>223</v>
      </c>
      <c r="AY90">
        <v>193</v>
      </c>
      <c r="AZ90">
        <v>0</v>
      </c>
      <c r="BA90">
        <v>0</v>
      </c>
      <c r="BB90">
        <f>AR90+AT90+AV90+AX90+AZ90</f>
        <v>768</v>
      </c>
      <c r="BC90">
        <f>AS90+AU90+AW90+AY90+BA90</f>
        <v>747</v>
      </c>
      <c r="BD90">
        <f>SUM(BB90:BC90)</f>
        <v>1515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129</v>
      </c>
      <c r="BL90">
        <v>140</v>
      </c>
      <c r="BM90">
        <v>0</v>
      </c>
      <c r="BN90">
        <v>0</v>
      </c>
      <c r="BO90">
        <f>BE90+BG90+BI90+BK90+BM90</f>
        <v>129</v>
      </c>
      <c r="BP90">
        <f>BF90+BH90+BJ90+BL90+BN90</f>
        <v>140</v>
      </c>
      <c r="BQ90">
        <f>SUM(BO90:BP90)</f>
        <v>269</v>
      </c>
      <c r="BR90">
        <v>0</v>
      </c>
      <c r="BS90">
        <v>0</v>
      </c>
      <c r="BT90">
        <v>0</v>
      </c>
      <c r="BU90">
        <v>0</v>
      </c>
      <c r="BV90">
        <v>1</v>
      </c>
      <c r="BW90">
        <v>3</v>
      </c>
      <c r="BX90">
        <f>BO90+BR90+BT90+BV90</f>
        <v>130</v>
      </c>
      <c r="BY90">
        <f>BP90+BS90+BU90+BW90</f>
        <v>143</v>
      </c>
      <c r="BZ90">
        <f>SUM(BX90:BY90)</f>
        <v>273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53</v>
      </c>
      <c r="CH90">
        <v>85</v>
      </c>
      <c r="CI90">
        <v>0</v>
      </c>
      <c r="CJ90">
        <v>0</v>
      </c>
      <c r="CK90">
        <f>CA90+CC90+CE90+CG90+CI90</f>
        <v>53</v>
      </c>
      <c r="CL90">
        <f>CB90+CD90+CF90+CH90+CJ90</f>
        <v>85</v>
      </c>
      <c r="CM90">
        <f>SUM(CK90:CL90)</f>
        <v>138</v>
      </c>
      <c r="CN90">
        <v>0</v>
      </c>
      <c r="CO90">
        <v>0</v>
      </c>
      <c r="CP90">
        <v>0</v>
      </c>
      <c r="CQ90">
        <v>0</v>
      </c>
      <c r="CR90">
        <v>4</v>
      </c>
      <c r="CS90">
        <v>11</v>
      </c>
      <c r="CT90">
        <f>CK90+CN90+CP90+CR90</f>
        <v>57</v>
      </c>
      <c r="CU90">
        <f>CL90+CO90+CQ90+CS90</f>
        <v>96</v>
      </c>
      <c r="CV90">
        <f>SUM(CT90:CU90)</f>
        <v>153</v>
      </c>
      <c r="CW90">
        <f>BX90+CT90</f>
        <v>187</v>
      </c>
      <c r="CX90">
        <f>BY90+CU90</f>
        <v>239</v>
      </c>
      <c r="CY90">
        <f>BZ90+CV90</f>
        <v>426</v>
      </c>
      <c r="CZ90">
        <f>AO90+BB90+CW90</f>
        <v>955</v>
      </c>
      <c r="DA90">
        <f>AP90+BC90+CX90</f>
        <v>986</v>
      </c>
      <c r="DB90">
        <f>AQ90+BD90+CY90</f>
        <v>1941</v>
      </c>
    </row>
    <row r="91" spans="1:106">
      <c r="A91" t="s">
        <v>134</v>
      </c>
      <c r="B91" t="s">
        <v>9</v>
      </c>
      <c r="C91" t="s">
        <v>209</v>
      </c>
      <c r="D91">
        <v>304328</v>
      </c>
      <c r="E91" t="s">
        <v>279</v>
      </c>
      <c r="F91" t="s">
        <v>280</v>
      </c>
      <c r="H91" t="s">
        <v>138</v>
      </c>
      <c r="I91" t="s">
        <v>139</v>
      </c>
      <c r="J91" t="s">
        <v>140</v>
      </c>
      <c r="K91" t="s">
        <v>191</v>
      </c>
      <c r="L91" t="s">
        <v>0</v>
      </c>
      <c r="M91" t="s">
        <v>142</v>
      </c>
      <c r="N91" t="s">
        <v>143</v>
      </c>
      <c r="O91" t="s">
        <v>172</v>
      </c>
      <c r="P91" t="s">
        <v>145</v>
      </c>
      <c r="Q91" s="27" t="s">
        <v>173</v>
      </c>
      <c r="R91">
        <v>0</v>
      </c>
      <c r="S91">
        <v>0</v>
      </c>
      <c r="T91">
        <f>SUM(R91:S91)</f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f t="shared" si="7"/>
        <v>0</v>
      </c>
      <c r="AL91">
        <f>U91+W91+Y91+AA91+AC91+AE91+AG91</f>
        <v>0</v>
      </c>
      <c r="AM91">
        <f>V91+X91+Z91+AB91+AD91+AF91+AH91</f>
        <v>0</v>
      </c>
      <c r="AN91">
        <f>SUM(AL91:AM91)</f>
        <v>0</v>
      </c>
      <c r="AO91">
        <f>R91+AL91</f>
        <v>0</v>
      </c>
      <c r="AP91">
        <f>S91+AM91</f>
        <v>0</v>
      </c>
      <c r="AQ91">
        <f>T91+AN91</f>
        <v>0</v>
      </c>
      <c r="AR91">
        <v>31</v>
      </c>
      <c r="AS91">
        <v>52</v>
      </c>
      <c r="AT91">
        <v>42</v>
      </c>
      <c r="AU91">
        <v>56</v>
      </c>
      <c r="AV91">
        <v>27</v>
      </c>
      <c r="AW91">
        <v>78</v>
      </c>
      <c r="AX91">
        <v>34</v>
      </c>
      <c r="AY91">
        <v>66</v>
      </c>
      <c r="AZ91">
        <v>0</v>
      </c>
      <c r="BA91">
        <v>0</v>
      </c>
      <c r="BB91">
        <f>AR91+AT91+AV91+AX91+AZ91</f>
        <v>134</v>
      </c>
      <c r="BC91">
        <f>AS91+AU91+AW91+AY91+BA91</f>
        <v>252</v>
      </c>
      <c r="BD91">
        <f>SUM(BB91:BC91)</f>
        <v>386</v>
      </c>
      <c r="BE91">
        <v>0</v>
      </c>
      <c r="BF91">
        <v>0</v>
      </c>
      <c r="BG91">
        <v>0</v>
      </c>
      <c r="BH91">
        <v>0</v>
      </c>
      <c r="BI91">
        <v>39</v>
      </c>
      <c r="BJ91">
        <v>69</v>
      </c>
      <c r="BK91">
        <v>0</v>
      </c>
      <c r="BL91">
        <v>0</v>
      </c>
      <c r="BM91">
        <v>0</v>
      </c>
      <c r="BN91">
        <v>0</v>
      </c>
      <c r="BO91">
        <f>BE91+BG91+BI91+BK91+BM91</f>
        <v>39</v>
      </c>
      <c r="BP91">
        <f>BF91+BH91+BJ91+BL91+BN91</f>
        <v>69</v>
      </c>
      <c r="BQ91">
        <f>SUM(BO91:BP91)</f>
        <v>108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f>BO91+BR91+BT91+BV91</f>
        <v>39</v>
      </c>
      <c r="BY91">
        <f>BP91+BS91+BU91+BW91</f>
        <v>69</v>
      </c>
      <c r="BZ91">
        <f>SUM(BX91:BY91)</f>
        <v>108</v>
      </c>
      <c r="CA91">
        <v>0</v>
      </c>
      <c r="CB91">
        <v>0</v>
      </c>
      <c r="CC91">
        <v>0</v>
      </c>
      <c r="CD91">
        <v>0</v>
      </c>
      <c r="CE91">
        <v>26</v>
      </c>
      <c r="CF91">
        <v>70</v>
      </c>
      <c r="CG91">
        <v>0</v>
      </c>
      <c r="CH91">
        <v>0</v>
      </c>
      <c r="CI91">
        <v>0</v>
      </c>
      <c r="CJ91">
        <v>0</v>
      </c>
      <c r="CK91">
        <f>CA91+CC91+CE91+CG91+CI91</f>
        <v>26</v>
      </c>
      <c r="CL91">
        <f>CB91+CD91+CF91+CH91+CJ91</f>
        <v>70</v>
      </c>
      <c r="CM91">
        <f>SUM(CK91:CL91)</f>
        <v>96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f>CK91+CN91+CP91+CR91</f>
        <v>26</v>
      </c>
      <c r="CU91">
        <f>CL91+CO91+CQ91+CS91</f>
        <v>70</v>
      </c>
      <c r="CV91">
        <f>SUM(CT91:CU91)</f>
        <v>96</v>
      </c>
      <c r="CW91">
        <f>BX91+CT91</f>
        <v>65</v>
      </c>
      <c r="CX91">
        <f>BY91+CU91</f>
        <v>139</v>
      </c>
      <c r="CY91">
        <f>BZ91+CV91</f>
        <v>204</v>
      </c>
      <c r="CZ91">
        <f>AO91+BB91+CW91</f>
        <v>199</v>
      </c>
      <c r="DA91">
        <f>AP91+BC91+CX91</f>
        <v>391</v>
      </c>
      <c r="DB91">
        <f>AQ91+BD91+CY91</f>
        <v>590</v>
      </c>
    </row>
    <row r="92" spans="1:106">
      <c r="A92" t="s">
        <v>134</v>
      </c>
      <c r="B92" t="s">
        <v>9</v>
      </c>
      <c r="C92" t="s">
        <v>209</v>
      </c>
      <c r="D92">
        <v>304338</v>
      </c>
      <c r="E92" t="s">
        <v>281</v>
      </c>
      <c r="F92" t="s">
        <v>282</v>
      </c>
      <c r="H92" t="s">
        <v>138</v>
      </c>
      <c r="I92" t="s">
        <v>139</v>
      </c>
      <c r="J92" t="s">
        <v>140</v>
      </c>
      <c r="K92" t="s">
        <v>260</v>
      </c>
      <c r="L92" t="s">
        <v>0</v>
      </c>
      <c r="M92" t="s">
        <v>142</v>
      </c>
      <c r="N92" t="s">
        <v>143</v>
      </c>
      <c r="O92" t="s">
        <v>172</v>
      </c>
      <c r="P92" t="s">
        <v>145</v>
      </c>
      <c r="Q92" s="27" t="s">
        <v>173</v>
      </c>
      <c r="R92">
        <v>0</v>
      </c>
      <c r="S92">
        <v>0</v>
      </c>
      <c r="T92">
        <f>SUM(R92:S92)</f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f t="shared" si="7"/>
        <v>0</v>
      </c>
      <c r="AL92">
        <f>U92+W92+Y92+AA92+AC92+AE92+AG92</f>
        <v>0</v>
      </c>
      <c r="AM92">
        <f>V92+X92+Z92+AB92+AD92+AF92+AH92</f>
        <v>0</v>
      </c>
      <c r="AN92">
        <f>SUM(AL92:AM92)</f>
        <v>0</v>
      </c>
      <c r="AO92">
        <f>R92+AL92</f>
        <v>0</v>
      </c>
      <c r="AP92">
        <f>S92+AM92</f>
        <v>0</v>
      </c>
      <c r="AQ92">
        <f>T92+AN92</f>
        <v>0</v>
      </c>
      <c r="AR92">
        <v>14</v>
      </c>
      <c r="AS92">
        <v>26</v>
      </c>
      <c r="AT92">
        <v>27</v>
      </c>
      <c r="AU92">
        <v>36</v>
      </c>
      <c r="AV92">
        <v>23</v>
      </c>
      <c r="AW92">
        <v>27</v>
      </c>
      <c r="AX92">
        <v>40</v>
      </c>
      <c r="AY92">
        <v>25</v>
      </c>
      <c r="AZ92">
        <v>0</v>
      </c>
      <c r="BA92">
        <v>0</v>
      </c>
      <c r="BB92">
        <f>AR92+AT92+AV92+AX92+AZ92</f>
        <v>104</v>
      </c>
      <c r="BC92">
        <f>AS92+AU92+AW92+AY92+BA92</f>
        <v>114</v>
      </c>
      <c r="BD92">
        <f>SUM(BB92:BC92)</f>
        <v>218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f>BE92+BG92+BI92+BK92+BM92</f>
        <v>0</v>
      </c>
      <c r="BP92">
        <f>BF92+BH92+BJ92+BL92+BN92</f>
        <v>0</v>
      </c>
      <c r="BQ92">
        <f>SUM(BO92:BP92)</f>
        <v>0</v>
      </c>
      <c r="BR92">
        <v>30</v>
      </c>
      <c r="BS92">
        <v>22</v>
      </c>
      <c r="BT92">
        <v>0</v>
      </c>
      <c r="BU92">
        <v>0</v>
      </c>
      <c r="BV92">
        <v>0</v>
      </c>
      <c r="BW92">
        <v>0</v>
      </c>
      <c r="BX92">
        <f>BO92+BR92+BT92+BV92</f>
        <v>30</v>
      </c>
      <c r="BY92">
        <f>BP92+BS92+BU92+BW92</f>
        <v>22</v>
      </c>
      <c r="BZ92">
        <f>SUM(BX92:BY92)</f>
        <v>52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f>CA92+CC92+CE92+CG92+CI92</f>
        <v>0</v>
      </c>
      <c r="CL92">
        <f>CB92+CD92+CF92+CH92+CJ92</f>
        <v>0</v>
      </c>
      <c r="CM92">
        <f>SUM(CK92:CL92)</f>
        <v>0</v>
      </c>
      <c r="CN92">
        <v>17</v>
      </c>
      <c r="CO92">
        <v>19</v>
      </c>
      <c r="CP92">
        <v>0</v>
      </c>
      <c r="CQ92">
        <v>0</v>
      </c>
      <c r="CR92">
        <v>0</v>
      </c>
      <c r="CS92">
        <v>0</v>
      </c>
      <c r="CT92">
        <f>CK92+CN92+CP92+CR92</f>
        <v>17</v>
      </c>
      <c r="CU92">
        <f>CL92+CO92+CQ92+CS92</f>
        <v>19</v>
      </c>
      <c r="CV92">
        <f>SUM(CT92:CU92)</f>
        <v>36</v>
      </c>
      <c r="CW92">
        <f>BX92+CT92</f>
        <v>47</v>
      </c>
      <c r="CX92">
        <f>BY92+CU92</f>
        <v>41</v>
      </c>
      <c r="CY92">
        <f>BZ92+CV92</f>
        <v>88</v>
      </c>
      <c r="CZ92">
        <f>AO92+BB92+CW92</f>
        <v>151</v>
      </c>
      <c r="DA92">
        <f>AP92+BC92+CX92</f>
        <v>155</v>
      </c>
      <c r="DB92">
        <f>AQ92+BD92+CY92</f>
        <v>306</v>
      </c>
    </row>
    <row r="93" spans="1:106">
      <c r="A93" t="s">
        <v>134</v>
      </c>
      <c r="B93" t="s">
        <v>9</v>
      </c>
      <c r="C93" t="s">
        <v>209</v>
      </c>
      <c r="D93">
        <v>305680</v>
      </c>
      <c r="E93" t="s">
        <v>283</v>
      </c>
      <c r="F93" t="s">
        <v>284</v>
      </c>
      <c r="H93" t="s">
        <v>138</v>
      </c>
      <c r="I93" t="s">
        <v>139</v>
      </c>
      <c r="J93" t="s">
        <v>140</v>
      </c>
      <c r="K93" t="s">
        <v>191</v>
      </c>
      <c r="L93" t="s">
        <v>0</v>
      </c>
      <c r="M93" t="s">
        <v>142</v>
      </c>
      <c r="N93" t="s">
        <v>143</v>
      </c>
      <c r="O93" t="s">
        <v>172</v>
      </c>
      <c r="P93" t="s">
        <v>145</v>
      </c>
      <c r="Q93" s="27" t="s">
        <v>173</v>
      </c>
      <c r="R93">
        <v>0</v>
      </c>
      <c r="S93">
        <v>0</v>
      </c>
      <c r="T93">
        <f>SUM(R93:S93)</f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f t="shared" si="7"/>
        <v>0</v>
      </c>
      <c r="AL93">
        <f>U93+W93+Y93+AA93+AC93+AE93+AG93</f>
        <v>0</v>
      </c>
      <c r="AM93">
        <f>V93+X93+Z93+AB93+AD93+AF93+AH93</f>
        <v>0</v>
      </c>
      <c r="AN93">
        <f>SUM(AL93:AM93)</f>
        <v>0</v>
      </c>
      <c r="AO93">
        <f>R93+AL93</f>
        <v>0</v>
      </c>
      <c r="AP93">
        <f>S93+AM93</f>
        <v>0</v>
      </c>
      <c r="AQ93">
        <f>T93+AN93</f>
        <v>0</v>
      </c>
      <c r="AR93">
        <v>137</v>
      </c>
      <c r="AS93">
        <v>98</v>
      </c>
      <c r="AT93">
        <v>119</v>
      </c>
      <c r="AU93">
        <v>106</v>
      </c>
      <c r="AV93">
        <v>105</v>
      </c>
      <c r="AW93">
        <v>114</v>
      </c>
      <c r="AX93">
        <v>65</v>
      </c>
      <c r="AY93">
        <v>83</v>
      </c>
      <c r="AZ93">
        <v>0</v>
      </c>
      <c r="BA93">
        <v>0</v>
      </c>
      <c r="BB93">
        <f>AR93+AT93+AV93+AX93+AZ93</f>
        <v>426</v>
      </c>
      <c r="BC93">
        <f>AS93+AU93+AW93+AY93+BA93</f>
        <v>401</v>
      </c>
      <c r="BD93">
        <f>SUM(BB93:BC93)</f>
        <v>827</v>
      </c>
      <c r="BE93">
        <v>0</v>
      </c>
      <c r="BF93">
        <v>0</v>
      </c>
      <c r="BG93">
        <v>49</v>
      </c>
      <c r="BH93">
        <v>49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f>BE93+BG93+BI93+BK93+BM93</f>
        <v>49</v>
      </c>
      <c r="BP93">
        <f>BF93+BH93+BJ93+BL93+BN93</f>
        <v>49</v>
      </c>
      <c r="BQ93">
        <f>SUM(BO93:BP93)</f>
        <v>98</v>
      </c>
      <c r="BR93">
        <v>0</v>
      </c>
      <c r="BS93">
        <v>0</v>
      </c>
      <c r="BT93">
        <v>0</v>
      </c>
      <c r="BU93">
        <v>0</v>
      </c>
      <c r="BV93">
        <v>23</v>
      </c>
      <c r="BW93">
        <v>13</v>
      </c>
      <c r="BX93">
        <f>BO93+BR93+BT93+BV93</f>
        <v>72</v>
      </c>
      <c r="BY93">
        <f>BP93+BS93+BU93+BW93</f>
        <v>62</v>
      </c>
      <c r="BZ93">
        <f>SUM(BX93:BY93)</f>
        <v>134</v>
      </c>
      <c r="CA93">
        <v>0</v>
      </c>
      <c r="CB93">
        <v>0</v>
      </c>
      <c r="CC93">
        <v>19</v>
      </c>
      <c r="CD93">
        <v>34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f>CA93+CC93+CE93+CG93+CI93</f>
        <v>19</v>
      </c>
      <c r="CL93">
        <f>CB93+CD93+CF93+CH93+CJ93</f>
        <v>34</v>
      </c>
      <c r="CM93">
        <f>SUM(CK93:CL93)</f>
        <v>53</v>
      </c>
      <c r="CN93">
        <v>0</v>
      </c>
      <c r="CO93">
        <v>0</v>
      </c>
      <c r="CP93">
        <v>0</v>
      </c>
      <c r="CQ93">
        <v>0</v>
      </c>
      <c r="CR93">
        <v>17</v>
      </c>
      <c r="CS93">
        <v>10</v>
      </c>
      <c r="CT93">
        <f>CK93+CN93+CP93+CR93</f>
        <v>36</v>
      </c>
      <c r="CU93">
        <f>CL93+CO93+CQ93+CS93</f>
        <v>44</v>
      </c>
      <c r="CV93">
        <f>SUM(CT93:CU93)</f>
        <v>80</v>
      </c>
      <c r="CW93">
        <f>BX93+CT93</f>
        <v>108</v>
      </c>
      <c r="CX93">
        <f>BY93+CU93</f>
        <v>106</v>
      </c>
      <c r="CY93">
        <f>BZ93+CV93</f>
        <v>214</v>
      </c>
      <c r="CZ93">
        <f>AO93+BB93+CW93</f>
        <v>534</v>
      </c>
      <c r="DA93">
        <f>AP93+BC93+CX93</f>
        <v>507</v>
      </c>
      <c r="DB93">
        <f>AQ93+BD93+CY93</f>
        <v>1041</v>
      </c>
    </row>
    <row r="94" spans="1:106">
      <c r="A94" t="s">
        <v>134</v>
      </c>
      <c r="B94" t="s">
        <v>9</v>
      </c>
      <c r="C94" t="s">
        <v>209</v>
      </c>
      <c r="D94">
        <v>316104</v>
      </c>
      <c r="E94" t="s">
        <v>285</v>
      </c>
      <c r="F94" t="s">
        <v>286</v>
      </c>
      <c r="H94" t="s">
        <v>138</v>
      </c>
      <c r="I94" t="s">
        <v>139</v>
      </c>
      <c r="J94" t="s">
        <v>140</v>
      </c>
      <c r="K94" t="s">
        <v>231</v>
      </c>
      <c r="L94" t="s">
        <v>0</v>
      </c>
      <c r="M94" t="s">
        <v>142</v>
      </c>
      <c r="N94" t="s">
        <v>143</v>
      </c>
      <c r="O94" t="s">
        <v>172</v>
      </c>
      <c r="P94" t="s">
        <v>145</v>
      </c>
      <c r="Q94" s="27" t="s">
        <v>173</v>
      </c>
      <c r="R94">
        <v>0</v>
      </c>
      <c r="S94">
        <v>0</v>
      </c>
      <c r="T94">
        <f>SUM(R94:S94)</f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f t="shared" si="7"/>
        <v>0</v>
      </c>
      <c r="AL94">
        <f>U94+W94+Y94+AA94+AC94+AE94+AG94</f>
        <v>0</v>
      </c>
      <c r="AM94">
        <f>V94+X94+Z94+AB94+AD94+AF94+AH94</f>
        <v>0</v>
      </c>
      <c r="AN94">
        <f>SUM(AL94:AM94)</f>
        <v>0</v>
      </c>
      <c r="AO94">
        <f>R94+AL94</f>
        <v>0</v>
      </c>
      <c r="AP94">
        <f>S94+AM94</f>
        <v>0</v>
      </c>
      <c r="AQ94">
        <f>T94+AN94</f>
        <v>0</v>
      </c>
      <c r="AR94">
        <v>47</v>
      </c>
      <c r="AS94">
        <v>47</v>
      </c>
      <c r="AT94">
        <v>39</v>
      </c>
      <c r="AU94">
        <v>39</v>
      </c>
      <c r="AV94">
        <v>43</v>
      </c>
      <c r="AW94">
        <v>39</v>
      </c>
      <c r="AX94">
        <v>55</v>
      </c>
      <c r="AY94">
        <v>59</v>
      </c>
      <c r="AZ94">
        <v>0</v>
      </c>
      <c r="BA94">
        <v>0</v>
      </c>
      <c r="BB94">
        <f>AR94+AT94+AV94+AX94+AZ94</f>
        <v>184</v>
      </c>
      <c r="BC94">
        <f>AS94+AU94+AW94+AY94+BA94</f>
        <v>184</v>
      </c>
      <c r="BD94">
        <f>SUM(BB94:BC94)</f>
        <v>368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f>BE94+BG94+BI94+BK94+BM94</f>
        <v>0</v>
      </c>
      <c r="BP94">
        <f>BF94+BH94+BJ94+BL94+BN94</f>
        <v>0</v>
      </c>
      <c r="BQ94">
        <f>SUM(BO94:BP94)</f>
        <v>0</v>
      </c>
      <c r="BR94">
        <v>36</v>
      </c>
      <c r="BS94">
        <v>44</v>
      </c>
      <c r="BT94">
        <v>0</v>
      </c>
      <c r="BU94">
        <v>0</v>
      </c>
      <c r="BV94">
        <v>0</v>
      </c>
      <c r="BW94">
        <v>0</v>
      </c>
      <c r="BX94">
        <f>BO94+BR94+BT94+BV94</f>
        <v>36</v>
      </c>
      <c r="BY94">
        <f>BP94+BS94+BU94+BW94</f>
        <v>44</v>
      </c>
      <c r="BZ94">
        <f>SUM(BX94:BY94)</f>
        <v>80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f>CA94+CC94+CE94+CG94+CI94</f>
        <v>0</v>
      </c>
      <c r="CL94">
        <f>CB94+CD94+CF94+CH94+CJ94</f>
        <v>0</v>
      </c>
      <c r="CM94">
        <f>SUM(CK94:CL94)</f>
        <v>0</v>
      </c>
      <c r="CN94">
        <v>18</v>
      </c>
      <c r="CO94">
        <v>12</v>
      </c>
      <c r="CP94">
        <v>0</v>
      </c>
      <c r="CQ94">
        <v>0</v>
      </c>
      <c r="CR94">
        <v>0</v>
      </c>
      <c r="CS94">
        <v>0</v>
      </c>
      <c r="CT94">
        <f>CK94+CN94+CP94+CR94</f>
        <v>18</v>
      </c>
      <c r="CU94">
        <f>CL94+CO94+CQ94+CS94</f>
        <v>12</v>
      </c>
      <c r="CV94">
        <f>SUM(CT94:CU94)</f>
        <v>30</v>
      </c>
      <c r="CW94">
        <f>BX94+CT94</f>
        <v>54</v>
      </c>
      <c r="CX94">
        <f>BY94+CU94</f>
        <v>56</v>
      </c>
      <c r="CY94">
        <f>BZ94+CV94</f>
        <v>110</v>
      </c>
      <c r="CZ94">
        <f>AO94+BB94+CW94</f>
        <v>238</v>
      </c>
      <c r="DA94">
        <f>AP94+BC94+CX94</f>
        <v>240</v>
      </c>
      <c r="DB94">
        <f>AQ94+BD94+CY94</f>
        <v>478</v>
      </c>
    </row>
    <row r="95" spans="1:106">
      <c r="A95" t="s">
        <v>134</v>
      </c>
      <c r="B95" t="s">
        <v>9</v>
      </c>
      <c r="C95" t="s">
        <v>209</v>
      </c>
      <c r="D95">
        <v>325101</v>
      </c>
      <c r="E95" t="s">
        <v>287</v>
      </c>
      <c r="F95" t="s">
        <v>288</v>
      </c>
      <c r="H95" t="s">
        <v>138</v>
      </c>
      <c r="I95" t="s">
        <v>139</v>
      </c>
      <c r="J95" t="s">
        <v>140</v>
      </c>
      <c r="K95" t="s">
        <v>191</v>
      </c>
      <c r="L95" t="s">
        <v>0</v>
      </c>
      <c r="M95" t="s">
        <v>142</v>
      </c>
      <c r="N95" t="s">
        <v>143</v>
      </c>
      <c r="O95" t="s">
        <v>289</v>
      </c>
      <c r="P95" t="s">
        <v>145</v>
      </c>
      <c r="Q95" s="27" t="s">
        <v>290</v>
      </c>
      <c r="R95">
        <v>0</v>
      </c>
      <c r="S95">
        <v>0</v>
      </c>
      <c r="T95">
        <f>SUM(R95:S95)</f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f t="shared" si="7"/>
        <v>0</v>
      </c>
      <c r="AL95">
        <f>U95+W95+Y95+AA95+AC95+AE95+AG95</f>
        <v>0</v>
      </c>
      <c r="AM95">
        <f>V95+X95+Z95+AB95+AD95+AF95+AH95</f>
        <v>0</v>
      </c>
      <c r="AN95">
        <f>SUM(AL95:AM95)</f>
        <v>0</v>
      </c>
      <c r="AO95">
        <f>R95+AL95</f>
        <v>0</v>
      </c>
      <c r="AP95">
        <f>S95+AM95</f>
        <v>0</v>
      </c>
      <c r="AQ95">
        <f>T95+AN95</f>
        <v>0</v>
      </c>
      <c r="AR95">
        <v>38</v>
      </c>
      <c r="AS95">
        <v>33</v>
      </c>
      <c r="AT95">
        <v>31</v>
      </c>
      <c r="AU95">
        <v>31</v>
      </c>
      <c r="AV95">
        <v>49</v>
      </c>
      <c r="AW95">
        <v>36</v>
      </c>
      <c r="AX95">
        <v>40</v>
      </c>
      <c r="AY95">
        <v>37</v>
      </c>
      <c r="AZ95">
        <v>0</v>
      </c>
      <c r="BA95">
        <v>0</v>
      </c>
      <c r="BB95">
        <f>AR95+AT95+AV95+AX95+AZ95</f>
        <v>158</v>
      </c>
      <c r="BC95">
        <f>AS95+AU95+AW95+AY95+BA95</f>
        <v>137</v>
      </c>
      <c r="BD95">
        <f>SUM(BB95:BC95)</f>
        <v>295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f>BE95+BG95+BI95+BK95+BM95</f>
        <v>0</v>
      </c>
      <c r="BP95">
        <f>BF95+BH95+BJ95+BL95+BN95</f>
        <v>0</v>
      </c>
      <c r="BQ95">
        <f>SUM(BO95:BP95)</f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f>BO95+BR95+BT95+BV95</f>
        <v>0</v>
      </c>
      <c r="BY95">
        <f>BP95+BS95+BU95+BW95</f>
        <v>0</v>
      </c>
      <c r="BZ95">
        <f>SUM(BX95:BY95)</f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f>CA95+CC95+CE95+CG95+CI95</f>
        <v>0</v>
      </c>
      <c r="CL95">
        <f>CB95+CD95+CF95+CH95+CJ95</f>
        <v>0</v>
      </c>
      <c r="CM95">
        <f>SUM(CK95:CL95)</f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f>CK95+CN95+CP95+CR95</f>
        <v>0</v>
      </c>
      <c r="CU95">
        <f>CL95+CO95+CQ95+CS95</f>
        <v>0</v>
      </c>
      <c r="CV95">
        <f>SUM(CT95:CU95)</f>
        <v>0</v>
      </c>
      <c r="CW95">
        <f>BX95+CT95</f>
        <v>0</v>
      </c>
      <c r="CX95">
        <f>BY95+CU95</f>
        <v>0</v>
      </c>
      <c r="CY95">
        <f>BZ95+CV95</f>
        <v>0</v>
      </c>
      <c r="CZ95">
        <f>AO95+BB95+CW95</f>
        <v>158</v>
      </c>
      <c r="DA95">
        <f>AP95+BC95+CX95</f>
        <v>137</v>
      </c>
      <c r="DB95">
        <f>AQ95+BD95+CY95</f>
        <v>295</v>
      </c>
    </row>
    <row r="96" spans="1:106">
      <c r="A96" t="s">
        <v>134</v>
      </c>
      <c r="B96" t="s">
        <v>9</v>
      </c>
      <c r="C96" t="s">
        <v>209</v>
      </c>
      <c r="D96">
        <v>325102</v>
      </c>
      <c r="E96" t="s">
        <v>291</v>
      </c>
      <c r="F96" t="s">
        <v>292</v>
      </c>
      <c r="H96" t="s">
        <v>138</v>
      </c>
      <c r="I96" t="s">
        <v>139</v>
      </c>
      <c r="J96" t="s">
        <v>140</v>
      </c>
      <c r="K96" t="s">
        <v>218</v>
      </c>
      <c r="L96" t="s">
        <v>0</v>
      </c>
      <c r="M96" t="s">
        <v>142</v>
      </c>
      <c r="N96" t="s">
        <v>143</v>
      </c>
      <c r="O96" t="s">
        <v>172</v>
      </c>
      <c r="P96" t="s">
        <v>145</v>
      </c>
      <c r="Q96" s="27" t="s">
        <v>173</v>
      </c>
      <c r="R96">
        <v>0</v>
      </c>
      <c r="S96">
        <v>0</v>
      </c>
      <c r="T96">
        <f>SUM(R96:S96)</f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f t="shared" si="7"/>
        <v>0</v>
      </c>
      <c r="AL96">
        <f>U96+W96+Y96+AA96+AC96+AE96+AG96</f>
        <v>0</v>
      </c>
      <c r="AM96">
        <f>V96+X96+Z96+AB96+AD96+AF96+AH96</f>
        <v>0</v>
      </c>
      <c r="AN96">
        <f>SUM(AL96:AM96)</f>
        <v>0</v>
      </c>
      <c r="AO96">
        <f>R96+AL96</f>
        <v>0</v>
      </c>
      <c r="AP96">
        <f>S96+AM96</f>
        <v>0</v>
      </c>
      <c r="AQ96">
        <f>T96+AN96</f>
        <v>0</v>
      </c>
      <c r="AR96">
        <v>39</v>
      </c>
      <c r="AS96">
        <v>39</v>
      </c>
      <c r="AT96">
        <v>48</v>
      </c>
      <c r="AU96">
        <v>41</v>
      </c>
      <c r="AV96">
        <v>56</v>
      </c>
      <c r="AW96">
        <v>41</v>
      </c>
      <c r="AX96">
        <v>38</v>
      </c>
      <c r="AY96">
        <v>36</v>
      </c>
      <c r="AZ96">
        <v>0</v>
      </c>
      <c r="BA96">
        <v>0</v>
      </c>
      <c r="BB96">
        <f>AR96+AT96+AV96+AX96+AZ96</f>
        <v>181</v>
      </c>
      <c r="BC96">
        <f>AS96+AU96+AW96+AY96+BA96</f>
        <v>157</v>
      </c>
      <c r="BD96">
        <f>SUM(BB96:BC96)</f>
        <v>338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f>BE96+BG96+BI96+BK96+BM96</f>
        <v>0</v>
      </c>
      <c r="BP96">
        <f>BF96+BH96+BJ96+BL96+BN96</f>
        <v>0</v>
      </c>
      <c r="BQ96">
        <f>SUM(BO96:BP96)</f>
        <v>0</v>
      </c>
      <c r="BR96">
        <v>47</v>
      </c>
      <c r="BS96">
        <v>46</v>
      </c>
      <c r="BT96">
        <v>0</v>
      </c>
      <c r="BU96">
        <v>0</v>
      </c>
      <c r="BV96">
        <v>0</v>
      </c>
      <c r="BW96">
        <v>0</v>
      </c>
      <c r="BX96">
        <f>BO96+BR96+BT96+BV96</f>
        <v>47</v>
      </c>
      <c r="BY96">
        <f>BP96+BS96+BU96+BW96</f>
        <v>46</v>
      </c>
      <c r="BZ96">
        <f>SUM(BX96:BY96)</f>
        <v>93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f>CA96+CC96+CE96+CG96+CI96</f>
        <v>0</v>
      </c>
      <c r="CL96">
        <f>CB96+CD96+CF96+CH96+CJ96</f>
        <v>0</v>
      </c>
      <c r="CM96">
        <f>SUM(CK96:CL96)</f>
        <v>0</v>
      </c>
      <c r="CN96">
        <v>20</v>
      </c>
      <c r="CO96">
        <v>26</v>
      </c>
      <c r="CP96">
        <v>0</v>
      </c>
      <c r="CQ96">
        <v>0</v>
      </c>
      <c r="CR96">
        <v>0</v>
      </c>
      <c r="CS96">
        <v>0</v>
      </c>
      <c r="CT96">
        <f>CK96+CN96+CP96+CR96</f>
        <v>20</v>
      </c>
      <c r="CU96">
        <f>CL96+CO96+CQ96+CS96</f>
        <v>26</v>
      </c>
      <c r="CV96">
        <f>SUM(CT96:CU96)</f>
        <v>46</v>
      </c>
      <c r="CW96">
        <f>BX96+CT96</f>
        <v>67</v>
      </c>
      <c r="CX96">
        <f>BY96+CU96</f>
        <v>72</v>
      </c>
      <c r="CY96">
        <f>BZ96+CV96</f>
        <v>139</v>
      </c>
      <c r="CZ96">
        <f>AO96+BB96+CW96</f>
        <v>248</v>
      </c>
      <c r="DA96">
        <f>AP96+BC96+CX96</f>
        <v>229</v>
      </c>
      <c r="DB96">
        <f>AQ96+BD96+CY96</f>
        <v>477</v>
      </c>
    </row>
    <row r="97" spans="1:106">
      <c r="A97" t="s">
        <v>134</v>
      </c>
      <c r="B97" t="s">
        <v>9</v>
      </c>
      <c r="C97" t="s">
        <v>209</v>
      </c>
      <c r="D97">
        <v>325106</v>
      </c>
      <c r="E97" t="s">
        <v>293</v>
      </c>
      <c r="F97" t="s">
        <v>294</v>
      </c>
      <c r="H97" t="s">
        <v>138</v>
      </c>
      <c r="I97" t="s">
        <v>139</v>
      </c>
      <c r="J97" t="s">
        <v>140</v>
      </c>
      <c r="K97" t="s">
        <v>269</v>
      </c>
      <c r="L97" t="s">
        <v>0</v>
      </c>
      <c r="M97" t="s">
        <v>142</v>
      </c>
      <c r="N97" t="s">
        <v>143</v>
      </c>
      <c r="O97" t="s">
        <v>172</v>
      </c>
      <c r="P97" t="s">
        <v>145</v>
      </c>
      <c r="Q97" s="27" t="s">
        <v>173</v>
      </c>
      <c r="R97">
        <v>0</v>
      </c>
      <c r="S97">
        <v>0</v>
      </c>
      <c r="T97">
        <f>SUM(R97:S97)</f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f t="shared" si="7"/>
        <v>0</v>
      </c>
      <c r="AL97">
        <f>U97+W97+Y97+AA97+AC97+AE97+AG97</f>
        <v>0</v>
      </c>
      <c r="AM97">
        <f>V97+X97+Z97+AB97+AD97+AF97+AH97</f>
        <v>0</v>
      </c>
      <c r="AN97">
        <f>SUM(AL97:AM97)</f>
        <v>0</v>
      </c>
      <c r="AO97">
        <f>R97+AL97</f>
        <v>0</v>
      </c>
      <c r="AP97">
        <f>S97+AM97</f>
        <v>0</v>
      </c>
      <c r="AQ97">
        <f>T97+AN97</f>
        <v>0</v>
      </c>
      <c r="AR97">
        <v>55</v>
      </c>
      <c r="AS97">
        <v>51</v>
      </c>
      <c r="AT97">
        <v>42</v>
      </c>
      <c r="AU97">
        <v>50</v>
      </c>
      <c r="AV97">
        <v>41</v>
      </c>
      <c r="AW97">
        <v>46</v>
      </c>
      <c r="AX97">
        <v>57</v>
      </c>
      <c r="AY97">
        <v>59</v>
      </c>
      <c r="AZ97">
        <v>0</v>
      </c>
      <c r="BA97">
        <v>0</v>
      </c>
      <c r="BB97">
        <f>AR97+AT97+AV97+AX97+AZ97</f>
        <v>195</v>
      </c>
      <c r="BC97">
        <f>AS97+AU97+AW97+AY97+BA97</f>
        <v>206</v>
      </c>
      <c r="BD97">
        <f>SUM(BB97:BC97)</f>
        <v>401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f>BE97+BG97+BI97+BK97+BM97</f>
        <v>0</v>
      </c>
      <c r="BP97">
        <f>BF97+BH97+BJ97+BL97+BN97</f>
        <v>0</v>
      </c>
      <c r="BQ97">
        <f>SUM(BO97:BP97)</f>
        <v>0</v>
      </c>
      <c r="BR97">
        <v>26</v>
      </c>
      <c r="BS97">
        <v>50</v>
      </c>
      <c r="BT97">
        <v>0</v>
      </c>
      <c r="BU97">
        <v>0</v>
      </c>
      <c r="BV97">
        <v>0</v>
      </c>
      <c r="BW97">
        <v>0</v>
      </c>
      <c r="BX97">
        <f>BO97+BR97+BT97+BV97</f>
        <v>26</v>
      </c>
      <c r="BY97">
        <f>BP97+BS97+BU97+BW97</f>
        <v>50</v>
      </c>
      <c r="BZ97">
        <f>SUM(BX97:BY97)</f>
        <v>76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f>CA97+CC97+CE97+CG97+CI97</f>
        <v>0</v>
      </c>
      <c r="CL97">
        <f>CB97+CD97+CF97+CH97+CJ97</f>
        <v>0</v>
      </c>
      <c r="CM97">
        <f>SUM(CK97:CL97)</f>
        <v>0</v>
      </c>
      <c r="CN97">
        <v>34</v>
      </c>
      <c r="CO97">
        <v>42</v>
      </c>
      <c r="CP97">
        <v>0</v>
      </c>
      <c r="CQ97">
        <v>0</v>
      </c>
      <c r="CR97">
        <v>0</v>
      </c>
      <c r="CS97">
        <v>0</v>
      </c>
      <c r="CT97">
        <f>CK97+CN97+CP97+CR97</f>
        <v>34</v>
      </c>
      <c r="CU97">
        <f>CL97+CO97+CQ97+CS97</f>
        <v>42</v>
      </c>
      <c r="CV97">
        <f>SUM(CT97:CU97)</f>
        <v>76</v>
      </c>
      <c r="CW97">
        <f>BX97+CT97</f>
        <v>60</v>
      </c>
      <c r="CX97">
        <f>BY97+CU97</f>
        <v>92</v>
      </c>
      <c r="CY97">
        <f>BZ97+CV97</f>
        <v>152</v>
      </c>
      <c r="CZ97">
        <f>AO97+BB97+CW97</f>
        <v>255</v>
      </c>
      <c r="DA97">
        <f>AP97+BC97+CX97</f>
        <v>298</v>
      </c>
      <c r="DB97">
        <f>AQ97+BD97+CY97</f>
        <v>553</v>
      </c>
    </row>
    <row r="98" spans="1:106" hidden="1">
      <c r="A98" t="s">
        <v>134</v>
      </c>
      <c r="B98" t="s">
        <v>9</v>
      </c>
      <c r="C98" t="s">
        <v>209</v>
      </c>
      <c r="D98">
        <v>465513</v>
      </c>
      <c r="E98" t="s">
        <v>295</v>
      </c>
      <c r="F98" t="s">
        <v>296</v>
      </c>
      <c r="H98" t="s">
        <v>138</v>
      </c>
      <c r="I98" t="s">
        <v>139</v>
      </c>
      <c r="J98" t="s">
        <v>140</v>
      </c>
      <c r="K98" t="s">
        <v>243</v>
      </c>
      <c r="L98" t="s">
        <v>12</v>
      </c>
      <c r="M98" t="s">
        <v>192</v>
      </c>
      <c r="N98" t="s">
        <v>143</v>
      </c>
      <c r="O98" t="s">
        <v>297</v>
      </c>
      <c r="P98" t="s">
        <v>145</v>
      </c>
      <c r="Q98" t="s">
        <v>183</v>
      </c>
      <c r="R98">
        <v>8</v>
      </c>
      <c r="S98">
        <v>7</v>
      </c>
      <c r="T98">
        <f>SUM(R98:S98)</f>
        <v>15</v>
      </c>
      <c r="U98">
        <v>6</v>
      </c>
      <c r="V98">
        <v>7</v>
      </c>
      <c r="W98">
        <v>12</v>
      </c>
      <c r="X98">
        <v>10</v>
      </c>
      <c r="Y98">
        <v>8</v>
      </c>
      <c r="Z98">
        <v>12</v>
      </c>
      <c r="AA98">
        <v>6</v>
      </c>
      <c r="AB98">
        <v>5</v>
      </c>
      <c r="AC98">
        <v>12</v>
      </c>
      <c r="AD98">
        <v>7</v>
      </c>
      <c r="AE98">
        <v>8</v>
      </c>
      <c r="AF98">
        <v>7</v>
      </c>
      <c r="AG98">
        <v>0</v>
      </c>
      <c r="AH98">
        <v>0</v>
      </c>
      <c r="AL98">
        <f>U98+W98+Y98+AA98+AC98+AE98+AG98</f>
        <v>52</v>
      </c>
      <c r="AM98">
        <f>V98+X98+Z98+AB98+AD98+AF98+AH98</f>
        <v>48</v>
      </c>
      <c r="AN98">
        <f>SUM(AL98:AM98)</f>
        <v>100</v>
      </c>
      <c r="AO98">
        <f>R98+AL98</f>
        <v>60</v>
      </c>
      <c r="AP98">
        <f>S98+AM98</f>
        <v>55</v>
      </c>
      <c r="AQ98">
        <f>T98+AN98</f>
        <v>115</v>
      </c>
      <c r="AR98">
        <v>8</v>
      </c>
      <c r="AS98">
        <v>17</v>
      </c>
      <c r="AT98">
        <v>14</v>
      </c>
      <c r="AU98">
        <v>6</v>
      </c>
      <c r="AV98">
        <v>6</v>
      </c>
      <c r="AW98">
        <v>18</v>
      </c>
      <c r="AX98">
        <v>16</v>
      </c>
      <c r="AY98">
        <v>11</v>
      </c>
      <c r="AZ98">
        <v>0</v>
      </c>
      <c r="BA98">
        <v>0</v>
      </c>
      <c r="BB98">
        <f>AR98+AT98+AV98+AX98+AZ98</f>
        <v>44</v>
      </c>
      <c r="BC98">
        <f>AS98+AU98+AW98+AY98+BA98</f>
        <v>52</v>
      </c>
      <c r="BD98">
        <f>SUM(BB98:BC98)</f>
        <v>96</v>
      </c>
      <c r="BE98">
        <v>29</v>
      </c>
      <c r="BF98">
        <v>45</v>
      </c>
      <c r="BG98">
        <v>42</v>
      </c>
      <c r="BH98">
        <v>93</v>
      </c>
      <c r="BI98">
        <v>8</v>
      </c>
      <c r="BJ98">
        <v>38</v>
      </c>
      <c r="BK98">
        <v>26</v>
      </c>
      <c r="BL98">
        <v>32</v>
      </c>
      <c r="BM98">
        <v>0</v>
      </c>
      <c r="BN98">
        <v>0</v>
      </c>
      <c r="BO98">
        <f>BE98+BG98+BI98+BK98+BM98</f>
        <v>105</v>
      </c>
      <c r="BP98">
        <f>BF98+BH98+BJ98+BL98+BN98</f>
        <v>208</v>
      </c>
      <c r="BQ98">
        <f>SUM(BO98:BP98)</f>
        <v>313</v>
      </c>
      <c r="BR98">
        <v>29</v>
      </c>
      <c r="BS98">
        <v>20</v>
      </c>
      <c r="BT98">
        <v>0</v>
      </c>
      <c r="BU98">
        <v>0</v>
      </c>
      <c r="BV98">
        <v>0</v>
      </c>
      <c r="BW98">
        <v>0</v>
      </c>
      <c r="BX98">
        <f>BO98+BR98+BT98+BV98</f>
        <v>134</v>
      </c>
      <c r="BY98">
        <f>BP98+BS98+BU98+BW98</f>
        <v>228</v>
      </c>
      <c r="BZ98">
        <f>SUM(BX98:BY98)</f>
        <v>362</v>
      </c>
      <c r="CA98">
        <v>6</v>
      </c>
      <c r="CB98">
        <v>20</v>
      </c>
      <c r="CC98">
        <v>52</v>
      </c>
      <c r="CD98">
        <v>92</v>
      </c>
      <c r="CE98">
        <v>17</v>
      </c>
      <c r="CF98">
        <v>30</v>
      </c>
      <c r="CG98">
        <v>29</v>
      </c>
      <c r="CH98">
        <v>43</v>
      </c>
      <c r="CI98">
        <v>0</v>
      </c>
      <c r="CJ98">
        <v>0</v>
      </c>
      <c r="CK98">
        <f>CA98+CC98+CE98+CG98+CI98</f>
        <v>104</v>
      </c>
      <c r="CL98">
        <f>CB98+CD98+CF98+CH98+CJ98</f>
        <v>185</v>
      </c>
      <c r="CM98">
        <f>SUM(CK98:CL98)</f>
        <v>289</v>
      </c>
      <c r="CN98">
        <v>14</v>
      </c>
      <c r="CO98">
        <v>14</v>
      </c>
      <c r="CP98">
        <v>0</v>
      </c>
      <c r="CQ98">
        <v>0</v>
      </c>
      <c r="CR98">
        <v>0</v>
      </c>
      <c r="CS98">
        <v>0</v>
      </c>
      <c r="CT98">
        <f>CK98+CN98+CP98+CR98</f>
        <v>118</v>
      </c>
      <c r="CU98">
        <f>CL98+CO98+CQ98+CS98</f>
        <v>199</v>
      </c>
      <c r="CV98">
        <f>SUM(CT98:CU98)</f>
        <v>317</v>
      </c>
      <c r="CW98">
        <f>BX98+CT98</f>
        <v>252</v>
      </c>
      <c r="CX98">
        <f>BY98+CU98</f>
        <v>427</v>
      </c>
      <c r="CY98">
        <f>BZ98+CV98</f>
        <v>679</v>
      </c>
      <c r="CZ98">
        <f>AO98+BB98+CW98</f>
        <v>356</v>
      </c>
      <c r="DA98">
        <f>AP98+BC98+CX98</f>
        <v>534</v>
      </c>
      <c r="DB98">
        <f>AQ98+BD98+CY98</f>
        <v>890</v>
      </c>
    </row>
    <row r="99" spans="1:106" hidden="1">
      <c r="A99" t="s">
        <v>134</v>
      </c>
      <c r="B99" t="s">
        <v>9</v>
      </c>
      <c r="C99" t="s">
        <v>209</v>
      </c>
      <c r="D99">
        <v>465515</v>
      </c>
      <c r="E99" t="s">
        <v>298</v>
      </c>
      <c r="F99" t="s">
        <v>299</v>
      </c>
      <c r="H99" t="s">
        <v>138</v>
      </c>
      <c r="I99" t="s">
        <v>139</v>
      </c>
      <c r="J99" t="s">
        <v>140</v>
      </c>
      <c r="K99" t="s">
        <v>191</v>
      </c>
      <c r="L99" t="s">
        <v>12</v>
      </c>
      <c r="M99" t="s">
        <v>192</v>
      </c>
      <c r="N99" t="s">
        <v>143</v>
      </c>
      <c r="O99" t="s">
        <v>187</v>
      </c>
      <c r="P99" t="s">
        <v>145</v>
      </c>
      <c r="Q99" s="28" t="s">
        <v>188</v>
      </c>
      <c r="R99">
        <v>27</v>
      </c>
      <c r="S99">
        <v>25</v>
      </c>
      <c r="T99">
        <f>SUM(R99:S99)</f>
        <v>52</v>
      </c>
      <c r="U99">
        <v>25</v>
      </c>
      <c r="V99">
        <v>36</v>
      </c>
      <c r="W99">
        <v>33</v>
      </c>
      <c r="X99">
        <v>30</v>
      </c>
      <c r="Y99">
        <v>34</v>
      </c>
      <c r="Z99">
        <v>31</v>
      </c>
      <c r="AA99">
        <v>32</v>
      </c>
      <c r="AB99">
        <v>26</v>
      </c>
      <c r="AC99">
        <v>28</v>
      </c>
      <c r="AD99">
        <v>23</v>
      </c>
      <c r="AE99">
        <v>24</v>
      </c>
      <c r="AF99">
        <v>22</v>
      </c>
      <c r="AG99">
        <v>0</v>
      </c>
      <c r="AH99">
        <v>0</v>
      </c>
      <c r="AL99">
        <f>U99+W99+Y99+AA99+AC99+AE99+AG99</f>
        <v>176</v>
      </c>
      <c r="AM99">
        <f>V99+X99+Z99+AB99+AD99+AF99+AH99</f>
        <v>168</v>
      </c>
      <c r="AN99">
        <f>SUM(AL99:AM99)</f>
        <v>344</v>
      </c>
      <c r="AO99">
        <f>R99+AL99</f>
        <v>203</v>
      </c>
      <c r="AP99">
        <f>S99+AM99</f>
        <v>193</v>
      </c>
      <c r="AQ99">
        <f>T99+AN99</f>
        <v>396</v>
      </c>
      <c r="AR99">
        <v>24</v>
      </c>
      <c r="AS99">
        <v>6</v>
      </c>
      <c r="AT99">
        <v>16</v>
      </c>
      <c r="AU99">
        <v>14</v>
      </c>
      <c r="AV99">
        <v>23</v>
      </c>
      <c r="AW99">
        <v>8</v>
      </c>
      <c r="AX99">
        <v>12</v>
      </c>
      <c r="AY99">
        <v>13</v>
      </c>
      <c r="AZ99">
        <v>0</v>
      </c>
      <c r="BA99">
        <v>0</v>
      </c>
      <c r="BB99">
        <f>AR99+AT99+AV99+AX99+AZ99</f>
        <v>75</v>
      </c>
      <c r="BC99">
        <f>AS99+AU99+AW99+AY99+BA99</f>
        <v>41</v>
      </c>
      <c r="BD99">
        <f>SUM(BB99:BC99)</f>
        <v>116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f>BE99+BG99+BI99+BK99+BM99</f>
        <v>0</v>
      </c>
      <c r="BP99">
        <f>BF99+BH99+BJ99+BL99+BN99</f>
        <v>0</v>
      </c>
      <c r="BQ99">
        <f>SUM(BO99:BP99)</f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f>BO99+BR99+BT99+BV99</f>
        <v>0</v>
      </c>
      <c r="BY99">
        <f>BP99+BS99+BU99+BW99</f>
        <v>0</v>
      </c>
      <c r="BZ99">
        <f>SUM(BX99:BY99)</f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f>CA99+CC99+CE99+CG99+CI99</f>
        <v>0</v>
      </c>
      <c r="CL99">
        <f>CB99+CD99+CF99+CH99+CJ99</f>
        <v>0</v>
      </c>
      <c r="CM99">
        <f>SUM(CK99:CL99)</f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f>CK99+CN99+CP99+CR99</f>
        <v>0</v>
      </c>
      <c r="CU99">
        <f>CL99+CO99+CQ99+CS99</f>
        <v>0</v>
      </c>
      <c r="CV99">
        <f>SUM(CT99:CU99)</f>
        <v>0</v>
      </c>
      <c r="CW99">
        <f>BX99+CT99</f>
        <v>0</v>
      </c>
      <c r="CX99">
        <f>BY99+CU99</f>
        <v>0</v>
      </c>
      <c r="CY99">
        <f>BZ99+CV99</f>
        <v>0</v>
      </c>
      <c r="CZ99">
        <f>AO99+BB99+CW99</f>
        <v>278</v>
      </c>
      <c r="DA99">
        <f>AP99+BC99+CX99</f>
        <v>234</v>
      </c>
      <c r="DB99">
        <f>AQ99+BD99+CY99</f>
        <v>512</v>
      </c>
    </row>
    <row r="100" spans="1:106" hidden="1">
      <c r="A100" t="s">
        <v>134</v>
      </c>
      <c r="B100" t="s">
        <v>9</v>
      </c>
      <c r="C100" t="s">
        <v>209</v>
      </c>
      <c r="D100">
        <v>465516</v>
      </c>
      <c r="E100" t="s">
        <v>300</v>
      </c>
      <c r="F100" t="s">
        <v>301</v>
      </c>
      <c r="H100" t="s">
        <v>138</v>
      </c>
      <c r="I100" t="s">
        <v>139</v>
      </c>
      <c r="J100" t="s">
        <v>140</v>
      </c>
      <c r="K100" t="s">
        <v>191</v>
      </c>
      <c r="L100" t="s">
        <v>12</v>
      </c>
      <c r="M100" t="s">
        <v>192</v>
      </c>
      <c r="N100" t="s">
        <v>143</v>
      </c>
      <c r="O100" t="s">
        <v>302</v>
      </c>
      <c r="P100" t="s">
        <v>145</v>
      </c>
      <c r="Q100" s="27" t="s">
        <v>146</v>
      </c>
      <c r="R100">
        <v>31</v>
      </c>
      <c r="S100">
        <v>27</v>
      </c>
      <c r="T100">
        <f>SUM(R100:S100)</f>
        <v>58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L100">
        <f>U100+W100+Y100+AA100+AC100+AE100+AG100</f>
        <v>0</v>
      </c>
      <c r="AM100">
        <f>V100+X100+Z100+AB100+AD100+AF100+AH100</f>
        <v>0</v>
      </c>
      <c r="AN100">
        <f>SUM(AL100:AM100)</f>
        <v>0</v>
      </c>
      <c r="AO100">
        <f>R100+AL100</f>
        <v>31</v>
      </c>
      <c r="AP100">
        <f>S100+AM100</f>
        <v>27</v>
      </c>
      <c r="AQ100">
        <f>T100+AN100</f>
        <v>58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f>AR100+AT100+AV100+AX100+AZ100</f>
        <v>0</v>
      </c>
      <c r="BC100">
        <f>AS100+AU100+AW100+AY100+BA100</f>
        <v>0</v>
      </c>
      <c r="BD100">
        <f>SUM(BB100:BC100)</f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f>BE100+BG100+BI100+BK100+BM100</f>
        <v>0</v>
      </c>
      <c r="BP100">
        <f>BF100+BH100+BJ100+BL100+BN100</f>
        <v>0</v>
      </c>
      <c r="BQ100">
        <f>SUM(BO100:BP100)</f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f>BO100+BR100+BT100+BV100</f>
        <v>0</v>
      </c>
      <c r="BY100">
        <f>BP100+BS100+BU100+BW100</f>
        <v>0</v>
      </c>
      <c r="BZ100">
        <f>SUM(BX100:BY100)</f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f>CA100+CC100+CE100+CG100+CI100</f>
        <v>0</v>
      </c>
      <c r="CL100">
        <f>CB100+CD100+CF100+CH100+CJ100</f>
        <v>0</v>
      </c>
      <c r="CM100">
        <f>SUM(CK100:CL100)</f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f>CK100+CN100+CP100+CR100</f>
        <v>0</v>
      </c>
      <c r="CU100">
        <f>CL100+CO100+CQ100+CS100</f>
        <v>0</v>
      </c>
      <c r="CV100">
        <f>SUM(CT100:CU100)</f>
        <v>0</v>
      </c>
      <c r="CW100">
        <f>BX100+CT100</f>
        <v>0</v>
      </c>
      <c r="CX100">
        <f>BY100+CU100</f>
        <v>0</v>
      </c>
      <c r="CY100">
        <f>BZ100+CV100</f>
        <v>0</v>
      </c>
      <c r="CZ100">
        <f>AO100+BB100+CW100</f>
        <v>31</v>
      </c>
      <c r="DA100">
        <f>AP100+BC100+CX100</f>
        <v>27</v>
      </c>
      <c r="DB100">
        <f>AQ100+BD100+CY100</f>
        <v>58</v>
      </c>
    </row>
    <row r="101" spans="1:106" hidden="1">
      <c r="A101" t="s">
        <v>134</v>
      </c>
      <c r="B101" t="s">
        <v>9</v>
      </c>
      <c r="C101" t="s">
        <v>209</v>
      </c>
      <c r="D101">
        <v>465900</v>
      </c>
      <c r="E101" t="s">
        <v>303</v>
      </c>
      <c r="F101" t="s">
        <v>304</v>
      </c>
      <c r="H101" t="s">
        <v>138</v>
      </c>
      <c r="I101" t="s">
        <v>139</v>
      </c>
      <c r="J101" t="s">
        <v>140</v>
      </c>
      <c r="K101" t="s">
        <v>191</v>
      </c>
      <c r="L101" t="s">
        <v>12</v>
      </c>
      <c r="M101" t="s">
        <v>192</v>
      </c>
      <c r="N101" t="s">
        <v>143</v>
      </c>
      <c r="O101" t="s">
        <v>182</v>
      </c>
      <c r="P101" t="s">
        <v>145</v>
      </c>
      <c r="Q101" t="s">
        <v>183</v>
      </c>
      <c r="R101">
        <v>6</v>
      </c>
      <c r="S101">
        <v>5</v>
      </c>
      <c r="T101">
        <f>SUM(R101:S101)</f>
        <v>11</v>
      </c>
      <c r="U101">
        <v>9</v>
      </c>
      <c r="V101">
        <v>6</v>
      </c>
      <c r="W101">
        <v>12</v>
      </c>
      <c r="X101">
        <v>9</v>
      </c>
      <c r="Y101">
        <v>8</v>
      </c>
      <c r="Z101">
        <v>11</v>
      </c>
      <c r="AA101">
        <v>12</v>
      </c>
      <c r="AB101">
        <v>7</v>
      </c>
      <c r="AC101">
        <v>9</v>
      </c>
      <c r="AD101">
        <v>6</v>
      </c>
      <c r="AE101">
        <v>8</v>
      </c>
      <c r="AF101">
        <v>10</v>
      </c>
      <c r="AG101">
        <v>0</v>
      </c>
      <c r="AH101">
        <v>0</v>
      </c>
      <c r="AL101">
        <f>U101+W101+Y101+AA101+AC101+AE101+AG101</f>
        <v>58</v>
      </c>
      <c r="AM101">
        <f>V101+X101+Z101+AB101+AD101+AF101+AH101</f>
        <v>49</v>
      </c>
      <c r="AN101">
        <f>SUM(AL101:AM101)</f>
        <v>107</v>
      </c>
      <c r="AO101">
        <f>R101+AL101</f>
        <v>64</v>
      </c>
      <c r="AP101">
        <f>S101+AM101</f>
        <v>54</v>
      </c>
      <c r="AQ101">
        <f>T101+AN101</f>
        <v>118</v>
      </c>
      <c r="AR101">
        <v>13</v>
      </c>
      <c r="AS101">
        <v>7</v>
      </c>
      <c r="AT101">
        <v>7</v>
      </c>
      <c r="AU101">
        <v>6</v>
      </c>
      <c r="AV101">
        <v>8</v>
      </c>
      <c r="AW101">
        <v>10</v>
      </c>
      <c r="AX101">
        <v>7</v>
      </c>
      <c r="AY101">
        <v>2</v>
      </c>
      <c r="AZ101">
        <v>0</v>
      </c>
      <c r="BA101">
        <v>0</v>
      </c>
      <c r="BB101">
        <f>AR101+AT101+AV101+AX101+AZ101</f>
        <v>35</v>
      </c>
      <c r="BC101">
        <f>AS101+AU101+AW101+AY101+BA101</f>
        <v>25</v>
      </c>
      <c r="BD101">
        <f>SUM(BB101:BC101)</f>
        <v>60</v>
      </c>
      <c r="BE101">
        <v>0</v>
      </c>
      <c r="BF101">
        <v>1</v>
      </c>
      <c r="BG101">
        <v>11</v>
      </c>
      <c r="BH101">
        <v>6</v>
      </c>
      <c r="BI101">
        <v>2</v>
      </c>
      <c r="BJ101">
        <v>2</v>
      </c>
      <c r="BK101">
        <v>0</v>
      </c>
      <c r="BL101">
        <v>0</v>
      </c>
      <c r="BM101">
        <v>0</v>
      </c>
      <c r="BN101">
        <v>0</v>
      </c>
      <c r="BO101">
        <f>BE101+BG101+BI101+BK101+BM101</f>
        <v>13</v>
      </c>
      <c r="BP101">
        <f>BF101+BH101+BJ101+BL101+BN101</f>
        <v>9</v>
      </c>
      <c r="BQ101">
        <f>SUM(BO101:BP101)</f>
        <v>22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f>BO101+BR101+BT101+BV101</f>
        <v>13</v>
      </c>
      <c r="BY101">
        <f>BP101+BS101+BU101+BW101</f>
        <v>9</v>
      </c>
      <c r="BZ101">
        <f>SUM(BX101:BY101)</f>
        <v>22</v>
      </c>
      <c r="CA101">
        <v>1</v>
      </c>
      <c r="CB101">
        <v>1</v>
      </c>
      <c r="CC101">
        <v>6</v>
      </c>
      <c r="CD101">
        <v>2</v>
      </c>
      <c r="CE101">
        <v>3</v>
      </c>
      <c r="CF101">
        <v>1</v>
      </c>
      <c r="CG101">
        <v>0</v>
      </c>
      <c r="CH101">
        <v>0</v>
      </c>
      <c r="CI101">
        <v>0</v>
      </c>
      <c r="CJ101">
        <v>0</v>
      </c>
      <c r="CK101">
        <f>CA101+CC101+CE101+CG101+CI101</f>
        <v>10</v>
      </c>
      <c r="CL101">
        <f>CB101+CD101+CF101+CH101+CJ101</f>
        <v>4</v>
      </c>
      <c r="CM101">
        <f>SUM(CK101:CL101)</f>
        <v>14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f>CK101+CN101+CP101+CR101</f>
        <v>10</v>
      </c>
      <c r="CU101">
        <f>CL101+CO101+CQ101+CS101</f>
        <v>4</v>
      </c>
      <c r="CV101">
        <f>SUM(CT101:CU101)</f>
        <v>14</v>
      </c>
      <c r="CW101">
        <f>BX101+CT101</f>
        <v>23</v>
      </c>
      <c r="CX101">
        <f>BY101+CU101</f>
        <v>13</v>
      </c>
      <c r="CY101">
        <f>BZ101+CV101</f>
        <v>36</v>
      </c>
      <c r="CZ101">
        <f>AO101+BB101+CW101</f>
        <v>122</v>
      </c>
      <c r="DA101">
        <f>AP101+BC101+CX101</f>
        <v>92</v>
      </c>
      <c r="DB101">
        <f>AQ101+BD101+CY101</f>
        <v>214</v>
      </c>
    </row>
    <row r="102" spans="1:106">
      <c r="A102" t="s">
        <v>134</v>
      </c>
      <c r="B102" t="s">
        <v>9</v>
      </c>
      <c r="C102" t="s">
        <v>305</v>
      </c>
      <c r="D102">
        <v>102157</v>
      </c>
      <c r="E102" t="s">
        <v>306</v>
      </c>
      <c r="F102" t="s">
        <v>307</v>
      </c>
      <c r="H102" t="s">
        <v>138</v>
      </c>
      <c r="I102" t="s">
        <v>139</v>
      </c>
      <c r="J102" t="s">
        <v>140</v>
      </c>
      <c r="K102" t="s">
        <v>308</v>
      </c>
      <c r="L102" t="s">
        <v>0</v>
      </c>
      <c r="M102" t="s">
        <v>142</v>
      </c>
      <c r="N102" t="s">
        <v>143</v>
      </c>
      <c r="O102" t="s">
        <v>144</v>
      </c>
      <c r="P102" t="s">
        <v>145</v>
      </c>
      <c r="Q102" s="27" t="s">
        <v>146</v>
      </c>
      <c r="R102">
        <v>9</v>
      </c>
      <c r="S102">
        <v>4</v>
      </c>
      <c r="T102">
        <f>SUM(R102:S102)</f>
        <v>13</v>
      </c>
      <c r="U102">
        <v>9</v>
      </c>
      <c r="V102">
        <v>9</v>
      </c>
      <c r="W102">
        <v>17</v>
      </c>
      <c r="X102">
        <v>8</v>
      </c>
      <c r="Y102">
        <v>9</v>
      </c>
      <c r="Z102">
        <v>13</v>
      </c>
      <c r="AA102">
        <v>13</v>
      </c>
      <c r="AB102">
        <v>6</v>
      </c>
      <c r="AC102">
        <v>13</v>
      </c>
      <c r="AD102">
        <v>8</v>
      </c>
      <c r="AE102">
        <v>2</v>
      </c>
      <c r="AF102">
        <v>5</v>
      </c>
      <c r="AG102">
        <v>0</v>
      </c>
      <c r="AH102">
        <v>0</v>
      </c>
      <c r="AI102">
        <f t="shared" ref="AI102:AI120" si="8">SUM(AA102:AF102)</f>
        <v>47</v>
      </c>
      <c r="AL102">
        <f>U102+W102+Y102+AA102+AC102+AE102+AG102</f>
        <v>63</v>
      </c>
      <c r="AM102">
        <f>V102+X102+Z102+AB102+AD102+AF102+AH102</f>
        <v>49</v>
      </c>
      <c r="AN102">
        <f>SUM(AL102:AM102)</f>
        <v>112</v>
      </c>
      <c r="AO102">
        <f>R102+AL102</f>
        <v>72</v>
      </c>
      <c r="AP102">
        <f>S102+AM102</f>
        <v>53</v>
      </c>
      <c r="AQ102">
        <f>T102+AN102</f>
        <v>125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f>AR102+AT102+AV102+AX102+AZ102</f>
        <v>0</v>
      </c>
      <c r="BC102">
        <f>AS102+AU102+AW102+AY102+BA102</f>
        <v>0</v>
      </c>
      <c r="BD102">
        <f>SUM(BB102:BC102)</f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f>BE102+BG102+BI102+BK102+BM102</f>
        <v>0</v>
      </c>
      <c r="BP102">
        <f>BF102+BH102+BJ102+BL102+BN102</f>
        <v>0</v>
      </c>
      <c r="BQ102">
        <f>SUM(BO102:BP102)</f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f>BO102+BR102+BT102+BV102</f>
        <v>0</v>
      </c>
      <c r="BY102">
        <f>BP102+BS102+BU102+BW102</f>
        <v>0</v>
      </c>
      <c r="BZ102">
        <f>SUM(BX102:BY102)</f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f>CA102+CC102+CE102+CG102+CI102</f>
        <v>0</v>
      </c>
      <c r="CL102">
        <f>CB102+CD102+CF102+CH102+CJ102</f>
        <v>0</v>
      </c>
      <c r="CM102">
        <f>SUM(CK102:CL102)</f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f>CK102+CN102+CP102+CR102</f>
        <v>0</v>
      </c>
      <c r="CU102">
        <f>CL102+CO102+CQ102+CS102</f>
        <v>0</v>
      </c>
      <c r="CV102">
        <f>SUM(CT102:CU102)</f>
        <v>0</v>
      </c>
      <c r="CW102">
        <f>BX102+CT102</f>
        <v>0</v>
      </c>
      <c r="CX102">
        <f>BY102+CU102</f>
        <v>0</v>
      </c>
      <c r="CY102">
        <f>BZ102+CV102</f>
        <v>0</v>
      </c>
      <c r="CZ102">
        <f>AO102+BB102+CW102</f>
        <v>72</v>
      </c>
      <c r="DA102">
        <f>AP102+BC102+CX102</f>
        <v>53</v>
      </c>
      <c r="DB102">
        <f>AQ102+BD102+CY102</f>
        <v>125</v>
      </c>
    </row>
    <row r="103" spans="1:106">
      <c r="A103" t="s">
        <v>134</v>
      </c>
      <c r="B103" t="s">
        <v>9</v>
      </c>
      <c r="C103" t="s">
        <v>305</v>
      </c>
      <c r="D103">
        <v>102164</v>
      </c>
      <c r="E103" t="s">
        <v>309</v>
      </c>
      <c r="F103" t="s">
        <v>310</v>
      </c>
      <c r="H103" t="s">
        <v>138</v>
      </c>
      <c r="I103" t="s">
        <v>139</v>
      </c>
      <c r="J103" t="s">
        <v>140</v>
      </c>
      <c r="K103" t="s">
        <v>311</v>
      </c>
      <c r="L103" t="s">
        <v>0</v>
      </c>
      <c r="M103" t="s">
        <v>142</v>
      </c>
      <c r="N103" t="s">
        <v>143</v>
      </c>
      <c r="O103" t="s">
        <v>144</v>
      </c>
      <c r="P103" t="s">
        <v>145</v>
      </c>
      <c r="Q103" s="27" t="s">
        <v>146</v>
      </c>
      <c r="R103">
        <v>5</v>
      </c>
      <c r="S103">
        <v>7</v>
      </c>
      <c r="T103">
        <f>SUM(R103:S103)</f>
        <v>12</v>
      </c>
      <c r="U103">
        <v>3</v>
      </c>
      <c r="V103">
        <v>8</v>
      </c>
      <c r="W103">
        <v>9</v>
      </c>
      <c r="X103">
        <v>5</v>
      </c>
      <c r="Y103">
        <v>7</v>
      </c>
      <c r="Z103">
        <v>5</v>
      </c>
      <c r="AA103">
        <v>6</v>
      </c>
      <c r="AB103">
        <v>9</v>
      </c>
      <c r="AC103">
        <v>6</v>
      </c>
      <c r="AD103">
        <v>4</v>
      </c>
      <c r="AE103">
        <v>6</v>
      </c>
      <c r="AF103">
        <v>8</v>
      </c>
      <c r="AG103">
        <v>0</v>
      </c>
      <c r="AH103">
        <v>0</v>
      </c>
      <c r="AI103">
        <f t="shared" si="8"/>
        <v>39</v>
      </c>
      <c r="AL103">
        <f>U103+W103+Y103+AA103+AC103+AE103+AG103</f>
        <v>37</v>
      </c>
      <c r="AM103">
        <f>V103+X103+Z103+AB103+AD103+AF103+AH103</f>
        <v>39</v>
      </c>
      <c r="AN103">
        <f>SUM(AL103:AM103)</f>
        <v>76</v>
      </c>
      <c r="AO103">
        <f>R103+AL103</f>
        <v>42</v>
      </c>
      <c r="AP103">
        <f>S103+AM103</f>
        <v>46</v>
      </c>
      <c r="AQ103">
        <f>T103+AN103</f>
        <v>88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f>AR103+AT103+AV103+AX103+AZ103</f>
        <v>0</v>
      </c>
      <c r="BC103">
        <f>AS103+AU103+AW103+AY103+BA103</f>
        <v>0</v>
      </c>
      <c r="BD103">
        <f>SUM(BB103:BC103)</f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f>BE103+BG103+BI103+BK103+BM103</f>
        <v>0</v>
      </c>
      <c r="BP103">
        <f>BF103+BH103+BJ103+BL103+BN103</f>
        <v>0</v>
      </c>
      <c r="BQ103">
        <f>SUM(BO103:BP103)</f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f>BO103+BR103+BT103+BV103</f>
        <v>0</v>
      </c>
      <c r="BY103">
        <f>BP103+BS103+BU103+BW103</f>
        <v>0</v>
      </c>
      <c r="BZ103">
        <f>SUM(BX103:BY103)</f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f>CA103+CC103+CE103+CG103+CI103</f>
        <v>0</v>
      </c>
      <c r="CL103">
        <f>CB103+CD103+CF103+CH103+CJ103</f>
        <v>0</v>
      </c>
      <c r="CM103">
        <f>SUM(CK103:CL103)</f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f>CK103+CN103+CP103+CR103</f>
        <v>0</v>
      </c>
      <c r="CU103">
        <f>CL103+CO103+CQ103+CS103</f>
        <v>0</v>
      </c>
      <c r="CV103">
        <f>SUM(CT103:CU103)</f>
        <v>0</v>
      </c>
      <c r="CW103">
        <f>BX103+CT103</f>
        <v>0</v>
      </c>
      <c r="CX103">
        <f>BY103+CU103</f>
        <v>0</v>
      </c>
      <c r="CY103">
        <f>BZ103+CV103</f>
        <v>0</v>
      </c>
      <c r="CZ103">
        <f>AO103+BB103+CW103</f>
        <v>42</v>
      </c>
      <c r="DA103">
        <f>AP103+BC103+CX103</f>
        <v>46</v>
      </c>
      <c r="DB103">
        <f>AQ103+BD103+CY103</f>
        <v>88</v>
      </c>
    </row>
    <row r="104" spans="1:106">
      <c r="A104" t="s">
        <v>134</v>
      </c>
      <c r="B104" t="s">
        <v>9</v>
      </c>
      <c r="C104" t="s">
        <v>305</v>
      </c>
      <c r="D104">
        <v>129410</v>
      </c>
      <c r="E104" t="s">
        <v>312</v>
      </c>
      <c r="F104" t="s">
        <v>313</v>
      </c>
      <c r="H104" t="s">
        <v>138</v>
      </c>
      <c r="I104" t="s">
        <v>139</v>
      </c>
      <c r="J104" t="s">
        <v>140</v>
      </c>
      <c r="K104" t="s">
        <v>314</v>
      </c>
      <c r="L104" t="s">
        <v>0</v>
      </c>
      <c r="M104" t="s">
        <v>142</v>
      </c>
      <c r="N104" t="s">
        <v>143</v>
      </c>
      <c r="O104" t="s">
        <v>144</v>
      </c>
      <c r="P104" t="s">
        <v>145</v>
      </c>
      <c r="Q104" s="27" t="s">
        <v>146</v>
      </c>
      <c r="R104">
        <v>16</v>
      </c>
      <c r="S104">
        <v>15</v>
      </c>
      <c r="T104">
        <f>SUM(R104:S104)</f>
        <v>31</v>
      </c>
      <c r="U104">
        <v>14</v>
      </c>
      <c r="V104">
        <v>15</v>
      </c>
      <c r="W104">
        <v>27</v>
      </c>
      <c r="X104">
        <v>21</v>
      </c>
      <c r="Y104">
        <v>15</v>
      </c>
      <c r="Z104">
        <v>17</v>
      </c>
      <c r="AA104">
        <v>12</v>
      </c>
      <c r="AB104">
        <v>12</v>
      </c>
      <c r="AC104">
        <v>16</v>
      </c>
      <c r="AD104">
        <v>14</v>
      </c>
      <c r="AE104">
        <v>18</v>
      </c>
      <c r="AF104">
        <v>12</v>
      </c>
      <c r="AG104">
        <v>0</v>
      </c>
      <c r="AH104">
        <v>0</v>
      </c>
      <c r="AI104">
        <f t="shared" si="8"/>
        <v>84</v>
      </c>
      <c r="AL104">
        <f>U104+W104+Y104+AA104+AC104+AE104+AG104</f>
        <v>102</v>
      </c>
      <c r="AM104">
        <f>V104+X104+Z104+AB104+AD104+AF104+AH104</f>
        <v>91</v>
      </c>
      <c r="AN104">
        <f>SUM(AL104:AM104)</f>
        <v>193</v>
      </c>
      <c r="AO104">
        <f>R104+AL104</f>
        <v>118</v>
      </c>
      <c r="AP104">
        <f>S104+AM104</f>
        <v>106</v>
      </c>
      <c r="AQ104">
        <f>T104+AN104</f>
        <v>224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f>AR104+AT104+AV104+AX104+AZ104</f>
        <v>0</v>
      </c>
      <c r="BC104">
        <f>AS104+AU104+AW104+AY104+BA104</f>
        <v>0</v>
      </c>
      <c r="BD104">
        <f>SUM(BB104:BC104)</f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f>BE104+BG104+BI104+BK104+BM104</f>
        <v>0</v>
      </c>
      <c r="BP104">
        <f>BF104+BH104+BJ104+BL104+BN104</f>
        <v>0</v>
      </c>
      <c r="BQ104">
        <f>SUM(BO104:BP104)</f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f>BO104+BR104+BT104+BV104</f>
        <v>0</v>
      </c>
      <c r="BY104">
        <f>BP104+BS104+BU104+BW104</f>
        <v>0</v>
      </c>
      <c r="BZ104">
        <f>SUM(BX104:BY104)</f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f>CA104+CC104+CE104+CG104+CI104</f>
        <v>0</v>
      </c>
      <c r="CL104">
        <f>CB104+CD104+CF104+CH104+CJ104</f>
        <v>0</v>
      </c>
      <c r="CM104">
        <f>SUM(CK104:CL104)</f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f>CK104+CN104+CP104+CR104</f>
        <v>0</v>
      </c>
      <c r="CU104">
        <f>CL104+CO104+CQ104+CS104</f>
        <v>0</v>
      </c>
      <c r="CV104">
        <f>SUM(CT104:CU104)</f>
        <v>0</v>
      </c>
      <c r="CW104">
        <f>BX104+CT104</f>
        <v>0</v>
      </c>
      <c r="CX104">
        <f>BY104+CU104</f>
        <v>0</v>
      </c>
      <c r="CY104">
        <f>BZ104+CV104</f>
        <v>0</v>
      </c>
      <c r="CZ104">
        <f>AO104+BB104+CW104</f>
        <v>118</v>
      </c>
      <c r="DA104">
        <f>AP104+BC104+CX104</f>
        <v>106</v>
      </c>
      <c r="DB104">
        <f>AQ104+BD104+CY104</f>
        <v>224</v>
      </c>
    </row>
    <row r="105" spans="1:106">
      <c r="A105" t="s">
        <v>134</v>
      </c>
      <c r="B105" t="s">
        <v>9</v>
      </c>
      <c r="C105" t="s">
        <v>305</v>
      </c>
      <c r="D105">
        <v>129412</v>
      </c>
      <c r="E105" t="s">
        <v>315</v>
      </c>
      <c r="F105" t="s">
        <v>316</v>
      </c>
      <c r="H105" t="s">
        <v>138</v>
      </c>
      <c r="I105" t="s">
        <v>139</v>
      </c>
      <c r="J105" t="s">
        <v>140</v>
      </c>
      <c r="K105" t="s">
        <v>317</v>
      </c>
      <c r="L105" t="s">
        <v>0</v>
      </c>
      <c r="M105" t="s">
        <v>142</v>
      </c>
      <c r="N105" t="s">
        <v>143</v>
      </c>
      <c r="O105" t="s">
        <v>144</v>
      </c>
      <c r="P105" t="s">
        <v>145</v>
      </c>
      <c r="Q105" s="27" t="s">
        <v>146</v>
      </c>
      <c r="R105">
        <v>3</v>
      </c>
      <c r="S105">
        <v>4</v>
      </c>
      <c r="T105">
        <f>SUM(R105:S105)</f>
        <v>7</v>
      </c>
      <c r="U105">
        <v>11</v>
      </c>
      <c r="V105">
        <v>5</v>
      </c>
      <c r="W105">
        <v>8</v>
      </c>
      <c r="X105">
        <v>7</v>
      </c>
      <c r="Y105">
        <v>7</v>
      </c>
      <c r="Z105">
        <v>5</v>
      </c>
      <c r="AA105">
        <v>12</v>
      </c>
      <c r="AB105">
        <v>10</v>
      </c>
      <c r="AC105">
        <v>7</v>
      </c>
      <c r="AD105">
        <v>6</v>
      </c>
      <c r="AE105">
        <v>6</v>
      </c>
      <c r="AF105">
        <v>7</v>
      </c>
      <c r="AG105">
        <v>0</v>
      </c>
      <c r="AH105">
        <v>0</v>
      </c>
      <c r="AI105">
        <f t="shared" si="8"/>
        <v>48</v>
      </c>
      <c r="AL105">
        <f>U105+W105+Y105+AA105+AC105+AE105+AG105</f>
        <v>51</v>
      </c>
      <c r="AM105">
        <f>V105+X105+Z105+AB105+AD105+AF105+AH105</f>
        <v>40</v>
      </c>
      <c r="AN105">
        <f>SUM(AL105:AM105)</f>
        <v>91</v>
      </c>
      <c r="AO105">
        <f>R105+AL105</f>
        <v>54</v>
      </c>
      <c r="AP105">
        <f>S105+AM105</f>
        <v>44</v>
      </c>
      <c r="AQ105">
        <f>T105+AN105</f>
        <v>98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f>AR105+AT105+AV105+AX105+AZ105</f>
        <v>0</v>
      </c>
      <c r="BC105">
        <f>AS105+AU105+AW105+AY105+BA105</f>
        <v>0</v>
      </c>
      <c r="BD105">
        <f>SUM(BB105:BC105)</f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f>BE105+BG105+BI105+BK105+BM105</f>
        <v>0</v>
      </c>
      <c r="BP105">
        <f>BF105+BH105+BJ105+BL105+BN105</f>
        <v>0</v>
      </c>
      <c r="BQ105">
        <f>SUM(BO105:BP105)</f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f>BO105+BR105+BT105+BV105</f>
        <v>0</v>
      </c>
      <c r="BY105">
        <f>BP105+BS105+BU105+BW105</f>
        <v>0</v>
      </c>
      <c r="BZ105">
        <f>SUM(BX105:BY105)</f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f>CA105+CC105+CE105+CG105+CI105</f>
        <v>0</v>
      </c>
      <c r="CL105">
        <f>CB105+CD105+CF105+CH105+CJ105</f>
        <v>0</v>
      </c>
      <c r="CM105">
        <f>SUM(CK105:CL105)</f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f>CK105+CN105+CP105+CR105</f>
        <v>0</v>
      </c>
      <c r="CU105">
        <f>CL105+CO105+CQ105+CS105</f>
        <v>0</v>
      </c>
      <c r="CV105">
        <f>SUM(CT105:CU105)</f>
        <v>0</v>
      </c>
      <c r="CW105">
        <f>BX105+CT105</f>
        <v>0</v>
      </c>
      <c r="CX105">
        <f>BY105+CU105</f>
        <v>0</v>
      </c>
      <c r="CY105">
        <f>BZ105+CV105</f>
        <v>0</v>
      </c>
      <c r="CZ105">
        <f>AO105+BB105+CW105</f>
        <v>54</v>
      </c>
      <c r="DA105">
        <f>AP105+BC105+CX105</f>
        <v>44</v>
      </c>
      <c r="DB105">
        <f>AQ105+BD105+CY105</f>
        <v>98</v>
      </c>
    </row>
    <row r="106" spans="1:106">
      <c r="A106" t="s">
        <v>134</v>
      </c>
      <c r="B106" t="s">
        <v>9</v>
      </c>
      <c r="C106" t="s">
        <v>305</v>
      </c>
      <c r="D106">
        <v>129413</v>
      </c>
      <c r="E106" t="s">
        <v>318</v>
      </c>
      <c r="F106" t="s">
        <v>319</v>
      </c>
      <c r="H106" t="s">
        <v>138</v>
      </c>
      <c r="I106" t="s">
        <v>139</v>
      </c>
      <c r="J106" t="s">
        <v>140</v>
      </c>
      <c r="K106" t="s">
        <v>314</v>
      </c>
      <c r="L106" t="s">
        <v>0</v>
      </c>
      <c r="M106" t="s">
        <v>142</v>
      </c>
      <c r="N106" t="s">
        <v>143</v>
      </c>
      <c r="O106" t="s">
        <v>144</v>
      </c>
      <c r="P106" t="s">
        <v>145</v>
      </c>
      <c r="Q106" s="27" t="s">
        <v>146</v>
      </c>
      <c r="R106">
        <v>25</v>
      </c>
      <c r="S106">
        <v>17</v>
      </c>
      <c r="T106">
        <f>SUM(R106:S106)</f>
        <v>42</v>
      </c>
      <c r="U106">
        <v>20</v>
      </c>
      <c r="V106">
        <v>23</v>
      </c>
      <c r="W106">
        <v>27</v>
      </c>
      <c r="X106">
        <v>16</v>
      </c>
      <c r="Y106">
        <v>26</v>
      </c>
      <c r="Z106">
        <v>23</v>
      </c>
      <c r="AA106">
        <v>22</v>
      </c>
      <c r="AB106">
        <v>23</v>
      </c>
      <c r="AC106">
        <v>20</v>
      </c>
      <c r="AD106">
        <v>26</v>
      </c>
      <c r="AE106">
        <v>21</v>
      </c>
      <c r="AF106">
        <v>18</v>
      </c>
      <c r="AG106">
        <v>0</v>
      </c>
      <c r="AH106">
        <v>0</v>
      </c>
      <c r="AI106">
        <f t="shared" si="8"/>
        <v>130</v>
      </c>
      <c r="AL106">
        <f>U106+W106+Y106+AA106+AC106+AE106+AG106</f>
        <v>136</v>
      </c>
      <c r="AM106">
        <f>V106+X106+Z106+AB106+AD106+AF106+AH106</f>
        <v>129</v>
      </c>
      <c r="AN106">
        <f>SUM(AL106:AM106)</f>
        <v>265</v>
      </c>
      <c r="AO106">
        <f>R106+AL106</f>
        <v>161</v>
      </c>
      <c r="AP106">
        <f>S106+AM106</f>
        <v>146</v>
      </c>
      <c r="AQ106">
        <f>T106+AN106</f>
        <v>307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f>AR106+AT106+AV106+AX106+AZ106</f>
        <v>0</v>
      </c>
      <c r="BC106">
        <f>AS106+AU106+AW106+AY106+BA106</f>
        <v>0</v>
      </c>
      <c r="BD106">
        <f>SUM(BB106:BC106)</f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f>BE106+BG106+BI106+BK106+BM106</f>
        <v>0</v>
      </c>
      <c r="BP106">
        <f>BF106+BH106+BJ106+BL106+BN106</f>
        <v>0</v>
      </c>
      <c r="BQ106">
        <f>SUM(BO106:BP106)</f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f>BO106+BR106+BT106+BV106</f>
        <v>0</v>
      </c>
      <c r="BY106">
        <f>BP106+BS106+BU106+BW106</f>
        <v>0</v>
      </c>
      <c r="BZ106">
        <f>SUM(BX106:BY106)</f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f>CA106+CC106+CE106+CG106+CI106</f>
        <v>0</v>
      </c>
      <c r="CL106">
        <f>CB106+CD106+CF106+CH106+CJ106</f>
        <v>0</v>
      </c>
      <c r="CM106">
        <f>SUM(CK106:CL106)</f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f>CK106+CN106+CP106+CR106</f>
        <v>0</v>
      </c>
      <c r="CU106">
        <f>CL106+CO106+CQ106+CS106</f>
        <v>0</v>
      </c>
      <c r="CV106">
        <f>SUM(CT106:CU106)</f>
        <v>0</v>
      </c>
      <c r="CW106">
        <f>BX106+CT106</f>
        <v>0</v>
      </c>
      <c r="CX106">
        <f>BY106+CU106</f>
        <v>0</v>
      </c>
      <c r="CY106">
        <f>BZ106+CV106</f>
        <v>0</v>
      </c>
      <c r="CZ106">
        <f>AO106+BB106+CW106</f>
        <v>161</v>
      </c>
      <c r="DA106">
        <f>AP106+BC106+CX106</f>
        <v>146</v>
      </c>
      <c r="DB106">
        <f>AQ106+BD106+CY106</f>
        <v>307</v>
      </c>
    </row>
    <row r="107" spans="1:106">
      <c r="A107" t="s">
        <v>134</v>
      </c>
      <c r="B107" t="s">
        <v>9</v>
      </c>
      <c r="C107" t="s">
        <v>305</v>
      </c>
      <c r="D107">
        <v>129414</v>
      </c>
      <c r="E107" t="s">
        <v>320</v>
      </c>
      <c r="F107" t="s">
        <v>321</v>
      </c>
      <c r="H107" t="s">
        <v>138</v>
      </c>
      <c r="I107" t="s">
        <v>139</v>
      </c>
      <c r="J107" t="s">
        <v>140</v>
      </c>
      <c r="K107" t="s">
        <v>322</v>
      </c>
      <c r="L107" t="s">
        <v>0</v>
      </c>
      <c r="M107" t="s">
        <v>142</v>
      </c>
      <c r="N107" t="s">
        <v>143</v>
      </c>
      <c r="O107" t="s">
        <v>144</v>
      </c>
      <c r="P107" t="s">
        <v>145</v>
      </c>
      <c r="Q107" s="27" t="s">
        <v>146</v>
      </c>
      <c r="R107">
        <v>21</v>
      </c>
      <c r="S107">
        <v>20</v>
      </c>
      <c r="T107">
        <f>SUM(R107:S107)</f>
        <v>41</v>
      </c>
      <c r="U107">
        <v>26</v>
      </c>
      <c r="V107">
        <v>14</v>
      </c>
      <c r="W107">
        <v>31</v>
      </c>
      <c r="X107">
        <v>29</v>
      </c>
      <c r="Y107">
        <v>30</v>
      </c>
      <c r="Z107">
        <v>25</v>
      </c>
      <c r="AA107">
        <v>28</v>
      </c>
      <c r="AB107">
        <v>18</v>
      </c>
      <c r="AC107">
        <v>36</v>
      </c>
      <c r="AD107">
        <v>24</v>
      </c>
      <c r="AE107">
        <v>19</v>
      </c>
      <c r="AF107">
        <v>27</v>
      </c>
      <c r="AG107">
        <v>0</v>
      </c>
      <c r="AH107">
        <v>0</v>
      </c>
      <c r="AI107">
        <f t="shared" si="8"/>
        <v>152</v>
      </c>
      <c r="AL107">
        <f>U107+W107+Y107+AA107+AC107+AE107+AG107</f>
        <v>170</v>
      </c>
      <c r="AM107">
        <f>V107+X107+Z107+AB107+AD107+AF107+AH107</f>
        <v>137</v>
      </c>
      <c r="AN107">
        <f>SUM(AL107:AM107)</f>
        <v>307</v>
      </c>
      <c r="AO107">
        <f>R107+AL107</f>
        <v>191</v>
      </c>
      <c r="AP107">
        <f>S107+AM107</f>
        <v>157</v>
      </c>
      <c r="AQ107">
        <f>T107+AN107</f>
        <v>348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f>AR107+AT107+AV107+AX107+AZ107</f>
        <v>0</v>
      </c>
      <c r="BC107">
        <f>AS107+AU107+AW107+AY107+BA107</f>
        <v>0</v>
      </c>
      <c r="BD107">
        <f>SUM(BB107:BC107)</f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f>BE107+BG107+BI107+BK107+BM107</f>
        <v>0</v>
      </c>
      <c r="BP107">
        <f>BF107+BH107+BJ107+BL107+BN107</f>
        <v>0</v>
      </c>
      <c r="BQ107">
        <f>SUM(BO107:BP107)</f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f>BO107+BR107+BT107+BV107</f>
        <v>0</v>
      </c>
      <c r="BY107">
        <f>BP107+BS107+BU107+BW107</f>
        <v>0</v>
      </c>
      <c r="BZ107">
        <f>SUM(BX107:BY107)</f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f>CA107+CC107+CE107+CG107+CI107</f>
        <v>0</v>
      </c>
      <c r="CL107">
        <f>CB107+CD107+CF107+CH107+CJ107</f>
        <v>0</v>
      </c>
      <c r="CM107">
        <f>SUM(CK107:CL107)</f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f>CK107+CN107+CP107+CR107</f>
        <v>0</v>
      </c>
      <c r="CU107">
        <f>CL107+CO107+CQ107+CS107</f>
        <v>0</v>
      </c>
      <c r="CV107">
        <f>SUM(CT107:CU107)</f>
        <v>0</v>
      </c>
      <c r="CW107">
        <f>BX107+CT107</f>
        <v>0</v>
      </c>
      <c r="CX107">
        <f>BY107+CU107</f>
        <v>0</v>
      </c>
      <c r="CY107">
        <f>BZ107+CV107</f>
        <v>0</v>
      </c>
      <c r="CZ107">
        <f>AO107+BB107+CW107</f>
        <v>191</v>
      </c>
      <c r="DA107">
        <f>AP107+BC107+CX107</f>
        <v>157</v>
      </c>
      <c r="DB107">
        <f>AQ107+BD107+CY107</f>
        <v>348</v>
      </c>
    </row>
    <row r="108" spans="1:106">
      <c r="A108" t="s">
        <v>134</v>
      </c>
      <c r="B108" t="s">
        <v>9</v>
      </c>
      <c r="C108" t="s">
        <v>305</v>
      </c>
      <c r="D108">
        <v>129417</v>
      </c>
      <c r="E108" t="s">
        <v>323</v>
      </c>
      <c r="F108" t="s">
        <v>324</v>
      </c>
      <c r="H108" t="s">
        <v>138</v>
      </c>
      <c r="I108" t="s">
        <v>139</v>
      </c>
      <c r="J108" t="s">
        <v>140</v>
      </c>
      <c r="K108" t="s">
        <v>308</v>
      </c>
      <c r="L108" t="s">
        <v>0</v>
      </c>
      <c r="M108" t="s">
        <v>142</v>
      </c>
      <c r="N108" t="s">
        <v>143</v>
      </c>
      <c r="O108" t="s">
        <v>144</v>
      </c>
      <c r="P108" t="s">
        <v>145</v>
      </c>
      <c r="Q108" s="27" t="s">
        <v>146</v>
      </c>
      <c r="R108">
        <v>40</v>
      </c>
      <c r="S108">
        <v>34</v>
      </c>
      <c r="T108">
        <f>SUM(R108:S108)</f>
        <v>74</v>
      </c>
      <c r="U108">
        <v>38</v>
      </c>
      <c r="V108">
        <v>30</v>
      </c>
      <c r="W108">
        <v>48</v>
      </c>
      <c r="X108">
        <v>31</v>
      </c>
      <c r="Y108">
        <v>51</v>
      </c>
      <c r="Z108">
        <v>25</v>
      </c>
      <c r="AA108">
        <v>55</v>
      </c>
      <c r="AB108">
        <v>45</v>
      </c>
      <c r="AC108">
        <v>56</v>
      </c>
      <c r="AD108">
        <v>42</v>
      </c>
      <c r="AE108">
        <v>31</v>
      </c>
      <c r="AF108">
        <v>33</v>
      </c>
      <c r="AG108">
        <v>0</v>
      </c>
      <c r="AH108">
        <v>0</v>
      </c>
      <c r="AI108">
        <f t="shared" si="8"/>
        <v>262</v>
      </c>
      <c r="AL108">
        <f>U108+W108+Y108+AA108+AC108+AE108+AG108</f>
        <v>279</v>
      </c>
      <c r="AM108">
        <f>V108+X108+Z108+AB108+AD108+AF108+AH108</f>
        <v>206</v>
      </c>
      <c r="AN108">
        <f>SUM(AL108:AM108)</f>
        <v>485</v>
      </c>
      <c r="AO108">
        <f>R108+AL108</f>
        <v>319</v>
      </c>
      <c r="AP108">
        <f>S108+AM108</f>
        <v>240</v>
      </c>
      <c r="AQ108">
        <f>T108+AN108</f>
        <v>559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f>AR108+AT108+AV108+AX108+AZ108</f>
        <v>0</v>
      </c>
      <c r="BC108">
        <f>AS108+AU108+AW108+AY108+BA108</f>
        <v>0</v>
      </c>
      <c r="BD108">
        <f>SUM(BB108:BC108)</f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f>BE108+BG108+BI108+BK108+BM108</f>
        <v>0</v>
      </c>
      <c r="BP108">
        <f>BF108+BH108+BJ108+BL108+BN108</f>
        <v>0</v>
      </c>
      <c r="BQ108">
        <f>SUM(BO108:BP108)</f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f>BO108+BR108+BT108+BV108</f>
        <v>0</v>
      </c>
      <c r="BY108">
        <f>BP108+BS108+BU108+BW108</f>
        <v>0</v>
      </c>
      <c r="BZ108">
        <f>SUM(BX108:BY108)</f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f>CA108+CC108+CE108+CG108+CI108</f>
        <v>0</v>
      </c>
      <c r="CL108">
        <f>CB108+CD108+CF108+CH108+CJ108</f>
        <v>0</v>
      </c>
      <c r="CM108">
        <f>SUM(CK108:CL108)</f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f>CK108+CN108+CP108+CR108</f>
        <v>0</v>
      </c>
      <c r="CU108">
        <f>CL108+CO108+CQ108+CS108</f>
        <v>0</v>
      </c>
      <c r="CV108">
        <f>SUM(CT108:CU108)</f>
        <v>0</v>
      </c>
      <c r="CW108">
        <f>BX108+CT108</f>
        <v>0</v>
      </c>
      <c r="CX108">
        <f>BY108+CU108</f>
        <v>0</v>
      </c>
      <c r="CY108">
        <f>BZ108+CV108</f>
        <v>0</v>
      </c>
      <c r="CZ108">
        <f>AO108+BB108+CW108</f>
        <v>319</v>
      </c>
      <c r="DA108">
        <f>AP108+BC108+CX108</f>
        <v>240</v>
      </c>
      <c r="DB108">
        <f>AQ108+BD108+CY108</f>
        <v>559</v>
      </c>
    </row>
    <row r="109" spans="1:106">
      <c r="A109" t="s">
        <v>134</v>
      </c>
      <c r="B109" t="s">
        <v>9</v>
      </c>
      <c r="C109" t="s">
        <v>305</v>
      </c>
      <c r="D109">
        <v>129418</v>
      </c>
      <c r="E109" t="s">
        <v>325</v>
      </c>
      <c r="F109" t="s">
        <v>326</v>
      </c>
      <c r="H109" t="s">
        <v>138</v>
      </c>
      <c r="I109" t="s">
        <v>139</v>
      </c>
      <c r="J109" t="s">
        <v>140</v>
      </c>
      <c r="K109" t="s">
        <v>308</v>
      </c>
      <c r="L109" t="s">
        <v>0</v>
      </c>
      <c r="M109" t="s">
        <v>142</v>
      </c>
      <c r="N109" t="s">
        <v>143</v>
      </c>
      <c r="O109" t="s">
        <v>144</v>
      </c>
      <c r="P109" t="s">
        <v>145</v>
      </c>
      <c r="Q109" s="27" t="s">
        <v>146</v>
      </c>
      <c r="R109">
        <v>15</v>
      </c>
      <c r="S109">
        <v>10</v>
      </c>
      <c r="T109">
        <f>SUM(R109:S109)</f>
        <v>25</v>
      </c>
      <c r="U109">
        <v>9</v>
      </c>
      <c r="V109">
        <v>9</v>
      </c>
      <c r="W109">
        <v>12</v>
      </c>
      <c r="X109">
        <v>6</v>
      </c>
      <c r="Y109">
        <v>7</v>
      </c>
      <c r="Z109">
        <v>6</v>
      </c>
      <c r="AA109">
        <v>18</v>
      </c>
      <c r="AB109">
        <v>12</v>
      </c>
      <c r="AC109">
        <v>11</v>
      </c>
      <c r="AD109">
        <v>14</v>
      </c>
      <c r="AE109">
        <v>4</v>
      </c>
      <c r="AF109">
        <v>4</v>
      </c>
      <c r="AG109">
        <v>0</v>
      </c>
      <c r="AH109">
        <v>0</v>
      </c>
      <c r="AI109">
        <f t="shared" si="8"/>
        <v>63</v>
      </c>
      <c r="AL109">
        <f>U109+W109+Y109+AA109+AC109+AE109+AG109</f>
        <v>61</v>
      </c>
      <c r="AM109">
        <f>V109+X109+Z109+AB109+AD109+AF109+AH109</f>
        <v>51</v>
      </c>
      <c r="AN109">
        <f>SUM(AL109:AM109)</f>
        <v>112</v>
      </c>
      <c r="AO109">
        <f>R109+AL109</f>
        <v>76</v>
      </c>
      <c r="AP109">
        <f>S109+AM109</f>
        <v>61</v>
      </c>
      <c r="AQ109">
        <f>T109+AN109</f>
        <v>137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f>AR109+AT109+AV109+AX109+AZ109</f>
        <v>0</v>
      </c>
      <c r="BC109">
        <f>AS109+AU109+AW109+AY109+BA109</f>
        <v>0</v>
      </c>
      <c r="BD109">
        <f>SUM(BB109:BC109)</f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f>BE109+BG109+BI109+BK109+BM109</f>
        <v>0</v>
      </c>
      <c r="BP109">
        <f>BF109+BH109+BJ109+BL109+BN109</f>
        <v>0</v>
      </c>
      <c r="BQ109">
        <f>SUM(BO109:BP109)</f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f>BO109+BR109+BT109+BV109</f>
        <v>0</v>
      </c>
      <c r="BY109">
        <f>BP109+BS109+BU109+BW109</f>
        <v>0</v>
      </c>
      <c r="BZ109">
        <f>SUM(BX109:BY109)</f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f>CA109+CC109+CE109+CG109+CI109</f>
        <v>0</v>
      </c>
      <c r="CL109">
        <f>CB109+CD109+CF109+CH109+CJ109</f>
        <v>0</v>
      </c>
      <c r="CM109">
        <f>SUM(CK109:CL109)</f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f>CK109+CN109+CP109+CR109</f>
        <v>0</v>
      </c>
      <c r="CU109">
        <f>CL109+CO109+CQ109+CS109</f>
        <v>0</v>
      </c>
      <c r="CV109">
        <f>SUM(CT109:CU109)</f>
        <v>0</v>
      </c>
      <c r="CW109">
        <f>BX109+CT109</f>
        <v>0</v>
      </c>
      <c r="CX109">
        <f>BY109+CU109</f>
        <v>0</v>
      </c>
      <c r="CY109">
        <f>BZ109+CV109</f>
        <v>0</v>
      </c>
      <c r="CZ109">
        <f>AO109+BB109+CW109</f>
        <v>76</v>
      </c>
      <c r="DA109">
        <f>AP109+BC109+CX109</f>
        <v>61</v>
      </c>
      <c r="DB109">
        <f>AQ109+BD109+CY109</f>
        <v>137</v>
      </c>
    </row>
    <row r="110" spans="1:106">
      <c r="A110" t="s">
        <v>134</v>
      </c>
      <c r="B110" t="s">
        <v>9</v>
      </c>
      <c r="C110" t="s">
        <v>305</v>
      </c>
      <c r="D110">
        <v>129419</v>
      </c>
      <c r="E110" t="s">
        <v>327</v>
      </c>
      <c r="F110" t="s">
        <v>294</v>
      </c>
      <c r="H110" t="s">
        <v>138</v>
      </c>
      <c r="I110" t="s">
        <v>139</v>
      </c>
      <c r="J110" t="s">
        <v>140</v>
      </c>
      <c r="K110" t="s">
        <v>328</v>
      </c>
      <c r="L110" t="s">
        <v>0</v>
      </c>
      <c r="M110" t="s">
        <v>142</v>
      </c>
      <c r="N110" t="s">
        <v>143</v>
      </c>
      <c r="O110" t="s">
        <v>144</v>
      </c>
      <c r="P110" t="s">
        <v>145</v>
      </c>
      <c r="Q110" s="27" t="s">
        <v>146</v>
      </c>
      <c r="R110">
        <v>22</v>
      </c>
      <c r="S110">
        <v>30</v>
      </c>
      <c r="T110">
        <f>SUM(R110:S110)</f>
        <v>52</v>
      </c>
      <c r="U110">
        <v>31</v>
      </c>
      <c r="V110">
        <v>20</v>
      </c>
      <c r="W110">
        <v>37</v>
      </c>
      <c r="X110">
        <v>20</v>
      </c>
      <c r="Y110">
        <v>35</v>
      </c>
      <c r="Z110">
        <v>26</v>
      </c>
      <c r="AA110">
        <v>25</v>
      </c>
      <c r="AB110">
        <v>25</v>
      </c>
      <c r="AC110">
        <v>33</v>
      </c>
      <c r="AD110">
        <v>30</v>
      </c>
      <c r="AE110">
        <v>22</v>
      </c>
      <c r="AF110">
        <v>23</v>
      </c>
      <c r="AG110">
        <v>0</v>
      </c>
      <c r="AH110">
        <v>0</v>
      </c>
      <c r="AI110">
        <f t="shared" si="8"/>
        <v>158</v>
      </c>
      <c r="AL110">
        <f>U110+W110+Y110+AA110+AC110+AE110+AG110</f>
        <v>183</v>
      </c>
      <c r="AM110">
        <f>V110+X110+Z110+AB110+AD110+AF110+AH110</f>
        <v>144</v>
      </c>
      <c r="AN110">
        <f>SUM(AL110:AM110)</f>
        <v>327</v>
      </c>
      <c r="AO110">
        <f>R110+AL110</f>
        <v>205</v>
      </c>
      <c r="AP110">
        <f>S110+AM110</f>
        <v>174</v>
      </c>
      <c r="AQ110">
        <f>T110+AN110</f>
        <v>379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f>AR110+AT110+AV110+AX110+AZ110</f>
        <v>0</v>
      </c>
      <c r="BC110">
        <f>AS110+AU110+AW110+AY110+BA110</f>
        <v>0</v>
      </c>
      <c r="BD110">
        <f>SUM(BB110:BC110)</f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f>BE110+BG110+BI110+BK110+BM110</f>
        <v>0</v>
      </c>
      <c r="BP110">
        <f>BF110+BH110+BJ110+BL110+BN110</f>
        <v>0</v>
      </c>
      <c r="BQ110">
        <f>SUM(BO110:BP110)</f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f>BO110+BR110+BT110+BV110</f>
        <v>0</v>
      </c>
      <c r="BY110">
        <f>BP110+BS110+BU110+BW110</f>
        <v>0</v>
      </c>
      <c r="BZ110">
        <f>SUM(BX110:BY110)</f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f>CA110+CC110+CE110+CG110+CI110</f>
        <v>0</v>
      </c>
      <c r="CL110">
        <f>CB110+CD110+CF110+CH110+CJ110</f>
        <v>0</v>
      </c>
      <c r="CM110">
        <f>SUM(CK110:CL110)</f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f>CK110+CN110+CP110+CR110</f>
        <v>0</v>
      </c>
      <c r="CU110">
        <f>CL110+CO110+CQ110+CS110</f>
        <v>0</v>
      </c>
      <c r="CV110">
        <f>SUM(CT110:CU110)</f>
        <v>0</v>
      </c>
      <c r="CW110">
        <f>BX110+CT110</f>
        <v>0</v>
      </c>
      <c r="CX110">
        <f>BY110+CU110</f>
        <v>0</v>
      </c>
      <c r="CY110">
        <f>BZ110+CV110</f>
        <v>0</v>
      </c>
      <c r="CZ110">
        <f>AO110+BB110+CW110</f>
        <v>205</v>
      </c>
      <c r="DA110">
        <f>AP110+BC110+CX110</f>
        <v>174</v>
      </c>
      <c r="DB110">
        <f>AQ110+BD110+CY110</f>
        <v>379</v>
      </c>
    </row>
    <row r="111" spans="1:106">
      <c r="A111" t="s">
        <v>134</v>
      </c>
      <c r="B111" t="s">
        <v>9</v>
      </c>
      <c r="C111" t="s">
        <v>305</v>
      </c>
      <c r="D111">
        <v>129420</v>
      </c>
      <c r="E111" t="s">
        <v>329</v>
      </c>
      <c r="F111" t="s">
        <v>330</v>
      </c>
      <c r="H111" t="s">
        <v>138</v>
      </c>
      <c r="I111" t="s">
        <v>139</v>
      </c>
      <c r="J111" t="s">
        <v>140</v>
      </c>
      <c r="K111" t="s">
        <v>330</v>
      </c>
      <c r="L111" t="s">
        <v>0</v>
      </c>
      <c r="M111" t="s">
        <v>142</v>
      </c>
      <c r="N111" t="s">
        <v>143</v>
      </c>
      <c r="O111" t="s">
        <v>144</v>
      </c>
      <c r="P111" t="s">
        <v>145</v>
      </c>
      <c r="Q111" s="27" t="s">
        <v>146</v>
      </c>
      <c r="R111">
        <v>20</v>
      </c>
      <c r="S111">
        <v>19</v>
      </c>
      <c r="T111">
        <f>SUM(R111:S111)</f>
        <v>39</v>
      </c>
      <c r="U111">
        <v>15</v>
      </c>
      <c r="V111">
        <v>17</v>
      </c>
      <c r="W111">
        <v>13</v>
      </c>
      <c r="X111">
        <v>19</v>
      </c>
      <c r="Y111">
        <v>11</v>
      </c>
      <c r="Z111">
        <v>21</v>
      </c>
      <c r="AA111">
        <v>20</v>
      </c>
      <c r="AB111">
        <v>22</v>
      </c>
      <c r="AC111">
        <v>19</v>
      </c>
      <c r="AD111">
        <v>13</v>
      </c>
      <c r="AE111">
        <v>11</v>
      </c>
      <c r="AF111">
        <v>7</v>
      </c>
      <c r="AG111">
        <v>0</v>
      </c>
      <c r="AH111">
        <v>0</v>
      </c>
      <c r="AI111">
        <f t="shared" si="8"/>
        <v>92</v>
      </c>
      <c r="AL111">
        <f>U111+W111+Y111+AA111+AC111+AE111+AG111</f>
        <v>89</v>
      </c>
      <c r="AM111">
        <f>V111+X111+Z111+AB111+AD111+AF111+AH111</f>
        <v>99</v>
      </c>
      <c r="AN111">
        <f>SUM(AL111:AM111)</f>
        <v>188</v>
      </c>
      <c r="AO111">
        <f>R111+AL111</f>
        <v>109</v>
      </c>
      <c r="AP111">
        <f>S111+AM111</f>
        <v>118</v>
      </c>
      <c r="AQ111">
        <f>T111+AN111</f>
        <v>227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f>AR111+AT111+AV111+AX111+AZ111</f>
        <v>0</v>
      </c>
      <c r="BC111">
        <f>AS111+AU111+AW111+AY111+BA111</f>
        <v>0</v>
      </c>
      <c r="BD111">
        <f>SUM(BB111:BC111)</f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f>BE111+BG111+BI111+BK111+BM111</f>
        <v>0</v>
      </c>
      <c r="BP111">
        <f>BF111+BH111+BJ111+BL111+BN111</f>
        <v>0</v>
      </c>
      <c r="BQ111">
        <f>SUM(BO111:BP111)</f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f>BO111+BR111+BT111+BV111</f>
        <v>0</v>
      </c>
      <c r="BY111">
        <f>BP111+BS111+BU111+BW111</f>
        <v>0</v>
      </c>
      <c r="BZ111">
        <f>SUM(BX111:BY111)</f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f>CA111+CC111+CE111+CG111+CI111</f>
        <v>0</v>
      </c>
      <c r="CL111">
        <f>CB111+CD111+CF111+CH111+CJ111</f>
        <v>0</v>
      </c>
      <c r="CM111">
        <f>SUM(CK111:CL111)</f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f>CK111+CN111+CP111+CR111</f>
        <v>0</v>
      </c>
      <c r="CU111">
        <f>CL111+CO111+CQ111+CS111</f>
        <v>0</v>
      </c>
      <c r="CV111">
        <f>SUM(CT111:CU111)</f>
        <v>0</v>
      </c>
      <c r="CW111">
        <f>BX111+CT111</f>
        <v>0</v>
      </c>
      <c r="CX111">
        <f>BY111+CU111</f>
        <v>0</v>
      </c>
      <c r="CY111">
        <f>BZ111+CV111</f>
        <v>0</v>
      </c>
      <c r="CZ111">
        <f>AO111+BB111+CW111</f>
        <v>109</v>
      </c>
      <c r="DA111">
        <f>AP111+BC111+CX111</f>
        <v>118</v>
      </c>
      <c r="DB111">
        <f>AQ111+BD111+CY111</f>
        <v>227</v>
      </c>
    </row>
    <row r="112" spans="1:106">
      <c r="A112" t="s">
        <v>134</v>
      </c>
      <c r="B112" t="s">
        <v>9</v>
      </c>
      <c r="C112" t="s">
        <v>305</v>
      </c>
      <c r="D112">
        <v>129421</v>
      </c>
      <c r="E112" t="s">
        <v>331</v>
      </c>
      <c r="F112" t="s">
        <v>332</v>
      </c>
      <c r="H112" t="s">
        <v>138</v>
      </c>
      <c r="I112" t="s">
        <v>139</v>
      </c>
      <c r="J112" t="s">
        <v>140</v>
      </c>
      <c r="K112" t="s">
        <v>314</v>
      </c>
      <c r="L112" t="s">
        <v>0</v>
      </c>
      <c r="M112" t="s">
        <v>142</v>
      </c>
      <c r="N112" t="s">
        <v>143</v>
      </c>
      <c r="O112" t="s">
        <v>144</v>
      </c>
      <c r="P112" t="s">
        <v>145</v>
      </c>
      <c r="Q112" s="27" t="s">
        <v>146</v>
      </c>
      <c r="R112">
        <v>11</v>
      </c>
      <c r="S112">
        <v>7</v>
      </c>
      <c r="T112">
        <f>SUM(R112:S112)</f>
        <v>18</v>
      </c>
      <c r="U112">
        <v>11</v>
      </c>
      <c r="V112">
        <v>1</v>
      </c>
      <c r="W112">
        <v>11</v>
      </c>
      <c r="X112">
        <v>5</v>
      </c>
      <c r="Y112">
        <v>8</v>
      </c>
      <c r="Z112">
        <v>11</v>
      </c>
      <c r="AA112">
        <v>15</v>
      </c>
      <c r="AB112">
        <v>6</v>
      </c>
      <c r="AC112">
        <v>12</v>
      </c>
      <c r="AD112">
        <v>10</v>
      </c>
      <c r="AE112">
        <v>7</v>
      </c>
      <c r="AF112">
        <v>9</v>
      </c>
      <c r="AG112">
        <v>0</v>
      </c>
      <c r="AH112">
        <v>0</v>
      </c>
      <c r="AI112">
        <f t="shared" si="8"/>
        <v>59</v>
      </c>
      <c r="AL112">
        <f>U112+W112+Y112+AA112+AC112+AE112+AG112</f>
        <v>64</v>
      </c>
      <c r="AM112">
        <f>V112+X112+Z112+AB112+AD112+AF112+AH112</f>
        <v>42</v>
      </c>
      <c r="AN112">
        <f>SUM(AL112:AM112)</f>
        <v>106</v>
      </c>
      <c r="AO112">
        <f>R112+AL112</f>
        <v>75</v>
      </c>
      <c r="AP112">
        <f>S112+AM112</f>
        <v>49</v>
      </c>
      <c r="AQ112">
        <f>T112+AN112</f>
        <v>124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f>AR112+AT112+AV112+AX112+AZ112</f>
        <v>0</v>
      </c>
      <c r="BC112">
        <f>AS112+AU112+AW112+AY112+BA112</f>
        <v>0</v>
      </c>
      <c r="BD112">
        <f>SUM(BB112:BC112)</f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f>BE112+BG112+BI112+BK112+BM112</f>
        <v>0</v>
      </c>
      <c r="BP112">
        <f>BF112+BH112+BJ112+BL112+BN112</f>
        <v>0</v>
      </c>
      <c r="BQ112">
        <f>SUM(BO112:BP112)</f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f>BO112+BR112+BT112+BV112</f>
        <v>0</v>
      </c>
      <c r="BY112">
        <f>BP112+BS112+BU112+BW112</f>
        <v>0</v>
      </c>
      <c r="BZ112">
        <f>SUM(BX112:BY112)</f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f>CA112+CC112+CE112+CG112+CI112</f>
        <v>0</v>
      </c>
      <c r="CL112">
        <f>CB112+CD112+CF112+CH112+CJ112</f>
        <v>0</v>
      </c>
      <c r="CM112">
        <f>SUM(CK112:CL112)</f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f>CK112+CN112+CP112+CR112</f>
        <v>0</v>
      </c>
      <c r="CU112">
        <f>CL112+CO112+CQ112+CS112</f>
        <v>0</v>
      </c>
      <c r="CV112">
        <f>SUM(CT112:CU112)</f>
        <v>0</v>
      </c>
      <c r="CW112">
        <f>BX112+CT112</f>
        <v>0</v>
      </c>
      <c r="CX112">
        <f>BY112+CU112</f>
        <v>0</v>
      </c>
      <c r="CY112">
        <f>BZ112+CV112</f>
        <v>0</v>
      </c>
      <c r="CZ112">
        <f>AO112+BB112+CW112</f>
        <v>75</v>
      </c>
      <c r="DA112">
        <f>AP112+BC112+CX112</f>
        <v>49</v>
      </c>
      <c r="DB112">
        <f>AQ112+BD112+CY112</f>
        <v>124</v>
      </c>
    </row>
    <row r="113" spans="1:106">
      <c r="A113" t="s">
        <v>134</v>
      </c>
      <c r="B113" t="s">
        <v>9</v>
      </c>
      <c r="C113" t="s">
        <v>305</v>
      </c>
      <c r="D113">
        <v>129422</v>
      </c>
      <c r="E113" t="s">
        <v>333</v>
      </c>
      <c r="F113" t="s">
        <v>334</v>
      </c>
      <c r="H113" t="s">
        <v>138</v>
      </c>
      <c r="I113" t="s">
        <v>139</v>
      </c>
      <c r="J113" t="s">
        <v>140</v>
      </c>
      <c r="K113" t="s">
        <v>308</v>
      </c>
      <c r="L113" t="s">
        <v>0</v>
      </c>
      <c r="M113" t="s">
        <v>142</v>
      </c>
      <c r="N113" t="s">
        <v>143</v>
      </c>
      <c r="O113" t="s">
        <v>144</v>
      </c>
      <c r="P113" t="s">
        <v>145</v>
      </c>
      <c r="Q113" s="27" t="s">
        <v>146</v>
      </c>
      <c r="R113">
        <v>15</v>
      </c>
      <c r="S113">
        <v>12</v>
      </c>
      <c r="T113">
        <f>SUM(R113:S113)</f>
        <v>27</v>
      </c>
      <c r="U113">
        <v>13</v>
      </c>
      <c r="V113">
        <v>12</v>
      </c>
      <c r="W113">
        <v>14</v>
      </c>
      <c r="X113">
        <v>7</v>
      </c>
      <c r="Y113">
        <v>11</v>
      </c>
      <c r="Z113">
        <v>6</v>
      </c>
      <c r="AA113">
        <v>25</v>
      </c>
      <c r="AB113">
        <v>15</v>
      </c>
      <c r="AC113">
        <v>12</v>
      </c>
      <c r="AD113">
        <v>13</v>
      </c>
      <c r="AE113">
        <v>9</v>
      </c>
      <c r="AF113">
        <v>7</v>
      </c>
      <c r="AG113">
        <v>0</v>
      </c>
      <c r="AH113">
        <v>0</v>
      </c>
      <c r="AI113">
        <f t="shared" si="8"/>
        <v>81</v>
      </c>
      <c r="AL113">
        <f>U113+W113+Y113+AA113+AC113+AE113+AG113</f>
        <v>84</v>
      </c>
      <c r="AM113">
        <f>V113+X113+Z113+AB113+AD113+AF113+AH113</f>
        <v>60</v>
      </c>
      <c r="AN113">
        <f>SUM(AL113:AM113)</f>
        <v>144</v>
      </c>
      <c r="AO113">
        <f>R113+AL113</f>
        <v>99</v>
      </c>
      <c r="AP113">
        <f>S113+AM113</f>
        <v>72</v>
      </c>
      <c r="AQ113">
        <f>T113+AN113</f>
        <v>171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f>AR113+AT113+AV113+AX113+AZ113</f>
        <v>0</v>
      </c>
      <c r="BC113">
        <f>AS113+AU113+AW113+AY113+BA113</f>
        <v>0</v>
      </c>
      <c r="BD113">
        <f>SUM(BB113:BC113)</f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f>BE113+BG113+BI113+BK113+BM113</f>
        <v>0</v>
      </c>
      <c r="BP113">
        <f>BF113+BH113+BJ113+BL113+BN113</f>
        <v>0</v>
      </c>
      <c r="BQ113">
        <f>SUM(BO113:BP113)</f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f>BO113+BR113+BT113+BV113</f>
        <v>0</v>
      </c>
      <c r="BY113">
        <f>BP113+BS113+BU113+BW113</f>
        <v>0</v>
      </c>
      <c r="BZ113">
        <f>SUM(BX113:BY113)</f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f>CA113+CC113+CE113+CG113+CI113</f>
        <v>0</v>
      </c>
      <c r="CL113">
        <f>CB113+CD113+CF113+CH113+CJ113</f>
        <v>0</v>
      </c>
      <c r="CM113">
        <f>SUM(CK113:CL113)</f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f>CK113+CN113+CP113+CR113</f>
        <v>0</v>
      </c>
      <c r="CU113">
        <f>CL113+CO113+CQ113+CS113</f>
        <v>0</v>
      </c>
      <c r="CV113">
        <f>SUM(CT113:CU113)</f>
        <v>0</v>
      </c>
      <c r="CW113">
        <f>BX113+CT113</f>
        <v>0</v>
      </c>
      <c r="CX113">
        <f>BY113+CU113</f>
        <v>0</v>
      </c>
      <c r="CY113">
        <f>BZ113+CV113</f>
        <v>0</v>
      </c>
      <c r="CZ113">
        <f>AO113+BB113+CW113</f>
        <v>99</v>
      </c>
      <c r="DA113">
        <f>AP113+BC113+CX113</f>
        <v>72</v>
      </c>
      <c r="DB113">
        <f>AQ113+BD113+CY113</f>
        <v>171</v>
      </c>
    </row>
    <row r="114" spans="1:106">
      <c r="A114" t="s">
        <v>134</v>
      </c>
      <c r="B114" t="s">
        <v>9</v>
      </c>
      <c r="C114" t="s">
        <v>305</v>
      </c>
      <c r="D114">
        <v>304313</v>
      </c>
      <c r="E114" t="s">
        <v>335</v>
      </c>
      <c r="F114" t="s">
        <v>336</v>
      </c>
      <c r="H114" t="s">
        <v>138</v>
      </c>
      <c r="I114" t="s">
        <v>139</v>
      </c>
      <c r="J114" t="s">
        <v>140</v>
      </c>
      <c r="K114" t="s">
        <v>314</v>
      </c>
      <c r="L114" t="s">
        <v>0</v>
      </c>
      <c r="M114" t="s">
        <v>142</v>
      </c>
      <c r="N114" t="s">
        <v>197</v>
      </c>
      <c r="O114" t="s">
        <v>172</v>
      </c>
      <c r="P114" t="s">
        <v>145</v>
      </c>
      <c r="Q114" s="27" t="s">
        <v>173</v>
      </c>
      <c r="R114">
        <v>0</v>
      </c>
      <c r="S114">
        <v>0</v>
      </c>
      <c r="T114">
        <f>SUM(R114:S114)</f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f t="shared" si="8"/>
        <v>0</v>
      </c>
      <c r="AL114">
        <f>U114+W114+Y114+AA114+AC114+AE114+AG114</f>
        <v>0</v>
      </c>
      <c r="AM114">
        <f>V114+X114+Z114+AB114+AD114+AF114+AH114</f>
        <v>0</v>
      </c>
      <c r="AN114">
        <f>SUM(AL114:AM114)</f>
        <v>0</v>
      </c>
      <c r="AO114">
        <f>R114+AL114</f>
        <v>0</v>
      </c>
      <c r="AP114">
        <f>S114+AM114</f>
        <v>0</v>
      </c>
      <c r="AQ114">
        <f>T114+AN114</f>
        <v>0</v>
      </c>
      <c r="AR114">
        <v>85</v>
      </c>
      <c r="AS114">
        <v>53</v>
      </c>
      <c r="AT114">
        <v>70</v>
      </c>
      <c r="AU114">
        <v>75</v>
      </c>
      <c r="AV114">
        <v>86</v>
      </c>
      <c r="AW114">
        <v>63</v>
      </c>
      <c r="AX114">
        <v>75</v>
      </c>
      <c r="AY114">
        <v>68</v>
      </c>
      <c r="AZ114">
        <v>0</v>
      </c>
      <c r="BA114">
        <v>0</v>
      </c>
      <c r="BB114">
        <f>AR114+AT114+AV114+AX114+AZ114</f>
        <v>316</v>
      </c>
      <c r="BC114">
        <f>AS114+AU114+AW114+AY114+BA114</f>
        <v>259</v>
      </c>
      <c r="BD114">
        <f>SUM(BB114:BC114)</f>
        <v>575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38</v>
      </c>
      <c r="BL114">
        <v>48</v>
      </c>
      <c r="BM114">
        <v>0</v>
      </c>
      <c r="BN114">
        <v>0</v>
      </c>
      <c r="BO114">
        <f>BE114+BG114+BI114+BK114+BM114</f>
        <v>38</v>
      </c>
      <c r="BP114">
        <f>BF114+BH114+BJ114+BL114+BN114</f>
        <v>48</v>
      </c>
      <c r="BQ114">
        <f>SUM(BO114:BP114)</f>
        <v>86</v>
      </c>
      <c r="BR114">
        <v>48</v>
      </c>
      <c r="BS114">
        <v>9</v>
      </c>
      <c r="BT114">
        <v>0</v>
      </c>
      <c r="BU114">
        <v>0</v>
      </c>
      <c r="BV114">
        <v>0</v>
      </c>
      <c r="BW114">
        <v>0</v>
      </c>
      <c r="BX114">
        <f>BO114+BR114+BT114+BV114</f>
        <v>86</v>
      </c>
      <c r="BY114">
        <f>BP114+BS114+BU114+BW114</f>
        <v>57</v>
      </c>
      <c r="BZ114">
        <f>SUM(BX114:BY114)</f>
        <v>143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30</v>
      </c>
      <c r="CH114">
        <v>46</v>
      </c>
      <c r="CI114">
        <v>0</v>
      </c>
      <c r="CJ114">
        <v>0</v>
      </c>
      <c r="CK114">
        <f>CA114+CC114+CE114+CG114+CI114</f>
        <v>30</v>
      </c>
      <c r="CL114">
        <f>CB114+CD114+CF114+CH114+CJ114</f>
        <v>46</v>
      </c>
      <c r="CM114">
        <f>SUM(CK114:CL114)</f>
        <v>76</v>
      </c>
      <c r="CN114">
        <v>32</v>
      </c>
      <c r="CO114">
        <v>6</v>
      </c>
      <c r="CP114">
        <v>0</v>
      </c>
      <c r="CQ114">
        <v>0</v>
      </c>
      <c r="CR114">
        <v>0</v>
      </c>
      <c r="CS114">
        <v>0</v>
      </c>
      <c r="CT114">
        <f>CK114+CN114+CP114+CR114</f>
        <v>62</v>
      </c>
      <c r="CU114">
        <f>CL114+CO114+CQ114+CS114</f>
        <v>52</v>
      </c>
      <c r="CV114">
        <f>SUM(CT114:CU114)</f>
        <v>114</v>
      </c>
      <c r="CW114">
        <f>BX114+CT114</f>
        <v>148</v>
      </c>
      <c r="CX114">
        <f>BY114+CU114</f>
        <v>109</v>
      </c>
      <c r="CY114">
        <f>BZ114+CV114</f>
        <v>257</v>
      </c>
      <c r="CZ114">
        <f>AO114+BB114+CW114</f>
        <v>464</v>
      </c>
      <c r="DA114">
        <f>AP114+BC114+CX114</f>
        <v>368</v>
      </c>
      <c r="DB114">
        <f>AQ114+BD114+CY114</f>
        <v>832</v>
      </c>
    </row>
    <row r="115" spans="1:106">
      <c r="A115" t="s">
        <v>134</v>
      </c>
      <c r="B115" t="s">
        <v>9</v>
      </c>
      <c r="C115" t="s">
        <v>305</v>
      </c>
      <c r="D115">
        <v>304318</v>
      </c>
      <c r="E115" t="s">
        <v>337</v>
      </c>
      <c r="F115" t="s">
        <v>338</v>
      </c>
      <c r="H115" t="s">
        <v>138</v>
      </c>
      <c r="I115" t="s">
        <v>139</v>
      </c>
      <c r="J115" t="s">
        <v>140</v>
      </c>
      <c r="K115" t="s">
        <v>322</v>
      </c>
      <c r="L115" t="s">
        <v>0</v>
      </c>
      <c r="M115" t="s">
        <v>142</v>
      </c>
      <c r="N115" t="s">
        <v>143</v>
      </c>
      <c r="O115" t="s">
        <v>172</v>
      </c>
      <c r="P115" t="s">
        <v>145</v>
      </c>
      <c r="Q115" s="27" t="s">
        <v>173</v>
      </c>
      <c r="R115">
        <v>0</v>
      </c>
      <c r="S115">
        <v>0</v>
      </c>
      <c r="T115">
        <f>SUM(R115:S115)</f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f t="shared" si="8"/>
        <v>0</v>
      </c>
      <c r="AL115">
        <f>U115+W115+Y115+AA115+AC115+AE115+AG115</f>
        <v>0</v>
      </c>
      <c r="AM115">
        <f>V115+X115+Z115+AB115+AD115+AF115+AH115</f>
        <v>0</v>
      </c>
      <c r="AN115">
        <f>SUM(AL115:AM115)</f>
        <v>0</v>
      </c>
      <c r="AO115">
        <f>R115+AL115</f>
        <v>0</v>
      </c>
      <c r="AP115">
        <f>S115+AM115</f>
        <v>0</v>
      </c>
      <c r="AQ115">
        <f>T115+AN115</f>
        <v>0</v>
      </c>
      <c r="AR115">
        <v>44</v>
      </c>
      <c r="AS115">
        <v>30</v>
      </c>
      <c r="AT115">
        <v>44</v>
      </c>
      <c r="AU115">
        <v>45</v>
      </c>
      <c r="AV115">
        <v>36</v>
      </c>
      <c r="AW115">
        <v>47</v>
      </c>
      <c r="AX115">
        <v>47</v>
      </c>
      <c r="AY115">
        <v>40</v>
      </c>
      <c r="AZ115">
        <v>0</v>
      </c>
      <c r="BA115">
        <v>0</v>
      </c>
      <c r="BB115">
        <f>AR115+AT115+AV115+AX115+AZ115</f>
        <v>171</v>
      </c>
      <c r="BC115">
        <f>AS115+AU115+AW115+AY115+BA115</f>
        <v>162</v>
      </c>
      <c r="BD115">
        <f>SUM(BB115:BC115)</f>
        <v>333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35</v>
      </c>
      <c r="BL115">
        <v>35</v>
      </c>
      <c r="BM115">
        <v>0</v>
      </c>
      <c r="BN115">
        <v>0</v>
      </c>
      <c r="BO115">
        <f>BE115+BG115+BI115+BK115+BM115</f>
        <v>35</v>
      </c>
      <c r="BP115">
        <f>BF115+BH115+BJ115+BL115+BN115</f>
        <v>35</v>
      </c>
      <c r="BQ115">
        <f>SUM(BO115:BP115)</f>
        <v>70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f>BO115+BR115+BT115+BV115</f>
        <v>35</v>
      </c>
      <c r="BY115">
        <f>BP115+BS115+BU115+BW115</f>
        <v>35</v>
      </c>
      <c r="BZ115">
        <f>SUM(BX115:BY115)</f>
        <v>70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32</v>
      </c>
      <c r="CH115">
        <v>48</v>
      </c>
      <c r="CI115">
        <v>0</v>
      </c>
      <c r="CJ115">
        <v>0</v>
      </c>
      <c r="CK115">
        <f>CA115+CC115+CE115+CG115+CI115</f>
        <v>32</v>
      </c>
      <c r="CL115">
        <f>CB115+CD115+CF115+CH115+CJ115</f>
        <v>48</v>
      </c>
      <c r="CM115">
        <f>SUM(CK115:CL115)</f>
        <v>80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f>CK115+CN115+CP115+CR115</f>
        <v>32</v>
      </c>
      <c r="CU115">
        <f>CL115+CO115+CQ115+CS115</f>
        <v>48</v>
      </c>
      <c r="CV115">
        <f>SUM(CT115:CU115)</f>
        <v>80</v>
      </c>
      <c r="CW115">
        <f>BX115+CT115</f>
        <v>67</v>
      </c>
      <c r="CX115">
        <f>BY115+CU115</f>
        <v>83</v>
      </c>
      <c r="CY115">
        <f>BZ115+CV115</f>
        <v>150</v>
      </c>
      <c r="CZ115">
        <f>AO115+BB115+CW115</f>
        <v>238</v>
      </c>
      <c r="DA115">
        <f>AP115+BC115+CX115</f>
        <v>245</v>
      </c>
      <c r="DB115">
        <f>AQ115+BD115+CY115</f>
        <v>483</v>
      </c>
    </row>
    <row r="116" spans="1:106">
      <c r="A116" t="s">
        <v>134</v>
      </c>
      <c r="B116" t="s">
        <v>9</v>
      </c>
      <c r="C116" t="s">
        <v>305</v>
      </c>
      <c r="D116">
        <v>325105</v>
      </c>
      <c r="E116" t="s">
        <v>339</v>
      </c>
      <c r="F116" t="s">
        <v>324</v>
      </c>
      <c r="G116">
        <v>304313</v>
      </c>
      <c r="H116" t="s">
        <v>138</v>
      </c>
      <c r="I116" t="s">
        <v>139</v>
      </c>
      <c r="J116" t="s">
        <v>140</v>
      </c>
      <c r="K116" t="s">
        <v>308</v>
      </c>
      <c r="L116" t="s">
        <v>0</v>
      </c>
      <c r="M116" t="s">
        <v>142</v>
      </c>
      <c r="N116" t="s">
        <v>197</v>
      </c>
      <c r="O116" t="s">
        <v>172</v>
      </c>
      <c r="P116" t="s">
        <v>145</v>
      </c>
      <c r="Q116" s="27" t="s">
        <v>173</v>
      </c>
      <c r="R116">
        <v>0</v>
      </c>
      <c r="S116">
        <v>0</v>
      </c>
      <c r="T116">
        <f>SUM(R116:S116)</f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f t="shared" si="8"/>
        <v>0</v>
      </c>
      <c r="AL116">
        <f>U116+W116+Y116+AA116+AC116+AE116+AG116</f>
        <v>0</v>
      </c>
      <c r="AM116">
        <f>V116+X116+Z116+AB116+AD116+AF116+AH116</f>
        <v>0</v>
      </c>
      <c r="AN116">
        <f>SUM(AL116:AM116)</f>
        <v>0</v>
      </c>
      <c r="AO116">
        <f>R116+AL116</f>
        <v>0</v>
      </c>
      <c r="AP116">
        <f>S116+AM116</f>
        <v>0</v>
      </c>
      <c r="AQ116">
        <f>T116+AN116</f>
        <v>0</v>
      </c>
      <c r="AR116">
        <v>55</v>
      </c>
      <c r="AS116">
        <v>63</v>
      </c>
      <c r="AT116">
        <v>39</v>
      </c>
      <c r="AU116">
        <v>62</v>
      </c>
      <c r="AV116">
        <v>53</v>
      </c>
      <c r="AW116">
        <v>39</v>
      </c>
      <c r="AX116">
        <v>43</v>
      </c>
      <c r="AY116">
        <v>48</v>
      </c>
      <c r="AZ116">
        <v>0</v>
      </c>
      <c r="BA116">
        <v>0</v>
      </c>
      <c r="BB116">
        <f>AR116+AT116+AV116+AX116+AZ116</f>
        <v>190</v>
      </c>
      <c r="BC116">
        <f>AS116+AU116+AW116+AY116+BA116</f>
        <v>212</v>
      </c>
      <c r="BD116">
        <f>SUM(BB116:BC116)</f>
        <v>402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30</v>
      </c>
      <c r="BL116">
        <v>30</v>
      </c>
      <c r="BM116">
        <v>0</v>
      </c>
      <c r="BN116">
        <v>0</v>
      </c>
      <c r="BO116">
        <f>BE116+BG116+BI116+BK116+BM116</f>
        <v>30</v>
      </c>
      <c r="BP116">
        <f>BF116+BH116+BJ116+BL116+BN116</f>
        <v>30</v>
      </c>
      <c r="BQ116">
        <f>SUM(BO116:BP116)</f>
        <v>60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f>BO116+BR116+BT116+BV116</f>
        <v>30</v>
      </c>
      <c r="BY116">
        <f>BP116+BS116+BU116+BW116</f>
        <v>30</v>
      </c>
      <c r="BZ116">
        <f>SUM(BX116:BY116)</f>
        <v>60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29</v>
      </c>
      <c r="CH116">
        <v>26</v>
      </c>
      <c r="CI116">
        <v>0</v>
      </c>
      <c r="CJ116">
        <v>0</v>
      </c>
      <c r="CK116">
        <f>CA116+CC116+CE116+CG116+CI116</f>
        <v>29</v>
      </c>
      <c r="CL116">
        <f>CB116+CD116+CF116+CH116+CJ116</f>
        <v>26</v>
      </c>
      <c r="CM116">
        <f>SUM(CK116:CL116)</f>
        <v>55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f>CK116+CN116+CP116+CR116</f>
        <v>29</v>
      </c>
      <c r="CU116">
        <f>CL116+CO116+CQ116+CS116</f>
        <v>26</v>
      </c>
      <c r="CV116">
        <f>SUM(CT116:CU116)</f>
        <v>55</v>
      </c>
      <c r="CW116">
        <f>BX116+CT116</f>
        <v>59</v>
      </c>
      <c r="CX116">
        <f>BY116+CU116</f>
        <v>56</v>
      </c>
      <c r="CY116">
        <f>BZ116+CV116</f>
        <v>115</v>
      </c>
      <c r="CZ116">
        <f>AO116+BB116+CW116</f>
        <v>249</v>
      </c>
      <c r="DA116">
        <f>AP116+BC116+CX116</f>
        <v>268</v>
      </c>
      <c r="DB116">
        <f>AQ116+BD116+CY116</f>
        <v>517</v>
      </c>
    </row>
    <row r="117" spans="1:106">
      <c r="A117" t="s">
        <v>134</v>
      </c>
      <c r="B117" t="s">
        <v>9</v>
      </c>
      <c r="C117" t="s">
        <v>305</v>
      </c>
      <c r="D117">
        <v>501085</v>
      </c>
      <c r="E117" t="s">
        <v>340</v>
      </c>
      <c r="F117" t="s">
        <v>341</v>
      </c>
      <c r="H117" t="s">
        <v>138</v>
      </c>
      <c r="I117" t="s">
        <v>139</v>
      </c>
      <c r="J117" t="s">
        <v>140</v>
      </c>
      <c r="K117" t="s">
        <v>342</v>
      </c>
      <c r="L117" t="s">
        <v>0</v>
      </c>
      <c r="M117" t="s">
        <v>142</v>
      </c>
      <c r="N117" t="s">
        <v>143</v>
      </c>
      <c r="O117" t="s">
        <v>187</v>
      </c>
      <c r="P117" t="s">
        <v>145</v>
      </c>
      <c r="Q117" s="28" t="s">
        <v>188</v>
      </c>
      <c r="R117">
        <v>30</v>
      </c>
      <c r="S117">
        <v>48</v>
      </c>
      <c r="T117">
        <f>SUM(R117:S117)</f>
        <v>78</v>
      </c>
      <c r="U117">
        <v>30</v>
      </c>
      <c r="V117">
        <v>18</v>
      </c>
      <c r="W117">
        <v>25</v>
      </c>
      <c r="X117">
        <v>25</v>
      </c>
      <c r="Y117">
        <v>31</v>
      </c>
      <c r="Z117">
        <v>26</v>
      </c>
      <c r="AA117">
        <v>29</v>
      </c>
      <c r="AB117">
        <v>23</v>
      </c>
      <c r="AC117">
        <v>27</v>
      </c>
      <c r="AD117">
        <v>17</v>
      </c>
      <c r="AE117">
        <v>25</v>
      </c>
      <c r="AF117">
        <v>32</v>
      </c>
      <c r="AG117">
        <v>0</v>
      </c>
      <c r="AH117">
        <v>0</v>
      </c>
      <c r="AI117">
        <f t="shared" si="8"/>
        <v>153</v>
      </c>
      <c r="AL117">
        <f>U117+W117+Y117+AA117+AC117+AE117+AG117</f>
        <v>167</v>
      </c>
      <c r="AM117">
        <f>V117+X117+Z117+AB117+AD117+AF117+AH117</f>
        <v>141</v>
      </c>
      <c r="AN117">
        <f>SUM(AL117:AM117)</f>
        <v>308</v>
      </c>
      <c r="AO117">
        <f>R117+AL117</f>
        <v>197</v>
      </c>
      <c r="AP117">
        <f>S117+AM117</f>
        <v>189</v>
      </c>
      <c r="AQ117">
        <f>T117+AN117</f>
        <v>386</v>
      </c>
      <c r="AR117">
        <v>18</v>
      </c>
      <c r="AS117">
        <v>22</v>
      </c>
      <c r="AT117">
        <v>21</v>
      </c>
      <c r="AU117">
        <v>25</v>
      </c>
      <c r="AV117">
        <v>22</v>
      </c>
      <c r="AW117">
        <v>33</v>
      </c>
      <c r="AX117">
        <v>17</v>
      </c>
      <c r="AY117">
        <v>12</v>
      </c>
      <c r="AZ117">
        <v>0</v>
      </c>
      <c r="BA117">
        <v>0</v>
      </c>
      <c r="BB117">
        <f>AR117+AT117+AV117+AX117+AZ117</f>
        <v>78</v>
      </c>
      <c r="BC117">
        <f>AS117+AU117+AW117+AY117+BA117</f>
        <v>92</v>
      </c>
      <c r="BD117">
        <f>SUM(BB117:BC117)</f>
        <v>170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f>BE117+BG117+BI117+BK117+BM117</f>
        <v>0</v>
      </c>
      <c r="BP117">
        <f>BF117+BH117+BJ117+BL117+BN117</f>
        <v>0</v>
      </c>
      <c r="BQ117">
        <f>SUM(BO117:BP117)</f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f>BO117+BR117+BT117+BV117</f>
        <v>0</v>
      </c>
      <c r="BY117">
        <f>BP117+BS117+BU117+BW117</f>
        <v>0</v>
      </c>
      <c r="BZ117">
        <f>SUM(BX117:BY117)</f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f>CA117+CC117+CE117+CG117+CI117</f>
        <v>0</v>
      </c>
      <c r="CL117">
        <f>CB117+CD117+CF117+CH117+CJ117</f>
        <v>0</v>
      </c>
      <c r="CM117">
        <f>SUM(CK117:CL117)</f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f>CK117+CN117+CP117+CR117</f>
        <v>0</v>
      </c>
      <c r="CU117">
        <f>CL117+CO117+CQ117+CS117</f>
        <v>0</v>
      </c>
      <c r="CV117">
        <f>SUM(CT117:CU117)</f>
        <v>0</v>
      </c>
      <c r="CW117">
        <f>BX117+CT117</f>
        <v>0</v>
      </c>
      <c r="CX117">
        <f>BY117+CU117</f>
        <v>0</v>
      </c>
      <c r="CY117">
        <f>BZ117+CV117</f>
        <v>0</v>
      </c>
      <c r="CZ117">
        <f>AO117+BB117+CW117</f>
        <v>275</v>
      </c>
      <c r="DA117">
        <f>AP117+BC117+CX117</f>
        <v>281</v>
      </c>
      <c r="DB117">
        <f>AQ117+BD117+CY117</f>
        <v>556</v>
      </c>
    </row>
    <row r="118" spans="1:106">
      <c r="A118" t="s">
        <v>134</v>
      </c>
      <c r="B118" t="s">
        <v>9</v>
      </c>
      <c r="C118" t="s">
        <v>305</v>
      </c>
      <c r="D118">
        <v>501086</v>
      </c>
      <c r="E118" t="s">
        <v>343</v>
      </c>
      <c r="F118" t="s">
        <v>344</v>
      </c>
      <c r="H118" t="s">
        <v>138</v>
      </c>
      <c r="I118" t="s">
        <v>139</v>
      </c>
      <c r="J118" t="s">
        <v>140</v>
      </c>
      <c r="K118" t="s">
        <v>345</v>
      </c>
      <c r="L118" t="s">
        <v>0</v>
      </c>
      <c r="M118" t="s">
        <v>142</v>
      </c>
      <c r="N118" t="s">
        <v>143</v>
      </c>
      <c r="O118" t="s">
        <v>182</v>
      </c>
      <c r="P118" t="s">
        <v>145</v>
      </c>
      <c r="Q118" t="s">
        <v>183</v>
      </c>
      <c r="R118">
        <v>22</v>
      </c>
      <c r="S118">
        <v>15</v>
      </c>
      <c r="T118">
        <f>SUM(R118:S118)</f>
        <v>37</v>
      </c>
      <c r="U118">
        <v>13</v>
      </c>
      <c r="V118">
        <v>15</v>
      </c>
      <c r="W118">
        <v>18</v>
      </c>
      <c r="X118">
        <v>21</v>
      </c>
      <c r="Y118">
        <v>22</v>
      </c>
      <c r="Z118">
        <v>19</v>
      </c>
      <c r="AA118">
        <v>15</v>
      </c>
      <c r="AB118">
        <v>13</v>
      </c>
      <c r="AC118">
        <v>19</v>
      </c>
      <c r="AD118">
        <v>13</v>
      </c>
      <c r="AE118">
        <v>12</v>
      </c>
      <c r="AF118">
        <v>14</v>
      </c>
      <c r="AG118">
        <v>0</v>
      </c>
      <c r="AH118">
        <v>0</v>
      </c>
      <c r="AI118">
        <f t="shared" si="8"/>
        <v>86</v>
      </c>
      <c r="AL118">
        <f>U118+W118+Y118+AA118+AC118+AE118+AG118</f>
        <v>99</v>
      </c>
      <c r="AM118">
        <f>V118+X118+Z118+AB118+AD118+AF118+AH118</f>
        <v>95</v>
      </c>
      <c r="AN118">
        <f>SUM(AL118:AM118)</f>
        <v>194</v>
      </c>
      <c r="AO118">
        <f>R118+AL118</f>
        <v>121</v>
      </c>
      <c r="AP118">
        <f>S118+AM118</f>
        <v>110</v>
      </c>
      <c r="AQ118">
        <f>T118+AN118</f>
        <v>231</v>
      </c>
      <c r="AR118">
        <v>12</v>
      </c>
      <c r="AS118">
        <v>15</v>
      </c>
      <c r="AT118">
        <v>24</v>
      </c>
      <c r="AU118">
        <v>14</v>
      </c>
      <c r="AV118">
        <v>9</v>
      </c>
      <c r="AW118">
        <v>8</v>
      </c>
      <c r="AX118">
        <v>10</v>
      </c>
      <c r="AY118">
        <v>5</v>
      </c>
      <c r="AZ118">
        <v>0</v>
      </c>
      <c r="BA118">
        <v>0</v>
      </c>
      <c r="BB118">
        <f>AR118+AT118+AV118+AX118+AZ118</f>
        <v>55</v>
      </c>
      <c r="BC118">
        <f>AS118+AU118+AW118+AY118+BA118</f>
        <v>42</v>
      </c>
      <c r="BD118">
        <f>SUM(BB118:BC118)</f>
        <v>97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f>BE118+BG118+BI118+BK118+BM118</f>
        <v>0</v>
      </c>
      <c r="BP118">
        <f>BF118+BH118+BJ118+BL118+BN118</f>
        <v>0</v>
      </c>
      <c r="BQ118">
        <f>SUM(BO118:BP118)</f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f>BO118+BR118+BT118+BV118</f>
        <v>0</v>
      </c>
      <c r="BY118">
        <f>BP118+BS118+BU118+BW118</f>
        <v>0</v>
      </c>
      <c r="BZ118">
        <f>SUM(BX118:BY118)</f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f>CA118+CC118+CE118+CG118+CI118</f>
        <v>0</v>
      </c>
      <c r="CL118">
        <f>CB118+CD118+CF118+CH118+CJ118</f>
        <v>0</v>
      </c>
      <c r="CM118">
        <f>SUM(CK118:CL118)</f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f>CK118+CN118+CP118+CR118</f>
        <v>0</v>
      </c>
      <c r="CU118">
        <f>CL118+CO118+CQ118+CS118</f>
        <v>0</v>
      </c>
      <c r="CV118">
        <f>SUM(CT118:CU118)</f>
        <v>0</v>
      </c>
      <c r="CW118">
        <f>BX118+CT118</f>
        <v>0</v>
      </c>
      <c r="CX118">
        <f>BY118+CU118</f>
        <v>0</v>
      </c>
      <c r="CY118">
        <f>BZ118+CV118</f>
        <v>0</v>
      </c>
      <c r="CZ118">
        <f>AO118+BB118+CW118</f>
        <v>176</v>
      </c>
      <c r="DA118">
        <f>AP118+BC118+CX118</f>
        <v>152</v>
      </c>
      <c r="DB118">
        <f>AQ118+BD118+CY118</f>
        <v>328</v>
      </c>
    </row>
    <row r="119" spans="1:106">
      <c r="A119" t="s">
        <v>134</v>
      </c>
      <c r="B119" t="s">
        <v>9</v>
      </c>
      <c r="C119" t="s">
        <v>305</v>
      </c>
      <c r="D119">
        <v>501087</v>
      </c>
      <c r="E119" t="s">
        <v>346</v>
      </c>
      <c r="F119" t="s">
        <v>347</v>
      </c>
      <c r="H119" t="s">
        <v>138</v>
      </c>
      <c r="I119" t="s">
        <v>139</v>
      </c>
      <c r="J119" t="s">
        <v>140</v>
      </c>
      <c r="K119" t="s">
        <v>311</v>
      </c>
      <c r="L119" t="s">
        <v>0</v>
      </c>
      <c r="M119" t="s">
        <v>142</v>
      </c>
      <c r="N119" t="s">
        <v>143</v>
      </c>
      <c r="O119" t="s">
        <v>182</v>
      </c>
      <c r="P119" t="s">
        <v>145</v>
      </c>
      <c r="Q119" t="s">
        <v>183</v>
      </c>
      <c r="R119">
        <v>13</v>
      </c>
      <c r="S119">
        <v>14</v>
      </c>
      <c r="T119">
        <f>SUM(R119:S119)</f>
        <v>27</v>
      </c>
      <c r="U119">
        <v>12</v>
      </c>
      <c r="V119">
        <v>14</v>
      </c>
      <c r="W119">
        <v>19</v>
      </c>
      <c r="X119">
        <v>13</v>
      </c>
      <c r="Y119">
        <v>15</v>
      </c>
      <c r="Z119">
        <v>11</v>
      </c>
      <c r="AA119">
        <v>23</v>
      </c>
      <c r="AB119">
        <v>13</v>
      </c>
      <c r="AC119">
        <v>17</v>
      </c>
      <c r="AD119">
        <v>11</v>
      </c>
      <c r="AE119">
        <v>13</v>
      </c>
      <c r="AF119">
        <v>12</v>
      </c>
      <c r="AG119">
        <v>0</v>
      </c>
      <c r="AH119">
        <v>0</v>
      </c>
      <c r="AI119">
        <f t="shared" si="8"/>
        <v>89</v>
      </c>
      <c r="AL119">
        <f>U119+W119+Y119+AA119+AC119+AE119+AG119</f>
        <v>99</v>
      </c>
      <c r="AM119">
        <f>V119+X119+Z119+AB119+AD119+AF119+AH119</f>
        <v>74</v>
      </c>
      <c r="AN119">
        <f>SUM(AL119:AM119)</f>
        <v>173</v>
      </c>
      <c r="AO119">
        <f>R119+AL119</f>
        <v>112</v>
      </c>
      <c r="AP119">
        <f>S119+AM119</f>
        <v>88</v>
      </c>
      <c r="AQ119">
        <f>T119+AN119</f>
        <v>200</v>
      </c>
      <c r="AR119">
        <v>16</v>
      </c>
      <c r="AS119">
        <v>14</v>
      </c>
      <c r="AT119">
        <v>12</v>
      </c>
      <c r="AU119">
        <v>13</v>
      </c>
      <c r="AV119">
        <v>16</v>
      </c>
      <c r="AW119">
        <v>22</v>
      </c>
      <c r="AX119">
        <v>14</v>
      </c>
      <c r="AY119">
        <v>16</v>
      </c>
      <c r="AZ119">
        <v>0</v>
      </c>
      <c r="BA119">
        <v>0</v>
      </c>
      <c r="BB119">
        <f>AR119+AT119+AV119+AX119+AZ119</f>
        <v>58</v>
      </c>
      <c r="BC119">
        <f>AS119+AU119+AW119+AY119+BA119</f>
        <v>65</v>
      </c>
      <c r="BD119">
        <f>SUM(BB119:BC119)</f>
        <v>123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33</v>
      </c>
      <c r="BL119">
        <v>20</v>
      </c>
      <c r="BM119">
        <v>0</v>
      </c>
      <c r="BN119">
        <v>0</v>
      </c>
      <c r="BO119">
        <f>BE119+BG119+BI119+BK119+BM119</f>
        <v>33</v>
      </c>
      <c r="BP119">
        <f>BF119+BH119+BJ119+BL119+BN119</f>
        <v>20</v>
      </c>
      <c r="BQ119">
        <f>SUM(BO119:BP119)</f>
        <v>53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f>BO119+BR119+BT119+BV119</f>
        <v>33</v>
      </c>
      <c r="BY119">
        <f>BP119+BS119+BU119+BW119</f>
        <v>20</v>
      </c>
      <c r="BZ119">
        <f>SUM(BX119:BY119)</f>
        <v>53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7</v>
      </c>
      <c r="CH119">
        <v>14</v>
      </c>
      <c r="CI119">
        <v>0</v>
      </c>
      <c r="CJ119">
        <v>0</v>
      </c>
      <c r="CK119">
        <f>CA119+CC119+CE119+CG119+CI119</f>
        <v>7</v>
      </c>
      <c r="CL119">
        <f>CB119+CD119+CF119+CH119+CJ119</f>
        <v>14</v>
      </c>
      <c r="CM119">
        <f>SUM(CK119:CL119)</f>
        <v>21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f>CK119+CN119+CP119+CR119</f>
        <v>7</v>
      </c>
      <c r="CU119">
        <f>CL119+CO119+CQ119+CS119</f>
        <v>14</v>
      </c>
      <c r="CV119">
        <f>SUM(CT119:CU119)</f>
        <v>21</v>
      </c>
      <c r="CW119">
        <f>BX119+CT119</f>
        <v>40</v>
      </c>
      <c r="CX119">
        <f>BY119+CU119</f>
        <v>34</v>
      </c>
      <c r="CY119">
        <f>BZ119+CV119</f>
        <v>74</v>
      </c>
      <c r="CZ119">
        <f>AO119+BB119+CW119</f>
        <v>210</v>
      </c>
      <c r="DA119">
        <f>AP119+BC119+CX119</f>
        <v>187</v>
      </c>
      <c r="DB119">
        <f>AQ119+BD119+CY119</f>
        <v>397</v>
      </c>
    </row>
    <row r="120" spans="1:106">
      <c r="A120" t="s">
        <v>134</v>
      </c>
      <c r="B120" t="s">
        <v>9</v>
      </c>
      <c r="C120" t="s">
        <v>135</v>
      </c>
      <c r="D120">
        <v>306039</v>
      </c>
      <c r="E120" t="s">
        <v>348</v>
      </c>
      <c r="F120" t="s">
        <v>349</v>
      </c>
      <c r="H120" t="s">
        <v>138</v>
      </c>
      <c r="I120" t="s">
        <v>139</v>
      </c>
      <c r="J120" t="s">
        <v>201</v>
      </c>
      <c r="K120" t="s">
        <v>330</v>
      </c>
      <c r="L120" t="s">
        <v>0</v>
      </c>
      <c r="M120" t="s">
        <v>142</v>
      </c>
      <c r="N120" t="s">
        <v>143</v>
      </c>
      <c r="O120" t="s">
        <v>172</v>
      </c>
      <c r="P120" t="s">
        <v>145</v>
      </c>
      <c r="Q120" s="27" t="s">
        <v>173</v>
      </c>
      <c r="R120">
        <v>0</v>
      </c>
      <c r="S120">
        <v>0</v>
      </c>
      <c r="T120">
        <f>SUM(R120:S120)</f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f t="shared" si="8"/>
        <v>0</v>
      </c>
      <c r="AL120">
        <f>U120+W120+Y120+AA120+AC120+AE120+AG120</f>
        <v>0</v>
      </c>
      <c r="AM120">
        <f>V120+X120+Z120+AB120+AD120+AF120+AH120</f>
        <v>0</v>
      </c>
      <c r="AN120">
        <f>SUM(AL120:AM120)</f>
        <v>0</v>
      </c>
      <c r="AO120">
        <f>R120+AL120</f>
        <v>0</v>
      </c>
      <c r="AP120">
        <f>S120+AM120</f>
        <v>0</v>
      </c>
      <c r="AQ120">
        <f>T120+AN120</f>
        <v>0</v>
      </c>
      <c r="AR120">
        <v>22</v>
      </c>
      <c r="AS120">
        <v>10</v>
      </c>
      <c r="AT120">
        <v>15</v>
      </c>
      <c r="AU120">
        <v>14</v>
      </c>
      <c r="AV120">
        <v>18</v>
      </c>
      <c r="AW120">
        <v>17</v>
      </c>
      <c r="AX120">
        <v>15</v>
      </c>
      <c r="AY120">
        <v>17</v>
      </c>
      <c r="AZ120">
        <v>0</v>
      </c>
      <c r="BA120">
        <v>0</v>
      </c>
      <c r="BB120">
        <f>AR120+AT120+AV120+AX120+AZ120</f>
        <v>70</v>
      </c>
      <c r="BC120">
        <f>AS120+AU120+AW120+AY120+BA120</f>
        <v>58</v>
      </c>
      <c r="BD120">
        <f>SUM(BB120:BC120)</f>
        <v>128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f>BE120+BG120+BI120+BK120+BM120</f>
        <v>0</v>
      </c>
      <c r="BP120">
        <f>BF120+BH120+BJ120+BL120+BN120</f>
        <v>0</v>
      </c>
      <c r="BQ120">
        <f>SUM(BO120:BP120)</f>
        <v>0</v>
      </c>
      <c r="BR120">
        <v>18</v>
      </c>
      <c r="BS120">
        <v>20</v>
      </c>
      <c r="BT120">
        <v>0</v>
      </c>
      <c r="BU120">
        <v>0</v>
      </c>
      <c r="BV120">
        <v>0</v>
      </c>
      <c r="BW120">
        <v>0</v>
      </c>
      <c r="BX120">
        <f>BO120+BR120+BT120+BV120</f>
        <v>18</v>
      </c>
      <c r="BY120">
        <f>BP120+BS120+BU120+BW120</f>
        <v>20</v>
      </c>
      <c r="BZ120">
        <f>SUM(BX120:BY120)</f>
        <v>38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f>CA120+CC120+CE120+CG120+CI120</f>
        <v>0</v>
      </c>
      <c r="CL120">
        <f>CB120+CD120+CF120+CH120+CJ120</f>
        <v>0</v>
      </c>
      <c r="CM120">
        <f>SUM(CK120:CL120)</f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f>CK120+CN120+CP120+CR120</f>
        <v>0</v>
      </c>
      <c r="CU120">
        <f>CL120+CO120+CQ120+CS120</f>
        <v>0</v>
      </c>
      <c r="CV120">
        <f>SUM(CT120:CU120)</f>
        <v>0</v>
      </c>
      <c r="CW120">
        <f>BX120+CT120</f>
        <v>18</v>
      </c>
      <c r="CX120">
        <f>BY120+CU120</f>
        <v>20</v>
      </c>
      <c r="CY120">
        <f>BZ120+CV120</f>
        <v>38</v>
      </c>
      <c r="CZ120">
        <f>AO120+BB120+CW120</f>
        <v>88</v>
      </c>
      <c r="DA120">
        <f>AP120+BC120+CX120</f>
        <v>78</v>
      </c>
      <c r="DB120">
        <f>AQ120+BD120+CY120</f>
        <v>166</v>
      </c>
    </row>
  </sheetData>
  <autoFilter ref="A37:DC120" xr:uid="{00000000-0001-0000-0000-000000000000}">
    <filterColumn colId="11">
      <filters>
        <filter val="Public"/>
      </filters>
    </filterColumn>
  </autoFilter>
  <mergeCells count="38">
    <mergeCell ref="AC35:AD35"/>
    <mergeCell ref="R35:T35"/>
    <mergeCell ref="U35:V35"/>
    <mergeCell ref="W35:X35"/>
    <mergeCell ref="Y35:Z35"/>
    <mergeCell ref="AA35:AB35"/>
    <mergeCell ref="BG35:BH35"/>
    <mergeCell ref="AE35:AF35"/>
    <mergeCell ref="AG35:AH35"/>
    <mergeCell ref="AL35:AN35"/>
    <mergeCell ref="AO35:AQ35"/>
    <mergeCell ref="AR35:AS35"/>
    <mergeCell ref="AT35:AU35"/>
    <mergeCell ref="AV35:AW35"/>
    <mergeCell ref="AX35:AY35"/>
    <mergeCell ref="AZ35:BA35"/>
    <mergeCell ref="BB35:BD35"/>
    <mergeCell ref="BE35:BF35"/>
    <mergeCell ref="CG35:CH35"/>
    <mergeCell ref="BI35:BJ35"/>
    <mergeCell ref="BK35:BL35"/>
    <mergeCell ref="BM35:BN35"/>
    <mergeCell ref="BO35:BQ35"/>
    <mergeCell ref="BR35:BS35"/>
    <mergeCell ref="BT35:BU35"/>
    <mergeCell ref="BV35:BW35"/>
    <mergeCell ref="BX35:BZ35"/>
    <mergeCell ref="CA35:CB35"/>
    <mergeCell ref="CC35:CD35"/>
    <mergeCell ref="CE35:CF35"/>
    <mergeCell ref="CW35:CY35"/>
    <mergeCell ref="CZ35:DB35"/>
    <mergeCell ref="CI35:CJ35"/>
    <mergeCell ref="CK35:CM35"/>
    <mergeCell ref="CN35:CO35"/>
    <mergeCell ref="CP35:CQ35"/>
    <mergeCell ref="CR35:CS35"/>
    <mergeCell ref="CT35:CV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xhLa</dc:creator>
  <cp:keywords/>
  <dc:description/>
  <cp:lastModifiedBy>Yvonne Razaga</cp:lastModifiedBy>
  <cp:revision/>
  <dcterms:created xsi:type="dcterms:W3CDTF">2025-02-17T08:12:42Z</dcterms:created>
  <dcterms:modified xsi:type="dcterms:W3CDTF">2026-01-26T06:17:01Z</dcterms:modified>
  <cp:category/>
  <cp:contentStatus/>
</cp:coreProperties>
</file>