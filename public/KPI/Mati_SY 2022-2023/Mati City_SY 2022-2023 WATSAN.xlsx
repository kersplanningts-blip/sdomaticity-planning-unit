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NSBI/"/>
    </mc:Choice>
  </mc:AlternateContent>
  <xr:revisionPtr revIDLastSave="0" documentId="8_{624FA3A8-18DA-495B-8DAB-0A876E5F41BD}" xr6:coauthVersionLast="47" xr6:coauthVersionMax="47" xr10:uidLastSave="{00000000-0000-0000-0000-000000000000}"/>
  <bookViews>
    <workbookView xWindow="-120" yWindow="-120" windowWidth="29040" windowHeight="15720" xr2:uid="{7CEEB8B3-A6AC-4F59-83A4-FD2369FD5C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6" i="1" l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T6" i="1"/>
  <c r="S6" i="1"/>
  <c r="R6" i="1"/>
  <c r="Q6" i="1"/>
</calcChain>
</file>

<file path=xl/sharedStrings.xml><?xml version="1.0" encoding="utf-8"?>
<sst xmlns="http://schemas.openxmlformats.org/spreadsheetml/2006/main" count="1090" uniqueCount="246">
  <si>
    <t>NATIONAL SCHOOL BUILDING INVENTORY - Number of Existing Number of Water and Sanitation Facilities (Table 4a&amp;4b)</t>
  </si>
  <si>
    <t xml:space="preserve">SY 2022-2023 </t>
  </si>
  <si>
    <t>List of Schools are based on LIS, as of January 10, 2023</t>
  </si>
  <si>
    <t>Attached to the building</t>
  </si>
  <si>
    <t>Stand-alone</t>
  </si>
  <si>
    <t>Number of Building by Condition are based on NSBI as of June 30, 2023</t>
  </si>
  <si>
    <t>Number of Functional Toilet Bowls</t>
  </si>
  <si>
    <t>Non-Functional 
Toilet Bowls</t>
  </si>
  <si>
    <t>Sink/
Washbasin</t>
  </si>
  <si>
    <t>Urinals</t>
  </si>
  <si>
    <t>Urinal
Trough</t>
  </si>
  <si>
    <t>With 
Septic
Tank</t>
  </si>
  <si>
    <t>Number of Faucets</t>
  </si>
  <si>
    <t>ENROLLMENT</t>
  </si>
  <si>
    <t>Male</t>
  </si>
  <si>
    <t>Female</t>
  </si>
  <si>
    <t>PWD</t>
  </si>
  <si>
    <t>Shared</t>
  </si>
  <si>
    <t>With Water
Supply</t>
  </si>
  <si>
    <t>Without Water
Supply</t>
  </si>
  <si>
    <t xml:space="preserve">WATSAN </t>
  </si>
  <si>
    <t>RATIO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</si>
  <si>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</si>
  <si>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</si>
  <si>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</si>
  <si>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</si>
  <si>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</si>
  <si>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</si>
  <si>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</si>
  <si>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</si>
  <si>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</si>
  <si>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</si>
  <si>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</si>
  <si>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</si>
  <si>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</si>
  <si>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</si>
  <si>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Curricular Offering Classification</t>
  </si>
  <si>
    <t>COC NSBI</t>
  </si>
  <si>
    <t>ES</t>
  </si>
  <si>
    <t>JHS</t>
  </si>
  <si>
    <t>SHS</t>
  </si>
  <si>
    <t>Total</t>
  </si>
  <si>
    <t>Func_male (ES)</t>
  </si>
  <si>
    <t>Func_male (SS)</t>
  </si>
  <si>
    <t>Func_female (ES)</t>
  </si>
  <si>
    <t>Func_female (SS)</t>
  </si>
  <si>
    <t>Func_pwd (ES)</t>
  </si>
  <si>
    <t>Func_pwd (SS)</t>
  </si>
  <si>
    <t>Func_shared (ES)</t>
  </si>
  <si>
    <t>Func_shared (SS)</t>
  </si>
  <si>
    <t>NunFunc_toilet (ES)</t>
  </si>
  <si>
    <t>NunFunc_toilet (SS)</t>
  </si>
  <si>
    <t>SinkWashBasin (ES)</t>
  </si>
  <si>
    <t>SinkWashBasin (SS)</t>
  </si>
  <si>
    <t>Urinals (ES)</t>
  </si>
  <si>
    <t>Urinals (SS)</t>
  </si>
  <si>
    <t>UriThrough (ES)</t>
  </si>
  <si>
    <t>UriThrough (SS)</t>
  </si>
  <si>
    <t>IF(bldgwatsan.is_septictank, "Yes", "No") (ES)</t>
  </si>
  <si>
    <t>IF(bldgwatsan.is_septictank, "Yes", "No") (SS)</t>
  </si>
  <si>
    <t>Faucet_w_water (ES)</t>
  </si>
  <si>
    <t>Faucet_w_water (SS)</t>
  </si>
  <si>
    <t>Faucet_wo_water (ES)</t>
  </si>
  <si>
    <t>Faucet_wo_water (SS)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</si>
  <si>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</si>
  <si>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</si>
  <si>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</si>
  <si>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</si>
  <si>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</si>
  <si>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</si>
  <si>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</si>
  <si>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</si>
  <si>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</si>
  <si>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Public</t>
  </si>
  <si>
    <t>DepED Managed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</si>
  <si>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</si>
  <si>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</si>
  <si>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</si>
  <si>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</si>
  <si>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</si>
  <si>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</si>
  <si>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</si>
  <si>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</si>
  <si>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</si>
  <si>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</si>
  <si>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</si>
  <si>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</si>
  <si>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</si>
  <si>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</si>
  <si>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</si>
  <si>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</si>
  <si>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</si>
  <si>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</si>
  <si>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</si>
  <si>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</si>
  <si>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</si>
  <si>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</si>
  <si>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</si>
  <si>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</si>
  <si>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</si>
  <si>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</si>
  <si>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JHS with SHS</t>
  </si>
  <si>
    <t>Mati SAT</t>
  </si>
  <si>
    <t>Garcia Avenue</t>
  </si>
  <si>
    <t>Badas NHS</t>
  </si>
  <si>
    <t>Camansi</t>
  </si>
  <si>
    <t>Licop Integrated School</t>
  </si>
  <si>
    <t>Sitio Licop</t>
  </si>
  <si>
    <t>All Offering (K to 12)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</si>
  <si>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</si>
  <si>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</si>
  <si>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</si>
  <si>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</si>
  <si>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</si>
  <si>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</si>
  <si>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</si>
  <si>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</si>
  <si>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</si>
  <si>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</si>
  <si>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</si>
  <si>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</si>
  <si>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</si>
  <si>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</si>
  <si>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</si>
  <si>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</si>
  <si>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</si>
  <si>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</si>
  <si>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</si>
  <si>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</si>
  <si>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</si>
  <si>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No Submission in NSBI SY 2022-2023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</si>
  <si>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</si>
  <si>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</si>
  <si>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</si>
  <si>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</si>
  <si>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</si>
  <si>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</si>
  <si>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</si>
  <si>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</si>
  <si>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</si>
  <si>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</si>
  <si>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</si>
  <si>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</si>
  <si>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</si>
  <si>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</si>
  <si>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</si>
  <si>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</si>
  <si>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</si>
  <si>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</si>
  <si>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</si>
  <si>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</si>
  <si>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</si>
  <si>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</si>
  <si>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</si>
  <si>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</si>
  <si>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</si>
  <si>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</si>
  <si>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</si>
  <si>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</si>
  <si>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</si>
  <si>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</si>
  <si>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</si>
  <si>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</si>
  <si>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</si>
  <si>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</si>
  <si>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</si>
  <si>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</si>
  <si>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</si>
  <si>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</si>
  <si>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</si>
  <si>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</si>
  <si>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</si>
  <si>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</si>
  <si>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</si>
  <si>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</si>
  <si>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</si>
  <si>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</si>
  <si>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</si>
  <si>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</si>
  <si>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</si>
  <si>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</si>
  <si>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</si>
  <si>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</si>
  <si>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</si>
  <si>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</si>
  <si>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</si>
  <si>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</si>
  <si>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</si>
  <si>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</si>
  <si>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</si>
  <si>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</si>
  <si>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</si>
  <si>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</si>
  <si>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</si>
  <si>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Purely JHS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</si>
  <si>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</si>
  <si>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</si>
  <si>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</si>
  <si>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</si>
  <si>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</si>
  <si>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</si>
  <si>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</si>
  <si>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</si>
  <si>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</si>
  <si>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</si>
  <si>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</si>
  <si>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</si>
  <si>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</si>
  <si>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</si>
  <si>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</si>
  <si>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</si>
  <si>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</si>
  <si>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</si>
  <si>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</si>
  <si>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</si>
  <si>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</si>
  <si>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</si>
  <si>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</si>
  <si>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</si>
  <si>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</si>
  <si>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</si>
  <si>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</si>
  <si>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</si>
  <si>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</si>
  <si>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</si>
  <si>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</si>
  <si>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</si>
  <si>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</si>
  <si>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</si>
  <si>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</si>
  <si>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</si>
  <si>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</si>
  <si>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</si>
  <si>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</si>
  <si>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</si>
  <si>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</si>
  <si>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</si>
  <si>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</si>
  <si>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</si>
  <si>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</si>
  <si>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</si>
  <si>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</si>
  <si>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</si>
  <si>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</si>
  <si>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Brgy.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</si>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</sst>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164" fontId="0" fillId="0" borderId="0" xfId="0" applyNumberFormat="1"/>
    <xf numFmtId="3" fontId="0" fillId="0" borderId="0" xfId="0" applyNumberFormat="1"/>
    <xf numFmtId="3" fontId="0" fillId="2" borderId="0" xfId="0" applyNumberFormat="1" applyFill="1"/>
    <xf numFmtId="3" fontId="2" fillId="0" borderId="0" xfId="1" applyNumberFormat="1" applyFont="1" applyAlignment="1">
      <alignment horizontal="center" vertical="center"/>
    </xf>
    <xf numFmtId="1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2">
    <cellStyle name="Comma 2" xfId="1" xr:uid="{3B30AC20-326E-4AC8-80F1-D4B79451F71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EDA2-9CD5-4BD5-938F-BEDC8C753584}">
  <dimension ref="A1:DM79"/>
  <sheetViews>
    <sheetView tabSelected="1" workbookViewId="0">
      <pane ySplit="7" topLeftCell="A8" activePane="bottomLeft" state="frozen"/>
      <selection pane="bottomLeft" activeCell="B8" sqref="B8"/>
    </sheetView>
  </sheetViews>
  <sheetFormatPr defaultRowHeight="15"/>
  <cols>
    <col min="2" max="2" width="25.5703125" bestFit="1" customWidth="1"/>
    <col min="3" max="3" width="0" hidden="1" customWidth="1"/>
    <col min="5" max="6" width="0" hidden="1" customWidth="1"/>
    <col min="7" max="7" width="39.140625" customWidth="1"/>
    <col min="8" max="16" width="0" hidden="1" customWidth="1"/>
  </cols>
  <sheetData>
    <row r="1" spans="1:117">
      <c r="A1" s="1" t="s">
        <v>0</v>
      </c>
      <c r="U1" s="2"/>
      <c r="DF1" s="2"/>
      <c r="DJ1" s="2"/>
    </row>
    <row r="2" spans="1:117">
      <c r="A2" s="1" t="s">
        <v>1</v>
      </c>
      <c r="U2" s="2"/>
      <c r="DF2" s="2"/>
      <c r="DJ2" s="2"/>
    </row>
    <row r="3" spans="1:117" ht="14.45" customHeight="1">
      <c r="A3" s="1" t="s">
        <v>2</v>
      </c>
      <c r="U3" s="2"/>
      <c r="V3" s="14" t="s">
        <v>3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 t="s">
        <v>4</v>
      </c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2"/>
      <c r="DG3" s="3"/>
      <c r="DH3" s="3"/>
      <c r="DI3" s="3"/>
      <c r="DJ3" s="2"/>
    </row>
    <row r="4" spans="1:117" ht="14.45" customHeight="1">
      <c r="A4" s="1" t="s">
        <v>5</v>
      </c>
      <c r="U4" s="2"/>
      <c r="V4" s="14" t="s">
        <v>6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5" t="s">
        <v>7</v>
      </c>
      <c r="AM4" s="15"/>
      <c r="AN4" s="15"/>
      <c r="AO4" s="15"/>
      <c r="AP4" s="15" t="s">
        <v>8</v>
      </c>
      <c r="AQ4" s="15"/>
      <c r="AR4" s="15"/>
      <c r="AS4" s="15"/>
      <c r="AT4" s="15" t="s">
        <v>9</v>
      </c>
      <c r="AU4" s="15"/>
      <c r="AV4" s="15"/>
      <c r="AW4" s="15"/>
      <c r="AX4" s="15" t="s">
        <v>10</v>
      </c>
      <c r="AY4" s="15"/>
      <c r="AZ4" s="15"/>
      <c r="BA4" s="15"/>
      <c r="BB4" s="15" t="s">
        <v>11</v>
      </c>
      <c r="BC4" s="15"/>
      <c r="BD4" s="15"/>
      <c r="BE4" s="15"/>
      <c r="BF4" s="16" t="s">
        <v>12</v>
      </c>
      <c r="BG4" s="16"/>
      <c r="BH4" s="16"/>
      <c r="BI4" s="16"/>
      <c r="BJ4" s="16"/>
      <c r="BK4" s="16"/>
      <c r="BL4" s="16"/>
      <c r="BM4" s="16"/>
      <c r="BN4" s="16" t="s">
        <v>6</v>
      </c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5" t="s">
        <v>7</v>
      </c>
      <c r="CE4" s="15"/>
      <c r="CF4" s="15"/>
      <c r="CG4" s="15"/>
      <c r="CH4" s="15" t="s">
        <v>8</v>
      </c>
      <c r="CI4" s="15"/>
      <c r="CJ4" s="15"/>
      <c r="CK4" s="15"/>
      <c r="CL4" s="15" t="s">
        <v>9</v>
      </c>
      <c r="CM4" s="15"/>
      <c r="CN4" s="15"/>
      <c r="CO4" s="15"/>
      <c r="CP4" s="15" t="s">
        <v>10</v>
      </c>
      <c r="CQ4" s="15"/>
      <c r="CR4" s="15"/>
      <c r="CS4" s="15"/>
      <c r="CT4" s="15" t="s">
        <v>11</v>
      </c>
      <c r="CU4" s="15"/>
      <c r="CV4" s="15"/>
      <c r="CW4" s="15"/>
      <c r="CX4" s="16" t="s">
        <v>12</v>
      </c>
      <c r="CY4" s="16"/>
      <c r="CZ4" s="16"/>
      <c r="DA4" s="16"/>
      <c r="DB4" s="16"/>
      <c r="DC4" s="16"/>
      <c r="DD4" s="16"/>
      <c r="DE4" s="16"/>
      <c r="DF4" s="2"/>
      <c r="DJ4" s="2"/>
    </row>
    <row r="5" spans="1:117">
      <c r="A5" s="1"/>
      <c r="Q5" s="17" t="s">
        <v>13</v>
      </c>
      <c r="R5" s="17"/>
      <c r="S5" s="17"/>
      <c r="T5" s="17"/>
      <c r="U5" s="2"/>
      <c r="V5" s="14" t="s">
        <v>14</v>
      </c>
      <c r="W5" s="14"/>
      <c r="X5" s="14"/>
      <c r="Y5" s="14"/>
      <c r="Z5" s="14" t="s">
        <v>15</v>
      </c>
      <c r="AA5" s="14"/>
      <c r="AB5" s="14"/>
      <c r="AC5" s="14"/>
      <c r="AD5" s="14" t="s">
        <v>16</v>
      </c>
      <c r="AE5" s="14"/>
      <c r="AF5" s="14"/>
      <c r="AG5" s="14"/>
      <c r="AH5" s="14" t="s">
        <v>17</v>
      </c>
      <c r="AI5" s="14"/>
      <c r="AJ5" s="14"/>
      <c r="AK5" s="14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 t="s">
        <v>18</v>
      </c>
      <c r="BG5" s="15"/>
      <c r="BH5" s="15"/>
      <c r="BI5" s="15"/>
      <c r="BJ5" s="15" t="s">
        <v>19</v>
      </c>
      <c r="BK5" s="15"/>
      <c r="BL5" s="15"/>
      <c r="BM5" s="15"/>
      <c r="BN5" s="16" t="s">
        <v>14</v>
      </c>
      <c r="BO5" s="16"/>
      <c r="BP5" s="16"/>
      <c r="BQ5" s="16"/>
      <c r="BR5" s="16" t="s">
        <v>15</v>
      </c>
      <c r="BS5" s="16"/>
      <c r="BT5" s="16"/>
      <c r="BU5" s="16"/>
      <c r="BV5" s="16" t="s">
        <v>16</v>
      </c>
      <c r="BW5" s="16"/>
      <c r="BX5" s="16"/>
      <c r="BY5" s="16"/>
      <c r="BZ5" s="16" t="s">
        <v>17</v>
      </c>
      <c r="CA5" s="16"/>
      <c r="CB5" s="16"/>
      <c r="CC5" s="16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 t="s">
        <v>18</v>
      </c>
      <c r="CY5" s="15"/>
      <c r="CZ5" s="15"/>
      <c r="DA5" s="15"/>
      <c r="DB5" s="15" t="s">
        <v>19</v>
      </c>
      <c r="DC5" s="15"/>
      <c r="DD5" s="15"/>
      <c r="DE5" s="15"/>
      <c r="DF5" s="2"/>
      <c r="DG5" s="18" t="s">
        <v>20</v>
      </c>
      <c r="DH5" s="18"/>
      <c r="DI5" s="18"/>
      <c r="DJ5" s="2"/>
    </row>
    <row r="6" spans="1:117" s="4" customFormat="1" ht="15" customHeight="1">
      <c r="Q6" s="4">
        <f>SUM(Q8:Q79)</f>
        <v>23163</v>
      </c>
      <c r="R6" s="4">
        <f>SUM(R8:R79)</f>
        <v>12520</v>
      </c>
      <c r="S6" s="4">
        <f>SUM(S8:S79)</f>
        <v>5290</v>
      </c>
      <c r="T6" s="4">
        <f>SUM(T8:T79)</f>
        <v>40973</v>
      </c>
      <c r="U6" s="5"/>
      <c r="V6" s="4">
        <f t="shared" ref="V6:BA6" si="0">SUM(V8:V79)</f>
        <v>45</v>
      </c>
      <c r="W6" s="4">
        <f t="shared" si="0"/>
        <v>105</v>
      </c>
      <c r="X6" s="4">
        <f t="shared" si="0"/>
        <v>71.697727895017636</v>
      </c>
      <c r="Y6" s="4">
        <f t="shared" si="0"/>
        <v>33.302272104982364</v>
      </c>
      <c r="Z6" s="4">
        <f t="shared" si="0"/>
        <v>48</v>
      </c>
      <c r="AA6" s="4">
        <f t="shared" si="0"/>
        <v>128</v>
      </c>
      <c r="AB6" s="4">
        <f t="shared" si="0"/>
        <v>87.569713842116172</v>
      </c>
      <c r="AC6" s="4">
        <f t="shared" si="0"/>
        <v>40.430286157883842</v>
      </c>
      <c r="AD6" s="4">
        <f t="shared" si="0"/>
        <v>9</v>
      </c>
      <c r="AE6" s="4">
        <f t="shared" si="0"/>
        <v>39</v>
      </c>
      <c r="AF6" s="4">
        <f t="shared" si="0"/>
        <v>25.82396450687509</v>
      </c>
      <c r="AG6" s="4">
        <f t="shared" si="0"/>
        <v>13.176035493124909</v>
      </c>
      <c r="AH6" s="4">
        <f t="shared" si="0"/>
        <v>634</v>
      </c>
      <c r="AI6" s="4">
        <f t="shared" si="0"/>
        <v>387</v>
      </c>
      <c r="AJ6" s="4">
        <f t="shared" si="0"/>
        <v>277.51827141956335</v>
      </c>
      <c r="AK6" s="4">
        <f t="shared" si="0"/>
        <v>109.48172858043661</v>
      </c>
      <c r="AL6" s="4">
        <f t="shared" si="0"/>
        <v>52</v>
      </c>
      <c r="AM6" s="4">
        <f t="shared" si="0"/>
        <v>50</v>
      </c>
      <c r="AN6" s="4">
        <f t="shared" si="0"/>
        <v>37.817294112952069</v>
      </c>
      <c r="AO6" s="4">
        <f t="shared" si="0"/>
        <v>12.182705887047932</v>
      </c>
      <c r="AP6" s="4">
        <f t="shared" si="0"/>
        <v>671</v>
      </c>
      <c r="AQ6" s="4">
        <f t="shared" si="0"/>
        <v>608</v>
      </c>
      <c r="AR6" s="4">
        <f t="shared" si="0"/>
        <v>420.41662461760268</v>
      </c>
      <c r="AS6" s="4">
        <f t="shared" si="0"/>
        <v>187.58337538239738</v>
      </c>
      <c r="AT6" s="4">
        <f t="shared" si="0"/>
        <v>7</v>
      </c>
      <c r="AU6" s="4">
        <f t="shared" si="0"/>
        <v>55</v>
      </c>
      <c r="AV6" s="4">
        <f t="shared" si="0"/>
        <v>38.132484963712727</v>
      </c>
      <c r="AW6" s="4">
        <f t="shared" si="0"/>
        <v>16.867515036287266</v>
      </c>
      <c r="AX6" s="4">
        <f t="shared" si="0"/>
        <v>11</v>
      </c>
      <c r="AY6" s="4">
        <f t="shared" si="0"/>
        <v>48</v>
      </c>
      <c r="AZ6" s="4">
        <f t="shared" si="0"/>
        <v>33.115990139601628</v>
      </c>
      <c r="BA6" s="4">
        <f t="shared" si="0"/>
        <v>14.884009860398374</v>
      </c>
      <c r="BB6" s="4">
        <f t="shared" ref="BB6:CG6" si="1">SUM(BB8:BB79)</f>
        <v>324</v>
      </c>
      <c r="BC6" s="4">
        <f t="shared" si="1"/>
        <v>210</v>
      </c>
      <c r="BD6" s="4">
        <f t="shared" si="1"/>
        <v>151.49465890305549</v>
      </c>
      <c r="BE6" s="4">
        <f t="shared" si="1"/>
        <v>58.505341096944527</v>
      </c>
      <c r="BF6" s="4">
        <f t="shared" si="1"/>
        <v>1105</v>
      </c>
      <c r="BG6" s="4">
        <f t="shared" si="1"/>
        <v>1077</v>
      </c>
      <c r="BH6" s="4">
        <f t="shared" si="1"/>
        <v>745.70673821937476</v>
      </c>
      <c r="BI6" s="4">
        <f t="shared" si="1"/>
        <v>331.2932617806253</v>
      </c>
      <c r="BJ6" s="4">
        <f t="shared" si="1"/>
        <v>133</v>
      </c>
      <c r="BK6" s="4">
        <f t="shared" si="1"/>
        <v>125</v>
      </c>
      <c r="BL6" s="4">
        <f t="shared" si="1"/>
        <v>93.769099104925857</v>
      </c>
      <c r="BM6" s="4">
        <f t="shared" si="1"/>
        <v>31.23090089507415</v>
      </c>
      <c r="BN6" s="4">
        <f t="shared" si="1"/>
        <v>36</v>
      </c>
      <c r="BO6" s="4">
        <f t="shared" si="1"/>
        <v>15</v>
      </c>
      <c r="BP6" s="4">
        <f t="shared" si="1"/>
        <v>10.893732632022182</v>
      </c>
      <c r="BQ6" s="4">
        <f t="shared" si="1"/>
        <v>4.1062673679778161</v>
      </c>
      <c r="BR6" s="4">
        <f t="shared" si="1"/>
        <v>36</v>
      </c>
      <c r="BS6" s="4">
        <f t="shared" si="1"/>
        <v>11</v>
      </c>
      <c r="BT6" s="4">
        <f t="shared" si="1"/>
        <v>7.7716306227486136</v>
      </c>
      <c r="BU6" s="4">
        <f t="shared" si="1"/>
        <v>3.2283693772513868</v>
      </c>
      <c r="BV6" s="4">
        <f t="shared" si="1"/>
        <v>2</v>
      </c>
      <c r="BW6" s="4">
        <f t="shared" si="1"/>
        <v>0</v>
      </c>
      <c r="BX6" s="4">
        <f t="shared" si="1"/>
        <v>0</v>
      </c>
      <c r="BY6" s="4">
        <f t="shared" si="1"/>
        <v>0</v>
      </c>
      <c r="BZ6" s="4">
        <f t="shared" si="1"/>
        <v>107</v>
      </c>
      <c r="CA6" s="4">
        <f t="shared" si="1"/>
        <v>3</v>
      </c>
      <c r="CB6" s="4">
        <f t="shared" si="1"/>
        <v>2.2033510737233</v>
      </c>
      <c r="CC6" s="4">
        <f t="shared" si="1"/>
        <v>0.7966489262766997</v>
      </c>
      <c r="CD6" s="4">
        <f t="shared" si="1"/>
        <v>14</v>
      </c>
      <c r="CE6" s="4">
        <f t="shared" si="1"/>
        <v>8</v>
      </c>
      <c r="CF6" s="4">
        <f t="shared" si="1"/>
        <v>5.976988646398592</v>
      </c>
      <c r="CG6" s="4">
        <f t="shared" si="1"/>
        <v>2.0230113536014076</v>
      </c>
      <c r="CH6" s="4">
        <f t="shared" ref="CH6:DE6" si="2">SUM(CH8:CH79)</f>
        <v>255</v>
      </c>
      <c r="CI6" s="4">
        <f t="shared" si="2"/>
        <v>43</v>
      </c>
      <c r="CJ6" s="4">
        <f t="shared" si="2"/>
        <v>31.949289023720063</v>
      </c>
      <c r="CK6" s="4">
        <f t="shared" si="2"/>
        <v>11.050710976279936</v>
      </c>
      <c r="CL6" s="4">
        <f t="shared" si="2"/>
        <v>4</v>
      </c>
      <c r="CM6" s="4">
        <f t="shared" si="2"/>
        <v>5</v>
      </c>
      <c r="CN6" s="4">
        <f t="shared" si="2"/>
        <v>3.4643593577714951</v>
      </c>
      <c r="CO6" s="4">
        <f t="shared" si="2"/>
        <v>1.5356406422285045</v>
      </c>
      <c r="CP6" s="4">
        <f t="shared" si="2"/>
        <v>4</v>
      </c>
      <c r="CQ6" s="4">
        <f t="shared" si="2"/>
        <v>0</v>
      </c>
      <c r="CR6" s="4">
        <f t="shared" si="2"/>
        <v>0</v>
      </c>
      <c r="CS6" s="4">
        <f t="shared" si="2"/>
        <v>0</v>
      </c>
      <c r="CT6" s="4">
        <f t="shared" si="2"/>
        <v>27</v>
      </c>
      <c r="CU6" s="4">
        <f t="shared" si="2"/>
        <v>8</v>
      </c>
      <c r="CV6" s="4">
        <f t="shared" si="2"/>
        <v>6.1439841036250744</v>
      </c>
      <c r="CW6" s="4">
        <f t="shared" si="2"/>
        <v>1.8560158963749263</v>
      </c>
      <c r="CX6" s="4">
        <f t="shared" si="2"/>
        <v>695</v>
      </c>
      <c r="CY6" s="4">
        <f t="shared" si="2"/>
        <v>161</v>
      </c>
      <c r="CZ6" s="4">
        <f t="shared" si="2"/>
        <v>115.85679591387978</v>
      </c>
      <c r="DA6" s="4">
        <f t="shared" si="2"/>
        <v>45.143204086120235</v>
      </c>
      <c r="DB6" s="4">
        <f t="shared" si="2"/>
        <v>37</v>
      </c>
      <c r="DC6" s="4">
        <f t="shared" si="2"/>
        <v>24</v>
      </c>
      <c r="DD6" s="4">
        <f t="shared" si="2"/>
        <v>19.655872206517934</v>
      </c>
      <c r="DE6" s="4">
        <f t="shared" si="2"/>
        <v>4.344127793482067</v>
      </c>
      <c r="DF6" s="5"/>
      <c r="DG6" s="6">
        <v>546463</v>
      </c>
      <c r="DH6" s="6">
        <v>188441.25110680852</v>
      </c>
      <c r="DI6" s="6">
        <v>78263.748893190525</v>
      </c>
      <c r="DJ6" s="5"/>
      <c r="DK6" s="19" t="s">
        <v>21</v>
      </c>
      <c r="DL6" s="19"/>
      <c r="DM6" s="19"/>
    </row>
    <row r="7" spans="1:117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37</v>
      </c>
      <c r="Q7" s="1" t="s">
        <v>38</v>
      </c>
      <c r="R7" s="1" t="s">
        <v>39</v>
      </c>
      <c r="S7" s="1" t="s">
        <v>40</v>
      </c>
      <c r="T7" s="1" t="s">
        <v>41</v>
      </c>
      <c r="U7" s="2">
        <v>1</v>
      </c>
      <c r="V7" s="7" t="s">
        <v>42</v>
      </c>
      <c r="W7" s="7" t="s">
        <v>43</v>
      </c>
      <c r="X7" s="7" t="s">
        <v>39</v>
      </c>
      <c r="Y7" s="7" t="s">
        <v>40</v>
      </c>
      <c r="Z7" s="7" t="s">
        <v>44</v>
      </c>
      <c r="AA7" s="7" t="s">
        <v>45</v>
      </c>
      <c r="AB7" s="7" t="s">
        <v>39</v>
      </c>
      <c r="AC7" s="7" t="s">
        <v>40</v>
      </c>
      <c r="AD7" s="7" t="s">
        <v>46</v>
      </c>
      <c r="AE7" s="7" t="s">
        <v>47</v>
      </c>
      <c r="AF7" s="7" t="s">
        <v>39</v>
      </c>
      <c r="AG7" s="7" t="s">
        <v>40</v>
      </c>
      <c r="AH7" s="7" t="s">
        <v>48</v>
      </c>
      <c r="AI7" s="7" t="s">
        <v>49</v>
      </c>
      <c r="AJ7" s="7" t="s">
        <v>39</v>
      </c>
      <c r="AK7" s="7" t="s">
        <v>40</v>
      </c>
      <c r="AL7" s="7" t="s">
        <v>50</v>
      </c>
      <c r="AM7" s="7" t="s">
        <v>51</v>
      </c>
      <c r="AN7" s="7" t="s">
        <v>39</v>
      </c>
      <c r="AO7" s="7" t="s">
        <v>40</v>
      </c>
      <c r="AP7" s="7" t="s">
        <v>52</v>
      </c>
      <c r="AQ7" s="7" t="s">
        <v>53</v>
      </c>
      <c r="AR7" s="7" t="s">
        <v>39</v>
      </c>
      <c r="AS7" s="7" t="s">
        <v>40</v>
      </c>
      <c r="AT7" s="7" t="s">
        <v>54</v>
      </c>
      <c r="AU7" s="7" t="s">
        <v>55</v>
      </c>
      <c r="AV7" s="7" t="s">
        <v>39</v>
      </c>
      <c r="AW7" s="7" t="s">
        <v>40</v>
      </c>
      <c r="AX7" s="7" t="s">
        <v>56</v>
      </c>
      <c r="AY7" s="7" t="s">
        <v>57</v>
      </c>
      <c r="AZ7" s="7" t="s">
        <v>39</v>
      </c>
      <c r="BA7" s="7" t="s">
        <v>40</v>
      </c>
      <c r="BB7" s="7" t="s">
        <v>58</v>
      </c>
      <c r="BC7" s="7" t="s">
        <v>59</v>
      </c>
      <c r="BD7" s="7" t="s">
        <v>39</v>
      </c>
      <c r="BE7" s="7" t="s">
        <v>40</v>
      </c>
      <c r="BF7" s="7" t="s">
        <v>60</v>
      </c>
      <c r="BG7" s="7" t="s">
        <v>61</v>
      </c>
      <c r="BH7" s="7" t="s">
        <v>39</v>
      </c>
      <c r="BI7" s="7" t="s">
        <v>40</v>
      </c>
      <c r="BJ7" s="7" t="s">
        <v>62</v>
      </c>
      <c r="BK7" s="7" t="s">
        <v>63</v>
      </c>
      <c r="BL7" s="7" t="s">
        <v>39</v>
      </c>
      <c r="BM7" s="7" t="s">
        <v>40</v>
      </c>
      <c r="BN7" s="7" t="s">
        <v>42</v>
      </c>
      <c r="BO7" s="7" t="s">
        <v>43</v>
      </c>
      <c r="BP7" s="7" t="s">
        <v>39</v>
      </c>
      <c r="BQ7" s="7" t="s">
        <v>40</v>
      </c>
      <c r="BR7" s="7" t="s">
        <v>44</v>
      </c>
      <c r="BS7" s="7" t="s">
        <v>45</v>
      </c>
      <c r="BT7" s="7" t="s">
        <v>39</v>
      </c>
      <c r="BU7" s="7" t="s">
        <v>40</v>
      </c>
      <c r="BV7" s="7" t="s">
        <v>46</v>
      </c>
      <c r="BW7" s="7" t="s">
        <v>47</v>
      </c>
      <c r="BX7" s="7" t="s">
        <v>39</v>
      </c>
      <c r="BY7" s="7" t="s">
        <v>40</v>
      </c>
      <c r="BZ7" s="7" t="s">
        <v>48</v>
      </c>
      <c r="CA7" s="7" t="s">
        <v>49</v>
      </c>
      <c r="CB7" s="7" t="s">
        <v>39</v>
      </c>
      <c r="CC7" s="7" t="s">
        <v>40</v>
      </c>
      <c r="CD7" s="7" t="s">
        <v>50</v>
      </c>
      <c r="CE7" s="7" t="s">
        <v>51</v>
      </c>
      <c r="CF7" s="7" t="s">
        <v>39</v>
      </c>
      <c r="CG7" s="7" t="s">
        <v>40</v>
      </c>
      <c r="CH7" s="7" t="s">
        <v>52</v>
      </c>
      <c r="CI7" s="7" t="s">
        <v>53</v>
      </c>
      <c r="CJ7" s="7" t="s">
        <v>39</v>
      </c>
      <c r="CK7" s="7" t="s">
        <v>40</v>
      </c>
      <c r="CL7" s="7" t="s">
        <v>54</v>
      </c>
      <c r="CM7" s="7" t="s">
        <v>55</v>
      </c>
      <c r="CN7" s="7" t="s">
        <v>39</v>
      </c>
      <c r="CO7" s="7" t="s">
        <v>40</v>
      </c>
      <c r="CP7" s="7" t="s">
        <v>56</v>
      </c>
      <c r="CQ7" s="7" t="s">
        <v>57</v>
      </c>
      <c r="CR7" s="7" t="s">
        <v>39</v>
      </c>
      <c r="CS7" s="7" t="s">
        <v>40</v>
      </c>
      <c r="CT7" s="7" t="s">
        <v>58</v>
      </c>
      <c r="CU7" s="7" t="s">
        <v>59</v>
      </c>
      <c r="CV7" s="7" t="s">
        <v>39</v>
      </c>
      <c r="CW7" s="7" t="s">
        <v>40</v>
      </c>
      <c r="CX7" s="7" t="s">
        <v>60</v>
      </c>
      <c r="CY7" s="7" t="s">
        <v>61</v>
      </c>
      <c r="CZ7" s="7" t="s">
        <v>39</v>
      </c>
      <c r="DA7" s="7" t="s">
        <v>40</v>
      </c>
      <c r="DB7" s="7" t="s">
        <v>62</v>
      </c>
      <c r="DC7" s="7" t="s">
        <v>63</v>
      </c>
      <c r="DD7" s="7" t="s">
        <v>39</v>
      </c>
      <c r="DE7" s="7" t="s">
        <v>40</v>
      </c>
      <c r="DF7" s="2">
        <v>1</v>
      </c>
      <c r="DG7" s="8" t="s">
        <v>38</v>
      </c>
      <c r="DH7" s="8" t="s">
        <v>39</v>
      </c>
      <c r="DI7" s="8" t="s">
        <v>40</v>
      </c>
      <c r="DJ7" s="2">
        <v>1</v>
      </c>
      <c r="DK7" s="9" t="s">
        <v>38</v>
      </c>
      <c r="DL7" s="9" t="s">
        <v>39</v>
      </c>
      <c r="DM7" s="9" t="s">
        <v>40</v>
      </c>
    </row>
    <row r="8" spans="1:117">
      <c r="A8" t="s">
        <v>64</v>
      </c>
      <c r="B8" t="s">
        <v>65</v>
      </c>
      <c r="C8" t="s">
        <v>66</v>
      </c>
      <c r="D8">
        <v>129374</v>
      </c>
      <c r="E8">
        <v>129374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s="10" t="s">
        <v>75</v>
      </c>
      <c r="P8" t="s">
        <v>75</v>
      </c>
      <c r="Q8" s="10">
        <v>461</v>
      </c>
      <c r="R8" s="10">
        <v>0</v>
      </c>
      <c r="S8" s="10">
        <v>0</v>
      </c>
      <c r="T8">
        <v>461</v>
      </c>
      <c r="U8" s="2"/>
      <c r="V8" s="11">
        <v>0</v>
      </c>
      <c r="W8" s="11">
        <v>0</v>
      </c>
      <c r="X8" s="11"/>
      <c r="Y8" s="11"/>
      <c r="Z8" s="11">
        <v>0</v>
      </c>
      <c r="AA8" s="11">
        <v>0</v>
      </c>
      <c r="AB8" s="11"/>
      <c r="AC8" s="11"/>
      <c r="AD8" s="11">
        <v>0</v>
      </c>
      <c r="AE8" s="11">
        <v>0</v>
      </c>
      <c r="AF8" s="11"/>
      <c r="AG8" s="11"/>
      <c r="AH8" s="11">
        <v>20</v>
      </c>
      <c r="AI8" s="11">
        <v>0</v>
      </c>
      <c r="AJ8" s="11"/>
      <c r="AK8" s="11"/>
      <c r="AL8" s="11">
        <v>0</v>
      </c>
      <c r="AM8" s="11">
        <v>0</v>
      </c>
      <c r="AN8" s="11"/>
      <c r="AO8" s="11"/>
      <c r="AP8" s="11">
        <v>15</v>
      </c>
      <c r="AQ8" s="11">
        <v>0</v>
      </c>
      <c r="AR8" s="11"/>
      <c r="AS8" s="11"/>
      <c r="AT8" s="11">
        <v>1</v>
      </c>
      <c r="AU8" s="11">
        <v>0</v>
      </c>
      <c r="AV8" s="11"/>
      <c r="AW8" s="11"/>
      <c r="AX8" s="11">
        <v>0</v>
      </c>
      <c r="AY8" s="11">
        <v>0</v>
      </c>
      <c r="AZ8" s="11"/>
      <c r="BA8" s="11"/>
      <c r="BB8" s="11">
        <v>10</v>
      </c>
      <c r="BC8" s="11">
        <v>0</v>
      </c>
      <c r="BD8" s="11"/>
      <c r="BE8" s="11"/>
      <c r="BF8" s="11">
        <v>37</v>
      </c>
      <c r="BG8" s="11">
        <v>0</v>
      </c>
      <c r="BH8" s="11"/>
      <c r="BI8" s="11"/>
      <c r="BJ8" s="11">
        <v>0</v>
      </c>
      <c r="BK8" s="11">
        <v>0</v>
      </c>
      <c r="BL8" s="11"/>
      <c r="BM8" s="11"/>
      <c r="BN8" s="11">
        <v>0</v>
      </c>
      <c r="BO8" s="11">
        <v>0</v>
      </c>
      <c r="BP8" s="11"/>
      <c r="BQ8" s="11"/>
      <c r="BR8" s="11">
        <v>0</v>
      </c>
      <c r="BS8" s="11">
        <v>0</v>
      </c>
      <c r="BT8" s="11"/>
      <c r="BU8" s="11"/>
      <c r="BV8" s="11">
        <v>0</v>
      </c>
      <c r="BW8" s="11">
        <v>0</v>
      </c>
      <c r="BX8" s="11"/>
      <c r="BY8" s="11"/>
      <c r="BZ8" s="11">
        <v>0</v>
      </c>
      <c r="CA8" s="11">
        <v>0</v>
      </c>
      <c r="CB8" s="11"/>
      <c r="CC8" s="11"/>
      <c r="CD8" s="11">
        <v>0</v>
      </c>
      <c r="CE8" s="11">
        <v>0</v>
      </c>
      <c r="CF8" s="11"/>
      <c r="CG8" s="11"/>
      <c r="CH8" s="11">
        <v>39</v>
      </c>
      <c r="CI8" s="11">
        <v>0</v>
      </c>
      <c r="CJ8" s="11"/>
      <c r="CK8" s="11"/>
      <c r="CL8" s="11">
        <v>0</v>
      </c>
      <c r="CM8" s="11">
        <v>0</v>
      </c>
      <c r="CN8" s="11"/>
      <c r="CO8" s="11"/>
      <c r="CP8" s="11">
        <v>0</v>
      </c>
      <c r="CQ8" s="11">
        <v>0</v>
      </c>
      <c r="CR8" s="11"/>
      <c r="CS8" s="11"/>
      <c r="CT8" s="11">
        <v>0</v>
      </c>
      <c r="CU8" s="11">
        <v>0</v>
      </c>
      <c r="CV8" s="11"/>
      <c r="CW8" s="11"/>
      <c r="CX8" s="11">
        <v>39</v>
      </c>
      <c r="CY8" s="11">
        <v>0</v>
      </c>
      <c r="CZ8" s="11"/>
      <c r="DA8" s="11"/>
      <c r="DB8" s="11">
        <v>0</v>
      </c>
      <c r="DC8" s="11">
        <v>0</v>
      </c>
      <c r="DD8" s="11"/>
      <c r="DE8" s="11"/>
      <c r="DF8" s="2"/>
      <c r="DG8" s="11">
        <v>20</v>
      </c>
      <c r="DJ8" s="2"/>
      <c r="DK8">
        <v>23.05</v>
      </c>
    </row>
    <row r="9" spans="1:117">
      <c r="A9" t="s">
        <v>64</v>
      </c>
      <c r="B9" t="s">
        <v>65</v>
      </c>
      <c r="C9" t="s">
        <v>66</v>
      </c>
      <c r="D9">
        <v>129375</v>
      </c>
      <c r="E9">
        <v>129375</v>
      </c>
      <c r="G9" t="s">
        <v>76</v>
      </c>
      <c r="H9" t="s">
        <v>77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74</v>
      </c>
      <c r="O9" s="10" t="s">
        <v>75</v>
      </c>
      <c r="P9" t="s">
        <v>75</v>
      </c>
      <c r="Q9" s="10">
        <v>192</v>
      </c>
      <c r="R9" s="10">
        <v>0</v>
      </c>
      <c r="S9" s="10">
        <v>0</v>
      </c>
      <c r="T9">
        <v>192</v>
      </c>
      <c r="U9" s="2"/>
      <c r="V9" s="11">
        <v>0</v>
      </c>
      <c r="W9" s="11">
        <v>0</v>
      </c>
      <c r="X9" s="11"/>
      <c r="Y9" s="11"/>
      <c r="Z9" s="11">
        <v>0</v>
      </c>
      <c r="AA9" s="11">
        <v>0</v>
      </c>
      <c r="AB9" s="11"/>
      <c r="AC9" s="11"/>
      <c r="AD9" s="11">
        <v>0</v>
      </c>
      <c r="AE9" s="11">
        <v>0</v>
      </c>
      <c r="AF9" s="11"/>
      <c r="AG9" s="11"/>
      <c r="AH9" s="11">
        <v>7</v>
      </c>
      <c r="AI9" s="11">
        <v>0</v>
      </c>
      <c r="AJ9" s="11"/>
      <c r="AK9" s="11"/>
      <c r="AL9" s="11">
        <v>0</v>
      </c>
      <c r="AM9" s="11">
        <v>0</v>
      </c>
      <c r="AN9" s="11"/>
      <c r="AO9" s="11"/>
      <c r="AP9" s="11">
        <v>8</v>
      </c>
      <c r="AQ9" s="11">
        <v>0</v>
      </c>
      <c r="AR9" s="11"/>
      <c r="AS9" s="11"/>
      <c r="AT9" s="11">
        <v>0</v>
      </c>
      <c r="AU9" s="11">
        <v>0</v>
      </c>
      <c r="AV9" s="11"/>
      <c r="AW9" s="11"/>
      <c r="AX9" s="11">
        <v>0</v>
      </c>
      <c r="AY9" s="11">
        <v>0</v>
      </c>
      <c r="AZ9" s="11"/>
      <c r="BA9" s="11"/>
      <c r="BB9" s="11">
        <v>4</v>
      </c>
      <c r="BC9" s="11">
        <v>0</v>
      </c>
      <c r="BD9" s="11"/>
      <c r="BE9" s="11"/>
      <c r="BF9" s="11">
        <v>15</v>
      </c>
      <c r="BG9" s="11">
        <v>0</v>
      </c>
      <c r="BH9" s="11"/>
      <c r="BI9" s="11"/>
      <c r="BJ9" s="11">
        <v>0</v>
      </c>
      <c r="BK9" s="11">
        <v>0</v>
      </c>
      <c r="BL9" s="11"/>
      <c r="BM9" s="11"/>
      <c r="BN9" s="11">
        <v>1</v>
      </c>
      <c r="BO9" s="11">
        <v>0</v>
      </c>
      <c r="BP9" s="11"/>
      <c r="BQ9" s="11"/>
      <c r="BR9" s="11">
        <v>1</v>
      </c>
      <c r="BS9" s="11">
        <v>0</v>
      </c>
      <c r="BT9" s="11"/>
      <c r="BU9" s="11"/>
      <c r="BV9" s="11">
        <v>0</v>
      </c>
      <c r="BW9" s="11">
        <v>0</v>
      </c>
      <c r="BX9" s="11"/>
      <c r="BY9" s="11"/>
      <c r="BZ9" s="11">
        <v>0</v>
      </c>
      <c r="CA9" s="11">
        <v>0</v>
      </c>
      <c r="CB9" s="11"/>
      <c r="CC9" s="11"/>
      <c r="CD9" s="11">
        <v>0</v>
      </c>
      <c r="CE9" s="11">
        <v>0</v>
      </c>
      <c r="CF9" s="11"/>
      <c r="CG9" s="11"/>
      <c r="CH9" s="11">
        <v>2</v>
      </c>
      <c r="CI9" s="11">
        <v>0</v>
      </c>
      <c r="CJ9" s="11"/>
      <c r="CK9" s="11"/>
      <c r="CL9" s="11">
        <v>0</v>
      </c>
      <c r="CM9" s="11">
        <v>0</v>
      </c>
      <c r="CN9" s="11"/>
      <c r="CO9" s="11"/>
      <c r="CP9" s="11">
        <v>0</v>
      </c>
      <c r="CQ9" s="11">
        <v>0</v>
      </c>
      <c r="CR9" s="11"/>
      <c r="CS9" s="11"/>
      <c r="CT9" s="11">
        <v>1</v>
      </c>
      <c r="CU9" s="11">
        <v>0</v>
      </c>
      <c r="CV9" s="11"/>
      <c r="CW9" s="11"/>
      <c r="CX9" s="11">
        <v>2</v>
      </c>
      <c r="CY9" s="11">
        <v>0</v>
      </c>
      <c r="CZ9" s="11"/>
      <c r="DA9" s="11"/>
      <c r="DB9" s="11">
        <v>0</v>
      </c>
      <c r="DC9" s="11">
        <v>0</v>
      </c>
      <c r="DD9" s="11"/>
      <c r="DE9" s="11"/>
      <c r="DF9" s="2"/>
      <c r="DG9" s="11">
        <v>9</v>
      </c>
      <c r="DJ9" s="2"/>
      <c r="DK9">
        <v>21.333333333333332</v>
      </c>
    </row>
    <row r="10" spans="1:117">
      <c r="A10" t="s">
        <v>64</v>
      </c>
      <c r="B10" t="s">
        <v>65</v>
      </c>
      <c r="C10" t="s">
        <v>66</v>
      </c>
      <c r="D10">
        <v>129376</v>
      </c>
      <c r="E10">
        <v>129376</v>
      </c>
      <c r="G10" t="s">
        <v>78</v>
      </c>
      <c r="H10" t="s">
        <v>79</v>
      </c>
      <c r="I10" t="s">
        <v>69</v>
      </c>
      <c r="J10" t="s">
        <v>70</v>
      </c>
      <c r="K10" t="s">
        <v>71</v>
      </c>
      <c r="L10" t="s">
        <v>80</v>
      </c>
      <c r="M10" t="s">
        <v>73</v>
      </c>
      <c r="N10" t="s">
        <v>74</v>
      </c>
      <c r="O10" s="10" t="s">
        <v>75</v>
      </c>
      <c r="P10" t="s">
        <v>75</v>
      </c>
      <c r="Q10" s="10">
        <v>304</v>
      </c>
      <c r="R10" s="10">
        <v>0</v>
      </c>
      <c r="S10" s="10">
        <v>0</v>
      </c>
      <c r="T10">
        <v>304</v>
      </c>
      <c r="U10" s="2"/>
      <c r="V10" s="11">
        <v>0</v>
      </c>
      <c r="W10" s="11">
        <v>0</v>
      </c>
      <c r="X10" s="11"/>
      <c r="Y10" s="11"/>
      <c r="Z10" s="11">
        <v>0</v>
      </c>
      <c r="AA10" s="11">
        <v>0</v>
      </c>
      <c r="AB10" s="11"/>
      <c r="AC10" s="11"/>
      <c r="AD10" s="11">
        <v>0</v>
      </c>
      <c r="AE10" s="11">
        <v>0</v>
      </c>
      <c r="AF10" s="11"/>
      <c r="AG10" s="11"/>
      <c r="AH10" s="11">
        <v>9</v>
      </c>
      <c r="AI10" s="11">
        <v>0</v>
      </c>
      <c r="AJ10" s="11"/>
      <c r="AK10" s="11"/>
      <c r="AL10" s="11">
        <v>2</v>
      </c>
      <c r="AM10" s="11">
        <v>0</v>
      </c>
      <c r="AN10" s="11"/>
      <c r="AO10" s="11"/>
      <c r="AP10" s="11">
        <v>8</v>
      </c>
      <c r="AQ10" s="11">
        <v>0</v>
      </c>
      <c r="AR10" s="11"/>
      <c r="AS10" s="11"/>
      <c r="AT10" s="11">
        <v>0</v>
      </c>
      <c r="AU10" s="11">
        <v>0</v>
      </c>
      <c r="AV10" s="11"/>
      <c r="AW10" s="11"/>
      <c r="AX10" s="11">
        <v>0</v>
      </c>
      <c r="AY10" s="11">
        <v>0</v>
      </c>
      <c r="AZ10" s="11"/>
      <c r="BA10" s="11"/>
      <c r="BB10" s="11">
        <v>4</v>
      </c>
      <c r="BC10" s="11">
        <v>0</v>
      </c>
      <c r="BD10" s="11"/>
      <c r="BE10" s="11"/>
      <c r="BF10" s="11">
        <v>17</v>
      </c>
      <c r="BG10" s="11">
        <v>0</v>
      </c>
      <c r="BH10" s="11"/>
      <c r="BI10" s="11"/>
      <c r="BJ10" s="11">
        <v>0</v>
      </c>
      <c r="BK10" s="11">
        <v>0</v>
      </c>
      <c r="BL10" s="11"/>
      <c r="BM10" s="11"/>
      <c r="BN10" s="11">
        <v>1</v>
      </c>
      <c r="BO10" s="11">
        <v>0</v>
      </c>
      <c r="BP10" s="11"/>
      <c r="BQ10" s="11"/>
      <c r="BR10" s="11">
        <v>1</v>
      </c>
      <c r="BS10" s="11">
        <v>0</v>
      </c>
      <c r="BT10" s="11"/>
      <c r="BU10" s="11"/>
      <c r="BV10" s="11">
        <v>0</v>
      </c>
      <c r="BW10" s="11">
        <v>0</v>
      </c>
      <c r="BX10" s="11"/>
      <c r="BY10" s="11"/>
      <c r="BZ10" s="11">
        <v>0</v>
      </c>
      <c r="CA10" s="11">
        <v>0</v>
      </c>
      <c r="CB10" s="11"/>
      <c r="CC10" s="11"/>
      <c r="CD10" s="11">
        <v>0</v>
      </c>
      <c r="CE10" s="11">
        <v>0</v>
      </c>
      <c r="CF10" s="11"/>
      <c r="CG10" s="11"/>
      <c r="CH10" s="11">
        <v>3</v>
      </c>
      <c r="CI10" s="11">
        <v>0</v>
      </c>
      <c r="CJ10" s="11"/>
      <c r="CK10" s="11"/>
      <c r="CL10" s="11">
        <v>0</v>
      </c>
      <c r="CM10" s="11">
        <v>0</v>
      </c>
      <c r="CN10" s="11"/>
      <c r="CO10" s="11"/>
      <c r="CP10" s="11">
        <v>1</v>
      </c>
      <c r="CQ10" s="11">
        <v>0</v>
      </c>
      <c r="CR10" s="11"/>
      <c r="CS10" s="11"/>
      <c r="CT10" s="11">
        <v>1</v>
      </c>
      <c r="CU10" s="11">
        <v>0</v>
      </c>
      <c r="CV10" s="11"/>
      <c r="CW10" s="11"/>
      <c r="CX10" s="11">
        <v>15</v>
      </c>
      <c r="CY10" s="11">
        <v>0</v>
      </c>
      <c r="CZ10" s="11"/>
      <c r="DA10" s="11"/>
      <c r="DB10" s="11">
        <v>0</v>
      </c>
      <c r="DC10" s="11">
        <v>0</v>
      </c>
      <c r="DD10" s="11"/>
      <c r="DE10" s="11"/>
      <c r="DF10" s="2"/>
      <c r="DG10" s="11">
        <v>11</v>
      </c>
      <c r="DJ10" s="2"/>
      <c r="DK10">
        <v>27.636363636363637</v>
      </c>
    </row>
    <row r="11" spans="1:117">
      <c r="A11" t="s">
        <v>64</v>
      </c>
      <c r="B11" t="s">
        <v>65</v>
      </c>
      <c r="C11" t="s">
        <v>66</v>
      </c>
      <c r="D11">
        <v>129377</v>
      </c>
      <c r="E11">
        <v>129377</v>
      </c>
      <c r="G11" t="s">
        <v>81</v>
      </c>
      <c r="H11" t="s">
        <v>82</v>
      </c>
      <c r="I11" t="s">
        <v>69</v>
      </c>
      <c r="J11" t="s">
        <v>70</v>
      </c>
      <c r="K11" t="s">
        <v>71</v>
      </c>
      <c r="L11" t="s">
        <v>83</v>
      </c>
      <c r="M11" t="s">
        <v>73</v>
      </c>
      <c r="N11" t="s">
        <v>74</v>
      </c>
      <c r="O11" s="10" t="s">
        <v>75</v>
      </c>
      <c r="P11" t="s">
        <v>75</v>
      </c>
      <c r="Q11" s="10">
        <v>321</v>
      </c>
      <c r="R11" s="10">
        <v>0</v>
      </c>
      <c r="S11" s="10">
        <v>0</v>
      </c>
      <c r="T11">
        <v>321</v>
      </c>
      <c r="U11" s="2"/>
      <c r="V11" s="11">
        <v>0</v>
      </c>
      <c r="W11" s="11">
        <v>0</v>
      </c>
      <c r="X11" s="11"/>
      <c r="Y11" s="11"/>
      <c r="Z11" s="11">
        <v>0</v>
      </c>
      <c r="AA11" s="11">
        <v>0</v>
      </c>
      <c r="AB11" s="11"/>
      <c r="AC11" s="11"/>
      <c r="AD11" s="11">
        <v>0</v>
      </c>
      <c r="AE11" s="11">
        <v>0</v>
      </c>
      <c r="AF11" s="11"/>
      <c r="AG11" s="11"/>
      <c r="AH11" s="11">
        <v>0</v>
      </c>
      <c r="AI11" s="11">
        <v>0</v>
      </c>
      <c r="AJ11" s="11"/>
      <c r="AK11" s="11"/>
      <c r="AL11" s="11">
        <v>0</v>
      </c>
      <c r="AM11" s="11">
        <v>0</v>
      </c>
      <c r="AN11" s="11"/>
      <c r="AO11" s="11"/>
      <c r="AP11" s="11">
        <v>0</v>
      </c>
      <c r="AQ11" s="11">
        <v>0</v>
      </c>
      <c r="AR11" s="11"/>
      <c r="AS11" s="11"/>
      <c r="AT11" s="11">
        <v>0</v>
      </c>
      <c r="AU11" s="11">
        <v>0</v>
      </c>
      <c r="AV11" s="11"/>
      <c r="AW11" s="11"/>
      <c r="AX11" s="11">
        <v>0</v>
      </c>
      <c r="AY11" s="11">
        <v>0</v>
      </c>
      <c r="AZ11" s="11"/>
      <c r="BA11" s="11"/>
      <c r="BB11" s="11">
        <v>0</v>
      </c>
      <c r="BC11" s="11">
        <v>0</v>
      </c>
      <c r="BD11" s="11"/>
      <c r="BE11" s="11"/>
      <c r="BF11" s="11">
        <v>0</v>
      </c>
      <c r="BG11" s="11">
        <v>0</v>
      </c>
      <c r="BH11" s="11"/>
      <c r="BI11" s="11"/>
      <c r="BJ11" s="11">
        <v>0</v>
      </c>
      <c r="BK11" s="11">
        <v>0</v>
      </c>
      <c r="BL11" s="11"/>
      <c r="BM11" s="11"/>
      <c r="BN11" s="11">
        <v>1</v>
      </c>
      <c r="BO11" s="11">
        <v>0</v>
      </c>
      <c r="BP11" s="11"/>
      <c r="BQ11" s="11"/>
      <c r="BR11" s="11">
        <v>1</v>
      </c>
      <c r="BS11" s="11">
        <v>0</v>
      </c>
      <c r="BT11" s="11"/>
      <c r="BU11" s="11"/>
      <c r="BV11" s="11">
        <v>0</v>
      </c>
      <c r="BW11" s="11">
        <v>0</v>
      </c>
      <c r="BX11" s="11"/>
      <c r="BY11" s="11"/>
      <c r="BZ11" s="11">
        <v>14</v>
      </c>
      <c r="CA11" s="11">
        <v>0</v>
      </c>
      <c r="CB11" s="11"/>
      <c r="CC11" s="11"/>
      <c r="CD11" s="11">
        <v>0</v>
      </c>
      <c r="CE11" s="11">
        <v>0</v>
      </c>
      <c r="CF11" s="11"/>
      <c r="CG11" s="11"/>
      <c r="CH11" s="11">
        <v>10</v>
      </c>
      <c r="CI11" s="11">
        <v>0</v>
      </c>
      <c r="CJ11" s="11"/>
      <c r="CK11" s="11"/>
      <c r="CL11" s="11">
        <v>0</v>
      </c>
      <c r="CM11" s="11">
        <v>0</v>
      </c>
      <c r="CN11" s="11"/>
      <c r="CO11" s="11"/>
      <c r="CP11" s="11">
        <v>0</v>
      </c>
      <c r="CQ11" s="11">
        <v>0</v>
      </c>
      <c r="CR11" s="11"/>
      <c r="CS11" s="11"/>
      <c r="CT11" s="11">
        <v>1</v>
      </c>
      <c r="CU11" s="11">
        <v>0</v>
      </c>
      <c r="CV11" s="11"/>
      <c r="CW11" s="11"/>
      <c r="CX11" s="11">
        <v>20</v>
      </c>
      <c r="CY11" s="11">
        <v>0</v>
      </c>
      <c r="CZ11" s="11"/>
      <c r="DA11" s="11"/>
      <c r="DB11" s="11">
        <v>0</v>
      </c>
      <c r="DC11" s="11">
        <v>0</v>
      </c>
      <c r="DD11" s="11"/>
      <c r="DE11" s="11"/>
      <c r="DF11" s="2"/>
      <c r="DG11" s="11">
        <v>16</v>
      </c>
      <c r="DJ11" s="2"/>
      <c r="DK11">
        <v>20.0625</v>
      </c>
    </row>
    <row r="12" spans="1:117">
      <c r="A12" t="s">
        <v>64</v>
      </c>
      <c r="B12" t="s">
        <v>65</v>
      </c>
      <c r="C12" t="s">
        <v>66</v>
      </c>
      <c r="D12">
        <v>129380</v>
      </c>
      <c r="E12">
        <v>129380</v>
      </c>
      <c r="G12" t="s">
        <v>84</v>
      </c>
      <c r="H12" t="s">
        <v>85</v>
      </c>
      <c r="I12" t="s">
        <v>69</v>
      </c>
      <c r="J12" t="s">
        <v>70</v>
      </c>
      <c r="K12" t="s">
        <v>71</v>
      </c>
      <c r="L12" t="s">
        <v>80</v>
      </c>
      <c r="M12" t="s">
        <v>73</v>
      </c>
      <c r="N12" t="s">
        <v>74</v>
      </c>
      <c r="O12" s="10" t="s">
        <v>75</v>
      </c>
      <c r="P12" t="s">
        <v>75</v>
      </c>
      <c r="Q12" s="10">
        <v>1188</v>
      </c>
      <c r="R12" s="10">
        <v>0</v>
      </c>
      <c r="S12" s="10">
        <v>0</v>
      </c>
      <c r="T12">
        <v>1188</v>
      </c>
      <c r="U12" s="2"/>
      <c r="V12" s="11">
        <v>0</v>
      </c>
      <c r="W12" s="11">
        <v>0</v>
      </c>
      <c r="X12" s="11"/>
      <c r="Y12" s="11"/>
      <c r="Z12" s="11">
        <v>0</v>
      </c>
      <c r="AA12" s="11">
        <v>0</v>
      </c>
      <c r="AB12" s="11"/>
      <c r="AC12" s="11"/>
      <c r="AD12" s="11">
        <v>0</v>
      </c>
      <c r="AE12" s="11">
        <v>0</v>
      </c>
      <c r="AF12" s="11"/>
      <c r="AG12" s="11"/>
      <c r="AH12" s="11">
        <v>35</v>
      </c>
      <c r="AI12" s="11">
        <v>0</v>
      </c>
      <c r="AJ12" s="11"/>
      <c r="AK12" s="11"/>
      <c r="AL12" s="11">
        <v>0</v>
      </c>
      <c r="AM12" s="11">
        <v>0</v>
      </c>
      <c r="AN12" s="11"/>
      <c r="AO12" s="11"/>
      <c r="AP12" s="11">
        <v>32</v>
      </c>
      <c r="AQ12" s="11">
        <v>0</v>
      </c>
      <c r="AR12" s="11"/>
      <c r="AS12" s="11"/>
      <c r="AT12" s="11">
        <v>0</v>
      </c>
      <c r="AU12" s="11">
        <v>0</v>
      </c>
      <c r="AV12" s="11"/>
      <c r="AW12" s="11"/>
      <c r="AX12" s="11">
        <v>0</v>
      </c>
      <c r="AY12" s="11">
        <v>0</v>
      </c>
      <c r="AZ12" s="11"/>
      <c r="BA12" s="11"/>
      <c r="BB12" s="11">
        <v>10</v>
      </c>
      <c r="BC12" s="11">
        <v>0</v>
      </c>
      <c r="BD12" s="11"/>
      <c r="BE12" s="11"/>
      <c r="BF12" s="11">
        <v>30</v>
      </c>
      <c r="BG12" s="11">
        <v>0</v>
      </c>
      <c r="BH12" s="11"/>
      <c r="BI12" s="11"/>
      <c r="BJ12" s="11">
        <v>11</v>
      </c>
      <c r="BK12" s="11">
        <v>0</v>
      </c>
      <c r="BL12" s="11"/>
      <c r="BM12" s="11"/>
      <c r="BN12" s="11">
        <v>4</v>
      </c>
      <c r="BO12" s="11">
        <v>0</v>
      </c>
      <c r="BP12" s="11"/>
      <c r="BQ12" s="11"/>
      <c r="BR12" s="11">
        <v>4</v>
      </c>
      <c r="BS12" s="11">
        <v>0</v>
      </c>
      <c r="BT12" s="11"/>
      <c r="BU12" s="11"/>
      <c r="BV12" s="11">
        <v>0</v>
      </c>
      <c r="BW12" s="11">
        <v>0</v>
      </c>
      <c r="BX12" s="11"/>
      <c r="BY12" s="11"/>
      <c r="BZ12" s="11">
        <v>0</v>
      </c>
      <c r="CA12" s="11">
        <v>0</v>
      </c>
      <c r="CB12" s="11"/>
      <c r="CC12" s="11"/>
      <c r="CD12" s="11">
        <v>0</v>
      </c>
      <c r="CE12" s="11">
        <v>0</v>
      </c>
      <c r="CF12" s="11"/>
      <c r="CG12" s="11"/>
      <c r="CH12" s="11">
        <v>4</v>
      </c>
      <c r="CI12" s="11">
        <v>0</v>
      </c>
      <c r="CJ12" s="11"/>
      <c r="CK12" s="11"/>
      <c r="CL12" s="11">
        <v>0</v>
      </c>
      <c r="CM12" s="11">
        <v>0</v>
      </c>
      <c r="CN12" s="11"/>
      <c r="CO12" s="11"/>
      <c r="CP12" s="11">
        <v>0</v>
      </c>
      <c r="CQ12" s="11">
        <v>0</v>
      </c>
      <c r="CR12" s="11"/>
      <c r="CS12" s="11"/>
      <c r="CT12" s="11">
        <v>1</v>
      </c>
      <c r="CU12" s="11">
        <v>0</v>
      </c>
      <c r="CV12" s="11"/>
      <c r="CW12" s="11"/>
      <c r="CX12" s="11">
        <v>25</v>
      </c>
      <c r="CY12" s="11">
        <v>0</v>
      </c>
      <c r="CZ12" s="11"/>
      <c r="DA12" s="11"/>
      <c r="DB12" s="11">
        <v>0</v>
      </c>
      <c r="DC12" s="11">
        <v>0</v>
      </c>
      <c r="DD12" s="11"/>
      <c r="DE12" s="11"/>
      <c r="DF12" s="2"/>
      <c r="DG12" s="11">
        <v>43</v>
      </c>
      <c r="DJ12" s="2"/>
      <c r="DK12">
        <v>27.627906976744185</v>
      </c>
    </row>
    <row r="13" spans="1:117">
      <c r="A13" t="s">
        <v>64</v>
      </c>
      <c r="B13" t="s">
        <v>65</v>
      </c>
      <c r="C13" t="s">
        <v>66</v>
      </c>
      <c r="D13">
        <v>129381</v>
      </c>
      <c r="E13">
        <v>129381</v>
      </c>
      <c r="G13" t="s">
        <v>86</v>
      </c>
      <c r="H13" t="s">
        <v>87</v>
      </c>
      <c r="I13" t="s">
        <v>69</v>
      </c>
      <c r="J13" t="s">
        <v>70</v>
      </c>
      <c r="K13" t="s">
        <v>71</v>
      </c>
      <c r="L13" t="s">
        <v>80</v>
      </c>
      <c r="M13" t="s">
        <v>73</v>
      </c>
      <c r="N13" t="s">
        <v>74</v>
      </c>
      <c r="O13" s="10" t="s">
        <v>75</v>
      </c>
      <c r="P13" t="s">
        <v>75</v>
      </c>
      <c r="Q13" s="10">
        <v>1216</v>
      </c>
      <c r="R13" s="10">
        <v>0</v>
      </c>
      <c r="S13" s="10">
        <v>0</v>
      </c>
      <c r="T13">
        <v>1216</v>
      </c>
      <c r="U13" s="2"/>
      <c r="V13" s="11">
        <v>3</v>
      </c>
      <c r="W13" s="11">
        <v>0</v>
      </c>
      <c r="X13" s="11"/>
      <c r="Y13" s="11"/>
      <c r="Z13" s="11">
        <v>3</v>
      </c>
      <c r="AA13" s="11">
        <v>0</v>
      </c>
      <c r="AB13" s="11"/>
      <c r="AC13" s="11"/>
      <c r="AD13" s="11">
        <v>2</v>
      </c>
      <c r="AE13" s="11">
        <v>0</v>
      </c>
      <c r="AF13" s="11"/>
      <c r="AG13" s="11"/>
      <c r="AH13" s="11">
        <v>42</v>
      </c>
      <c r="AI13" s="11">
        <v>0</v>
      </c>
      <c r="AJ13" s="11"/>
      <c r="AK13" s="11"/>
      <c r="AL13" s="11">
        <v>5</v>
      </c>
      <c r="AM13" s="11">
        <v>0</v>
      </c>
      <c r="AN13" s="11"/>
      <c r="AO13" s="11"/>
      <c r="AP13" s="11">
        <v>43</v>
      </c>
      <c r="AQ13" s="11">
        <v>0</v>
      </c>
      <c r="AR13" s="11"/>
      <c r="AS13" s="11"/>
      <c r="AT13" s="11">
        <v>2</v>
      </c>
      <c r="AU13" s="11">
        <v>0</v>
      </c>
      <c r="AV13" s="11"/>
      <c r="AW13" s="11"/>
      <c r="AX13" s="11">
        <v>0</v>
      </c>
      <c r="AY13" s="11">
        <v>0</v>
      </c>
      <c r="AZ13" s="11"/>
      <c r="BA13" s="11"/>
      <c r="BB13" s="11">
        <v>16</v>
      </c>
      <c r="BC13" s="11">
        <v>0</v>
      </c>
      <c r="BD13" s="11"/>
      <c r="BE13" s="11"/>
      <c r="BF13" s="11">
        <v>101</v>
      </c>
      <c r="BG13" s="11">
        <v>0</v>
      </c>
      <c r="BH13" s="11"/>
      <c r="BI13" s="11"/>
      <c r="BJ13" s="11">
        <v>8</v>
      </c>
      <c r="BK13" s="11">
        <v>0</v>
      </c>
      <c r="BL13" s="11"/>
      <c r="BM13" s="11"/>
      <c r="BN13" s="11">
        <v>2</v>
      </c>
      <c r="BO13" s="11">
        <v>0</v>
      </c>
      <c r="BP13" s="11"/>
      <c r="BQ13" s="11"/>
      <c r="BR13" s="11">
        <v>2</v>
      </c>
      <c r="BS13" s="11">
        <v>0</v>
      </c>
      <c r="BT13" s="11"/>
      <c r="BU13" s="11"/>
      <c r="BV13" s="11">
        <v>0</v>
      </c>
      <c r="BW13" s="11">
        <v>0</v>
      </c>
      <c r="BX13" s="11"/>
      <c r="BY13" s="11"/>
      <c r="BZ13" s="11">
        <v>0</v>
      </c>
      <c r="CA13" s="11">
        <v>0</v>
      </c>
      <c r="CB13" s="11"/>
      <c r="CC13" s="11"/>
      <c r="CD13" s="11">
        <v>0</v>
      </c>
      <c r="CE13" s="11">
        <v>0</v>
      </c>
      <c r="CF13" s="11"/>
      <c r="CG13" s="11"/>
      <c r="CH13" s="11">
        <v>0</v>
      </c>
      <c r="CI13" s="11">
        <v>0</v>
      </c>
      <c r="CJ13" s="11"/>
      <c r="CK13" s="11"/>
      <c r="CL13" s="11">
        <v>0</v>
      </c>
      <c r="CM13" s="11">
        <v>0</v>
      </c>
      <c r="CN13" s="11"/>
      <c r="CO13" s="11"/>
      <c r="CP13" s="11">
        <v>0</v>
      </c>
      <c r="CQ13" s="11">
        <v>0</v>
      </c>
      <c r="CR13" s="11"/>
      <c r="CS13" s="11"/>
      <c r="CT13" s="11">
        <v>1</v>
      </c>
      <c r="CU13" s="11">
        <v>0</v>
      </c>
      <c r="CV13" s="11"/>
      <c r="CW13" s="11"/>
      <c r="CX13" s="11">
        <v>5</v>
      </c>
      <c r="CY13" s="11">
        <v>0</v>
      </c>
      <c r="CZ13" s="11"/>
      <c r="DA13" s="11"/>
      <c r="DB13" s="11">
        <v>0</v>
      </c>
      <c r="DC13" s="11">
        <v>0</v>
      </c>
      <c r="DD13" s="11"/>
      <c r="DE13" s="11"/>
      <c r="DF13" s="2"/>
      <c r="DG13" s="11">
        <v>54</v>
      </c>
      <c r="DJ13" s="2"/>
      <c r="DK13">
        <v>22.518518518518519</v>
      </c>
    </row>
    <row r="14" spans="1:117">
      <c r="A14" t="s">
        <v>64</v>
      </c>
      <c r="B14" t="s">
        <v>65</v>
      </c>
      <c r="C14" t="s">
        <v>66</v>
      </c>
      <c r="D14">
        <v>129382</v>
      </c>
      <c r="E14">
        <v>129382</v>
      </c>
      <c r="G14" t="s">
        <v>88</v>
      </c>
      <c r="H14" t="s">
        <v>89</v>
      </c>
      <c r="I14" t="s">
        <v>69</v>
      </c>
      <c r="J14" t="s">
        <v>70</v>
      </c>
      <c r="K14" t="s">
        <v>71</v>
      </c>
      <c r="L14" t="s">
        <v>80</v>
      </c>
      <c r="M14" t="s">
        <v>73</v>
      </c>
      <c r="N14" t="s">
        <v>74</v>
      </c>
      <c r="O14" s="10" t="s">
        <v>75</v>
      </c>
      <c r="P14" t="s">
        <v>75</v>
      </c>
      <c r="Q14" s="10">
        <v>1984</v>
      </c>
      <c r="R14" s="10">
        <v>0</v>
      </c>
      <c r="S14" s="10">
        <v>0</v>
      </c>
      <c r="T14">
        <v>1984</v>
      </c>
      <c r="U14" s="2"/>
      <c r="V14" s="11">
        <v>5</v>
      </c>
      <c r="W14" s="11">
        <v>0</v>
      </c>
      <c r="X14" s="11"/>
      <c r="Y14" s="11"/>
      <c r="Z14" s="11">
        <v>8</v>
      </c>
      <c r="AA14" s="11">
        <v>0</v>
      </c>
      <c r="AB14" s="11"/>
      <c r="AC14" s="11"/>
      <c r="AD14" s="11">
        <v>3</v>
      </c>
      <c r="AE14" s="11">
        <v>0</v>
      </c>
      <c r="AF14" s="11"/>
      <c r="AG14" s="11"/>
      <c r="AH14" s="11">
        <v>27</v>
      </c>
      <c r="AI14" s="11">
        <v>0</v>
      </c>
      <c r="AJ14" s="11"/>
      <c r="AK14" s="11"/>
      <c r="AL14" s="11">
        <v>5</v>
      </c>
      <c r="AM14" s="11">
        <v>0</v>
      </c>
      <c r="AN14" s="11"/>
      <c r="AO14" s="11"/>
      <c r="AP14" s="11">
        <v>43</v>
      </c>
      <c r="AQ14" s="11">
        <v>0</v>
      </c>
      <c r="AR14" s="11"/>
      <c r="AS14" s="11"/>
      <c r="AT14" s="11">
        <v>0</v>
      </c>
      <c r="AU14" s="11">
        <v>0</v>
      </c>
      <c r="AV14" s="11"/>
      <c r="AW14" s="11"/>
      <c r="AX14" s="11">
        <v>4</v>
      </c>
      <c r="AY14" s="11">
        <v>0</v>
      </c>
      <c r="AZ14" s="11"/>
      <c r="BA14" s="11"/>
      <c r="BB14" s="11">
        <v>16</v>
      </c>
      <c r="BC14" s="11">
        <v>0</v>
      </c>
      <c r="BD14" s="11"/>
      <c r="BE14" s="11"/>
      <c r="BF14" s="11">
        <v>84</v>
      </c>
      <c r="BG14" s="11">
        <v>0</v>
      </c>
      <c r="BH14" s="11"/>
      <c r="BI14" s="11"/>
      <c r="BJ14" s="11">
        <v>8</v>
      </c>
      <c r="BK14" s="11">
        <v>0</v>
      </c>
      <c r="BL14" s="11"/>
      <c r="BM14" s="11"/>
      <c r="BN14" s="11">
        <v>0</v>
      </c>
      <c r="BO14" s="11">
        <v>0</v>
      </c>
      <c r="BP14" s="11"/>
      <c r="BQ14" s="11"/>
      <c r="BR14" s="11">
        <v>0</v>
      </c>
      <c r="BS14" s="11">
        <v>0</v>
      </c>
      <c r="BT14" s="11"/>
      <c r="BU14" s="11"/>
      <c r="BV14" s="11">
        <v>0</v>
      </c>
      <c r="BW14" s="11">
        <v>0</v>
      </c>
      <c r="BX14" s="11"/>
      <c r="BY14" s="11"/>
      <c r="BZ14" s="11">
        <v>0</v>
      </c>
      <c r="CA14" s="11">
        <v>0</v>
      </c>
      <c r="CB14" s="11"/>
      <c r="CC14" s="11"/>
      <c r="CD14" s="11">
        <v>0</v>
      </c>
      <c r="CE14" s="11">
        <v>0</v>
      </c>
      <c r="CF14" s="11"/>
      <c r="CG14" s="11"/>
      <c r="CH14" s="11">
        <v>10</v>
      </c>
      <c r="CI14" s="11">
        <v>0</v>
      </c>
      <c r="CJ14" s="11"/>
      <c r="CK14" s="11"/>
      <c r="CL14" s="11">
        <v>0</v>
      </c>
      <c r="CM14" s="11">
        <v>0</v>
      </c>
      <c r="CN14" s="11"/>
      <c r="CO14" s="11"/>
      <c r="CP14" s="11">
        <v>0</v>
      </c>
      <c r="CQ14" s="11">
        <v>0</v>
      </c>
      <c r="CR14" s="11"/>
      <c r="CS14" s="11"/>
      <c r="CT14" s="11">
        <v>0</v>
      </c>
      <c r="CU14" s="11">
        <v>0</v>
      </c>
      <c r="CV14" s="11"/>
      <c r="CW14" s="11"/>
      <c r="CX14" s="11">
        <v>41</v>
      </c>
      <c r="CY14" s="11">
        <v>0</v>
      </c>
      <c r="CZ14" s="11"/>
      <c r="DA14" s="11"/>
      <c r="DB14" s="11">
        <v>6</v>
      </c>
      <c r="DC14" s="11">
        <v>0</v>
      </c>
      <c r="DD14" s="11"/>
      <c r="DE14" s="11"/>
      <c r="DF14" s="2"/>
      <c r="DG14" s="11">
        <v>43</v>
      </c>
      <c r="DJ14" s="2"/>
      <c r="DK14">
        <v>46.139534883720927</v>
      </c>
    </row>
    <row r="15" spans="1:117">
      <c r="A15" t="s">
        <v>64</v>
      </c>
      <c r="B15" t="s">
        <v>65</v>
      </c>
      <c r="C15" t="s">
        <v>66</v>
      </c>
      <c r="D15">
        <v>129383</v>
      </c>
      <c r="E15">
        <v>129383</v>
      </c>
      <c r="G15" t="s">
        <v>90</v>
      </c>
      <c r="H15" t="s">
        <v>91</v>
      </c>
      <c r="I15" t="s">
        <v>69</v>
      </c>
      <c r="J15" t="s">
        <v>70</v>
      </c>
      <c r="K15" t="s">
        <v>71</v>
      </c>
      <c r="L15" t="s">
        <v>80</v>
      </c>
      <c r="M15" t="s">
        <v>73</v>
      </c>
      <c r="N15" t="s">
        <v>74</v>
      </c>
      <c r="O15" s="10" t="s">
        <v>75</v>
      </c>
      <c r="P15" t="s">
        <v>75</v>
      </c>
      <c r="Q15" s="10">
        <v>982</v>
      </c>
      <c r="R15" s="10">
        <v>0</v>
      </c>
      <c r="S15" s="10">
        <v>0</v>
      </c>
      <c r="T15">
        <v>982</v>
      </c>
      <c r="U15" s="2"/>
      <c r="V15" s="11">
        <v>1</v>
      </c>
      <c r="W15" s="11">
        <v>0</v>
      </c>
      <c r="X15" s="11"/>
      <c r="Y15" s="11"/>
      <c r="Z15" s="11">
        <v>1</v>
      </c>
      <c r="AA15" s="11">
        <v>0</v>
      </c>
      <c r="AB15" s="11"/>
      <c r="AC15" s="11"/>
      <c r="AD15" s="11">
        <v>0</v>
      </c>
      <c r="AE15" s="11">
        <v>0</v>
      </c>
      <c r="AF15" s="11"/>
      <c r="AG15" s="11"/>
      <c r="AH15" s="11">
        <v>34</v>
      </c>
      <c r="AI15" s="11">
        <v>0</v>
      </c>
      <c r="AJ15" s="11"/>
      <c r="AK15" s="11"/>
      <c r="AL15" s="11">
        <v>0</v>
      </c>
      <c r="AM15" s="11">
        <v>0</v>
      </c>
      <c r="AN15" s="11"/>
      <c r="AO15" s="11"/>
      <c r="AP15" s="11">
        <v>34</v>
      </c>
      <c r="AQ15" s="11">
        <v>0</v>
      </c>
      <c r="AR15" s="11"/>
      <c r="AS15" s="11"/>
      <c r="AT15" s="11">
        <v>0</v>
      </c>
      <c r="AU15" s="11">
        <v>0</v>
      </c>
      <c r="AV15" s="11"/>
      <c r="AW15" s="11"/>
      <c r="AX15" s="11">
        <v>0</v>
      </c>
      <c r="AY15" s="11">
        <v>0</v>
      </c>
      <c r="AZ15" s="11"/>
      <c r="BA15" s="11"/>
      <c r="BB15" s="11">
        <v>17</v>
      </c>
      <c r="BC15" s="11">
        <v>0</v>
      </c>
      <c r="BD15" s="11"/>
      <c r="BE15" s="11"/>
      <c r="BF15" s="11">
        <v>37</v>
      </c>
      <c r="BG15" s="11">
        <v>0</v>
      </c>
      <c r="BH15" s="11"/>
      <c r="BI15" s="11"/>
      <c r="BJ15" s="11">
        <v>0</v>
      </c>
      <c r="BK15" s="11">
        <v>0</v>
      </c>
      <c r="BL15" s="11"/>
      <c r="BM15" s="11"/>
      <c r="BN15" s="11">
        <v>1</v>
      </c>
      <c r="BO15" s="11">
        <v>0</v>
      </c>
      <c r="BP15" s="11"/>
      <c r="BQ15" s="11"/>
      <c r="BR15" s="11">
        <v>1</v>
      </c>
      <c r="BS15" s="11">
        <v>0</v>
      </c>
      <c r="BT15" s="11"/>
      <c r="BU15" s="11"/>
      <c r="BV15" s="11">
        <v>0</v>
      </c>
      <c r="BW15" s="11">
        <v>0</v>
      </c>
      <c r="BX15" s="11"/>
      <c r="BY15" s="11"/>
      <c r="BZ15" s="11">
        <v>31</v>
      </c>
      <c r="CA15" s="11">
        <v>0</v>
      </c>
      <c r="CB15" s="11"/>
      <c r="CC15" s="11"/>
      <c r="CD15" s="11">
        <v>0</v>
      </c>
      <c r="CE15" s="11">
        <v>0</v>
      </c>
      <c r="CF15" s="11"/>
      <c r="CG15" s="11"/>
      <c r="CH15" s="11">
        <v>38</v>
      </c>
      <c r="CI15" s="11">
        <v>0</v>
      </c>
      <c r="CJ15" s="11"/>
      <c r="CK15" s="11"/>
      <c r="CL15" s="11">
        <v>1</v>
      </c>
      <c r="CM15" s="11">
        <v>0</v>
      </c>
      <c r="CN15" s="11"/>
      <c r="CO15" s="11"/>
      <c r="CP15" s="11">
        <v>0</v>
      </c>
      <c r="CQ15" s="11">
        <v>0</v>
      </c>
      <c r="CR15" s="11"/>
      <c r="CS15" s="11"/>
      <c r="CT15" s="11">
        <v>1</v>
      </c>
      <c r="CU15" s="11">
        <v>0</v>
      </c>
      <c r="CV15" s="11"/>
      <c r="CW15" s="11"/>
      <c r="CX15" s="11">
        <v>39</v>
      </c>
      <c r="CY15" s="11">
        <v>0</v>
      </c>
      <c r="CZ15" s="11"/>
      <c r="DA15" s="11"/>
      <c r="DB15" s="11">
        <v>0</v>
      </c>
      <c r="DC15" s="11">
        <v>0</v>
      </c>
      <c r="DD15" s="11"/>
      <c r="DE15" s="11"/>
      <c r="DF15" s="2"/>
      <c r="DG15" s="11">
        <v>69</v>
      </c>
      <c r="DJ15" s="2"/>
      <c r="DK15">
        <v>14.231884057971014</v>
      </c>
    </row>
    <row r="16" spans="1:117">
      <c r="A16" t="s">
        <v>64</v>
      </c>
      <c r="B16" t="s">
        <v>65</v>
      </c>
      <c r="C16" t="s">
        <v>66</v>
      </c>
      <c r="D16">
        <v>129384</v>
      </c>
      <c r="E16">
        <v>129384</v>
      </c>
      <c r="G16" t="s">
        <v>92</v>
      </c>
      <c r="H16" t="s">
        <v>93</v>
      </c>
      <c r="I16" t="s">
        <v>69</v>
      </c>
      <c r="J16" t="s">
        <v>70</v>
      </c>
      <c r="K16" t="s">
        <v>71</v>
      </c>
      <c r="L16" t="s">
        <v>80</v>
      </c>
      <c r="M16" t="s">
        <v>73</v>
      </c>
      <c r="N16" t="s">
        <v>74</v>
      </c>
      <c r="O16" s="10" t="s">
        <v>75</v>
      </c>
      <c r="P16" t="s">
        <v>75</v>
      </c>
      <c r="Q16" s="10">
        <v>126</v>
      </c>
      <c r="R16" s="10">
        <v>0</v>
      </c>
      <c r="S16" s="10">
        <v>0</v>
      </c>
      <c r="T16">
        <v>126</v>
      </c>
      <c r="U16" s="2"/>
      <c r="V16" s="11">
        <v>1</v>
      </c>
      <c r="W16" s="11">
        <v>0</v>
      </c>
      <c r="X16" s="11"/>
      <c r="Y16" s="11"/>
      <c r="Z16" s="11">
        <v>1</v>
      </c>
      <c r="AA16" s="11">
        <v>0</v>
      </c>
      <c r="AB16" s="11"/>
      <c r="AC16" s="11"/>
      <c r="AD16" s="11">
        <v>0</v>
      </c>
      <c r="AE16" s="11">
        <v>0</v>
      </c>
      <c r="AF16" s="11"/>
      <c r="AG16" s="11"/>
      <c r="AH16" s="11">
        <v>1</v>
      </c>
      <c r="AI16" s="11">
        <v>0</v>
      </c>
      <c r="AJ16" s="11"/>
      <c r="AK16" s="11"/>
      <c r="AL16" s="11">
        <v>0</v>
      </c>
      <c r="AM16" s="11">
        <v>0</v>
      </c>
      <c r="AN16" s="11"/>
      <c r="AO16" s="11"/>
      <c r="AP16" s="11">
        <v>7</v>
      </c>
      <c r="AQ16" s="11">
        <v>0</v>
      </c>
      <c r="AR16" s="11"/>
      <c r="AS16" s="11"/>
      <c r="AT16" s="11">
        <v>0</v>
      </c>
      <c r="AU16" s="11">
        <v>0</v>
      </c>
      <c r="AV16" s="11"/>
      <c r="AW16" s="11"/>
      <c r="AX16" s="11">
        <v>0</v>
      </c>
      <c r="AY16" s="11">
        <v>0</v>
      </c>
      <c r="AZ16" s="11"/>
      <c r="BA16" s="11"/>
      <c r="BB16" s="11">
        <v>1</v>
      </c>
      <c r="BC16" s="11">
        <v>0</v>
      </c>
      <c r="BD16" s="11"/>
      <c r="BE16" s="11"/>
      <c r="BF16" s="11">
        <v>24</v>
      </c>
      <c r="BG16" s="11">
        <v>0</v>
      </c>
      <c r="BH16" s="11"/>
      <c r="BI16" s="11"/>
      <c r="BJ16" s="11">
        <v>0</v>
      </c>
      <c r="BK16" s="11">
        <v>0</v>
      </c>
      <c r="BL16" s="11"/>
      <c r="BM16" s="11"/>
      <c r="BN16" s="11">
        <v>0</v>
      </c>
      <c r="BO16" s="11">
        <v>0</v>
      </c>
      <c r="BP16" s="11"/>
      <c r="BQ16" s="11"/>
      <c r="BR16" s="11">
        <v>0</v>
      </c>
      <c r="BS16" s="11">
        <v>0</v>
      </c>
      <c r="BT16" s="11"/>
      <c r="BU16" s="11"/>
      <c r="BV16" s="11">
        <v>0</v>
      </c>
      <c r="BW16" s="11">
        <v>0</v>
      </c>
      <c r="BX16" s="11"/>
      <c r="BY16" s="11"/>
      <c r="BZ16" s="11">
        <v>0</v>
      </c>
      <c r="CA16" s="11">
        <v>0</v>
      </c>
      <c r="CB16" s="11"/>
      <c r="CC16" s="11"/>
      <c r="CD16" s="11">
        <v>0</v>
      </c>
      <c r="CE16" s="11">
        <v>0</v>
      </c>
      <c r="CF16" s="11"/>
      <c r="CG16" s="11"/>
      <c r="CH16" s="11">
        <v>0</v>
      </c>
      <c r="CI16" s="11">
        <v>0</v>
      </c>
      <c r="CJ16" s="11"/>
      <c r="CK16" s="11"/>
      <c r="CL16" s="11">
        <v>0</v>
      </c>
      <c r="CM16" s="11">
        <v>0</v>
      </c>
      <c r="CN16" s="11"/>
      <c r="CO16" s="11"/>
      <c r="CP16" s="11">
        <v>0</v>
      </c>
      <c r="CQ16" s="11">
        <v>0</v>
      </c>
      <c r="CR16" s="11"/>
      <c r="CS16" s="11"/>
      <c r="CT16" s="11">
        <v>0</v>
      </c>
      <c r="CU16" s="11">
        <v>0</v>
      </c>
      <c r="CV16" s="11"/>
      <c r="CW16" s="11"/>
      <c r="CX16" s="11">
        <v>0</v>
      </c>
      <c r="CY16" s="11">
        <v>0</v>
      </c>
      <c r="CZ16" s="11"/>
      <c r="DA16" s="11"/>
      <c r="DB16" s="11">
        <v>0</v>
      </c>
      <c r="DC16" s="11">
        <v>0</v>
      </c>
      <c r="DD16" s="11"/>
      <c r="DE16" s="11"/>
      <c r="DF16" s="2"/>
      <c r="DG16" s="11">
        <v>3</v>
      </c>
      <c r="DJ16" s="2"/>
      <c r="DK16">
        <v>42</v>
      </c>
    </row>
    <row r="17" spans="1:117">
      <c r="A17" t="s">
        <v>64</v>
      </c>
      <c r="B17" t="s">
        <v>65</v>
      </c>
      <c r="C17" t="s">
        <v>66</v>
      </c>
      <c r="D17">
        <v>129385</v>
      </c>
      <c r="E17">
        <v>129385</v>
      </c>
      <c r="G17" t="s">
        <v>94</v>
      </c>
      <c r="H17" t="s">
        <v>95</v>
      </c>
      <c r="I17" t="s">
        <v>69</v>
      </c>
      <c r="J17" t="s">
        <v>70</v>
      </c>
      <c r="K17" t="s">
        <v>71</v>
      </c>
      <c r="L17" t="s">
        <v>72</v>
      </c>
      <c r="M17" t="s">
        <v>73</v>
      </c>
      <c r="N17" t="s">
        <v>74</v>
      </c>
      <c r="O17" s="10" t="s">
        <v>75</v>
      </c>
      <c r="P17" t="s">
        <v>75</v>
      </c>
      <c r="Q17" s="10">
        <v>806</v>
      </c>
      <c r="R17" s="10">
        <v>0</v>
      </c>
      <c r="S17" s="10">
        <v>0</v>
      </c>
      <c r="T17">
        <v>806</v>
      </c>
      <c r="U17" s="2"/>
      <c r="V17" s="11">
        <v>0</v>
      </c>
      <c r="W17" s="11">
        <v>0</v>
      </c>
      <c r="X17" s="11"/>
      <c r="Y17" s="11"/>
      <c r="Z17" s="11">
        <v>0</v>
      </c>
      <c r="AA17" s="11">
        <v>0</v>
      </c>
      <c r="AB17" s="11"/>
      <c r="AC17" s="11"/>
      <c r="AD17" s="11">
        <v>0</v>
      </c>
      <c r="AE17" s="11">
        <v>0</v>
      </c>
      <c r="AF17" s="11"/>
      <c r="AG17" s="11"/>
      <c r="AH17" s="11">
        <v>21</v>
      </c>
      <c r="AI17" s="11">
        <v>0</v>
      </c>
      <c r="AJ17" s="11"/>
      <c r="AK17" s="11"/>
      <c r="AL17" s="11">
        <v>0</v>
      </c>
      <c r="AM17" s="11">
        <v>0</v>
      </c>
      <c r="AN17" s="11"/>
      <c r="AO17" s="11"/>
      <c r="AP17" s="11">
        <v>17</v>
      </c>
      <c r="AQ17" s="11">
        <v>0</v>
      </c>
      <c r="AR17" s="11"/>
      <c r="AS17" s="11"/>
      <c r="AT17" s="11">
        <v>0</v>
      </c>
      <c r="AU17" s="11">
        <v>0</v>
      </c>
      <c r="AV17" s="11"/>
      <c r="AW17" s="11"/>
      <c r="AX17" s="11">
        <v>0</v>
      </c>
      <c r="AY17" s="11">
        <v>0</v>
      </c>
      <c r="AZ17" s="11"/>
      <c r="BA17" s="11"/>
      <c r="BB17" s="11">
        <v>11</v>
      </c>
      <c r="BC17" s="11">
        <v>0</v>
      </c>
      <c r="BD17" s="11"/>
      <c r="BE17" s="11"/>
      <c r="BF17" s="11">
        <v>39</v>
      </c>
      <c r="BG17" s="11">
        <v>0</v>
      </c>
      <c r="BH17" s="11"/>
      <c r="BI17" s="11"/>
      <c r="BJ17" s="11">
        <v>0</v>
      </c>
      <c r="BK17" s="11">
        <v>0</v>
      </c>
      <c r="BL17" s="11"/>
      <c r="BM17" s="11"/>
      <c r="BN17" s="11">
        <v>1</v>
      </c>
      <c r="BO17" s="11">
        <v>0</v>
      </c>
      <c r="BP17" s="11"/>
      <c r="BQ17" s="11"/>
      <c r="BR17" s="11">
        <v>1</v>
      </c>
      <c r="BS17" s="11">
        <v>0</v>
      </c>
      <c r="BT17" s="11"/>
      <c r="BU17" s="11"/>
      <c r="BV17" s="11">
        <v>0</v>
      </c>
      <c r="BW17" s="11">
        <v>0</v>
      </c>
      <c r="BX17" s="11"/>
      <c r="BY17" s="11"/>
      <c r="BZ17" s="11">
        <v>20</v>
      </c>
      <c r="CA17" s="11">
        <v>0</v>
      </c>
      <c r="CB17" s="11"/>
      <c r="CC17" s="11"/>
      <c r="CD17" s="11">
        <v>0</v>
      </c>
      <c r="CE17" s="11">
        <v>0</v>
      </c>
      <c r="CF17" s="11"/>
      <c r="CG17" s="11"/>
      <c r="CH17" s="11">
        <v>27</v>
      </c>
      <c r="CI17" s="11">
        <v>0</v>
      </c>
      <c r="CJ17" s="11"/>
      <c r="CK17" s="11"/>
      <c r="CL17" s="11">
        <v>0</v>
      </c>
      <c r="CM17" s="11">
        <v>0</v>
      </c>
      <c r="CN17" s="11"/>
      <c r="CO17" s="11"/>
      <c r="CP17" s="11">
        <v>0</v>
      </c>
      <c r="CQ17" s="11">
        <v>0</v>
      </c>
      <c r="CR17" s="11"/>
      <c r="CS17" s="11"/>
      <c r="CT17" s="11">
        <v>1</v>
      </c>
      <c r="CU17" s="11">
        <v>0</v>
      </c>
      <c r="CV17" s="11"/>
      <c r="CW17" s="11"/>
      <c r="CX17" s="11">
        <v>57</v>
      </c>
      <c r="CY17" s="11">
        <v>0</v>
      </c>
      <c r="CZ17" s="11"/>
      <c r="DA17" s="11"/>
      <c r="DB17" s="11">
        <v>0</v>
      </c>
      <c r="DC17" s="11">
        <v>0</v>
      </c>
      <c r="DD17" s="11"/>
      <c r="DE17" s="11"/>
      <c r="DF17" s="2"/>
      <c r="DG17" s="11">
        <v>43</v>
      </c>
      <c r="DJ17" s="2"/>
      <c r="DK17">
        <v>18.744186046511629</v>
      </c>
    </row>
    <row r="18" spans="1:117">
      <c r="A18" t="s">
        <v>64</v>
      </c>
      <c r="B18" t="s">
        <v>65</v>
      </c>
      <c r="C18" t="s">
        <v>66</v>
      </c>
      <c r="D18">
        <v>129386</v>
      </c>
      <c r="E18">
        <v>129386</v>
      </c>
      <c r="G18" t="s">
        <v>96</v>
      </c>
      <c r="H18" t="s">
        <v>97</v>
      </c>
      <c r="I18" t="s">
        <v>69</v>
      </c>
      <c r="J18" t="s">
        <v>70</v>
      </c>
      <c r="K18" t="s">
        <v>71</v>
      </c>
      <c r="L18" t="s">
        <v>83</v>
      </c>
      <c r="M18" t="s">
        <v>73</v>
      </c>
      <c r="N18" t="s">
        <v>74</v>
      </c>
      <c r="O18" s="10" t="s">
        <v>75</v>
      </c>
      <c r="P18" t="s">
        <v>75</v>
      </c>
      <c r="Q18" s="10">
        <v>146</v>
      </c>
      <c r="R18" s="10">
        <v>0</v>
      </c>
      <c r="S18" s="10">
        <v>0</v>
      </c>
      <c r="T18">
        <v>146</v>
      </c>
      <c r="U18" s="2"/>
      <c r="V18" s="11">
        <v>0</v>
      </c>
      <c r="W18" s="11">
        <v>0</v>
      </c>
      <c r="X18" s="11"/>
      <c r="Y18" s="11"/>
      <c r="Z18" s="11">
        <v>0</v>
      </c>
      <c r="AA18" s="11">
        <v>0</v>
      </c>
      <c r="AB18" s="11"/>
      <c r="AC18" s="11"/>
      <c r="AD18" s="11">
        <v>0</v>
      </c>
      <c r="AE18" s="11">
        <v>0</v>
      </c>
      <c r="AF18" s="11"/>
      <c r="AG18" s="11"/>
      <c r="AH18" s="11">
        <v>6</v>
      </c>
      <c r="AI18" s="11">
        <v>0</v>
      </c>
      <c r="AJ18" s="11"/>
      <c r="AK18" s="11"/>
      <c r="AL18" s="11">
        <v>0</v>
      </c>
      <c r="AM18" s="11">
        <v>0</v>
      </c>
      <c r="AN18" s="11"/>
      <c r="AO18" s="11"/>
      <c r="AP18" s="11">
        <v>6</v>
      </c>
      <c r="AQ18" s="11">
        <v>0</v>
      </c>
      <c r="AR18" s="11"/>
      <c r="AS18" s="11"/>
      <c r="AT18" s="11">
        <v>0</v>
      </c>
      <c r="AU18" s="11">
        <v>0</v>
      </c>
      <c r="AV18" s="11"/>
      <c r="AW18" s="11"/>
      <c r="AX18" s="11">
        <v>0</v>
      </c>
      <c r="AY18" s="11">
        <v>0</v>
      </c>
      <c r="AZ18" s="11"/>
      <c r="BA18" s="11"/>
      <c r="BB18" s="11">
        <v>4</v>
      </c>
      <c r="BC18" s="11">
        <v>0</v>
      </c>
      <c r="BD18" s="11"/>
      <c r="BE18" s="11"/>
      <c r="BF18" s="11">
        <v>12</v>
      </c>
      <c r="BG18" s="11">
        <v>0</v>
      </c>
      <c r="BH18" s="11"/>
      <c r="BI18" s="11"/>
      <c r="BJ18" s="11">
        <v>0</v>
      </c>
      <c r="BK18" s="11">
        <v>0</v>
      </c>
      <c r="BL18" s="11"/>
      <c r="BM18" s="11"/>
      <c r="BN18" s="11">
        <v>0</v>
      </c>
      <c r="BO18" s="11">
        <v>0</v>
      </c>
      <c r="BP18" s="11"/>
      <c r="BQ18" s="11"/>
      <c r="BR18" s="11">
        <v>0</v>
      </c>
      <c r="BS18" s="11">
        <v>0</v>
      </c>
      <c r="BT18" s="11"/>
      <c r="BU18" s="11"/>
      <c r="BV18" s="11">
        <v>1</v>
      </c>
      <c r="BW18" s="11">
        <v>0</v>
      </c>
      <c r="BX18" s="11"/>
      <c r="BY18" s="11"/>
      <c r="BZ18" s="11">
        <v>1</v>
      </c>
      <c r="CA18" s="11">
        <v>0</v>
      </c>
      <c r="CB18" s="11"/>
      <c r="CC18" s="11"/>
      <c r="CD18" s="11">
        <v>0</v>
      </c>
      <c r="CE18" s="11">
        <v>0</v>
      </c>
      <c r="CF18" s="11"/>
      <c r="CG18" s="11"/>
      <c r="CH18" s="11">
        <v>2</v>
      </c>
      <c r="CI18" s="11">
        <v>0</v>
      </c>
      <c r="CJ18" s="11"/>
      <c r="CK18" s="11"/>
      <c r="CL18" s="11">
        <v>0</v>
      </c>
      <c r="CM18" s="11">
        <v>0</v>
      </c>
      <c r="CN18" s="11"/>
      <c r="CO18" s="11"/>
      <c r="CP18" s="11">
        <v>0</v>
      </c>
      <c r="CQ18" s="11">
        <v>0</v>
      </c>
      <c r="CR18" s="11"/>
      <c r="CS18" s="11"/>
      <c r="CT18" s="11">
        <v>0</v>
      </c>
      <c r="CU18" s="11">
        <v>0</v>
      </c>
      <c r="CV18" s="11"/>
      <c r="CW18" s="11"/>
      <c r="CX18" s="11">
        <v>10</v>
      </c>
      <c r="CY18" s="11">
        <v>0</v>
      </c>
      <c r="CZ18" s="11"/>
      <c r="DA18" s="11"/>
      <c r="DB18" s="11">
        <v>0</v>
      </c>
      <c r="DC18" s="11">
        <v>0</v>
      </c>
      <c r="DD18" s="11"/>
      <c r="DE18" s="11"/>
      <c r="DF18" s="2"/>
      <c r="DG18" s="11">
        <v>8</v>
      </c>
      <c r="DJ18" s="2"/>
      <c r="DK18">
        <v>18.25</v>
      </c>
    </row>
    <row r="19" spans="1:117">
      <c r="A19" t="s">
        <v>64</v>
      </c>
      <c r="B19" t="s">
        <v>65</v>
      </c>
      <c r="C19" t="s">
        <v>66</v>
      </c>
      <c r="D19">
        <v>205504</v>
      </c>
      <c r="E19">
        <v>205504</v>
      </c>
      <c r="G19" t="s">
        <v>98</v>
      </c>
      <c r="H19" t="s">
        <v>87</v>
      </c>
      <c r="I19" t="s">
        <v>69</v>
      </c>
      <c r="J19" t="s">
        <v>70</v>
      </c>
      <c r="K19" t="s">
        <v>71</v>
      </c>
      <c r="L19" t="s">
        <v>80</v>
      </c>
      <c r="M19" t="s">
        <v>73</v>
      </c>
      <c r="N19" t="s">
        <v>74</v>
      </c>
      <c r="O19" s="10" t="s">
        <v>75</v>
      </c>
      <c r="P19" t="s">
        <v>75</v>
      </c>
      <c r="Q19" s="10">
        <v>975</v>
      </c>
      <c r="R19" s="10">
        <v>0</v>
      </c>
      <c r="S19" s="10">
        <v>0</v>
      </c>
      <c r="T19">
        <v>975</v>
      </c>
      <c r="U19" s="2"/>
      <c r="V19" s="11">
        <v>0</v>
      </c>
      <c r="W19" s="11">
        <v>0</v>
      </c>
      <c r="X19" s="11"/>
      <c r="Y19" s="11"/>
      <c r="Z19" s="11">
        <v>0</v>
      </c>
      <c r="AA19" s="11">
        <v>0</v>
      </c>
      <c r="AB19" s="11"/>
      <c r="AC19" s="11"/>
      <c r="AD19" s="11">
        <v>0</v>
      </c>
      <c r="AE19" s="11">
        <v>0</v>
      </c>
      <c r="AF19" s="11"/>
      <c r="AG19" s="11"/>
      <c r="AH19" s="11">
        <v>33</v>
      </c>
      <c r="AI19" s="11">
        <v>0</v>
      </c>
      <c r="AJ19" s="11"/>
      <c r="AK19" s="11"/>
      <c r="AL19" s="11">
        <v>1</v>
      </c>
      <c r="AM19" s="11">
        <v>0</v>
      </c>
      <c r="AN19" s="11"/>
      <c r="AO19" s="11"/>
      <c r="AP19" s="11">
        <v>30</v>
      </c>
      <c r="AQ19" s="11">
        <v>0</v>
      </c>
      <c r="AR19" s="11"/>
      <c r="AS19" s="11"/>
      <c r="AT19" s="11">
        <v>0</v>
      </c>
      <c r="AU19" s="11">
        <v>0</v>
      </c>
      <c r="AV19" s="11"/>
      <c r="AW19" s="11"/>
      <c r="AX19" s="11">
        <v>0</v>
      </c>
      <c r="AY19" s="11">
        <v>0</v>
      </c>
      <c r="AZ19" s="11"/>
      <c r="BA19" s="11"/>
      <c r="BB19" s="11">
        <v>13</v>
      </c>
      <c r="BC19" s="11">
        <v>0</v>
      </c>
      <c r="BD19" s="11"/>
      <c r="BE19" s="11"/>
      <c r="BF19" s="11">
        <v>65</v>
      </c>
      <c r="BG19" s="11">
        <v>0</v>
      </c>
      <c r="BH19" s="11"/>
      <c r="BI19" s="11"/>
      <c r="BJ19" s="11">
        <v>0</v>
      </c>
      <c r="BK19" s="11">
        <v>0</v>
      </c>
      <c r="BL19" s="11"/>
      <c r="BM19" s="11"/>
      <c r="BN19" s="11">
        <v>1</v>
      </c>
      <c r="BO19" s="11">
        <v>0</v>
      </c>
      <c r="BP19" s="11"/>
      <c r="BQ19" s="11"/>
      <c r="BR19" s="11">
        <v>1</v>
      </c>
      <c r="BS19" s="11">
        <v>0</v>
      </c>
      <c r="BT19" s="11"/>
      <c r="BU19" s="11"/>
      <c r="BV19" s="11">
        <v>1</v>
      </c>
      <c r="BW19" s="11">
        <v>0</v>
      </c>
      <c r="BX19" s="11"/>
      <c r="BY19" s="11"/>
      <c r="BZ19" s="11">
        <v>0</v>
      </c>
      <c r="CA19" s="11">
        <v>0</v>
      </c>
      <c r="CB19" s="11"/>
      <c r="CC19" s="11"/>
      <c r="CD19" s="11">
        <v>0</v>
      </c>
      <c r="CE19" s="11">
        <v>0</v>
      </c>
      <c r="CF19" s="11"/>
      <c r="CG19" s="11"/>
      <c r="CH19" s="11">
        <v>5</v>
      </c>
      <c r="CI19" s="11">
        <v>0</v>
      </c>
      <c r="CJ19" s="11"/>
      <c r="CK19" s="11"/>
      <c r="CL19" s="11">
        <v>0</v>
      </c>
      <c r="CM19" s="11">
        <v>0</v>
      </c>
      <c r="CN19" s="11"/>
      <c r="CO19" s="11"/>
      <c r="CP19" s="11">
        <v>0</v>
      </c>
      <c r="CQ19" s="11">
        <v>0</v>
      </c>
      <c r="CR19" s="11"/>
      <c r="CS19" s="11"/>
      <c r="CT19" s="11">
        <v>1</v>
      </c>
      <c r="CU19" s="11">
        <v>0</v>
      </c>
      <c r="CV19" s="11"/>
      <c r="CW19" s="11"/>
      <c r="CX19" s="11">
        <v>37</v>
      </c>
      <c r="CY19" s="11">
        <v>0</v>
      </c>
      <c r="CZ19" s="11"/>
      <c r="DA19" s="11"/>
      <c r="DB19" s="11">
        <v>0</v>
      </c>
      <c r="DC19" s="11">
        <v>0</v>
      </c>
      <c r="DD19" s="11"/>
      <c r="DE19" s="11"/>
      <c r="DF19" s="2"/>
      <c r="DG19" s="11">
        <v>36</v>
      </c>
      <c r="DJ19" s="2"/>
      <c r="DK19">
        <v>27.083333333333332</v>
      </c>
    </row>
    <row r="20" spans="1:117">
      <c r="A20" t="s">
        <v>64</v>
      </c>
      <c r="B20" t="s">
        <v>65</v>
      </c>
      <c r="C20" t="s">
        <v>66</v>
      </c>
      <c r="D20">
        <v>304325</v>
      </c>
      <c r="E20">
        <v>304325</v>
      </c>
      <c r="G20" t="s">
        <v>99</v>
      </c>
      <c r="H20" t="s">
        <v>100</v>
      </c>
      <c r="I20" t="s">
        <v>69</v>
      </c>
      <c r="J20" t="s">
        <v>70</v>
      </c>
      <c r="K20" t="s">
        <v>71</v>
      </c>
      <c r="L20" t="s">
        <v>83</v>
      </c>
      <c r="M20" t="s">
        <v>73</v>
      </c>
      <c r="N20" t="s">
        <v>74</v>
      </c>
      <c r="O20" s="10" t="s">
        <v>101</v>
      </c>
      <c r="P20" t="s">
        <v>101</v>
      </c>
      <c r="Q20" s="10">
        <v>0</v>
      </c>
      <c r="R20" s="10">
        <v>3471</v>
      </c>
      <c r="S20" s="10">
        <v>2000</v>
      </c>
      <c r="T20">
        <v>5471</v>
      </c>
      <c r="U20" s="2"/>
      <c r="V20" s="11">
        <v>0</v>
      </c>
      <c r="W20" s="11">
        <v>28</v>
      </c>
      <c r="X20" s="11">
        <v>17.76421129592396</v>
      </c>
      <c r="Y20" s="11">
        <v>10.235788704076038</v>
      </c>
      <c r="Z20" s="11">
        <v>0</v>
      </c>
      <c r="AA20" s="11">
        <v>40</v>
      </c>
      <c r="AB20" s="11">
        <v>25.377444708462804</v>
      </c>
      <c r="AC20" s="11">
        <v>14.622555291537196</v>
      </c>
      <c r="AD20" s="11">
        <v>0</v>
      </c>
      <c r="AE20" s="11">
        <v>10</v>
      </c>
      <c r="AF20" s="11">
        <v>6.3443611771157009</v>
      </c>
      <c r="AG20" s="11">
        <v>3.6556388228842991</v>
      </c>
      <c r="AH20" s="11">
        <v>0</v>
      </c>
      <c r="AI20" s="11">
        <v>77</v>
      </c>
      <c r="AJ20" s="11">
        <v>48.851581063790896</v>
      </c>
      <c r="AK20" s="11">
        <v>28.148418936209101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127</v>
      </c>
      <c r="AR20" s="11">
        <v>80.573386949369393</v>
      </c>
      <c r="AS20" s="11">
        <v>46.4266130506306</v>
      </c>
      <c r="AT20" s="11">
        <v>0</v>
      </c>
      <c r="AU20" s="11">
        <v>2</v>
      </c>
      <c r="AV20" s="11">
        <v>1.2688722354231401</v>
      </c>
      <c r="AW20" s="11">
        <v>0.7311277645768598</v>
      </c>
      <c r="AX20" s="11">
        <v>0</v>
      </c>
      <c r="AY20" s="11">
        <v>18</v>
      </c>
      <c r="AZ20" s="11">
        <v>11.419850118808261</v>
      </c>
      <c r="BA20" s="11">
        <v>6.5801498811917378</v>
      </c>
      <c r="BB20" s="11">
        <v>0</v>
      </c>
      <c r="BC20" s="11">
        <v>38</v>
      </c>
      <c r="BD20" s="11">
        <v>24.108572473039661</v>
      </c>
      <c r="BE20" s="11">
        <v>13.891427526960337</v>
      </c>
      <c r="BF20" s="11">
        <v>0</v>
      </c>
      <c r="BG20" s="11">
        <v>258</v>
      </c>
      <c r="BH20" s="11">
        <v>163.68451836958508</v>
      </c>
      <c r="BI20" s="11">
        <v>94.315481630414908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5</v>
      </c>
      <c r="BP20" s="11">
        <v>3.1721805885578505</v>
      </c>
      <c r="BQ20" s="11">
        <v>1.8278194114421495</v>
      </c>
      <c r="BR20" s="11">
        <v>0</v>
      </c>
      <c r="BS20" s="11">
        <v>5</v>
      </c>
      <c r="BT20" s="11">
        <v>3.1721805885578505</v>
      </c>
      <c r="BU20" s="11">
        <v>1.8278194114421495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1</v>
      </c>
      <c r="CB20" s="11">
        <v>0.63443611771157005</v>
      </c>
      <c r="CC20" s="11">
        <v>0.3655638822884299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6</v>
      </c>
      <c r="CJ20" s="11">
        <v>3.8066167062694203</v>
      </c>
      <c r="CK20" s="11">
        <v>2.1933832937305793</v>
      </c>
      <c r="CL20" s="11">
        <v>0</v>
      </c>
      <c r="CM20" s="11">
        <v>3</v>
      </c>
      <c r="CN20" s="11">
        <v>1.9033083531347101</v>
      </c>
      <c r="CO20" s="11">
        <v>1.0966916468652896</v>
      </c>
      <c r="CP20" s="11">
        <v>0</v>
      </c>
      <c r="CQ20" s="11">
        <v>0</v>
      </c>
      <c r="CR20" s="11">
        <v>0</v>
      </c>
      <c r="CS20" s="11">
        <v>0</v>
      </c>
      <c r="CT20" s="11">
        <v>0</v>
      </c>
      <c r="CU20" s="11">
        <v>1</v>
      </c>
      <c r="CV20" s="11">
        <v>0.63443611771157005</v>
      </c>
      <c r="CW20" s="11">
        <v>0.3655638822884299</v>
      </c>
      <c r="CX20" s="11">
        <v>0</v>
      </c>
      <c r="CY20" s="11">
        <v>19</v>
      </c>
      <c r="CZ20" s="11">
        <v>12.054286236519831</v>
      </c>
      <c r="DA20" s="11">
        <v>6.9457137634801684</v>
      </c>
      <c r="DB20" s="11">
        <v>0</v>
      </c>
      <c r="DC20" s="11">
        <v>0</v>
      </c>
      <c r="DD20" s="11">
        <v>0</v>
      </c>
      <c r="DE20" s="11">
        <v>0</v>
      </c>
      <c r="DF20" s="2"/>
      <c r="DH20" s="11">
        <v>105.31639554012062</v>
      </c>
      <c r="DI20" s="11">
        <v>60.683604459879362</v>
      </c>
      <c r="DJ20" s="2"/>
      <c r="DL20">
        <v>32.957831325301207</v>
      </c>
      <c r="DM20">
        <v>32.957831325301207</v>
      </c>
    </row>
    <row r="21" spans="1:117">
      <c r="A21" t="s">
        <v>64</v>
      </c>
      <c r="B21" t="s">
        <v>65</v>
      </c>
      <c r="C21" t="s">
        <v>66</v>
      </c>
      <c r="D21">
        <v>304326</v>
      </c>
      <c r="E21">
        <v>304326</v>
      </c>
      <c r="G21" t="s">
        <v>102</v>
      </c>
      <c r="H21" t="s">
        <v>103</v>
      </c>
      <c r="I21" t="s">
        <v>69</v>
      </c>
      <c r="J21" t="s">
        <v>70</v>
      </c>
      <c r="K21" t="s">
        <v>71</v>
      </c>
      <c r="L21" t="s">
        <v>83</v>
      </c>
      <c r="M21" t="s">
        <v>73</v>
      </c>
      <c r="N21" t="s">
        <v>74</v>
      </c>
      <c r="O21" s="10" t="s">
        <v>101</v>
      </c>
      <c r="P21" t="s">
        <v>101</v>
      </c>
      <c r="Q21" s="10">
        <v>0</v>
      </c>
      <c r="R21" s="10">
        <v>705</v>
      </c>
      <c r="S21" s="10">
        <v>562</v>
      </c>
      <c r="T21">
        <v>1267</v>
      </c>
      <c r="U21" s="2"/>
      <c r="V21" s="11">
        <v>0</v>
      </c>
      <c r="W21" s="11">
        <v>15</v>
      </c>
      <c r="X21" s="11">
        <v>8.346487766377269</v>
      </c>
      <c r="Y21" s="11">
        <v>6.653512233622731</v>
      </c>
      <c r="Z21" s="11">
        <v>0</v>
      </c>
      <c r="AA21" s="11">
        <v>15</v>
      </c>
      <c r="AB21" s="11">
        <v>8.346487766377269</v>
      </c>
      <c r="AC21" s="11">
        <v>6.653512233622731</v>
      </c>
      <c r="AD21" s="11">
        <v>0</v>
      </c>
      <c r="AE21" s="11">
        <v>10</v>
      </c>
      <c r="AF21" s="11">
        <v>5.5643251775848457</v>
      </c>
      <c r="AG21" s="11">
        <v>4.4356748224151534</v>
      </c>
      <c r="AH21" s="11">
        <v>0</v>
      </c>
      <c r="AI21" s="11">
        <v>42</v>
      </c>
      <c r="AJ21" s="11">
        <v>23.370165745856351</v>
      </c>
      <c r="AK21" s="11">
        <v>18.629834254143645</v>
      </c>
      <c r="AL21" s="11">
        <v>0</v>
      </c>
      <c r="AM21" s="11">
        <v>3</v>
      </c>
      <c r="AN21" s="11">
        <v>1.6692975532754537</v>
      </c>
      <c r="AO21" s="11">
        <v>1.3307024467245461</v>
      </c>
      <c r="AP21" s="11">
        <v>0</v>
      </c>
      <c r="AQ21" s="11">
        <v>101</v>
      </c>
      <c r="AR21" s="11">
        <v>56.199684293606943</v>
      </c>
      <c r="AS21" s="11">
        <v>44.80031570639305</v>
      </c>
      <c r="AT21" s="11">
        <v>0</v>
      </c>
      <c r="AU21" s="11">
        <v>15</v>
      </c>
      <c r="AV21" s="11">
        <v>8.346487766377269</v>
      </c>
      <c r="AW21" s="11">
        <v>6.653512233622731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20</v>
      </c>
      <c r="BD21" s="11">
        <v>11.128650355169691</v>
      </c>
      <c r="BE21" s="11">
        <v>8.8713496448303069</v>
      </c>
      <c r="BF21" s="11">
        <v>0</v>
      </c>
      <c r="BG21" s="11">
        <v>146</v>
      </c>
      <c r="BH21" s="11">
        <v>81.239147592738746</v>
      </c>
      <c r="BI21" s="11">
        <v>64.76085240726124</v>
      </c>
      <c r="BJ21" s="11">
        <v>0</v>
      </c>
      <c r="BK21" s="11">
        <v>5</v>
      </c>
      <c r="BL21" s="11">
        <v>2.7821625887924228</v>
      </c>
      <c r="BM21" s="11">
        <v>2.2178374112075767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11">
        <v>0</v>
      </c>
      <c r="CR21" s="11">
        <v>0</v>
      </c>
      <c r="CS21" s="11">
        <v>0</v>
      </c>
      <c r="CT21" s="11">
        <v>0</v>
      </c>
      <c r="CU21" s="11">
        <v>0</v>
      </c>
      <c r="CV21" s="11">
        <v>0</v>
      </c>
      <c r="CW21" s="11">
        <v>0</v>
      </c>
      <c r="CX21" s="11">
        <v>0</v>
      </c>
      <c r="CY21" s="11">
        <v>0</v>
      </c>
      <c r="CZ21" s="11">
        <v>0</v>
      </c>
      <c r="DA21" s="11">
        <v>0</v>
      </c>
      <c r="DB21" s="11">
        <v>0</v>
      </c>
      <c r="DC21" s="11">
        <v>0</v>
      </c>
      <c r="DD21" s="11">
        <v>0</v>
      </c>
      <c r="DE21" s="11">
        <v>0</v>
      </c>
      <c r="DF21" s="2"/>
      <c r="DH21" s="11">
        <v>45.627466456195734</v>
      </c>
      <c r="DI21" s="11">
        <v>36.372533543804259</v>
      </c>
      <c r="DJ21" s="2"/>
      <c r="DL21">
        <v>15.451219512195124</v>
      </c>
      <c r="DM21">
        <v>15.451219512195124</v>
      </c>
    </row>
    <row r="22" spans="1:117">
      <c r="A22" t="s">
        <v>64</v>
      </c>
      <c r="B22" t="s">
        <v>65</v>
      </c>
      <c r="C22" t="s">
        <v>66</v>
      </c>
      <c r="D22">
        <v>325104</v>
      </c>
      <c r="E22">
        <v>325104</v>
      </c>
      <c r="G22" t="s">
        <v>104</v>
      </c>
      <c r="H22" t="s">
        <v>105</v>
      </c>
      <c r="I22" t="s">
        <v>69</v>
      </c>
      <c r="J22" t="s">
        <v>70</v>
      </c>
      <c r="K22" t="s">
        <v>71</v>
      </c>
      <c r="L22" t="s">
        <v>72</v>
      </c>
      <c r="M22" t="s">
        <v>73</v>
      </c>
      <c r="N22" t="s">
        <v>74</v>
      </c>
      <c r="O22" s="10" t="s">
        <v>101</v>
      </c>
      <c r="P22" t="s">
        <v>101</v>
      </c>
      <c r="Q22" s="10">
        <v>0</v>
      </c>
      <c r="R22" s="10">
        <v>642</v>
      </c>
      <c r="S22" s="10">
        <v>263</v>
      </c>
      <c r="T22">
        <v>905</v>
      </c>
      <c r="U22" s="2"/>
      <c r="V22" s="11">
        <v>0</v>
      </c>
      <c r="W22" s="11">
        <v>4</v>
      </c>
      <c r="X22" s="11">
        <v>2.8375690607734807</v>
      </c>
      <c r="Y22" s="11">
        <v>1.1624309392265193</v>
      </c>
      <c r="Z22" s="11">
        <v>0</v>
      </c>
      <c r="AA22" s="11">
        <v>4</v>
      </c>
      <c r="AB22" s="11">
        <v>2.8375690607734807</v>
      </c>
      <c r="AC22" s="11">
        <v>1.1624309392265193</v>
      </c>
      <c r="AD22" s="11">
        <v>0</v>
      </c>
      <c r="AE22" s="11">
        <v>3</v>
      </c>
      <c r="AF22" s="11">
        <v>2.1281767955801105</v>
      </c>
      <c r="AG22" s="11">
        <v>0.87182320441988947</v>
      </c>
      <c r="AH22" s="11">
        <v>0</v>
      </c>
      <c r="AI22" s="11">
        <v>19</v>
      </c>
      <c r="AJ22" s="11">
        <v>13.478453038674033</v>
      </c>
      <c r="AK22" s="11">
        <v>5.5215469613259671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30</v>
      </c>
      <c r="AR22" s="11">
        <v>21.281767955801104</v>
      </c>
      <c r="AS22" s="11">
        <v>8.7182320441988956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8</v>
      </c>
      <c r="BD22" s="11">
        <v>5.6751381215469614</v>
      </c>
      <c r="BE22" s="11">
        <v>2.3248618784530386</v>
      </c>
      <c r="BF22" s="11">
        <v>0</v>
      </c>
      <c r="BG22" s="11">
        <v>58</v>
      </c>
      <c r="BH22" s="11">
        <v>41.144751381215471</v>
      </c>
      <c r="BI22" s="11">
        <v>16.855248618784529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5</v>
      </c>
      <c r="CJ22" s="11">
        <v>3.5469613259668509</v>
      </c>
      <c r="CK22" s="11">
        <v>1.4530386740331491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11">
        <v>0</v>
      </c>
      <c r="CR22" s="11">
        <v>0</v>
      </c>
      <c r="CS22" s="11">
        <v>0</v>
      </c>
      <c r="CT22" s="11">
        <v>0</v>
      </c>
      <c r="CU22" s="11">
        <v>0</v>
      </c>
      <c r="CV22" s="11">
        <v>0</v>
      </c>
      <c r="CW22" s="11">
        <v>0</v>
      </c>
      <c r="CX22" s="11">
        <v>0</v>
      </c>
      <c r="CY22" s="11">
        <v>21</v>
      </c>
      <c r="CZ22" s="11">
        <v>14.897237569060774</v>
      </c>
      <c r="DA22" s="11">
        <v>6.1027624309392259</v>
      </c>
      <c r="DB22" s="11">
        <v>0</v>
      </c>
      <c r="DC22" s="11">
        <v>0</v>
      </c>
      <c r="DD22" s="11">
        <v>0</v>
      </c>
      <c r="DE22" s="11">
        <v>0</v>
      </c>
      <c r="DF22" s="2"/>
      <c r="DH22" s="11">
        <v>21.281767955801104</v>
      </c>
      <c r="DI22" s="11">
        <v>8.7182320441988956</v>
      </c>
      <c r="DJ22" s="2"/>
      <c r="DL22">
        <v>30.166666666666668</v>
      </c>
      <c r="DM22">
        <v>30.166666666666664</v>
      </c>
    </row>
    <row r="23" spans="1:117">
      <c r="A23" t="s">
        <v>64</v>
      </c>
      <c r="B23" t="s">
        <v>65</v>
      </c>
      <c r="C23" t="s">
        <v>66</v>
      </c>
      <c r="D23">
        <v>500454</v>
      </c>
      <c r="E23">
        <v>500454</v>
      </c>
      <c r="G23" t="s">
        <v>106</v>
      </c>
      <c r="H23" t="s">
        <v>107</v>
      </c>
      <c r="I23" t="s">
        <v>69</v>
      </c>
      <c r="J23" t="s">
        <v>70</v>
      </c>
      <c r="K23" t="s">
        <v>71</v>
      </c>
      <c r="L23" t="s">
        <v>83</v>
      </c>
      <c r="M23" t="s">
        <v>73</v>
      </c>
      <c r="N23" t="s">
        <v>74</v>
      </c>
      <c r="O23" t="s">
        <v>108</v>
      </c>
      <c r="P23" t="s">
        <v>108</v>
      </c>
      <c r="Q23" s="10">
        <v>233</v>
      </c>
      <c r="R23" s="10">
        <v>86</v>
      </c>
      <c r="S23" s="10">
        <v>38</v>
      </c>
      <c r="T23">
        <v>357</v>
      </c>
      <c r="U23" s="2"/>
      <c r="V23" s="11">
        <v>2</v>
      </c>
      <c r="W23" s="11">
        <v>2</v>
      </c>
      <c r="X23" s="11">
        <v>1.3870967741935485</v>
      </c>
      <c r="Y23" s="11">
        <v>0.61290322580645162</v>
      </c>
      <c r="Z23" s="11">
        <v>2</v>
      </c>
      <c r="AA23" s="11">
        <v>2</v>
      </c>
      <c r="AB23" s="11">
        <v>1.3870967741935485</v>
      </c>
      <c r="AC23" s="11">
        <v>0.61290322580645162</v>
      </c>
      <c r="AD23" s="11">
        <v>0</v>
      </c>
      <c r="AE23" s="11">
        <v>0</v>
      </c>
      <c r="AF23" s="11">
        <v>0</v>
      </c>
      <c r="AG23" s="11">
        <v>0</v>
      </c>
      <c r="AH23" s="11">
        <v>11</v>
      </c>
      <c r="AI23" s="11">
        <v>11</v>
      </c>
      <c r="AJ23" s="11">
        <v>7.6290322580645169</v>
      </c>
      <c r="AK23" s="11">
        <v>3.370967741935484</v>
      </c>
      <c r="AL23" s="11">
        <v>0</v>
      </c>
      <c r="AM23" s="11">
        <v>0</v>
      </c>
      <c r="AN23" s="11">
        <v>0</v>
      </c>
      <c r="AO23" s="11">
        <v>0</v>
      </c>
      <c r="AP23" s="11">
        <v>9</v>
      </c>
      <c r="AQ23" s="11">
        <v>9</v>
      </c>
      <c r="AR23" s="11">
        <v>6.241935483870968</v>
      </c>
      <c r="AS23" s="11">
        <v>2.7580645161290325</v>
      </c>
      <c r="AT23" s="11">
        <v>2</v>
      </c>
      <c r="AU23" s="11">
        <v>2</v>
      </c>
      <c r="AV23" s="11">
        <v>1.3870967741935485</v>
      </c>
      <c r="AW23" s="11">
        <v>0.61290322580645162</v>
      </c>
      <c r="AX23" s="11">
        <v>0</v>
      </c>
      <c r="AY23" s="11">
        <v>0</v>
      </c>
      <c r="AZ23" s="11">
        <v>0</v>
      </c>
      <c r="BA23" s="11">
        <v>0</v>
      </c>
      <c r="BB23" s="11">
        <v>6</v>
      </c>
      <c r="BC23" s="11">
        <v>6</v>
      </c>
      <c r="BD23" s="11">
        <v>4.1612903225806459</v>
      </c>
      <c r="BE23" s="11">
        <v>1.838709677419355</v>
      </c>
      <c r="BF23" s="11">
        <v>24</v>
      </c>
      <c r="BG23" s="11">
        <v>24</v>
      </c>
      <c r="BH23" s="11">
        <v>16.645161290322584</v>
      </c>
      <c r="BI23" s="11">
        <v>7.3548387096774199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0</v>
      </c>
      <c r="CQ23" s="11">
        <v>0</v>
      </c>
      <c r="CR23" s="11">
        <v>0</v>
      </c>
      <c r="CS23" s="11">
        <v>0</v>
      </c>
      <c r="CT23" s="11">
        <v>0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0</v>
      </c>
      <c r="DE23" s="11">
        <v>0</v>
      </c>
      <c r="DF23" s="2"/>
      <c r="DG23" s="11">
        <v>15</v>
      </c>
      <c r="DH23" s="11">
        <v>10.403225806451614</v>
      </c>
      <c r="DI23" s="11">
        <v>4.596774193548387</v>
      </c>
      <c r="DJ23" s="2"/>
      <c r="DK23">
        <v>15.533333333333333</v>
      </c>
      <c r="DL23">
        <v>8.2666666666666657</v>
      </c>
      <c r="DM23">
        <v>8.2666666666666675</v>
      </c>
    </row>
    <row r="24" spans="1:117">
      <c r="A24" t="s">
        <v>64</v>
      </c>
      <c r="B24" t="s">
        <v>65</v>
      </c>
      <c r="C24" t="s">
        <v>66</v>
      </c>
      <c r="D24">
        <v>501424</v>
      </c>
      <c r="E24">
        <v>501424</v>
      </c>
      <c r="G24" t="s">
        <v>109</v>
      </c>
      <c r="H24" t="s">
        <v>110</v>
      </c>
      <c r="I24" t="s">
        <v>69</v>
      </c>
      <c r="J24" t="s">
        <v>70</v>
      </c>
      <c r="K24" t="s">
        <v>71</v>
      </c>
      <c r="L24" t="s">
        <v>111</v>
      </c>
      <c r="M24" t="s">
        <v>73</v>
      </c>
      <c r="N24" t="s">
        <v>74</v>
      </c>
      <c r="O24" t="s">
        <v>108</v>
      </c>
      <c r="P24" t="s">
        <v>108</v>
      </c>
      <c r="Q24" s="10">
        <v>316</v>
      </c>
      <c r="R24" s="10">
        <v>136</v>
      </c>
      <c r="S24" s="10">
        <v>12</v>
      </c>
      <c r="T24">
        <v>464</v>
      </c>
      <c r="U24" s="2"/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8</v>
      </c>
      <c r="AI24" s="11">
        <v>8</v>
      </c>
      <c r="AJ24" s="11">
        <v>7.3513513513513518</v>
      </c>
      <c r="AK24" s="11">
        <v>0.64864864864864868</v>
      </c>
      <c r="AL24" s="11">
        <v>6</v>
      </c>
      <c r="AM24" s="11">
        <v>6</v>
      </c>
      <c r="AN24" s="11">
        <v>5.513513513513514</v>
      </c>
      <c r="AO24" s="11">
        <v>0.48648648648648651</v>
      </c>
      <c r="AP24" s="11">
        <v>8</v>
      </c>
      <c r="AQ24" s="11">
        <v>8</v>
      </c>
      <c r="AR24" s="11">
        <v>7.3513513513513518</v>
      </c>
      <c r="AS24" s="11">
        <v>0.64864864864864868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6</v>
      </c>
      <c r="BC24" s="11">
        <v>6</v>
      </c>
      <c r="BD24" s="11">
        <v>5.513513513513514</v>
      </c>
      <c r="BE24" s="11">
        <v>0.48648648648648651</v>
      </c>
      <c r="BF24" s="11">
        <v>16</v>
      </c>
      <c r="BG24" s="11">
        <v>16</v>
      </c>
      <c r="BH24" s="11">
        <v>14.702702702702704</v>
      </c>
      <c r="BI24" s="11">
        <v>1.2972972972972974</v>
      </c>
      <c r="BJ24" s="11">
        <v>12</v>
      </c>
      <c r="BK24" s="11">
        <v>12</v>
      </c>
      <c r="BL24" s="11">
        <v>11.027027027027028</v>
      </c>
      <c r="BM24" s="11">
        <v>0.97297297297297303</v>
      </c>
      <c r="BN24" s="11">
        <v>1</v>
      </c>
      <c r="BO24" s="11">
        <v>1</v>
      </c>
      <c r="BP24" s="11">
        <v>0.91891891891891897</v>
      </c>
      <c r="BQ24" s="11">
        <v>8.1081081081081086E-2</v>
      </c>
      <c r="BR24" s="11">
        <v>1</v>
      </c>
      <c r="BS24" s="11">
        <v>1</v>
      </c>
      <c r="BT24" s="11">
        <v>0.91891891891891897</v>
      </c>
      <c r="BU24" s="11">
        <v>8.1081081081081086E-2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2</v>
      </c>
      <c r="CE24" s="11">
        <v>0</v>
      </c>
      <c r="CF24" s="11">
        <v>0</v>
      </c>
      <c r="CG24" s="11">
        <v>0</v>
      </c>
      <c r="CH24" s="11">
        <v>2</v>
      </c>
      <c r="CI24" s="11">
        <v>2</v>
      </c>
      <c r="CJ24" s="11">
        <v>1.8378378378378379</v>
      </c>
      <c r="CK24" s="11">
        <v>0.16216216216216217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11">
        <v>0</v>
      </c>
      <c r="CT24" s="11">
        <v>1</v>
      </c>
      <c r="CU24" s="11">
        <v>1</v>
      </c>
      <c r="CV24" s="11">
        <v>0.91891891891891897</v>
      </c>
      <c r="CW24" s="11">
        <v>8.1081081081081086E-2</v>
      </c>
      <c r="CX24" s="11">
        <v>12</v>
      </c>
      <c r="CY24" s="11">
        <v>12</v>
      </c>
      <c r="CZ24" s="11">
        <v>11.027027027027028</v>
      </c>
      <c r="DA24" s="11">
        <v>0.97297297297297303</v>
      </c>
      <c r="DB24" s="11">
        <v>0</v>
      </c>
      <c r="DC24" s="11">
        <v>0</v>
      </c>
      <c r="DD24" s="11">
        <v>0</v>
      </c>
      <c r="DE24" s="11">
        <v>0</v>
      </c>
      <c r="DF24" s="2"/>
      <c r="DG24" s="11">
        <v>10</v>
      </c>
      <c r="DH24" s="11">
        <v>9.1891891891891895</v>
      </c>
      <c r="DI24" s="11">
        <v>0.81081081081081097</v>
      </c>
      <c r="DJ24" s="2"/>
      <c r="DK24">
        <v>31.6</v>
      </c>
      <c r="DL24">
        <v>14.799999999999999</v>
      </c>
      <c r="DM24">
        <v>14.799999999999997</v>
      </c>
    </row>
    <row r="25" spans="1:117">
      <c r="A25" t="s">
        <v>64</v>
      </c>
      <c r="B25" t="s">
        <v>65</v>
      </c>
      <c r="C25" t="s">
        <v>112</v>
      </c>
      <c r="D25">
        <v>101813</v>
      </c>
      <c r="E25">
        <v>101813</v>
      </c>
      <c r="G25" t="s">
        <v>113</v>
      </c>
      <c r="H25" t="s">
        <v>114</v>
      </c>
      <c r="I25" t="s">
        <v>69</v>
      </c>
      <c r="J25" t="s">
        <v>70</v>
      </c>
      <c r="K25" t="s">
        <v>71</v>
      </c>
      <c r="L25" t="s">
        <v>115</v>
      </c>
      <c r="M25" t="s">
        <v>73</v>
      </c>
      <c r="N25" t="s">
        <v>74</v>
      </c>
      <c r="O25" s="10" t="s">
        <v>75</v>
      </c>
      <c r="P25" t="s">
        <v>75</v>
      </c>
      <c r="Q25" s="10">
        <v>119</v>
      </c>
      <c r="R25" s="10">
        <v>0</v>
      </c>
      <c r="S25" s="10">
        <v>0</v>
      </c>
      <c r="T25">
        <v>119</v>
      </c>
      <c r="U25" s="2"/>
      <c r="V25" s="11">
        <v>3</v>
      </c>
      <c r="W25" s="11">
        <v>0</v>
      </c>
      <c r="X25" s="11"/>
      <c r="Y25" s="11"/>
      <c r="Z25" s="11">
        <v>3</v>
      </c>
      <c r="AA25" s="11">
        <v>0</v>
      </c>
      <c r="AB25" s="11"/>
      <c r="AC25" s="11"/>
      <c r="AD25" s="11">
        <v>0</v>
      </c>
      <c r="AE25" s="11">
        <v>0</v>
      </c>
      <c r="AF25" s="11"/>
      <c r="AG25" s="11"/>
      <c r="AH25" s="11">
        <v>4</v>
      </c>
      <c r="AI25" s="11">
        <v>0</v>
      </c>
      <c r="AJ25" s="11"/>
      <c r="AK25" s="11"/>
      <c r="AL25" s="11">
        <v>0</v>
      </c>
      <c r="AM25" s="11">
        <v>0</v>
      </c>
      <c r="AN25" s="11"/>
      <c r="AO25" s="11"/>
      <c r="AP25" s="11">
        <v>7</v>
      </c>
      <c r="AQ25" s="11">
        <v>0</v>
      </c>
      <c r="AR25" s="11"/>
      <c r="AS25" s="11"/>
      <c r="AT25" s="11">
        <v>0</v>
      </c>
      <c r="AU25" s="11">
        <v>0</v>
      </c>
      <c r="AV25" s="11"/>
      <c r="AW25" s="11"/>
      <c r="AX25" s="11">
        <v>0</v>
      </c>
      <c r="AY25" s="11">
        <v>0</v>
      </c>
      <c r="AZ25" s="11"/>
      <c r="BA25" s="11"/>
      <c r="BB25" s="11">
        <v>3</v>
      </c>
      <c r="BC25" s="11">
        <v>0</v>
      </c>
      <c r="BD25" s="11"/>
      <c r="BE25" s="11"/>
      <c r="BF25" s="11">
        <v>16</v>
      </c>
      <c r="BG25" s="11">
        <v>0</v>
      </c>
      <c r="BH25" s="11"/>
      <c r="BI25" s="11"/>
      <c r="BJ25" s="11">
        <v>1</v>
      </c>
      <c r="BK25" s="11">
        <v>0</v>
      </c>
      <c r="BL25" s="11"/>
      <c r="BM25" s="11"/>
      <c r="BN25" s="11">
        <v>0</v>
      </c>
      <c r="BO25" s="11">
        <v>0</v>
      </c>
      <c r="BP25" s="11"/>
      <c r="BQ25" s="11"/>
      <c r="BR25" s="11">
        <v>0</v>
      </c>
      <c r="BS25" s="11">
        <v>0</v>
      </c>
      <c r="BT25" s="11"/>
      <c r="BU25" s="11"/>
      <c r="BV25" s="11">
        <v>0</v>
      </c>
      <c r="BW25" s="11">
        <v>0</v>
      </c>
      <c r="BX25" s="11"/>
      <c r="BY25" s="11"/>
      <c r="BZ25" s="11">
        <v>0</v>
      </c>
      <c r="CA25" s="11">
        <v>0</v>
      </c>
      <c r="CB25" s="11"/>
      <c r="CC25" s="11"/>
      <c r="CD25" s="11">
        <v>0</v>
      </c>
      <c r="CE25" s="11">
        <v>0</v>
      </c>
      <c r="CF25" s="11"/>
      <c r="CG25" s="11"/>
      <c r="CH25" s="11">
        <v>0</v>
      </c>
      <c r="CI25" s="11">
        <v>0</v>
      </c>
      <c r="CJ25" s="11"/>
      <c r="CK25" s="11"/>
      <c r="CL25" s="11">
        <v>0</v>
      </c>
      <c r="CM25" s="11">
        <v>0</v>
      </c>
      <c r="CN25" s="11"/>
      <c r="CO25" s="11"/>
      <c r="CP25" s="11">
        <v>0</v>
      </c>
      <c r="CQ25" s="11">
        <v>0</v>
      </c>
      <c r="CR25" s="11"/>
      <c r="CS25" s="11"/>
      <c r="CT25" s="11">
        <v>0</v>
      </c>
      <c r="CU25" s="11">
        <v>0</v>
      </c>
      <c r="CV25" s="11"/>
      <c r="CW25" s="11"/>
      <c r="CX25" s="11">
        <v>0</v>
      </c>
      <c r="CY25" s="11">
        <v>0</v>
      </c>
      <c r="CZ25" s="11"/>
      <c r="DA25" s="11"/>
      <c r="DB25" s="11">
        <v>0</v>
      </c>
      <c r="DC25" s="11">
        <v>0</v>
      </c>
      <c r="DD25" s="11"/>
      <c r="DE25" s="11"/>
      <c r="DF25" s="2"/>
      <c r="DG25" s="11">
        <v>10</v>
      </c>
      <c r="DJ25" s="2"/>
      <c r="DK25">
        <v>11.9</v>
      </c>
    </row>
    <row r="26" spans="1:117">
      <c r="A26" t="s">
        <v>64</v>
      </c>
      <c r="B26" t="s">
        <v>65</v>
      </c>
      <c r="C26" t="s">
        <v>112</v>
      </c>
      <c r="D26">
        <v>129387</v>
      </c>
      <c r="E26">
        <v>129387</v>
      </c>
      <c r="G26" t="s">
        <v>116</v>
      </c>
      <c r="H26" t="s">
        <v>117</v>
      </c>
      <c r="I26" t="s">
        <v>69</v>
      </c>
      <c r="J26" t="s">
        <v>70</v>
      </c>
      <c r="K26" t="s">
        <v>71</v>
      </c>
      <c r="L26" t="s">
        <v>118</v>
      </c>
      <c r="M26" t="s">
        <v>73</v>
      </c>
      <c r="N26" t="s">
        <v>74</v>
      </c>
      <c r="O26" s="10" t="s">
        <v>75</v>
      </c>
      <c r="P26" t="s">
        <v>75</v>
      </c>
      <c r="Q26" s="10">
        <v>232</v>
      </c>
      <c r="R26" s="10">
        <v>0</v>
      </c>
      <c r="S26" s="10">
        <v>0</v>
      </c>
      <c r="T26">
        <v>232</v>
      </c>
      <c r="U26" s="2"/>
      <c r="V26" s="11">
        <v>0</v>
      </c>
      <c r="W26" s="11">
        <v>0</v>
      </c>
      <c r="X26" s="11"/>
      <c r="Y26" s="11"/>
      <c r="Z26" s="11">
        <v>0</v>
      </c>
      <c r="AA26" s="11">
        <v>0</v>
      </c>
      <c r="AB26" s="11"/>
      <c r="AC26" s="11"/>
      <c r="AD26" s="11">
        <v>0</v>
      </c>
      <c r="AE26" s="11">
        <v>0</v>
      </c>
      <c r="AF26" s="11"/>
      <c r="AG26" s="11"/>
      <c r="AH26" s="11">
        <v>9</v>
      </c>
      <c r="AI26" s="11">
        <v>0</v>
      </c>
      <c r="AJ26" s="11"/>
      <c r="AK26" s="11"/>
      <c r="AL26" s="11">
        <v>0</v>
      </c>
      <c r="AM26" s="11">
        <v>0</v>
      </c>
      <c r="AN26" s="11"/>
      <c r="AO26" s="11"/>
      <c r="AP26" s="11">
        <v>10</v>
      </c>
      <c r="AQ26" s="11">
        <v>0</v>
      </c>
      <c r="AR26" s="11"/>
      <c r="AS26" s="11"/>
      <c r="AT26" s="11">
        <v>0</v>
      </c>
      <c r="AU26" s="11">
        <v>0</v>
      </c>
      <c r="AV26" s="11"/>
      <c r="AW26" s="11"/>
      <c r="AX26" s="11">
        <v>0</v>
      </c>
      <c r="AY26" s="11">
        <v>0</v>
      </c>
      <c r="AZ26" s="11"/>
      <c r="BA26" s="11"/>
      <c r="BB26" s="11">
        <v>6</v>
      </c>
      <c r="BC26" s="11">
        <v>0</v>
      </c>
      <c r="BD26" s="11"/>
      <c r="BE26" s="11"/>
      <c r="BF26" s="11">
        <v>20</v>
      </c>
      <c r="BG26" s="11">
        <v>0</v>
      </c>
      <c r="BH26" s="11"/>
      <c r="BI26" s="11"/>
      <c r="BJ26" s="11">
        <v>0</v>
      </c>
      <c r="BK26" s="11">
        <v>0</v>
      </c>
      <c r="BL26" s="11"/>
      <c r="BM26" s="11"/>
      <c r="BN26" s="11">
        <v>1</v>
      </c>
      <c r="BO26" s="11">
        <v>0</v>
      </c>
      <c r="BP26" s="11"/>
      <c r="BQ26" s="11"/>
      <c r="BR26" s="11">
        <v>1</v>
      </c>
      <c r="BS26" s="11">
        <v>0</v>
      </c>
      <c r="BT26" s="11"/>
      <c r="BU26" s="11"/>
      <c r="BV26" s="11">
        <v>0</v>
      </c>
      <c r="BW26" s="11">
        <v>0</v>
      </c>
      <c r="BX26" s="11"/>
      <c r="BY26" s="11"/>
      <c r="BZ26" s="11">
        <v>0</v>
      </c>
      <c r="CA26" s="11">
        <v>0</v>
      </c>
      <c r="CB26" s="11"/>
      <c r="CC26" s="11"/>
      <c r="CD26" s="11">
        <v>0</v>
      </c>
      <c r="CE26" s="11">
        <v>0</v>
      </c>
      <c r="CF26" s="11"/>
      <c r="CG26" s="11"/>
      <c r="CH26" s="11">
        <v>1</v>
      </c>
      <c r="CI26" s="11">
        <v>0</v>
      </c>
      <c r="CJ26" s="11"/>
      <c r="CK26" s="11"/>
      <c r="CL26" s="11">
        <v>1</v>
      </c>
      <c r="CM26" s="11">
        <v>0</v>
      </c>
      <c r="CN26" s="11"/>
      <c r="CO26" s="11"/>
      <c r="CP26" s="11">
        <v>0</v>
      </c>
      <c r="CQ26" s="11">
        <v>0</v>
      </c>
      <c r="CR26" s="11"/>
      <c r="CS26" s="11"/>
      <c r="CT26" s="11">
        <v>0</v>
      </c>
      <c r="CU26" s="11">
        <v>0</v>
      </c>
      <c r="CV26" s="11"/>
      <c r="CW26" s="11"/>
      <c r="CX26" s="11">
        <v>4</v>
      </c>
      <c r="CY26" s="11">
        <v>0</v>
      </c>
      <c r="CZ26" s="11"/>
      <c r="DA26" s="11"/>
      <c r="DB26" s="11">
        <v>0</v>
      </c>
      <c r="DC26" s="11">
        <v>0</v>
      </c>
      <c r="DD26" s="11"/>
      <c r="DE26" s="11"/>
      <c r="DF26" s="2"/>
      <c r="DG26" s="11">
        <v>11</v>
      </c>
      <c r="DJ26" s="2"/>
      <c r="DK26">
        <v>21.09090909090909</v>
      </c>
    </row>
    <row r="27" spans="1:117">
      <c r="A27" t="s">
        <v>64</v>
      </c>
      <c r="B27" t="s">
        <v>65</v>
      </c>
      <c r="C27" t="s">
        <v>112</v>
      </c>
      <c r="D27">
        <v>129388</v>
      </c>
      <c r="E27">
        <v>129388</v>
      </c>
      <c r="G27" t="s">
        <v>119</v>
      </c>
      <c r="H27" t="s">
        <v>120</v>
      </c>
      <c r="I27" t="s">
        <v>69</v>
      </c>
      <c r="J27" t="s">
        <v>70</v>
      </c>
      <c r="K27" t="s">
        <v>71</v>
      </c>
      <c r="L27" t="s">
        <v>121</v>
      </c>
      <c r="M27" t="s">
        <v>73</v>
      </c>
      <c r="N27" t="s">
        <v>74</v>
      </c>
      <c r="O27" s="10" t="s">
        <v>75</v>
      </c>
      <c r="P27" t="s">
        <v>75</v>
      </c>
      <c r="Q27" s="10">
        <v>370</v>
      </c>
      <c r="R27" s="10">
        <v>0</v>
      </c>
      <c r="S27" s="10">
        <v>0</v>
      </c>
      <c r="T27">
        <v>370</v>
      </c>
      <c r="U27" s="2"/>
      <c r="V27" s="11">
        <v>0</v>
      </c>
      <c r="W27" s="11">
        <v>0</v>
      </c>
      <c r="X27" s="11"/>
      <c r="Y27" s="11"/>
      <c r="Z27" s="11">
        <v>0</v>
      </c>
      <c r="AA27" s="11">
        <v>0</v>
      </c>
      <c r="AB27" s="11"/>
      <c r="AC27" s="11"/>
      <c r="AD27" s="11">
        <v>0</v>
      </c>
      <c r="AE27" s="11">
        <v>0</v>
      </c>
      <c r="AF27" s="11"/>
      <c r="AG27" s="11"/>
      <c r="AH27" s="11">
        <v>16</v>
      </c>
      <c r="AI27" s="11">
        <v>0</v>
      </c>
      <c r="AJ27" s="11"/>
      <c r="AK27" s="11"/>
      <c r="AL27" s="11">
        <v>1</v>
      </c>
      <c r="AM27" s="11">
        <v>0</v>
      </c>
      <c r="AN27" s="11"/>
      <c r="AO27" s="11"/>
      <c r="AP27" s="11">
        <v>15</v>
      </c>
      <c r="AQ27" s="11">
        <v>0</v>
      </c>
      <c r="AR27" s="11"/>
      <c r="AS27" s="11"/>
      <c r="AT27" s="11">
        <v>0</v>
      </c>
      <c r="AU27" s="11">
        <v>0</v>
      </c>
      <c r="AV27" s="11"/>
      <c r="AW27" s="11"/>
      <c r="AX27" s="11">
        <v>0</v>
      </c>
      <c r="AY27" s="11">
        <v>0</v>
      </c>
      <c r="AZ27" s="11"/>
      <c r="BA27" s="11"/>
      <c r="BB27" s="11">
        <v>7</v>
      </c>
      <c r="BC27" s="11">
        <v>0</v>
      </c>
      <c r="BD27" s="11"/>
      <c r="BE27" s="11"/>
      <c r="BF27" s="11">
        <v>30</v>
      </c>
      <c r="BG27" s="11">
        <v>0</v>
      </c>
      <c r="BH27" s="11"/>
      <c r="BI27" s="11"/>
      <c r="BJ27" s="11">
        <v>0</v>
      </c>
      <c r="BK27" s="11">
        <v>0</v>
      </c>
      <c r="BL27" s="11"/>
      <c r="BM27" s="11"/>
      <c r="BN27" s="11">
        <v>1</v>
      </c>
      <c r="BO27" s="11">
        <v>0</v>
      </c>
      <c r="BP27" s="11"/>
      <c r="BQ27" s="11"/>
      <c r="BR27" s="11">
        <v>1</v>
      </c>
      <c r="BS27" s="11">
        <v>0</v>
      </c>
      <c r="BT27" s="11"/>
      <c r="BU27" s="11"/>
      <c r="BV27" s="11">
        <v>0</v>
      </c>
      <c r="BW27" s="11">
        <v>0</v>
      </c>
      <c r="BX27" s="11"/>
      <c r="BY27" s="11"/>
      <c r="BZ27" s="11">
        <v>0</v>
      </c>
      <c r="CA27" s="11">
        <v>0</v>
      </c>
      <c r="CB27" s="11"/>
      <c r="CC27" s="11"/>
      <c r="CD27" s="11">
        <v>0</v>
      </c>
      <c r="CE27" s="11">
        <v>0</v>
      </c>
      <c r="CF27" s="11"/>
      <c r="CG27" s="11"/>
      <c r="CH27" s="11">
        <v>9</v>
      </c>
      <c r="CI27" s="11">
        <v>0</v>
      </c>
      <c r="CJ27" s="11"/>
      <c r="CK27" s="11"/>
      <c r="CL27" s="11">
        <v>0</v>
      </c>
      <c r="CM27" s="11">
        <v>0</v>
      </c>
      <c r="CN27" s="11"/>
      <c r="CO27" s="11"/>
      <c r="CP27" s="11">
        <v>0</v>
      </c>
      <c r="CQ27" s="11">
        <v>0</v>
      </c>
      <c r="CR27" s="11"/>
      <c r="CS27" s="11"/>
      <c r="CT27" s="11">
        <v>1</v>
      </c>
      <c r="CU27" s="11">
        <v>0</v>
      </c>
      <c r="CV27" s="11"/>
      <c r="CW27" s="11"/>
      <c r="CX27" s="11">
        <v>25</v>
      </c>
      <c r="CY27" s="11">
        <v>0</v>
      </c>
      <c r="CZ27" s="11"/>
      <c r="DA27" s="11"/>
      <c r="DB27" s="11">
        <v>0</v>
      </c>
      <c r="DC27" s="11">
        <v>0</v>
      </c>
      <c r="DD27" s="11"/>
      <c r="DE27" s="11"/>
      <c r="DF27" s="2"/>
      <c r="DG27" s="11">
        <v>18</v>
      </c>
      <c r="DJ27" s="2"/>
      <c r="DK27">
        <v>20.555555555555557</v>
      </c>
    </row>
    <row r="28" spans="1:117">
      <c r="A28" t="s">
        <v>64</v>
      </c>
      <c r="B28" t="s">
        <v>65</v>
      </c>
      <c r="C28" t="s">
        <v>112</v>
      </c>
      <c r="D28">
        <v>129389</v>
      </c>
      <c r="E28">
        <v>129389</v>
      </c>
      <c r="G28" t="s">
        <v>122</v>
      </c>
      <c r="H28" t="s">
        <v>123</v>
      </c>
      <c r="I28" t="s">
        <v>69</v>
      </c>
      <c r="J28" t="s">
        <v>70</v>
      </c>
      <c r="K28" t="s">
        <v>71</v>
      </c>
      <c r="L28" t="s">
        <v>124</v>
      </c>
      <c r="M28" t="s">
        <v>73</v>
      </c>
      <c r="N28" t="s">
        <v>74</v>
      </c>
      <c r="O28" s="10" t="s">
        <v>75</v>
      </c>
      <c r="P28" t="s">
        <v>75</v>
      </c>
      <c r="Q28" s="10">
        <v>851</v>
      </c>
      <c r="R28" s="10">
        <v>0</v>
      </c>
      <c r="S28" s="10">
        <v>0</v>
      </c>
      <c r="T28">
        <v>851</v>
      </c>
      <c r="U28" s="2"/>
      <c r="V28" s="11">
        <v>0</v>
      </c>
      <c r="W28" s="11">
        <v>0</v>
      </c>
      <c r="X28" s="11"/>
      <c r="Y28" s="11"/>
      <c r="Z28" s="11">
        <v>0</v>
      </c>
      <c r="AA28" s="11">
        <v>0</v>
      </c>
      <c r="AB28" s="11"/>
      <c r="AC28" s="11"/>
      <c r="AD28" s="11">
        <v>0</v>
      </c>
      <c r="AE28" s="11">
        <v>0</v>
      </c>
      <c r="AF28" s="11"/>
      <c r="AG28" s="11"/>
      <c r="AH28" s="11">
        <v>16</v>
      </c>
      <c r="AI28" s="11">
        <v>0</v>
      </c>
      <c r="AJ28" s="11"/>
      <c r="AK28" s="11"/>
      <c r="AL28" s="11">
        <v>0</v>
      </c>
      <c r="AM28" s="11">
        <v>0</v>
      </c>
      <c r="AN28" s="11"/>
      <c r="AO28" s="11"/>
      <c r="AP28" s="11">
        <v>16</v>
      </c>
      <c r="AQ28" s="11">
        <v>0</v>
      </c>
      <c r="AR28" s="11"/>
      <c r="AS28" s="11"/>
      <c r="AT28" s="11">
        <v>0</v>
      </c>
      <c r="AU28" s="11">
        <v>0</v>
      </c>
      <c r="AV28" s="11"/>
      <c r="AW28" s="11"/>
      <c r="AX28" s="11">
        <v>0</v>
      </c>
      <c r="AY28" s="11">
        <v>0</v>
      </c>
      <c r="AZ28" s="11"/>
      <c r="BA28" s="11"/>
      <c r="BB28" s="11">
        <v>10</v>
      </c>
      <c r="BC28" s="11">
        <v>0</v>
      </c>
      <c r="BD28" s="11"/>
      <c r="BE28" s="11"/>
      <c r="BF28" s="11">
        <v>32</v>
      </c>
      <c r="BG28" s="11">
        <v>0</v>
      </c>
      <c r="BH28" s="11"/>
      <c r="BI28" s="11"/>
      <c r="BJ28" s="11">
        <v>0</v>
      </c>
      <c r="BK28" s="11">
        <v>0</v>
      </c>
      <c r="BL28" s="11"/>
      <c r="BM28" s="11"/>
      <c r="BN28" s="11">
        <v>0</v>
      </c>
      <c r="BO28" s="11">
        <v>0</v>
      </c>
      <c r="BP28" s="11"/>
      <c r="BQ28" s="11"/>
      <c r="BR28" s="11">
        <v>0</v>
      </c>
      <c r="BS28" s="11">
        <v>0</v>
      </c>
      <c r="BT28" s="11"/>
      <c r="BU28" s="11"/>
      <c r="BV28" s="11">
        <v>0</v>
      </c>
      <c r="BW28" s="11">
        <v>0</v>
      </c>
      <c r="BX28" s="11"/>
      <c r="BY28" s="11"/>
      <c r="BZ28" s="11">
        <v>2</v>
      </c>
      <c r="CA28" s="11">
        <v>0</v>
      </c>
      <c r="CB28" s="11"/>
      <c r="CC28" s="11"/>
      <c r="CD28" s="11">
        <v>0</v>
      </c>
      <c r="CE28" s="11">
        <v>0</v>
      </c>
      <c r="CF28" s="11"/>
      <c r="CG28" s="11"/>
      <c r="CH28" s="11">
        <v>3</v>
      </c>
      <c r="CI28" s="11">
        <v>0</v>
      </c>
      <c r="CJ28" s="11"/>
      <c r="CK28" s="11"/>
      <c r="CL28" s="11">
        <v>0</v>
      </c>
      <c r="CM28" s="11">
        <v>0</v>
      </c>
      <c r="CN28" s="11"/>
      <c r="CO28" s="11"/>
      <c r="CP28" s="11">
        <v>0</v>
      </c>
      <c r="CQ28" s="11">
        <v>0</v>
      </c>
      <c r="CR28" s="11"/>
      <c r="CS28" s="11"/>
      <c r="CT28" s="11">
        <v>0</v>
      </c>
      <c r="CU28" s="11">
        <v>0</v>
      </c>
      <c r="CV28" s="11"/>
      <c r="CW28" s="11"/>
      <c r="CX28" s="11">
        <v>23</v>
      </c>
      <c r="CY28" s="11">
        <v>0</v>
      </c>
      <c r="CZ28" s="11"/>
      <c r="DA28" s="11"/>
      <c r="DB28" s="11">
        <v>0</v>
      </c>
      <c r="DC28" s="11">
        <v>0</v>
      </c>
      <c r="DD28" s="11"/>
      <c r="DE28" s="11"/>
      <c r="DF28" s="2"/>
      <c r="DG28" s="11">
        <v>18</v>
      </c>
      <c r="DJ28" s="2"/>
      <c r="DK28">
        <v>47.277777777777779</v>
      </c>
    </row>
    <row r="29" spans="1:117">
      <c r="A29" t="s">
        <v>64</v>
      </c>
      <c r="B29" t="s">
        <v>65</v>
      </c>
      <c r="C29" t="s">
        <v>112</v>
      </c>
      <c r="D29">
        <v>129390</v>
      </c>
      <c r="E29">
        <v>129390</v>
      </c>
      <c r="G29" t="s">
        <v>125</v>
      </c>
      <c r="H29" t="s">
        <v>126</v>
      </c>
      <c r="I29" t="s">
        <v>69</v>
      </c>
      <c r="J29" t="s">
        <v>70</v>
      </c>
      <c r="K29" t="s">
        <v>71</v>
      </c>
      <c r="L29" t="s">
        <v>118</v>
      </c>
      <c r="M29" t="s">
        <v>73</v>
      </c>
      <c r="N29" t="s">
        <v>74</v>
      </c>
      <c r="O29" s="10" t="s">
        <v>75</v>
      </c>
      <c r="P29" t="s">
        <v>75</v>
      </c>
      <c r="Q29" s="10">
        <v>719</v>
      </c>
      <c r="R29" s="10">
        <v>0</v>
      </c>
      <c r="S29" s="10">
        <v>0</v>
      </c>
      <c r="T29">
        <v>719</v>
      </c>
      <c r="U29" s="2"/>
      <c r="V29" s="11">
        <v>3</v>
      </c>
      <c r="W29" s="11">
        <v>0</v>
      </c>
      <c r="X29" s="11"/>
      <c r="Y29" s="11"/>
      <c r="Z29" s="11">
        <v>3</v>
      </c>
      <c r="AA29" s="11">
        <v>0</v>
      </c>
      <c r="AB29" s="11"/>
      <c r="AC29" s="11"/>
      <c r="AD29" s="11">
        <v>0</v>
      </c>
      <c r="AE29" s="11">
        <v>0</v>
      </c>
      <c r="AF29" s="11"/>
      <c r="AG29" s="11"/>
      <c r="AH29" s="11">
        <v>19</v>
      </c>
      <c r="AI29" s="11">
        <v>0</v>
      </c>
      <c r="AJ29" s="11"/>
      <c r="AK29" s="11"/>
      <c r="AL29" s="11">
        <v>0</v>
      </c>
      <c r="AM29" s="11">
        <v>0</v>
      </c>
      <c r="AN29" s="11"/>
      <c r="AO29" s="11"/>
      <c r="AP29" s="11">
        <v>23</v>
      </c>
      <c r="AQ29" s="11">
        <v>0</v>
      </c>
      <c r="AR29" s="11"/>
      <c r="AS29" s="11"/>
      <c r="AT29" s="11">
        <v>0</v>
      </c>
      <c r="AU29" s="11">
        <v>0</v>
      </c>
      <c r="AV29" s="11"/>
      <c r="AW29" s="11"/>
      <c r="AX29" s="11">
        <v>0</v>
      </c>
      <c r="AY29" s="11">
        <v>0</v>
      </c>
      <c r="AZ29" s="11"/>
      <c r="BA29" s="11"/>
      <c r="BB29" s="11">
        <v>11</v>
      </c>
      <c r="BC29" s="11">
        <v>0</v>
      </c>
      <c r="BD29" s="11"/>
      <c r="BE29" s="11"/>
      <c r="BF29" s="11">
        <v>44</v>
      </c>
      <c r="BG29" s="11">
        <v>0</v>
      </c>
      <c r="BH29" s="11"/>
      <c r="BI29" s="11"/>
      <c r="BJ29" s="11">
        <v>0</v>
      </c>
      <c r="BK29" s="11">
        <v>0</v>
      </c>
      <c r="BL29" s="11"/>
      <c r="BM29" s="11"/>
      <c r="BN29" s="11">
        <v>1</v>
      </c>
      <c r="BO29" s="11">
        <v>0</v>
      </c>
      <c r="BP29" s="11"/>
      <c r="BQ29" s="11"/>
      <c r="BR29" s="11">
        <v>1</v>
      </c>
      <c r="BS29" s="11">
        <v>0</v>
      </c>
      <c r="BT29" s="11"/>
      <c r="BU29" s="11"/>
      <c r="BV29" s="11">
        <v>0</v>
      </c>
      <c r="BW29" s="11">
        <v>0</v>
      </c>
      <c r="BX29" s="11"/>
      <c r="BY29" s="11"/>
      <c r="BZ29" s="11">
        <v>0</v>
      </c>
      <c r="CA29" s="11">
        <v>0</v>
      </c>
      <c r="CB29" s="11"/>
      <c r="CC29" s="11"/>
      <c r="CD29" s="11">
        <v>0</v>
      </c>
      <c r="CE29" s="11">
        <v>0</v>
      </c>
      <c r="CF29" s="11"/>
      <c r="CG29" s="11"/>
      <c r="CH29" s="11">
        <v>5</v>
      </c>
      <c r="CI29" s="11">
        <v>0</v>
      </c>
      <c r="CJ29" s="11"/>
      <c r="CK29" s="11"/>
      <c r="CL29" s="11">
        <v>0</v>
      </c>
      <c r="CM29" s="11">
        <v>0</v>
      </c>
      <c r="CN29" s="11"/>
      <c r="CO29" s="11"/>
      <c r="CP29" s="11">
        <v>0</v>
      </c>
      <c r="CQ29" s="11">
        <v>0</v>
      </c>
      <c r="CR29" s="11"/>
      <c r="CS29" s="11"/>
      <c r="CT29" s="11">
        <v>0</v>
      </c>
      <c r="CU29" s="11">
        <v>0</v>
      </c>
      <c r="CV29" s="11"/>
      <c r="CW29" s="11"/>
      <c r="CX29" s="11">
        <v>26</v>
      </c>
      <c r="CY29" s="11">
        <v>0</v>
      </c>
      <c r="CZ29" s="11"/>
      <c r="DA29" s="11"/>
      <c r="DB29" s="11">
        <v>0</v>
      </c>
      <c r="DC29" s="11">
        <v>0</v>
      </c>
      <c r="DD29" s="11"/>
      <c r="DE29" s="11"/>
      <c r="DF29" s="2"/>
      <c r="DG29" s="11">
        <v>27</v>
      </c>
      <c r="DJ29" s="2"/>
      <c r="DK29">
        <v>26.62962962962963</v>
      </c>
    </row>
    <row r="30" spans="1:117">
      <c r="A30" t="s">
        <v>64</v>
      </c>
      <c r="B30" t="s">
        <v>65</v>
      </c>
      <c r="C30" t="s">
        <v>112</v>
      </c>
      <c r="D30">
        <v>129391</v>
      </c>
      <c r="E30">
        <v>129391</v>
      </c>
      <c r="G30" t="s">
        <v>127</v>
      </c>
      <c r="H30" t="s">
        <v>128</v>
      </c>
      <c r="I30" t="s">
        <v>69</v>
      </c>
      <c r="J30" t="s">
        <v>70</v>
      </c>
      <c r="K30" t="s">
        <v>71</v>
      </c>
      <c r="L30" t="s">
        <v>129</v>
      </c>
      <c r="M30" t="s">
        <v>73</v>
      </c>
      <c r="N30" t="s">
        <v>74</v>
      </c>
      <c r="O30" s="10" t="s">
        <v>75</v>
      </c>
      <c r="P30" t="s">
        <v>75</v>
      </c>
      <c r="Q30" s="10">
        <v>285</v>
      </c>
      <c r="R30" s="10">
        <v>0</v>
      </c>
      <c r="S30" s="10">
        <v>0</v>
      </c>
      <c r="T30">
        <v>285</v>
      </c>
      <c r="U30" s="2"/>
      <c r="V30" s="11">
        <v>0</v>
      </c>
      <c r="W30" s="11">
        <v>0</v>
      </c>
      <c r="X30" s="11"/>
      <c r="Y30" s="11"/>
      <c r="Z30" s="11">
        <v>0</v>
      </c>
      <c r="AA30" s="11">
        <v>0</v>
      </c>
      <c r="AB30" s="11"/>
      <c r="AC30" s="11"/>
      <c r="AD30" s="11">
        <v>0</v>
      </c>
      <c r="AE30" s="11">
        <v>0</v>
      </c>
      <c r="AF30" s="11"/>
      <c r="AG30" s="11"/>
      <c r="AH30" s="11">
        <v>12</v>
      </c>
      <c r="AI30" s="11">
        <v>0</v>
      </c>
      <c r="AJ30" s="11"/>
      <c r="AK30" s="11"/>
      <c r="AL30" s="11">
        <v>0</v>
      </c>
      <c r="AM30" s="11">
        <v>0</v>
      </c>
      <c r="AN30" s="11"/>
      <c r="AO30" s="11"/>
      <c r="AP30" s="11">
        <v>12</v>
      </c>
      <c r="AQ30" s="11">
        <v>0</v>
      </c>
      <c r="AR30" s="11"/>
      <c r="AS30" s="11"/>
      <c r="AT30" s="11">
        <v>0</v>
      </c>
      <c r="AU30" s="11">
        <v>0</v>
      </c>
      <c r="AV30" s="11"/>
      <c r="AW30" s="11"/>
      <c r="AX30" s="11">
        <v>0</v>
      </c>
      <c r="AY30" s="11">
        <v>0</v>
      </c>
      <c r="AZ30" s="11"/>
      <c r="BA30" s="11"/>
      <c r="BB30" s="11">
        <v>6</v>
      </c>
      <c r="BC30" s="11">
        <v>0</v>
      </c>
      <c r="BD30" s="11"/>
      <c r="BE30" s="11"/>
      <c r="BF30" s="11">
        <v>12</v>
      </c>
      <c r="BG30" s="11">
        <v>0</v>
      </c>
      <c r="BH30" s="11"/>
      <c r="BI30" s="11"/>
      <c r="BJ30" s="11">
        <v>1</v>
      </c>
      <c r="BK30" s="11">
        <v>0</v>
      </c>
      <c r="BL30" s="11"/>
      <c r="BM30" s="11"/>
      <c r="BN30" s="11">
        <v>0</v>
      </c>
      <c r="BO30" s="11">
        <v>0</v>
      </c>
      <c r="BP30" s="11"/>
      <c r="BQ30" s="11"/>
      <c r="BR30" s="11">
        <v>0</v>
      </c>
      <c r="BS30" s="11">
        <v>0</v>
      </c>
      <c r="BT30" s="11"/>
      <c r="BU30" s="11"/>
      <c r="BV30" s="11">
        <v>0</v>
      </c>
      <c r="BW30" s="11">
        <v>0</v>
      </c>
      <c r="BX30" s="11"/>
      <c r="BY30" s="11"/>
      <c r="BZ30" s="11">
        <v>0</v>
      </c>
      <c r="CA30" s="11">
        <v>0</v>
      </c>
      <c r="CB30" s="11"/>
      <c r="CC30" s="11"/>
      <c r="CD30" s="11">
        <v>0</v>
      </c>
      <c r="CE30" s="11">
        <v>0</v>
      </c>
      <c r="CF30" s="11"/>
      <c r="CG30" s="11"/>
      <c r="CH30" s="11">
        <v>2</v>
      </c>
      <c r="CI30" s="11">
        <v>0</v>
      </c>
      <c r="CJ30" s="11"/>
      <c r="CK30" s="11"/>
      <c r="CL30" s="11">
        <v>0</v>
      </c>
      <c r="CM30" s="11">
        <v>0</v>
      </c>
      <c r="CN30" s="11"/>
      <c r="CO30" s="11"/>
      <c r="CP30" s="11">
        <v>0</v>
      </c>
      <c r="CQ30" s="11">
        <v>0</v>
      </c>
      <c r="CR30" s="11"/>
      <c r="CS30" s="11"/>
      <c r="CT30" s="11">
        <v>0</v>
      </c>
      <c r="CU30" s="11">
        <v>0</v>
      </c>
      <c r="CV30" s="11"/>
      <c r="CW30" s="11"/>
      <c r="CX30" s="11">
        <v>4</v>
      </c>
      <c r="CY30" s="11">
        <v>0</v>
      </c>
      <c r="CZ30" s="11"/>
      <c r="DA30" s="11"/>
      <c r="DB30" s="11">
        <v>0</v>
      </c>
      <c r="DC30" s="11">
        <v>0</v>
      </c>
      <c r="DD30" s="11"/>
      <c r="DE30" s="11"/>
      <c r="DF30" s="2"/>
      <c r="DG30" s="11">
        <v>12</v>
      </c>
      <c r="DJ30" s="2"/>
      <c r="DK30">
        <v>23.75</v>
      </c>
    </row>
    <row r="31" spans="1:117">
      <c r="A31" t="s">
        <v>64</v>
      </c>
      <c r="B31" t="s">
        <v>65</v>
      </c>
      <c r="C31" t="s">
        <v>112</v>
      </c>
      <c r="D31">
        <v>129392</v>
      </c>
      <c r="E31" t="e">
        <v>#N/A</v>
      </c>
      <c r="F31" s="10" t="s">
        <v>130</v>
      </c>
      <c r="G31" t="s">
        <v>131</v>
      </c>
      <c r="H31" t="s">
        <v>132</v>
      </c>
      <c r="I31" t="s">
        <v>69</v>
      </c>
      <c r="J31" t="s">
        <v>70</v>
      </c>
      <c r="K31" t="s">
        <v>71</v>
      </c>
      <c r="L31" t="s">
        <v>133</v>
      </c>
      <c r="M31" t="s">
        <v>73</v>
      </c>
      <c r="N31" t="s">
        <v>74</v>
      </c>
      <c r="O31" s="10" t="s">
        <v>75</v>
      </c>
      <c r="P31" t="s">
        <v>75</v>
      </c>
      <c r="Q31" s="10">
        <v>349</v>
      </c>
      <c r="R31" s="10">
        <v>0</v>
      </c>
      <c r="S31" s="10">
        <v>0</v>
      </c>
      <c r="T31">
        <v>349</v>
      </c>
      <c r="U31" s="2"/>
      <c r="V31" s="11">
        <v>0</v>
      </c>
      <c r="W31" s="11">
        <v>0</v>
      </c>
      <c r="X31" s="11"/>
      <c r="Y31" s="11"/>
      <c r="Z31" s="11">
        <v>0</v>
      </c>
      <c r="AA31" s="11">
        <v>0</v>
      </c>
      <c r="AB31" s="11"/>
      <c r="AC31" s="11"/>
      <c r="AD31" s="11">
        <v>0</v>
      </c>
      <c r="AE31" s="11">
        <v>0</v>
      </c>
      <c r="AF31" s="11"/>
      <c r="AG31" s="11"/>
      <c r="AH31" s="11">
        <v>0</v>
      </c>
      <c r="AI31" s="11">
        <v>0</v>
      </c>
      <c r="AJ31" s="11"/>
      <c r="AK31" s="11"/>
      <c r="AL31" s="11">
        <v>0</v>
      </c>
      <c r="AM31" s="11">
        <v>0</v>
      </c>
      <c r="AN31" s="11"/>
      <c r="AO31" s="11"/>
      <c r="AP31" s="11">
        <v>0</v>
      </c>
      <c r="AQ31" s="11">
        <v>0</v>
      </c>
      <c r="AR31" s="11"/>
      <c r="AS31" s="11"/>
      <c r="AT31" s="11">
        <v>0</v>
      </c>
      <c r="AU31" s="11">
        <v>0</v>
      </c>
      <c r="AV31" s="11"/>
      <c r="AW31" s="11"/>
      <c r="AX31" s="11">
        <v>0</v>
      </c>
      <c r="AY31" s="11">
        <v>0</v>
      </c>
      <c r="AZ31" s="11"/>
      <c r="BA31" s="11"/>
      <c r="BB31" s="11">
        <v>0</v>
      </c>
      <c r="BC31" s="11">
        <v>0</v>
      </c>
      <c r="BD31" s="11"/>
      <c r="BE31" s="11"/>
      <c r="BF31" s="11">
        <v>0</v>
      </c>
      <c r="BG31" s="11">
        <v>0</v>
      </c>
      <c r="BH31" s="11"/>
      <c r="BI31" s="11"/>
      <c r="BJ31" s="11">
        <v>0</v>
      </c>
      <c r="BK31" s="11">
        <v>0</v>
      </c>
      <c r="BL31" s="11"/>
      <c r="BM31" s="11"/>
      <c r="BN31" s="11">
        <v>0</v>
      </c>
      <c r="BO31" s="11">
        <v>0</v>
      </c>
      <c r="BP31" s="11"/>
      <c r="BQ31" s="11"/>
      <c r="BR31" s="11">
        <v>0</v>
      </c>
      <c r="BS31" s="11">
        <v>0</v>
      </c>
      <c r="BT31" s="11"/>
      <c r="BU31" s="11"/>
      <c r="BV31" s="11">
        <v>0</v>
      </c>
      <c r="BW31" s="11">
        <v>0</v>
      </c>
      <c r="BX31" s="11"/>
      <c r="BY31" s="11"/>
      <c r="BZ31" s="11">
        <v>0</v>
      </c>
      <c r="CA31" s="11">
        <v>0</v>
      </c>
      <c r="CB31" s="11"/>
      <c r="CC31" s="11"/>
      <c r="CD31" s="11">
        <v>0</v>
      </c>
      <c r="CE31" s="11">
        <v>0</v>
      </c>
      <c r="CF31" s="11"/>
      <c r="CG31" s="11"/>
      <c r="CH31" s="11">
        <v>0</v>
      </c>
      <c r="CI31" s="11">
        <v>0</v>
      </c>
      <c r="CJ31" s="11"/>
      <c r="CK31" s="11"/>
      <c r="CL31" s="11">
        <v>0</v>
      </c>
      <c r="CM31" s="11">
        <v>0</v>
      </c>
      <c r="CN31" s="11"/>
      <c r="CO31" s="11"/>
      <c r="CP31" s="11">
        <v>0</v>
      </c>
      <c r="CQ31" s="11">
        <v>0</v>
      </c>
      <c r="CR31" s="11"/>
      <c r="CS31" s="11"/>
      <c r="CT31" s="11">
        <v>0</v>
      </c>
      <c r="CU31" s="11">
        <v>0</v>
      </c>
      <c r="CV31" s="11"/>
      <c r="CW31" s="11"/>
      <c r="CX31" s="11">
        <v>0</v>
      </c>
      <c r="CY31" s="11">
        <v>0</v>
      </c>
      <c r="CZ31" s="11"/>
      <c r="DA31" s="11"/>
      <c r="DB31" s="11">
        <v>0</v>
      </c>
      <c r="DC31" s="11">
        <v>0</v>
      </c>
      <c r="DD31" s="11"/>
      <c r="DE31" s="11"/>
      <c r="DF31" s="2"/>
      <c r="DG31" s="11">
        <v>0</v>
      </c>
      <c r="DJ31" s="2"/>
      <c r="DK31" t="e">
        <v>#DIV/0!</v>
      </c>
    </row>
    <row r="32" spans="1:117">
      <c r="A32" t="s">
        <v>64</v>
      </c>
      <c r="B32" t="s">
        <v>65</v>
      </c>
      <c r="C32" t="s">
        <v>112</v>
      </c>
      <c r="D32">
        <v>129393</v>
      </c>
      <c r="E32">
        <v>129393</v>
      </c>
      <c r="G32" t="s">
        <v>134</v>
      </c>
      <c r="H32" t="s">
        <v>135</v>
      </c>
      <c r="I32" t="s">
        <v>69</v>
      </c>
      <c r="J32" t="s">
        <v>70</v>
      </c>
      <c r="K32" t="s">
        <v>71</v>
      </c>
      <c r="L32" t="s">
        <v>136</v>
      </c>
      <c r="M32" t="s">
        <v>73</v>
      </c>
      <c r="N32" t="s">
        <v>74</v>
      </c>
      <c r="O32" s="10" t="s">
        <v>75</v>
      </c>
      <c r="P32" t="s">
        <v>75</v>
      </c>
      <c r="Q32" s="10">
        <v>79</v>
      </c>
      <c r="R32" s="10">
        <v>0</v>
      </c>
      <c r="S32" s="10">
        <v>0</v>
      </c>
      <c r="T32">
        <v>79</v>
      </c>
      <c r="U32" s="2"/>
      <c r="V32" s="11">
        <v>0</v>
      </c>
      <c r="W32" s="11">
        <v>0</v>
      </c>
      <c r="X32" s="11"/>
      <c r="Y32" s="11"/>
      <c r="Z32" s="11">
        <v>0</v>
      </c>
      <c r="AA32" s="11">
        <v>0</v>
      </c>
      <c r="AB32" s="11"/>
      <c r="AC32" s="11"/>
      <c r="AD32" s="11">
        <v>0</v>
      </c>
      <c r="AE32" s="11">
        <v>0</v>
      </c>
      <c r="AF32" s="11"/>
      <c r="AG32" s="11"/>
      <c r="AH32" s="11">
        <v>0</v>
      </c>
      <c r="AI32" s="11">
        <v>0</v>
      </c>
      <c r="AJ32" s="11"/>
      <c r="AK32" s="11"/>
      <c r="AL32" s="11">
        <v>0</v>
      </c>
      <c r="AM32" s="11">
        <v>0</v>
      </c>
      <c r="AN32" s="11"/>
      <c r="AO32" s="11"/>
      <c r="AP32" s="11">
        <v>0</v>
      </c>
      <c r="AQ32" s="11">
        <v>0</v>
      </c>
      <c r="AR32" s="11"/>
      <c r="AS32" s="11"/>
      <c r="AT32" s="11">
        <v>0</v>
      </c>
      <c r="AU32" s="11">
        <v>0</v>
      </c>
      <c r="AV32" s="11"/>
      <c r="AW32" s="11"/>
      <c r="AX32" s="11">
        <v>0</v>
      </c>
      <c r="AY32" s="11">
        <v>0</v>
      </c>
      <c r="AZ32" s="11"/>
      <c r="BA32" s="11"/>
      <c r="BB32" s="11">
        <v>0</v>
      </c>
      <c r="BC32" s="11">
        <v>0</v>
      </c>
      <c r="BD32" s="11"/>
      <c r="BE32" s="11"/>
      <c r="BF32" s="11">
        <v>0</v>
      </c>
      <c r="BG32" s="11">
        <v>0</v>
      </c>
      <c r="BH32" s="11"/>
      <c r="BI32" s="11"/>
      <c r="BJ32" s="11">
        <v>0</v>
      </c>
      <c r="BK32" s="11">
        <v>0</v>
      </c>
      <c r="BL32" s="11"/>
      <c r="BM32" s="11"/>
      <c r="BN32" s="11">
        <v>0</v>
      </c>
      <c r="BO32" s="11">
        <v>0</v>
      </c>
      <c r="BP32" s="11"/>
      <c r="BQ32" s="11"/>
      <c r="BR32" s="11">
        <v>0</v>
      </c>
      <c r="BS32" s="11">
        <v>0</v>
      </c>
      <c r="BT32" s="11"/>
      <c r="BU32" s="11"/>
      <c r="BV32" s="11">
        <v>0</v>
      </c>
      <c r="BW32" s="11">
        <v>0</v>
      </c>
      <c r="BX32" s="11"/>
      <c r="BY32" s="11"/>
      <c r="BZ32" s="11">
        <v>0</v>
      </c>
      <c r="CA32" s="11">
        <v>0</v>
      </c>
      <c r="CB32" s="11"/>
      <c r="CC32" s="11"/>
      <c r="CD32" s="11">
        <v>0</v>
      </c>
      <c r="CE32" s="11">
        <v>0</v>
      </c>
      <c r="CF32" s="11"/>
      <c r="CG32" s="11"/>
      <c r="CH32" s="11">
        <v>1</v>
      </c>
      <c r="CI32" s="11">
        <v>0</v>
      </c>
      <c r="CJ32" s="11"/>
      <c r="CK32" s="11"/>
      <c r="CL32" s="11">
        <v>0</v>
      </c>
      <c r="CM32" s="11">
        <v>0</v>
      </c>
      <c r="CN32" s="11"/>
      <c r="CO32" s="11"/>
      <c r="CP32" s="11">
        <v>0</v>
      </c>
      <c r="CQ32" s="11">
        <v>0</v>
      </c>
      <c r="CR32" s="11"/>
      <c r="CS32" s="11"/>
      <c r="CT32" s="11">
        <v>0</v>
      </c>
      <c r="CU32" s="11">
        <v>0</v>
      </c>
      <c r="CV32" s="11"/>
      <c r="CW32" s="11"/>
      <c r="CX32" s="11">
        <v>5</v>
      </c>
      <c r="CY32" s="11">
        <v>0</v>
      </c>
      <c r="CZ32" s="11"/>
      <c r="DA32" s="11"/>
      <c r="DB32" s="11">
        <v>0</v>
      </c>
      <c r="DC32" s="11">
        <v>0</v>
      </c>
      <c r="DD32" s="11"/>
      <c r="DE32" s="11"/>
      <c r="DF32" s="2"/>
      <c r="DG32" s="11">
        <v>0</v>
      </c>
      <c r="DJ32" s="2"/>
      <c r="DK32" t="e">
        <v>#DIV/0!</v>
      </c>
    </row>
    <row r="33" spans="1:115">
      <c r="A33" t="s">
        <v>64</v>
      </c>
      <c r="B33" t="s">
        <v>65</v>
      </c>
      <c r="C33" t="s">
        <v>112</v>
      </c>
      <c r="D33">
        <v>129394</v>
      </c>
      <c r="E33">
        <v>129394</v>
      </c>
      <c r="G33" t="s">
        <v>137</v>
      </c>
      <c r="H33" t="s">
        <v>138</v>
      </c>
      <c r="I33" t="s">
        <v>69</v>
      </c>
      <c r="J33" t="s">
        <v>70</v>
      </c>
      <c r="K33" t="s">
        <v>71</v>
      </c>
      <c r="L33" t="s">
        <v>129</v>
      </c>
      <c r="M33" t="s">
        <v>73</v>
      </c>
      <c r="N33" t="s">
        <v>74</v>
      </c>
      <c r="O33" s="10" t="s">
        <v>75</v>
      </c>
      <c r="P33" t="s">
        <v>75</v>
      </c>
      <c r="Q33" s="10">
        <v>127</v>
      </c>
      <c r="R33" s="10">
        <v>0</v>
      </c>
      <c r="S33" s="10">
        <v>0</v>
      </c>
      <c r="T33">
        <v>127</v>
      </c>
      <c r="U33" s="2"/>
      <c r="V33" s="11">
        <v>0</v>
      </c>
      <c r="W33" s="11">
        <v>0</v>
      </c>
      <c r="X33" s="11"/>
      <c r="Y33" s="11"/>
      <c r="Z33" s="11">
        <v>0</v>
      </c>
      <c r="AA33" s="11">
        <v>0</v>
      </c>
      <c r="AB33" s="11"/>
      <c r="AC33" s="11"/>
      <c r="AD33" s="11">
        <v>0</v>
      </c>
      <c r="AE33" s="11">
        <v>0</v>
      </c>
      <c r="AF33" s="11"/>
      <c r="AG33" s="11"/>
      <c r="AH33" s="11">
        <v>2</v>
      </c>
      <c r="AI33" s="11">
        <v>0</v>
      </c>
      <c r="AJ33" s="11"/>
      <c r="AK33" s="11"/>
      <c r="AL33" s="11">
        <v>3</v>
      </c>
      <c r="AM33" s="11">
        <v>0</v>
      </c>
      <c r="AN33" s="11"/>
      <c r="AO33" s="11"/>
      <c r="AP33" s="11">
        <v>3</v>
      </c>
      <c r="AQ33" s="11">
        <v>0</v>
      </c>
      <c r="AR33" s="11"/>
      <c r="AS33" s="11"/>
      <c r="AT33" s="11">
        <v>0</v>
      </c>
      <c r="AU33" s="11">
        <v>0</v>
      </c>
      <c r="AV33" s="11"/>
      <c r="AW33" s="11"/>
      <c r="AX33" s="11">
        <v>2</v>
      </c>
      <c r="AY33" s="11">
        <v>0</v>
      </c>
      <c r="AZ33" s="11"/>
      <c r="BA33" s="11"/>
      <c r="BB33" s="11">
        <v>3</v>
      </c>
      <c r="BC33" s="11">
        <v>0</v>
      </c>
      <c r="BD33" s="11"/>
      <c r="BE33" s="11"/>
      <c r="BF33" s="11">
        <v>2</v>
      </c>
      <c r="BG33" s="11">
        <v>0</v>
      </c>
      <c r="BH33" s="11"/>
      <c r="BI33" s="11"/>
      <c r="BJ33" s="11">
        <v>0</v>
      </c>
      <c r="BK33" s="11">
        <v>0</v>
      </c>
      <c r="BL33" s="11"/>
      <c r="BM33" s="11"/>
      <c r="BN33" s="11">
        <v>1</v>
      </c>
      <c r="BO33" s="11">
        <v>0</v>
      </c>
      <c r="BP33" s="11"/>
      <c r="BQ33" s="11"/>
      <c r="BR33" s="11">
        <v>1</v>
      </c>
      <c r="BS33" s="11">
        <v>0</v>
      </c>
      <c r="BT33" s="11"/>
      <c r="BU33" s="11"/>
      <c r="BV33" s="11">
        <v>0</v>
      </c>
      <c r="BW33" s="11">
        <v>0</v>
      </c>
      <c r="BX33" s="11"/>
      <c r="BY33" s="11"/>
      <c r="BZ33" s="11">
        <v>0</v>
      </c>
      <c r="CA33" s="11">
        <v>0</v>
      </c>
      <c r="CB33" s="11"/>
      <c r="CC33" s="11"/>
      <c r="CD33" s="11">
        <v>2</v>
      </c>
      <c r="CE33" s="11">
        <v>0</v>
      </c>
      <c r="CF33" s="11"/>
      <c r="CG33" s="11"/>
      <c r="CH33" s="11">
        <v>2</v>
      </c>
      <c r="CI33" s="11">
        <v>0</v>
      </c>
      <c r="CJ33" s="11"/>
      <c r="CK33" s="11"/>
      <c r="CL33" s="11">
        <v>0</v>
      </c>
      <c r="CM33" s="11">
        <v>0</v>
      </c>
      <c r="CN33" s="11"/>
      <c r="CO33" s="11"/>
      <c r="CP33" s="11">
        <v>2</v>
      </c>
      <c r="CQ33" s="11">
        <v>0</v>
      </c>
      <c r="CR33" s="11"/>
      <c r="CS33" s="11"/>
      <c r="CT33" s="11">
        <v>1</v>
      </c>
      <c r="CU33" s="11">
        <v>0</v>
      </c>
      <c r="CV33" s="11"/>
      <c r="CW33" s="11"/>
      <c r="CX33" s="11">
        <v>10</v>
      </c>
      <c r="CY33" s="11">
        <v>0</v>
      </c>
      <c r="CZ33" s="11"/>
      <c r="DA33" s="11"/>
      <c r="DB33" s="11">
        <v>6</v>
      </c>
      <c r="DC33" s="11">
        <v>0</v>
      </c>
      <c r="DD33" s="11"/>
      <c r="DE33" s="11"/>
      <c r="DF33" s="2"/>
      <c r="DG33" s="11">
        <v>4</v>
      </c>
      <c r="DJ33" s="2"/>
      <c r="DK33">
        <v>31.75</v>
      </c>
    </row>
    <row r="34" spans="1:115">
      <c r="A34" t="s">
        <v>64</v>
      </c>
      <c r="B34" t="s">
        <v>65</v>
      </c>
      <c r="C34" t="s">
        <v>112</v>
      </c>
      <c r="D34">
        <v>129395</v>
      </c>
      <c r="E34">
        <v>129395</v>
      </c>
      <c r="G34" t="s">
        <v>139</v>
      </c>
      <c r="H34" t="s">
        <v>140</v>
      </c>
      <c r="I34" t="s">
        <v>69</v>
      </c>
      <c r="J34" t="s">
        <v>70</v>
      </c>
      <c r="K34" t="s">
        <v>71</v>
      </c>
      <c r="L34" t="s">
        <v>124</v>
      </c>
      <c r="M34" t="s">
        <v>73</v>
      </c>
      <c r="N34" t="s">
        <v>74</v>
      </c>
      <c r="O34" s="10" t="s">
        <v>75</v>
      </c>
      <c r="P34" t="s">
        <v>75</v>
      </c>
      <c r="Q34" s="10">
        <v>773</v>
      </c>
      <c r="R34" s="10">
        <v>0</v>
      </c>
      <c r="S34" s="10">
        <v>0</v>
      </c>
      <c r="T34">
        <v>773</v>
      </c>
      <c r="U34" s="2"/>
      <c r="V34" s="11">
        <v>2</v>
      </c>
      <c r="W34" s="11">
        <v>0</v>
      </c>
      <c r="X34" s="11"/>
      <c r="Y34" s="11"/>
      <c r="Z34" s="11">
        <v>0</v>
      </c>
      <c r="AA34" s="11">
        <v>0</v>
      </c>
      <c r="AB34" s="11"/>
      <c r="AC34" s="11"/>
      <c r="AD34" s="11">
        <v>0</v>
      </c>
      <c r="AE34" s="11">
        <v>0</v>
      </c>
      <c r="AF34" s="11"/>
      <c r="AG34" s="11"/>
      <c r="AH34" s="11">
        <v>27</v>
      </c>
      <c r="AI34" s="11">
        <v>0</v>
      </c>
      <c r="AJ34" s="11"/>
      <c r="AK34" s="11"/>
      <c r="AL34" s="11">
        <v>2</v>
      </c>
      <c r="AM34" s="11">
        <v>0</v>
      </c>
      <c r="AN34" s="11"/>
      <c r="AO34" s="11"/>
      <c r="AP34" s="11">
        <v>29</v>
      </c>
      <c r="AQ34" s="11">
        <v>0</v>
      </c>
      <c r="AR34" s="11"/>
      <c r="AS34" s="11"/>
      <c r="AT34" s="11">
        <v>1</v>
      </c>
      <c r="AU34" s="11">
        <v>0</v>
      </c>
      <c r="AV34" s="11"/>
      <c r="AW34" s="11"/>
      <c r="AX34" s="11">
        <v>0</v>
      </c>
      <c r="AY34" s="11">
        <v>0</v>
      </c>
      <c r="AZ34" s="11"/>
      <c r="BA34" s="11"/>
      <c r="BB34" s="11">
        <v>12</v>
      </c>
      <c r="BC34" s="11">
        <v>0</v>
      </c>
      <c r="BD34" s="11"/>
      <c r="BE34" s="11"/>
      <c r="BF34" s="11">
        <v>26</v>
      </c>
      <c r="BG34" s="11">
        <v>0</v>
      </c>
      <c r="BH34" s="11"/>
      <c r="BI34" s="11"/>
      <c r="BJ34" s="11">
        <v>0</v>
      </c>
      <c r="BK34" s="11">
        <v>0</v>
      </c>
      <c r="BL34" s="11"/>
      <c r="BM34" s="11"/>
      <c r="BN34" s="11">
        <v>1</v>
      </c>
      <c r="BO34" s="11">
        <v>0</v>
      </c>
      <c r="BP34" s="11"/>
      <c r="BQ34" s="11"/>
      <c r="BR34" s="11">
        <v>1</v>
      </c>
      <c r="BS34" s="11">
        <v>0</v>
      </c>
      <c r="BT34" s="11"/>
      <c r="BU34" s="11"/>
      <c r="BV34" s="11">
        <v>0</v>
      </c>
      <c r="BW34" s="11">
        <v>0</v>
      </c>
      <c r="BX34" s="11"/>
      <c r="BY34" s="11"/>
      <c r="BZ34" s="11">
        <v>0</v>
      </c>
      <c r="CA34" s="11">
        <v>0</v>
      </c>
      <c r="CB34" s="11"/>
      <c r="CC34" s="11"/>
      <c r="CD34" s="11">
        <v>0</v>
      </c>
      <c r="CE34" s="11">
        <v>0</v>
      </c>
      <c r="CF34" s="11"/>
      <c r="CG34" s="11"/>
      <c r="CH34" s="11">
        <v>8</v>
      </c>
      <c r="CI34" s="11">
        <v>0</v>
      </c>
      <c r="CJ34" s="11"/>
      <c r="CK34" s="11"/>
      <c r="CL34" s="11">
        <v>0</v>
      </c>
      <c r="CM34" s="11">
        <v>0</v>
      </c>
      <c r="CN34" s="11"/>
      <c r="CO34" s="11"/>
      <c r="CP34" s="11">
        <v>0</v>
      </c>
      <c r="CQ34" s="11">
        <v>0</v>
      </c>
      <c r="CR34" s="11"/>
      <c r="CS34" s="11"/>
      <c r="CT34" s="11">
        <v>1</v>
      </c>
      <c r="CU34" s="11">
        <v>0</v>
      </c>
      <c r="CV34" s="11"/>
      <c r="CW34" s="11"/>
      <c r="CX34" s="11">
        <v>61</v>
      </c>
      <c r="CY34" s="11">
        <v>0</v>
      </c>
      <c r="CZ34" s="11"/>
      <c r="DA34" s="11"/>
      <c r="DB34" s="11">
        <v>0</v>
      </c>
      <c r="DC34" s="11">
        <v>0</v>
      </c>
      <c r="DD34" s="11"/>
      <c r="DE34" s="11"/>
      <c r="DF34" s="2"/>
      <c r="DG34" s="11">
        <v>31</v>
      </c>
      <c r="DJ34" s="2"/>
      <c r="DK34">
        <v>24.93548387096774</v>
      </c>
    </row>
    <row r="35" spans="1:115">
      <c r="A35" t="s">
        <v>64</v>
      </c>
      <c r="B35" t="s">
        <v>65</v>
      </c>
      <c r="C35" t="s">
        <v>112</v>
      </c>
      <c r="D35">
        <v>129396</v>
      </c>
      <c r="E35">
        <v>129396</v>
      </c>
      <c r="G35" t="s">
        <v>141</v>
      </c>
      <c r="H35" t="s">
        <v>142</v>
      </c>
      <c r="I35" t="s">
        <v>69</v>
      </c>
      <c r="J35" t="s">
        <v>70</v>
      </c>
      <c r="K35" t="s">
        <v>71</v>
      </c>
      <c r="L35" t="s">
        <v>136</v>
      </c>
      <c r="M35" t="s">
        <v>73</v>
      </c>
      <c r="N35" t="s">
        <v>74</v>
      </c>
      <c r="O35" s="10" t="s">
        <v>75</v>
      </c>
      <c r="P35" t="s">
        <v>75</v>
      </c>
      <c r="Q35" s="10">
        <v>541</v>
      </c>
      <c r="R35" s="10">
        <v>0</v>
      </c>
      <c r="S35" s="10">
        <v>0</v>
      </c>
      <c r="T35">
        <v>541</v>
      </c>
      <c r="U35" s="2"/>
      <c r="V35" s="11">
        <v>0</v>
      </c>
      <c r="W35" s="11">
        <v>0</v>
      </c>
      <c r="X35" s="11"/>
      <c r="Y35" s="11"/>
      <c r="Z35" s="11">
        <v>0</v>
      </c>
      <c r="AA35" s="11">
        <v>0</v>
      </c>
      <c r="AB35" s="11"/>
      <c r="AC35" s="11"/>
      <c r="AD35" s="11">
        <v>2</v>
      </c>
      <c r="AE35" s="11">
        <v>0</v>
      </c>
      <c r="AF35" s="11"/>
      <c r="AG35" s="11"/>
      <c r="AH35" s="11">
        <v>16</v>
      </c>
      <c r="AI35" s="11">
        <v>0</v>
      </c>
      <c r="AJ35" s="11"/>
      <c r="AK35" s="11"/>
      <c r="AL35" s="11">
        <v>0</v>
      </c>
      <c r="AM35" s="11">
        <v>0</v>
      </c>
      <c r="AN35" s="11"/>
      <c r="AO35" s="11"/>
      <c r="AP35" s="11">
        <v>0</v>
      </c>
      <c r="AQ35" s="11">
        <v>0</v>
      </c>
      <c r="AR35" s="11"/>
      <c r="AS35" s="11"/>
      <c r="AT35" s="11">
        <v>0</v>
      </c>
      <c r="AU35" s="11">
        <v>0</v>
      </c>
      <c r="AV35" s="11"/>
      <c r="AW35" s="11"/>
      <c r="AX35" s="11">
        <v>0</v>
      </c>
      <c r="AY35" s="11">
        <v>0</v>
      </c>
      <c r="AZ35" s="11"/>
      <c r="BA35" s="11"/>
      <c r="BB35" s="11">
        <v>5</v>
      </c>
      <c r="BC35" s="11">
        <v>0</v>
      </c>
      <c r="BD35" s="11"/>
      <c r="BE35" s="11"/>
      <c r="BF35" s="11">
        <v>10</v>
      </c>
      <c r="BG35" s="11">
        <v>0</v>
      </c>
      <c r="BH35" s="11"/>
      <c r="BI35" s="11"/>
      <c r="BJ35" s="11">
        <v>12</v>
      </c>
      <c r="BK35" s="11">
        <v>0</v>
      </c>
      <c r="BL35" s="11"/>
      <c r="BM35" s="11"/>
      <c r="BN35" s="11">
        <v>1</v>
      </c>
      <c r="BO35" s="11">
        <v>0</v>
      </c>
      <c r="BP35" s="11"/>
      <c r="BQ35" s="11"/>
      <c r="BR35" s="11">
        <v>1</v>
      </c>
      <c r="BS35" s="11">
        <v>0</v>
      </c>
      <c r="BT35" s="11"/>
      <c r="BU35" s="11"/>
      <c r="BV35" s="11">
        <v>0</v>
      </c>
      <c r="BW35" s="11">
        <v>0</v>
      </c>
      <c r="BX35" s="11"/>
      <c r="BY35" s="11"/>
      <c r="BZ35" s="11">
        <v>0</v>
      </c>
      <c r="CA35" s="11">
        <v>0</v>
      </c>
      <c r="CB35" s="11"/>
      <c r="CC35" s="11"/>
      <c r="CD35" s="11">
        <v>0</v>
      </c>
      <c r="CE35" s="11">
        <v>0</v>
      </c>
      <c r="CF35" s="11"/>
      <c r="CG35" s="11"/>
      <c r="CH35" s="11">
        <v>2</v>
      </c>
      <c r="CI35" s="11">
        <v>0</v>
      </c>
      <c r="CJ35" s="11"/>
      <c r="CK35" s="11"/>
      <c r="CL35" s="11">
        <v>0</v>
      </c>
      <c r="CM35" s="11">
        <v>0</v>
      </c>
      <c r="CN35" s="11"/>
      <c r="CO35" s="11"/>
      <c r="CP35" s="11">
        <v>0</v>
      </c>
      <c r="CQ35" s="11">
        <v>0</v>
      </c>
      <c r="CR35" s="11"/>
      <c r="CS35" s="11"/>
      <c r="CT35" s="11">
        <v>1</v>
      </c>
      <c r="CU35" s="11">
        <v>0</v>
      </c>
      <c r="CV35" s="11"/>
      <c r="CW35" s="11"/>
      <c r="CX35" s="11">
        <v>11</v>
      </c>
      <c r="CY35" s="11">
        <v>0</v>
      </c>
      <c r="CZ35" s="11"/>
      <c r="DA35" s="11"/>
      <c r="DB35" s="11">
        <v>0</v>
      </c>
      <c r="DC35" s="11">
        <v>0</v>
      </c>
      <c r="DD35" s="11"/>
      <c r="DE35" s="11"/>
      <c r="DF35" s="2"/>
      <c r="DG35" s="11">
        <v>20</v>
      </c>
      <c r="DJ35" s="2"/>
      <c r="DK35">
        <v>27.05</v>
      </c>
    </row>
    <row r="36" spans="1:115">
      <c r="A36" t="s">
        <v>64</v>
      </c>
      <c r="B36" t="s">
        <v>65</v>
      </c>
      <c r="C36" t="s">
        <v>112</v>
      </c>
      <c r="D36">
        <v>129397</v>
      </c>
      <c r="E36">
        <v>129397</v>
      </c>
      <c r="G36" t="s">
        <v>143</v>
      </c>
      <c r="H36" t="s">
        <v>144</v>
      </c>
      <c r="I36" t="s">
        <v>69</v>
      </c>
      <c r="J36" t="s">
        <v>70</v>
      </c>
      <c r="K36" t="s">
        <v>71</v>
      </c>
      <c r="L36" t="s">
        <v>145</v>
      </c>
      <c r="M36" t="s">
        <v>73</v>
      </c>
      <c r="N36" t="s">
        <v>74</v>
      </c>
      <c r="O36" s="10" t="s">
        <v>75</v>
      </c>
      <c r="P36" t="s">
        <v>75</v>
      </c>
      <c r="Q36" s="10">
        <v>179</v>
      </c>
      <c r="R36" s="10">
        <v>0</v>
      </c>
      <c r="S36" s="10">
        <v>0</v>
      </c>
      <c r="T36">
        <v>179</v>
      </c>
      <c r="U36" s="2"/>
      <c r="V36" s="11">
        <v>0</v>
      </c>
      <c r="W36" s="11">
        <v>0</v>
      </c>
      <c r="X36" s="11"/>
      <c r="Y36" s="11"/>
      <c r="Z36" s="11">
        <v>0</v>
      </c>
      <c r="AA36" s="11">
        <v>0</v>
      </c>
      <c r="AB36" s="11"/>
      <c r="AC36" s="11"/>
      <c r="AD36" s="11">
        <v>0</v>
      </c>
      <c r="AE36" s="11">
        <v>0</v>
      </c>
      <c r="AF36" s="11"/>
      <c r="AG36" s="11"/>
      <c r="AH36" s="11">
        <v>0</v>
      </c>
      <c r="AI36" s="11">
        <v>0</v>
      </c>
      <c r="AJ36" s="11"/>
      <c r="AK36" s="11"/>
      <c r="AL36" s="11">
        <v>0</v>
      </c>
      <c r="AM36" s="11">
        <v>0</v>
      </c>
      <c r="AN36" s="11"/>
      <c r="AO36" s="11"/>
      <c r="AP36" s="11">
        <v>0</v>
      </c>
      <c r="AQ36" s="11">
        <v>0</v>
      </c>
      <c r="AR36" s="11"/>
      <c r="AS36" s="11"/>
      <c r="AT36" s="11">
        <v>0</v>
      </c>
      <c r="AU36" s="11">
        <v>0</v>
      </c>
      <c r="AV36" s="11"/>
      <c r="AW36" s="11"/>
      <c r="AX36" s="11">
        <v>0</v>
      </c>
      <c r="AY36" s="11">
        <v>0</v>
      </c>
      <c r="AZ36" s="11"/>
      <c r="BA36" s="11"/>
      <c r="BB36" s="11">
        <v>0</v>
      </c>
      <c r="BC36" s="11">
        <v>0</v>
      </c>
      <c r="BD36" s="11"/>
      <c r="BE36" s="11"/>
      <c r="BF36" s="11">
        <v>0</v>
      </c>
      <c r="BG36" s="11">
        <v>0</v>
      </c>
      <c r="BH36" s="11"/>
      <c r="BI36" s="11"/>
      <c r="BJ36" s="11">
        <v>0</v>
      </c>
      <c r="BK36" s="11">
        <v>0</v>
      </c>
      <c r="BL36" s="11"/>
      <c r="BM36" s="11"/>
      <c r="BN36" s="11">
        <v>0</v>
      </c>
      <c r="BO36" s="11">
        <v>0</v>
      </c>
      <c r="BP36" s="11"/>
      <c r="BQ36" s="11"/>
      <c r="BR36" s="11">
        <v>0</v>
      </c>
      <c r="BS36" s="11">
        <v>0</v>
      </c>
      <c r="BT36" s="11"/>
      <c r="BU36" s="11"/>
      <c r="BV36" s="11">
        <v>0</v>
      </c>
      <c r="BW36" s="11">
        <v>0</v>
      </c>
      <c r="BX36" s="11"/>
      <c r="BY36" s="11"/>
      <c r="BZ36" s="11">
        <v>8</v>
      </c>
      <c r="CA36" s="11">
        <v>0</v>
      </c>
      <c r="CB36" s="11"/>
      <c r="CC36" s="11"/>
      <c r="CD36" s="11">
        <v>2</v>
      </c>
      <c r="CE36" s="11">
        <v>0</v>
      </c>
      <c r="CF36" s="11"/>
      <c r="CG36" s="11"/>
      <c r="CH36" s="11">
        <v>10</v>
      </c>
      <c r="CI36" s="11">
        <v>0</v>
      </c>
      <c r="CJ36" s="11"/>
      <c r="CK36" s="11"/>
      <c r="CL36" s="11">
        <v>0</v>
      </c>
      <c r="CM36" s="11">
        <v>0</v>
      </c>
      <c r="CN36" s="11"/>
      <c r="CO36" s="11"/>
      <c r="CP36" s="11">
        <v>0</v>
      </c>
      <c r="CQ36" s="11">
        <v>0</v>
      </c>
      <c r="CR36" s="11"/>
      <c r="CS36" s="11"/>
      <c r="CT36" s="11">
        <v>1</v>
      </c>
      <c r="CU36" s="11">
        <v>0</v>
      </c>
      <c r="CV36" s="11"/>
      <c r="CW36" s="11"/>
      <c r="CX36" s="11">
        <v>16</v>
      </c>
      <c r="CY36" s="11">
        <v>0</v>
      </c>
      <c r="CZ36" s="11"/>
      <c r="DA36" s="11"/>
      <c r="DB36" s="11">
        <v>2</v>
      </c>
      <c r="DC36" s="11">
        <v>0</v>
      </c>
      <c r="DD36" s="11"/>
      <c r="DE36" s="11"/>
      <c r="DF36" s="2"/>
      <c r="DG36" s="11">
        <v>8</v>
      </c>
      <c r="DJ36" s="2"/>
      <c r="DK36">
        <v>22.375</v>
      </c>
    </row>
    <row r="37" spans="1:115">
      <c r="A37" t="s">
        <v>64</v>
      </c>
      <c r="B37" t="s">
        <v>65</v>
      </c>
      <c r="C37" t="s">
        <v>112</v>
      </c>
      <c r="D37">
        <v>129398</v>
      </c>
      <c r="E37">
        <v>129398</v>
      </c>
      <c r="G37" t="s">
        <v>146</v>
      </c>
      <c r="H37" t="s">
        <v>147</v>
      </c>
      <c r="I37" t="s">
        <v>69</v>
      </c>
      <c r="J37" t="s">
        <v>70</v>
      </c>
      <c r="K37" t="s">
        <v>71</v>
      </c>
      <c r="L37" t="s">
        <v>148</v>
      </c>
      <c r="M37" t="s">
        <v>73</v>
      </c>
      <c r="N37" t="s">
        <v>74</v>
      </c>
      <c r="O37" s="10" t="s">
        <v>75</v>
      </c>
      <c r="P37" t="s">
        <v>75</v>
      </c>
      <c r="Q37" s="10">
        <v>591</v>
      </c>
      <c r="R37" s="10">
        <v>0</v>
      </c>
      <c r="S37" s="10">
        <v>0</v>
      </c>
      <c r="T37">
        <v>591</v>
      </c>
      <c r="U37" s="2"/>
      <c r="V37" s="11">
        <v>0</v>
      </c>
      <c r="W37" s="11">
        <v>0</v>
      </c>
      <c r="X37" s="11"/>
      <c r="Y37" s="11"/>
      <c r="Z37" s="11">
        <v>0</v>
      </c>
      <c r="AA37" s="11">
        <v>0</v>
      </c>
      <c r="AB37" s="11"/>
      <c r="AC37" s="11"/>
      <c r="AD37" s="11">
        <v>0</v>
      </c>
      <c r="AE37" s="11">
        <v>0</v>
      </c>
      <c r="AF37" s="11"/>
      <c r="AG37" s="11"/>
      <c r="AH37" s="11">
        <v>16</v>
      </c>
      <c r="AI37" s="11">
        <v>0</v>
      </c>
      <c r="AJ37" s="11"/>
      <c r="AK37" s="11"/>
      <c r="AL37" s="11">
        <v>0</v>
      </c>
      <c r="AM37" s="11">
        <v>0</v>
      </c>
      <c r="AN37" s="11"/>
      <c r="AO37" s="11"/>
      <c r="AP37" s="11">
        <v>16</v>
      </c>
      <c r="AQ37" s="11">
        <v>0</v>
      </c>
      <c r="AR37" s="11"/>
      <c r="AS37" s="11"/>
      <c r="AT37" s="11">
        <v>0</v>
      </c>
      <c r="AU37" s="11">
        <v>0</v>
      </c>
      <c r="AV37" s="11"/>
      <c r="AW37" s="11"/>
      <c r="AX37" s="11">
        <v>0</v>
      </c>
      <c r="AY37" s="11">
        <v>0</v>
      </c>
      <c r="AZ37" s="11"/>
      <c r="BA37" s="11"/>
      <c r="BB37" s="11">
        <v>9</v>
      </c>
      <c r="BC37" s="11">
        <v>0</v>
      </c>
      <c r="BD37" s="11"/>
      <c r="BE37" s="11"/>
      <c r="BF37" s="11">
        <v>32</v>
      </c>
      <c r="BG37" s="11">
        <v>0</v>
      </c>
      <c r="BH37" s="11"/>
      <c r="BI37" s="11"/>
      <c r="BJ37" s="11">
        <v>0</v>
      </c>
      <c r="BK37" s="11">
        <v>0</v>
      </c>
      <c r="BL37" s="11"/>
      <c r="BM37" s="11"/>
      <c r="BN37" s="11">
        <v>0</v>
      </c>
      <c r="BO37" s="11">
        <v>0</v>
      </c>
      <c r="BP37" s="11"/>
      <c r="BQ37" s="11"/>
      <c r="BR37" s="11">
        <v>0</v>
      </c>
      <c r="BS37" s="11">
        <v>0</v>
      </c>
      <c r="BT37" s="11"/>
      <c r="BU37" s="11"/>
      <c r="BV37" s="11">
        <v>0</v>
      </c>
      <c r="BW37" s="11">
        <v>0</v>
      </c>
      <c r="BX37" s="11"/>
      <c r="BY37" s="11"/>
      <c r="BZ37" s="11">
        <v>0</v>
      </c>
      <c r="CA37" s="11">
        <v>0</v>
      </c>
      <c r="CB37" s="11"/>
      <c r="CC37" s="11"/>
      <c r="CD37" s="11">
        <v>0</v>
      </c>
      <c r="CE37" s="11">
        <v>0</v>
      </c>
      <c r="CF37" s="11"/>
      <c r="CG37" s="11"/>
      <c r="CH37" s="11">
        <v>0</v>
      </c>
      <c r="CI37" s="11">
        <v>0</v>
      </c>
      <c r="CJ37" s="11"/>
      <c r="CK37" s="11"/>
      <c r="CL37" s="11">
        <v>0</v>
      </c>
      <c r="CM37" s="11">
        <v>0</v>
      </c>
      <c r="CN37" s="11"/>
      <c r="CO37" s="11"/>
      <c r="CP37" s="11">
        <v>0</v>
      </c>
      <c r="CQ37" s="11">
        <v>0</v>
      </c>
      <c r="CR37" s="11"/>
      <c r="CS37" s="11"/>
      <c r="CT37" s="11">
        <v>0</v>
      </c>
      <c r="CU37" s="11">
        <v>0</v>
      </c>
      <c r="CV37" s="11"/>
      <c r="CW37" s="11"/>
      <c r="CX37" s="11">
        <v>0</v>
      </c>
      <c r="CY37" s="11">
        <v>0</v>
      </c>
      <c r="CZ37" s="11"/>
      <c r="DA37" s="11"/>
      <c r="DB37" s="11">
        <v>0</v>
      </c>
      <c r="DC37" s="11">
        <v>0</v>
      </c>
      <c r="DD37" s="11"/>
      <c r="DE37" s="11"/>
      <c r="DF37" s="2"/>
      <c r="DG37" s="11">
        <v>16</v>
      </c>
      <c r="DJ37" s="2"/>
      <c r="DK37">
        <v>36.9375</v>
      </c>
    </row>
    <row r="38" spans="1:115">
      <c r="A38" t="s">
        <v>64</v>
      </c>
      <c r="B38" t="s">
        <v>65</v>
      </c>
      <c r="C38" t="s">
        <v>112</v>
      </c>
      <c r="D38">
        <v>129399</v>
      </c>
      <c r="E38">
        <v>129399</v>
      </c>
      <c r="G38" t="s">
        <v>149</v>
      </c>
      <c r="H38" t="s">
        <v>150</v>
      </c>
      <c r="I38" t="s">
        <v>69</v>
      </c>
      <c r="J38" t="s">
        <v>70</v>
      </c>
      <c r="K38" t="s">
        <v>71</v>
      </c>
      <c r="L38" t="s">
        <v>151</v>
      </c>
      <c r="M38" t="s">
        <v>73</v>
      </c>
      <c r="N38" t="s">
        <v>74</v>
      </c>
      <c r="O38" s="10" t="s">
        <v>75</v>
      </c>
      <c r="P38" t="s">
        <v>75</v>
      </c>
      <c r="Q38" s="10">
        <v>611</v>
      </c>
      <c r="R38" s="10">
        <v>0</v>
      </c>
      <c r="S38" s="10">
        <v>0</v>
      </c>
      <c r="T38">
        <v>611</v>
      </c>
      <c r="U38" s="2"/>
      <c r="V38" s="11">
        <v>0</v>
      </c>
      <c r="W38" s="11">
        <v>0</v>
      </c>
      <c r="X38" s="11"/>
      <c r="Y38" s="11"/>
      <c r="Z38" s="11">
        <v>0</v>
      </c>
      <c r="AA38" s="11">
        <v>0</v>
      </c>
      <c r="AB38" s="11"/>
      <c r="AC38" s="11"/>
      <c r="AD38" s="11">
        <v>0</v>
      </c>
      <c r="AE38" s="11">
        <v>0</v>
      </c>
      <c r="AF38" s="11"/>
      <c r="AG38" s="11"/>
      <c r="AH38" s="11">
        <v>15</v>
      </c>
      <c r="AI38" s="11">
        <v>0</v>
      </c>
      <c r="AJ38" s="11"/>
      <c r="AK38" s="11"/>
      <c r="AL38" s="11">
        <v>4</v>
      </c>
      <c r="AM38" s="11">
        <v>0</v>
      </c>
      <c r="AN38" s="11"/>
      <c r="AO38" s="11"/>
      <c r="AP38" s="11">
        <v>14</v>
      </c>
      <c r="AQ38" s="11">
        <v>0</v>
      </c>
      <c r="AR38" s="11"/>
      <c r="AS38" s="11"/>
      <c r="AT38" s="11">
        <v>0</v>
      </c>
      <c r="AU38" s="11">
        <v>0</v>
      </c>
      <c r="AV38" s="11"/>
      <c r="AW38" s="11"/>
      <c r="AX38" s="11">
        <v>0</v>
      </c>
      <c r="AY38" s="11">
        <v>0</v>
      </c>
      <c r="AZ38" s="11"/>
      <c r="BA38" s="11"/>
      <c r="BB38" s="11">
        <v>8</v>
      </c>
      <c r="BC38" s="11">
        <v>0</v>
      </c>
      <c r="BD38" s="11"/>
      <c r="BE38" s="11"/>
      <c r="BF38" s="11">
        <v>19</v>
      </c>
      <c r="BG38" s="11">
        <v>0</v>
      </c>
      <c r="BH38" s="11"/>
      <c r="BI38" s="11"/>
      <c r="BJ38" s="11">
        <v>2</v>
      </c>
      <c r="BK38" s="11">
        <v>0</v>
      </c>
      <c r="BL38" s="11"/>
      <c r="BM38" s="11"/>
      <c r="BN38" s="11">
        <v>1</v>
      </c>
      <c r="BO38" s="11">
        <v>0</v>
      </c>
      <c r="BP38" s="11"/>
      <c r="BQ38" s="11"/>
      <c r="BR38" s="11">
        <v>1</v>
      </c>
      <c r="BS38" s="11">
        <v>0</v>
      </c>
      <c r="BT38" s="11"/>
      <c r="BU38" s="11"/>
      <c r="BV38" s="11">
        <v>0</v>
      </c>
      <c r="BW38" s="11">
        <v>0</v>
      </c>
      <c r="BX38" s="11"/>
      <c r="BY38" s="11"/>
      <c r="BZ38" s="11">
        <v>0</v>
      </c>
      <c r="CA38" s="11">
        <v>0</v>
      </c>
      <c r="CB38" s="11"/>
      <c r="CC38" s="11"/>
      <c r="CD38" s="11">
        <v>0</v>
      </c>
      <c r="CE38" s="11">
        <v>0</v>
      </c>
      <c r="CF38" s="11"/>
      <c r="CG38" s="11"/>
      <c r="CH38" s="11">
        <v>2</v>
      </c>
      <c r="CI38" s="11">
        <v>0</v>
      </c>
      <c r="CJ38" s="11"/>
      <c r="CK38" s="11"/>
      <c r="CL38" s="11">
        <v>1</v>
      </c>
      <c r="CM38" s="11">
        <v>0</v>
      </c>
      <c r="CN38" s="11"/>
      <c r="CO38" s="11"/>
      <c r="CP38" s="11">
        <v>0</v>
      </c>
      <c r="CQ38" s="11">
        <v>0</v>
      </c>
      <c r="CR38" s="11"/>
      <c r="CS38" s="11"/>
      <c r="CT38" s="11">
        <v>1</v>
      </c>
      <c r="CU38" s="11">
        <v>0</v>
      </c>
      <c r="CV38" s="11"/>
      <c r="CW38" s="11"/>
      <c r="CX38" s="11">
        <v>2</v>
      </c>
      <c r="CY38" s="11">
        <v>0</v>
      </c>
      <c r="CZ38" s="11"/>
      <c r="DA38" s="11"/>
      <c r="DB38" s="11">
        <v>0</v>
      </c>
      <c r="DC38" s="11">
        <v>0</v>
      </c>
      <c r="DD38" s="11"/>
      <c r="DE38" s="11"/>
      <c r="DF38" s="2"/>
      <c r="DG38" s="11">
        <v>17</v>
      </c>
      <c r="DJ38" s="2"/>
      <c r="DK38">
        <v>35.941176470588232</v>
      </c>
    </row>
    <row r="39" spans="1:115">
      <c r="A39" t="s">
        <v>64</v>
      </c>
      <c r="B39" t="s">
        <v>65</v>
      </c>
      <c r="C39" t="s">
        <v>112</v>
      </c>
      <c r="D39">
        <v>129400</v>
      </c>
      <c r="E39">
        <v>129400</v>
      </c>
      <c r="G39" t="s">
        <v>152</v>
      </c>
      <c r="H39" t="s">
        <v>153</v>
      </c>
      <c r="I39" t="s">
        <v>69</v>
      </c>
      <c r="J39" t="s">
        <v>70</v>
      </c>
      <c r="K39" t="s">
        <v>71</v>
      </c>
      <c r="L39" t="s">
        <v>148</v>
      </c>
      <c r="M39" t="s">
        <v>73</v>
      </c>
      <c r="N39" t="s">
        <v>74</v>
      </c>
      <c r="O39" s="10" t="s">
        <v>75</v>
      </c>
      <c r="P39" t="s">
        <v>75</v>
      </c>
      <c r="Q39" s="10">
        <v>1411</v>
      </c>
      <c r="R39" s="10">
        <v>0</v>
      </c>
      <c r="S39" s="10">
        <v>0</v>
      </c>
      <c r="T39">
        <v>1411</v>
      </c>
      <c r="U39" s="2"/>
      <c r="V39" s="11">
        <v>2</v>
      </c>
      <c r="W39" s="11">
        <v>0</v>
      </c>
      <c r="X39" s="11"/>
      <c r="Y39" s="11"/>
      <c r="Z39" s="11">
        <v>2</v>
      </c>
      <c r="AA39" s="11">
        <v>0</v>
      </c>
      <c r="AB39" s="11"/>
      <c r="AC39" s="11"/>
      <c r="AD39" s="11">
        <v>1</v>
      </c>
      <c r="AE39" s="11">
        <v>0</v>
      </c>
      <c r="AF39" s="11"/>
      <c r="AG39" s="11"/>
      <c r="AH39" s="11">
        <v>45</v>
      </c>
      <c r="AI39" s="11">
        <v>0</v>
      </c>
      <c r="AJ39" s="11"/>
      <c r="AK39" s="11"/>
      <c r="AL39" s="11">
        <v>0</v>
      </c>
      <c r="AM39" s="11">
        <v>0</v>
      </c>
      <c r="AN39" s="11"/>
      <c r="AO39" s="11"/>
      <c r="AP39" s="11">
        <v>50</v>
      </c>
      <c r="AQ39" s="11">
        <v>0</v>
      </c>
      <c r="AR39" s="11"/>
      <c r="AS39" s="11"/>
      <c r="AT39" s="11">
        <v>0</v>
      </c>
      <c r="AU39" s="11">
        <v>0</v>
      </c>
      <c r="AV39" s="11"/>
      <c r="AW39" s="11"/>
      <c r="AX39" s="11">
        <v>2</v>
      </c>
      <c r="AY39" s="11">
        <v>0</v>
      </c>
      <c r="AZ39" s="11"/>
      <c r="BA39" s="11"/>
      <c r="BB39" s="11">
        <v>18</v>
      </c>
      <c r="BC39" s="11">
        <v>0</v>
      </c>
      <c r="BD39" s="11"/>
      <c r="BE39" s="11"/>
      <c r="BF39" s="11">
        <v>100</v>
      </c>
      <c r="BG39" s="11">
        <v>0</v>
      </c>
      <c r="BH39" s="11"/>
      <c r="BI39" s="11"/>
      <c r="BJ39" s="11">
        <v>0</v>
      </c>
      <c r="BK39" s="11">
        <v>0</v>
      </c>
      <c r="BL39" s="11"/>
      <c r="BM39" s="11"/>
      <c r="BN39" s="11">
        <v>1</v>
      </c>
      <c r="BO39" s="11">
        <v>0</v>
      </c>
      <c r="BP39" s="11"/>
      <c r="BQ39" s="11"/>
      <c r="BR39" s="11">
        <v>1</v>
      </c>
      <c r="BS39" s="11">
        <v>0</v>
      </c>
      <c r="BT39" s="11"/>
      <c r="BU39" s="11"/>
      <c r="BV39" s="11">
        <v>0</v>
      </c>
      <c r="BW39" s="11">
        <v>0</v>
      </c>
      <c r="BX39" s="11"/>
      <c r="BY39" s="11"/>
      <c r="BZ39" s="11">
        <v>0</v>
      </c>
      <c r="CA39" s="11">
        <v>0</v>
      </c>
      <c r="CB39" s="11"/>
      <c r="CC39" s="11"/>
      <c r="CD39" s="11">
        <v>0</v>
      </c>
      <c r="CE39" s="11">
        <v>0</v>
      </c>
      <c r="CF39" s="11"/>
      <c r="CG39" s="11"/>
      <c r="CH39" s="11">
        <v>1</v>
      </c>
      <c r="CI39" s="11">
        <v>0</v>
      </c>
      <c r="CJ39" s="11"/>
      <c r="CK39" s="11"/>
      <c r="CL39" s="11">
        <v>0</v>
      </c>
      <c r="CM39" s="11">
        <v>0</v>
      </c>
      <c r="CN39" s="11"/>
      <c r="CO39" s="11"/>
      <c r="CP39" s="11">
        <v>0</v>
      </c>
      <c r="CQ39" s="11">
        <v>0</v>
      </c>
      <c r="CR39" s="11"/>
      <c r="CS39" s="11"/>
      <c r="CT39" s="11">
        <v>1</v>
      </c>
      <c r="CU39" s="11">
        <v>0</v>
      </c>
      <c r="CV39" s="11"/>
      <c r="CW39" s="11"/>
      <c r="CX39" s="11">
        <v>38</v>
      </c>
      <c r="CY39" s="11">
        <v>0</v>
      </c>
      <c r="CZ39" s="11"/>
      <c r="DA39" s="11"/>
      <c r="DB39" s="11">
        <v>0</v>
      </c>
      <c r="DC39" s="11">
        <v>0</v>
      </c>
      <c r="DD39" s="11"/>
      <c r="DE39" s="11"/>
      <c r="DF39" s="2"/>
      <c r="DG39" s="11">
        <v>52</v>
      </c>
      <c r="DJ39" s="2"/>
      <c r="DK39">
        <v>27.134615384615383</v>
      </c>
    </row>
    <row r="40" spans="1:115">
      <c r="A40" t="s">
        <v>64</v>
      </c>
      <c r="B40" t="s">
        <v>65</v>
      </c>
      <c r="C40" t="s">
        <v>112</v>
      </c>
      <c r="D40">
        <v>129401</v>
      </c>
      <c r="E40">
        <v>129401</v>
      </c>
      <c r="G40" t="s">
        <v>154</v>
      </c>
      <c r="H40" t="s">
        <v>155</v>
      </c>
      <c r="I40" t="s">
        <v>69</v>
      </c>
      <c r="J40" t="s">
        <v>70</v>
      </c>
      <c r="K40" t="s">
        <v>71</v>
      </c>
      <c r="L40" t="s">
        <v>121</v>
      </c>
      <c r="M40" t="s">
        <v>73</v>
      </c>
      <c r="N40" t="s">
        <v>74</v>
      </c>
      <c r="O40" s="10" t="s">
        <v>75</v>
      </c>
      <c r="P40" t="s">
        <v>75</v>
      </c>
      <c r="Q40" s="10">
        <v>220</v>
      </c>
      <c r="R40" s="10">
        <v>0</v>
      </c>
      <c r="S40" s="10">
        <v>0</v>
      </c>
      <c r="T40">
        <v>220</v>
      </c>
      <c r="U40" s="2"/>
      <c r="V40" s="11">
        <v>0</v>
      </c>
      <c r="W40" s="11">
        <v>0</v>
      </c>
      <c r="X40" s="11"/>
      <c r="Y40" s="11"/>
      <c r="Z40" s="11">
        <v>0</v>
      </c>
      <c r="AA40" s="11">
        <v>0</v>
      </c>
      <c r="AB40" s="11"/>
      <c r="AC40" s="11"/>
      <c r="AD40" s="11">
        <v>0</v>
      </c>
      <c r="AE40" s="11">
        <v>0</v>
      </c>
      <c r="AF40" s="11"/>
      <c r="AG40" s="11"/>
      <c r="AH40" s="11">
        <v>5</v>
      </c>
      <c r="AI40" s="11">
        <v>0</v>
      </c>
      <c r="AJ40" s="11"/>
      <c r="AK40" s="11"/>
      <c r="AL40" s="11">
        <v>0</v>
      </c>
      <c r="AM40" s="11">
        <v>0</v>
      </c>
      <c r="AN40" s="11"/>
      <c r="AO40" s="11"/>
      <c r="AP40" s="11">
        <v>9</v>
      </c>
      <c r="AQ40" s="11">
        <v>0</v>
      </c>
      <c r="AR40" s="11"/>
      <c r="AS40" s="11"/>
      <c r="AT40" s="11">
        <v>0</v>
      </c>
      <c r="AU40" s="11">
        <v>0</v>
      </c>
      <c r="AV40" s="11"/>
      <c r="AW40" s="11"/>
      <c r="AX40" s="11">
        <v>0</v>
      </c>
      <c r="AY40" s="11">
        <v>0</v>
      </c>
      <c r="AZ40" s="11"/>
      <c r="BA40" s="11"/>
      <c r="BB40" s="11">
        <v>5</v>
      </c>
      <c r="BC40" s="11">
        <v>0</v>
      </c>
      <c r="BD40" s="11"/>
      <c r="BE40" s="11"/>
      <c r="BF40" s="11">
        <v>17</v>
      </c>
      <c r="BG40" s="11">
        <v>0</v>
      </c>
      <c r="BH40" s="11"/>
      <c r="BI40" s="11"/>
      <c r="BJ40" s="11">
        <v>0</v>
      </c>
      <c r="BK40" s="11">
        <v>0</v>
      </c>
      <c r="BL40" s="11"/>
      <c r="BM40" s="11"/>
      <c r="BN40" s="11">
        <v>1</v>
      </c>
      <c r="BO40" s="11">
        <v>0</v>
      </c>
      <c r="BP40" s="11"/>
      <c r="BQ40" s="11"/>
      <c r="BR40" s="11">
        <v>1</v>
      </c>
      <c r="BS40" s="11">
        <v>0</v>
      </c>
      <c r="BT40" s="11"/>
      <c r="BU40" s="11"/>
      <c r="BV40" s="11">
        <v>0</v>
      </c>
      <c r="BW40" s="11">
        <v>0</v>
      </c>
      <c r="BX40" s="11"/>
      <c r="BY40" s="11"/>
      <c r="BZ40" s="11">
        <v>0</v>
      </c>
      <c r="CA40" s="11">
        <v>0</v>
      </c>
      <c r="CB40" s="11"/>
      <c r="CC40" s="11"/>
      <c r="CD40" s="11">
        <v>0</v>
      </c>
      <c r="CE40" s="11">
        <v>0</v>
      </c>
      <c r="CF40" s="11"/>
      <c r="CG40" s="11"/>
      <c r="CH40" s="11">
        <v>1</v>
      </c>
      <c r="CI40" s="11">
        <v>0</v>
      </c>
      <c r="CJ40" s="11"/>
      <c r="CK40" s="11"/>
      <c r="CL40" s="11">
        <v>0</v>
      </c>
      <c r="CM40" s="11">
        <v>0</v>
      </c>
      <c r="CN40" s="11"/>
      <c r="CO40" s="11"/>
      <c r="CP40" s="11">
        <v>0</v>
      </c>
      <c r="CQ40" s="11">
        <v>0</v>
      </c>
      <c r="CR40" s="11"/>
      <c r="CS40" s="11"/>
      <c r="CT40" s="11">
        <v>1</v>
      </c>
      <c r="CU40" s="11">
        <v>0</v>
      </c>
      <c r="CV40" s="11"/>
      <c r="CW40" s="11"/>
      <c r="CX40" s="11">
        <v>3</v>
      </c>
      <c r="CY40" s="11">
        <v>0</v>
      </c>
      <c r="CZ40" s="11"/>
      <c r="DA40" s="11"/>
      <c r="DB40" s="11">
        <v>0</v>
      </c>
      <c r="DC40" s="11">
        <v>0</v>
      </c>
      <c r="DD40" s="11"/>
      <c r="DE40" s="11"/>
      <c r="DF40" s="2"/>
      <c r="DG40" s="11">
        <v>7</v>
      </c>
      <c r="DJ40" s="2"/>
      <c r="DK40">
        <v>31.428571428571427</v>
      </c>
    </row>
    <row r="41" spans="1:115">
      <c r="A41" t="s">
        <v>64</v>
      </c>
      <c r="B41" t="s">
        <v>65</v>
      </c>
      <c r="C41" t="s">
        <v>112</v>
      </c>
      <c r="D41">
        <v>129402</v>
      </c>
      <c r="E41">
        <v>129402</v>
      </c>
      <c r="G41" t="s">
        <v>156</v>
      </c>
      <c r="H41" t="s">
        <v>157</v>
      </c>
      <c r="I41" t="s">
        <v>69</v>
      </c>
      <c r="J41" t="s">
        <v>70</v>
      </c>
      <c r="K41" t="s">
        <v>71</v>
      </c>
      <c r="L41" t="s">
        <v>136</v>
      </c>
      <c r="M41" t="s">
        <v>73</v>
      </c>
      <c r="N41" t="s">
        <v>74</v>
      </c>
      <c r="O41" s="10" t="s">
        <v>75</v>
      </c>
      <c r="P41" t="s">
        <v>75</v>
      </c>
      <c r="Q41" s="10">
        <v>88</v>
      </c>
      <c r="R41" s="10">
        <v>0</v>
      </c>
      <c r="S41" s="10">
        <v>0</v>
      </c>
      <c r="T41">
        <v>88</v>
      </c>
      <c r="U41" s="2"/>
      <c r="V41" s="11">
        <v>0</v>
      </c>
      <c r="W41" s="11">
        <v>0</v>
      </c>
      <c r="X41" s="11"/>
      <c r="Y41" s="11"/>
      <c r="Z41" s="11">
        <v>0</v>
      </c>
      <c r="AA41" s="11">
        <v>0</v>
      </c>
      <c r="AB41" s="11"/>
      <c r="AC41" s="11"/>
      <c r="AD41" s="11">
        <v>0</v>
      </c>
      <c r="AE41" s="11">
        <v>0</v>
      </c>
      <c r="AF41" s="11"/>
      <c r="AG41" s="11"/>
      <c r="AH41" s="11">
        <v>6</v>
      </c>
      <c r="AI41" s="11">
        <v>0</v>
      </c>
      <c r="AJ41" s="11"/>
      <c r="AK41" s="11"/>
      <c r="AL41" s="11">
        <v>0</v>
      </c>
      <c r="AM41" s="11">
        <v>0</v>
      </c>
      <c r="AN41" s="11"/>
      <c r="AO41" s="11"/>
      <c r="AP41" s="11">
        <v>2</v>
      </c>
      <c r="AQ41" s="11">
        <v>0</v>
      </c>
      <c r="AR41" s="11"/>
      <c r="AS41" s="11"/>
      <c r="AT41" s="11">
        <v>0</v>
      </c>
      <c r="AU41" s="11">
        <v>0</v>
      </c>
      <c r="AV41" s="11"/>
      <c r="AW41" s="11"/>
      <c r="AX41" s="11">
        <v>0</v>
      </c>
      <c r="AY41" s="11">
        <v>0</v>
      </c>
      <c r="AZ41" s="11"/>
      <c r="BA41" s="11"/>
      <c r="BB41" s="11">
        <v>2</v>
      </c>
      <c r="BC41" s="11">
        <v>0</v>
      </c>
      <c r="BD41" s="11"/>
      <c r="BE41" s="11"/>
      <c r="BF41" s="11">
        <v>6</v>
      </c>
      <c r="BG41" s="11">
        <v>0</v>
      </c>
      <c r="BH41" s="11"/>
      <c r="BI41" s="11"/>
      <c r="BJ41" s="11">
        <v>0</v>
      </c>
      <c r="BK41" s="11">
        <v>0</v>
      </c>
      <c r="BL41" s="11"/>
      <c r="BM41" s="11"/>
      <c r="BN41" s="11">
        <v>0</v>
      </c>
      <c r="BO41" s="11">
        <v>0</v>
      </c>
      <c r="BP41" s="11"/>
      <c r="BQ41" s="11"/>
      <c r="BR41" s="11">
        <v>0</v>
      </c>
      <c r="BS41" s="11">
        <v>0</v>
      </c>
      <c r="BT41" s="11"/>
      <c r="BU41" s="11"/>
      <c r="BV41" s="11">
        <v>0</v>
      </c>
      <c r="BW41" s="11">
        <v>0</v>
      </c>
      <c r="BX41" s="11"/>
      <c r="BY41" s="11"/>
      <c r="BZ41" s="11">
        <v>0</v>
      </c>
      <c r="CA41" s="11">
        <v>0</v>
      </c>
      <c r="CB41" s="11"/>
      <c r="CC41" s="11"/>
      <c r="CD41" s="11">
        <v>0</v>
      </c>
      <c r="CE41" s="11">
        <v>0</v>
      </c>
      <c r="CF41" s="11"/>
      <c r="CG41" s="11"/>
      <c r="CH41" s="11">
        <v>0</v>
      </c>
      <c r="CI41" s="11">
        <v>0</v>
      </c>
      <c r="CJ41" s="11"/>
      <c r="CK41" s="11"/>
      <c r="CL41" s="11">
        <v>0</v>
      </c>
      <c r="CM41" s="11">
        <v>0</v>
      </c>
      <c r="CN41" s="11"/>
      <c r="CO41" s="11"/>
      <c r="CP41" s="11">
        <v>0</v>
      </c>
      <c r="CQ41" s="11">
        <v>0</v>
      </c>
      <c r="CR41" s="11"/>
      <c r="CS41" s="11"/>
      <c r="CT41" s="11">
        <v>0</v>
      </c>
      <c r="CU41" s="11">
        <v>0</v>
      </c>
      <c r="CV41" s="11"/>
      <c r="CW41" s="11"/>
      <c r="CX41" s="11">
        <v>0</v>
      </c>
      <c r="CY41" s="11">
        <v>0</v>
      </c>
      <c r="CZ41" s="11"/>
      <c r="DA41" s="11"/>
      <c r="DB41" s="11">
        <v>0</v>
      </c>
      <c r="DC41" s="11">
        <v>0</v>
      </c>
      <c r="DD41" s="11"/>
      <c r="DE41" s="11"/>
      <c r="DF41" s="2"/>
      <c r="DG41" s="11">
        <v>6</v>
      </c>
      <c r="DJ41" s="2"/>
      <c r="DK41">
        <v>14.666666666666666</v>
      </c>
    </row>
    <row r="42" spans="1:115">
      <c r="A42" t="s">
        <v>64</v>
      </c>
      <c r="B42" t="s">
        <v>65</v>
      </c>
      <c r="C42" t="s">
        <v>112</v>
      </c>
      <c r="D42">
        <v>129403</v>
      </c>
      <c r="E42" t="e">
        <v>#N/A</v>
      </c>
      <c r="F42" s="10" t="s">
        <v>130</v>
      </c>
      <c r="G42" t="s">
        <v>158</v>
      </c>
      <c r="H42" t="s">
        <v>159</v>
      </c>
      <c r="I42" t="s">
        <v>69</v>
      </c>
      <c r="J42" t="s">
        <v>70</v>
      </c>
      <c r="K42" t="s">
        <v>71</v>
      </c>
      <c r="L42" t="s">
        <v>115</v>
      </c>
      <c r="M42" t="s">
        <v>73</v>
      </c>
      <c r="N42" t="s">
        <v>74</v>
      </c>
      <c r="O42" s="10" t="s">
        <v>75</v>
      </c>
      <c r="P42" t="s">
        <v>75</v>
      </c>
      <c r="Q42" s="10">
        <v>151</v>
      </c>
      <c r="R42" s="10">
        <v>0</v>
      </c>
      <c r="S42" s="10">
        <v>0</v>
      </c>
      <c r="T42">
        <v>151</v>
      </c>
      <c r="U42" s="2"/>
      <c r="V42" s="11">
        <v>0</v>
      </c>
      <c r="W42" s="11">
        <v>0</v>
      </c>
      <c r="X42" s="11"/>
      <c r="Y42" s="11"/>
      <c r="Z42" s="11">
        <v>0</v>
      </c>
      <c r="AA42" s="11">
        <v>0</v>
      </c>
      <c r="AB42" s="11"/>
      <c r="AC42" s="11"/>
      <c r="AD42" s="11">
        <v>0</v>
      </c>
      <c r="AE42" s="11">
        <v>0</v>
      </c>
      <c r="AF42" s="11"/>
      <c r="AG42" s="11"/>
      <c r="AH42" s="11">
        <v>0</v>
      </c>
      <c r="AI42" s="11">
        <v>0</v>
      </c>
      <c r="AJ42" s="11"/>
      <c r="AK42" s="11"/>
      <c r="AL42" s="11">
        <v>0</v>
      </c>
      <c r="AM42" s="11">
        <v>0</v>
      </c>
      <c r="AN42" s="11"/>
      <c r="AO42" s="11"/>
      <c r="AP42" s="11">
        <v>0</v>
      </c>
      <c r="AQ42" s="11">
        <v>0</v>
      </c>
      <c r="AR42" s="11"/>
      <c r="AS42" s="11"/>
      <c r="AT42" s="11">
        <v>0</v>
      </c>
      <c r="AU42" s="11">
        <v>0</v>
      </c>
      <c r="AV42" s="11"/>
      <c r="AW42" s="11"/>
      <c r="AX42" s="11">
        <v>0</v>
      </c>
      <c r="AY42" s="11">
        <v>0</v>
      </c>
      <c r="AZ42" s="11"/>
      <c r="BA42" s="11"/>
      <c r="BB42" s="11">
        <v>0</v>
      </c>
      <c r="BC42" s="11">
        <v>0</v>
      </c>
      <c r="BD42" s="11"/>
      <c r="BE42" s="11"/>
      <c r="BF42" s="11">
        <v>0</v>
      </c>
      <c r="BG42" s="11">
        <v>0</v>
      </c>
      <c r="BH42" s="11"/>
      <c r="BI42" s="11"/>
      <c r="BJ42" s="11">
        <v>0</v>
      </c>
      <c r="BK42" s="11">
        <v>0</v>
      </c>
      <c r="BL42" s="11"/>
      <c r="BM42" s="11"/>
      <c r="BN42" s="11">
        <v>0</v>
      </c>
      <c r="BO42" s="11">
        <v>0</v>
      </c>
      <c r="BP42" s="11"/>
      <c r="BQ42" s="11"/>
      <c r="BR42" s="11">
        <v>0</v>
      </c>
      <c r="BS42" s="11">
        <v>0</v>
      </c>
      <c r="BT42" s="11"/>
      <c r="BU42" s="11"/>
      <c r="BV42" s="11">
        <v>0</v>
      </c>
      <c r="BW42" s="11">
        <v>0</v>
      </c>
      <c r="BX42" s="11"/>
      <c r="BY42" s="11"/>
      <c r="BZ42" s="11">
        <v>0</v>
      </c>
      <c r="CA42" s="11">
        <v>0</v>
      </c>
      <c r="CB42" s="11"/>
      <c r="CC42" s="11"/>
      <c r="CD42" s="11">
        <v>0</v>
      </c>
      <c r="CE42" s="11">
        <v>0</v>
      </c>
      <c r="CF42" s="11"/>
      <c r="CG42" s="11"/>
      <c r="CH42" s="11">
        <v>0</v>
      </c>
      <c r="CI42" s="11">
        <v>0</v>
      </c>
      <c r="CJ42" s="11"/>
      <c r="CK42" s="11"/>
      <c r="CL42" s="11">
        <v>0</v>
      </c>
      <c r="CM42" s="11">
        <v>0</v>
      </c>
      <c r="CN42" s="11"/>
      <c r="CO42" s="11"/>
      <c r="CP42" s="11">
        <v>0</v>
      </c>
      <c r="CQ42" s="11">
        <v>0</v>
      </c>
      <c r="CR42" s="11"/>
      <c r="CS42" s="11"/>
      <c r="CT42" s="11">
        <v>0</v>
      </c>
      <c r="CU42" s="11">
        <v>0</v>
      </c>
      <c r="CV42" s="11"/>
      <c r="CW42" s="11"/>
      <c r="CX42" s="11">
        <v>0</v>
      </c>
      <c r="CY42" s="11">
        <v>0</v>
      </c>
      <c r="CZ42" s="11"/>
      <c r="DA42" s="11"/>
      <c r="DB42" s="11">
        <v>0</v>
      </c>
      <c r="DC42" s="11">
        <v>0</v>
      </c>
      <c r="DD42" s="11"/>
      <c r="DE42" s="11"/>
      <c r="DF42" s="2"/>
      <c r="DG42" s="11">
        <v>0</v>
      </c>
      <c r="DJ42" s="2"/>
      <c r="DK42" t="e">
        <v>#DIV/0!</v>
      </c>
    </row>
    <row r="43" spans="1:115">
      <c r="A43" t="s">
        <v>64</v>
      </c>
      <c r="B43" t="s">
        <v>65</v>
      </c>
      <c r="C43" t="s">
        <v>112</v>
      </c>
      <c r="D43">
        <v>129404</v>
      </c>
      <c r="E43">
        <v>129404</v>
      </c>
      <c r="G43" t="s">
        <v>160</v>
      </c>
      <c r="H43" t="s">
        <v>161</v>
      </c>
      <c r="I43" t="s">
        <v>69</v>
      </c>
      <c r="J43" t="s">
        <v>70</v>
      </c>
      <c r="K43" t="s">
        <v>71</v>
      </c>
      <c r="L43" t="s">
        <v>162</v>
      </c>
      <c r="M43" t="s">
        <v>73</v>
      </c>
      <c r="N43" t="s">
        <v>74</v>
      </c>
      <c r="O43" s="10" t="s">
        <v>75</v>
      </c>
      <c r="P43" t="s">
        <v>75</v>
      </c>
      <c r="Q43" s="10">
        <v>235</v>
      </c>
      <c r="R43" s="10">
        <v>0</v>
      </c>
      <c r="S43" s="10">
        <v>0</v>
      </c>
      <c r="T43">
        <v>235</v>
      </c>
      <c r="U43" s="2"/>
      <c r="V43" s="11">
        <v>0</v>
      </c>
      <c r="W43" s="11">
        <v>0</v>
      </c>
      <c r="X43" s="11"/>
      <c r="Y43" s="11"/>
      <c r="Z43" s="11">
        <v>0</v>
      </c>
      <c r="AA43" s="11">
        <v>0</v>
      </c>
      <c r="AB43" s="11"/>
      <c r="AC43" s="11"/>
      <c r="AD43" s="11">
        <v>0</v>
      </c>
      <c r="AE43" s="11">
        <v>0</v>
      </c>
      <c r="AF43" s="11"/>
      <c r="AG43" s="11"/>
      <c r="AH43" s="11">
        <v>9</v>
      </c>
      <c r="AI43" s="11">
        <v>0</v>
      </c>
      <c r="AJ43" s="11"/>
      <c r="AK43" s="11"/>
      <c r="AL43" s="11">
        <v>0</v>
      </c>
      <c r="AM43" s="11">
        <v>0</v>
      </c>
      <c r="AN43" s="11"/>
      <c r="AO43" s="11"/>
      <c r="AP43" s="11">
        <v>10</v>
      </c>
      <c r="AQ43" s="11">
        <v>0</v>
      </c>
      <c r="AR43" s="11"/>
      <c r="AS43" s="11"/>
      <c r="AT43" s="11">
        <v>0</v>
      </c>
      <c r="AU43" s="11">
        <v>0</v>
      </c>
      <c r="AV43" s="11"/>
      <c r="AW43" s="11"/>
      <c r="AX43" s="11">
        <v>0</v>
      </c>
      <c r="AY43" s="11">
        <v>0</v>
      </c>
      <c r="AZ43" s="11"/>
      <c r="BA43" s="11"/>
      <c r="BB43" s="11">
        <v>6</v>
      </c>
      <c r="BC43" s="11">
        <v>0</v>
      </c>
      <c r="BD43" s="11"/>
      <c r="BE43" s="11"/>
      <c r="BF43" s="11">
        <v>10</v>
      </c>
      <c r="BG43" s="11">
        <v>0</v>
      </c>
      <c r="BH43" s="11"/>
      <c r="BI43" s="11"/>
      <c r="BJ43" s="11">
        <v>0</v>
      </c>
      <c r="BK43" s="11">
        <v>0</v>
      </c>
      <c r="BL43" s="11"/>
      <c r="BM43" s="11"/>
      <c r="BN43" s="11">
        <v>1</v>
      </c>
      <c r="BO43" s="11">
        <v>0</v>
      </c>
      <c r="BP43" s="11"/>
      <c r="BQ43" s="11"/>
      <c r="BR43" s="11">
        <v>1</v>
      </c>
      <c r="BS43" s="11">
        <v>0</v>
      </c>
      <c r="BT43" s="11"/>
      <c r="BU43" s="11"/>
      <c r="BV43" s="11">
        <v>0</v>
      </c>
      <c r="BW43" s="11">
        <v>0</v>
      </c>
      <c r="BX43" s="11"/>
      <c r="BY43" s="11"/>
      <c r="BZ43" s="11">
        <v>10</v>
      </c>
      <c r="CA43" s="11">
        <v>0</v>
      </c>
      <c r="CB43" s="11"/>
      <c r="CC43" s="11"/>
      <c r="CD43" s="11">
        <v>1</v>
      </c>
      <c r="CE43" s="11">
        <v>0</v>
      </c>
      <c r="CF43" s="11"/>
      <c r="CG43" s="11"/>
      <c r="CH43" s="11">
        <v>8</v>
      </c>
      <c r="CI43" s="11">
        <v>0</v>
      </c>
      <c r="CJ43" s="11"/>
      <c r="CK43" s="11"/>
      <c r="CL43" s="11">
        <v>0</v>
      </c>
      <c r="CM43" s="11">
        <v>0</v>
      </c>
      <c r="CN43" s="11"/>
      <c r="CO43" s="11"/>
      <c r="CP43" s="11">
        <v>0</v>
      </c>
      <c r="CQ43" s="11">
        <v>0</v>
      </c>
      <c r="CR43" s="11"/>
      <c r="CS43" s="11"/>
      <c r="CT43" s="11">
        <v>0</v>
      </c>
      <c r="CU43" s="11">
        <v>0</v>
      </c>
      <c r="CV43" s="11"/>
      <c r="CW43" s="11"/>
      <c r="CX43" s="11">
        <v>10</v>
      </c>
      <c r="CY43" s="11">
        <v>0</v>
      </c>
      <c r="CZ43" s="11"/>
      <c r="DA43" s="11"/>
      <c r="DB43" s="11">
        <v>1</v>
      </c>
      <c r="DC43" s="11">
        <v>0</v>
      </c>
      <c r="DD43" s="11"/>
      <c r="DE43" s="11"/>
      <c r="DF43" s="2"/>
      <c r="DG43" s="11">
        <v>21</v>
      </c>
      <c r="DJ43" s="2"/>
      <c r="DK43">
        <v>11.19047619047619</v>
      </c>
    </row>
    <row r="44" spans="1:115">
      <c r="A44" t="s">
        <v>64</v>
      </c>
      <c r="B44" t="s">
        <v>65</v>
      </c>
      <c r="C44" t="s">
        <v>112</v>
      </c>
      <c r="D44">
        <v>129405</v>
      </c>
      <c r="E44">
        <v>129405</v>
      </c>
      <c r="G44" t="s">
        <v>163</v>
      </c>
      <c r="H44" t="s">
        <v>164</v>
      </c>
      <c r="I44" t="s">
        <v>69</v>
      </c>
      <c r="J44" t="s">
        <v>70</v>
      </c>
      <c r="K44" t="s">
        <v>71</v>
      </c>
      <c r="L44" t="s">
        <v>165</v>
      </c>
      <c r="M44" t="s">
        <v>73</v>
      </c>
      <c r="N44" t="s">
        <v>74</v>
      </c>
      <c r="O44" s="10" t="s">
        <v>75</v>
      </c>
      <c r="P44" t="s">
        <v>75</v>
      </c>
      <c r="Q44" s="10">
        <v>418</v>
      </c>
      <c r="R44" s="10">
        <v>0</v>
      </c>
      <c r="S44" s="10">
        <v>0</v>
      </c>
      <c r="T44">
        <v>418</v>
      </c>
      <c r="U44" s="2"/>
      <c r="V44" s="11">
        <v>0</v>
      </c>
      <c r="W44" s="11">
        <v>0</v>
      </c>
      <c r="X44" s="11"/>
      <c r="Y44" s="11"/>
      <c r="Z44" s="11">
        <v>0</v>
      </c>
      <c r="AA44" s="11">
        <v>0</v>
      </c>
      <c r="AB44" s="11"/>
      <c r="AC44" s="11"/>
      <c r="AD44" s="11">
        <v>0</v>
      </c>
      <c r="AE44" s="11">
        <v>0</v>
      </c>
      <c r="AF44" s="11"/>
      <c r="AG44" s="11"/>
      <c r="AH44" s="11">
        <v>15</v>
      </c>
      <c r="AI44" s="11">
        <v>0</v>
      </c>
      <c r="AJ44" s="11"/>
      <c r="AK44" s="11"/>
      <c r="AL44" s="11">
        <v>2</v>
      </c>
      <c r="AM44" s="11">
        <v>0</v>
      </c>
      <c r="AN44" s="11"/>
      <c r="AO44" s="11"/>
      <c r="AP44" s="11">
        <v>16</v>
      </c>
      <c r="AQ44" s="11">
        <v>0</v>
      </c>
      <c r="AR44" s="11"/>
      <c r="AS44" s="11"/>
      <c r="AT44" s="11">
        <v>0</v>
      </c>
      <c r="AU44" s="11">
        <v>0</v>
      </c>
      <c r="AV44" s="11"/>
      <c r="AW44" s="11"/>
      <c r="AX44" s="11">
        <v>0</v>
      </c>
      <c r="AY44" s="11">
        <v>0</v>
      </c>
      <c r="AZ44" s="11"/>
      <c r="BA44" s="11"/>
      <c r="BB44" s="11">
        <v>9</v>
      </c>
      <c r="BC44" s="11">
        <v>0</v>
      </c>
      <c r="BD44" s="11"/>
      <c r="BE44" s="11"/>
      <c r="BF44" s="11">
        <v>16</v>
      </c>
      <c r="BG44" s="11">
        <v>0</v>
      </c>
      <c r="BH44" s="11"/>
      <c r="BI44" s="11"/>
      <c r="BJ44" s="11">
        <v>0</v>
      </c>
      <c r="BK44" s="11">
        <v>0</v>
      </c>
      <c r="BL44" s="11"/>
      <c r="BM44" s="11"/>
      <c r="BN44" s="11">
        <v>1</v>
      </c>
      <c r="BO44" s="11">
        <v>0</v>
      </c>
      <c r="BP44" s="11"/>
      <c r="BQ44" s="11"/>
      <c r="BR44" s="11">
        <v>1</v>
      </c>
      <c r="BS44" s="11">
        <v>0</v>
      </c>
      <c r="BT44" s="11"/>
      <c r="BU44" s="11"/>
      <c r="BV44" s="11">
        <v>0</v>
      </c>
      <c r="BW44" s="11">
        <v>0</v>
      </c>
      <c r="BX44" s="11"/>
      <c r="BY44" s="11"/>
      <c r="BZ44" s="11">
        <v>12</v>
      </c>
      <c r="CA44" s="11">
        <v>0</v>
      </c>
      <c r="CB44" s="11"/>
      <c r="CC44" s="11"/>
      <c r="CD44" s="11">
        <v>5</v>
      </c>
      <c r="CE44" s="11">
        <v>0</v>
      </c>
      <c r="CF44" s="11"/>
      <c r="CG44" s="11"/>
      <c r="CH44" s="11">
        <v>16</v>
      </c>
      <c r="CI44" s="11">
        <v>0</v>
      </c>
      <c r="CJ44" s="11"/>
      <c r="CK44" s="11"/>
      <c r="CL44" s="11">
        <v>0</v>
      </c>
      <c r="CM44" s="11">
        <v>0</v>
      </c>
      <c r="CN44" s="11"/>
      <c r="CO44" s="11"/>
      <c r="CP44" s="11">
        <v>0</v>
      </c>
      <c r="CQ44" s="11">
        <v>0</v>
      </c>
      <c r="CR44" s="11"/>
      <c r="CS44" s="11"/>
      <c r="CT44" s="11">
        <v>1</v>
      </c>
      <c r="CU44" s="11">
        <v>0</v>
      </c>
      <c r="CV44" s="11"/>
      <c r="CW44" s="11"/>
      <c r="CX44" s="11">
        <v>5</v>
      </c>
      <c r="CY44" s="11">
        <v>0</v>
      </c>
      <c r="CZ44" s="11"/>
      <c r="DA44" s="11"/>
      <c r="DB44" s="11">
        <v>3</v>
      </c>
      <c r="DC44" s="11">
        <v>0</v>
      </c>
      <c r="DD44" s="11"/>
      <c r="DE44" s="11"/>
      <c r="DF44" s="2"/>
      <c r="DG44" s="11">
        <v>29</v>
      </c>
      <c r="DJ44" s="2"/>
      <c r="DK44">
        <v>14.413793103448276</v>
      </c>
    </row>
    <row r="45" spans="1:115">
      <c r="A45" t="s">
        <v>64</v>
      </c>
      <c r="B45" t="s">
        <v>65</v>
      </c>
      <c r="C45" t="s">
        <v>112</v>
      </c>
      <c r="D45">
        <v>129406</v>
      </c>
      <c r="E45">
        <v>129406</v>
      </c>
      <c r="G45" t="s">
        <v>166</v>
      </c>
      <c r="H45" t="s">
        <v>167</v>
      </c>
      <c r="I45" t="s">
        <v>69</v>
      </c>
      <c r="J45" t="s">
        <v>70</v>
      </c>
      <c r="K45" t="s">
        <v>71</v>
      </c>
      <c r="L45" t="s">
        <v>133</v>
      </c>
      <c r="M45" t="s">
        <v>73</v>
      </c>
      <c r="N45" t="s">
        <v>74</v>
      </c>
      <c r="O45" s="10" t="s">
        <v>75</v>
      </c>
      <c r="P45" t="s">
        <v>75</v>
      </c>
      <c r="Q45" s="10">
        <v>183</v>
      </c>
      <c r="R45" s="10">
        <v>0</v>
      </c>
      <c r="S45" s="10">
        <v>0</v>
      </c>
      <c r="T45">
        <v>183</v>
      </c>
      <c r="U45" s="2"/>
      <c r="V45" s="11">
        <v>2</v>
      </c>
      <c r="W45" s="11">
        <v>0</v>
      </c>
      <c r="X45" s="11"/>
      <c r="Y45" s="11"/>
      <c r="Z45" s="11">
        <v>2</v>
      </c>
      <c r="AA45" s="11">
        <v>0</v>
      </c>
      <c r="AB45" s="11"/>
      <c r="AC45" s="11"/>
      <c r="AD45" s="11">
        <v>0</v>
      </c>
      <c r="AE45" s="11">
        <v>0</v>
      </c>
      <c r="AF45" s="11"/>
      <c r="AG45" s="11"/>
      <c r="AH45" s="11">
        <v>5</v>
      </c>
      <c r="AI45" s="11">
        <v>0</v>
      </c>
      <c r="AJ45" s="11"/>
      <c r="AK45" s="11"/>
      <c r="AL45" s="11">
        <v>1</v>
      </c>
      <c r="AM45" s="11">
        <v>0</v>
      </c>
      <c r="AN45" s="11"/>
      <c r="AO45" s="11"/>
      <c r="AP45" s="11">
        <v>0</v>
      </c>
      <c r="AQ45" s="11">
        <v>0</v>
      </c>
      <c r="AR45" s="11"/>
      <c r="AS45" s="11"/>
      <c r="AT45" s="11">
        <v>0</v>
      </c>
      <c r="AU45" s="11">
        <v>0</v>
      </c>
      <c r="AV45" s="11"/>
      <c r="AW45" s="11"/>
      <c r="AX45" s="11">
        <v>0</v>
      </c>
      <c r="AY45" s="11">
        <v>0</v>
      </c>
      <c r="AZ45" s="11"/>
      <c r="BA45" s="11"/>
      <c r="BB45" s="11">
        <v>4</v>
      </c>
      <c r="BC45" s="11">
        <v>0</v>
      </c>
      <c r="BD45" s="11"/>
      <c r="BE45" s="11"/>
      <c r="BF45" s="11">
        <v>0</v>
      </c>
      <c r="BG45" s="11">
        <v>0</v>
      </c>
      <c r="BH45" s="11"/>
      <c r="BI45" s="11"/>
      <c r="BJ45" s="11">
        <v>4</v>
      </c>
      <c r="BK45" s="11">
        <v>0</v>
      </c>
      <c r="BL45" s="11"/>
      <c r="BM45" s="11"/>
      <c r="BN45" s="11">
        <v>0</v>
      </c>
      <c r="BO45" s="11">
        <v>0</v>
      </c>
      <c r="BP45" s="11"/>
      <c r="BQ45" s="11"/>
      <c r="BR45" s="11">
        <v>0</v>
      </c>
      <c r="BS45" s="11">
        <v>0</v>
      </c>
      <c r="BT45" s="11"/>
      <c r="BU45" s="11"/>
      <c r="BV45" s="11">
        <v>0</v>
      </c>
      <c r="BW45" s="11">
        <v>0</v>
      </c>
      <c r="BX45" s="11"/>
      <c r="BY45" s="11"/>
      <c r="BZ45" s="11">
        <v>0</v>
      </c>
      <c r="CA45" s="11">
        <v>0</v>
      </c>
      <c r="CB45" s="11"/>
      <c r="CC45" s="11"/>
      <c r="CD45" s="11">
        <v>0</v>
      </c>
      <c r="CE45" s="11">
        <v>0</v>
      </c>
      <c r="CF45" s="11"/>
      <c r="CG45" s="11"/>
      <c r="CH45" s="11">
        <v>0</v>
      </c>
      <c r="CI45" s="11">
        <v>0</v>
      </c>
      <c r="CJ45" s="11"/>
      <c r="CK45" s="11"/>
      <c r="CL45" s="11">
        <v>0</v>
      </c>
      <c r="CM45" s="11">
        <v>0</v>
      </c>
      <c r="CN45" s="11"/>
      <c r="CO45" s="11"/>
      <c r="CP45" s="11">
        <v>0</v>
      </c>
      <c r="CQ45" s="11">
        <v>0</v>
      </c>
      <c r="CR45" s="11"/>
      <c r="CS45" s="11"/>
      <c r="CT45" s="11">
        <v>0</v>
      </c>
      <c r="CU45" s="11">
        <v>0</v>
      </c>
      <c r="CV45" s="11"/>
      <c r="CW45" s="11"/>
      <c r="CX45" s="11">
        <v>0</v>
      </c>
      <c r="CY45" s="11">
        <v>0</v>
      </c>
      <c r="CZ45" s="11"/>
      <c r="DA45" s="11"/>
      <c r="DB45" s="11">
        <v>0</v>
      </c>
      <c r="DC45" s="11">
        <v>0</v>
      </c>
      <c r="DD45" s="11"/>
      <c r="DE45" s="11"/>
      <c r="DF45" s="2"/>
      <c r="DG45" s="11">
        <v>9</v>
      </c>
      <c r="DJ45" s="2"/>
      <c r="DK45">
        <v>20.333333333333332</v>
      </c>
    </row>
    <row r="46" spans="1:115">
      <c r="A46" t="s">
        <v>64</v>
      </c>
      <c r="B46" t="s">
        <v>65</v>
      </c>
      <c r="C46" t="s">
        <v>112</v>
      </c>
      <c r="D46">
        <v>129407</v>
      </c>
      <c r="E46" t="e">
        <v>#N/A</v>
      </c>
      <c r="F46" s="10" t="s">
        <v>130</v>
      </c>
      <c r="G46" t="s">
        <v>168</v>
      </c>
      <c r="H46" t="s">
        <v>169</v>
      </c>
      <c r="I46" t="s">
        <v>69</v>
      </c>
      <c r="J46" t="s">
        <v>70</v>
      </c>
      <c r="K46" t="s">
        <v>71</v>
      </c>
      <c r="L46" t="s">
        <v>145</v>
      </c>
      <c r="M46" t="s">
        <v>73</v>
      </c>
      <c r="N46" t="s">
        <v>74</v>
      </c>
      <c r="O46" s="10" t="s">
        <v>75</v>
      </c>
      <c r="P46" t="s">
        <v>75</v>
      </c>
      <c r="Q46" s="10">
        <v>234</v>
      </c>
      <c r="R46" s="10">
        <v>0</v>
      </c>
      <c r="S46" s="10">
        <v>0</v>
      </c>
      <c r="T46">
        <v>234</v>
      </c>
      <c r="U46" s="2"/>
      <c r="V46" s="11">
        <v>0</v>
      </c>
      <c r="W46" s="11">
        <v>0</v>
      </c>
      <c r="X46" s="11"/>
      <c r="Y46" s="11"/>
      <c r="Z46" s="11">
        <v>0</v>
      </c>
      <c r="AA46" s="11">
        <v>0</v>
      </c>
      <c r="AB46" s="11"/>
      <c r="AC46" s="11"/>
      <c r="AD46" s="11">
        <v>0</v>
      </c>
      <c r="AE46" s="11">
        <v>0</v>
      </c>
      <c r="AF46" s="11"/>
      <c r="AG46" s="11"/>
      <c r="AH46" s="11">
        <v>0</v>
      </c>
      <c r="AI46" s="11">
        <v>0</v>
      </c>
      <c r="AJ46" s="11"/>
      <c r="AK46" s="11"/>
      <c r="AL46" s="11">
        <v>0</v>
      </c>
      <c r="AM46" s="11">
        <v>0</v>
      </c>
      <c r="AN46" s="11"/>
      <c r="AO46" s="11"/>
      <c r="AP46" s="11">
        <v>0</v>
      </c>
      <c r="AQ46" s="11">
        <v>0</v>
      </c>
      <c r="AR46" s="11"/>
      <c r="AS46" s="11"/>
      <c r="AT46" s="11">
        <v>0</v>
      </c>
      <c r="AU46" s="11">
        <v>0</v>
      </c>
      <c r="AV46" s="11"/>
      <c r="AW46" s="11"/>
      <c r="AX46" s="11">
        <v>0</v>
      </c>
      <c r="AY46" s="11">
        <v>0</v>
      </c>
      <c r="AZ46" s="11"/>
      <c r="BA46" s="11"/>
      <c r="BB46" s="11">
        <v>0</v>
      </c>
      <c r="BC46" s="11">
        <v>0</v>
      </c>
      <c r="BD46" s="11"/>
      <c r="BE46" s="11"/>
      <c r="BF46" s="11">
        <v>0</v>
      </c>
      <c r="BG46" s="11">
        <v>0</v>
      </c>
      <c r="BH46" s="11"/>
      <c r="BI46" s="11"/>
      <c r="BJ46" s="11">
        <v>0</v>
      </c>
      <c r="BK46" s="11">
        <v>0</v>
      </c>
      <c r="BL46" s="11"/>
      <c r="BM46" s="11"/>
      <c r="BN46" s="11">
        <v>0</v>
      </c>
      <c r="BO46" s="11">
        <v>0</v>
      </c>
      <c r="BP46" s="11"/>
      <c r="BQ46" s="11"/>
      <c r="BR46" s="11">
        <v>0</v>
      </c>
      <c r="BS46" s="11">
        <v>0</v>
      </c>
      <c r="BT46" s="11"/>
      <c r="BU46" s="11"/>
      <c r="BV46" s="11">
        <v>0</v>
      </c>
      <c r="BW46" s="11">
        <v>0</v>
      </c>
      <c r="BX46" s="11"/>
      <c r="BY46" s="11"/>
      <c r="BZ46" s="11">
        <v>0</v>
      </c>
      <c r="CA46" s="11">
        <v>0</v>
      </c>
      <c r="CB46" s="11"/>
      <c r="CC46" s="11"/>
      <c r="CD46" s="11">
        <v>0</v>
      </c>
      <c r="CE46" s="11">
        <v>0</v>
      </c>
      <c r="CF46" s="11"/>
      <c r="CG46" s="11"/>
      <c r="CH46" s="11">
        <v>0</v>
      </c>
      <c r="CI46" s="11">
        <v>0</v>
      </c>
      <c r="CJ46" s="11"/>
      <c r="CK46" s="11"/>
      <c r="CL46" s="11">
        <v>0</v>
      </c>
      <c r="CM46" s="11">
        <v>0</v>
      </c>
      <c r="CN46" s="11"/>
      <c r="CO46" s="11"/>
      <c r="CP46" s="11">
        <v>0</v>
      </c>
      <c r="CQ46" s="11">
        <v>0</v>
      </c>
      <c r="CR46" s="11"/>
      <c r="CS46" s="11"/>
      <c r="CT46" s="11">
        <v>0</v>
      </c>
      <c r="CU46" s="11">
        <v>0</v>
      </c>
      <c r="CV46" s="11"/>
      <c r="CW46" s="11"/>
      <c r="CX46" s="11">
        <v>0</v>
      </c>
      <c r="CY46" s="11">
        <v>0</v>
      </c>
      <c r="CZ46" s="11"/>
      <c r="DA46" s="11"/>
      <c r="DB46" s="11">
        <v>0</v>
      </c>
      <c r="DC46" s="11">
        <v>0</v>
      </c>
      <c r="DD46" s="11"/>
      <c r="DE46" s="11"/>
      <c r="DF46" s="2"/>
      <c r="DG46" s="11">
        <v>0</v>
      </c>
      <c r="DJ46" s="2"/>
      <c r="DK46" t="e">
        <v>#DIV/0!</v>
      </c>
    </row>
    <row r="47" spans="1:115">
      <c r="A47" t="s">
        <v>64</v>
      </c>
      <c r="B47" t="s">
        <v>65</v>
      </c>
      <c r="C47" t="s">
        <v>112</v>
      </c>
      <c r="D47">
        <v>129408</v>
      </c>
      <c r="E47">
        <v>129408</v>
      </c>
      <c r="G47" t="s">
        <v>170</v>
      </c>
      <c r="H47" t="s">
        <v>171</v>
      </c>
      <c r="I47" t="s">
        <v>69</v>
      </c>
      <c r="J47" t="s">
        <v>70</v>
      </c>
      <c r="K47" t="s">
        <v>71</v>
      </c>
      <c r="L47" t="s">
        <v>148</v>
      </c>
      <c r="M47" t="s">
        <v>73</v>
      </c>
      <c r="N47" t="s">
        <v>74</v>
      </c>
      <c r="O47" s="10" t="s">
        <v>75</v>
      </c>
      <c r="P47" t="s">
        <v>75</v>
      </c>
      <c r="Q47" s="10">
        <v>155</v>
      </c>
      <c r="R47" s="10">
        <v>0</v>
      </c>
      <c r="S47" s="10">
        <v>0</v>
      </c>
      <c r="T47">
        <v>155</v>
      </c>
      <c r="U47" s="2"/>
      <c r="V47" s="11">
        <v>0</v>
      </c>
      <c r="W47" s="11">
        <v>0</v>
      </c>
      <c r="X47" s="11"/>
      <c r="Y47" s="11"/>
      <c r="Z47" s="11">
        <v>0</v>
      </c>
      <c r="AA47" s="11">
        <v>0</v>
      </c>
      <c r="AB47" s="11"/>
      <c r="AC47" s="11"/>
      <c r="AD47" s="11">
        <v>0</v>
      </c>
      <c r="AE47" s="11">
        <v>0</v>
      </c>
      <c r="AF47" s="11"/>
      <c r="AG47" s="11"/>
      <c r="AH47" s="11">
        <v>9</v>
      </c>
      <c r="AI47" s="11">
        <v>0</v>
      </c>
      <c r="AJ47" s="11"/>
      <c r="AK47" s="11"/>
      <c r="AL47" s="11">
        <v>0</v>
      </c>
      <c r="AM47" s="11">
        <v>0</v>
      </c>
      <c r="AN47" s="11"/>
      <c r="AO47" s="11"/>
      <c r="AP47" s="11">
        <v>9</v>
      </c>
      <c r="AQ47" s="11">
        <v>0</v>
      </c>
      <c r="AR47" s="11"/>
      <c r="AS47" s="11"/>
      <c r="AT47" s="11">
        <v>0</v>
      </c>
      <c r="AU47" s="11">
        <v>0</v>
      </c>
      <c r="AV47" s="11"/>
      <c r="AW47" s="11"/>
      <c r="AX47" s="11">
        <v>0</v>
      </c>
      <c r="AY47" s="11">
        <v>0</v>
      </c>
      <c r="AZ47" s="11"/>
      <c r="BA47" s="11"/>
      <c r="BB47" s="11">
        <v>5</v>
      </c>
      <c r="BC47" s="11">
        <v>0</v>
      </c>
      <c r="BD47" s="11"/>
      <c r="BE47" s="11"/>
      <c r="BF47" s="11">
        <v>18</v>
      </c>
      <c r="BG47" s="11">
        <v>0</v>
      </c>
      <c r="BH47" s="11"/>
      <c r="BI47" s="11"/>
      <c r="BJ47" s="11">
        <v>0</v>
      </c>
      <c r="BK47" s="11">
        <v>0</v>
      </c>
      <c r="BL47" s="11"/>
      <c r="BM47" s="11"/>
      <c r="BN47" s="11">
        <v>0</v>
      </c>
      <c r="BO47" s="11">
        <v>0</v>
      </c>
      <c r="BP47" s="11"/>
      <c r="BQ47" s="11"/>
      <c r="BR47" s="11">
        <v>0</v>
      </c>
      <c r="BS47" s="11">
        <v>0</v>
      </c>
      <c r="BT47" s="11"/>
      <c r="BU47" s="11"/>
      <c r="BV47" s="11">
        <v>0</v>
      </c>
      <c r="BW47" s="11">
        <v>0</v>
      </c>
      <c r="BX47" s="11"/>
      <c r="BY47" s="11"/>
      <c r="BZ47" s="11">
        <v>0</v>
      </c>
      <c r="CA47" s="11">
        <v>0</v>
      </c>
      <c r="CB47" s="11"/>
      <c r="CC47" s="11"/>
      <c r="CD47" s="11">
        <v>0</v>
      </c>
      <c r="CE47" s="11">
        <v>0</v>
      </c>
      <c r="CF47" s="11"/>
      <c r="CG47" s="11"/>
      <c r="CH47" s="11">
        <v>0</v>
      </c>
      <c r="CI47" s="11">
        <v>0</v>
      </c>
      <c r="CJ47" s="11"/>
      <c r="CK47" s="11"/>
      <c r="CL47" s="11">
        <v>0</v>
      </c>
      <c r="CM47" s="11">
        <v>0</v>
      </c>
      <c r="CN47" s="11"/>
      <c r="CO47" s="11"/>
      <c r="CP47" s="11">
        <v>0</v>
      </c>
      <c r="CQ47" s="11">
        <v>0</v>
      </c>
      <c r="CR47" s="11"/>
      <c r="CS47" s="11"/>
      <c r="CT47" s="11">
        <v>0</v>
      </c>
      <c r="CU47" s="11">
        <v>0</v>
      </c>
      <c r="CV47" s="11"/>
      <c r="CW47" s="11"/>
      <c r="CX47" s="11">
        <v>0</v>
      </c>
      <c r="CY47" s="11">
        <v>0</v>
      </c>
      <c r="CZ47" s="11"/>
      <c r="DA47" s="11"/>
      <c r="DB47" s="11">
        <v>0</v>
      </c>
      <c r="DC47" s="11">
        <v>0</v>
      </c>
      <c r="DD47" s="11"/>
      <c r="DE47" s="11"/>
      <c r="DF47" s="2"/>
      <c r="DG47" s="11">
        <v>9</v>
      </c>
      <c r="DJ47" s="2"/>
      <c r="DK47">
        <v>17.222222222222221</v>
      </c>
    </row>
    <row r="48" spans="1:115">
      <c r="A48" t="s">
        <v>64</v>
      </c>
      <c r="B48" t="s">
        <v>65</v>
      </c>
      <c r="C48" t="s">
        <v>112</v>
      </c>
      <c r="D48">
        <v>129409</v>
      </c>
      <c r="E48" t="e">
        <v>#N/A</v>
      </c>
      <c r="F48" s="10" t="s">
        <v>130</v>
      </c>
      <c r="G48" t="s">
        <v>172</v>
      </c>
      <c r="H48" t="s">
        <v>173</v>
      </c>
      <c r="I48" t="s">
        <v>69</v>
      </c>
      <c r="J48" t="s">
        <v>70</v>
      </c>
      <c r="K48" t="s">
        <v>71</v>
      </c>
      <c r="L48" t="s">
        <v>174</v>
      </c>
      <c r="M48" t="s">
        <v>73</v>
      </c>
      <c r="N48" t="s">
        <v>74</v>
      </c>
      <c r="O48" s="10" t="s">
        <v>75</v>
      </c>
      <c r="P48" t="s">
        <v>75</v>
      </c>
      <c r="Q48" s="10">
        <v>676</v>
      </c>
      <c r="R48" s="10">
        <v>0</v>
      </c>
      <c r="S48" s="10">
        <v>0</v>
      </c>
      <c r="T48">
        <v>676</v>
      </c>
      <c r="U48" s="2"/>
      <c r="V48" s="11">
        <v>0</v>
      </c>
      <c r="W48" s="11">
        <v>0</v>
      </c>
      <c r="X48" s="11"/>
      <c r="Y48" s="11"/>
      <c r="Z48" s="11">
        <v>0</v>
      </c>
      <c r="AA48" s="11">
        <v>0</v>
      </c>
      <c r="AB48" s="11"/>
      <c r="AC48" s="11"/>
      <c r="AD48" s="11">
        <v>0</v>
      </c>
      <c r="AE48" s="11">
        <v>0</v>
      </c>
      <c r="AF48" s="11"/>
      <c r="AG48" s="11"/>
      <c r="AH48" s="11">
        <v>0</v>
      </c>
      <c r="AI48" s="11">
        <v>0</v>
      </c>
      <c r="AJ48" s="11"/>
      <c r="AK48" s="11"/>
      <c r="AL48" s="11">
        <v>0</v>
      </c>
      <c r="AM48" s="11">
        <v>0</v>
      </c>
      <c r="AN48" s="11"/>
      <c r="AO48" s="11"/>
      <c r="AP48" s="11">
        <v>0</v>
      </c>
      <c r="AQ48" s="11">
        <v>0</v>
      </c>
      <c r="AR48" s="11"/>
      <c r="AS48" s="11"/>
      <c r="AT48" s="11">
        <v>0</v>
      </c>
      <c r="AU48" s="11">
        <v>0</v>
      </c>
      <c r="AV48" s="11"/>
      <c r="AW48" s="11"/>
      <c r="AX48" s="11">
        <v>0</v>
      </c>
      <c r="AY48" s="11">
        <v>0</v>
      </c>
      <c r="AZ48" s="11"/>
      <c r="BA48" s="11"/>
      <c r="BB48" s="11">
        <v>0</v>
      </c>
      <c r="BC48" s="11">
        <v>0</v>
      </c>
      <c r="BD48" s="11"/>
      <c r="BE48" s="11"/>
      <c r="BF48" s="11">
        <v>0</v>
      </c>
      <c r="BG48" s="11">
        <v>0</v>
      </c>
      <c r="BH48" s="11"/>
      <c r="BI48" s="11"/>
      <c r="BJ48" s="11">
        <v>0</v>
      </c>
      <c r="BK48" s="11">
        <v>0</v>
      </c>
      <c r="BL48" s="11"/>
      <c r="BM48" s="11"/>
      <c r="BN48" s="11">
        <v>0</v>
      </c>
      <c r="BO48" s="11">
        <v>0</v>
      </c>
      <c r="BP48" s="11"/>
      <c r="BQ48" s="11"/>
      <c r="BR48" s="11">
        <v>0</v>
      </c>
      <c r="BS48" s="11">
        <v>0</v>
      </c>
      <c r="BT48" s="11"/>
      <c r="BU48" s="11"/>
      <c r="BV48" s="11">
        <v>0</v>
      </c>
      <c r="BW48" s="11">
        <v>0</v>
      </c>
      <c r="BX48" s="11"/>
      <c r="BY48" s="11"/>
      <c r="BZ48" s="11">
        <v>0</v>
      </c>
      <c r="CA48" s="11">
        <v>0</v>
      </c>
      <c r="CB48" s="11"/>
      <c r="CC48" s="11"/>
      <c r="CD48" s="11">
        <v>0</v>
      </c>
      <c r="CE48" s="11">
        <v>0</v>
      </c>
      <c r="CF48" s="11"/>
      <c r="CG48" s="11"/>
      <c r="CH48" s="11">
        <v>0</v>
      </c>
      <c r="CI48" s="11">
        <v>0</v>
      </c>
      <c r="CJ48" s="11"/>
      <c r="CK48" s="11"/>
      <c r="CL48" s="11">
        <v>0</v>
      </c>
      <c r="CM48" s="11">
        <v>0</v>
      </c>
      <c r="CN48" s="11"/>
      <c r="CO48" s="11"/>
      <c r="CP48" s="11">
        <v>0</v>
      </c>
      <c r="CQ48" s="11">
        <v>0</v>
      </c>
      <c r="CR48" s="11"/>
      <c r="CS48" s="11"/>
      <c r="CT48" s="11">
        <v>0</v>
      </c>
      <c r="CU48" s="11">
        <v>0</v>
      </c>
      <c r="CV48" s="11"/>
      <c r="CW48" s="11"/>
      <c r="CX48" s="11">
        <v>0</v>
      </c>
      <c r="CY48" s="11">
        <v>0</v>
      </c>
      <c r="CZ48" s="11"/>
      <c r="DA48" s="11"/>
      <c r="DB48" s="11">
        <v>0</v>
      </c>
      <c r="DC48" s="11">
        <v>0</v>
      </c>
      <c r="DD48" s="11"/>
      <c r="DE48" s="11"/>
      <c r="DF48" s="2"/>
      <c r="DG48" s="11">
        <v>0</v>
      </c>
      <c r="DJ48" s="2"/>
      <c r="DK48" t="e">
        <v>#DIV/0!</v>
      </c>
    </row>
    <row r="49" spans="1:117">
      <c r="A49" t="s">
        <v>64</v>
      </c>
      <c r="B49" t="s">
        <v>65</v>
      </c>
      <c r="C49" t="s">
        <v>112</v>
      </c>
      <c r="D49">
        <v>257001</v>
      </c>
      <c r="E49">
        <v>257001</v>
      </c>
      <c r="G49" t="s">
        <v>175</v>
      </c>
      <c r="H49" t="s">
        <v>176</v>
      </c>
      <c r="I49" t="s">
        <v>69</v>
      </c>
      <c r="J49" t="s">
        <v>70</v>
      </c>
      <c r="K49" t="s">
        <v>71</v>
      </c>
      <c r="L49" t="s">
        <v>124</v>
      </c>
      <c r="M49" t="s">
        <v>73</v>
      </c>
      <c r="N49" t="s">
        <v>74</v>
      </c>
      <c r="O49" s="10" t="s">
        <v>75</v>
      </c>
      <c r="P49" t="s">
        <v>75</v>
      </c>
      <c r="Q49" s="10">
        <v>712</v>
      </c>
      <c r="R49" s="10">
        <v>0</v>
      </c>
      <c r="S49" s="10">
        <v>0</v>
      </c>
      <c r="T49">
        <v>712</v>
      </c>
      <c r="U49" s="2"/>
      <c r="V49" s="11">
        <v>6</v>
      </c>
      <c r="W49" s="11">
        <v>0</v>
      </c>
      <c r="X49" s="11"/>
      <c r="Y49" s="11"/>
      <c r="Z49" s="11">
        <v>9</v>
      </c>
      <c r="AA49" s="11">
        <v>0</v>
      </c>
      <c r="AB49" s="11"/>
      <c r="AC49" s="11"/>
      <c r="AD49" s="11">
        <v>0</v>
      </c>
      <c r="AE49" s="11">
        <v>0</v>
      </c>
      <c r="AF49" s="11"/>
      <c r="AG49" s="11"/>
      <c r="AH49" s="11">
        <v>3</v>
      </c>
      <c r="AI49" s="11">
        <v>0</v>
      </c>
      <c r="AJ49" s="11"/>
      <c r="AK49" s="11"/>
      <c r="AL49" s="11">
        <v>0</v>
      </c>
      <c r="AM49" s="11">
        <v>0</v>
      </c>
      <c r="AN49" s="11"/>
      <c r="AO49" s="11"/>
      <c r="AP49" s="11">
        <v>15</v>
      </c>
      <c r="AQ49" s="11">
        <v>0</v>
      </c>
      <c r="AR49" s="11"/>
      <c r="AS49" s="11"/>
      <c r="AT49" s="11">
        <v>1</v>
      </c>
      <c r="AU49" s="11">
        <v>0</v>
      </c>
      <c r="AV49" s="11"/>
      <c r="AW49" s="11"/>
      <c r="AX49" s="11">
        <v>3</v>
      </c>
      <c r="AY49" s="11">
        <v>0</v>
      </c>
      <c r="AZ49" s="11"/>
      <c r="BA49" s="11"/>
      <c r="BB49" s="11">
        <v>3</v>
      </c>
      <c r="BC49" s="11">
        <v>0</v>
      </c>
      <c r="BD49" s="11"/>
      <c r="BE49" s="11"/>
      <c r="BF49" s="11">
        <v>21</v>
      </c>
      <c r="BG49" s="11">
        <v>0</v>
      </c>
      <c r="BH49" s="11"/>
      <c r="BI49" s="11"/>
      <c r="BJ49" s="11">
        <v>18</v>
      </c>
      <c r="BK49" s="11">
        <v>0</v>
      </c>
      <c r="BL49" s="11"/>
      <c r="BM49" s="11"/>
      <c r="BN49" s="11">
        <v>0</v>
      </c>
      <c r="BO49" s="11">
        <v>0</v>
      </c>
      <c r="BP49" s="11"/>
      <c r="BQ49" s="11"/>
      <c r="BR49" s="11">
        <v>0</v>
      </c>
      <c r="BS49" s="11">
        <v>0</v>
      </c>
      <c r="BT49" s="11"/>
      <c r="BU49" s="11"/>
      <c r="BV49" s="11">
        <v>0</v>
      </c>
      <c r="BW49" s="11">
        <v>0</v>
      </c>
      <c r="BX49" s="11"/>
      <c r="BY49" s="11"/>
      <c r="BZ49" s="11">
        <v>0</v>
      </c>
      <c r="CA49" s="11">
        <v>0</v>
      </c>
      <c r="CB49" s="11"/>
      <c r="CC49" s="11"/>
      <c r="CD49" s="11">
        <v>0</v>
      </c>
      <c r="CE49" s="11">
        <v>0</v>
      </c>
      <c r="CF49" s="11"/>
      <c r="CG49" s="11"/>
      <c r="CH49" s="11">
        <v>1</v>
      </c>
      <c r="CI49" s="11">
        <v>0</v>
      </c>
      <c r="CJ49" s="11"/>
      <c r="CK49" s="11"/>
      <c r="CL49" s="11">
        <v>0</v>
      </c>
      <c r="CM49" s="11">
        <v>0</v>
      </c>
      <c r="CN49" s="11"/>
      <c r="CO49" s="11"/>
      <c r="CP49" s="11">
        <v>0</v>
      </c>
      <c r="CQ49" s="11">
        <v>0</v>
      </c>
      <c r="CR49" s="11"/>
      <c r="CS49" s="11"/>
      <c r="CT49" s="11">
        <v>0</v>
      </c>
      <c r="CU49" s="11">
        <v>0</v>
      </c>
      <c r="CV49" s="11"/>
      <c r="CW49" s="11"/>
      <c r="CX49" s="11">
        <v>8</v>
      </c>
      <c r="CY49" s="11">
        <v>0</v>
      </c>
      <c r="CZ49" s="11"/>
      <c r="DA49" s="11"/>
      <c r="DB49" s="11">
        <v>0</v>
      </c>
      <c r="DC49" s="11">
        <v>0</v>
      </c>
      <c r="DD49" s="11"/>
      <c r="DE49" s="11"/>
      <c r="DF49" s="2"/>
      <c r="DG49" s="11">
        <v>18</v>
      </c>
      <c r="DJ49" s="2"/>
      <c r="DK49">
        <v>39.555555555555557</v>
      </c>
    </row>
    <row r="50" spans="1:117">
      <c r="A50" t="s">
        <v>64</v>
      </c>
      <c r="B50" t="s">
        <v>65</v>
      </c>
      <c r="C50" t="s">
        <v>112</v>
      </c>
      <c r="D50">
        <v>304303</v>
      </c>
      <c r="E50">
        <v>304303</v>
      </c>
      <c r="G50" t="s">
        <v>177</v>
      </c>
      <c r="H50" t="s">
        <v>178</v>
      </c>
      <c r="I50" t="s">
        <v>69</v>
      </c>
      <c r="J50" t="s">
        <v>70</v>
      </c>
      <c r="K50" t="s">
        <v>71</v>
      </c>
      <c r="L50" t="s">
        <v>118</v>
      </c>
      <c r="M50" t="s">
        <v>73</v>
      </c>
      <c r="N50" t="s">
        <v>74</v>
      </c>
      <c r="O50" s="10" t="s">
        <v>101</v>
      </c>
      <c r="P50" t="s">
        <v>101</v>
      </c>
      <c r="Q50" s="10">
        <v>0</v>
      </c>
      <c r="R50" s="10">
        <v>535</v>
      </c>
      <c r="S50" s="10">
        <v>147</v>
      </c>
      <c r="T50">
        <v>682</v>
      </c>
      <c r="U50" s="2"/>
      <c r="V50" s="11">
        <v>0</v>
      </c>
      <c r="W50" s="11">
        <v>5</v>
      </c>
      <c r="X50" s="11">
        <v>3.9222873900293251</v>
      </c>
      <c r="Y50" s="11">
        <v>1.0777126099706744</v>
      </c>
      <c r="Z50" s="11">
        <v>0</v>
      </c>
      <c r="AA50" s="11">
        <v>5</v>
      </c>
      <c r="AB50" s="11">
        <v>3.9222873900293251</v>
      </c>
      <c r="AC50" s="11">
        <v>1.0777126099706744</v>
      </c>
      <c r="AD50" s="11">
        <v>0</v>
      </c>
      <c r="AE50" s="11">
        <v>4</v>
      </c>
      <c r="AF50" s="11">
        <v>3.1378299120234603</v>
      </c>
      <c r="AG50" s="11">
        <v>0.8621700879765396</v>
      </c>
      <c r="AH50" s="11">
        <v>0</v>
      </c>
      <c r="AI50" s="11">
        <v>25</v>
      </c>
      <c r="AJ50" s="11">
        <v>19.611436950146626</v>
      </c>
      <c r="AK50" s="11">
        <v>5.3885630498533725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39</v>
      </c>
      <c r="AR50" s="11">
        <v>30.593841642228739</v>
      </c>
      <c r="AS50" s="11">
        <v>8.4061583577712611</v>
      </c>
      <c r="AT50" s="11">
        <v>0</v>
      </c>
      <c r="AU50" s="11">
        <v>5</v>
      </c>
      <c r="AV50" s="11">
        <v>3.9222873900293251</v>
      </c>
      <c r="AW50" s="11">
        <v>1.0777126099706744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15</v>
      </c>
      <c r="BD50" s="11">
        <v>11.766862170087975</v>
      </c>
      <c r="BE50" s="11">
        <v>3.2331378299120237</v>
      </c>
      <c r="BF50" s="11">
        <v>0</v>
      </c>
      <c r="BG50" s="11">
        <v>39</v>
      </c>
      <c r="BH50" s="11">
        <v>30.593841642228739</v>
      </c>
      <c r="BI50" s="11">
        <v>8.4061583577712611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2</v>
      </c>
      <c r="CB50" s="11">
        <v>1.5689149560117301</v>
      </c>
      <c r="CC50" s="11">
        <v>0.4310850439882698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1</v>
      </c>
      <c r="CJ50" s="11">
        <v>0.78445747800586507</v>
      </c>
      <c r="CK50" s="11">
        <v>0.2155425219941349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2</v>
      </c>
      <c r="CZ50" s="11">
        <v>1.5689149560117301</v>
      </c>
      <c r="DA50" s="11">
        <v>0.4310850439882698</v>
      </c>
      <c r="DB50" s="11">
        <v>0</v>
      </c>
      <c r="DC50" s="11">
        <v>0</v>
      </c>
      <c r="DD50" s="11">
        <v>0</v>
      </c>
      <c r="DE50" s="11">
        <v>0</v>
      </c>
      <c r="DF50" s="2"/>
      <c r="DH50" s="11">
        <v>32.162756598240463</v>
      </c>
      <c r="DI50" s="11">
        <v>8.8372434017595314</v>
      </c>
      <c r="DJ50" s="2"/>
      <c r="DL50">
        <v>16.634146341463417</v>
      </c>
      <c r="DM50">
        <v>16.634146341463413</v>
      </c>
    </row>
    <row r="51" spans="1:117">
      <c r="A51" t="s">
        <v>64</v>
      </c>
      <c r="B51" t="s">
        <v>65</v>
      </c>
      <c r="C51" t="s">
        <v>112</v>
      </c>
      <c r="D51">
        <v>304305</v>
      </c>
      <c r="E51">
        <v>304305</v>
      </c>
      <c r="G51" t="s">
        <v>179</v>
      </c>
      <c r="H51" t="s">
        <v>180</v>
      </c>
      <c r="I51" t="s">
        <v>69</v>
      </c>
      <c r="J51" t="s">
        <v>70</v>
      </c>
      <c r="K51" t="s">
        <v>71</v>
      </c>
      <c r="L51" t="s">
        <v>129</v>
      </c>
      <c r="M51" t="s">
        <v>73</v>
      </c>
      <c r="N51" t="s">
        <v>74</v>
      </c>
      <c r="O51" s="10" t="s">
        <v>101</v>
      </c>
      <c r="P51" t="s">
        <v>101</v>
      </c>
      <c r="Q51" s="10">
        <v>0</v>
      </c>
      <c r="R51" s="10">
        <v>436</v>
      </c>
      <c r="S51" s="10">
        <v>158</v>
      </c>
      <c r="T51">
        <v>594</v>
      </c>
      <c r="U51" s="2"/>
      <c r="V51" s="11">
        <v>0</v>
      </c>
      <c r="W51" s="11">
        <v>5</v>
      </c>
      <c r="X51" s="11">
        <v>3.67003367003367</v>
      </c>
      <c r="Y51" s="11">
        <v>1.32996632996633</v>
      </c>
      <c r="Z51" s="11">
        <v>0</v>
      </c>
      <c r="AA51" s="11">
        <v>8</v>
      </c>
      <c r="AB51" s="11">
        <v>5.872053872053872</v>
      </c>
      <c r="AC51" s="11">
        <v>2.127946127946128</v>
      </c>
      <c r="AD51" s="11">
        <v>0</v>
      </c>
      <c r="AE51" s="11">
        <v>3</v>
      </c>
      <c r="AF51" s="11">
        <v>2.202020202020202</v>
      </c>
      <c r="AG51" s="11">
        <v>0.79797979797979801</v>
      </c>
      <c r="AH51" s="11">
        <v>0</v>
      </c>
      <c r="AI51" s="11">
        <v>12</v>
      </c>
      <c r="AJ51" s="11">
        <v>8.808080808080808</v>
      </c>
      <c r="AK51" s="11">
        <v>3.191919191919192</v>
      </c>
      <c r="AL51" s="11">
        <v>0</v>
      </c>
      <c r="AM51" s="11">
        <v>7</v>
      </c>
      <c r="AN51" s="11">
        <v>5.1380471380471384</v>
      </c>
      <c r="AO51" s="11">
        <v>1.861952861952862</v>
      </c>
      <c r="AP51" s="11">
        <v>0</v>
      </c>
      <c r="AQ51" s="11">
        <v>32</v>
      </c>
      <c r="AR51" s="11">
        <v>23.488215488215488</v>
      </c>
      <c r="AS51" s="11">
        <v>8.5117845117845121</v>
      </c>
      <c r="AT51" s="11">
        <v>0</v>
      </c>
      <c r="AU51" s="11">
        <v>5</v>
      </c>
      <c r="AV51" s="11">
        <v>3.67003367003367</v>
      </c>
      <c r="AW51" s="11">
        <v>1.32996632996633</v>
      </c>
      <c r="AX51" s="11">
        <v>0</v>
      </c>
      <c r="AY51" s="11">
        <v>3</v>
      </c>
      <c r="AZ51" s="11">
        <v>2.202020202020202</v>
      </c>
      <c r="BA51" s="11">
        <v>0.79797979797979801</v>
      </c>
      <c r="BB51" s="11">
        <v>0</v>
      </c>
      <c r="BC51" s="11">
        <v>6</v>
      </c>
      <c r="BD51" s="11">
        <v>4.404040404040404</v>
      </c>
      <c r="BE51" s="11">
        <v>1.595959595959596</v>
      </c>
      <c r="BF51" s="11">
        <v>0</v>
      </c>
      <c r="BG51" s="11">
        <v>63</v>
      </c>
      <c r="BH51" s="11">
        <v>46.242424242424242</v>
      </c>
      <c r="BI51" s="11">
        <v>16.757575757575758</v>
      </c>
      <c r="BJ51" s="11">
        <v>0</v>
      </c>
      <c r="BK51" s="11">
        <v>13</v>
      </c>
      <c r="BL51" s="11">
        <v>9.5420875420875415</v>
      </c>
      <c r="BM51" s="11">
        <v>3.457912457912458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2</v>
      </c>
      <c r="CF51" s="11">
        <v>1.468013468013468</v>
      </c>
      <c r="CG51" s="11">
        <v>0.53198653198653201</v>
      </c>
      <c r="CH51" s="11">
        <v>0</v>
      </c>
      <c r="CI51" s="11">
        <v>3</v>
      </c>
      <c r="CJ51" s="11">
        <v>2.202020202020202</v>
      </c>
      <c r="CK51" s="11">
        <v>0.79797979797979801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11">
        <v>0</v>
      </c>
      <c r="CT51" s="11">
        <v>0</v>
      </c>
      <c r="CU51" s="11">
        <v>0</v>
      </c>
      <c r="CV51" s="11">
        <v>0</v>
      </c>
      <c r="CW51" s="11">
        <v>0</v>
      </c>
      <c r="CX51" s="11">
        <v>0</v>
      </c>
      <c r="CY51" s="11">
        <v>14</v>
      </c>
      <c r="CZ51" s="11">
        <v>10.276094276094277</v>
      </c>
      <c r="DA51" s="11">
        <v>3.7239057239057241</v>
      </c>
      <c r="DB51" s="11">
        <v>0</v>
      </c>
      <c r="DC51" s="11">
        <v>0</v>
      </c>
      <c r="DD51" s="11">
        <v>0</v>
      </c>
      <c r="DE51" s="11">
        <v>0</v>
      </c>
      <c r="DF51" s="2"/>
      <c r="DH51" s="11">
        <v>20.552188552188554</v>
      </c>
      <c r="DI51" s="11">
        <v>7.4478114478114481</v>
      </c>
      <c r="DJ51" s="2"/>
      <c r="DL51">
        <v>21.214285714285712</v>
      </c>
      <c r="DM51">
        <v>21.214285714285712</v>
      </c>
    </row>
    <row r="52" spans="1:117">
      <c r="A52" t="s">
        <v>64</v>
      </c>
      <c r="B52" t="s">
        <v>65</v>
      </c>
      <c r="C52" t="s">
        <v>112</v>
      </c>
      <c r="D52">
        <v>304314</v>
      </c>
      <c r="E52">
        <v>304314</v>
      </c>
      <c r="G52" t="s">
        <v>181</v>
      </c>
      <c r="H52" t="s">
        <v>150</v>
      </c>
      <c r="I52" t="s">
        <v>69</v>
      </c>
      <c r="J52" t="s">
        <v>70</v>
      </c>
      <c r="K52" t="s">
        <v>71</v>
      </c>
      <c r="L52" t="s">
        <v>151</v>
      </c>
      <c r="M52" t="s">
        <v>73</v>
      </c>
      <c r="N52" t="s">
        <v>74</v>
      </c>
      <c r="O52" s="10" t="s">
        <v>101</v>
      </c>
      <c r="P52" t="s">
        <v>101</v>
      </c>
      <c r="Q52" s="10">
        <v>0</v>
      </c>
      <c r="R52" s="10">
        <v>333</v>
      </c>
      <c r="S52" s="10">
        <v>143</v>
      </c>
      <c r="T52">
        <v>476</v>
      </c>
      <c r="U52" s="2"/>
      <c r="V52" s="11">
        <v>0</v>
      </c>
      <c r="W52" s="11">
        <v>1</v>
      </c>
      <c r="X52" s="11">
        <v>0.69957983193277307</v>
      </c>
      <c r="Y52" s="11">
        <v>0.30042016806722688</v>
      </c>
      <c r="Z52" s="11">
        <v>0</v>
      </c>
      <c r="AA52" s="11">
        <v>1</v>
      </c>
      <c r="AB52" s="11">
        <v>0.69957983193277307</v>
      </c>
      <c r="AC52" s="11">
        <v>0.30042016806722688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20</v>
      </c>
      <c r="AJ52" s="11">
        <v>13.991596638655462</v>
      </c>
      <c r="AK52" s="11">
        <v>6.0084033613445378</v>
      </c>
      <c r="AL52" s="11">
        <v>0</v>
      </c>
      <c r="AM52" s="11">
        <v>5</v>
      </c>
      <c r="AN52" s="11">
        <v>3.4978991596638656</v>
      </c>
      <c r="AO52" s="11">
        <v>1.5021008403361344</v>
      </c>
      <c r="AP52" s="11">
        <v>0</v>
      </c>
      <c r="AQ52" s="11">
        <v>32</v>
      </c>
      <c r="AR52" s="11">
        <v>22.386554621848738</v>
      </c>
      <c r="AS52" s="11">
        <v>9.6134453781512601</v>
      </c>
      <c r="AT52" s="11">
        <v>0</v>
      </c>
      <c r="AU52" s="11">
        <v>1</v>
      </c>
      <c r="AV52" s="11">
        <v>0.69957983193277307</v>
      </c>
      <c r="AW52" s="11">
        <v>0.30042016806722688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11</v>
      </c>
      <c r="BD52" s="11">
        <v>7.6953781512605035</v>
      </c>
      <c r="BE52" s="11">
        <v>3.3046218487394956</v>
      </c>
      <c r="BF52" s="11">
        <v>0</v>
      </c>
      <c r="BG52" s="11">
        <v>30</v>
      </c>
      <c r="BH52" s="11">
        <v>20.987394957983192</v>
      </c>
      <c r="BI52" s="11">
        <v>9.0126050420168067</v>
      </c>
      <c r="BJ52" s="11">
        <v>0</v>
      </c>
      <c r="BK52" s="11">
        <v>23</v>
      </c>
      <c r="BL52" s="11">
        <v>16.090336134453782</v>
      </c>
      <c r="BM52" s="11">
        <v>6.9096638655462179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1</v>
      </c>
      <c r="CF52" s="11">
        <v>0.69957983193277307</v>
      </c>
      <c r="CG52" s="11">
        <v>0.30042016806722688</v>
      </c>
      <c r="CH52" s="11">
        <v>0</v>
      </c>
      <c r="CI52" s="11">
        <v>1</v>
      </c>
      <c r="CJ52" s="11">
        <v>0.69957983193277307</v>
      </c>
      <c r="CK52" s="11">
        <v>0.30042016806722688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  <c r="CU52" s="11">
        <v>1</v>
      </c>
      <c r="CV52" s="11">
        <v>0.69957983193277307</v>
      </c>
      <c r="CW52" s="11">
        <v>0.30042016806722688</v>
      </c>
      <c r="CX52" s="11">
        <v>0</v>
      </c>
      <c r="CY52" s="11">
        <v>15</v>
      </c>
      <c r="CZ52" s="11">
        <v>10.493697478991596</v>
      </c>
      <c r="DA52" s="11">
        <v>4.5063025210084033</v>
      </c>
      <c r="DB52" s="11">
        <v>0</v>
      </c>
      <c r="DC52" s="11">
        <v>2</v>
      </c>
      <c r="DD52" s="11">
        <v>1.3991596638655461</v>
      </c>
      <c r="DE52" s="11">
        <v>0.60084033613445376</v>
      </c>
      <c r="DF52" s="2"/>
      <c r="DH52" s="11">
        <v>15.390756302521009</v>
      </c>
      <c r="DI52" s="11">
        <v>6.6092436974789912</v>
      </c>
      <c r="DJ52" s="2"/>
      <c r="DL52">
        <v>21.636363636363637</v>
      </c>
      <c r="DM52">
        <v>21.636363636363637</v>
      </c>
    </row>
    <row r="53" spans="1:117">
      <c r="A53" t="s">
        <v>64</v>
      </c>
      <c r="B53" t="s">
        <v>65</v>
      </c>
      <c r="C53" t="s">
        <v>112</v>
      </c>
      <c r="D53">
        <v>304327</v>
      </c>
      <c r="E53">
        <v>304327</v>
      </c>
      <c r="G53" t="s">
        <v>182</v>
      </c>
      <c r="H53" t="s">
        <v>183</v>
      </c>
      <c r="I53" t="s">
        <v>69</v>
      </c>
      <c r="J53" t="s">
        <v>70</v>
      </c>
      <c r="K53" t="s">
        <v>71</v>
      </c>
      <c r="L53" t="s">
        <v>148</v>
      </c>
      <c r="M53" t="s">
        <v>73</v>
      </c>
      <c r="N53" t="s">
        <v>74</v>
      </c>
      <c r="O53" s="10" t="s">
        <v>101</v>
      </c>
      <c r="P53" t="s">
        <v>101</v>
      </c>
      <c r="Q53" s="10">
        <v>0</v>
      </c>
      <c r="R53" s="10">
        <v>1515</v>
      </c>
      <c r="S53" s="10">
        <v>426</v>
      </c>
      <c r="T53">
        <v>1941</v>
      </c>
      <c r="U53" s="2"/>
      <c r="V53" s="11">
        <v>0</v>
      </c>
      <c r="W53" s="11">
        <v>5</v>
      </c>
      <c r="X53" s="11">
        <v>3.9026275115919629</v>
      </c>
      <c r="Y53" s="11">
        <v>1.0973724884080371</v>
      </c>
      <c r="Z53" s="11">
        <v>0</v>
      </c>
      <c r="AA53" s="11">
        <v>8</v>
      </c>
      <c r="AB53" s="11">
        <v>6.2442040185471406</v>
      </c>
      <c r="AC53" s="11">
        <v>1.7557959814528594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21</v>
      </c>
      <c r="AJ53" s="11">
        <v>16.391035548686244</v>
      </c>
      <c r="AK53" s="11">
        <v>4.6089644513137564</v>
      </c>
      <c r="AL53" s="11">
        <v>0</v>
      </c>
      <c r="AM53" s="11">
        <v>7</v>
      </c>
      <c r="AN53" s="11">
        <v>5.4636785162287484</v>
      </c>
      <c r="AO53" s="11">
        <v>1.536321483771252</v>
      </c>
      <c r="AP53" s="11">
        <v>0</v>
      </c>
      <c r="AQ53" s="11">
        <v>27</v>
      </c>
      <c r="AR53" s="11">
        <v>21.0741885625966</v>
      </c>
      <c r="AS53" s="11">
        <v>5.9258114374034001</v>
      </c>
      <c r="AT53" s="11">
        <v>0</v>
      </c>
      <c r="AU53" s="11">
        <v>8</v>
      </c>
      <c r="AV53" s="11">
        <v>6.2442040185471406</v>
      </c>
      <c r="AW53" s="11">
        <v>1.7557959814528594</v>
      </c>
      <c r="AX53" s="11">
        <v>0</v>
      </c>
      <c r="AY53" s="11">
        <v>5</v>
      </c>
      <c r="AZ53" s="11">
        <v>3.9026275115919629</v>
      </c>
      <c r="BA53" s="11">
        <v>1.0973724884080371</v>
      </c>
      <c r="BB53" s="11">
        <v>0</v>
      </c>
      <c r="BC53" s="11">
        <v>15</v>
      </c>
      <c r="BD53" s="11">
        <v>11.707882534775889</v>
      </c>
      <c r="BE53" s="11">
        <v>3.2921174652241114</v>
      </c>
      <c r="BF53" s="11">
        <v>0</v>
      </c>
      <c r="BG53" s="11">
        <v>67</v>
      </c>
      <c r="BH53" s="11">
        <v>52.295208655332303</v>
      </c>
      <c r="BI53" s="11">
        <v>14.704791344667697</v>
      </c>
      <c r="BJ53" s="11">
        <v>0</v>
      </c>
      <c r="BK53" s="11">
        <v>2</v>
      </c>
      <c r="BL53" s="11">
        <v>1.5610510046367851</v>
      </c>
      <c r="BM53" s="11">
        <v>0.43894899536321486</v>
      </c>
      <c r="BN53" s="11">
        <v>0</v>
      </c>
      <c r="BO53" s="11">
        <v>4</v>
      </c>
      <c r="BP53" s="11">
        <v>3.1221020092735703</v>
      </c>
      <c r="BQ53" s="11">
        <v>0.87789799072642971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2</v>
      </c>
      <c r="CF53" s="11">
        <v>1.5610510046367851</v>
      </c>
      <c r="CG53" s="11">
        <v>0.43894899536321486</v>
      </c>
      <c r="CH53" s="11">
        <v>0</v>
      </c>
      <c r="CI53" s="11">
        <v>6</v>
      </c>
      <c r="CJ53" s="11">
        <v>4.6831530139103554</v>
      </c>
      <c r="CK53" s="11">
        <v>1.3168469860896446</v>
      </c>
      <c r="CL53" s="11">
        <v>0</v>
      </c>
      <c r="CM53" s="11">
        <v>2</v>
      </c>
      <c r="CN53" s="11">
        <v>1.5610510046367851</v>
      </c>
      <c r="CO53" s="11">
        <v>0.43894899536321486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1</v>
      </c>
      <c r="CV53" s="11">
        <v>0.78052550231839257</v>
      </c>
      <c r="CW53" s="11">
        <v>0.21947449768160743</v>
      </c>
      <c r="CX53" s="11">
        <v>0</v>
      </c>
      <c r="CY53" s="11">
        <v>6</v>
      </c>
      <c r="CZ53" s="11">
        <v>4.6831530139103554</v>
      </c>
      <c r="DA53" s="11">
        <v>1.3168469860896446</v>
      </c>
      <c r="DB53" s="11">
        <v>0</v>
      </c>
      <c r="DC53" s="11">
        <v>0</v>
      </c>
      <c r="DD53" s="11">
        <v>0</v>
      </c>
      <c r="DE53" s="11">
        <v>0</v>
      </c>
      <c r="DF53" s="2"/>
      <c r="DH53" s="11">
        <v>29.659969088098919</v>
      </c>
      <c r="DI53" s="11">
        <v>8.3400309119010831</v>
      </c>
      <c r="DJ53" s="2"/>
      <c r="DL53">
        <v>51.078947368421055</v>
      </c>
      <c r="DM53">
        <v>51.078947368421048</v>
      </c>
    </row>
    <row r="54" spans="1:117">
      <c r="A54" t="s">
        <v>64</v>
      </c>
      <c r="B54" t="s">
        <v>65</v>
      </c>
      <c r="C54" t="s">
        <v>112</v>
      </c>
      <c r="D54">
        <v>304328</v>
      </c>
      <c r="E54">
        <v>304328</v>
      </c>
      <c r="G54" t="s">
        <v>184</v>
      </c>
      <c r="H54" t="s">
        <v>185</v>
      </c>
      <c r="I54" t="s">
        <v>69</v>
      </c>
      <c r="J54" t="s">
        <v>70</v>
      </c>
      <c r="K54" t="s">
        <v>71</v>
      </c>
      <c r="L54" t="s">
        <v>124</v>
      </c>
      <c r="M54" t="s">
        <v>73</v>
      </c>
      <c r="N54" t="s">
        <v>74</v>
      </c>
      <c r="O54" s="10" t="s">
        <v>101</v>
      </c>
      <c r="P54" t="s">
        <v>101</v>
      </c>
      <c r="Q54" s="10">
        <v>0</v>
      </c>
      <c r="R54" s="10">
        <v>386</v>
      </c>
      <c r="S54" s="10">
        <v>204</v>
      </c>
      <c r="T54">
        <v>590</v>
      </c>
      <c r="U54" s="2"/>
      <c r="V54" s="11">
        <v>0</v>
      </c>
      <c r="W54" s="11">
        <v>6</v>
      </c>
      <c r="X54" s="11">
        <v>3.9254237288135592</v>
      </c>
      <c r="Y54" s="11">
        <v>2.0745762711864408</v>
      </c>
      <c r="Z54" s="11">
        <v>0</v>
      </c>
      <c r="AA54" s="11">
        <v>6</v>
      </c>
      <c r="AB54" s="11">
        <v>3.9254237288135592</v>
      </c>
      <c r="AC54" s="11">
        <v>2.0745762711864408</v>
      </c>
      <c r="AD54" s="11">
        <v>0</v>
      </c>
      <c r="AE54" s="11">
        <v>2</v>
      </c>
      <c r="AF54" s="11">
        <v>1.3084745762711865</v>
      </c>
      <c r="AG54" s="11">
        <v>0.69152542372881354</v>
      </c>
      <c r="AH54" s="11">
        <v>0</v>
      </c>
      <c r="AI54" s="11">
        <v>21</v>
      </c>
      <c r="AJ54" s="11">
        <v>13.738983050847457</v>
      </c>
      <c r="AK54" s="11">
        <v>7.261016949152542</v>
      </c>
      <c r="AL54" s="11">
        <v>0</v>
      </c>
      <c r="AM54" s="11">
        <v>2</v>
      </c>
      <c r="AN54" s="11">
        <v>1.3084745762711865</v>
      </c>
      <c r="AO54" s="11">
        <v>0.69152542372881354</v>
      </c>
      <c r="AP54" s="11">
        <v>0</v>
      </c>
      <c r="AQ54" s="11">
        <v>47</v>
      </c>
      <c r="AR54" s="11">
        <v>30.749152542372883</v>
      </c>
      <c r="AS54" s="11">
        <v>16.250847457627117</v>
      </c>
      <c r="AT54" s="11">
        <v>0</v>
      </c>
      <c r="AU54" s="11">
        <v>4</v>
      </c>
      <c r="AV54" s="11">
        <v>2.6169491525423729</v>
      </c>
      <c r="AW54" s="11">
        <v>1.3830508474576271</v>
      </c>
      <c r="AX54" s="11">
        <v>0</v>
      </c>
      <c r="AY54" s="11">
        <v>5</v>
      </c>
      <c r="AZ54" s="11">
        <v>3.2711864406779663</v>
      </c>
      <c r="BA54" s="11">
        <v>1.7288135593220337</v>
      </c>
      <c r="BB54" s="11">
        <v>0</v>
      </c>
      <c r="BC54" s="11">
        <v>13</v>
      </c>
      <c r="BD54" s="11">
        <v>8.5050847457627121</v>
      </c>
      <c r="BE54" s="11">
        <v>4.4949152542372879</v>
      </c>
      <c r="BF54" s="11">
        <v>0</v>
      </c>
      <c r="BG54" s="11">
        <v>78</v>
      </c>
      <c r="BH54" s="11">
        <v>51.030508474576273</v>
      </c>
      <c r="BI54" s="11">
        <v>26.969491525423727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1</v>
      </c>
      <c r="BP54" s="11">
        <v>0.65423728813559323</v>
      </c>
      <c r="BQ54" s="11">
        <v>0.34576271186440677</v>
      </c>
      <c r="BR54" s="11">
        <v>0</v>
      </c>
      <c r="BS54" s="11">
        <v>1</v>
      </c>
      <c r="BT54" s="11">
        <v>0.65423728813559323</v>
      </c>
      <c r="BU54" s="11">
        <v>0.34576271186440677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4</v>
      </c>
      <c r="CJ54" s="11">
        <v>2.6169491525423729</v>
      </c>
      <c r="CK54" s="11">
        <v>1.3830508474576271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11">
        <v>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11">
        <v>14</v>
      </c>
      <c r="CZ54" s="11">
        <v>9.1593220338983059</v>
      </c>
      <c r="DA54" s="11">
        <v>4.840677966101695</v>
      </c>
      <c r="DB54" s="11">
        <v>0</v>
      </c>
      <c r="DC54" s="11">
        <v>0</v>
      </c>
      <c r="DD54" s="11">
        <v>0</v>
      </c>
      <c r="DE54" s="11">
        <v>0</v>
      </c>
      <c r="DF54" s="2"/>
      <c r="DH54" s="11">
        <v>24.206779661016949</v>
      </c>
      <c r="DI54" s="11">
        <v>12.793220338983049</v>
      </c>
      <c r="DJ54" s="2"/>
      <c r="DL54">
        <v>15.945945945945946</v>
      </c>
      <c r="DM54">
        <v>15.945945945945947</v>
      </c>
    </row>
    <row r="55" spans="1:117">
      <c r="A55" t="s">
        <v>64</v>
      </c>
      <c r="B55" t="s">
        <v>65</v>
      </c>
      <c r="C55" t="s">
        <v>112</v>
      </c>
      <c r="D55">
        <v>304338</v>
      </c>
      <c r="E55">
        <v>304338</v>
      </c>
      <c r="G55" t="s">
        <v>186</v>
      </c>
      <c r="H55" t="s">
        <v>187</v>
      </c>
      <c r="I55" t="s">
        <v>69</v>
      </c>
      <c r="J55" t="s">
        <v>70</v>
      </c>
      <c r="K55" t="s">
        <v>71</v>
      </c>
      <c r="L55" t="s">
        <v>165</v>
      </c>
      <c r="M55" t="s">
        <v>73</v>
      </c>
      <c r="N55" t="s">
        <v>74</v>
      </c>
      <c r="O55" s="10" t="s">
        <v>101</v>
      </c>
      <c r="P55" t="s">
        <v>101</v>
      </c>
      <c r="Q55" s="10">
        <v>0</v>
      </c>
      <c r="R55" s="10">
        <v>218</v>
      </c>
      <c r="S55" s="10">
        <v>88</v>
      </c>
      <c r="T55">
        <v>306</v>
      </c>
      <c r="U55" s="2"/>
      <c r="V55" s="11">
        <v>0</v>
      </c>
      <c r="W55" s="11">
        <v>5</v>
      </c>
      <c r="X55" s="11">
        <v>3.5620915032679741</v>
      </c>
      <c r="Y55" s="11">
        <v>1.4379084967320259</v>
      </c>
      <c r="Z55" s="11">
        <v>0</v>
      </c>
      <c r="AA55" s="11">
        <v>5</v>
      </c>
      <c r="AB55" s="11">
        <v>3.5620915032679741</v>
      </c>
      <c r="AC55" s="11">
        <v>1.4379084967320259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15</v>
      </c>
      <c r="AJ55" s="11">
        <v>10.686274509803923</v>
      </c>
      <c r="AK55" s="11">
        <v>4.3137254901960782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18</v>
      </c>
      <c r="AR55" s="11">
        <v>12.823529411764707</v>
      </c>
      <c r="AS55" s="11">
        <v>5.1764705882352935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2</v>
      </c>
      <c r="AZ55" s="11">
        <v>1.4248366013071896</v>
      </c>
      <c r="BA55" s="11">
        <v>0.57516339869281041</v>
      </c>
      <c r="BB55" s="11">
        <v>0</v>
      </c>
      <c r="BC55" s="11">
        <v>9</v>
      </c>
      <c r="BD55" s="11">
        <v>6.4117647058823533</v>
      </c>
      <c r="BE55" s="11">
        <v>2.5882352941176467</v>
      </c>
      <c r="BF55" s="11">
        <v>0</v>
      </c>
      <c r="BG55" s="11">
        <v>9</v>
      </c>
      <c r="BH55" s="11">
        <v>6.4117647058823533</v>
      </c>
      <c r="BI55" s="11">
        <v>2.5882352941176467</v>
      </c>
      <c r="BJ55" s="11">
        <v>0</v>
      </c>
      <c r="BK55" s="11">
        <v>28</v>
      </c>
      <c r="BL55" s="11">
        <v>19.947712418300654</v>
      </c>
      <c r="BM55" s="11">
        <v>8.0522875816993462</v>
      </c>
      <c r="BN55" s="11">
        <v>0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11">
        <v>0</v>
      </c>
      <c r="CZ55" s="11">
        <v>0</v>
      </c>
      <c r="DA55" s="11">
        <v>0</v>
      </c>
      <c r="DB55" s="11">
        <v>0</v>
      </c>
      <c r="DC55" s="11">
        <v>0</v>
      </c>
      <c r="DD55" s="11">
        <v>0</v>
      </c>
      <c r="DE55" s="11">
        <v>0</v>
      </c>
      <c r="DF55" s="2"/>
      <c r="DH55" s="11">
        <v>17.81045751633987</v>
      </c>
      <c r="DI55" s="11">
        <v>7.18954248366013</v>
      </c>
      <c r="DJ55" s="2"/>
      <c r="DL55">
        <v>12.24</v>
      </c>
      <c r="DM55">
        <v>12.240000000000002</v>
      </c>
    </row>
    <row r="56" spans="1:117">
      <c r="A56" t="s">
        <v>64</v>
      </c>
      <c r="B56" t="s">
        <v>65</v>
      </c>
      <c r="C56" t="s">
        <v>112</v>
      </c>
      <c r="D56">
        <v>305680</v>
      </c>
      <c r="E56">
        <v>305680</v>
      </c>
      <c r="G56" t="s">
        <v>188</v>
      </c>
      <c r="H56" t="s">
        <v>189</v>
      </c>
      <c r="I56" t="s">
        <v>69</v>
      </c>
      <c r="J56" t="s">
        <v>70</v>
      </c>
      <c r="K56" t="s">
        <v>71</v>
      </c>
      <c r="L56" t="s">
        <v>124</v>
      </c>
      <c r="M56" t="s">
        <v>73</v>
      </c>
      <c r="N56" t="s">
        <v>74</v>
      </c>
      <c r="O56" s="10" t="s">
        <v>101</v>
      </c>
      <c r="P56" t="s">
        <v>101</v>
      </c>
      <c r="Q56" s="10">
        <v>0</v>
      </c>
      <c r="R56" s="10">
        <v>827</v>
      </c>
      <c r="S56" s="10">
        <v>214</v>
      </c>
      <c r="T56">
        <v>1041</v>
      </c>
      <c r="U56" s="2"/>
      <c r="V56" s="11">
        <v>0</v>
      </c>
      <c r="W56" s="11">
        <v>4</v>
      </c>
      <c r="X56" s="11">
        <v>3.1777137367915467</v>
      </c>
      <c r="Y56" s="11">
        <v>0.82228626320845344</v>
      </c>
      <c r="Z56" s="11">
        <v>0</v>
      </c>
      <c r="AA56" s="11">
        <v>4</v>
      </c>
      <c r="AB56" s="11">
        <v>3.1777137367915467</v>
      </c>
      <c r="AC56" s="11">
        <v>0.82228626320845344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5</v>
      </c>
      <c r="AJ56" s="11">
        <v>3.9721421709894331</v>
      </c>
      <c r="AK56" s="11">
        <v>1.0278578290105669</v>
      </c>
      <c r="AL56" s="11">
        <v>0</v>
      </c>
      <c r="AM56" s="11">
        <v>8</v>
      </c>
      <c r="AN56" s="11">
        <v>6.3554274735830933</v>
      </c>
      <c r="AO56" s="11">
        <v>1.6445725264169069</v>
      </c>
      <c r="AP56" s="11">
        <v>0</v>
      </c>
      <c r="AQ56" s="11">
        <v>11</v>
      </c>
      <c r="AR56" s="11">
        <v>8.7387127761767527</v>
      </c>
      <c r="AS56" s="11">
        <v>2.2612872238232469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6</v>
      </c>
      <c r="BD56" s="11">
        <v>4.7665706051873205</v>
      </c>
      <c r="BE56" s="11">
        <v>1.2334293948126802</v>
      </c>
      <c r="BF56" s="11">
        <v>0</v>
      </c>
      <c r="BG56" s="11">
        <v>17</v>
      </c>
      <c r="BH56" s="11">
        <v>13.505283381364073</v>
      </c>
      <c r="BI56" s="11">
        <v>3.4947166186359273</v>
      </c>
      <c r="BJ56" s="11">
        <v>0</v>
      </c>
      <c r="BK56" s="11">
        <v>15</v>
      </c>
      <c r="BL56" s="11">
        <v>11.9164265129683</v>
      </c>
      <c r="BM56" s="11">
        <v>3.0835734870317002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1">
        <v>0</v>
      </c>
      <c r="CU56" s="11">
        <v>0</v>
      </c>
      <c r="CV56" s="11">
        <v>0</v>
      </c>
      <c r="CW56" s="11">
        <v>0</v>
      </c>
      <c r="CX56" s="11">
        <v>0</v>
      </c>
      <c r="CY56" s="11">
        <v>4</v>
      </c>
      <c r="CZ56" s="11">
        <v>3.1777137367915467</v>
      </c>
      <c r="DA56" s="11">
        <v>0.82228626320845344</v>
      </c>
      <c r="DB56" s="11">
        <v>0</v>
      </c>
      <c r="DC56" s="11">
        <v>0</v>
      </c>
      <c r="DD56" s="11">
        <v>0</v>
      </c>
      <c r="DE56" s="11">
        <v>0</v>
      </c>
      <c r="DF56" s="2"/>
      <c r="DH56" s="11">
        <v>10.327569644572527</v>
      </c>
      <c r="DI56" s="11">
        <v>2.6724303554274735</v>
      </c>
      <c r="DJ56" s="2"/>
      <c r="DL56">
        <v>80.076923076923066</v>
      </c>
      <c r="DM56">
        <v>80.07692307692308</v>
      </c>
    </row>
    <row r="57" spans="1:117">
      <c r="A57" t="s">
        <v>64</v>
      </c>
      <c r="B57" t="s">
        <v>65</v>
      </c>
      <c r="C57" t="s">
        <v>112</v>
      </c>
      <c r="D57">
        <v>316104</v>
      </c>
      <c r="E57">
        <v>316104</v>
      </c>
      <c r="G57" t="s">
        <v>190</v>
      </c>
      <c r="H57" t="s">
        <v>191</v>
      </c>
      <c r="I57" t="s">
        <v>69</v>
      </c>
      <c r="J57" t="s">
        <v>70</v>
      </c>
      <c r="K57" t="s">
        <v>71</v>
      </c>
      <c r="L57" t="s">
        <v>136</v>
      </c>
      <c r="M57" t="s">
        <v>73</v>
      </c>
      <c r="N57" t="s">
        <v>74</v>
      </c>
      <c r="O57" s="10" t="s">
        <v>101</v>
      </c>
      <c r="P57" t="s">
        <v>101</v>
      </c>
      <c r="Q57" s="10">
        <v>0</v>
      </c>
      <c r="R57" s="10">
        <v>368</v>
      </c>
      <c r="S57" s="10">
        <v>110</v>
      </c>
      <c r="T57">
        <v>478</v>
      </c>
      <c r="U57" s="2"/>
      <c r="V57" s="11">
        <v>0</v>
      </c>
      <c r="W57" s="11">
        <v>8</v>
      </c>
      <c r="X57" s="11">
        <v>6.1589958158995817</v>
      </c>
      <c r="Y57" s="11">
        <v>1.8410041841004183</v>
      </c>
      <c r="Z57" s="11">
        <v>0</v>
      </c>
      <c r="AA57" s="11">
        <v>10</v>
      </c>
      <c r="AB57" s="11">
        <v>7.6987447698744766</v>
      </c>
      <c r="AC57" s="11">
        <v>2.3012552301255229</v>
      </c>
      <c r="AD57" s="11">
        <v>0</v>
      </c>
      <c r="AE57" s="11">
        <v>3</v>
      </c>
      <c r="AF57" s="11">
        <v>2.3096234309623433</v>
      </c>
      <c r="AG57" s="11">
        <v>0.69037656903765687</v>
      </c>
      <c r="AH57" s="11">
        <v>0</v>
      </c>
      <c r="AI57" s="11">
        <v>15</v>
      </c>
      <c r="AJ57" s="11">
        <v>11.548117154811715</v>
      </c>
      <c r="AK57" s="11">
        <v>3.4518828451882841</v>
      </c>
      <c r="AL57" s="11">
        <v>0</v>
      </c>
      <c r="AM57" s="11">
        <v>2</v>
      </c>
      <c r="AN57" s="11">
        <v>1.5397489539748954</v>
      </c>
      <c r="AO57" s="11">
        <v>0.46025104602510458</v>
      </c>
      <c r="AP57" s="11">
        <v>0</v>
      </c>
      <c r="AQ57" s="11">
        <v>16</v>
      </c>
      <c r="AR57" s="11">
        <v>12.317991631799163</v>
      </c>
      <c r="AS57" s="11">
        <v>3.6820083682008367</v>
      </c>
      <c r="AT57" s="11">
        <v>0</v>
      </c>
      <c r="AU57" s="11">
        <v>4</v>
      </c>
      <c r="AV57" s="11">
        <v>3.0794979079497908</v>
      </c>
      <c r="AW57" s="11">
        <v>0.92050209205020916</v>
      </c>
      <c r="AX57" s="11">
        <v>0</v>
      </c>
      <c r="AY57" s="11">
        <v>3</v>
      </c>
      <c r="AZ57" s="11">
        <v>2.3096234309623433</v>
      </c>
      <c r="BA57" s="11">
        <v>0.69037656903765687</v>
      </c>
      <c r="BB57" s="11">
        <v>0</v>
      </c>
      <c r="BC57" s="11">
        <v>7</v>
      </c>
      <c r="BD57" s="11">
        <v>5.3891213389121342</v>
      </c>
      <c r="BE57" s="11">
        <v>1.610878661087866</v>
      </c>
      <c r="BF57" s="11">
        <v>0</v>
      </c>
      <c r="BG57" s="11">
        <v>39</v>
      </c>
      <c r="BH57" s="11">
        <v>30.02510460251046</v>
      </c>
      <c r="BI57" s="11">
        <v>8.97489539748954</v>
      </c>
      <c r="BJ57" s="11">
        <v>0</v>
      </c>
      <c r="BK57" s="11">
        <v>9</v>
      </c>
      <c r="BL57" s="11">
        <v>6.9288702928870292</v>
      </c>
      <c r="BM57" s="11">
        <v>2.0711297071129708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2</v>
      </c>
      <c r="CF57" s="11">
        <v>1.5397489539748954</v>
      </c>
      <c r="CG57" s="11">
        <v>0.46025104602510458</v>
      </c>
      <c r="CH57" s="11">
        <v>0</v>
      </c>
      <c r="CI57" s="11">
        <v>4</v>
      </c>
      <c r="CJ57" s="11">
        <v>3.0794979079497908</v>
      </c>
      <c r="CK57" s="11">
        <v>0.92050209205020916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1">
        <v>0</v>
      </c>
      <c r="CY57" s="11">
        <v>10</v>
      </c>
      <c r="CZ57" s="11">
        <v>7.6987447698744766</v>
      </c>
      <c r="DA57" s="11">
        <v>2.3012552301255229</v>
      </c>
      <c r="DB57" s="11">
        <v>0</v>
      </c>
      <c r="DC57" s="11">
        <v>15</v>
      </c>
      <c r="DD57" s="11">
        <v>11.548117154811715</v>
      </c>
      <c r="DE57" s="11">
        <v>3.4518828451882841</v>
      </c>
      <c r="DF57" s="2"/>
      <c r="DH57" s="11">
        <v>27.715481171548113</v>
      </c>
      <c r="DI57" s="11">
        <v>8.2845188284518834</v>
      </c>
      <c r="DJ57" s="2"/>
      <c r="DL57">
        <v>13.27777777777778</v>
      </c>
      <c r="DM57">
        <v>13.277777777777777</v>
      </c>
    </row>
    <row r="58" spans="1:117">
      <c r="A58" t="s">
        <v>64</v>
      </c>
      <c r="B58" t="s">
        <v>65</v>
      </c>
      <c r="C58" t="s">
        <v>112</v>
      </c>
      <c r="D58">
        <v>325101</v>
      </c>
      <c r="E58">
        <v>325101</v>
      </c>
      <c r="G58" t="s">
        <v>192</v>
      </c>
      <c r="H58" t="s">
        <v>193</v>
      </c>
      <c r="I58" t="s">
        <v>69</v>
      </c>
      <c r="J58" t="s">
        <v>70</v>
      </c>
      <c r="K58" t="s">
        <v>71</v>
      </c>
      <c r="L58" t="s">
        <v>124</v>
      </c>
      <c r="M58" t="s">
        <v>73</v>
      </c>
      <c r="N58" t="s">
        <v>74</v>
      </c>
      <c r="O58" s="10" t="s">
        <v>194</v>
      </c>
      <c r="P58" t="s">
        <v>194</v>
      </c>
      <c r="Q58" s="10">
        <v>0</v>
      </c>
      <c r="R58" s="10">
        <v>295</v>
      </c>
      <c r="S58" s="10">
        <v>0</v>
      </c>
      <c r="T58">
        <v>295</v>
      </c>
      <c r="U58" s="2"/>
      <c r="V58" s="11">
        <v>0</v>
      </c>
      <c r="W58" s="11">
        <v>1</v>
      </c>
      <c r="X58" s="12">
        <v>1</v>
      </c>
      <c r="Y58" s="11"/>
      <c r="Z58" s="11">
        <v>0</v>
      </c>
      <c r="AA58" s="11">
        <v>1</v>
      </c>
      <c r="AB58" s="12">
        <v>1</v>
      </c>
      <c r="AC58" s="11"/>
      <c r="AD58" s="11">
        <v>0</v>
      </c>
      <c r="AE58" s="11">
        <v>0</v>
      </c>
      <c r="AF58" s="12">
        <v>0</v>
      </c>
      <c r="AG58" s="11"/>
      <c r="AH58" s="11">
        <v>0</v>
      </c>
      <c r="AI58" s="11">
        <v>14</v>
      </c>
      <c r="AJ58" s="12">
        <v>14</v>
      </c>
      <c r="AK58" s="11"/>
      <c r="AL58" s="11">
        <v>0</v>
      </c>
      <c r="AM58" s="11">
        <v>0</v>
      </c>
      <c r="AN58" s="12">
        <v>0</v>
      </c>
      <c r="AO58" s="11"/>
      <c r="AP58" s="11">
        <v>0</v>
      </c>
      <c r="AQ58" s="11">
        <v>10</v>
      </c>
      <c r="AR58" s="12">
        <v>10</v>
      </c>
      <c r="AS58" s="11"/>
      <c r="AT58" s="11">
        <v>0</v>
      </c>
      <c r="AU58" s="11">
        <v>1</v>
      </c>
      <c r="AV58" s="12">
        <v>1</v>
      </c>
      <c r="AW58" s="11"/>
      <c r="AX58" s="11">
        <v>0</v>
      </c>
      <c r="AY58" s="11">
        <v>0</v>
      </c>
      <c r="AZ58" s="12">
        <v>0</v>
      </c>
      <c r="BA58" s="11"/>
      <c r="BB58" s="11">
        <v>0</v>
      </c>
      <c r="BC58" s="11">
        <v>6</v>
      </c>
      <c r="BD58" s="12">
        <v>6</v>
      </c>
      <c r="BE58" s="11"/>
      <c r="BF58" s="11">
        <v>0</v>
      </c>
      <c r="BG58" s="11">
        <v>15</v>
      </c>
      <c r="BH58" s="12">
        <v>15</v>
      </c>
      <c r="BI58" s="11"/>
      <c r="BJ58" s="11">
        <v>0</v>
      </c>
      <c r="BK58" s="11">
        <v>0</v>
      </c>
      <c r="BL58" s="12">
        <v>0</v>
      </c>
      <c r="BM58" s="11"/>
      <c r="BN58" s="11">
        <v>0</v>
      </c>
      <c r="BO58" s="11">
        <v>0</v>
      </c>
      <c r="BP58" s="12">
        <v>0</v>
      </c>
      <c r="BQ58" s="11"/>
      <c r="BR58" s="11">
        <v>0</v>
      </c>
      <c r="BS58" s="11">
        <v>0</v>
      </c>
      <c r="BT58" s="12">
        <v>0</v>
      </c>
      <c r="BU58" s="11"/>
      <c r="BV58" s="11">
        <v>0</v>
      </c>
      <c r="BW58" s="11">
        <v>0</v>
      </c>
      <c r="BX58" s="12">
        <v>0</v>
      </c>
      <c r="BY58" s="11"/>
      <c r="BZ58" s="11">
        <v>0</v>
      </c>
      <c r="CA58" s="11">
        <v>0</v>
      </c>
      <c r="CB58" s="12">
        <v>0</v>
      </c>
      <c r="CC58" s="11"/>
      <c r="CD58" s="11">
        <v>0</v>
      </c>
      <c r="CE58" s="11">
        <v>0</v>
      </c>
      <c r="CF58" s="12">
        <v>0</v>
      </c>
      <c r="CG58" s="11"/>
      <c r="CH58" s="11">
        <v>0</v>
      </c>
      <c r="CI58" s="11">
        <v>0</v>
      </c>
      <c r="CJ58" s="12">
        <v>0</v>
      </c>
      <c r="CK58" s="11"/>
      <c r="CL58" s="11">
        <v>0</v>
      </c>
      <c r="CM58" s="11">
        <v>0</v>
      </c>
      <c r="CN58" s="12">
        <v>0</v>
      </c>
      <c r="CO58" s="11"/>
      <c r="CP58" s="11">
        <v>0</v>
      </c>
      <c r="CQ58" s="11">
        <v>0</v>
      </c>
      <c r="CR58" s="12">
        <v>0</v>
      </c>
      <c r="CS58" s="11"/>
      <c r="CT58" s="11">
        <v>0</v>
      </c>
      <c r="CU58" s="11">
        <v>0</v>
      </c>
      <c r="CV58" s="12">
        <v>0</v>
      </c>
      <c r="CW58" s="11"/>
      <c r="CX58" s="11">
        <v>0</v>
      </c>
      <c r="CY58" s="11">
        <v>0</v>
      </c>
      <c r="CZ58" s="12">
        <v>0</v>
      </c>
      <c r="DA58" s="11"/>
      <c r="DB58" s="11">
        <v>0</v>
      </c>
      <c r="DC58" s="11">
        <v>0</v>
      </c>
      <c r="DD58" s="12">
        <v>0</v>
      </c>
      <c r="DE58" s="11"/>
      <c r="DF58" s="2"/>
      <c r="DH58" s="11">
        <v>16</v>
      </c>
      <c r="DJ58" s="2"/>
      <c r="DL58">
        <v>18.4375</v>
      </c>
    </row>
    <row r="59" spans="1:117">
      <c r="A59" t="s">
        <v>64</v>
      </c>
      <c r="B59" t="s">
        <v>65</v>
      </c>
      <c r="C59" t="s">
        <v>112</v>
      </c>
      <c r="D59">
        <v>325102</v>
      </c>
      <c r="E59">
        <v>325102</v>
      </c>
      <c r="G59" t="s">
        <v>195</v>
      </c>
      <c r="H59" t="s">
        <v>196</v>
      </c>
      <c r="I59" t="s">
        <v>69</v>
      </c>
      <c r="J59" t="s">
        <v>70</v>
      </c>
      <c r="K59" t="s">
        <v>71</v>
      </c>
      <c r="L59" t="s">
        <v>121</v>
      </c>
      <c r="M59" t="s">
        <v>73</v>
      </c>
      <c r="N59" t="s">
        <v>74</v>
      </c>
      <c r="O59" s="10" t="s">
        <v>101</v>
      </c>
      <c r="P59" t="s">
        <v>101</v>
      </c>
      <c r="Q59" s="10">
        <v>0</v>
      </c>
      <c r="R59" s="10">
        <v>338</v>
      </c>
      <c r="S59" s="10">
        <v>139</v>
      </c>
      <c r="T59">
        <v>477</v>
      </c>
      <c r="U59" s="2"/>
      <c r="V59" s="11">
        <v>0</v>
      </c>
      <c r="W59" s="11">
        <v>7</v>
      </c>
      <c r="X59" s="11">
        <v>4.9601677148846965</v>
      </c>
      <c r="Y59" s="11">
        <v>2.0398322851153039</v>
      </c>
      <c r="Z59" s="11">
        <v>0</v>
      </c>
      <c r="AA59" s="11">
        <v>7</v>
      </c>
      <c r="AB59" s="11">
        <v>4.9601677148846965</v>
      </c>
      <c r="AC59" s="11">
        <v>2.0398322851153039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16</v>
      </c>
      <c r="AJ59" s="11">
        <v>11.337526205450734</v>
      </c>
      <c r="AK59" s="11">
        <v>4.6624737945492658</v>
      </c>
      <c r="AL59" s="11">
        <v>0</v>
      </c>
      <c r="AM59" s="11">
        <v>1</v>
      </c>
      <c r="AN59" s="11">
        <v>0.70859538784067089</v>
      </c>
      <c r="AO59" s="11">
        <v>0.29140461215932911</v>
      </c>
      <c r="AP59" s="11">
        <v>0</v>
      </c>
      <c r="AQ59" s="11">
        <v>25</v>
      </c>
      <c r="AR59" s="11">
        <v>17.714884696016771</v>
      </c>
      <c r="AS59" s="11">
        <v>7.2851153039832282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7</v>
      </c>
      <c r="AZ59" s="11">
        <v>4.9601677148846965</v>
      </c>
      <c r="BA59" s="11">
        <v>2.0398322851153039</v>
      </c>
      <c r="BB59" s="11">
        <v>0</v>
      </c>
      <c r="BC59" s="11">
        <v>6</v>
      </c>
      <c r="BD59" s="11">
        <v>4.2515723270440251</v>
      </c>
      <c r="BE59" s="11">
        <v>1.7484276729559747</v>
      </c>
      <c r="BF59" s="11">
        <v>0</v>
      </c>
      <c r="BG59" s="11">
        <v>61</v>
      </c>
      <c r="BH59" s="11">
        <v>43.224318658280922</v>
      </c>
      <c r="BI59" s="11">
        <v>17.775681341719075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1</v>
      </c>
      <c r="CF59" s="11">
        <v>0.70859538784067089</v>
      </c>
      <c r="CG59" s="11">
        <v>0.29140461215932911</v>
      </c>
      <c r="CH59" s="11">
        <v>0</v>
      </c>
      <c r="CI59" s="11">
        <v>2</v>
      </c>
      <c r="CJ59" s="11">
        <v>1.4171907756813418</v>
      </c>
      <c r="CK59" s="11">
        <v>0.58280922431865823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11">
        <v>0</v>
      </c>
      <c r="CT59" s="11">
        <v>0</v>
      </c>
      <c r="CU59" s="11">
        <v>1</v>
      </c>
      <c r="CV59" s="11">
        <v>0.70859538784067089</v>
      </c>
      <c r="CW59" s="11">
        <v>0.29140461215932911</v>
      </c>
      <c r="CX59" s="11">
        <v>0</v>
      </c>
      <c r="CY59" s="11">
        <v>12</v>
      </c>
      <c r="CZ59" s="11">
        <v>8.5031446540880502</v>
      </c>
      <c r="DA59" s="11">
        <v>3.4968553459119494</v>
      </c>
      <c r="DB59" s="11">
        <v>0</v>
      </c>
      <c r="DC59" s="11">
        <v>1</v>
      </c>
      <c r="DD59" s="11">
        <v>0.70859538784067089</v>
      </c>
      <c r="DE59" s="11">
        <v>0.29140461215932911</v>
      </c>
      <c r="DF59" s="2"/>
      <c r="DH59" s="11">
        <v>21.257861635220127</v>
      </c>
      <c r="DI59" s="11">
        <v>8.7421383647798727</v>
      </c>
      <c r="DJ59" s="2"/>
      <c r="DL59">
        <v>15.899999999999999</v>
      </c>
      <c r="DM59">
        <v>15.900000000000002</v>
      </c>
    </row>
    <row r="60" spans="1:117">
      <c r="A60" t="s">
        <v>64</v>
      </c>
      <c r="B60" t="s">
        <v>65</v>
      </c>
      <c r="C60" t="s">
        <v>112</v>
      </c>
      <c r="D60">
        <v>325106</v>
      </c>
      <c r="E60">
        <v>325106</v>
      </c>
      <c r="G60" t="s">
        <v>197</v>
      </c>
      <c r="H60" t="s">
        <v>198</v>
      </c>
      <c r="I60" t="s">
        <v>69</v>
      </c>
      <c r="J60" t="s">
        <v>70</v>
      </c>
      <c r="K60" t="s">
        <v>71</v>
      </c>
      <c r="L60" t="s">
        <v>174</v>
      </c>
      <c r="M60" t="s">
        <v>73</v>
      </c>
      <c r="N60" t="s">
        <v>74</v>
      </c>
      <c r="O60" s="10" t="s">
        <v>101</v>
      </c>
      <c r="P60" t="s">
        <v>101</v>
      </c>
      <c r="Q60" s="10">
        <v>0</v>
      </c>
      <c r="R60" s="10">
        <v>401</v>
      </c>
      <c r="S60" s="10">
        <v>152</v>
      </c>
      <c r="T60">
        <v>553</v>
      </c>
      <c r="U60" s="2"/>
      <c r="V60" s="11">
        <v>0</v>
      </c>
      <c r="W60" s="11">
        <v>5</v>
      </c>
      <c r="X60" s="11">
        <v>3.6256781193490055</v>
      </c>
      <c r="Y60" s="11">
        <v>1.3743218806509947</v>
      </c>
      <c r="Z60" s="11">
        <v>0</v>
      </c>
      <c r="AA60" s="11">
        <v>8</v>
      </c>
      <c r="AB60" s="11">
        <v>5.801084990958409</v>
      </c>
      <c r="AC60" s="11">
        <v>2.1989150090415914</v>
      </c>
      <c r="AD60" s="11">
        <v>0</v>
      </c>
      <c r="AE60" s="11">
        <v>2</v>
      </c>
      <c r="AF60" s="11">
        <v>1.4502712477396023</v>
      </c>
      <c r="AG60" s="11">
        <v>0.54972875226039786</v>
      </c>
      <c r="AH60" s="11">
        <v>0</v>
      </c>
      <c r="AI60" s="11">
        <v>10</v>
      </c>
      <c r="AJ60" s="11">
        <v>7.251356238698011</v>
      </c>
      <c r="AK60" s="11">
        <v>2.7486437613019894</v>
      </c>
      <c r="AL60" s="11">
        <v>0</v>
      </c>
      <c r="AM60" s="11">
        <v>3</v>
      </c>
      <c r="AN60" s="11">
        <v>2.1754068716094035</v>
      </c>
      <c r="AO60" s="11">
        <v>0.82459312839059673</v>
      </c>
      <c r="AP60" s="11">
        <v>0</v>
      </c>
      <c r="AQ60" s="11">
        <v>27</v>
      </c>
      <c r="AR60" s="11">
        <v>19.578661844484632</v>
      </c>
      <c r="AS60" s="11">
        <v>7.4213381555153708</v>
      </c>
      <c r="AT60" s="11">
        <v>0</v>
      </c>
      <c r="AU60" s="11">
        <v>2</v>
      </c>
      <c r="AV60" s="11">
        <v>1.4502712477396023</v>
      </c>
      <c r="AW60" s="11">
        <v>0.54972875226039786</v>
      </c>
      <c r="AX60" s="11">
        <v>0</v>
      </c>
      <c r="AY60" s="11">
        <v>5</v>
      </c>
      <c r="AZ60" s="11">
        <v>3.6256781193490055</v>
      </c>
      <c r="BA60" s="11">
        <v>1.3743218806509947</v>
      </c>
      <c r="BB60" s="11">
        <v>0</v>
      </c>
      <c r="BC60" s="11">
        <v>8</v>
      </c>
      <c r="BD60" s="11">
        <v>5.801084990958409</v>
      </c>
      <c r="BE60" s="11">
        <v>2.1989150090415914</v>
      </c>
      <c r="BF60" s="11">
        <v>0</v>
      </c>
      <c r="BG60" s="11">
        <v>25</v>
      </c>
      <c r="BH60" s="11">
        <v>18.128390596745028</v>
      </c>
      <c r="BI60" s="11">
        <v>6.8716094032549728</v>
      </c>
      <c r="BJ60" s="11">
        <v>0</v>
      </c>
      <c r="BK60" s="11">
        <v>9</v>
      </c>
      <c r="BL60" s="11">
        <v>6.52622061482821</v>
      </c>
      <c r="BM60" s="11">
        <v>2.4737793851717904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1">
        <v>0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0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>
        <v>0</v>
      </c>
      <c r="DE60" s="11">
        <v>0</v>
      </c>
      <c r="DF60" s="2"/>
      <c r="DH60" s="11">
        <v>18.128390596745028</v>
      </c>
      <c r="DI60" s="11">
        <v>6.8716094032549737</v>
      </c>
      <c r="DJ60" s="2"/>
      <c r="DL60">
        <v>22.119999999999997</v>
      </c>
      <c r="DM60">
        <v>22.119999999999997</v>
      </c>
    </row>
    <row r="61" spans="1:117">
      <c r="A61" t="s">
        <v>64</v>
      </c>
      <c r="B61" t="s">
        <v>65</v>
      </c>
      <c r="C61" t="s">
        <v>199</v>
      </c>
      <c r="D61">
        <v>102157</v>
      </c>
      <c r="E61">
        <v>102157</v>
      </c>
      <c r="G61" t="s">
        <v>200</v>
      </c>
      <c r="H61" t="s">
        <v>201</v>
      </c>
      <c r="I61" t="s">
        <v>69</v>
      </c>
      <c r="J61" t="s">
        <v>70</v>
      </c>
      <c r="K61" t="s">
        <v>71</v>
      </c>
      <c r="L61" t="s">
        <v>202</v>
      </c>
      <c r="M61" t="s">
        <v>73</v>
      </c>
      <c r="N61" t="s">
        <v>74</v>
      </c>
      <c r="O61" s="10" t="s">
        <v>75</v>
      </c>
      <c r="P61" t="s">
        <v>75</v>
      </c>
      <c r="Q61" s="10">
        <v>125</v>
      </c>
      <c r="R61" s="10">
        <v>0</v>
      </c>
      <c r="S61" s="10">
        <v>0</v>
      </c>
      <c r="T61">
        <v>125</v>
      </c>
      <c r="U61" s="2"/>
      <c r="V61" s="11">
        <v>3</v>
      </c>
      <c r="W61" s="11">
        <v>0</v>
      </c>
      <c r="X61" s="11"/>
      <c r="Y61" s="11"/>
      <c r="Z61" s="11">
        <v>3</v>
      </c>
      <c r="AA61" s="11">
        <v>0</v>
      </c>
      <c r="AB61" s="11"/>
      <c r="AC61" s="11"/>
      <c r="AD61" s="11">
        <v>0</v>
      </c>
      <c r="AE61" s="11">
        <v>0</v>
      </c>
      <c r="AF61" s="11"/>
      <c r="AG61" s="11"/>
      <c r="AH61" s="11">
        <v>0</v>
      </c>
      <c r="AI61" s="11">
        <v>0</v>
      </c>
      <c r="AJ61" s="11"/>
      <c r="AK61" s="11"/>
      <c r="AL61" s="11">
        <v>0</v>
      </c>
      <c r="AM61" s="11">
        <v>0</v>
      </c>
      <c r="AN61" s="11"/>
      <c r="AO61" s="11"/>
      <c r="AP61" s="11">
        <v>3</v>
      </c>
      <c r="AQ61" s="11">
        <v>0</v>
      </c>
      <c r="AR61" s="11"/>
      <c r="AS61" s="11"/>
      <c r="AT61" s="11">
        <v>0</v>
      </c>
      <c r="AU61" s="11">
        <v>0</v>
      </c>
      <c r="AV61" s="11"/>
      <c r="AW61" s="11"/>
      <c r="AX61" s="11">
        <v>0</v>
      </c>
      <c r="AY61" s="11">
        <v>0</v>
      </c>
      <c r="AZ61" s="11"/>
      <c r="BA61" s="11"/>
      <c r="BB61" s="11">
        <v>0</v>
      </c>
      <c r="BC61" s="11">
        <v>0</v>
      </c>
      <c r="BD61" s="11"/>
      <c r="BE61" s="11"/>
      <c r="BF61" s="11">
        <v>3</v>
      </c>
      <c r="BG61" s="11">
        <v>0</v>
      </c>
      <c r="BH61" s="11"/>
      <c r="BI61" s="11"/>
      <c r="BJ61" s="11">
        <v>0</v>
      </c>
      <c r="BK61" s="11">
        <v>0</v>
      </c>
      <c r="BL61" s="11"/>
      <c r="BM61" s="11"/>
      <c r="BN61" s="11">
        <v>0</v>
      </c>
      <c r="BO61" s="11">
        <v>0</v>
      </c>
      <c r="BP61" s="11"/>
      <c r="BQ61" s="11"/>
      <c r="BR61" s="11">
        <v>0</v>
      </c>
      <c r="BS61" s="11">
        <v>0</v>
      </c>
      <c r="BT61" s="11"/>
      <c r="BU61" s="11"/>
      <c r="BV61" s="11">
        <v>0</v>
      </c>
      <c r="BW61" s="11">
        <v>0</v>
      </c>
      <c r="BX61" s="11"/>
      <c r="BY61" s="11"/>
      <c r="BZ61" s="11">
        <v>0</v>
      </c>
      <c r="CA61" s="11">
        <v>0</v>
      </c>
      <c r="CB61" s="11"/>
      <c r="CC61" s="11"/>
      <c r="CD61" s="11">
        <v>0</v>
      </c>
      <c r="CE61" s="11">
        <v>0</v>
      </c>
      <c r="CF61" s="11"/>
      <c r="CG61" s="11"/>
      <c r="CH61" s="11">
        <v>0</v>
      </c>
      <c r="CI61" s="11">
        <v>0</v>
      </c>
      <c r="CJ61" s="11"/>
      <c r="CK61" s="11"/>
      <c r="CL61" s="11">
        <v>0</v>
      </c>
      <c r="CM61" s="11">
        <v>0</v>
      </c>
      <c r="CN61" s="11"/>
      <c r="CO61" s="11"/>
      <c r="CP61" s="11">
        <v>0</v>
      </c>
      <c r="CQ61" s="11">
        <v>0</v>
      </c>
      <c r="CR61" s="11"/>
      <c r="CS61" s="11"/>
      <c r="CT61" s="11">
        <v>0</v>
      </c>
      <c r="CU61" s="11">
        <v>0</v>
      </c>
      <c r="CV61" s="11"/>
      <c r="CW61" s="11"/>
      <c r="CX61" s="11">
        <v>0</v>
      </c>
      <c r="CY61" s="11">
        <v>0</v>
      </c>
      <c r="CZ61" s="11"/>
      <c r="DA61" s="11"/>
      <c r="DB61" s="11">
        <v>0</v>
      </c>
      <c r="DC61" s="11">
        <v>0</v>
      </c>
      <c r="DD61" s="11"/>
      <c r="DE61" s="11"/>
      <c r="DF61" s="2"/>
      <c r="DG61" s="11">
        <v>6</v>
      </c>
      <c r="DJ61" s="2"/>
      <c r="DK61">
        <v>20.833333333333332</v>
      </c>
    </row>
    <row r="62" spans="1:117">
      <c r="A62" t="s">
        <v>64</v>
      </c>
      <c r="B62" t="s">
        <v>65</v>
      </c>
      <c r="C62" t="s">
        <v>199</v>
      </c>
      <c r="D62">
        <v>102164</v>
      </c>
      <c r="E62">
        <v>102164</v>
      </c>
      <c r="G62" t="s">
        <v>203</v>
      </c>
      <c r="H62" t="s">
        <v>204</v>
      </c>
      <c r="I62" t="s">
        <v>69</v>
      </c>
      <c r="J62" t="s">
        <v>70</v>
      </c>
      <c r="K62" t="s">
        <v>71</v>
      </c>
      <c r="L62" t="s">
        <v>205</v>
      </c>
      <c r="M62" t="s">
        <v>73</v>
      </c>
      <c r="N62" t="s">
        <v>74</v>
      </c>
      <c r="O62" s="10" t="s">
        <v>75</v>
      </c>
      <c r="P62" t="s">
        <v>75</v>
      </c>
      <c r="Q62" s="10">
        <v>88</v>
      </c>
      <c r="R62" s="10">
        <v>0</v>
      </c>
      <c r="S62" s="10">
        <v>0</v>
      </c>
      <c r="T62">
        <v>88</v>
      </c>
      <c r="U62" s="2"/>
      <c r="V62" s="11">
        <v>2</v>
      </c>
      <c r="W62" s="11">
        <v>0</v>
      </c>
      <c r="X62" s="11"/>
      <c r="Y62" s="11"/>
      <c r="Z62" s="11">
        <v>2</v>
      </c>
      <c r="AA62" s="11">
        <v>0</v>
      </c>
      <c r="AB62" s="11"/>
      <c r="AC62" s="11"/>
      <c r="AD62" s="11">
        <v>0</v>
      </c>
      <c r="AE62" s="11">
        <v>0</v>
      </c>
      <c r="AF62" s="11"/>
      <c r="AG62" s="11"/>
      <c r="AH62" s="11">
        <v>0</v>
      </c>
      <c r="AI62" s="11">
        <v>0</v>
      </c>
      <c r="AJ62" s="11"/>
      <c r="AK62" s="11"/>
      <c r="AL62" s="11">
        <v>2</v>
      </c>
      <c r="AM62" s="11">
        <v>0</v>
      </c>
      <c r="AN62" s="11"/>
      <c r="AO62" s="11"/>
      <c r="AP62" s="11">
        <v>4</v>
      </c>
      <c r="AQ62" s="11">
        <v>0</v>
      </c>
      <c r="AR62" s="11"/>
      <c r="AS62" s="11"/>
      <c r="AT62" s="11">
        <v>0</v>
      </c>
      <c r="AU62" s="11">
        <v>0</v>
      </c>
      <c r="AV62" s="11"/>
      <c r="AW62" s="11"/>
      <c r="AX62" s="11">
        <v>0</v>
      </c>
      <c r="AY62" s="11">
        <v>0</v>
      </c>
      <c r="AZ62" s="11"/>
      <c r="BA62" s="11"/>
      <c r="BB62" s="11">
        <v>1</v>
      </c>
      <c r="BC62" s="11">
        <v>0</v>
      </c>
      <c r="BD62" s="11"/>
      <c r="BE62" s="11"/>
      <c r="BF62" s="11">
        <v>7</v>
      </c>
      <c r="BG62" s="11">
        <v>0</v>
      </c>
      <c r="BH62" s="11"/>
      <c r="BI62" s="11"/>
      <c r="BJ62" s="11">
        <v>3</v>
      </c>
      <c r="BK62" s="11">
        <v>0</v>
      </c>
      <c r="BL62" s="11"/>
      <c r="BM62" s="11"/>
      <c r="BN62" s="11">
        <v>0</v>
      </c>
      <c r="BO62" s="11">
        <v>0</v>
      </c>
      <c r="BP62" s="11"/>
      <c r="BQ62" s="11"/>
      <c r="BR62" s="11">
        <v>0</v>
      </c>
      <c r="BS62" s="11">
        <v>0</v>
      </c>
      <c r="BT62" s="11"/>
      <c r="BU62" s="11"/>
      <c r="BV62" s="11">
        <v>0</v>
      </c>
      <c r="BW62" s="11">
        <v>0</v>
      </c>
      <c r="BX62" s="11"/>
      <c r="BY62" s="11"/>
      <c r="BZ62" s="11">
        <v>0</v>
      </c>
      <c r="CA62" s="11">
        <v>0</v>
      </c>
      <c r="CB62" s="11"/>
      <c r="CC62" s="11"/>
      <c r="CD62" s="11">
        <v>0</v>
      </c>
      <c r="CE62" s="11">
        <v>0</v>
      </c>
      <c r="CF62" s="11"/>
      <c r="CG62" s="11"/>
      <c r="CH62" s="11">
        <v>2</v>
      </c>
      <c r="CI62" s="11">
        <v>0</v>
      </c>
      <c r="CJ62" s="11"/>
      <c r="CK62" s="11"/>
      <c r="CL62" s="11">
        <v>0</v>
      </c>
      <c r="CM62" s="11">
        <v>0</v>
      </c>
      <c r="CN62" s="11"/>
      <c r="CO62" s="11"/>
      <c r="CP62" s="11">
        <v>0</v>
      </c>
      <c r="CQ62" s="11">
        <v>0</v>
      </c>
      <c r="CR62" s="11"/>
      <c r="CS62" s="11"/>
      <c r="CT62" s="11">
        <v>0</v>
      </c>
      <c r="CU62" s="11">
        <v>0</v>
      </c>
      <c r="CV62" s="11"/>
      <c r="CW62" s="11"/>
      <c r="CX62" s="11">
        <v>7</v>
      </c>
      <c r="CY62" s="11">
        <v>0</v>
      </c>
      <c r="CZ62" s="11"/>
      <c r="DA62" s="11"/>
      <c r="DB62" s="11">
        <v>0</v>
      </c>
      <c r="DC62" s="11">
        <v>0</v>
      </c>
      <c r="DD62" s="11"/>
      <c r="DE62" s="11"/>
      <c r="DF62" s="2"/>
      <c r="DG62" s="11">
        <v>4</v>
      </c>
      <c r="DJ62" s="2"/>
      <c r="DK62">
        <v>22</v>
      </c>
    </row>
    <row r="63" spans="1:117">
      <c r="A63" t="s">
        <v>64</v>
      </c>
      <c r="B63" t="s">
        <v>65</v>
      </c>
      <c r="C63" t="s">
        <v>199</v>
      </c>
      <c r="D63">
        <v>129410</v>
      </c>
      <c r="E63">
        <v>129410</v>
      </c>
      <c r="G63" t="s">
        <v>206</v>
      </c>
      <c r="H63" t="s">
        <v>207</v>
      </c>
      <c r="I63" t="s">
        <v>69</v>
      </c>
      <c r="J63" t="s">
        <v>70</v>
      </c>
      <c r="K63" t="s">
        <v>71</v>
      </c>
      <c r="L63" t="s">
        <v>208</v>
      </c>
      <c r="M63" t="s">
        <v>73</v>
      </c>
      <c r="N63" t="s">
        <v>74</v>
      </c>
      <c r="O63" s="10" t="s">
        <v>75</v>
      </c>
      <c r="P63" t="s">
        <v>75</v>
      </c>
      <c r="Q63" s="10">
        <v>224</v>
      </c>
      <c r="R63" s="10">
        <v>0</v>
      </c>
      <c r="S63" s="10">
        <v>0</v>
      </c>
      <c r="T63">
        <v>224</v>
      </c>
      <c r="U63" s="2"/>
      <c r="V63" s="11">
        <v>1</v>
      </c>
      <c r="W63" s="11">
        <v>0</v>
      </c>
      <c r="X63" s="11"/>
      <c r="Y63" s="11"/>
      <c r="Z63" s="11">
        <v>1</v>
      </c>
      <c r="AA63" s="11">
        <v>0</v>
      </c>
      <c r="AB63" s="11"/>
      <c r="AC63" s="11"/>
      <c r="AD63" s="11">
        <v>0</v>
      </c>
      <c r="AE63" s="11">
        <v>0</v>
      </c>
      <c r="AF63" s="11"/>
      <c r="AG63" s="11"/>
      <c r="AH63" s="11">
        <v>12</v>
      </c>
      <c r="AI63" s="11">
        <v>0</v>
      </c>
      <c r="AJ63" s="11"/>
      <c r="AK63" s="11"/>
      <c r="AL63" s="11">
        <v>6</v>
      </c>
      <c r="AM63" s="11">
        <v>0</v>
      </c>
      <c r="AN63" s="11"/>
      <c r="AO63" s="11"/>
      <c r="AP63" s="11">
        <v>25</v>
      </c>
      <c r="AQ63" s="11">
        <v>0</v>
      </c>
      <c r="AR63" s="11"/>
      <c r="AS63" s="11"/>
      <c r="AT63" s="11">
        <v>0</v>
      </c>
      <c r="AU63" s="11">
        <v>0</v>
      </c>
      <c r="AV63" s="11"/>
      <c r="AW63" s="11"/>
      <c r="AX63" s="11">
        <v>0</v>
      </c>
      <c r="AY63" s="11">
        <v>0</v>
      </c>
      <c r="AZ63" s="11"/>
      <c r="BA63" s="11"/>
      <c r="BB63" s="11">
        <v>7</v>
      </c>
      <c r="BC63" s="11">
        <v>0</v>
      </c>
      <c r="BD63" s="11"/>
      <c r="BE63" s="11"/>
      <c r="BF63" s="11">
        <v>0</v>
      </c>
      <c r="BG63" s="11">
        <v>0</v>
      </c>
      <c r="BH63" s="11"/>
      <c r="BI63" s="11"/>
      <c r="BJ63" s="11">
        <v>36</v>
      </c>
      <c r="BK63" s="11">
        <v>0</v>
      </c>
      <c r="BL63" s="11"/>
      <c r="BM63" s="11"/>
      <c r="BN63" s="11">
        <v>0</v>
      </c>
      <c r="BO63" s="11">
        <v>0</v>
      </c>
      <c r="BP63" s="11"/>
      <c r="BQ63" s="11"/>
      <c r="BR63" s="11">
        <v>0</v>
      </c>
      <c r="BS63" s="11">
        <v>0</v>
      </c>
      <c r="BT63" s="11"/>
      <c r="BU63" s="11"/>
      <c r="BV63" s="11">
        <v>0</v>
      </c>
      <c r="BW63" s="11">
        <v>0</v>
      </c>
      <c r="BX63" s="11"/>
      <c r="BY63" s="11"/>
      <c r="BZ63" s="11">
        <v>0</v>
      </c>
      <c r="CA63" s="11">
        <v>0</v>
      </c>
      <c r="CB63" s="11"/>
      <c r="CC63" s="11"/>
      <c r="CD63" s="11">
        <v>0</v>
      </c>
      <c r="CE63" s="11">
        <v>0</v>
      </c>
      <c r="CF63" s="11"/>
      <c r="CG63" s="11"/>
      <c r="CH63" s="11">
        <v>0</v>
      </c>
      <c r="CI63" s="11">
        <v>0</v>
      </c>
      <c r="CJ63" s="11"/>
      <c r="CK63" s="11"/>
      <c r="CL63" s="11">
        <v>0</v>
      </c>
      <c r="CM63" s="11">
        <v>0</v>
      </c>
      <c r="CN63" s="11"/>
      <c r="CO63" s="11"/>
      <c r="CP63" s="11">
        <v>0</v>
      </c>
      <c r="CQ63" s="11">
        <v>0</v>
      </c>
      <c r="CR63" s="11"/>
      <c r="CS63" s="11"/>
      <c r="CT63" s="11">
        <v>0</v>
      </c>
      <c r="CU63" s="11">
        <v>0</v>
      </c>
      <c r="CV63" s="11"/>
      <c r="CW63" s="11"/>
      <c r="CX63" s="11">
        <v>0</v>
      </c>
      <c r="CY63" s="11">
        <v>0</v>
      </c>
      <c r="CZ63" s="11"/>
      <c r="DA63" s="11"/>
      <c r="DB63" s="11">
        <v>0</v>
      </c>
      <c r="DC63" s="11">
        <v>0</v>
      </c>
      <c r="DD63" s="11"/>
      <c r="DE63" s="11"/>
      <c r="DF63" s="2"/>
      <c r="DG63" s="11">
        <v>14</v>
      </c>
      <c r="DJ63" s="2"/>
      <c r="DK63">
        <v>16</v>
      </c>
    </row>
    <row r="64" spans="1:117">
      <c r="A64" t="s">
        <v>64</v>
      </c>
      <c r="B64" t="s">
        <v>65</v>
      </c>
      <c r="C64" t="s">
        <v>199</v>
      </c>
      <c r="D64">
        <v>129412</v>
      </c>
      <c r="E64">
        <v>129412</v>
      </c>
      <c r="G64" t="s">
        <v>209</v>
      </c>
      <c r="H64" t="s">
        <v>210</v>
      </c>
      <c r="I64" t="s">
        <v>69</v>
      </c>
      <c r="J64" t="s">
        <v>70</v>
      </c>
      <c r="K64" t="s">
        <v>71</v>
      </c>
      <c r="L64" t="s">
        <v>211</v>
      </c>
      <c r="M64" t="s">
        <v>73</v>
      </c>
      <c r="N64" t="s">
        <v>74</v>
      </c>
      <c r="O64" s="10" t="s">
        <v>75</v>
      </c>
      <c r="P64" t="s">
        <v>75</v>
      </c>
      <c r="Q64" s="10">
        <v>98</v>
      </c>
      <c r="R64" s="10">
        <v>0</v>
      </c>
      <c r="S64" s="10">
        <v>0</v>
      </c>
      <c r="T64">
        <v>98</v>
      </c>
      <c r="U64" s="2"/>
      <c r="V64" s="11">
        <v>0</v>
      </c>
      <c r="W64" s="11">
        <v>0</v>
      </c>
      <c r="X64" s="11"/>
      <c r="Y64" s="11"/>
      <c r="Z64" s="11">
        <v>0</v>
      </c>
      <c r="AA64" s="11">
        <v>0</v>
      </c>
      <c r="AB64" s="11"/>
      <c r="AC64" s="11"/>
      <c r="AD64" s="11">
        <v>0</v>
      </c>
      <c r="AE64" s="11">
        <v>0</v>
      </c>
      <c r="AF64" s="11"/>
      <c r="AG64" s="11"/>
      <c r="AH64" s="11">
        <v>8</v>
      </c>
      <c r="AI64" s="11">
        <v>0</v>
      </c>
      <c r="AJ64" s="11"/>
      <c r="AK64" s="11"/>
      <c r="AL64" s="11">
        <v>0</v>
      </c>
      <c r="AM64" s="11">
        <v>0</v>
      </c>
      <c r="AN64" s="11"/>
      <c r="AO64" s="11"/>
      <c r="AP64" s="11">
        <v>8</v>
      </c>
      <c r="AQ64" s="11">
        <v>0</v>
      </c>
      <c r="AR64" s="11"/>
      <c r="AS64" s="11"/>
      <c r="AT64" s="11">
        <v>0</v>
      </c>
      <c r="AU64" s="11">
        <v>0</v>
      </c>
      <c r="AV64" s="11"/>
      <c r="AW64" s="11"/>
      <c r="AX64" s="11">
        <v>0</v>
      </c>
      <c r="AY64" s="11">
        <v>0</v>
      </c>
      <c r="AZ64" s="11"/>
      <c r="BA64" s="11"/>
      <c r="BB64" s="11">
        <v>4</v>
      </c>
      <c r="BC64" s="11">
        <v>0</v>
      </c>
      <c r="BD64" s="11"/>
      <c r="BE64" s="11"/>
      <c r="BF64" s="11">
        <v>8</v>
      </c>
      <c r="BG64" s="11">
        <v>0</v>
      </c>
      <c r="BH64" s="11"/>
      <c r="BI64" s="11"/>
      <c r="BJ64" s="11">
        <v>0</v>
      </c>
      <c r="BK64" s="11">
        <v>0</v>
      </c>
      <c r="BL64" s="11"/>
      <c r="BM64" s="11"/>
      <c r="BN64" s="11">
        <v>1</v>
      </c>
      <c r="BO64" s="11">
        <v>0</v>
      </c>
      <c r="BP64" s="11"/>
      <c r="BQ64" s="11"/>
      <c r="BR64" s="11">
        <v>1</v>
      </c>
      <c r="BS64" s="11">
        <v>0</v>
      </c>
      <c r="BT64" s="11"/>
      <c r="BU64" s="11"/>
      <c r="BV64" s="11">
        <v>0</v>
      </c>
      <c r="BW64" s="11">
        <v>0</v>
      </c>
      <c r="BX64" s="11"/>
      <c r="BY64" s="11"/>
      <c r="BZ64" s="11">
        <v>0</v>
      </c>
      <c r="CA64" s="11">
        <v>0</v>
      </c>
      <c r="CB64" s="11"/>
      <c r="CC64" s="11"/>
      <c r="CD64" s="11">
        <v>0</v>
      </c>
      <c r="CE64" s="11">
        <v>0</v>
      </c>
      <c r="CF64" s="11"/>
      <c r="CG64" s="11"/>
      <c r="CH64" s="11">
        <v>2</v>
      </c>
      <c r="CI64" s="11">
        <v>0</v>
      </c>
      <c r="CJ64" s="11"/>
      <c r="CK64" s="11"/>
      <c r="CL64" s="11">
        <v>1</v>
      </c>
      <c r="CM64" s="11">
        <v>0</v>
      </c>
      <c r="CN64" s="11"/>
      <c r="CO64" s="11"/>
      <c r="CP64" s="11">
        <v>0</v>
      </c>
      <c r="CQ64" s="11">
        <v>0</v>
      </c>
      <c r="CR64" s="11"/>
      <c r="CS64" s="11"/>
      <c r="CT64" s="11">
        <v>1</v>
      </c>
      <c r="CU64" s="11">
        <v>0</v>
      </c>
      <c r="CV64" s="11"/>
      <c r="CW64" s="11"/>
      <c r="CX64" s="11">
        <v>0</v>
      </c>
      <c r="CY64" s="11">
        <v>0</v>
      </c>
      <c r="CZ64" s="11"/>
      <c r="DA64" s="11"/>
      <c r="DB64" s="11">
        <v>2</v>
      </c>
      <c r="DC64" s="11">
        <v>0</v>
      </c>
      <c r="DD64" s="11"/>
      <c r="DE64" s="11"/>
      <c r="DF64" s="2"/>
      <c r="DG64" s="11">
        <v>10</v>
      </c>
      <c r="DJ64" s="2"/>
      <c r="DK64">
        <v>9.8000000000000007</v>
      </c>
    </row>
    <row r="65" spans="1:117">
      <c r="A65" t="s">
        <v>64</v>
      </c>
      <c r="B65" t="s">
        <v>65</v>
      </c>
      <c r="C65" t="s">
        <v>199</v>
      </c>
      <c r="D65">
        <v>129413</v>
      </c>
      <c r="E65">
        <v>129413</v>
      </c>
      <c r="G65" t="s">
        <v>212</v>
      </c>
      <c r="H65" t="s">
        <v>213</v>
      </c>
      <c r="I65" t="s">
        <v>69</v>
      </c>
      <c r="J65" t="s">
        <v>70</v>
      </c>
      <c r="K65" t="s">
        <v>71</v>
      </c>
      <c r="L65" t="s">
        <v>208</v>
      </c>
      <c r="M65" t="s">
        <v>73</v>
      </c>
      <c r="N65" t="s">
        <v>74</v>
      </c>
      <c r="O65" s="10" t="s">
        <v>75</v>
      </c>
      <c r="P65" t="s">
        <v>75</v>
      </c>
      <c r="Q65" s="10">
        <v>307</v>
      </c>
      <c r="R65" s="10">
        <v>0</v>
      </c>
      <c r="S65" s="10">
        <v>0</v>
      </c>
      <c r="T65">
        <v>307</v>
      </c>
      <c r="U65" s="2"/>
      <c r="V65" s="11">
        <v>3</v>
      </c>
      <c r="W65" s="11">
        <v>0</v>
      </c>
      <c r="X65" s="11"/>
      <c r="Y65" s="11"/>
      <c r="Z65" s="11">
        <v>3</v>
      </c>
      <c r="AA65" s="11">
        <v>0</v>
      </c>
      <c r="AB65" s="11"/>
      <c r="AC65" s="11"/>
      <c r="AD65" s="11">
        <v>1</v>
      </c>
      <c r="AE65" s="11">
        <v>0</v>
      </c>
      <c r="AF65" s="11"/>
      <c r="AG65" s="11"/>
      <c r="AH65" s="11">
        <v>17</v>
      </c>
      <c r="AI65" s="11">
        <v>0</v>
      </c>
      <c r="AJ65" s="11"/>
      <c r="AK65" s="11"/>
      <c r="AL65" s="11">
        <v>0</v>
      </c>
      <c r="AM65" s="11">
        <v>0</v>
      </c>
      <c r="AN65" s="11"/>
      <c r="AO65" s="11"/>
      <c r="AP65" s="11">
        <v>15</v>
      </c>
      <c r="AQ65" s="11">
        <v>0</v>
      </c>
      <c r="AR65" s="11"/>
      <c r="AS65" s="11"/>
      <c r="AT65" s="11">
        <v>0</v>
      </c>
      <c r="AU65" s="11">
        <v>0</v>
      </c>
      <c r="AV65" s="11"/>
      <c r="AW65" s="11"/>
      <c r="AX65" s="11">
        <v>0</v>
      </c>
      <c r="AY65" s="11">
        <v>0</v>
      </c>
      <c r="AZ65" s="11"/>
      <c r="BA65" s="11"/>
      <c r="BB65" s="11">
        <v>8</v>
      </c>
      <c r="BC65" s="11">
        <v>0</v>
      </c>
      <c r="BD65" s="11"/>
      <c r="BE65" s="11"/>
      <c r="BF65" s="11">
        <v>39</v>
      </c>
      <c r="BG65" s="11">
        <v>0</v>
      </c>
      <c r="BH65" s="11"/>
      <c r="BI65" s="11"/>
      <c r="BJ65" s="11">
        <v>0</v>
      </c>
      <c r="BK65" s="11">
        <v>0</v>
      </c>
      <c r="BL65" s="11"/>
      <c r="BM65" s="11"/>
      <c r="BN65" s="11">
        <v>1</v>
      </c>
      <c r="BO65" s="11">
        <v>0</v>
      </c>
      <c r="BP65" s="11"/>
      <c r="BQ65" s="11"/>
      <c r="BR65" s="11">
        <v>1</v>
      </c>
      <c r="BS65" s="11">
        <v>0</v>
      </c>
      <c r="BT65" s="11"/>
      <c r="BU65" s="11"/>
      <c r="BV65" s="11">
        <v>0</v>
      </c>
      <c r="BW65" s="11">
        <v>0</v>
      </c>
      <c r="BX65" s="11"/>
      <c r="BY65" s="11"/>
      <c r="BZ65" s="11">
        <v>0</v>
      </c>
      <c r="CA65" s="11">
        <v>0</v>
      </c>
      <c r="CB65" s="11"/>
      <c r="CC65" s="11"/>
      <c r="CD65" s="11">
        <v>0</v>
      </c>
      <c r="CE65" s="11">
        <v>0</v>
      </c>
      <c r="CF65" s="11"/>
      <c r="CG65" s="11"/>
      <c r="CH65" s="11">
        <v>4</v>
      </c>
      <c r="CI65" s="11">
        <v>0</v>
      </c>
      <c r="CJ65" s="11"/>
      <c r="CK65" s="11"/>
      <c r="CL65" s="11">
        <v>0</v>
      </c>
      <c r="CM65" s="11">
        <v>0</v>
      </c>
      <c r="CN65" s="11"/>
      <c r="CO65" s="11"/>
      <c r="CP65" s="11">
        <v>0</v>
      </c>
      <c r="CQ65" s="11">
        <v>0</v>
      </c>
      <c r="CR65" s="11"/>
      <c r="CS65" s="11"/>
      <c r="CT65" s="11">
        <v>0</v>
      </c>
      <c r="CU65" s="11">
        <v>0</v>
      </c>
      <c r="CV65" s="11"/>
      <c r="CW65" s="11"/>
      <c r="CX65" s="11">
        <v>27</v>
      </c>
      <c r="CY65" s="11">
        <v>0</v>
      </c>
      <c r="CZ65" s="11"/>
      <c r="DA65" s="11"/>
      <c r="DB65" s="11">
        <v>0</v>
      </c>
      <c r="DC65" s="11">
        <v>0</v>
      </c>
      <c r="DD65" s="11"/>
      <c r="DE65" s="11"/>
      <c r="DF65" s="2"/>
      <c r="DG65" s="11">
        <v>26</v>
      </c>
      <c r="DJ65" s="2"/>
      <c r="DK65">
        <v>11.807692307692308</v>
      </c>
    </row>
    <row r="66" spans="1:117">
      <c r="A66" t="s">
        <v>64</v>
      </c>
      <c r="B66" t="s">
        <v>65</v>
      </c>
      <c r="C66" t="s">
        <v>199</v>
      </c>
      <c r="D66">
        <v>129414</v>
      </c>
      <c r="E66">
        <v>129414</v>
      </c>
      <c r="G66" t="s">
        <v>214</v>
      </c>
      <c r="H66" t="s">
        <v>215</v>
      </c>
      <c r="I66" t="s">
        <v>69</v>
      </c>
      <c r="J66" t="s">
        <v>70</v>
      </c>
      <c r="K66" t="s">
        <v>71</v>
      </c>
      <c r="L66" t="s">
        <v>216</v>
      </c>
      <c r="M66" t="s">
        <v>73</v>
      </c>
      <c r="N66" t="s">
        <v>74</v>
      </c>
      <c r="O66" s="10" t="s">
        <v>75</v>
      </c>
      <c r="P66" t="s">
        <v>75</v>
      </c>
      <c r="Q66" s="10">
        <v>348</v>
      </c>
      <c r="R66" s="10">
        <v>0</v>
      </c>
      <c r="S66" s="10">
        <v>0</v>
      </c>
      <c r="T66">
        <v>348</v>
      </c>
      <c r="U66" s="2"/>
      <c r="V66" s="11">
        <v>0</v>
      </c>
      <c r="W66" s="11">
        <v>0</v>
      </c>
      <c r="X66" s="11"/>
      <c r="Y66" s="11"/>
      <c r="Z66" s="11">
        <v>0</v>
      </c>
      <c r="AA66" s="11">
        <v>0</v>
      </c>
      <c r="AB66" s="11"/>
      <c r="AC66" s="11"/>
      <c r="AD66" s="11">
        <v>0</v>
      </c>
      <c r="AE66" s="11">
        <v>0</v>
      </c>
      <c r="AF66" s="11"/>
      <c r="AG66" s="11"/>
      <c r="AH66" s="11">
        <v>18</v>
      </c>
      <c r="AI66" s="11">
        <v>0</v>
      </c>
      <c r="AJ66" s="11"/>
      <c r="AK66" s="11"/>
      <c r="AL66" s="11">
        <v>1</v>
      </c>
      <c r="AM66" s="11">
        <v>0</v>
      </c>
      <c r="AN66" s="11"/>
      <c r="AO66" s="11"/>
      <c r="AP66" s="11">
        <v>19</v>
      </c>
      <c r="AQ66" s="11">
        <v>0</v>
      </c>
      <c r="AR66" s="11"/>
      <c r="AS66" s="11"/>
      <c r="AT66" s="11">
        <v>0</v>
      </c>
      <c r="AU66" s="11">
        <v>0</v>
      </c>
      <c r="AV66" s="11"/>
      <c r="AW66" s="11"/>
      <c r="AX66" s="11">
        <v>0</v>
      </c>
      <c r="AY66" s="11">
        <v>0</v>
      </c>
      <c r="AZ66" s="11"/>
      <c r="BA66" s="11"/>
      <c r="BB66" s="11">
        <v>9</v>
      </c>
      <c r="BC66" s="11">
        <v>0</v>
      </c>
      <c r="BD66" s="11"/>
      <c r="BE66" s="11"/>
      <c r="BF66" s="11">
        <v>7</v>
      </c>
      <c r="BG66" s="11">
        <v>0</v>
      </c>
      <c r="BH66" s="11"/>
      <c r="BI66" s="11"/>
      <c r="BJ66" s="11">
        <v>4</v>
      </c>
      <c r="BK66" s="11">
        <v>0</v>
      </c>
      <c r="BL66" s="11"/>
      <c r="BM66" s="11"/>
      <c r="BN66" s="11">
        <v>2</v>
      </c>
      <c r="BO66" s="11">
        <v>0</v>
      </c>
      <c r="BP66" s="11"/>
      <c r="BQ66" s="11"/>
      <c r="BR66" s="11">
        <v>2</v>
      </c>
      <c r="BS66" s="11">
        <v>0</v>
      </c>
      <c r="BT66" s="11"/>
      <c r="BU66" s="11"/>
      <c r="BV66" s="11">
        <v>0</v>
      </c>
      <c r="BW66" s="11">
        <v>0</v>
      </c>
      <c r="BX66" s="11"/>
      <c r="BY66" s="11"/>
      <c r="BZ66" s="11">
        <v>0</v>
      </c>
      <c r="CA66" s="11">
        <v>0</v>
      </c>
      <c r="CB66" s="11"/>
      <c r="CC66" s="11"/>
      <c r="CD66" s="11">
        <v>0</v>
      </c>
      <c r="CE66" s="11">
        <v>0</v>
      </c>
      <c r="CF66" s="11"/>
      <c r="CG66" s="11"/>
      <c r="CH66" s="11">
        <v>5</v>
      </c>
      <c r="CI66" s="11">
        <v>0</v>
      </c>
      <c r="CJ66" s="11"/>
      <c r="CK66" s="11"/>
      <c r="CL66" s="11">
        <v>0</v>
      </c>
      <c r="CM66" s="11">
        <v>0</v>
      </c>
      <c r="CN66" s="11"/>
      <c r="CO66" s="11"/>
      <c r="CP66" s="11">
        <v>1</v>
      </c>
      <c r="CQ66" s="11">
        <v>0</v>
      </c>
      <c r="CR66" s="11"/>
      <c r="CS66" s="11"/>
      <c r="CT66" s="11">
        <v>1</v>
      </c>
      <c r="CU66" s="11">
        <v>0</v>
      </c>
      <c r="CV66" s="11"/>
      <c r="CW66" s="11"/>
      <c r="CX66" s="11">
        <v>32</v>
      </c>
      <c r="CY66" s="11">
        <v>0</v>
      </c>
      <c r="CZ66" s="11"/>
      <c r="DA66" s="11"/>
      <c r="DB66" s="11">
        <v>0</v>
      </c>
      <c r="DC66" s="11">
        <v>0</v>
      </c>
      <c r="DD66" s="11"/>
      <c r="DE66" s="11"/>
      <c r="DF66" s="2"/>
      <c r="DG66" s="11">
        <v>22</v>
      </c>
      <c r="DJ66" s="2"/>
      <c r="DK66">
        <v>15.818181818181818</v>
      </c>
    </row>
    <row r="67" spans="1:117">
      <c r="A67" t="s">
        <v>64</v>
      </c>
      <c r="B67" t="s">
        <v>65</v>
      </c>
      <c r="C67" t="s">
        <v>199</v>
      </c>
      <c r="D67">
        <v>129417</v>
      </c>
      <c r="E67">
        <v>129417</v>
      </c>
      <c r="G67" t="s">
        <v>217</v>
      </c>
      <c r="H67" t="s">
        <v>218</v>
      </c>
      <c r="I67" t="s">
        <v>69</v>
      </c>
      <c r="J67" t="s">
        <v>70</v>
      </c>
      <c r="K67" t="s">
        <v>71</v>
      </c>
      <c r="L67" t="s">
        <v>202</v>
      </c>
      <c r="M67" t="s">
        <v>73</v>
      </c>
      <c r="N67" t="s">
        <v>74</v>
      </c>
      <c r="O67" s="10" t="s">
        <v>75</v>
      </c>
      <c r="P67" t="s">
        <v>75</v>
      </c>
      <c r="Q67" s="10">
        <v>559</v>
      </c>
      <c r="R67" s="10">
        <v>0</v>
      </c>
      <c r="S67" s="10">
        <v>0</v>
      </c>
      <c r="T67">
        <v>559</v>
      </c>
      <c r="U67" s="2"/>
      <c r="V67" s="11">
        <v>0</v>
      </c>
      <c r="W67" s="11">
        <v>0</v>
      </c>
      <c r="X67" s="11"/>
      <c r="Y67" s="11"/>
      <c r="Z67" s="11">
        <v>0</v>
      </c>
      <c r="AA67" s="11">
        <v>0</v>
      </c>
      <c r="AB67" s="11"/>
      <c r="AC67" s="11"/>
      <c r="AD67" s="11">
        <v>0</v>
      </c>
      <c r="AE67" s="11">
        <v>0</v>
      </c>
      <c r="AF67" s="11"/>
      <c r="AG67" s="11"/>
      <c r="AH67" s="11">
        <v>15</v>
      </c>
      <c r="AI67" s="11">
        <v>0</v>
      </c>
      <c r="AJ67" s="11"/>
      <c r="AK67" s="11"/>
      <c r="AL67" s="11">
        <v>0</v>
      </c>
      <c r="AM67" s="11">
        <v>0</v>
      </c>
      <c r="AN67" s="11"/>
      <c r="AO67" s="11"/>
      <c r="AP67" s="11">
        <v>17</v>
      </c>
      <c r="AQ67" s="11">
        <v>0</v>
      </c>
      <c r="AR67" s="11"/>
      <c r="AS67" s="11"/>
      <c r="AT67" s="11">
        <v>0</v>
      </c>
      <c r="AU67" s="11">
        <v>0</v>
      </c>
      <c r="AV67" s="11"/>
      <c r="AW67" s="11"/>
      <c r="AX67" s="11">
        <v>0</v>
      </c>
      <c r="AY67" s="11">
        <v>0</v>
      </c>
      <c r="AZ67" s="11"/>
      <c r="BA67" s="11"/>
      <c r="BB67" s="11">
        <v>8</v>
      </c>
      <c r="BC67" s="11">
        <v>0</v>
      </c>
      <c r="BD67" s="11"/>
      <c r="BE67" s="11"/>
      <c r="BF67" s="11">
        <v>31</v>
      </c>
      <c r="BG67" s="11">
        <v>0</v>
      </c>
      <c r="BH67" s="11"/>
      <c r="BI67" s="11"/>
      <c r="BJ67" s="11">
        <v>0</v>
      </c>
      <c r="BK67" s="11">
        <v>0</v>
      </c>
      <c r="BL67" s="11"/>
      <c r="BM67" s="11"/>
      <c r="BN67" s="11">
        <v>1</v>
      </c>
      <c r="BO67" s="11">
        <v>0</v>
      </c>
      <c r="BP67" s="11"/>
      <c r="BQ67" s="11"/>
      <c r="BR67" s="11">
        <v>1</v>
      </c>
      <c r="BS67" s="11">
        <v>0</v>
      </c>
      <c r="BT67" s="11"/>
      <c r="BU67" s="11"/>
      <c r="BV67" s="11">
        <v>0</v>
      </c>
      <c r="BW67" s="11">
        <v>0</v>
      </c>
      <c r="BX67" s="11"/>
      <c r="BY67" s="11"/>
      <c r="BZ67" s="11">
        <v>0</v>
      </c>
      <c r="CA67" s="11">
        <v>0</v>
      </c>
      <c r="CB67" s="11"/>
      <c r="CC67" s="11"/>
      <c r="CD67" s="11">
        <v>0</v>
      </c>
      <c r="CE67" s="11">
        <v>0</v>
      </c>
      <c r="CF67" s="11"/>
      <c r="CG67" s="11"/>
      <c r="CH67" s="11">
        <v>2</v>
      </c>
      <c r="CI67" s="11">
        <v>0</v>
      </c>
      <c r="CJ67" s="11"/>
      <c r="CK67" s="11"/>
      <c r="CL67" s="11">
        <v>0</v>
      </c>
      <c r="CM67" s="11">
        <v>0</v>
      </c>
      <c r="CN67" s="11"/>
      <c r="CO67" s="11"/>
      <c r="CP67" s="11">
        <v>0</v>
      </c>
      <c r="CQ67" s="11">
        <v>0</v>
      </c>
      <c r="CR67" s="11"/>
      <c r="CS67" s="11"/>
      <c r="CT67" s="11">
        <v>1</v>
      </c>
      <c r="CU67" s="11">
        <v>0</v>
      </c>
      <c r="CV67" s="11"/>
      <c r="CW67" s="11"/>
      <c r="CX67" s="11">
        <v>16</v>
      </c>
      <c r="CY67" s="11">
        <v>0</v>
      </c>
      <c r="CZ67" s="11"/>
      <c r="DA67" s="11"/>
      <c r="DB67" s="11">
        <v>0</v>
      </c>
      <c r="DC67" s="11">
        <v>0</v>
      </c>
      <c r="DD67" s="11"/>
      <c r="DE67" s="11"/>
      <c r="DF67" s="2"/>
      <c r="DG67" s="11">
        <v>17</v>
      </c>
      <c r="DJ67" s="2"/>
      <c r="DK67">
        <v>32.882352941176471</v>
      </c>
    </row>
    <row r="68" spans="1:117">
      <c r="A68" t="s">
        <v>64</v>
      </c>
      <c r="B68" t="s">
        <v>65</v>
      </c>
      <c r="C68" t="s">
        <v>199</v>
      </c>
      <c r="D68">
        <v>129418</v>
      </c>
      <c r="E68">
        <v>129418</v>
      </c>
      <c r="G68" t="s">
        <v>219</v>
      </c>
      <c r="H68" t="s">
        <v>220</v>
      </c>
      <c r="I68" t="s">
        <v>69</v>
      </c>
      <c r="J68" t="s">
        <v>70</v>
      </c>
      <c r="K68" t="s">
        <v>71</v>
      </c>
      <c r="L68" t="s">
        <v>202</v>
      </c>
      <c r="M68" t="s">
        <v>73</v>
      </c>
      <c r="N68" t="s">
        <v>74</v>
      </c>
      <c r="O68" s="10" t="s">
        <v>75</v>
      </c>
      <c r="P68" t="s">
        <v>75</v>
      </c>
      <c r="Q68" s="10">
        <v>137</v>
      </c>
      <c r="R68" s="10">
        <v>0</v>
      </c>
      <c r="S68" s="10">
        <v>0</v>
      </c>
      <c r="T68">
        <v>137</v>
      </c>
      <c r="U68" s="2"/>
      <c r="V68" s="11">
        <v>0</v>
      </c>
      <c r="W68" s="11">
        <v>0</v>
      </c>
      <c r="X68" s="11"/>
      <c r="Y68" s="11"/>
      <c r="Z68" s="11">
        <v>0</v>
      </c>
      <c r="AA68" s="11">
        <v>0</v>
      </c>
      <c r="AB68" s="11"/>
      <c r="AC68" s="11"/>
      <c r="AD68" s="11">
        <v>0</v>
      </c>
      <c r="AE68" s="11">
        <v>0</v>
      </c>
      <c r="AF68" s="11"/>
      <c r="AG68" s="11"/>
      <c r="AH68" s="11">
        <v>3</v>
      </c>
      <c r="AI68" s="11">
        <v>0</v>
      </c>
      <c r="AJ68" s="11"/>
      <c r="AK68" s="11"/>
      <c r="AL68" s="11">
        <v>0</v>
      </c>
      <c r="AM68" s="11">
        <v>0</v>
      </c>
      <c r="AN68" s="11"/>
      <c r="AO68" s="11"/>
      <c r="AP68" s="11">
        <v>3</v>
      </c>
      <c r="AQ68" s="11">
        <v>0</v>
      </c>
      <c r="AR68" s="11"/>
      <c r="AS68" s="11"/>
      <c r="AT68" s="11">
        <v>0</v>
      </c>
      <c r="AU68" s="11">
        <v>0</v>
      </c>
      <c r="AV68" s="11"/>
      <c r="AW68" s="11"/>
      <c r="AX68" s="11">
        <v>0</v>
      </c>
      <c r="AY68" s="11">
        <v>0</v>
      </c>
      <c r="AZ68" s="11"/>
      <c r="BA68" s="11"/>
      <c r="BB68" s="11">
        <v>2</v>
      </c>
      <c r="BC68" s="11">
        <v>0</v>
      </c>
      <c r="BD68" s="11"/>
      <c r="BE68" s="11"/>
      <c r="BF68" s="11">
        <v>3</v>
      </c>
      <c r="BG68" s="11">
        <v>0</v>
      </c>
      <c r="BH68" s="11"/>
      <c r="BI68" s="11"/>
      <c r="BJ68" s="11">
        <v>1</v>
      </c>
      <c r="BK68" s="11">
        <v>0</v>
      </c>
      <c r="BL68" s="11"/>
      <c r="BM68" s="11"/>
      <c r="BN68" s="11">
        <v>1</v>
      </c>
      <c r="BO68" s="11">
        <v>0</v>
      </c>
      <c r="BP68" s="11"/>
      <c r="BQ68" s="11"/>
      <c r="BR68" s="11">
        <v>1</v>
      </c>
      <c r="BS68" s="11">
        <v>0</v>
      </c>
      <c r="BT68" s="11"/>
      <c r="BU68" s="11"/>
      <c r="BV68" s="11">
        <v>0</v>
      </c>
      <c r="BW68" s="11">
        <v>0</v>
      </c>
      <c r="BX68" s="11"/>
      <c r="BY68" s="11"/>
      <c r="BZ68" s="11">
        <v>0</v>
      </c>
      <c r="CA68" s="11">
        <v>0</v>
      </c>
      <c r="CB68" s="11"/>
      <c r="CC68" s="11"/>
      <c r="CD68" s="11">
        <v>0</v>
      </c>
      <c r="CE68" s="11">
        <v>0</v>
      </c>
      <c r="CF68" s="11"/>
      <c r="CG68" s="11"/>
      <c r="CH68" s="11">
        <v>1</v>
      </c>
      <c r="CI68" s="11">
        <v>0</v>
      </c>
      <c r="CJ68" s="11"/>
      <c r="CK68" s="11"/>
      <c r="CL68" s="11">
        <v>0</v>
      </c>
      <c r="CM68" s="11">
        <v>0</v>
      </c>
      <c r="CN68" s="11"/>
      <c r="CO68" s="11"/>
      <c r="CP68" s="11">
        <v>0</v>
      </c>
      <c r="CQ68" s="11">
        <v>0</v>
      </c>
      <c r="CR68" s="11"/>
      <c r="CS68" s="11"/>
      <c r="CT68" s="11">
        <v>1</v>
      </c>
      <c r="CU68" s="11">
        <v>0</v>
      </c>
      <c r="CV68" s="11"/>
      <c r="CW68" s="11"/>
      <c r="CX68" s="11">
        <v>16</v>
      </c>
      <c r="CY68" s="11">
        <v>0</v>
      </c>
      <c r="CZ68" s="11"/>
      <c r="DA68" s="11"/>
      <c r="DB68" s="11">
        <v>0</v>
      </c>
      <c r="DC68" s="11">
        <v>0</v>
      </c>
      <c r="DD68" s="11"/>
      <c r="DE68" s="11"/>
      <c r="DF68" s="2"/>
      <c r="DG68" s="11">
        <v>5</v>
      </c>
      <c r="DJ68" s="2"/>
      <c r="DK68">
        <v>27.4</v>
      </c>
    </row>
    <row r="69" spans="1:117">
      <c r="A69" t="s">
        <v>64</v>
      </c>
      <c r="B69" t="s">
        <v>65</v>
      </c>
      <c r="C69" t="s">
        <v>199</v>
      </c>
      <c r="D69">
        <v>129419</v>
      </c>
      <c r="E69">
        <v>129419</v>
      </c>
      <c r="G69" t="s">
        <v>221</v>
      </c>
      <c r="H69" t="s">
        <v>198</v>
      </c>
      <c r="I69" t="s">
        <v>69</v>
      </c>
      <c r="J69" t="s">
        <v>70</v>
      </c>
      <c r="K69" t="s">
        <v>71</v>
      </c>
      <c r="L69" t="s">
        <v>222</v>
      </c>
      <c r="M69" t="s">
        <v>73</v>
      </c>
      <c r="N69" t="s">
        <v>74</v>
      </c>
      <c r="O69" s="10" t="s">
        <v>75</v>
      </c>
      <c r="P69" t="s">
        <v>75</v>
      </c>
      <c r="Q69" s="10">
        <v>379</v>
      </c>
      <c r="R69" s="10">
        <v>0</v>
      </c>
      <c r="S69" s="10">
        <v>0</v>
      </c>
      <c r="T69">
        <v>379</v>
      </c>
      <c r="U69" s="2"/>
      <c r="V69" s="11">
        <v>0</v>
      </c>
      <c r="W69" s="11">
        <v>0</v>
      </c>
      <c r="X69" s="11"/>
      <c r="Y69" s="11"/>
      <c r="Z69" s="11">
        <v>0</v>
      </c>
      <c r="AA69" s="11">
        <v>0</v>
      </c>
      <c r="AB69" s="11"/>
      <c r="AC69" s="11"/>
      <c r="AD69" s="11">
        <v>0</v>
      </c>
      <c r="AE69" s="11">
        <v>0</v>
      </c>
      <c r="AF69" s="11"/>
      <c r="AG69" s="11"/>
      <c r="AH69" s="11">
        <v>13</v>
      </c>
      <c r="AI69" s="11">
        <v>0</v>
      </c>
      <c r="AJ69" s="11"/>
      <c r="AK69" s="11"/>
      <c r="AL69" s="11">
        <v>10</v>
      </c>
      <c r="AM69" s="11">
        <v>0</v>
      </c>
      <c r="AN69" s="11"/>
      <c r="AO69" s="11"/>
      <c r="AP69" s="11">
        <v>13</v>
      </c>
      <c r="AQ69" s="11">
        <v>0</v>
      </c>
      <c r="AR69" s="11"/>
      <c r="AS69" s="11"/>
      <c r="AT69" s="11">
        <v>0</v>
      </c>
      <c r="AU69" s="11">
        <v>0</v>
      </c>
      <c r="AV69" s="11"/>
      <c r="AW69" s="11"/>
      <c r="AX69" s="11">
        <v>0</v>
      </c>
      <c r="AY69" s="11">
        <v>0</v>
      </c>
      <c r="AZ69" s="11"/>
      <c r="BA69" s="11"/>
      <c r="BB69" s="11">
        <v>7</v>
      </c>
      <c r="BC69" s="11">
        <v>0</v>
      </c>
      <c r="BD69" s="11"/>
      <c r="BE69" s="11"/>
      <c r="BF69" s="11">
        <v>5</v>
      </c>
      <c r="BG69" s="11">
        <v>0</v>
      </c>
      <c r="BH69" s="11"/>
      <c r="BI69" s="11"/>
      <c r="BJ69" s="11">
        <v>8</v>
      </c>
      <c r="BK69" s="11">
        <v>0</v>
      </c>
      <c r="BL69" s="11"/>
      <c r="BM69" s="11"/>
      <c r="BN69" s="11">
        <v>1</v>
      </c>
      <c r="BO69" s="11">
        <v>0</v>
      </c>
      <c r="BP69" s="11"/>
      <c r="BQ69" s="11"/>
      <c r="BR69" s="11">
        <v>1</v>
      </c>
      <c r="BS69" s="11">
        <v>0</v>
      </c>
      <c r="BT69" s="11"/>
      <c r="BU69" s="11"/>
      <c r="BV69" s="11">
        <v>0</v>
      </c>
      <c r="BW69" s="11">
        <v>0</v>
      </c>
      <c r="BX69" s="11"/>
      <c r="BY69" s="11"/>
      <c r="BZ69" s="11">
        <v>0</v>
      </c>
      <c r="CA69" s="11">
        <v>0</v>
      </c>
      <c r="CB69" s="11"/>
      <c r="CC69" s="11"/>
      <c r="CD69" s="11">
        <v>2</v>
      </c>
      <c r="CE69" s="11">
        <v>0</v>
      </c>
      <c r="CF69" s="11"/>
      <c r="CG69" s="11"/>
      <c r="CH69" s="11">
        <v>1</v>
      </c>
      <c r="CI69" s="11">
        <v>0</v>
      </c>
      <c r="CJ69" s="11"/>
      <c r="CK69" s="11"/>
      <c r="CL69" s="11">
        <v>0</v>
      </c>
      <c r="CM69" s="11">
        <v>0</v>
      </c>
      <c r="CN69" s="11"/>
      <c r="CO69" s="11"/>
      <c r="CP69" s="11">
        <v>0</v>
      </c>
      <c r="CQ69" s="11">
        <v>0</v>
      </c>
      <c r="CR69" s="11"/>
      <c r="CS69" s="11"/>
      <c r="CT69" s="11">
        <v>0</v>
      </c>
      <c r="CU69" s="11">
        <v>0</v>
      </c>
      <c r="CV69" s="11"/>
      <c r="CW69" s="11"/>
      <c r="CX69" s="11">
        <v>0</v>
      </c>
      <c r="CY69" s="11">
        <v>0</v>
      </c>
      <c r="CZ69" s="11"/>
      <c r="DA69" s="11"/>
      <c r="DB69" s="11">
        <v>10</v>
      </c>
      <c r="DC69" s="11">
        <v>0</v>
      </c>
      <c r="DD69" s="11"/>
      <c r="DE69" s="11"/>
      <c r="DF69" s="2"/>
      <c r="DG69" s="11">
        <v>15</v>
      </c>
      <c r="DJ69" s="2"/>
      <c r="DK69">
        <v>25.266666666666666</v>
      </c>
    </row>
    <row r="70" spans="1:117">
      <c r="A70" t="s">
        <v>64</v>
      </c>
      <c r="B70" t="s">
        <v>65</v>
      </c>
      <c r="C70" t="s">
        <v>199</v>
      </c>
      <c r="D70">
        <v>129420</v>
      </c>
      <c r="E70">
        <v>129420</v>
      </c>
      <c r="G70" t="s">
        <v>223</v>
      </c>
      <c r="H70" t="s">
        <v>224</v>
      </c>
      <c r="I70" t="s">
        <v>69</v>
      </c>
      <c r="J70" t="s">
        <v>70</v>
      </c>
      <c r="K70" t="s">
        <v>71</v>
      </c>
      <c r="L70" t="s">
        <v>224</v>
      </c>
      <c r="M70" t="s">
        <v>73</v>
      </c>
      <c r="N70" t="s">
        <v>74</v>
      </c>
      <c r="O70" s="10" t="s">
        <v>75</v>
      </c>
      <c r="P70" t="s">
        <v>75</v>
      </c>
      <c r="Q70" s="10">
        <v>227</v>
      </c>
      <c r="R70" s="10">
        <v>0</v>
      </c>
      <c r="S70" s="10">
        <v>0</v>
      </c>
      <c r="T70">
        <v>227</v>
      </c>
      <c r="U70" s="2"/>
      <c r="V70" s="11">
        <v>1</v>
      </c>
      <c r="W70" s="11">
        <v>0</v>
      </c>
      <c r="X70" s="11"/>
      <c r="Y70" s="11"/>
      <c r="Z70" s="11">
        <v>1</v>
      </c>
      <c r="AA70" s="11">
        <v>0</v>
      </c>
      <c r="AB70" s="11"/>
      <c r="AC70" s="11"/>
      <c r="AD70" s="11">
        <v>0</v>
      </c>
      <c r="AE70" s="11">
        <v>0</v>
      </c>
      <c r="AF70" s="11"/>
      <c r="AG70" s="11"/>
      <c r="AH70" s="11">
        <v>7</v>
      </c>
      <c r="AI70" s="11">
        <v>0</v>
      </c>
      <c r="AJ70" s="11"/>
      <c r="AK70" s="11"/>
      <c r="AL70" s="11">
        <v>0</v>
      </c>
      <c r="AM70" s="11">
        <v>0</v>
      </c>
      <c r="AN70" s="11"/>
      <c r="AO70" s="11"/>
      <c r="AP70" s="11">
        <v>8</v>
      </c>
      <c r="AQ70" s="11">
        <v>0</v>
      </c>
      <c r="AR70" s="11"/>
      <c r="AS70" s="11"/>
      <c r="AT70" s="11">
        <v>0</v>
      </c>
      <c r="AU70" s="11">
        <v>0</v>
      </c>
      <c r="AV70" s="11"/>
      <c r="AW70" s="11"/>
      <c r="AX70" s="11">
        <v>0</v>
      </c>
      <c r="AY70" s="11">
        <v>0</v>
      </c>
      <c r="AZ70" s="11"/>
      <c r="BA70" s="11"/>
      <c r="BB70" s="11">
        <v>4</v>
      </c>
      <c r="BC70" s="11">
        <v>0</v>
      </c>
      <c r="BD70" s="11"/>
      <c r="BE70" s="11"/>
      <c r="BF70" s="11">
        <v>9</v>
      </c>
      <c r="BG70" s="11">
        <v>0</v>
      </c>
      <c r="BH70" s="11"/>
      <c r="BI70" s="11"/>
      <c r="BJ70" s="11">
        <v>0</v>
      </c>
      <c r="BK70" s="11">
        <v>0</v>
      </c>
      <c r="BL70" s="11"/>
      <c r="BM70" s="11"/>
      <c r="BN70" s="11">
        <v>1</v>
      </c>
      <c r="BO70" s="11">
        <v>0</v>
      </c>
      <c r="BP70" s="11"/>
      <c r="BQ70" s="11"/>
      <c r="BR70" s="11">
        <v>1</v>
      </c>
      <c r="BS70" s="11">
        <v>0</v>
      </c>
      <c r="BT70" s="11"/>
      <c r="BU70" s="11"/>
      <c r="BV70" s="11">
        <v>0</v>
      </c>
      <c r="BW70" s="11">
        <v>0</v>
      </c>
      <c r="BX70" s="11"/>
      <c r="BY70" s="11"/>
      <c r="BZ70" s="11">
        <v>0</v>
      </c>
      <c r="CA70" s="11">
        <v>0</v>
      </c>
      <c r="CB70" s="11"/>
      <c r="CC70" s="11"/>
      <c r="CD70" s="11">
        <v>0</v>
      </c>
      <c r="CE70" s="11">
        <v>0</v>
      </c>
      <c r="CF70" s="11"/>
      <c r="CG70" s="11"/>
      <c r="CH70" s="11">
        <v>4</v>
      </c>
      <c r="CI70" s="11">
        <v>0</v>
      </c>
      <c r="CJ70" s="11"/>
      <c r="CK70" s="11"/>
      <c r="CL70" s="11">
        <v>0</v>
      </c>
      <c r="CM70" s="11">
        <v>0</v>
      </c>
      <c r="CN70" s="11"/>
      <c r="CO70" s="11"/>
      <c r="CP70" s="11">
        <v>0</v>
      </c>
      <c r="CQ70" s="11">
        <v>0</v>
      </c>
      <c r="CR70" s="11"/>
      <c r="CS70" s="11"/>
      <c r="CT70" s="11">
        <v>1</v>
      </c>
      <c r="CU70" s="11">
        <v>0</v>
      </c>
      <c r="CV70" s="11"/>
      <c r="CW70" s="11"/>
      <c r="CX70" s="11">
        <v>9</v>
      </c>
      <c r="CY70" s="11">
        <v>0</v>
      </c>
      <c r="CZ70" s="11"/>
      <c r="DA70" s="11"/>
      <c r="DB70" s="11">
        <v>1</v>
      </c>
      <c r="DC70" s="11">
        <v>0</v>
      </c>
      <c r="DD70" s="11"/>
      <c r="DE70" s="11"/>
      <c r="DF70" s="2"/>
      <c r="DG70" s="11">
        <v>11</v>
      </c>
      <c r="DJ70" s="2"/>
      <c r="DK70">
        <v>20.636363636363637</v>
      </c>
    </row>
    <row r="71" spans="1:117">
      <c r="A71" t="s">
        <v>64</v>
      </c>
      <c r="B71" t="s">
        <v>65</v>
      </c>
      <c r="C71" t="s">
        <v>199</v>
      </c>
      <c r="D71">
        <v>129421</v>
      </c>
      <c r="E71">
        <v>129421</v>
      </c>
      <c r="G71" t="s">
        <v>225</v>
      </c>
      <c r="H71" t="s">
        <v>226</v>
      </c>
      <c r="I71" t="s">
        <v>69</v>
      </c>
      <c r="J71" t="s">
        <v>70</v>
      </c>
      <c r="K71" t="s">
        <v>71</v>
      </c>
      <c r="L71" t="s">
        <v>208</v>
      </c>
      <c r="M71" t="s">
        <v>73</v>
      </c>
      <c r="N71" t="s">
        <v>74</v>
      </c>
      <c r="O71" s="10" t="s">
        <v>75</v>
      </c>
      <c r="P71" t="s">
        <v>75</v>
      </c>
      <c r="Q71" s="10">
        <v>124</v>
      </c>
      <c r="R71" s="10">
        <v>0</v>
      </c>
      <c r="S71" s="10">
        <v>0</v>
      </c>
      <c r="T71">
        <v>124</v>
      </c>
      <c r="U71" s="2"/>
      <c r="V71" s="11">
        <v>1</v>
      </c>
      <c r="W71" s="11">
        <v>0</v>
      </c>
      <c r="X71" s="11"/>
      <c r="Y71" s="11"/>
      <c r="Z71" s="11">
        <v>1</v>
      </c>
      <c r="AA71" s="11">
        <v>0</v>
      </c>
      <c r="AB71" s="11"/>
      <c r="AC71" s="11"/>
      <c r="AD71" s="11">
        <v>0</v>
      </c>
      <c r="AE71" s="11">
        <v>0</v>
      </c>
      <c r="AF71" s="11"/>
      <c r="AG71" s="11"/>
      <c r="AH71" s="11">
        <v>7</v>
      </c>
      <c r="AI71" s="11">
        <v>0</v>
      </c>
      <c r="AJ71" s="11"/>
      <c r="AK71" s="11"/>
      <c r="AL71" s="11">
        <v>0</v>
      </c>
      <c r="AM71" s="11">
        <v>0</v>
      </c>
      <c r="AN71" s="11"/>
      <c r="AO71" s="11"/>
      <c r="AP71" s="11">
        <v>8</v>
      </c>
      <c r="AQ71" s="11">
        <v>0</v>
      </c>
      <c r="AR71" s="11"/>
      <c r="AS71" s="11"/>
      <c r="AT71" s="11">
        <v>0</v>
      </c>
      <c r="AU71" s="11">
        <v>0</v>
      </c>
      <c r="AV71" s="11"/>
      <c r="AW71" s="11"/>
      <c r="AX71" s="11">
        <v>0</v>
      </c>
      <c r="AY71" s="11">
        <v>0</v>
      </c>
      <c r="AZ71" s="11"/>
      <c r="BA71" s="11"/>
      <c r="BB71" s="11">
        <v>4</v>
      </c>
      <c r="BC71" s="11">
        <v>0</v>
      </c>
      <c r="BD71" s="11"/>
      <c r="BE71" s="11"/>
      <c r="BF71" s="11">
        <v>8</v>
      </c>
      <c r="BG71" s="11">
        <v>0</v>
      </c>
      <c r="BH71" s="11"/>
      <c r="BI71" s="11"/>
      <c r="BJ71" s="11">
        <v>0</v>
      </c>
      <c r="BK71" s="11">
        <v>0</v>
      </c>
      <c r="BL71" s="11"/>
      <c r="BM71" s="11"/>
      <c r="BN71" s="11">
        <v>1</v>
      </c>
      <c r="BO71" s="11">
        <v>0</v>
      </c>
      <c r="BP71" s="11"/>
      <c r="BQ71" s="11"/>
      <c r="BR71" s="11">
        <v>1</v>
      </c>
      <c r="BS71" s="11">
        <v>0</v>
      </c>
      <c r="BT71" s="11"/>
      <c r="BU71" s="11"/>
      <c r="BV71" s="11">
        <v>0</v>
      </c>
      <c r="BW71" s="11">
        <v>0</v>
      </c>
      <c r="BX71" s="11"/>
      <c r="BY71" s="11"/>
      <c r="BZ71" s="11">
        <v>0</v>
      </c>
      <c r="CA71" s="11">
        <v>0</v>
      </c>
      <c r="CB71" s="11"/>
      <c r="CC71" s="11"/>
      <c r="CD71" s="11">
        <v>0</v>
      </c>
      <c r="CE71" s="11">
        <v>0</v>
      </c>
      <c r="CF71" s="11"/>
      <c r="CG71" s="11"/>
      <c r="CH71" s="11">
        <v>4</v>
      </c>
      <c r="CI71" s="11">
        <v>0</v>
      </c>
      <c r="CJ71" s="11"/>
      <c r="CK71" s="11"/>
      <c r="CL71" s="11">
        <v>0</v>
      </c>
      <c r="CM71" s="11">
        <v>0</v>
      </c>
      <c r="CN71" s="11"/>
      <c r="CO71" s="11"/>
      <c r="CP71" s="11">
        <v>0</v>
      </c>
      <c r="CQ71" s="11">
        <v>0</v>
      </c>
      <c r="CR71" s="11"/>
      <c r="CS71" s="11"/>
      <c r="CT71" s="11">
        <v>1</v>
      </c>
      <c r="CU71" s="11">
        <v>0</v>
      </c>
      <c r="CV71" s="11"/>
      <c r="CW71" s="11"/>
      <c r="CX71" s="11">
        <v>6</v>
      </c>
      <c r="CY71" s="11">
        <v>0</v>
      </c>
      <c r="CZ71" s="11"/>
      <c r="DA71" s="11"/>
      <c r="DB71" s="11">
        <v>0</v>
      </c>
      <c r="DC71" s="11">
        <v>0</v>
      </c>
      <c r="DD71" s="11"/>
      <c r="DE71" s="11"/>
      <c r="DF71" s="2"/>
      <c r="DG71" s="11">
        <v>11</v>
      </c>
      <c r="DJ71" s="2"/>
      <c r="DK71">
        <v>11.272727272727273</v>
      </c>
    </row>
    <row r="72" spans="1:117">
      <c r="A72" t="s">
        <v>64</v>
      </c>
      <c r="B72" t="s">
        <v>65</v>
      </c>
      <c r="C72" t="s">
        <v>199</v>
      </c>
      <c r="D72">
        <v>129422</v>
      </c>
      <c r="E72">
        <v>129422</v>
      </c>
      <c r="G72" t="s">
        <v>227</v>
      </c>
      <c r="H72" t="s">
        <v>228</v>
      </c>
      <c r="I72" t="s">
        <v>69</v>
      </c>
      <c r="J72" t="s">
        <v>70</v>
      </c>
      <c r="K72" t="s">
        <v>71</v>
      </c>
      <c r="L72" t="s">
        <v>202</v>
      </c>
      <c r="M72" t="s">
        <v>73</v>
      </c>
      <c r="N72" t="s">
        <v>74</v>
      </c>
      <c r="O72" s="10" t="s">
        <v>75</v>
      </c>
      <c r="P72" t="s">
        <v>75</v>
      </c>
      <c r="Q72" s="10">
        <v>171</v>
      </c>
      <c r="R72" s="10">
        <v>0</v>
      </c>
      <c r="S72" s="10">
        <v>0</v>
      </c>
      <c r="T72">
        <v>171</v>
      </c>
      <c r="U72" s="2"/>
      <c r="V72" s="11">
        <v>4</v>
      </c>
      <c r="W72" s="11">
        <v>0</v>
      </c>
      <c r="X72" s="11"/>
      <c r="Y72" s="11"/>
      <c r="Z72" s="11">
        <v>3</v>
      </c>
      <c r="AA72" s="11">
        <v>0</v>
      </c>
      <c r="AB72" s="11"/>
      <c r="AC72" s="11"/>
      <c r="AD72" s="11">
        <v>0</v>
      </c>
      <c r="AE72" s="11">
        <v>0</v>
      </c>
      <c r="AF72" s="11"/>
      <c r="AG72" s="11"/>
      <c r="AH72" s="11">
        <v>0</v>
      </c>
      <c r="AI72" s="11">
        <v>0</v>
      </c>
      <c r="AJ72" s="11"/>
      <c r="AK72" s="11"/>
      <c r="AL72" s="11">
        <v>0</v>
      </c>
      <c r="AM72" s="11">
        <v>0</v>
      </c>
      <c r="AN72" s="11"/>
      <c r="AO72" s="11"/>
      <c r="AP72" s="11">
        <v>4</v>
      </c>
      <c r="AQ72" s="11">
        <v>0</v>
      </c>
      <c r="AR72" s="11"/>
      <c r="AS72" s="11"/>
      <c r="AT72" s="11">
        <v>0</v>
      </c>
      <c r="AU72" s="11">
        <v>0</v>
      </c>
      <c r="AV72" s="11"/>
      <c r="AW72" s="11"/>
      <c r="AX72" s="11">
        <v>0</v>
      </c>
      <c r="AY72" s="11">
        <v>0</v>
      </c>
      <c r="AZ72" s="11"/>
      <c r="BA72" s="11"/>
      <c r="BB72" s="11">
        <v>4</v>
      </c>
      <c r="BC72" s="11">
        <v>0</v>
      </c>
      <c r="BD72" s="11"/>
      <c r="BE72" s="11"/>
      <c r="BF72" s="11">
        <v>4</v>
      </c>
      <c r="BG72" s="11">
        <v>0</v>
      </c>
      <c r="BH72" s="11"/>
      <c r="BI72" s="11"/>
      <c r="BJ72" s="11">
        <v>0</v>
      </c>
      <c r="BK72" s="11">
        <v>0</v>
      </c>
      <c r="BL72" s="11"/>
      <c r="BM72" s="11"/>
      <c r="BN72" s="11">
        <v>1</v>
      </c>
      <c r="BO72" s="11">
        <v>0</v>
      </c>
      <c r="BP72" s="11"/>
      <c r="BQ72" s="11"/>
      <c r="BR72" s="11">
        <v>1</v>
      </c>
      <c r="BS72" s="11">
        <v>0</v>
      </c>
      <c r="BT72" s="11"/>
      <c r="BU72" s="11"/>
      <c r="BV72" s="11">
        <v>0</v>
      </c>
      <c r="BW72" s="11">
        <v>0</v>
      </c>
      <c r="BX72" s="11"/>
      <c r="BY72" s="11"/>
      <c r="BZ72" s="11">
        <v>7</v>
      </c>
      <c r="CA72" s="11">
        <v>0</v>
      </c>
      <c r="CB72" s="11"/>
      <c r="CC72" s="11"/>
      <c r="CD72" s="11">
        <v>0</v>
      </c>
      <c r="CE72" s="11">
        <v>0</v>
      </c>
      <c r="CF72" s="11"/>
      <c r="CG72" s="11"/>
      <c r="CH72" s="11">
        <v>8</v>
      </c>
      <c r="CI72" s="11">
        <v>0</v>
      </c>
      <c r="CJ72" s="11"/>
      <c r="CK72" s="11"/>
      <c r="CL72" s="11">
        <v>0</v>
      </c>
      <c r="CM72" s="11">
        <v>0</v>
      </c>
      <c r="CN72" s="11"/>
      <c r="CO72" s="11"/>
      <c r="CP72" s="11">
        <v>0</v>
      </c>
      <c r="CQ72" s="11">
        <v>0</v>
      </c>
      <c r="CR72" s="11"/>
      <c r="CS72" s="11"/>
      <c r="CT72" s="11">
        <v>1</v>
      </c>
      <c r="CU72" s="11">
        <v>0</v>
      </c>
      <c r="CV72" s="11"/>
      <c r="CW72" s="11"/>
      <c r="CX72" s="11">
        <v>9</v>
      </c>
      <c r="CY72" s="11">
        <v>0</v>
      </c>
      <c r="CZ72" s="11"/>
      <c r="DA72" s="11"/>
      <c r="DB72" s="11">
        <v>0</v>
      </c>
      <c r="DC72" s="11">
        <v>0</v>
      </c>
      <c r="DD72" s="11"/>
      <c r="DE72" s="11"/>
      <c r="DF72" s="2"/>
      <c r="DG72" s="11">
        <v>16</v>
      </c>
      <c r="DJ72" s="2"/>
      <c r="DK72">
        <v>10.6875</v>
      </c>
    </row>
    <row r="73" spans="1:117">
      <c r="A73" t="s">
        <v>64</v>
      </c>
      <c r="B73" t="s">
        <v>65</v>
      </c>
      <c r="C73" t="s">
        <v>199</v>
      </c>
      <c r="D73">
        <v>304313</v>
      </c>
      <c r="E73" t="e">
        <v>#N/A</v>
      </c>
      <c r="F73" s="10" t="s">
        <v>130</v>
      </c>
      <c r="G73" t="s">
        <v>229</v>
      </c>
      <c r="H73" t="s">
        <v>230</v>
      </c>
      <c r="I73" t="s">
        <v>69</v>
      </c>
      <c r="J73" t="s">
        <v>70</v>
      </c>
      <c r="K73" t="s">
        <v>71</v>
      </c>
      <c r="L73" t="s">
        <v>208</v>
      </c>
      <c r="M73" t="s">
        <v>73</v>
      </c>
      <c r="N73" t="s">
        <v>74</v>
      </c>
      <c r="O73" s="10" t="s">
        <v>101</v>
      </c>
      <c r="P73" t="s">
        <v>101</v>
      </c>
      <c r="Q73" s="10">
        <v>0</v>
      </c>
      <c r="R73" s="10">
        <v>575</v>
      </c>
      <c r="S73" s="10">
        <v>257</v>
      </c>
      <c r="T73">
        <v>832</v>
      </c>
      <c r="U73" s="2"/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0</v>
      </c>
      <c r="CU73" s="11">
        <v>0</v>
      </c>
      <c r="CV73" s="11">
        <v>0</v>
      </c>
      <c r="CW73" s="11">
        <v>0</v>
      </c>
      <c r="CX73" s="11">
        <v>0</v>
      </c>
      <c r="CY73" s="11">
        <v>0</v>
      </c>
      <c r="CZ73" s="11">
        <v>0</v>
      </c>
      <c r="DA73" s="11">
        <v>0</v>
      </c>
      <c r="DB73" s="11">
        <v>0</v>
      </c>
      <c r="DC73" s="11">
        <v>0</v>
      </c>
      <c r="DD73" s="11">
        <v>0</v>
      </c>
      <c r="DE73" s="11">
        <v>0</v>
      </c>
      <c r="DF73" s="2"/>
      <c r="DH73" s="11">
        <v>0</v>
      </c>
      <c r="DI73" s="11">
        <v>0</v>
      </c>
      <c r="DJ73" s="2"/>
      <c r="DL73" t="e">
        <v>#DIV/0!</v>
      </c>
      <c r="DM73" t="e">
        <v>#DIV/0!</v>
      </c>
    </row>
    <row r="74" spans="1:117">
      <c r="A74" t="s">
        <v>64</v>
      </c>
      <c r="B74" t="s">
        <v>65</v>
      </c>
      <c r="C74" t="s">
        <v>199</v>
      </c>
      <c r="D74">
        <v>304318</v>
      </c>
      <c r="E74">
        <v>304318</v>
      </c>
      <c r="G74" t="s">
        <v>231</v>
      </c>
      <c r="H74" t="s">
        <v>232</v>
      </c>
      <c r="I74" t="s">
        <v>69</v>
      </c>
      <c r="J74" t="s">
        <v>70</v>
      </c>
      <c r="K74" t="s">
        <v>71</v>
      </c>
      <c r="L74" t="s">
        <v>216</v>
      </c>
      <c r="M74" t="s">
        <v>73</v>
      </c>
      <c r="N74" t="s">
        <v>74</v>
      </c>
      <c r="O74" s="10" t="s">
        <v>101</v>
      </c>
      <c r="P74" t="s">
        <v>101</v>
      </c>
      <c r="Q74" s="10">
        <v>0</v>
      </c>
      <c r="R74" s="10">
        <v>333</v>
      </c>
      <c r="S74" s="10">
        <v>150</v>
      </c>
      <c r="T74">
        <v>483</v>
      </c>
      <c r="U74" s="2"/>
      <c r="V74" s="11">
        <v>0</v>
      </c>
      <c r="W74" s="11">
        <v>4</v>
      </c>
      <c r="X74" s="11">
        <v>2.7577639751552794</v>
      </c>
      <c r="Y74" s="11">
        <v>1.2422360248447204</v>
      </c>
      <c r="Z74" s="11">
        <v>0</v>
      </c>
      <c r="AA74" s="11">
        <v>4</v>
      </c>
      <c r="AB74" s="11">
        <v>2.7577639751552794</v>
      </c>
      <c r="AC74" s="11">
        <v>1.2422360248447204</v>
      </c>
      <c r="AD74" s="11">
        <v>0</v>
      </c>
      <c r="AE74" s="11">
        <v>2</v>
      </c>
      <c r="AF74" s="11">
        <v>1.3788819875776397</v>
      </c>
      <c r="AG74" s="11">
        <v>0.6211180124223602</v>
      </c>
      <c r="AH74" s="11">
        <v>0</v>
      </c>
      <c r="AI74" s="11">
        <v>15</v>
      </c>
      <c r="AJ74" s="11">
        <v>10.341614906832298</v>
      </c>
      <c r="AK74" s="11">
        <v>4.6583850931677011</v>
      </c>
      <c r="AL74" s="11">
        <v>0</v>
      </c>
      <c r="AM74" s="11">
        <v>5</v>
      </c>
      <c r="AN74" s="11">
        <v>3.4472049689440993</v>
      </c>
      <c r="AO74" s="11">
        <v>1.5527950310559004</v>
      </c>
      <c r="AP74" s="11">
        <v>0</v>
      </c>
      <c r="AQ74" s="11">
        <v>16</v>
      </c>
      <c r="AR74" s="11">
        <v>11.031055900621118</v>
      </c>
      <c r="AS74" s="11">
        <v>4.9689440993788816</v>
      </c>
      <c r="AT74" s="11">
        <v>0</v>
      </c>
      <c r="AU74" s="11">
        <v>5</v>
      </c>
      <c r="AV74" s="11">
        <v>3.4472049689440993</v>
      </c>
      <c r="AW74" s="11">
        <v>1.5527950310559004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9</v>
      </c>
      <c r="BD74" s="11">
        <v>6.2049689440993783</v>
      </c>
      <c r="BE74" s="11">
        <v>2.7950310559006208</v>
      </c>
      <c r="BF74" s="11">
        <v>0</v>
      </c>
      <c r="BG74" s="11">
        <v>67</v>
      </c>
      <c r="BH74" s="11">
        <v>46.192546583850927</v>
      </c>
      <c r="BI74" s="11">
        <v>20.807453416149066</v>
      </c>
      <c r="BJ74" s="11">
        <v>0</v>
      </c>
      <c r="BK74" s="11">
        <v>5</v>
      </c>
      <c r="BL74" s="11">
        <v>3.4472049689440993</v>
      </c>
      <c r="BM74" s="11">
        <v>1.5527950310559004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11">
        <v>0</v>
      </c>
      <c r="CP74" s="11">
        <v>0</v>
      </c>
      <c r="CQ74" s="11">
        <v>0</v>
      </c>
      <c r="CR74" s="11">
        <v>0</v>
      </c>
      <c r="CS74" s="11">
        <v>0</v>
      </c>
      <c r="CT74" s="11">
        <v>0</v>
      </c>
      <c r="CU74" s="11">
        <v>0</v>
      </c>
      <c r="CV74" s="11">
        <v>0</v>
      </c>
      <c r="CW74" s="11">
        <v>0</v>
      </c>
      <c r="CX74" s="11">
        <v>0</v>
      </c>
      <c r="CY74" s="11">
        <v>0</v>
      </c>
      <c r="CZ74" s="11">
        <v>0</v>
      </c>
      <c r="DA74" s="11">
        <v>0</v>
      </c>
      <c r="DB74" s="11">
        <v>0</v>
      </c>
      <c r="DC74" s="11">
        <v>0</v>
      </c>
      <c r="DD74" s="11">
        <v>0</v>
      </c>
      <c r="DE74" s="11">
        <v>0</v>
      </c>
      <c r="DF74" s="2"/>
      <c r="DH74" s="11">
        <v>17.236024844720497</v>
      </c>
      <c r="DI74" s="11">
        <v>7.7639751552795015</v>
      </c>
      <c r="DJ74" s="2"/>
      <c r="DL74">
        <v>19.32</v>
      </c>
      <c r="DM74">
        <v>19.320000000000004</v>
      </c>
    </row>
    <row r="75" spans="1:117">
      <c r="A75" t="s">
        <v>64</v>
      </c>
      <c r="B75" t="s">
        <v>65</v>
      </c>
      <c r="C75" t="s">
        <v>199</v>
      </c>
      <c r="D75">
        <v>325105</v>
      </c>
      <c r="E75">
        <v>325105</v>
      </c>
      <c r="G75" t="s">
        <v>233</v>
      </c>
      <c r="H75" t="s">
        <v>218</v>
      </c>
      <c r="I75" t="s">
        <v>69</v>
      </c>
      <c r="J75" t="s">
        <v>70</v>
      </c>
      <c r="K75" t="s">
        <v>71</v>
      </c>
      <c r="L75" t="s">
        <v>202</v>
      </c>
      <c r="M75" t="s">
        <v>73</v>
      </c>
      <c r="N75" t="s">
        <v>74</v>
      </c>
      <c r="O75" s="10" t="s">
        <v>101</v>
      </c>
      <c r="P75" t="s">
        <v>101</v>
      </c>
      <c r="Q75" s="10">
        <v>0</v>
      </c>
      <c r="R75" s="10">
        <v>402</v>
      </c>
      <c r="S75" s="10">
        <v>115</v>
      </c>
      <c r="T75">
        <v>517</v>
      </c>
      <c r="U75" s="2"/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9</v>
      </c>
      <c r="AJ75" s="11">
        <v>6.9980657640232113</v>
      </c>
      <c r="AK75" s="11">
        <v>2.0019342359767891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4</v>
      </c>
      <c r="AR75" s="11">
        <v>3.1102514506769827</v>
      </c>
      <c r="AS75" s="11">
        <v>0.88974854932301739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4</v>
      </c>
      <c r="BD75" s="11">
        <v>3.1102514506769827</v>
      </c>
      <c r="BE75" s="11">
        <v>0.88974854932301739</v>
      </c>
      <c r="BF75" s="11">
        <v>0</v>
      </c>
      <c r="BG75" s="11">
        <v>12</v>
      </c>
      <c r="BH75" s="11">
        <v>9.3307543520309473</v>
      </c>
      <c r="BI75" s="11">
        <v>2.6692456479690523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1</v>
      </c>
      <c r="BP75" s="11">
        <v>0.77756286266924568</v>
      </c>
      <c r="BQ75" s="11">
        <v>0.22243713733075435</v>
      </c>
      <c r="BR75" s="11">
        <v>0</v>
      </c>
      <c r="BS75" s="11">
        <v>1</v>
      </c>
      <c r="BT75" s="11">
        <v>0.77756286266924568</v>
      </c>
      <c r="BU75" s="11">
        <v>0.22243713733075435</v>
      </c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1</v>
      </c>
      <c r="CJ75" s="11">
        <v>0.77756286266924568</v>
      </c>
      <c r="CK75" s="11">
        <v>0.22243713733075435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1">
        <v>0</v>
      </c>
      <c r="CR75" s="11">
        <v>0</v>
      </c>
      <c r="CS75" s="11">
        <v>0</v>
      </c>
      <c r="CT75" s="11">
        <v>0</v>
      </c>
      <c r="CU75" s="11">
        <v>1</v>
      </c>
      <c r="CV75" s="11">
        <v>0.77756286266924568</v>
      </c>
      <c r="CW75" s="11">
        <v>0.22243713733075435</v>
      </c>
      <c r="CX75" s="11">
        <v>0</v>
      </c>
      <c r="CY75" s="11">
        <v>3</v>
      </c>
      <c r="CZ75" s="11">
        <v>2.3326885880077368</v>
      </c>
      <c r="DA75" s="11">
        <v>0.66731141199226307</v>
      </c>
      <c r="DB75" s="11">
        <v>0</v>
      </c>
      <c r="DC75" s="11">
        <v>0</v>
      </c>
      <c r="DD75" s="11">
        <v>0</v>
      </c>
      <c r="DE75" s="11">
        <v>0</v>
      </c>
      <c r="DF75" s="2"/>
      <c r="DH75" s="11">
        <v>8.5531914893617031</v>
      </c>
      <c r="DI75" s="11">
        <v>2.4468085106382982</v>
      </c>
      <c r="DJ75" s="2"/>
      <c r="DL75">
        <v>46.999999999999993</v>
      </c>
      <c r="DM75">
        <v>46.999999999999993</v>
      </c>
    </row>
    <row r="76" spans="1:117">
      <c r="A76" t="s">
        <v>64</v>
      </c>
      <c r="B76" t="s">
        <v>65</v>
      </c>
      <c r="C76" t="s">
        <v>199</v>
      </c>
      <c r="D76">
        <v>501085</v>
      </c>
      <c r="E76">
        <v>501085</v>
      </c>
      <c r="G76" t="s">
        <v>234</v>
      </c>
      <c r="H76" t="s">
        <v>235</v>
      </c>
      <c r="I76" t="s">
        <v>69</v>
      </c>
      <c r="J76" t="s">
        <v>70</v>
      </c>
      <c r="K76" t="s">
        <v>71</v>
      </c>
      <c r="L76" t="s">
        <v>236</v>
      </c>
      <c r="M76" t="s">
        <v>73</v>
      </c>
      <c r="N76" t="s">
        <v>74</v>
      </c>
      <c r="O76" s="13" t="s">
        <v>237</v>
      </c>
      <c r="P76" t="s">
        <v>237</v>
      </c>
      <c r="Q76" s="10">
        <v>386</v>
      </c>
      <c r="R76" s="10">
        <v>170</v>
      </c>
      <c r="S76" s="10">
        <v>0</v>
      </c>
      <c r="T76">
        <v>556</v>
      </c>
      <c r="U76" s="2"/>
      <c r="V76" s="11">
        <v>0</v>
      </c>
      <c r="W76" s="11">
        <v>0</v>
      </c>
      <c r="X76" s="11">
        <v>0</v>
      </c>
      <c r="Y76" s="11"/>
      <c r="Z76" s="11">
        <v>0</v>
      </c>
      <c r="AA76" s="11">
        <v>0</v>
      </c>
      <c r="AB76" s="11">
        <v>0</v>
      </c>
      <c r="AC76" s="11"/>
      <c r="AD76" s="11">
        <v>0</v>
      </c>
      <c r="AE76" s="11">
        <v>0</v>
      </c>
      <c r="AF76" s="11">
        <v>0</v>
      </c>
      <c r="AG76" s="11"/>
      <c r="AH76" s="11">
        <v>13</v>
      </c>
      <c r="AI76" s="11">
        <v>12</v>
      </c>
      <c r="AJ76" s="11">
        <v>12</v>
      </c>
      <c r="AK76" s="11"/>
      <c r="AL76" s="11">
        <v>1</v>
      </c>
      <c r="AM76" s="11">
        <v>1</v>
      </c>
      <c r="AN76" s="11">
        <v>1</v>
      </c>
      <c r="AO76" s="11"/>
      <c r="AP76" s="11">
        <v>10</v>
      </c>
      <c r="AQ76" s="11">
        <v>10</v>
      </c>
      <c r="AR76" s="11">
        <v>10</v>
      </c>
      <c r="AS76" s="11"/>
      <c r="AT76" s="11">
        <v>0</v>
      </c>
      <c r="AU76" s="11">
        <v>0</v>
      </c>
      <c r="AV76" s="11">
        <v>0</v>
      </c>
      <c r="AW76" s="11"/>
      <c r="AX76" s="11">
        <v>0</v>
      </c>
      <c r="AY76" s="11">
        <v>0</v>
      </c>
      <c r="AZ76" s="11">
        <v>0</v>
      </c>
      <c r="BA76" s="11"/>
      <c r="BB76" s="11">
        <v>7</v>
      </c>
      <c r="BC76" s="11">
        <v>7</v>
      </c>
      <c r="BD76" s="11">
        <v>7</v>
      </c>
      <c r="BE76" s="11"/>
      <c r="BF76" s="11">
        <v>18</v>
      </c>
      <c r="BG76" s="11">
        <v>18</v>
      </c>
      <c r="BH76" s="11">
        <v>18</v>
      </c>
      <c r="BI76" s="11"/>
      <c r="BJ76" s="11">
        <v>4</v>
      </c>
      <c r="BK76" s="11">
        <v>4</v>
      </c>
      <c r="BL76" s="11">
        <v>4</v>
      </c>
      <c r="BM76" s="11"/>
      <c r="BN76" s="11">
        <v>1</v>
      </c>
      <c r="BO76" s="11">
        <v>1</v>
      </c>
      <c r="BP76" s="11">
        <v>1</v>
      </c>
      <c r="BQ76" s="11"/>
      <c r="BR76" s="11">
        <v>1</v>
      </c>
      <c r="BS76" s="11">
        <v>1</v>
      </c>
      <c r="BT76" s="11">
        <v>1</v>
      </c>
      <c r="BU76" s="11"/>
      <c r="BV76" s="11">
        <v>0</v>
      </c>
      <c r="BW76" s="11">
        <v>0</v>
      </c>
      <c r="BX76" s="11">
        <v>0</v>
      </c>
      <c r="BY76" s="11"/>
      <c r="BZ76" s="11">
        <v>0</v>
      </c>
      <c r="CA76" s="11">
        <v>0</v>
      </c>
      <c r="CB76" s="11">
        <v>0</v>
      </c>
      <c r="CC76" s="11"/>
      <c r="CD76" s="11">
        <v>0</v>
      </c>
      <c r="CE76" s="11">
        <v>0</v>
      </c>
      <c r="CF76" s="11">
        <v>0</v>
      </c>
      <c r="CG76" s="11"/>
      <c r="CH76" s="11">
        <v>4</v>
      </c>
      <c r="CI76" s="11">
        <v>4</v>
      </c>
      <c r="CJ76" s="11">
        <v>4</v>
      </c>
      <c r="CK76" s="11"/>
      <c r="CL76" s="11">
        <v>0</v>
      </c>
      <c r="CM76" s="11">
        <v>0</v>
      </c>
      <c r="CN76" s="11">
        <v>0</v>
      </c>
      <c r="CO76" s="11"/>
      <c r="CP76" s="11">
        <v>0</v>
      </c>
      <c r="CQ76" s="11">
        <v>0</v>
      </c>
      <c r="CR76" s="11">
        <v>0</v>
      </c>
      <c r="CS76" s="11"/>
      <c r="CT76" s="11">
        <v>1</v>
      </c>
      <c r="CU76" s="11">
        <v>1</v>
      </c>
      <c r="CV76" s="11">
        <v>1</v>
      </c>
      <c r="CW76" s="11"/>
      <c r="CX76" s="11">
        <v>5</v>
      </c>
      <c r="CY76" s="11">
        <v>5</v>
      </c>
      <c r="CZ76" s="11">
        <v>5</v>
      </c>
      <c r="DA76" s="11"/>
      <c r="DB76" s="11">
        <v>6</v>
      </c>
      <c r="DC76" s="11">
        <v>6</v>
      </c>
      <c r="DD76" s="11">
        <v>6</v>
      </c>
      <c r="DE76" s="11"/>
      <c r="DF76" s="2"/>
      <c r="DG76" s="11">
        <v>15</v>
      </c>
      <c r="DH76" s="11">
        <v>14</v>
      </c>
      <c r="DJ76" s="2"/>
      <c r="DK76">
        <v>25.733333333333334</v>
      </c>
      <c r="DL76">
        <v>12.142857142857142</v>
      </c>
    </row>
    <row r="77" spans="1:117">
      <c r="A77" t="s">
        <v>64</v>
      </c>
      <c r="B77" t="s">
        <v>65</v>
      </c>
      <c r="C77" t="s">
        <v>199</v>
      </c>
      <c r="D77">
        <v>501086</v>
      </c>
      <c r="E77">
        <v>501086</v>
      </c>
      <c r="G77" t="s">
        <v>238</v>
      </c>
      <c r="H77" t="s">
        <v>239</v>
      </c>
      <c r="I77" t="s">
        <v>69</v>
      </c>
      <c r="J77" t="s">
        <v>70</v>
      </c>
      <c r="K77" t="s">
        <v>71</v>
      </c>
      <c r="L77" t="s">
        <v>240</v>
      </c>
      <c r="M77" t="s">
        <v>73</v>
      </c>
      <c r="N77" t="s">
        <v>74</v>
      </c>
      <c r="O77" t="s">
        <v>108</v>
      </c>
      <c r="P77" t="s">
        <v>108</v>
      </c>
      <c r="Q77" s="10">
        <v>231</v>
      </c>
      <c r="R77" s="10">
        <v>97</v>
      </c>
      <c r="S77" s="10">
        <v>0</v>
      </c>
      <c r="T77">
        <v>328</v>
      </c>
      <c r="U77" s="2"/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9</v>
      </c>
      <c r="AI77" s="11">
        <v>9</v>
      </c>
      <c r="AJ77" s="11">
        <v>9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9</v>
      </c>
      <c r="AQ77" s="11">
        <v>8</v>
      </c>
      <c r="AR77" s="11">
        <v>8</v>
      </c>
      <c r="AS77" s="11">
        <v>0</v>
      </c>
      <c r="AT77" s="11">
        <v>0</v>
      </c>
      <c r="AU77" s="11">
        <v>1</v>
      </c>
      <c r="AV77" s="11">
        <v>1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4</v>
      </c>
      <c r="BC77" s="11">
        <v>4</v>
      </c>
      <c r="BD77" s="11">
        <v>4</v>
      </c>
      <c r="BE77" s="11">
        <v>0</v>
      </c>
      <c r="BF77" s="11">
        <v>13</v>
      </c>
      <c r="BG77" s="11">
        <v>13</v>
      </c>
      <c r="BH77" s="11">
        <v>13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1</v>
      </c>
      <c r="BO77" s="11">
        <v>0</v>
      </c>
      <c r="BP77" s="11">
        <v>0</v>
      </c>
      <c r="BQ77" s="11">
        <v>0</v>
      </c>
      <c r="BR77" s="11">
        <v>1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2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4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11">
        <v>0</v>
      </c>
      <c r="CO77" s="11">
        <v>0</v>
      </c>
      <c r="CP77" s="11">
        <v>0</v>
      </c>
      <c r="CQ77" s="11">
        <v>0</v>
      </c>
      <c r="CR77" s="11">
        <v>0</v>
      </c>
      <c r="CS77" s="11">
        <v>0</v>
      </c>
      <c r="CT77" s="11">
        <v>1</v>
      </c>
      <c r="CU77" s="11">
        <v>0</v>
      </c>
      <c r="CV77" s="11">
        <v>0</v>
      </c>
      <c r="CW77" s="11">
        <v>0</v>
      </c>
      <c r="CX77" s="11">
        <v>15</v>
      </c>
      <c r="CY77" s="11">
        <v>0</v>
      </c>
      <c r="CZ77" s="11">
        <v>0</v>
      </c>
      <c r="DA77" s="11">
        <v>0</v>
      </c>
      <c r="DB77" s="11">
        <v>0</v>
      </c>
      <c r="DC77" s="11">
        <v>0</v>
      </c>
      <c r="DD77" s="11">
        <v>0</v>
      </c>
      <c r="DE77" s="11">
        <v>0</v>
      </c>
      <c r="DF77" s="2"/>
      <c r="DG77" s="11">
        <v>13</v>
      </c>
      <c r="DH77" s="11">
        <v>9</v>
      </c>
      <c r="DI77" s="11">
        <v>0</v>
      </c>
      <c r="DJ77" s="2"/>
      <c r="DK77">
        <v>17.76923076923077</v>
      </c>
      <c r="DL77">
        <v>10.777777777777779</v>
      </c>
      <c r="DM77" t="e">
        <v>#DIV/0!</v>
      </c>
    </row>
    <row r="78" spans="1:117">
      <c r="A78" t="s">
        <v>64</v>
      </c>
      <c r="B78" t="s">
        <v>65</v>
      </c>
      <c r="C78" t="s">
        <v>199</v>
      </c>
      <c r="D78">
        <v>501087</v>
      </c>
      <c r="E78">
        <v>501087</v>
      </c>
      <c r="G78" t="s">
        <v>241</v>
      </c>
      <c r="H78" t="s">
        <v>242</v>
      </c>
      <c r="I78" t="s">
        <v>69</v>
      </c>
      <c r="J78" t="s">
        <v>70</v>
      </c>
      <c r="K78" t="s">
        <v>71</v>
      </c>
      <c r="L78" t="s">
        <v>205</v>
      </c>
      <c r="M78" t="s">
        <v>73</v>
      </c>
      <c r="N78" t="s">
        <v>74</v>
      </c>
      <c r="O78" t="s">
        <v>108</v>
      </c>
      <c r="P78" t="s">
        <v>108</v>
      </c>
      <c r="Q78" s="10">
        <v>200</v>
      </c>
      <c r="R78" s="10">
        <v>123</v>
      </c>
      <c r="S78" s="10">
        <v>74</v>
      </c>
      <c r="T78">
        <v>397</v>
      </c>
      <c r="U78" s="2"/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9</v>
      </c>
      <c r="AI78" s="11">
        <v>9</v>
      </c>
      <c r="AJ78" s="11">
        <v>5.6192893401015223</v>
      </c>
      <c r="AK78" s="11">
        <v>3.3807106598984773</v>
      </c>
      <c r="AL78" s="11">
        <v>0</v>
      </c>
      <c r="AM78" s="11">
        <v>0</v>
      </c>
      <c r="AN78" s="11">
        <v>0</v>
      </c>
      <c r="AO78" s="11">
        <v>0</v>
      </c>
      <c r="AP78" s="11">
        <v>9</v>
      </c>
      <c r="AQ78" s="11">
        <v>9</v>
      </c>
      <c r="AR78" s="11">
        <v>5.6192893401015223</v>
      </c>
      <c r="AS78" s="11">
        <v>3.3807106598984773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5</v>
      </c>
      <c r="BC78" s="11">
        <v>5</v>
      </c>
      <c r="BD78" s="11">
        <v>3.1218274111675126</v>
      </c>
      <c r="BE78" s="11">
        <v>1.8781725888324874</v>
      </c>
      <c r="BF78" s="11">
        <v>18</v>
      </c>
      <c r="BG78" s="11">
        <v>18</v>
      </c>
      <c r="BH78" s="11">
        <v>11.238578680203045</v>
      </c>
      <c r="BI78" s="11">
        <v>6.7614213197969546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2</v>
      </c>
      <c r="BP78" s="11">
        <v>1.248730964467005</v>
      </c>
      <c r="BQ78" s="11">
        <v>0.75126903553299496</v>
      </c>
      <c r="BR78" s="11">
        <v>0</v>
      </c>
      <c r="BS78" s="11">
        <v>2</v>
      </c>
      <c r="BT78" s="11">
        <v>1.248730964467005</v>
      </c>
      <c r="BU78" s="11">
        <v>0.75126903553299496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4</v>
      </c>
      <c r="CJ78" s="11">
        <v>2.4974619289340101</v>
      </c>
      <c r="CK78" s="11">
        <v>1.5025380710659899</v>
      </c>
      <c r="CL78" s="11">
        <v>0</v>
      </c>
      <c r="CM78" s="11">
        <v>0</v>
      </c>
      <c r="CN78" s="11">
        <v>0</v>
      </c>
      <c r="CO78" s="11">
        <v>0</v>
      </c>
      <c r="CP78" s="11">
        <v>0</v>
      </c>
      <c r="CQ78" s="11">
        <v>0</v>
      </c>
      <c r="CR78" s="11">
        <v>0</v>
      </c>
      <c r="CS78" s="11">
        <v>0</v>
      </c>
      <c r="CT78" s="11">
        <v>0</v>
      </c>
      <c r="CU78" s="11">
        <v>1</v>
      </c>
      <c r="CV78" s="11">
        <v>0.62436548223350252</v>
      </c>
      <c r="CW78" s="11">
        <v>0.37563451776649748</v>
      </c>
      <c r="CX78" s="11">
        <v>0</v>
      </c>
      <c r="CY78" s="11">
        <v>24</v>
      </c>
      <c r="CZ78" s="11">
        <v>14.984771573604061</v>
      </c>
      <c r="DA78" s="11">
        <v>9.0152284263959395</v>
      </c>
      <c r="DB78" s="11">
        <v>0</v>
      </c>
      <c r="DC78" s="11">
        <v>0</v>
      </c>
      <c r="DD78" s="11">
        <v>0</v>
      </c>
      <c r="DE78" s="11">
        <v>0</v>
      </c>
      <c r="DF78" s="2"/>
      <c r="DG78" s="11">
        <v>9</v>
      </c>
      <c r="DH78" s="11">
        <v>8.1167512690355323</v>
      </c>
      <c r="DI78" s="11">
        <v>4.8832487309644668</v>
      </c>
      <c r="DJ78" s="2"/>
      <c r="DK78">
        <v>22.222222222222221</v>
      </c>
      <c r="DL78">
        <v>15.153846153846155</v>
      </c>
      <c r="DM78">
        <v>15.153846153846155</v>
      </c>
    </row>
    <row r="79" spans="1:117">
      <c r="A79" t="s">
        <v>64</v>
      </c>
      <c r="B79" t="s">
        <v>65</v>
      </c>
      <c r="C79" t="s">
        <v>66</v>
      </c>
      <c r="D79">
        <v>306039</v>
      </c>
      <c r="E79">
        <v>306039</v>
      </c>
      <c r="G79" t="s">
        <v>243</v>
      </c>
      <c r="H79" t="s">
        <v>244</v>
      </c>
      <c r="I79" t="s">
        <v>69</v>
      </c>
      <c r="J79" t="s">
        <v>70</v>
      </c>
      <c r="K79" t="s">
        <v>245</v>
      </c>
      <c r="L79" t="s">
        <v>224</v>
      </c>
      <c r="M79" t="s">
        <v>73</v>
      </c>
      <c r="N79" t="s">
        <v>74</v>
      </c>
      <c r="O79" s="10" t="s">
        <v>101</v>
      </c>
      <c r="P79" t="s">
        <v>101</v>
      </c>
      <c r="Q79" s="10">
        <v>0</v>
      </c>
      <c r="R79" s="10">
        <v>128</v>
      </c>
      <c r="S79" s="10">
        <v>38</v>
      </c>
      <c r="T79">
        <v>166</v>
      </c>
      <c r="U79" s="2"/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2</v>
      </c>
      <c r="AJ79" s="11">
        <v>1.5421686746987953</v>
      </c>
      <c r="AK79" s="11">
        <v>0.45783132530120479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2</v>
      </c>
      <c r="AR79" s="11">
        <v>1.5421686746987953</v>
      </c>
      <c r="AS79" s="11">
        <v>0.45783132530120479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1</v>
      </c>
      <c r="BD79" s="11">
        <v>0.77108433734939763</v>
      </c>
      <c r="BE79" s="11">
        <v>0.2289156626506024</v>
      </c>
      <c r="BF79" s="11">
        <v>0</v>
      </c>
      <c r="BG79" s="11">
        <v>4</v>
      </c>
      <c r="BH79" s="11">
        <v>3.0843373493975905</v>
      </c>
      <c r="BI79" s="11">
        <v>0.91566265060240959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  <c r="CL79" s="11">
        <v>0</v>
      </c>
      <c r="CM79" s="11">
        <v>0</v>
      </c>
      <c r="CN79" s="11">
        <v>0</v>
      </c>
      <c r="CO79" s="11">
        <v>0</v>
      </c>
      <c r="CP79" s="11">
        <v>0</v>
      </c>
      <c r="CQ79" s="11">
        <v>0</v>
      </c>
      <c r="CR79" s="11">
        <v>0</v>
      </c>
      <c r="CS79" s="11">
        <v>0</v>
      </c>
      <c r="CT79" s="11">
        <v>0</v>
      </c>
      <c r="CU79" s="11">
        <v>0</v>
      </c>
      <c r="CV79" s="11">
        <v>0</v>
      </c>
      <c r="CW79" s="11">
        <v>0</v>
      </c>
      <c r="CX79" s="11">
        <v>0</v>
      </c>
      <c r="CY79" s="11">
        <v>0</v>
      </c>
      <c r="CZ79" s="11">
        <v>0</v>
      </c>
      <c r="DA79" s="11">
        <v>0</v>
      </c>
      <c r="DB79" s="11">
        <v>0</v>
      </c>
      <c r="DC79" s="11">
        <v>0</v>
      </c>
      <c r="DD79" s="11">
        <v>0</v>
      </c>
      <c r="DE79" s="11">
        <v>0</v>
      </c>
      <c r="DF79" s="2"/>
      <c r="DH79" s="11">
        <v>1.5421686746987953</v>
      </c>
      <c r="DI79" s="11">
        <v>0.45783132530120479</v>
      </c>
      <c r="DJ79" s="2"/>
      <c r="DL79">
        <v>83</v>
      </c>
      <c r="DM79">
        <v>83</v>
      </c>
    </row>
  </sheetData>
  <mergeCells count="31">
    <mergeCell ref="DG5:DI5"/>
    <mergeCell ref="DK6:DM6"/>
    <mergeCell ref="BJ5:BM5"/>
    <mergeCell ref="BN5:BQ5"/>
    <mergeCell ref="BR5:BU5"/>
    <mergeCell ref="BV5:BY5"/>
    <mergeCell ref="BZ5:CC5"/>
    <mergeCell ref="CX5:DA5"/>
    <mergeCell ref="CT4:CW5"/>
    <mergeCell ref="CX4:DE4"/>
    <mergeCell ref="DB5:DE5"/>
    <mergeCell ref="Q5:T5"/>
    <mergeCell ref="V5:Y5"/>
    <mergeCell ref="Z5:AC5"/>
    <mergeCell ref="AD5:AG5"/>
    <mergeCell ref="AH5:AK5"/>
    <mergeCell ref="V3:BM3"/>
    <mergeCell ref="BN3:DE3"/>
    <mergeCell ref="V4:AK4"/>
    <mergeCell ref="AL4:AO5"/>
    <mergeCell ref="AP4:AS5"/>
    <mergeCell ref="AT4:AW5"/>
    <mergeCell ref="AX4:BA5"/>
    <mergeCell ref="BB4:BE5"/>
    <mergeCell ref="BF4:BM4"/>
    <mergeCell ref="BN4:CC4"/>
    <mergeCell ref="BF5:BI5"/>
    <mergeCell ref="CD4:CG5"/>
    <mergeCell ref="CH4:CK5"/>
    <mergeCell ref="CL4:CO5"/>
    <mergeCell ref="CP4:C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2023-09-05T08:30:41Z</dcterms:created>
  <dcterms:modified xsi:type="dcterms:W3CDTF">2023-11-22T01:17:58Z</dcterms:modified>
  <cp:category/>
  <cp:contentStatus/>
</cp:coreProperties>
</file>