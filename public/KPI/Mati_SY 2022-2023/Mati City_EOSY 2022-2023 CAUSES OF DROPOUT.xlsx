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2-2023/EOSY Database/"/>
    </mc:Choice>
  </mc:AlternateContent>
  <xr:revisionPtr revIDLastSave="10" documentId="8_{683BF67F-53DE-4F0E-BA20-CE207E76940C}" xr6:coauthVersionLast="47" xr6:coauthVersionMax="47" xr10:uidLastSave="{E4AEB181-5EEB-47B3-A50A-81844B730E11}"/>
  <bookViews>
    <workbookView xWindow="-120" yWindow="-120" windowWidth="29040" windowHeight="15720" xr2:uid="{35ED1E66-AB69-4D2F-99B0-528BF627D4CF}"/>
  </bookViews>
  <sheets>
    <sheet name="ES" sheetId="1" r:id="rId1"/>
    <sheet name="JHS" sheetId="2" r:id="rId2"/>
    <sheet name="SHS" sheetId="3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1" i="4" l="1"/>
  <c r="I71" i="4"/>
  <c r="G71" i="4"/>
  <c r="F71" i="4"/>
  <c r="D71" i="4"/>
  <c r="C71" i="4"/>
  <c r="J70" i="4"/>
  <c r="J24" i="4" s="1"/>
  <c r="I70" i="4"/>
  <c r="G70" i="4"/>
  <c r="F70" i="4"/>
  <c r="D70" i="4"/>
  <c r="C70" i="4"/>
  <c r="J69" i="4"/>
  <c r="I69" i="4"/>
  <c r="G69" i="4"/>
  <c r="H69" i="4" s="1"/>
  <c r="F69" i="4"/>
  <c r="D69" i="4"/>
  <c r="C69" i="4"/>
  <c r="J68" i="4"/>
  <c r="I68" i="4"/>
  <c r="G68" i="4"/>
  <c r="F68" i="4"/>
  <c r="D68" i="4"/>
  <c r="D22" i="4" s="1"/>
  <c r="C68" i="4"/>
  <c r="J67" i="4"/>
  <c r="I67" i="4"/>
  <c r="G67" i="4"/>
  <c r="F67" i="4"/>
  <c r="D67" i="4"/>
  <c r="C67" i="4"/>
  <c r="J66" i="4"/>
  <c r="J20" i="4" s="1"/>
  <c r="I66" i="4"/>
  <c r="G66" i="4"/>
  <c r="F66" i="4"/>
  <c r="D66" i="4"/>
  <c r="C66" i="4"/>
  <c r="J65" i="4"/>
  <c r="I65" i="4"/>
  <c r="G65" i="4"/>
  <c r="H65" i="4" s="1"/>
  <c r="F65" i="4"/>
  <c r="D65" i="4"/>
  <c r="C65" i="4"/>
  <c r="J64" i="4"/>
  <c r="I64" i="4"/>
  <c r="G64" i="4"/>
  <c r="F64" i="4"/>
  <c r="D64" i="4"/>
  <c r="D18" i="4" s="1"/>
  <c r="C64" i="4"/>
  <c r="J63" i="4"/>
  <c r="I63" i="4"/>
  <c r="G63" i="4"/>
  <c r="F63" i="4"/>
  <c r="D63" i="4"/>
  <c r="C63" i="4"/>
  <c r="J62" i="4"/>
  <c r="J16" i="4" s="1"/>
  <c r="I62" i="4"/>
  <c r="G62" i="4"/>
  <c r="F62" i="4"/>
  <c r="D62" i="4"/>
  <c r="C62" i="4"/>
  <c r="J61" i="4"/>
  <c r="I61" i="4"/>
  <c r="G61" i="4"/>
  <c r="G15" i="4" s="1"/>
  <c r="F61" i="4"/>
  <c r="D61" i="4"/>
  <c r="C61" i="4"/>
  <c r="J60" i="4"/>
  <c r="I60" i="4"/>
  <c r="G60" i="4"/>
  <c r="F60" i="4"/>
  <c r="D60" i="4"/>
  <c r="D14" i="4" s="1"/>
  <c r="C60" i="4"/>
  <c r="J59" i="4"/>
  <c r="I59" i="4"/>
  <c r="G59" i="4"/>
  <c r="F59" i="4"/>
  <c r="D59" i="4"/>
  <c r="C59" i="4"/>
  <c r="J58" i="4"/>
  <c r="J12" i="4" s="1"/>
  <c r="I58" i="4"/>
  <c r="G58" i="4"/>
  <c r="F58" i="4"/>
  <c r="D58" i="4"/>
  <c r="C58" i="4"/>
  <c r="J57" i="4"/>
  <c r="I57" i="4"/>
  <c r="G57" i="4"/>
  <c r="H57" i="4" s="1"/>
  <c r="F57" i="4"/>
  <c r="D57" i="4"/>
  <c r="C57" i="4"/>
  <c r="J56" i="4"/>
  <c r="I56" i="4"/>
  <c r="G56" i="4"/>
  <c r="F56" i="4"/>
  <c r="D56" i="4"/>
  <c r="D72" i="4" s="1"/>
  <c r="C56" i="4"/>
  <c r="J55" i="4"/>
  <c r="I55" i="4"/>
  <c r="G55" i="4"/>
  <c r="F55" i="4"/>
  <c r="D55" i="4"/>
  <c r="C55" i="4"/>
  <c r="J54" i="4"/>
  <c r="J8" i="4" s="1"/>
  <c r="I54" i="4"/>
  <c r="G54" i="4"/>
  <c r="F54" i="4"/>
  <c r="D54" i="4"/>
  <c r="C54" i="4"/>
  <c r="J48" i="4"/>
  <c r="I48" i="4"/>
  <c r="G48" i="4"/>
  <c r="G25" i="4" s="1"/>
  <c r="F48" i="4"/>
  <c r="D48" i="4"/>
  <c r="C48" i="4"/>
  <c r="J47" i="4"/>
  <c r="I47" i="4"/>
  <c r="G47" i="4"/>
  <c r="F47" i="4"/>
  <c r="D47" i="4"/>
  <c r="E47" i="4" s="1"/>
  <c r="C47" i="4"/>
  <c r="J46" i="4"/>
  <c r="I46" i="4"/>
  <c r="G46" i="4"/>
  <c r="F46" i="4"/>
  <c r="D46" i="4"/>
  <c r="C46" i="4"/>
  <c r="J45" i="4"/>
  <c r="I45" i="4"/>
  <c r="G45" i="4"/>
  <c r="F45" i="4"/>
  <c r="D45" i="4"/>
  <c r="C45" i="4"/>
  <c r="J44" i="4"/>
  <c r="I44" i="4"/>
  <c r="K44" i="4" s="1"/>
  <c r="G44" i="4"/>
  <c r="G21" i="4" s="1"/>
  <c r="F44" i="4"/>
  <c r="D44" i="4"/>
  <c r="C44" i="4"/>
  <c r="J43" i="4"/>
  <c r="I43" i="4"/>
  <c r="G43" i="4"/>
  <c r="F43" i="4"/>
  <c r="H43" i="4" s="1"/>
  <c r="D43" i="4"/>
  <c r="E43" i="4" s="1"/>
  <c r="C43" i="4"/>
  <c r="J42" i="4"/>
  <c r="I42" i="4"/>
  <c r="G42" i="4"/>
  <c r="F42" i="4"/>
  <c r="D42" i="4"/>
  <c r="C42" i="4"/>
  <c r="E42" i="4" s="1"/>
  <c r="J41" i="4"/>
  <c r="J18" i="4" s="1"/>
  <c r="I41" i="4"/>
  <c r="G41" i="4"/>
  <c r="F41" i="4"/>
  <c r="D41" i="4"/>
  <c r="C41" i="4"/>
  <c r="J40" i="4"/>
  <c r="I40" i="4"/>
  <c r="K40" i="4" s="1"/>
  <c r="G40" i="4"/>
  <c r="H40" i="4" s="1"/>
  <c r="F40" i="4"/>
  <c r="D40" i="4"/>
  <c r="C40" i="4"/>
  <c r="J39" i="4"/>
  <c r="I39" i="4"/>
  <c r="G39" i="4"/>
  <c r="F39" i="4"/>
  <c r="D39" i="4"/>
  <c r="D16" i="4" s="1"/>
  <c r="C39" i="4"/>
  <c r="J38" i="4"/>
  <c r="I38" i="4"/>
  <c r="G38" i="4"/>
  <c r="F38" i="4"/>
  <c r="D38" i="4"/>
  <c r="C38" i="4"/>
  <c r="E38" i="4" s="1"/>
  <c r="J37" i="4"/>
  <c r="K37" i="4" s="1"/>
  <c r="I37" i="4"/>
  <c r="G37" i="4"/>
  <c r="F37" i="4"/>
  <c r="D37" i="4"/>
  <c r="C37" i="4"/>
  <c r="J36" i="4"/>
  <c r="I36" i="4"/>
  <c r="K36" i="4" s="1"/>
  <c r="G36" i="4"/>
  <c r="G13" i="4" s="1"/>
  <c r="F36" i="4"/>
  <c r="D36" i="4"/>
  <c r="C36" i="4"/>
  <c r="J35" i="4"/>
  <c r="I35" i="4"/>
  <c r="G35" i="4"/>
  <c r="F35" i="4"/>
  <c r="D35" i="4"/>
  <c r="E35" i="4" s="1"/>
  <c r="C35" i="4"/>
  <c r="J34" i="4"/>
  <c r="I34" i="4"/>
  <c r="G34" i="4"/>
  <c r="F34" i="4"/>
  <c r="D34" i="4"/>
  <c r="C34" i="4"/>
  <c r="E34" i="4" s="1"/>
  <c r="J33" i="4"/>
  <c r="J10" i="4" s="1"/>
  <c r="I33" i="4"/>
  <c r="I10" i="4" s="1"/>
  <c r="G33" i="4"/>
  <c r="F33" i="4"/>
  <c r="D33" i="4"/>
  <c r="C33" i="4"/>
  <c r="J32" i="4"/>
  <c r="I32" i="4"/>
  <c r="K32" i="4" s="1"/>
  <c r="G32" i="4"/>
  <c r="G9" i="4" s="1"/>
  <c r="F32" i="4"/>
  <c r="H32" i="4" s="1"/>
  <c r="D32" i="4"/>
  <c r="C32" i="4"/>
  <c r="E32" i="4" s="1"/>
  <c r="J31" i="4"/>
  <c r="I31" i="4"/>
  <c r="G31" i="4"/>
  <c r="F31" i="4"/>
  <c r="F8" i="4" s="1"/>
  <c r="D31" i="4"/>
  <c r="D49" i="4" s="1"/>
  <c r="C31" i="4"/>
  <c r="C8" i="4" s="1"/>
  <c r="K71" i="4"/>
  <c r="H71" i="4"/>
  <c r="E71" i="4"/>
  <c r="H70" i="4"/>
  <c r="E70" i="4"/>
  <c r="K69" i="4"/>
  <c r="E69" i="4"/>
  <c r="K68" i="4"/>
  <c r="H68" i="4"/>
  <c r="K67" i="4"/>
  <c r="H67" i="4"/>
  <c r="E67" i="4"/>
  <c r="H66" i="4"/>
  <c r="E66" i="4"/>
  <c r="K65" i="4"/>
  <c r="E65" i="4"/>
  <c r="K64" i="4"/>
  <c r="H64" i="4"/>
  <c r="K63" i="4"/>
  <c r="H63" i="4"/>
  <c r="E63" i="4"/>
  <c r="H62" i="4"/>
  <c r="E62" i="4"/>
  <c r="K61" i="4"/>
  <c r="E61" i="4"/>
  <c r="K60" i="4"/>
  <c r="H60" i="4"/>
  <c r="I13" i="4"/>
  <c r="H59" i="4"/>
  <c r="E59" i="4"/>
  <c r="H58" i="4"/>
  <c r="E58" i="4"/>
  <c r="K57" i="4"/>
  <c r="E57" i="4"/>
  <c r="K56" i="4"/>
  <c r="H56" i="4"/>
  <c r="K55" i="4"/>
  <c r="H55" i="4"/>
  <c r="E55" i="4"/>
  <c r="I72" i="4"/>
  <c r="E54" i="4"/>
  <c r="C72" i="4"/>
  <c r="K48" i="4"/>
  <c r="F25" i="4"/>
  <c r="E48" i="4"/>
  <c r="I24" i="4"/>
  <c r="H47" i="4"/>
  <c r="J23" i="4"/>
  <c r="H46" i="4"/>
  <c r="D23" i="4"/>
  <c r="E46" i="4"/>
  <c r="K45" i="4"/>
  <c r="I22" i="4"/>
  <c r="H45" i="4"/>
  <c r="C22" i="4"/>
  <c r="F21" i="4"/>
  <c r="D21" i="4"/>
  <c r="E21" i="4" s="1"/>
  <c r="K43" i="4"/>
  <c r="G20" i="4"/>
  <c r="H20" i="4" s="1"/>
  <c r="C20" i="4"/>
  <c r="K42" i="4"/>
  <c r="F19" i="4"/>
  <c r="I18" i="4"/>
  <c r="G18" i="4"/>
  <c r="H18" i="4" s="1"/>
  <c r="E41" i="4"/>
  <c r="J17" i="4"/>
  <c r="F17" i="4"/>
  <c r="E40" i="4"/>
  <c r="I16" i="4"/>
  <c r="H39" i="4"/>
  <c r="C16" i="4"/>
  <c r="J15" i="4"/>
  <c r="H38" i="4"/>
  <c r="D15" i="4"/>
  <c r="I14" i="4"/>
  <c r="H37" i="4"/>
  <c r="C14" i="4"/>
  <c r="F13" i="4"/>
  <c r="D13" i="4"/>
  <c r="K35" i="4"/>
  <c r="G12" i="4"/>
  <c r="H35" i="4"/>
  <c r="C12" i="4"/>
  <c r="K34" i="4"/>
  <c r="F11" i="4"/>
  <c r="G10" i="4"/>
  <c r="H10" i="4" s="1"/>
  <c r="E33" i="4"/>
  <c r="J9" i="4"/>
  <c r="I8" i="4"/>
  <c r="H31" i="4"/>
  <c r="J25" i="4"/>
  <c r="I25" i="4"/>
  <c r="K25" i="4" s="1"/>
  <c r="D25" i="4"/>
  <c r="C25" i="4"/>
  <c r="C24" i="4"/>
  <c r="I23" i="4"/>
  <c r="F23" i="4"/>
  <c r="C23" i="4"/>
  <c r="J22" i="4"/>
  <c r="G22" i="4"/>
  <c r="F22" i="4"/>
  <c r="C21" i="4"/>
  <c r="I20" i="4"/>
  <c r="F20" i="4"/>
  <c r="D20" i="4"/>
  <c r="J19" i="4"/>
  <c r="I19" i="4"/>
  <c r="F18" i="4"/>
  <c r="C18" i="4"/>
  <c r="I17" i="4"/>
  <c r="G17" i="4"/>
  <c r="D17" i="4"/>
  <c r="C17" i="4"/>
  <c r="I15" i="4"/>
  <c r="F15" i="4"/>
  <c r="C15" i="4"/>
  <c r="J14" i="4"/>
  <c r="G14" i="4"/>
  <c r="F14" i="4"/>
  <c r="C13" i="4"/>
  <c r="I12" i="4"/>
  <c r="F12" i="4"/>
  <c r="D12" i="4"/>
  <c r="J11" i="4"/>
  <c r="I11" i="4"/>
  <c r="F10" i="4"/>
  <c r="C10" i="4"/>
  <c r="I9" i="4"/>
  <c r="D9" i="4"/>
  <c r="C9" i="4"/>
  <c r="K10" i="4" l="1"/>
  <c r="K14" i="4"/>
  <c r="J72" i="4"/>
  <c r="E9" i="4"/>
  <c r="E25" i="4"/>
  <c r="F49" i="4"/>
  <c r="E12" i="4"/>
  <c r="E14" i="4"/>
  <c r="E16" i="4"/>
  <c r="K22" i="4"/>
  <c r="K24" i="4"/>
  <c r="G72" i="4"/>
  <c r="G23" i="4"/>
  <c r="K16" i="4"/>
  <c r="E60" i="4"/>
  <c r="E18" i="4"/>
  <c r="E23" i="4"/>
  <c r="H48" i="4"/>
  <c r="E68" i="4"/>
  <c r="H17" i="4"/>
  <c r="H19" i="4"/>
  <c r="H21" i="4"/>
  <c r="K70" i="4"/>
  <c r="H23" i="4"/>
  <c r="J49" i="4"/>
  <c r="H12" i="4"/>
  <c r="F9" i="4"/>
  <c r="H9" i="4" s="1"/>
  <c r="E13" i="4"/>
  <c r="E15" i="4"/>
  <c r="K23" i="4"/>
  <c r="K18" i="4"/>
  <c r="G11" i="4"/>
  <c r="H11" i="4" s="1"/>
  <c r="G19" i="4"/>
  <c r="E22" i="4"/>
  <c r="K66" i="4"/>
  <c r="H25" i="4"/>
  <c r="K62" i="4"/>
  <c r="K20" i="4"/>
  <c r="D8" i="4"/>
  <c r="D24" i="4"/>
  <c r="E24" i="4" s="1"/>
  <c r="H13" i="4"/>
  <c r="E20" i="4"/>
  <c r="K11" i="4"/>
  <c r="H14" i="4"/>
  <c r="E17" i="4"/>
  <c r="K19" i="4"/>
  <c r="H22" i="4"/>
  <c r="K15" i="4"/>
  <c r="K17" i="4"/>
  <c r="K8" i="4"/>
  <c r="K9" i="4"/>
  <c r="H15" i="4"/>
  <c r="K12" i="4"/>
  <c r="E8" i="4"/>
  <c r="H33" i="4"/>
  <c r="E36" i="4"/>
  <c r="K38" i="4"/>
  <c r="H41" i="4"/>
  <c r="E44" i="4"/>
  <c r="K46" i="4"/>
  <c r="E56" i="4"/>
  <c r="K58" i="4"/>
  <c r="H61" i="4"/>
  <c r="E64" i="4"/>
  <c r="G49" i="4"/>
  <c r="D10" i="4"/>
  <c r="E10" i="4" s="1"/>
  <c r="C11" i="4"/>
  <c r="F16" i="4"/>
  <c r="C19" i="4"/>
  <c r="E19" i="4" s="1"/>
  <c r="I21" i="4"/>
  <c r="F24" i="4"/>
  <c r="H24" i="4" s="1"/>
  <c r="K47" i="4"/>
  <c r="I49" i="4"/>
  <c r="H54" i="4"/>
  <c r="K59" i="4"/>
  <c r="F72" i="4"/>
  <c r="H34" i="4"/>
  <c r="E37" i="4"/>
  <c r="H42" i="4"/>
  <c r="K31" i="4"/>
  <c r="K39" i="4"/>
  <c r="E45" i="4"/>
  <c r="D11" i="4"/>
  <c r="E31" i="4"/>
  <c r="E49" i="4" s="1"/>
  <c r="K33" i="4"/>
  <c r="H36" i="4"/>
  <c r="E39" i="4"/>
  <c r="K41" i="4"/>
  <c r="H44" i="4"/>
  <c r="C49" i="4"/>
  <c r="G8" i="4"/>
  <c r="J13" i="4"/>
  <c r="K13" i="4" s="1"/>
  <c r="G16" i="4"/>
  <c r="D19" i="4"/>
  <c r="J21" i="4"/>
  <c r="G24" i="4"/>
  <c r="K54" i="4"/>
  <c r="K72" i="4" s="1"/>
  <c r="J26" i="4" l="1"/>
  <c r="E72" i="4"/>
  <c r="D26" i="4"/>
  <c r="H49" i="4"/>
  <c r="H16" i="4"/>
  <c r="K21" i="4"/>
  <c r="K26" i="4" s="1"/>
  <c r="C26" i="4"/>
  <c r="G26" i="4"/>
  <c r="E11" i="4"/>
  <c r="I26" i="4"/>
  <c r="E26" i="4"/>
  <c r="H72" i="4"/>
  <c r="H8" i="4"/>
  <c r="F26" i="4"/>
  <c r="K49" i="4"/>
  <c r="H26" i="4" l="1"/>
</calcChain>
</file>

<file path=xl/sharedStrings.xml><?xml version="1.0" encoding="utf-8"?>
<sst xmlns="http://schemas.openxmlformats.org/spreadsheetml/2006/main" count="3244" uniqueCount="687">
  <si>
    <t>END OF SCHOOL YEAR DATABASE CAUSES OF DROPOUT (ALL SECTOR) ELEMENTARY</t>
  </si>
  <si>
    <t>SY 2022-2023</t>
  </si>
  <si>
    <t>Had to Take Care Siblings</t>
  </si>
  <si>
    <t>Early Marriage/Pregnancy</t>
  </si>
  <si>
    <t>Parents Attitude Toward Schooling</t>
  </si>
  <si>
    <t>Family problems/Feuds</t>
  </si>
  <si>
    <t>Illness</t>
  </si>
  <si>
    <t>Overage</t>
  </si>
  <si>
    <t>Drug Abuse</t>
  </si>
  <si>
    <t>Poor Academic Performance</t>
  </si>
  <si>
    <t>Lack of interest/Distractions</t>
  </si>
  <si>
    <t>Hunger/Malnutrition</t>
  </si>
  <si>
    <t>Teacher Factors</t>
  </si>
  <si>
    <t>Physical Conditions of Classrooms</t>
  </si>
  <si>
    <t>Peer Influences</t>
  </si>
  <si>
    <t>Distance between Home and School</t>
  </si>
  <si>
    <t>Armed Conflict</t>
  </si>
  <si>
    <t>Calamities/Disasters</t>
  </si>
  <si>
    <t>Child Labor, Work</t>
  </si>
  <si>
    <t>Others</t>
  </si>
  <si>
    <t>Grand Total (Dropout ES)</t>
  </si>
  <si>
    <t>Based on End of School Year (EOSY) LIS Cut-off Date as of September 15, 2023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</si>
  <si>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</si>
  <si>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</si>
  <si>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</si>
  <si>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</si>
  <si>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</si>
  <si>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</si>
  <si>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</si>
  <si>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(SNED)</t>
  </si>
  <si>
    <t>Total</t>
  </si>
  <si>
    <t>Male</t>
  </si>
  <si>
    <t>Female</t>
  </si>
  <si>
    <t>Region</t>
  </si>
  <si>
    <t>Division</t>
  </si>
  <si>
    <t>Province</t>
  </si>
  <si>
    <t>Municipality</t>
  </si>
  <si>
    <t>BEIS School ID</t>
  </si>
  <si>
    <t>School Name</t>
  </si>
  <si>
    <t>School Subclassification</t>
  </si>
  <si>
    <t>Sector</t>
  </si>
  <si>
    <t>Curricular Offering Classification</t>
  </si>
  <si>
    <t>School Type</t>
  </si>
  <si>
    <t>Modified COC</t>
  </si>
  <si>
    <t>take_care_siblings_k_male</t>
  </si>
  <si>
    <t>take_care_siblings_k_female</t>
  </si>
  <si>
    <t>take_care_siblings_g1_male</t>
  </si>
  <si>
    <t>take_care_siblings_g1_female</t>
  </si>
  <si>
    <t>take_care_siblings_g2_male</t>
  </si>
  <si>
    <t>take_care_siblings_g2_female</t>
  </si>
  <si>
    <t>take_care_siblings_g3_male</t>
  </si>
  <si>
    <t>take_care_siblings_g3_female</t>
  </si>
  <si>
    <t>take_care_siblings_g4_male</t>
  </si>
  <si>
    <t>take_care_siblings_g4_female</t>
  </si>
  <si>
    <t>take_care_siblings_g5_male</t>
  </si>
  <si>
    <t>take_care_siblings_g5_female</t>
  </si>
  <si>
    <t>take_care_siblings_g6_male</t>
  </si>
  <si>
    <t>take_care_siblings_g6_female</t>
  </si>
  <si>
    <t>take_care_siblings_ng_male</t>
  </si>
  <si>
    <t>take_care_siblings_ng_female</t>
  </si>
  <si>
    <t>marr_preg_k_male</t>
  </si>
  <si>
    <t>marr_preg_k_female</t>
  </si>
  <si>
    <t>marr_preg_g1_male</t>
  </si>
  <si>
    <t>marr_preg_g1_female</t>
  </si>
  <si>
    <t>marr_preg_g2_male</t>
  </si>
  <si>
    <t>marr_preg_g2_female</t>
  </si>
  <si>
    <t>marr_preg_g3_male</t>
  </si>
  <si>
    <t>marr_preg_g3_female</t>
  </si>
  <si>
    <t>marr_preg_g4_male</t>
  </si>
  <si>
    <t>marr_preg_g4_female</t>
  </si>
  <si>
    <t>marr_preg_g5_male</t>
  </si>
  <si>
    <t>marr_preg_g5_female</t>
  </si>
  <si>
    <t>marr_preg_g6_male</t>
  </si>
  <si>
    <t>marr_preg_g6_female</t>
  </si>
  <si>
    <t>marr_preg_ng_male</t>
  </si>
  <si>
    <t>marr_preg_ng_female</t>
  </si>
  <si>
    <t>parents_toward_school_k_male</t>
  </si>
  <si>
    <t>parents_toward_school_k_female</t>
  </si>
  <si>
    <t>parents_toward_school_g1_male</t>
  </si>
  <si>
    <t>parents_toward_school_g1_female</t>
  </si>
  <si>
    <t>parents_toward_school_g2_male</t>
  </si>
  <si>
    <t>parents_toward_school_g2_female</t>
  </si>
  <si>
    <t>parents_toward_school_g3_male</t>
  </si>
  <si>
    <t>parents_toward_school_g3_female</t>
  </si>
  <si>
    <t>parents_toward_school_g4_male</t>
  </si>
  <si>
    <t>parents_toward_school_g4_female</t>
  </si>
  <si>
    <t>parents_toward_school_g5_male</t>
  </si>
  <si>
    <t>parents_toward_school_g5_female</t>
  </si>
  <si>
    <t>parents_toward_school_g6_male</t>
  </si>
  <si>
    <t>parents_toward_school_g6_female</t>
  </si>
  <si>
    <t>parents_toward_school_ng_male</t>
  </si>
  <si>
    <t>parents_toward_school_ng_female</t>
  </si>
  <si>
    <t>fam_prob_feuds_k_male</t>
  </si>
  <si>
    <t>fam_prob_feuds_k_female</t>
  </si>
  <si>
    <t>fam_prob_feuds_g1_male</t>
  </si>
  <si>
    <t>fam_prob_feuds_g1_female</t>
  </si>
  <si>
    <t>fam_prob_feuds_g2_male</t>
  </si>
  <si>
    <t>fam_prob_feuds_g2_female</t>
  </si>
  <si>
    <t>fam_prob_feuds_g3_male</t>
  </si>
  <si>
    <t>fam_prob_feuds_g3_female</t>
  </si>
  <si>
    <t>fam_prob_feuds_g4_male</t>
  </si>
  <si>
    <t>fam_prob_feuds_g4_female</t>
  </si>
  <si>
    <t>fam_prob_feuds_g5_male</t>
  </si>
  <si>
    <t>fam_prob_feuds_g5_female</t>
  </si>
  <si>
    <t>fam_prob_feuds_g6_male</t>
  </si>
  <si>
    <t>fam_prob_feuds_g6_female</t>
  </si>
  <si>
    <t>fam_prob_feuds_ng_male</t>
  </si>
  <si>
    <t>fam_prob_feuds_ng_female</t>
  </si>
  <si>
    <t>illness_k_male</t>
  </si>
  <si>
    <t>illness_k_female</t>
  </si>
  <si>
    <t>illness_g1_male</t>
  </si>
  <si>
    <t>illness_g1_female</t>
  </si>
  <si>
    <t>illness_g2_male</t>
  </si>
  <si>
    <t>illness_g2_female</t>
  </si>
  <si>
    <t>illness_g3_male</t>
  </si>
  <si>
    <t>illness_g3_female</t>
  </si>
  <si>
    <t>illness_g4_male</t>
  </si>
  <si>
    <t>illness_g4_female</t>
  </si>
  <si>
    <t>illness_g5_male</t>
  </si>
  <si>
    <t>illness_g5_female</t>
  </si>
  <si>
    <t>illness_g6_male</t>
  </si>
  <si>
    <t>illness_g6_female</t>
  </si>
  <si>
    <t>illness_ng_male</t>
  </si>
  <si>
    <t>illness_ng_female</t>
  </si>
  <si>
    <t>overage_k_male</t>
  </si>
  <si>
    <t>overage_k_female</t>
  </si>
  <si>
    <t>overage_g1_male</t>
  </si>
  <si>
    <t>overage_g1_female</t>
  </si>
  <si>
    <t>overage_g2_male</t>
  </si>
  <si>
    <t>overage_g2_female</t>
  </si>
  <si>
    <t>overage_g3_male</t>
  </si>
  <si>
    <t>overage_g3_female</t>
  </si>
  <si>
    <t>overage_g4_male</t>
  </si>
  <si>
    <t>overage_g4_female</t>
  </si>
  <si>
    <t>overage_g5_male</t>
  </si>
  <si>
    <t>overage_g5_female</t>
  </si>
  <si>
    <t>overage_g6_male</t>
  </si>
  <si>
    <t>overage_g6_female</t>
  </si>
  <si>
    <t>overage_ng_male</t>
  </si>
  <si>
    <t>overage_ng_female</t>
  </si>
  <si>
    <t>drug_abuse_k_male</t>
  </si>
  <si>
    <t>drug_abuse_k_female</t>
  </si>
  <si>
    <t>drug_abuse_g1_male</t>
  </si>
  <si>
    <t>drug_abuse_g1_female</t>
  </si>
  <si>
    <t>drug_abuse_g2_male</t>
  </si>
  <si>
    <t>drug_abuse_g2_female</t>
  </si>
  <si>
    <t>drug_abuse_g3_male</t>
  </si>
  <si>
    <t>drug_abuse_g3_female</t>
  </si>
  <si>
    <t>drug_abuse_g4_male</t>
  </si>
  <si>
    <t>drug_abuse_g4_female</t>
  </si>
  <si>
    <t>drug_abuse_g5_male</t>
  </si>
  <si>
    <t>drug_abuse_g5_female</t>
  </si>
  <si>
    <t>drug_abuse_g6_male</t>
  </si>
  <si>
    <t>drug_abuse_g6_female</t>
  </si>
  <si>
    <t>drug_abuse_ng_male</t>
  </si>
  <si>
    <t>drug_abuse_ng_female</t>
  </si>
  <si>
    <t>poor_acad_perf_k_male</t>
  </si>
  <si>
    <t>poor_acad_perf_k_female</t>
  </si>
  <si>
    <t>poor_acad_perf_g1_male</t>
  </si>
  <si>
    <t>poor_acad_perf_g1_female</t>
  </si>
  <si>
    <t>poor_acad_perf_g2_male</t>
  </si>
  <si>
    <t>poor_acad_perf_g2_female</t>
  </si>
  <si>
    <t>poor_acad_perf_g3_male</t>
  </si>
  <si>
    <t>poor_acad_perf_g3_female</t>
  </si>
  <si>
    <t>poor_acad_perf_g4_male</t>
  </si>
  <si>
    <t>poor_acad_perf_g4_female</t>
  </si>
  <si>
    <t>poor_acad_perf_g5_male</t>
  </si>
  <si>
    <t>poor_acad_perf_g5_female</t>
  </si>
  <si>
    <t>poor_acad_perf_g6_male</t>
  </si>
  <si>
    <t>poor_acad_perf_g6_female</t>
  </si>
  <si>
    <t>poor_acad_perf_ng_male</t>
  </si>
  <si>
    <t>poor_acad_perf_ng_female</t>
  </si>
  <si>
    <t>lack_of_interest_k_male</t>
  </si>
  <si>
    <t>lack_of_interest_k_female</t>
  </si>
  <si>
    <t>lack_of_interest_g1_male</t>
  </si>
  <si>
    <t>lack_of_interest_g1_female</t>
  </si>
  <si>
    <t>lack_of_interest_g2_male</t>
  </si>
  <si>
    <t>lack_of_interest_g2_female</t>
  </si>
  <si>
    <t>lack_of_interest_g3_male</t>
  </si>
  <si>
    <t>lack_of_interest_g3_female</t>
  </si>
  <si>
    <t>lack_of_interest_g4_male</t>
  </si>
  <si>
    <t>lack_of_interest_g4_female</t>
  </si>
  <si>
    <t>lack_of_interest_g5_male</t>
  </si>
  <si>
    <t>lack_of_interest_g5_female</t>
  </si>
  <si>
    <t>lack_of_interest_g6_male</t>
  </si>
  <si>
    <t>lack_of_interest_g6_female</t>
  </si>
  <si>
    <t>lack_of_interest_ng_male</t>
  </si>
  <si>
    <t>lack_of_interest_ng_female</t>
  </si>
  <si>
    <t>hunger_malnu_k_male</t>
  </si>
  <si>
    <t>hunger_malnu_k_female</t>
  </si>
  <si>
    <t>hunger_malnu_g1_male</t>
  </si>
  <si>
    <t>hunger_malnu_g1_female</t>
  </si>
  <si>
    <t>hunger_malnu_g2_male</t>
  </si>
  <si>
    <t>hunger_malnu_g2_female</t>
  </si>
  <si>
    <t>hunger_malnu_g3_male</t>
  </si>
  <si>
    <t>hunger_malnu_g3_female</t>
  </si>
  <si>
    <t>hunger_malnu_g4_male</t>
  </si>
  <si>
    <t>hunger_malnu_g4_female</t>
  </si>
  <si>
    <t>hunger_malnu_g5_male</t>
  </si>
  <si>
    <t>hunger_malnu_g5_female</t>
  </si>
  <si>
    <t>hunger_malnu_g6_male</t>
  </si>
  <si>
    <t>hunger_malnu_g6_female</t>
  </si>
  <si>
    <t>hunger_malnu_ng_male</t>
  </si>
  <si>
    <t>hunger_malnu_ng_female</t>
  </si>
  <si>
    <t>teacher_factor_k_male</t>
  </si>
  <si>
    <t>teacher_factor_k_female</t>
  </si>
  <si>
    <t>teacher_factor_g1_male</t>
  </si>
  <si>
    <t>teacher_factor_g1_female</t>
  </si>
  <si>
    <t>teacher_factor_g2_male</t>
  </si>
  <si>
    <t>teacher_factor_g2_female</t>
  </si>
  <si>
    <t>teacher_factor_g3_male</t>
  </si>
  <si>
    <t>teacher_factor_g3_female</t>
  </si>
  <si>
    <t>teacher_factor_g4_male</t>
  </si>
  <si>
    <t>teacher_factor_g4_female</t>
  </si>
  <si>
    <t>teacher_factor_g5_male</t>
  </si>
  <si>
    <t>teacher_factor_g5_female</t>
  </si>
  <si>
    <t>teacher_factor_g6_male</t>
  </si>
  <si>
    <t>teacher_factor_g6_female</t>
  </si>
  <si>
    <t>teacher_factor_ng_male</t>
  </si>
  <si>
    <t>teacher_factor_ng_female</t>
  </si>
  <si>
    <t>physical_cond_classroom_k_male</t>
  </si>
  <si>
    <t>physical_cond_classroom_k_female</t>
  </si>
  <si>
    <t>physical_cond_classroom_g1_male</t>
  </si>
  <si>
    <t>physical_cond_classroom_g1_female</t>
  </si>
  <si>
    <t>physical_cond_classroom_g2_male</t>
  </si>
  <si>
    <t>physical_cond_classroom_g2_female</t>
  </si>
  <si>
    <t>physical_cond_classroom_g3_male</t>
  </si>
  <si>
    <t>physical_cond_classroom_g3_female</t>
  </si>
  <si>
    <t>physical_cond_classroom_g4_male</t>
  </si>
  <si>
    <t>physical_cond_classroom_g4_female</t>
  </si>
  <si>
    <t>physical_cond_classroom_g5_male</t>
  </si>
  <si>
    <t>physical_cond_classroom_g5_female</t>
  </si>
  <si>
    <t>physical_cond_classroom_g6_male</t>
  </si>
  <si>
    <t>physical_cond_classroom_g6_female</t>
  </si>
  <si>
    <t>physical_cond_classroom_ng_male</t>
  </si>
  <si>
    <t>physical_cond_classroom_ng_female</t>
  </si>
  <si>
    <t>peer_influ_k_male</t>
  </si>
  <si>
    <t>peer_influ_k_female</t>
  </si>
  <si>
    <t>peer_influ_g1_male</t>
  </si>
  <si>
    <t>peer_influ_g1_female</t>
  </si>
  <si>
    <t>peer_influ_g2_male</t>
  </si>
  <si>
    <t>peer_influ_g2_female</t>
  </si>
  <si>
    <t>peer_influ_g3_male</t>
  </si>
  <si>
    <t>peer_influ_g3_female</t>
  </si>
  <si>
    <t>peer_influ_g4_male</t>
  </si>
  <si>
    <t>peer_influ_g4_female</t>
  </si>
  <si>
    <t>peer_influ_g5_male</t>
  </si>
  <si>
    <t>peer_influ_g5_female</t>
  </si>
  <si>
    <t>peer_influ_g6_male</t>
  </si>
  <si>
    <t>peer_influ_g6_female</t>
  </si>
  <si>
    <t>peer_influ_ng_male</t>
  </si>
  <si>
    <t>peer_influ_ng_female</t>
  </si>
  <si>
    <t>distance_home_school_k_male</t>
  </si>
  <si>
    <t>distance_home_school_k_female</t>
  </si>
  <si>
    <t>distance_home_school_g1_male</t>
  </si>
  <si>
    <t>distance_home_school_g1_female</t>
  </si>
  <si>
    <t>distance_home_school_g2_male</t>
  </si>
  <si>
    <t>distance_home_school_g2_female</t>
  </si>
  <si>
    <t>distance_home_school_g3_male</t>
  </si>
  <si>
    <t>distance_home_school_g3_female</t>
  </si>
  <si>
    <t>distance_home_school_g4_male</t>
  </si>
  <si>
    <t>distance_home_school_g4_female</t>
  </si>
  <si>
    <t>distance_home_school_g5_male</t>
  </si>
  <si>
    <t>distance_home_school_g5_female</t>
  </si>
  <si>
    <t>distance_home_school_g6_male</t>
  </si>
  <si>
    <t>distance_home_school_g6_female</t>
  </si>
  <si>
    <t>distance_home_school_ng_male</t>
  </si>
  <si>
    <t>distance_home_school_ng_female</t>
  </si>
  <si>
    <t>armed_conflict_k_male</t>
  </si>
  <si>
    <t>armed_conflict_k_female</t>
  </si>
  <si>
    <t>armed_conflict_g1_male</t>
  </si>
  <si>
    <t>armed_conflict_g1_female</t>
  </si>
  <si>
    <t>armed_conflict_g2_male</t>
  </si>
  <si>
    <t>armed_conflict_g2_female</t>
  </si>
  <si>
    <t>armed_conflict_g3_male</t>
  </si>
  <si>
    <t>armed_conflict_g3_female</t>
  </si>
  <si>
    <t>armed_conflict_g4_male</t>
  </si>
  <si>
    <t>armed_conflict_g4_female</t>
  </si>
  <si>
    <t>armed_conflict_g5_male</t>
  </si>
  <si>
    <t>armed_conflict_g5_female</t>
  </si>
  <si>
    <t>armed_conflict_g6_male</t>
  </si>
  <si>
    <t>armed_conflict_g6_female</t>
  </si>
  <si>
    <t>armed_conflict_ng_male</t>
  </si>
  <si>
    <t>armed_conflict_ng_female</t>
  </si>
  <si>
    <t>calamities_k_male</t>
  </si>
  <si>
    <t>calamities_k_female</t>
  </si>
  <si>
    <t>calamities_g1_male</t>
  </si>
  <si>
    <t>calamities_g1_female</t>
  </si>
  <si>
    <t>calamities_g2_male</t>
  </si>
  <si>
    <t>calamities_g2_female</t>
  </si>
  <si>
    <t>calamities_g3_male</t>
  </si>
  <si>
    <t>calamities_g3_female</t>
  </si>
  <si>
    <t>calamities_g4_male</t>
  </si>
  <si>
    <t>calamities_g4_female</t>
  </si>
  <si>
    <t>calamities_g5_male</t>
  </si>
  <si>
    <t>calamities_g5_female</t>
  </si>
  <si>
    <t>calamities_g6_male</t>
  </si>
  <si>
    <t>calamities_g6_female</t>
  </si>
  <si>
    <t>calamities_ng_male</t>
  </si>
  <si>
    <t>calamities_ng_female</t>
  </si>
  <si>
    <t>child_labor_k_male</t>
  </si>
  <si>
    <t>child_labor_k_female</t>
  </si>
  <si>
    <t>child_labor_g1_male</t>
  </si>
  <si>
    <t>child_labor_g1_female</t>
  </si>
  <si>
    <t>child_labor_g2_male</t>
  </si>
  <si>
    <t>child_labor_g2_female</t>
  </si>
  <si>
    <t>child_labor_g3_male</t>
  </si>
  <si>
    <t>child_labor_g3_female</t>
  </si>
  <si>
    <t>child_labor_g4_male</t>
  </si>
  <si>
    <t>child_labor_g4_female</t>
  </si>
  <si>
    <t>child_labor_g5_male</t>
  </si>
  <si>
    <t>child_labor_g5_female</t>
  </si>
  <si>
    <t>child_labor_g6_male</t>
  </si>
  <si>
    <t>child_labor_g6_female</t>
  </si>
  <si>
    <t>child_labor_ng_male</t>
  </si>
  <si>
    <t>child_labor_ng_female</t>
  </si>
  <si>
    <t>others_k_male</t>
  </si>
  <si>
    <t>others_k_female</t>
  </si>
  <si>
    <t>others_g1_male</t>
  </si>
  <si>
    <t>others_g1_female</t>
  </si>
  <si>
    <t>others_g2_male</t>
  </si>
  <si>
    <t>others_g2_female</t>
  </si>
  <si>
    <t>others_g3_male</t>
  </si>
  <si>
    <t>others_g3_female</t>
  </si>
  <si>
    <t>others_g4_male</t>
  </si>
  <si>
    <t>others_g4_female</t>
  </si>
  <si>
    <t>others_g5_male</t>
  </si>
  <si>
    <t>others_g5_female</t>
  </si>
  <si>
    <t>others_g6_male</t>
  </si>
  <si>
    <t>others_g6_female</t>
  </si>
  <si>
    <t>others_ng_male</t>
  </si>
  <si>
    <t>others_ng_female</t>
  </si>
  <si>
    <t>Region XI</t>
  </si>
  <si>
    <t>DepED Managed</t>
  </si>
  <si>
    <t>Public</t>
  </si>
  <si>
    <t>Kinder &amp; Grade 1-6</t>
  </si>
  <si>
    <t>School with no Annexes</t>
  </si>
  <si>
    <t>Purely ES</t>
  </si>
  <si>
    <t xml:space="preserve">Sectarian </t>
  </si>
  <si>
    <t>Private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</si>
  <si>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</si>
  <si>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</si>
  <si>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</si>
  <si>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</si>
  <si>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</si>
  <si>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Kinder</t>
  </si>
  <si>
    <t>Mati City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</si>
  <si>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</si>
  <si>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</si>
  <si>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</si>
  <si>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</si>
  <si>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</si>
  <si>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</si>
  <si>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</si>
  <si>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</si>
  <si>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</si>
  <si>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</si>
  <si>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</si>
  <si>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</si>
  <si>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</si>
  <si>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</si>
  <si>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Immaculate Heart of Mary Academy</t>
  </si>
  <si>
    <t>Christian Life School of Davao Oriental, Inc.</t>
  </si>
  <si>
    <t>Christian Academy in Davao Oriental Technological Colleges, Inc.</t>
  </si>
  <si>
    <t>Kinder, Grade 1-6  &amp; Grade 11-12</t>
  </si>
  <si>
    <t>Mother school</t>
  </si>
  <si>
    <t>Sunbeam Christian School of Mati, Inc.</t>
  </si>
  <si>
    <t>Licop Integrated School</t>
  </si>
  <si>
    <t>Culian Integrated School</t>
  </si>
  <si>
    <t>Bugakan Elementary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</si>
  <si>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</si>
  <si>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</si>
  <si>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</si>
  <si>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</si>
  <si>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</si>
  <si>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</si>
  <si>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</si>
  <si>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</si>
  <si>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</si>
  <si>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</si>
  <si>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</si>
  <si>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</si>
  <si>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</si>
  <si>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Matiao Central ES</t>
  </si>
  <si>
    <t>Pedro Malintad Elementary School</t>
  </si>
  <si>
    <t>Sta. Cruz ES</t>
  </si>
  <si>
    <t>Tagabakid ES</t>
  </si>
  <si>
    <t>Tagbinonga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</si>
  <si>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</si>
  <si>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</si>
  <si>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</si>
  <si>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</si>
  <si>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</si>
  <si>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</si>
  <si>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</si>
  <si>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</si>
  <si>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</si>
  <si>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</si>
  <si>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</si>
  <si>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</si>
  <si>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</si>
  <si>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</si>
  <si>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</si>
  <si>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</si>
  <si>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</si>
  <si>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</si>
  <si>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</si>
  <si>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</si>
  <si>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</si>
  <si>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</si>
  <si>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</si>
  <si>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Cabuaya Integrated School</t>
  </si>
  <si>
    <t>Lanca Integrated School</t>
  </si>
  <si>
    <t>Luban Integrated School</t>
  </si>
  <si>
    <t>END OF SCHOOL YEAR DATABASE CAUSES OF DROPOUT (ALL SECTOR) JUNIOR HIGH SCHOOL</t>
  </si>
  <si>
    <t>Had to takecare Siblings</t>
  </si>
  <si>
    <t>Number of Dropout JHS</t>
  </si>
  <si>
    <t>Grade 7</t>
  </si>
  <si>
    <t>Grade 8</t>
  </si>
  <si>
    <t>Grade 9</t>
  </si>
  <si>
    <t>Grade 10</t>
  </si>
  <si>
    <t>School ID</t>
  </si>
  <si>
    <t>take_care_siblings_g7_male</t>
  </si>
  <si>
    <t>take_care_siblings_g7_female</t>
  </si>
  <si>
    <t>take_care_siblings_g8_male</t>
  </si>
  <si>
    <t>take_care_siblings_g8_female</t>
  </si>
  <si>
    <t>take_care_siblings_g9_male</t>
  </si>
  <si>
    <t>take_care_siblings_g9_female</t>
  </si>
  <si>
    <t>take_care_siblings_g10_male</t>
  </si>
  <si>
    <t>take_care_siblings_g10_female</t>
  </si>
  <si>
    <t>marr_preg_g7_male</t>
  </si>
  <si>
    <t>marr_preg_g7_female</t>
  </si>
  <si>
    <t>marr_preg_g8_male</t>
  </si>
  <si>
    <t>marr_preg_g8_female</t>
  </si>
  <si>
    <t>marr_preg_g9_male</t>
  </si>
  <si>
    <t>marr_preg_g9_female</t>
  </si>
  <si>
    <t>marr_preg_g10_male</t>
  </si>
  <si>
    <t>marr_preg_g10_female</t>
  </si>
  <si>
    <t>parents_toward_school_g7_male</t>
  </si>
  <si>
    <t>parents_toward_school_g7_female</t>
  </si>
  <si>
    <t>parents_toward_school_g8_male</t>
  </si>
  <si>
    <t>parents_toward_school_g8_female</t>
  </si>
  <si>
    <t>parents_toward_school_g9_male</t>
  </si>
  <si>
    <t>parents_toward_school_g9_female</t>
  </si>
  <si>
    <t>parents_toward_school_g10_male</t>
  </si>
  <si>
    <t>parents_toward_school_g10_female</t>
  </si>
  <si>
    <t>fam_prob_feuds_g7_male</t>
  </si>
  <si>
    <t>fam_prob_feuds_g7_female</t>
  </si>
  <si>
    <t>fam_prob_feuds_g8_male</t>
  </si>
  <si>
    <t>fam_prob_feuds_g8_female</t>
  </si>
  <si>
    <t>fam_prob_feuds_g9_male</t>
  </si>
  <si>
    <t>fam_prob_feuds_g9_female</t>
  </si>
  <si>
    <t>fam_prob_feuds_g10_male</t>
  </si>
  <si>
    <t>fam_prob_feuds_g10_female</t>
  </si>
  <si>
    <t>illness_g7_male</t>
  </si>
  <si>
    <t>illness_g7_female</t>
  </si>
  <si>
    <t>illness_g8_male</t>
  </si>
  <si>
    <t>illness_g8_female</t>
  </si>
  <si>
    <t>illness_g9_male</t>
  </si>
  <si>
    <t>illness_g9_female</t>
  </si>
  <si>
    <t>illness_g10_male</t>
  </si>
  <si>
    <t>illness_g10_female</t>
  </si>
  <si>
    <t>overage_g7_male</t>
  </si>
  <si>
    <t>overage_g7_female</t>
  </si>
  <si>
    <t>overage_g8_male</t>
  </si>
  <si>
    <t>overage_g8_female</t>
  </si>
  <si>
    <t>overage_g9_male</t>
  </si>
  <si>
    <t>overage_g9_female</t>
  </si>
  <si>
    <t>overage_g10_male</t>
  </si>
  <si>
    <t>overage_g10_female</t>
  </si>
  <si>
    <t>drug_abuse_g7_male</t>
  </si>
  <si>
    <t>drug_abuse_g7_female</t>
  </si>
  <si>
    <t>drug_abuse_g8_male</t>
  </si>
  <si>
    <t>drug_abuse_g8_female</t>
  </si>
  <si>
    <t>drug_abuse_g9_male</t>
  </si>
  <si>
    <t>drug_abuse_g9_female</t>
  </si>
  <si>
    <t>drug_abuse_g10_male</t>
  </si>
  <si>
    <t>drug_abuse_g10_female</t>
  </si>
  <si>
    <t>poor_acad_perf_g7_male</t>
  </si>
  <si>
    <t>poor_acad_perf_g7_female</t>
  </si>
  <si>
    <t>poor_acad_perf_g8_male</t>
  </si>
  <si>
    <t>poor_acad_perf_g8_female</t>
  </si>
  <si>
    <t>poor_acad_perf_g9_male</t>
  </si>
  <si>
    <t>poor_acad_perf_g9_female</t>
  </si>
  <si>
    <t>poor_acad_perf_g10_male</t>
  </si>
  <si>
    <t>poor_acad_perf_g10_female</t>
  </si>
  <si>
    <t>lack_of_interest_g7_male</t>
  </si>
  <si>
    <t>lack_of_interest_g7_female</t>
  </si>
  <si>
    <t>lack_of_interest_g8_male</t>
  </si>
  <si>
    <t>lack_of_interest_g8_female</t>
  </si>
  <si>
    <t>lack_of_interest_g9_male</t>
  </si>
  <si>
    <t>lack_of_interest_g9_female</t>
  </si>
  <si>
    <t>lack_of_interest_g10_male</t>
  </si>
  <si>
    <t>lack_of_interest_g10_female</t>
  </si>
  <si>
    <t>hunger_malnu_g7_male</t>
  </si>
  <si>
    <t>hunger_malnu_g7_female</t>
  </si>
  <si>
    <t>hunger_malnu_g8_male</t>
  </si>
  <si>
    <t>hunger_malnu_g8_female</t>
  </si>
  <si>
    <t>hunger_malnu_g9_male</t>
  </si>
  <si>
    <t>hunger_malnu_g9_female</t>
  </si>
  <si>
    <t>hunger_malnu_g10_male</t>
  </si>
  <si>
    <t>hunger_malnu_g10_female</t>
  </si>
  <si>
    <t>teacher_factor_g7_male</t>
  </si>
  <si>
    <t>teacher_factor_g7_female</t>
  </si>
  <si>
    <t>teacher_factor_g8_male</t>
  </si>
  <si>
    <t>teacher_factor_g8_female</t>
  </si>
  <si>
    <t>teacher_factor_g9_male</t>
  </si>
  <si>
    <t>teacher_factor_g9_female</t>
  </si>
  <si>
    <t>teacher_factor_g10_male</t>
  </si>
  <si>
    <t>teacher_factor_g10_female</t>
  </si>
  <si>
    <t>physical_cond_classroom_g7_male</t>
  </si>
  <si>
    <t>physical_cond_classroom_g7_female</t>
  </si>
  <si>
    <t>physical_cond_classroom_g8_male</t>
  </si>
  <si>
    <t>physical_cond_classroom_g8_female</t>
  </si>
  <si>
    <t>physical_cond_classroom_g9_male</t>
  </si>
  <si>
    <t>physical_cond_classroom_g9_female</t>
  </si>
  <si>
    <t>physical_cond_classroom_g10_male</t>
  </si>
  <si>
    <t>physical_cond_classroom_g10_female</t>
  </si>
  <si>
    <t>peer_influ_g7_male</t>
  </si>
  <si>
    <t>peer_influ_g7_female</t>
  </si>
  <si>
    <t>peer_influ_g8_male</t>
  </si>
  <si>
    <t>peer_influ_g8_female</t>
  </si>
  <si>
    <t>peer_influ_g9_male</t>
  </si>
  <si>
    <t>peer_influ_g9_female</t>
  </si>
  <si>
    <t>peer_influ_g10_male</t>
  </si>
  <si>
    <t>peer_influ_g10_female</t>
  </si>
  <si>
    <t>distance_home_school_g7_male</t>
  </si>
  <si>
    <t>distance_home_school_g7_female</t>
  </si>
  <si>
    <t>distance_home_school_g8_male</t>
  </si>
  <si>
    <t>distance_home_school_g8_female</t>
  </si>
  <si>
    <t>distance_home_school_g9_male</t>
  </si>
  <si>
    <t>distance_home_school_g9_female</t>
  </si>
  <si>
    <t>distance_home_school_g10_male</t>
  </si>
  <si>
    <t>distance_home_school_g10_female</t>
  </si>
  <si>
    <t>armed_conflict_g7_male</t>
  </si>
  <si>
    <t>armed_conflict_g7_female</t>
  </si>
  <si>
    <t>armed_conflict_g8_male</t>
  </si>
  <si>
    <t>armed_conflict_g8_female</t>
  </si>
  <si>
    <t>armed_conflict_g9_male</t>
  </si>
  <si>
    <t>armed_conflict_g9_female</t>
  </si>
  <si>
    <t>armed_conflict_g10_male</t>
  </si>
  <si>
    <t>armed_conflict_g10_female</t>
  </si>
  <si>
    <t>calamities_g7_male</t>
  </si>
  <si>
    <t>calamities_g7_female</t>
  </si>
  <si>
    <t>calamities_g8_male</t>
  </si>
  <si>
    <t>calamities_g8_female</t>
  </si>
  <si>
    <t>calamities_g9_male</t>
  </si>
  <si>
    <t>calamities_g9_female</t>
  </si>
  <si>
    <t>calamities_g10_male</t>
  </si>
  <si>
    <t>calamities_g10_female</t>
  </si>
  <si>
    <t>child_labor_g7_male</t>
  </si>
  <si>
    <t>child_labor_g7_female</t>
  </si>
  <si>
    <t>child_labor_g8_male</t>
  </si>
  <si>
    <t>child_labor_g8_female</t>
  </si>
  <si>
    <t>child_labor_g9_male</t>
  </si>
  <si>
    <t>child_labor_g9_female</t>
  </si>
  <si>
    <t>child_labor_g10_male</t>
  </si>
  <si>
    <t>child_labor_g10_female</t>
  </si>
  <si>
    <t>others_g7_male</t>
  </si>
  <si>
    <t>others_g7_female</t>
  </si>
  <si>
    <t>others_g8_male</t>
  </si>
  <si>
    <t>others_g8_female</t>
  </si>
  <si>
    <t>others_g9_male</t>
  </si>
  <si>
    <t>others_g9_female</t>
  </si>
  <si>
    <t>others_g10_male</t>
  </si>
  <si>
    <t>others_g10_female</t>
  </si>
  <si>
    <t>Grade 7-10 &amp; Grade 11-12</t>
  </si>
  <si>
    <t>JHS with SHS</t>
  </si>
  <si>
    <t>Grade 7-10</t>
  </si>
  <si>
    <t>Purely JHS</t>
  </si>
  <si>
    <t>Mati National Comprehensive High School</t>
  </si>
  <si>
    <t>Mati SAT</t>
  </si>
  <si>
    <t>Badas NHS</t>
  </si>
  <si>
    <t>Mati Polytechnic College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</si>
  <si>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</si>
  <si>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</si>
  <si>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</si>
  <si>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</si>
  <si>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</si>
  <si>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</si>
  <si>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</si>
  <si>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</si>
  <si>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</si>
  <si>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</si>
  <si>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</si>
  <si>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Dawan NHS</t>
  </si>
  <si>
    <t>Libudon NHS</t>
  </si>
  <si>
    <t>Macambol NHS</t>
  </si>
  <si>
    <t>Sanghay National High School</t>
  </si>
  <si>
    <t>END OF SCHOOL YEAR DATABASE CAUSES OF DROPOUT (ALL SECTOR)</t>
  </si>
  <si>
    <t>Total SHS Dropout</t>
  </si>
  <si>
    <t>Grade 11</t>
  </si>
  <si>
    <t>Grade 12</t>
  </si>
  <si>
    <t>Grand Total</t>
  </si>
  <si>
    <t>take_care_siblings_g11_male</t>
  </si>
  <si>
    <t>take_care_siblings_g11_female</t>
  </si>
  <si>
    <t>take_care_siblings_g12_male</t>
  </si>
  <si>
    <t>take_care_siblings_g12_female</t>
  </si>
  <si>
    <t>marr_preg_g11_male</t>
  </si>
  <si>
    <t>marr_preg_g11_female</t>
  </si>
  <si>
    <t>marr_preg_g12_male</t>
  </si>
  <si>
    <t>marr_preg_g12_female</t>
  </si>
  <si>
    <t>parents_toward_school_g11_male</t>
  </si>
  <si>
    <t>parents_toward_school_g11_female</t>
  </si>
  <si>
    <t>parents_toward_school_g12_male</t>
  </si>
  <si>
    <t>parents_toward_school_g12_female</t>
  </si>
  <si>
    <t>fam_prob_feuds_g11_male</t>
  </si>
  <si>
    <t>fam_prob_feuds_g11_female</t>
  </si>
  <si>
    <t>fam_prob_feuds_g12_male</t>
  </si>
  <si>
    <t>fam_prob_feuds_g12_female</t>
  </si>
  <si>
    <t>illness_g11_male</t>
  </si>
  <si>
    <t>illness_g11_female</t>
  </si>
  <si>
    <t>illness_g12_male</t>
  </si>
  <si>
    <t>illness_g12_female</t>
  </si>
  <si>
    <t>overage_g11_male</t>
  </si>
  <si>
    <t>overage_g11_female</t>
  </si>
  <si>
    <t>overage_g12_male</t>
  </si>
  <si>
    <t>overage_g12_female</t>
  </si>
  <si>
    <t>drug_abuse_g11_male</t>
  </si>
  <si>
    <t>drug_abuse_g11_female</t>
  </si>
  <si>
    <t>drug_abuse_g12_male</t>
  </si>
  <si>
    <t>drug_abuse_g12_female</t>
  </si>
  <si>
    <t>poor_acad_perf_g11_male</t>
  </si>
  <si>
    <t>poor_acad_perf_g11_female</t>
  </si>
  <si>
    <t>poor_acad_perf_g12_male</t>
  </si>
  <si>
    <t>poor_acad_perf_g12_female</t>
  </si>
  <si>
    <t>lack_of_interest_g11_male</t>
  </si>
  <si>
    <t>lack_of_interest_g11_female</t>
  </si>
  <si>
    <t>lack_of_interest_g12_male</t>
  </si>
  <si>
    <t>lack_of_interest_g12_female</t>
  </si>
  <si>
    <t>hunger_malnu_g11_male</t>
  </si>
  <si>
    <t>hunger_malnu_g11_female</t>
  </si>
  <si>
    <t>hunger_malnu_g12_male</t>
  </si>
  <si>
    <t>hunger_malnu_g12_female</t>
  </si>
  <si>
    <t>teacher_factor_g11_male</t>
  </si>
  <si>
    <t>teacher_factor_g11_female</t>
  </si>
  <si>
    <t>teacher_factor_g12_male</t>
  </si>
  <si>
    <t>teacher_factor_g12_female</t>
  </si>
  <si>
    <t>physical_cond_classroom_g11_male</t>
  </si>
  <si>
    <t>physical_cond_classroom_g11_female</t>
  </si>
  <si>
    <t>physical_cond_classroom_g12_male</t>
  </si>
  <si>
    <t>physical_cond_classroom_g12_female</t>
  </si>
  <si>
    <t>peer_influ_g11_male</t>
  </si>
  <si>
    <t>peer_influ_g11_female</t>
  </si>
  <si>
    <t>peer_influ_g12_male</t>
  </si>
  <si>
    <t>peer_influ_g12_female</t>
  </si>
  <si>
    <t>distance_home_school_g11_male</t>
  </si>
  <si>
    <t>distance_home_school_g11_female</t>
  </si>
  <si>
    <t>distance_home_school_g12_male</t>
  </si>
  <si>
    <t>distance_home_school_g12_female</t>
  </si>
  <si>
    <t>armed_conflict_g11_male</t>
  </si>
  <si>
    <t>armed_conflict_g11_female</t>
  </si>
  <si>
    <t>armed_conflict_g12_male</t>
  </si>
  <si>
    <t>armed_conflict_g12_female</t>
  </si>
  <si>
    <t>calamities_g11_male</t>
  </si>
  <si>
    <t>calamities_g11_female</t>
  </si>
  <si>
    <t>calamities_g12_male</t>
  </si>
  <si>
    <t>calamities_g12_female</t>
  </si>
  <si>
    <t>child_labor_g11_male</t>
  </si>
  <si>
    <t>child_labor_g11_female</t>
  </si>
  <si>
    <t>child_labor_g12_male</t>
  </si>
  <si>
    <t>child_labor_g12_female</t>
  </si>
  <si>
    <t>others_g11_male</t>
  </si>
  <si>
    <t>others_g11_female</t>
  </si>
  <si>
    <t>others_g12_male</t>
  </si>
  <si>
    <t>others_g12_female</t>
  </si>
  <si>
    <t>Grade 11-12</t>
  </si>
  <si>
    <t>Purely SHS</t>
  </si>
  <si>
    <t>Don Bosco Training Center-Mati, Inc.</t>
  </si>
  <si>
    <t>Career Centre Academie and Technological Institute, Inc.</t>
  </si>
  <si>
    <t xml:space="preserve">EOSY Number of Dropout, by Causes </t>
  </si>
  <si>
    <t>Division:</t>
  </si>
  <si>
    <t>Overall</t>
  </si>
  <si>
    <t>Davao City</t>
  </si>
  <si>
    <t>REGION XI_ES</t>
  </si>
  <si>
    <t>REGION XI_JHS</t>
  </si>
  <si>
    <t>REGION XI_SHS</t>
  </si>
  <si>
    <t>Davao De Oro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</si>
  <si>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</si>
  <si>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</si>
  <si>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</si>
  <si>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</si>
  <si>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</si>
  <si>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</si>
  <si>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Panabo City</t>
  </si>
  <si>
    <t>Tagum City</t>
  </si>
  <si>
    <t>REGION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</si>
</sst>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</font>
    <font>
      <b/>
      <sz val="11"/>
      <color theme="1"/>
      <name val="Calibri"/>
      <family val="2"/>
    </font>
    <font>
      <b/>
      <i/>
      <sz val="11"/>
      <name val="Calibri"/>
      <family val="2"/>
    </font>
    <font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2" fillId="0" borderId="0"/>
  </cellStyleXfs>
  <cellXfs count="61">
    <xf numFmtId="0" fontId="0" fillId="0" borderId="0" xfId="0"/>
    <xf numFmtId="0" fontId="3" fillId="0" borderId="0" xfId="2" applyFont="1"/>
    <xf numFmtId="164" fontId="1" fillId="0" borderId="1" xfId="1" applyNumberFormat="1" applyFont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1" fillId="0" borderId="0" xfId="0" applyFont="1"/>
    <xf numFmtId="0" fontId="6" fillId="0" borderId="0" xfId="0" applyFont="1"/>
    <xf numFmtId="0" fontId="0" fillId="2" borderId="0" xfId="0" applyFill="1" applyAlignment="1">
      <alignment horizontal="center"/>
    </xf>
    <xf numFmtId="0" fontId="7" fillId="0" borderId="0" xfId="0" applyFont="1"/>
    <xf numFmtId="0" fontId="0" fillId="0" borderId="2" xfId="0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0" fillId="0" borderId="14" xfId="0" applyBorder="1"/>
    <xf numFmtId="3" fontId="0" fillId="0" borderId="15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6" borderId="17" xfId="0" applyNumberFormat="1" applyFill="1" applyBorder="1" applyAlignment="1">
      <alignment horizontal="center" vertical="center"/>
    </xf>
    <xf numFmtId="3" fontId="0" fillId="0" borderId="18" xfId="0" applyNumberFormat="1" applyBorder="1" applyAlignment="1">
      <alignment horizontal="center" vertical="center"/>
    </xf>
    <xf numFmtId="3" fontId="0" fillId="7" borderId="19" xfId="0" applyNumberFormat="1" applyFill="1" applyBorder="1" applyAlignment="1">
      <alignment horizontal="center" vertical="center"/>
    </xf>
    <xf numFmtId="3" fontId="0" fillId="8" borderId="19" xfId="0" applyNumberFormat="1" applyFill="1" applyBorder="1" applyAlignment="1">
      <alignment horizontal="center" vertical="center"/>
    </xf>
    <xf numFmtId="0" fontId="0" fillId="0" borderId="20" xfId="0" applyBorder="1"/>
    <xf numFmtId="3" fontId="0" fillId="0" borderId="2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6" borderId="22" xfId="0" applyNumberFormat="1" applyFill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3" fontId="0" fillId="7" borderId="24" xfId="0" applyNumberFormat="1" applyFill="1" applyBorder="1" applyAlignment="1">
      <alignment horizontal="center" vertical="center"/>
    </xf>
    <xf numFmtId="3" fontId="0" fillId="8" borderId="24" xfId="0" applyNumberFormat="1" applyFill="1" applyBorder="1" applyAlignment="1">
      <alignment horizontal="center" vertical="center"/>
    </xf>
    <xf numFmtId="0" fontId="3" fillId="0" borderId="25" xfId="0" applyFont="1" applyBorder="1" applyAlignment="1">
      <alignment horizontal="right"/>
    </xf>
    <xf numFmtId="3" fontId="0" fillId="0" borderId="26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6" borderId="28" xfId="0" applyNumberFormat="1" applyFill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7" borderId="30" xfId="0" applyNumberFormat="1" applyFill="1" applyBorder="1" applyAlignment="1">
      <alignment horizontal="center" vertical="center"/>
    </xf>
    <xf numFmtId="3" fontId="0" fillId="8" borderId="30" xfId="0" applyNumberForma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0" fillId="0" borderId="31" xfId="0" applyBorder="1"/>
    <xf numFmtId="3" fontId="0" fillId="0" borderId="32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6" borderId="34" xfId="0" applyNumberFormat="1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7" borderId="35" xfId="0" applyNumberFormat="1" applyFill="1" applyBorder="1" applyAlignment="1">
      <alignment horizontal="center" vertical="center"/>
    </xf>
    <xf numFmtId="3" fontId="0" fillId="8" borderId="35" xfId="0" applyNumberFormat="1" applyFill="1" applyBorder="1" applyAlignment="1">
      <alignment horizontal="center" vertical="center"/>
    </xf>
    <xf numFmtId="3" fontId="0" fillId="0" borderId="36" xfId="0" applyNumberForma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A8E68DE1-9F00-432D-9040-8AB0911E8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CE62-942D-47AD-92ED-EFB5A4CABD39}">
  <dimension ref="A1:NH67"/>
  <sheetViews>
    <sheetView tabSelected="1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28.5703125" customWidth="1"/>
    <col min="7" max="7" width="0" hidden="1" customWidth="1"/>
    <col min="9" max="11" width="0" hidden="1" customWidth="1"/>
  </cols>
  <sheetData>
    <row r="1" spans="1:372" x14ac:dyDescent="0.25">
      <c r="A1" s="1" t="s">
        <v>0</v>
      </c>
    </row>
    <row r="2" spans="1:372" x14ac:dyDescent="0.25">
      <c r="A2" s="1" t="s">
        <v>1</v>
      </c>
      <c r="L2" s="7" t="s">
        <v>2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 t="s">
        <v>3</v>
      </c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 t="s">
        <v>4</v>
      </c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 t="s">
        <v>5</v>
      </c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 t="s">
        <v>6</v>
      </c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 t="s">
        <v>7</v>
      </c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 t="s">
        <v>8</v>
      </c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 t="s">
        <v>9</v>
      </c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 t="s">
        <v>10</v>
      </c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 t="s">
        <v>11</v>
      </c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 t="s">
        <v>12</v>
      </c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 t="s">
        <v>13</v>
      </c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 t="s">
        <v>14</v>
      </c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 t="s">
        <v>15</v>
      </c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 t="s">
        <v>16</v>
      </c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 t="s">
        <v>17</v>
      </c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 t="s">
        <v>18</v>
      </c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 t="s">
        <v>19</v>
      </c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 t="s">
        <v>20</v>
      </c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</row>
    <row r="3" spans="1:372" x14ac:dyDescent="0.25">
      <c r="A3" s="1" t="s">
        <v>21</v>
      </c>
      <c r="L3" s="6" t="s">
        <v>22</v>
      </c>
      <c r="M3" s="6"/>
      <c r="N3" s="6" t="s">
        <v>23</v>
      </c>
      <c r="O3" s="6"/>
      <c r="P3" s="6" t="s">
        <v>24</v>
      </c>
      <c r="Q3" s="6"/>
      <c r="R3" s="6" t="s">
        <v>25</v>
      </c>
      <c r="S3" s="6"/>
      <c r="T3" s="6" t="s">
        <v>26</v>
      </c>
      <c r="U3" s="6"/>
      <c r="V3" s="6" t="s">
        <v>27</v>
      </c>
      <c r="W3" s="6"/>
      <c r="X3" s="6" t="s">
        <v>28</v>
      </c>
      <c r="Y3" s="6"/>
      <c r="Z3" s="6" t="s">
        <v>29</v>
      </c>
      <c r="AA3" s="6"/>
      <c r="AB3" s="6" t="s">
        <v>30</v>
      </c>
      <c r="AC3" s="6"/>
      <c r="AD3" s="6"/>
      <c r="AE3" s="6" t="s">
        <v>22</v>
      </c>
      <c r="AF3" s="6"/>
      <c r="AG3" s="6" t="s">
        <v>23</v>
      </c>
      <c r="AH3" s="6"/>
      <c r="AI3" s="6" t="s">
        <v>24</v>
      </c>
      <c r="AJ3" s="6"/>
      <c r="AK3" s="6" t="s">
        <v>25</v>
      </c>
      <c r="AL3" s="6"/>
      <c r="AM3" s="6" t="s">
        <v>26</v>
      </c>
      <c r="AN3" s="6"/>
      <c r="AO3" s="6" t="s">
        <v>27</v>
      </c>
      <c r="AP3" s="6"/>
      <c r="AQ3" s="6" t="s">
        <v>28</v>
      </c>
      <c r="AR3" s="6"/>
      <c r="AS3" s="6" t="s">
        <v>29</v>
      </c>
      <c r="AT3" s="6"/>
      <c r="AU3" s="6" t="s">
        <v>30</v>
      </c>
      <c r="AV3" s="6"/>
      <c r="AW3" s="6"/>
      <c r="AX3" s="6" t="s">
        <v>22</v>
      </c>
      <c r="AY3" s="6"/>
      <c r="AZ3" s="6" t="s">
        <v>23</v>
      </c>
      <c r="BA3" s="6"/>
      <c r="BB3" s="6" t="s">
        <v>24</v>
      </c>
      <c r="BC3" s="6"/>
      <c r="BD3" s="6" t="s">
        <v>25</v>
      </c>
      <c r="BE3" s="6"/>
      <c r="BF3" s="6" t="s">
        <v>26</v>
      </c>
      <c r="BG3" s="6"/>
      <c r="BH3" s="6" t="s">
        <v>27</v>
      </c>
      <c r="BI3" s="6"/>
      <c r="BJ3" s="6" t="s">
        <v>28</v>
      </c>
      <c r="BK3" s="6"/>
      <c r="BL3" s="6" t="s">
        <v>29</v>
      </c>
      <c r="BM3" s="6"/>
      <c r="BN3" s="6" t="s">
        <v>30</v>
      </c>
      <c r="BO3" s="6"/>
      <c r="BP3" s="6"/>
      <c r="BQ3" s="6" t="s">
        <v>22</v>
      </c>
      <c r="BR3" s="6"/>
      <c r="BS3" s="6" t="s">
        <v>23</v>
      </c>
      <c r="BT3" s="6"/>
      <c r="BU3" s="6" t="s">
        <v>24</v>
      </c>
      <c r="BV3" s="6"/>
      <c r="BW3" s="6" t="s">
        <v>25</v>
      </c>
      <c r="BX3" s="6"/>
      <c r="BY3" s="6" t="s">
        <v>26</v>
      </c>
      <c r="BZ3" s="6"/>
      <c r="CA3" s="6" t="s">
        <v>27</v>
      </c>
      <c r="CB3" s="6"/>
      <c r="CC3" s="6" t="s">
        <v>28</v>
      </c>
      <c r="CD3" s="6"/>
      <c r="CE3" s="6" t="s">
        <v>29</v>
      </c>
      <c r="CF3" s="6"/>
      <c r="CG3" s="6" t="s">
        <v>30</v>
      </c>
      <c r="CH3" s="6"/>
      <c r="CI3" s="6"/>
      <c r="CJ3" s="6" t="s">
        <v>22</v>
      </c>
      <c r="CK3" s="6"/>
      <c r="CL3" s="6" t="s">
        <v>23</v>
      </c>
      <c r="CM3" s="6"/>
      <c r="CN3" s="6" t="s">
        <v>24</v>
      </c>
      <c r="CO3" s="6"/>
      <c r="CP3" s="6" t="s">
        <v>25</v>
      </c>
      <c r="CQ3" s="6"/>
      <c r="CR3" s="6" t="s">
        <v>26</v>
      </c>
      <c r="CS3" s="6"/>
      <c r="CT3" s="6" t="s">
        <v>27</v>
      </c>
      <c r="CU3" s="6"/>
      <c r="CV3" s="6" t="s">
        <v>28</v>
      </c>
      <c r="CW3" s="6"/>
      <c r="CX3" s="6" t="s">
        <v>29</v>
      </c>
      <c r="CY3" s="6"/>
      <c r="CZ3" s="6" t="s">
        <v>30</v>
      </c>
      <c r="DA3" s="6"/>
      <c r="DB3" s="6"/>
      <c r="DC3" s="6" t="s">
        <v>22</v>
      </c>
      <c r="DD3" s="6"/>
      <c r="DE3" s="6" t="s">
        <v>23</v>
      </c>
      <c r="DF3" s="6"/>
      <c r="DG3" s="6" t="s">
        <v>24</v>
      </c>
      <c r="DH3" s="6"/>
      <c r="DI3" s="6" t="s">
        <v>25</v>
      </c>
      <c r="DJ3" s="6"/>
      <c r="DK3" s="6" t="s">
        <v>26</v>
      </c>
      <c r="DL3" s="6"/>
      <c r="DM3" s="6" t="s">
        <v>27</v>
      </c>
      <c r="DN3" s="6"/>
      <c r="DO3" s="6" t="s">
        <v>28</v>
      </c>
      <c r="DP3" s="6"/>
      <c r="DQ3" s="6" t="s">
        <v>29</v>
      </c>
      <c r="DR3" s="6"/>
      <c r="DS3" s="6" t="s">
        <v>30</v>
      </c>
      <c r="DT3" s="6"/>
      <c r="DU3" s="6"/>
      <c r="DV3" s="6" t="s">
        <v>22</v>
      </c>
      <c r="DW3" s="6"/>
      <c r="DX3" s="6" t="s">
        <v>23</v>
      </c>
      <c r="DY3" s="6"/>
      <c r="DZ3" s="6" t="s">
        <v>24</v>
      </c>
      <c r="EA3" s="6"/>
      <c r="EB3" s="6" t="s">
        <v>25</v>
      </c>
      <c r="EC3" s="6"/>
      <c r="ED3" s="6" t="s">
        <v>26</v>
      </c>
      <c r="EE3" s="6"/>
      <c r="EF3" s="6" t="s">
        <v>27</v>
      </c>
      <c r="EG3" s="6"/>
      <c r="EH3" s="6" t="s">
        <v>28</v>
      </c>
      <c r="EI3" s="6"/>
      <c r="EJ3" s="6" t="s">
        <v>29</v>
      </c>
      <c r="EK3" s="6"/>
      <c r="EL3" s="6" t="s">
        <v>30</v>
      </c>
      <c r="EM3" s="6"/>
      <c r="EN3" s="6"/>
      <c r="EO3" s="6" t="s">
        <v>22</v>
      </c>
      <c r="EP3" s="6"/>
      <c r="EQ3" s="6" t="s">
        <v>23</v>
      </c>
      <c r="ER3" s="6"/>
      <c r="ES3" s="6" t="s">
        <v>24</v>
      </c>
      <c r="ET3" s="6"/>
      <c r="EU3" s="6" t="s">
        <v>25</v>
      </c>
      <c r="EV3" s="6"/>
      <c r="EW3" s="6" t="s">
        <v>26</v>
      </c>
      <c r="EX3" s="6"/>
      <c r="EY3" s="6" t="s">
        <v>27</v>
      </c>
      <c r="EZ3" s="6"/>
      <c r="FA3" s="6" t="s">
        <v>28</v>
      </c>
      <c r="FB3" s="6"/>
      <c r="FC3" s="6" t="s">
        <v>29</v>
      </c>
      <c r="FD3" s="6"/>
      <c r="FE3" s="6" t="s">
        <v>30</v>
      </c>
      <c r="FF3" s="6"/>
      <c r="FG3" s="6"/>
      <c r="FH3" s="6" t="s">
        <v>22</v>
      </c>
      <c r="FI3" s="6"/>
      <c r="FJ3" s="6" t="s">
        <v>23</v>
      </c>
      <c r="FK3" s="6"/>
      <c r="FL3" s="6" t="s">
        <v>24</v>
      </c>
      <c r="FM3" s="6"/>
      <c r="FN3" s="6" t="s">
        <v>25</v>
      </c>
      <c r="FO3" s="6"/>
      <c r="FP3" s="6" t="s">
        <v>26</v>
      </c>
      <c r="FQ3" s="6"/>
      <c r="FR3" s="6" t="s">
        <v>27</v>
      </c>
      <c r="FS3" s="6"/>
      <c r="FT3" s="6" t="s">
        <v>28</v>
      </c>
      <c r="FU3" s="6"/>
      <c r="FV3" s="6" t="s">
        <v>29</v>
      </c>
      <c r="FW3" s="6"/>
      <c r="FX3" s="6" t="s">
        <v>30</v>
      </c>
      <c r="FY3" s="6"/>
      <c r="FZ3" s="6"/>
      <c r="GA3" s="6" t="s">
        <v>22</v>
      </c>
      <c r="GB3" s="6"/>
      <c r="GC3" s="6" t="s">
        <v>23</v>
      </c>
      <c r="GD3" s="6"/>
      <c r="GE3" s="6" t="s">
        <v>24</v>
      </c>
      <c r="GF3" s="6"/>
      <c r="GG3" s="6" t="s">
        <v>25</v>
      </c>
      <c r="GH3" s="6"/>
      <c r="GI3" s="6" t="s">
        <v>26</v>
      </c>
      <c r="GJ3" s="6"/>
      <c r="GK3" s="6" t="s">
        <v>27</v>
      </c>
      <c r="GL3" s="6"/>
      <c r="GM3" s="6" t="s">
        <v>28</v>
      </c>
      <c r="GN3" s="6"/>
      <c r="GO3" s="6" t="s">
        <v>29</v>
      </c>
      <c r="GP3" s="6"/>
      <c r="GQ3" s="6" t="s">
        <v>30</v>
      </c>
      <c r="GR3" s="6"/>
      <c r="GS3" s="6"/>
      <c r="GT3" s="6" t="s">
        <v>22</v>
      </c>
      <c r="GU3" s="6"/>
      <c r="GV3" s="6" t="s">
        <v>23</v>
      </c>
      <c r="GW3" s="6"/>
      <c r="GX3" s="6" t="s">
        <v>24</v>
      </c>
      <c r="GY3" s="6"/>
      <c r="GZ3" s="6" t="s">
        <v>25</v>
      </c>
      <c r="HA3" s="6"/>
      <c r="HB3" s="6" t="s">
        <v>26</v>
      </c>
      <c r="HC3" s="6"/>
      <c r="HD3" s="6" t="s">
        <v>27</v>
      </c>
      <c r="HE3" s="6"/>
      <c r="HF3" s="6" t="s">
        <v>28</v>
      </c>
      <c r="HG3" s="6"/>
      <c r="HH3" s="6" t="s">
        <v>29</v>
      </c>
      <c r="HI3" s="6"/>
      <c r="HJ3" s="6" t="s">
        <v>30</v>
      </c>
      <c r="HK3" s="6"/>
      <c r="HL3" s="6"/>
      <c r="HM3" s="6" t="s">
        <v>22</v>
      </c>
      <c r="HN3" s="6"/>
      <c r="HO3" s="6" t="s">
        <v>23</v>
      </c>
      <c r="HP3" s="6"/>
      <c r="HQ3" s="6" t="s">
        <v>24</v>
      </c>
      <c r="HR3" s="6"/>
      <c r="HS3" s="6" t="s">
        <v>25</v>
      </c>
      <c r="HT3" s="6"/>
      <c r="HU3" s="6" t="s">
        <v>26</v>
      </c>
      <c r="HV3" s="6"/>
      <c r="HW3" s="6" t="s">
        <v>27</v>
      </c>
      <c r="HX3" s="6"/>
      <c r="HY3" s="6" t="s">
        <v>28</v>
      </c>
      <c r="HZ3" s="6"/>
      <c r="IA3" s="6" t="s">
        <v>29</v>
      </c>
      <c r="IB3" s="6"/>
      <c r="IC3" s="6" t="s">
        <v>30</v>
      </c>
      <c r="ID3" s="6"/>
      <c r="IE3" s="6"/>
      <c r="IF3" s="6" t="s">
        <v>22</v>
      </c>
      <c r="IG3" s="6"/>
      <c r="IH3" s="6" t="s">
        <v>23</v>
      </c>
      <c r="II3" s="6"/>
      <c r="IJ3" s="6" t="s">
        <v>24</v>
      </c>
      <c r="IK3" s="6"/>
      <c r="IL3" s="6" t="s">
        <v>25</v>
      </c>
      <c r="IM3" s="6"/>
      <c r="IN3" s="6" t="s">
        <v>26</v>
      </c>
      <c r="IO3" s="6"/>
      <c r="IP3" s="6" t="s">
        <v>27</v>
      </c>
      <c r="IQ3" s="6"/>
      <c r="IR3" s="6" t="s">
        <v>28</v>
      </c>
      <c r="IS3" s="6"/>
      <c r="IT3" s="6" t="s">
        <v>29</v>
      </c>
      <c r="IU3" s="6"/>
      <c r="IV3" s="6" t="s">
        <v>30</v>
      </c>
      <c r="IW3" s="6"/>
      <c r="IX3" s="6"/>
      <c r="IY3" s="6" t="s">
        <v>22</v>
      </c>
      <c r="IZ3" s="6"/>
      <c r="JA3" s="6" t="s">
        <v>23</v>
      </c>
      <c r="JB3" s="6"/>
      <c r="JC3" s="6" t="s">
        <v>24</v>
      </c>
      <c r="JD3" s="6"/>
      <c r="JE3" s="6" t="s">
        <v>25</v>
      </c>
      <c r="JF3" s="6"/>
      <c r="JG3" s="6" t="s">
        <v>26</v>
      </c>
      <c r="JH3" s="6"/>
      <c r="JI3" s="6" t="s">
        <v>27</v>
      </c>
      <c r="JJ3" s="6"/>
      <c r="JK3" s="6" t="s">
        <v>28</v>
      </c>
      <c r="JL3" s="6"/>
      <c r="JM3" s="6" t="s">
        <v>29</v>
      </c>
      <c r="JN3" s="6"/>
      <c r="JO3" s="6" t="s">
        <v>30</v>
      </c>
      <c r="JP3" s="6"/>
      <c r="JQ3" s="6"/>
      <c r="JR3" s="6" t="s">
        <v>22</v>
      </c>
      <c r="JS3" s="6"/>
      <c r="JT3" s="6" t="s">
        <v>23</v>
      </c>
      <c r="JU3" s="6"/>
      <c r="JV3" s="6" t="s">
        <v>24</v>
      </c>
      <c r="JW3" s="6"/>
      <c r="JX3" s="6" t="s">
        <v>25</v>
      </c>
      <c r="JY3" s="6"/>
      <c r="JZ3" s="6" t="s">
        <v>26</v>
      </c>
      <c r="KA3" s="6"/>
      <c r="KB3" s="6" t="s">
        <v>27</v>
      </c>
      <c r="KC3" s="6"/>
      <c r="KD3" s="6" t="s">
        <v>28</v>
      </c>
      <c r="KE3" s="6"/>
      <c r="KF3" s="6" t="s">
        <v>29</v>
      </c>
      <c r="KG3" s="6"/>
      <c r="KH3" s="6" t="s">
        <v>30</v>
      </c>
      <c r="KI3" s="6"/>
      <c r="KJ3" s="6"/>
      <c r="KK3" s="6" t="s">
        <v>22</v>
      </c>
      <c r="KL3" s="6"/>
      <c r="KM3" s="6" t="s">
        <v>23</v>
      </c>
      <c r="KN3" s="6"/>
      <c r="KO3" s="6" t="s">
        <v>24</v>
      </c>
      <c r="KP3" s="6"/>
      <c r="KQ3" s="6" t="s">
        <v>25</v>
      </c>
      <c r="KR3" s="6"/>
      <c r="KS3" s="6" t="s">
        <v>26</v>
      </c>
      <c r="KT3" s="6"/>
      <c r="KU3" s="6" t="s">
        <v>27</v>
      </c>
      <c r="KV3" s="6"/>
      <c r="KW3" s="6" t="s">
        <v>28</v>
      </c>
      <c r="KX3" s="6"/>
      <c r="KY3" s="6" t="s">
        <v>29</v>
      </c>
      <c r="KZ3" s="6"/>
      <c r="LA3" s="6" t="s">
        <v>30</v>
      </c>
      <c r="LB3" s="6"/>
      <c r="LC3" s="6"/>
      <c r="LD3" s="6" t="s">
        <v>22</v>
      </c>
      <c r="LE3" s="6"/>
      <c r="LF3" s="6" t="s">
        <v>23</v>
      </c>
      <c r="LG3" s="6"/>
      <c r="LH3" s="6" t="s">
        <v>24</v>
      </c>
      <c r="LI3" s="6"/>
      <c r="LJ3" s="6" t="s">
        <v>25</v>
      </c>
      <c r="LK3" s="6"/>
      <c r="LL3" s="6" t="s">
        <v>26</v>
      </c>
      <c r="LM3" s="6"/>
      <c r="LN3" s="6" t="s">
        <v>27</v>
      </c>
      <c r="LO3" s="6"/>
      <c r="LP3" s="6" t="s">
        <v>28</v>
      </c>
      <c r="LQ3" s="6"/>
      <c r="LR3" s="6" t="s">
        <v>29</v>
      </c>
      <c r="LS3" s="6"/>
      <c r="LT3" s="6" t="s">
        <v>30</v>
      </c>
      <c r="LU3" s="6"/>
      <c r="LV3" s="6"/>
      <c r="LW3" s="6" t="s">
        <v>22</v>
      </c>
      <c r="LX3" s="6"/>
      <c r="LY3" s="6" t="s">
        <v>23</v>
      </c>
      <c r="LZ3" s="6"/>
      <c r="MA3" s="6" t="s">
        <v>24</v>
      </c>
      <c r="MB3" s="6"/>
      <c r="MC3" s="6" t="s">
        <v>25</v>
      </c>
      <c r="MD3" s="6"/>
      <c r="ME3" s="6" t="s">
        <v>26</v>
      </c>
      <c r="MF3" s="6"/>
      <c r="MG3" s="6" t="s">
        <v>27</v>
      </c>
      <c r="MH3" s="6"/>
      <c r="MI3" s="6" t="s">
        <v>28</v>
      </c>
      <c r="MJ3" s="6"/>
      <c r="MK3" s="6" t="s">
        <v>29</v>
      </c>
      <c r="ML3" s="6"/>
      <c r="MM3" s="6" t="s">
        <v>30</v>
      </c>
      <c r="MN3" s="6"/>
      <c r="MO3" s="6"/>
      <c r="MP3" s="6" t="s">
        <v>22</v>
      </c>
      <c r="MQ3" s="6"/>
      <c r="MR3" s="6" t="s">
        <v>23</v>
      </c>
      <c r="MS3" s="6"/>
      <c r="MT3" s="6" t="s">
        <v>24</v>
      </c>
      <c r="MU3" s="6"/>
      <c r="MV3" s="6" t="s">
        <v>25</v>
      </c>
      <c r="MW3" s="6"/>
      <c r="MX3" s="6" t="s">
        <v>26</v>
      </c>
      <c r="MY3" s="6"/>
      <c r="MZ3" s="6" t="s">
        <v>27</v>
      </c>
      <c r="NA3" s="6"/>
      <c r="NB3" s="6" t="s">
        <v>28</v>
      </c>
      <c r="NC3" s="6"/>
      <c r="ND3" s="6" t="s">
        <v>29</v>
      </c>
      <c r="NE3" s="6"/>
      <c r="NF3" s="6" t="s">
        <v>30</v>
      </c>
      <c r="NG3" s="6"/>
      <c r="NH3" s="6"/>
    </row>
    <row r="4" spans="1:372" x14ac:dyDescent="0.25">
      <c r="A4" s="1"/>
      <c r="L4" s="2" t="s">
        <v>31</v>
      </c>
      <c r="M4" s="2" t="s">
        <v>32</v>
      </c>
      <c r="N4" s="2" t="s">
        <v>31</v>
      </c>
      <c r="O4" s="2" t="s">
        <v>32</v>
      </c>
      <c r="P4" s="2" t="s">
        <v>31</v>
      </c>
      <c r="Q4" s="2" t="s">
        <v>32</v>
      </c>
      <c r="R4" s="2" t="s">
        <v>31</v>
      </c>
      <c r="S4" s="2" t="s">
        <v>32</v>
      </c>
      <c r="T4" s="2" t="s">
        <v>31</v>
      </c>
      <c r="U4" s="2" t="s">
        <v>32</v>
      </c>
      <c r="V4" s="2" t="s">
        <v>31</v>
      </c>
      <c r="W4" s="2" t="s">
        <v>32</v>
      </c>
      <c r="X4" s="2" t="s">
        <v>31</v>
      </c>
      <c r="Y4" s="2" t="s">
        <v>32</v>
      </c>
      <c r="Z4" s="2" t="s">
        <v>31</v>
      </c>
      <c r="AA4" s="2" t="s">
        <v>32</v>
      </c>
      <c r="AB4" s="2" t="s">
        <v>31</v>
      </c>
      <c r="AC4" s="2" t="s">
        <v>32</v>
      </c>
      <c r="AD4" s="2" t="s">
        <v>30</v>
      </c>
      <c r="AE4" s="2" t="s">
        <v>31</v>
      </c>
      <c r="AF4" s="2" t="s">
        <v>32</v>
      </c>
      <c r="AG4" s="2" t="s">
        <v>31</v>
      </c>
      <c r="AH4" s="2" t="s">
        <v>32</v>
      </c>
      <c r="AI4" s="2" t="s">
        <v>31</v>
      </c>
      <c r="AJ4" s="2" t="s">
        <v>32</v>
      </c>
      <c r="AK4" s="2" t="s">
        <v>31</v>
      </c>
      <c r="AL4" s="2" t="s">
        <v>32</v>
      </c>
      <c r="AM4" s="2" t="s">
        <v>31</v>
      </c>
      <c r="AN4" s="2" t="s">
        <v>32</v>
      </c>
      <c r="AO4" s="2" t="s">
        <v>31</v>
      </c>
      <c r="AP4" s="2" t="s">
        <v>32</v>
      </c>
      <c r="AQ4" s="2" t="s">
        <v>31</v>
      </c>
      <c r="AR4" s="2" t="s">
        <v>32</v>
      </c>
      <c r="AS4" s="2" t="s">
        <v>31</v>
      </c>
      <c r="AT4" s="2" t="s">
        <v>32</v>
      </c>
      <c r="AU4" s="2" t="s">
        <v>31</v>
      </c>
      <c r="AV4" s="2" t="s">
        <v>32</v>
      </c>
      <c r="AW4" s="2" t="s">
        <v>30</v>
      </c>
      <c r="AX4" s="2" t="s">
        <v>31</v>
      </c>
      <c r="AY4" s="2" t="s">
        <v>32</v>
      </c>
      <c r="AZ4" s="2" t="s">
        <v>31</v>
      </c>
      <c r="BA4" s="2" t="s">
        <v>32</v>
      </c>
      <c r="BB4" s="2" t="s">
        <v>31</v>
      </c>
      <c r="BC4" s="2" t="s">
        <v>32</v>
      </c>
      <c r="BD4" s="2" t="s">
        <v>31</v>
      </c>
      <c r="BE4" s="2" t="s">
        <v>32</v>
      </c>
      <c r="BF4" s="2" t="s">
        <v>31</v>
      </c>
      <c r="BG4" s="2" t="s">
        <v>32</v>
      </c>
      <c r="BH4" s="2" t="s">
        <v>31</v>
      </c>
      <c r="BI4" s="2" t="s">
        <v>32</v>
      </c>
      <c r="BJ4" s="2" t="s">
        <v>31</v>
      </c>
      <c r="BK4" s="2" t="s">
        <v>32</v>
      </c>
      <c r="BL4" s="2" t="s">
        <v>31</v>
      </c>
      <c r="BM4" s="2" t="s">
        <v>32</v>
      </c>
      <c r="BN4" s="2" t="s">
        <v>31</v>
      </c>
      <c r="BO4" s="2" t="s">
        <v>32</v>
      </c>
      <c r="BP4" s="2" t="s">
        <v>30</v>
      </c>
      <c r="BQ4" s="2" t="s">
        <v>31</v>
      </c>
      <c r="BR4" s="2" t="s">
        <v>32</v>
      </c>
      <c r="BS4" s="2" t="s">
        <v>31</v>
      </c>
      <c r="BT4" s="2" t="s">
        <v>32</v>
      </c>
      <c r="BU4" s="2" t="s">
        <v>31</v>
      </c>
      <c r="BV4" s="2" t="s">
        <v>32</v>
      </c>
      <c r="BW4" s="2" t="s">
        <v>31</v>
      </c>
      <c r="BX4" s="2" t="s">
        <v>32</v>
      </c>
      <c r="BY4" s="2" t="s">
        <v>31</v>
      </c>
      <c r="BZ4" s="2" t="s">
        <v>32</v>
      </c>
      <c r="CA4" s="2" t="s">
        <v>31</v>
      </c>
      <c r="CB4" s="2" t="s">
        <v>32</v>
      </c>
      <c r="CC4" s="2" t="s">
        <v>31</v>
      </c>
      <c r="CD4" s="2" t="s">
        <v>32</v>
      </c>
      <c r="CE4" s="2" t="s">
        <v>31</v>
      </c>
      <c r="CF4" s="2" t="s">
        <v>32</v>
      </c>
      <c r="CG4" s="2" t="s">
        <v>31</v>
      </c>
      <c r="CH4" s="2" t="s">
        <v>32</v>
      </c>
      <c r="CI4" s="2" t="s">
        <v>30</v>
      </c>
      <c r="CJ4" s="2" t="s">
        <v>31</v>
      </c>
      <c r="CK4" s="2" t="s">
        <v>32</v>
      </c>
      <c r="CL4" s="2" t="s">
        <v>31</v>
      </c>
      <c r="CM4" s="2" t="s">
        <v>32</v>
      </c>
      <c r="CN4" s="2" t="s">
        <v>31</v>
      </c>
      <c r="CO4" s="2" t="s">
        <v>32</v>
      </c>
      <c r="CP4" s="2" t="s">
        <v>31</v>
      </c>
      <c r="CQ4" s="2" t="s">
        <v>32</v>
      </c>
      <c r="CR4" s="2" t="s">
        <v>31</v>
      </c>
      <c r="CS4" s="2" t="s">
        <v>32</v>
      </c>
      <c r="CT4" s="2" t="s">
        <v>31</v>
      </c>
      <c r="CU4" s="2" t="s">
        <v>32</v>
      </c>
      <c r="CV4" s="2" t="s">
        <v>31</v>
      </c>
      <c r="CW4" s="2" t="s">
        <v>32</v>
      </c>
      <c r="CX4" s="2" t="s">
        <v>31</v>
      </c>
      <c r="CY4" s="2" t="s">
        <v>32</v>
      </c>
      <c r="CZ4" s="2" t="s">
        <v>31</v>
      </c>
      <c r="DA4" s="2" t="s">
        <v>32</v>
      </c>
      <c r="DB4" s="2" t="s">
        <v>30</v>
      </c>
      <c r="DC4" s="2" t="s">
        <v>31</v>
      </c>
      <c r="DD4" s="2" t="s">
        <v>32</v>
      </c>
      <c r="DE4" s="2" t="s">
        <v>31</v>
      </c>
      <c r="DF4" s="2" t="s">
        <v>32</v>
      </c>
      <c r="DG4" s="2" t="s">
        <v>31</v>
      </c>
      <c r="DH4" s="2" t="s">
        <v>32</v>
      </c>
      <c r="DI4" s="2" t="s">
        <v>31</v>
      </c>
      <c r="DJ4" s="2" t="s">
        <v>32</v>
      </c>
      <c r="DK4" s="2" t="s">
        <v>31</v>
      </c>
      <c r="DL4" s="2" t="s">
        <v>32</v>
      </c>
      <c r="DM4" s="2" t="s">
        <v>31</v>
      </c>
      <c r="DN4" s="2" t="s">
        <v>32</v>
      </c>
      <c r="DO4" s="2" t="s">
        <v>31</v>
      </c>
      <c r="DP4" s="2" t="s">
        <v>32</v>
      </c>
      <c r="DQ4" s="2" t="s">
        <v>31</v>
      </c>
      <c r="DR4" s="2" t="s">
        <v>32</v>
      </c>
      <c r="DS4" s="2" t="s">
        <v>31</v>
      </c>
      <c r="DT4" s="2" t="s">
        <v>32</v>
      </c>
      <c r="DU4" s="2" t="s">
        <v>30</v>
      </c>
      <c r="DV4" s="2" t="s">
        <v>31</v>
      </c>
      <c r="DW4" s="2" t="s">
        <v>32</v>
      </c>
      <c r="DX4" s="2" t="s">
        <v>31</v>
      </c>
      <c r="DY4" s="2" t="s">
        <v>32</v>
      </c>
      <c r="DZ4" s="2" t="s">
        <v>31</v>
      </c>
      <c r="EA4" s="2" t="s">
        <v>32</v>
      </c>
      <c r="EB4" s="2" t="s">
        <v>31</v>
      </c>
      <c r="EC4" s="2" t="s">
        <v>32</v>
      </c>
      <c r="ED4" s="2" t="s">
        <v>31</v>
      </c>
      <c r="EE4" s="2" t="s">
        <v>32</v>
      </c>
      <c r="EF4" s="2" t="s">
        <v>31</v>
      </c>
      <c r="EG4" s="2" t="s">
        <v>32</v>
      </c>
      <c r="EH4" s="2" t="s">
        <v>31</v>
      </c>
      <c r="EI4" s="2" t="s">
        <v>32</v>
      </c>
      <c r="EJ4" s="2" t="s">
        <v>31</v>
      </c>
      <c r="EK4" s="2" t="s">
        <v>32</v>
      </c>
      <c r="EL4" s="2" t="s">
        <v>31</v>
      </c>
      <c r="EM4" s="2" t="s">
        <v>32</v>
      </c>
      <c r="EN4" s="2" t="s">
        <v>30</v>
      </c>
      <c r="EO4" s="2" t="s">
        <v>31</v>
      </c>
      <c r="EP4" s="2" t="s">
        <v>32</v>
      </c>
      <c r="EQ4" s="2" t="s">
        <v>31</v>
      </c>
      <c r="ER4" s="2" t="s">
        <v>32</v>
      </c>
      <c r="ES4" s="2" t="s">
        <v>31</v>
      </c>
      <c r="ET4" s="2" t="s">
        <v>32</v>
      </c>
      <c r="EU4" s="2" t="s">
        <v>31</v>
      </c>
      <c r="EV4" s="2" t="s">
        <v>32</v>
      </c>
      <c r="EW4" s="2" t="s">
        <v>31</v>
      </c>
      <c r="EX4" s="2" t="s">
        <v>32</v>
      </c>
      <c r="EY4" s="2" t="s">
        <v>31</v>
      </c>
      <c r="EZ4" s="2" t="s">
        <v>32</v>
      </c>
      <c r="FA4" s="2" t="s">
        <v>31</v>
      </c>
      <c r="FB4" s="2" t="s">
        <v>32</v>
      </c>
      <c r="FC4" s="2" t="s">
        <v>31</v>
      </c>
      <c r="FD4" s="2" t="s">
        <v>32</v>
      </c>
      <c r="FE4" s="2" t="s">
        <v>31</v>
      </c>
      <c r="FF4" s="2" t="s">
        <v>32</v>
      </c>
      <c r="FG4" s="2" t="s">
        <v>30</v>
      </c>
      <c r="FH4" s="2" t="s">
        <v>31</v>
      </c>
      <c r="FI4" s="2" t="s">
        <v>32</v>
      </c>
      <c r="FJ4" s="2" t="s">
        <v>31</v>
      </c>
      <c r="FK4" s="2" t="s">
        <v>32</v>
      </c>
      <c r="FL4" s="2" t="s">
        <v>31</v>
      </c>
      <c r="FM4" s="2" t="s">
        <v>32</v>
      </c>
      <c r="FN4" s="2" t="s">
        <v>31</v>
      </c>
      <c r="FO4" s="2" t="s">
        <v>32</v>
      </c>
      <c r="FP4" s="2" t="s">
        <v>31</v>
      </c>
      <c r="FQ4" s="2" t="s">
        <v>32</v>
      </c>
      <c r="FR4" s="2" t="s">
        <v>31</v>
      </c>
      <c r="FS4" s="2" t="s">
        <v>32</v>
      </c>
      <c r="FT4" s="2" t="s">
        <v>31</v>
      </c>
      <c r="FU4" s="2" t="s">
        <v>32</v>
      </c>
      <c r="FV4" s="2" t="s">
        <v>31</v>
      </c>
      <c r="FW4" s="2" t="s">
        <v>32</v>
      </c>
      <c r="FX4" s="2" t="s">
        <v>31</v>
      </c>
      <c r="FY4" s="2" t="s">
        <v>32</v>
      </c>
      <c r="FZ4" s="2" t="s">
        <v>30</v>
      </c>
      <c r="GA4" s="2" t="s">
        <v>31</v>
      </c>
      <c r="GB4" s="2" t="s">
        <v>32</v>
      </c>
      <c r="GC4" s="2" t="s">
        <v>31</v>
      </c>
      <c r="GD4" s="2" t="s">
        <v>32</v>
      </c>
      <c r="GE4" s="2" t="s">
        <v>31</v>
      </c>
      <c r="GF4" s="2" t="s">
        <v>32</v>
      </c>
      <c r="GG4" s="2" t="s">
        <v>31</v>
      </c>
      <c r="GH4" s="2" t="s">
        <v>32</v>
      </c>
      <c r="GI4" s="2" t="s">
        <v>31</v>
      </c>
      <c r="GJ4" s="2" t="s">
        <v>32</v>
      </c>
      <c r="GK4" s="2" t="s">
        <v>31</v>
      </c>
      <c r="GL4" s="2" t="s">
        <v>32</v>
      </c>
      <c r="GM4" s="2" t="s">
        <v>31</v>
      </c>
      <c r="GN4" s="2" t="s">
        <v>32</v>
      </c>
      <c r="GO4" s="2" t="s">
        <v>31</v>
      </c>
      <c r="GP4" s="2" t="s">
        <v>32</v>
      </c>
      <c r="GQ4" s="2" t="s">
        <v>31</v>
      </c>
      <c r="GR4" s="2" t="s">
        <v>32</v>
      </c>
      <c r="GS4" s="2" t="s">
        <v>30</v>
      </c>
      <c r="GT4" s="2" t="s">
        <v>31</v>
      </c>
      <c r="GU4" s="2" t="s">
        <v>32</v>
      </c>
      <c r="GV4" s="2" t="s">
        <v>31</v>
      </c>
      <c r="GW4" s="2" t="s">
        <v>32</v>
      </c>
      <c r="GX4" s="2" t="s">
        <v>31</v>
      </c>
      <c r="GY4" s="2" t="s">
        <v>32</v>
      </c>
      <c r="GZ4" s="2" t="s">
        <v>31</v>
      </c>
      <c r="HA4" s="2" t="s">
        <v>32</v>
      </c>
      <c r="HB4" s="2" t="s">
        <v>31</v>
      </c>
      <c r="HC4" s="2" t="s">
        <v>32</v>
      </c>
      <c r="HD4" s="2" t="s">
        <v>31</v>
      </c>
      <c r="HE4" s="2" t="s">
        <v>32</v>
      </c>
      <c r="HF4" s="2" t="s">
        <v>31</v>
      </c>
      <c r="HG4" s="2" t="s">
        <v>32</v>
      </c>
      <c r="HH4" s="2" t="s">
        <v>31</v>
      </c>
      <c r="HI4" s="2" t="s">
        <v>32</v>
      </c>
      <c r="HJ4" s="2" t="s">
        <v>31</v>
      </c>
      <c r="HK4" s="2" t="s">
        <v>32</v>
      </c>
      <c r="HL4" s="2" t="s">
        <v>30</v>
      </c>
      <c r="HM4" s="2" t="s">
        <v>31</v>
      </c>
      <c r="HN4" s="2" t="s">
        <v>32</v>
      </c>
      <c r="HO4" s="2" t="s">
        <v>31</v>
      </c>
      <c r="HP4" s="2" t="s">
        <v>32</v>
      </c>
      <c r="HQ4" s="2" t="s">
        <v>31</v>
      </c>
      <c r="HR4" s="2" t="s">
        <v>32</v>
      </c>
      <c r="HS4" s="2" t="s">
        <v>31</v>
      </c>
      <c r="HT4" s="2" t="s">
        <v>32</v>
      </c>
      <c r="HU4" s="2" t="s">
        <v>31</v>
      </c>
      <c r="HV4" s="2" t="s">
        <v>32</v>
      </c>
      <c r="HW4" s="2" t="s">
        <v>31</v>
      </c>
      <c r="HX4" s="2" t="s">
        <v>32</v>
      </c>
      <c r="HY4" s="2" t="s">
        <v>31</v>
      </c>
      <c r="HZ4" s="2" t="s">
        <v>32</v>
      </c>
      <c r="IA4" s="2" t="s">
        <v>31</v>
      </c>
      <c r="IB4" s="2" t="s">
        <v>32</v>
      </c>
      <c r="IC4" s="2" t="s">
        <v>31</v>
      </c>
      <c r="ID4" s="2" t="s">
        <v>32</v>
      </c>
      <c r="IE4" s="2" t="s">
        <v>30</v>
      </c>
      <c r="IF4" s="2" t="s">
        <v>31</v>
      </c>
      <c r="IG4" s="2" t="s">
        <v>32</v>
      </c>
      <c r="IH4" s="2" t="s">
        <v>31</v>
      </c>
      <c r="II4" s="2" t="s">
        <v>32</v>
      </c>
      <c r="IJ4" s="2" t="s">
        <v>31</v>
      </c>
      <c r="IK4" s="2" t="s">
        <v>32</v>
      </c>
      <c r="IL4" s="2" t="s">
        <v>31</v>
      </c>
      <c r="IM4" s="2" t="s">
        <v>32</v>
      </c>
      <c r="IN4" s="2" t="s">
        <v>31</v>
      </c>
      <c r="IO4" s="2" t="s">
        <v>32</v>
      </c>
      <c r="IP4" s="2" t="s">
        <v>31</v>
      </c>
      <c r="IQ4" s="2" t="s">
        <v>32</v>
      </c>
      <c r="IR4" s="2" t="s">
        <v>31</v>
      </c>
      <c r="IS4" s="2" t="s">
        <v>32</v>
      </c>
      <c r="IT4" s="2" t="s">
        <v>31</v>
      </c>
      <c r="IU4" s="2" t="s">
        <v>32</v>
      </c>
      <c r="IV4" s="2" t="s">
        <v>31</v>
      </c>
      <c r="IW4" s="2" t="s">
        <v>32</v>
      </c>
      <c r="IX4" s="2" t="s">
        <v>30</v>
      </c>
      <c r="IY4" s="2" t="s">
        <v>31</v>
      </c>
      <c r="IZ4" s="2" t="s">
        <v>32</v>
      </c>
      <c r="JA4" s="2" t="s">
        <v>31</v>
      </c>
      <c r="JB4" s="2" t="s">
        <v>32</v>
      </c>
      <c r="JC4" s="2" t="s">
        <v>31</v>
      </c>
      <c r="JD4" s="2" t="s">
        <v>32</v>
      </c>
      <c r="JE4" s="2" t="s">
        <v>31</v>
      </c>
      <c r="JF4" s="2" t="s">
        <v>32</v>
      </c>
      <c r="JG4" s="2" t="s">
        <v>31</v>
      </c>
      <c r="JH4" s="2" t="s">
        <v>32</v>
      </c>
      <c r="JI4" s="2" t="s">
        <v>31</v>
      </c>
      <c r="JJ4" s="2" t="s">
        <v>32</v>
      </c>
      <c r="JK4" s="2" t="s">
        <v>31</v>
      </c>
      <c r="JL4" s="2" t="s">
        <v>32</v>
      </c>
      <c r="JM4" s="2" t="s">
        <v>31</v>
      </c>
      <c r="JN4" s="2" t="s">
        <v>32</v>
      </c>
      <c r="JO4" s="2" t="s">
        <v>31</v>
      </c>
      <c r="JP4" s="2" t="s">
        <v>32</v>
      </c>
      <c r="JQ4" s="2" t="s">
        <v>30</v>
      </c>
      <c r="JR4" s="2" t="s">
        <v>31</v>
      </c>
      <c r="JS4" s="2" t="s">
        <v>32</v>
      </c>
      <c r="JT4" s="2" t="s">
        <v>31</v>
      </c>
      <c r="JU4" s="2" t="s">
        <v>32</v>
      </c>
      <c r="JV4" s="2" t="s">
        <v>31</v>
      </c>
      <c r="JW4" s="2" t="s">
        <v>32</v>
      </c>
      <c r="JX4" s="2" t="s">
        <v>31</v>
      </c>
      <c r="JY4" s="2" t="s">
        <v>32</v>
      </c>
      <c r="JZ4" s="2" t="s">
        <v>31</v>
      </c>
      <c r="KA4" s="2" t="s">
        <v>32</v>
      </c>
      <c r="KB4" s="2" t="s">
        <v>31</v>
      </c>
      <c r="KC4" s="2" t="s">
        <v>32</v>
      </c>
      <c r="KD4" s="2" t="s">
        <v>31</v>
      </c>
      <c r="KE4" s="2" t="s">
        <v>32</v>
      </c>
      <c r="KF4" s="2" t="s">
        <v>31</v>
      </c>
      <c r="KG4" s="2" t="s">
        <v>32</v>
      </c>
      <c r="KH4" s="2" t="s">
        <v>31</v>
      </c>
      <c r="KI4" s="2" t="s">
        <v>32</v>
      </c>
      <c r="KJ4" s="2" t="s">
        <v>30</v>
      </c>
      <c r="KK4" s="2" t="s">
        <v>31</v>
      </c>
      <c r="KL4" s="2" t="s">
        <v>32</v>
      </c>
      <c r="KM4" s="2" t="s">
        <v>31</v>
      </c>
      <c r="KN4" s="2" t="s">
        <v>32</v>
      </c>
      <c r="KO4" s="2" t="s">
        <v>31</v>
      </c>
      <c r="KP4" s="2" t="s">
        <v>32</v>
      </c>
      <c r="KQ4" s="2" t="s">
        <v>31</v>
      </c>
      <c r="KR4" s="2" t="s">
        <v>32</v>
      </c>
      <c r="KS4" s="2" t="s">
        <v>31</v>
      </c>
      <c r="KT4" s="2" t="s">
        <v>32</v>
      </c>
      <c r="KU4" s="2" t="s">
        <v>31</v>
      </c>
      <c r="KV4" s="2" t="s">
        <v>32</v>
      </c>
      <c r="KW4" s="2" t="s">
        <v>31</v>
      </c>
      <c r="KX4" s="2" t="s">
        <v>32</v>
      </c>
      <c r="KY4" s="2" t="s">
        <v>31</v>
      </c>
      <c r="KZ4" s="2" t="s">
        <v>32</v>
      </c>
      <c r="LA4" s="2" t="s">
        <v>31</v>
      </c>
      <c r="LB4" s="2" t="s">
        <v>32</v>
      </c>
      <c r="LC4" s="2" t="s">
        <v>30</v>
      </c>
      <c r="LD4" s="2" t="s">
        <v>31</v>
      </c>
      <c r="LE4" s="2" t="s">
        <v>32</v>
      </c>
      <c r="LF4" s="2" t="s">
        <v>31</v>
      </c>
      <c r="LG4" s="2" t="s">
        <v>32</v>
      </c>
      <c r="LH4" s="2" t="s">
        <v>31</v>
      </c>
      <c r="LI4" s="2" t="s">
        <v>32</v>
      </c>
      <c r="LJ4" s="2" t="s">
        <v>31</v>
      </c>
      <c r="LK4" s="2" t="s">
        <v>32</v>
      </c>
      <c r="LL4" s="2" t="s">
        <v>31</v>
      </c>
      <c r="LM4" s="2" t="s">
        <v>32</v>
      </c>
      <c r="LN4" s="2" t="s">
        <v>31</v>
      </c>
      <c r="LO4" s="2" t="s">
        <v>32</v>
      </c>
      <c r="LP4" s="2" t="s">
        <v>31</v>
      </c>
      <c r="LQ4" s="2" t="s">
        <v>32</v>
      </c>
      <c r="LR4" s="2" t="s">
        <v>31</v>
      </c>
      <c r="LS4" s="2" t="s">
        <v>32</v>
      </c>
      <c r="LT4" s="2" t="s">
        <v>31</v>
      </c>
      <c r="LU4" s="2" t="s">
        <v>32</v>
      </c>
      <c r="LV4" s="2" t="s">
        <v>30</v>
      </c>
      <c r="LW4" s="2" t="s">
        <v>31</v>
      </c>
      <c r="LX4" s="2" t="s">
        <v>32</v>
      </c>
      <c r="LY4" s="2" t="s">
        <v>31</v>
      </c>
      <c r="LZ4" s="2" t="s">
        <v>32</v>
      </c>
      <c r="MA4" s="2" t="s">
        <v>31</v>
      </c>
      <c r="MB4" s="2" t="s">
        <v>32</v>
      </c>
      <c r="MC4" s="2" t="s">
        <v>31</v>
      </c>
      <c r="MD4" s="2" t="s">
        <v>32</v>
      </c>
      <c r="ME4" s="2" t="s">
        <v>31</v>
      </c>
      <c r="MF4" s="2" t="s">
        <v>32</v>
      </c>
      <c r="MG4" s="2" t="s">
        <v>31</v>
      </c>
      <c r="MH4" s="2" t="s">
        <v>32</v>
      </c>
      <c r="MI4" s="2" t="s">
        <v>31</v>
      </c>
      <c r="MJ4" s="2" t="s">
        <v>32</v>
      </c>
      <c r="MK4" s="2" t="s">
        <v>31</v>
      </c>
      <c r="ML4" s="2" t="s">
        <v>32</v>
      </c>
      <c r="MM4" s="2" t="s">
        <v>31</v>
      </c>
      <c r="MN4" s="2" t="s">
        <v>32</v>
      </c>
      <c r="MO4" s="2" t="s">
        <v>30</v>
      </c>
      <c r="MP4" s="2" t="s">
        <v>31</v>
      </c>
      <c r="MQ4" s="2" t="s">
        <v>32</v>
      </c>
      <c r="MR4" s="2" t="s">
        <v>31</v>
      </c>
      <c r="MS4" s="2" t="s">
        <v>32</v>
      </c>
      <c r="MT4" s="2" t="s">
        <v>31</v>
      </c>
      <c r="MU4" s="2" t="s">
        <v>32</v>
      </c>
      <c r="MV4" s="2" t="s">
        <v>31</v>
      </c>
      <c r="MW4" s="2" t="s">
        <v>32</v>
      </c>
      <c r="MX4" s="2" t="s">
        <v>31</v>
      </c>
      <c r="MY4" s="2" t="s">
        <v>32</v>
      </c>
      <c r="MZ4" s="2" t="s">
        <v>31</v>
      </c>
      <c r="NA4" s="2" t="s">
        <v>32</v>
      </c>
      <c r="NB4" s="2" t="s">
        <v>31</v>
      </c>
      <c r="NC4" s="2" t="s">
        <v>32</v>
      </c>
      <c r="ND4" s="2" t="s">
        <v>31</v>
      </c>
      <c r="NE4" s="2" t="s">
        <v>32</v>
      </c>
      <c r="NF4" s="2" t="s">
        <v>31</v>
      </c>
      <c r="NG4" s="2" t="s">
        <v>32</v>
      </c>
      <c r="NH4" s="2" t="s">
        <v>30</v>
      </c>
    </row>
    <row r="5" spans="1:372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44</v>
      </c>
      <c r="M5" s="3" t="s">
        <v>45</v>
      </c>
      <c r="N5" s="3" t="s">
        <v>46</v>
      </c>
      <c r="O5" s="3" t="s">
        <v>47</v>
      </c>
      <c r="P5" s="3" t="s">
        <v>48</v>
      </c>
      <c r="Q5" s="3" t="s">
        <v>49</v>
      </c>
      <c r="R5" s="3" t="s">
        <v>50</v>
      </c>
      <c r="S5" s="3" t="s">
        <v>51</v>
      </c>
      <c r="T5" s="3" t="s">
        <v>52</v>
      </c>
      <c r="U5" s="3" t="s">
        <v>53</v>
      </c>
      <c r="V5" s="3" t="s">
        <v>54</v>
      </c>
      <c r="W5" s="3" t="s">
        <v>55</v>
      </c>
      <c r="X5" s="3" t="s">
        <v>56</v>
      </c>
      <c r="Y5" s="3" t="s">
        <v>57</v>
      </c>
      <c r="Z5" s="3" t="s">
        <v>58</v>
      </c>
      <c r="AA5" s="3" t="s">
        <v>59</v>
      </c>
      <c r="AB5" s="2" t="s">
        <v>31</v>
      </c>
      <c r="AC5" s="2" t="s">
        <v>32</v>
      </c>
      <c r="AD5" s="2" t="s">
        <v>30</v>
      </c>
      <c r="AE5" s="3" t="s">
        <v>60</v>
      </c>
      <c r="AF5" s="3" t="s">
        <v>61</v>
      </c>
      <c r="AG5" s="3" t="s">
        <v>62</v>
      </c>
      <c r="AH5" s="3" t="s">
        <v>63</v>
      </c>
      <c r="AI5" s="3" t="s">
        <v>64</v>
      </c>
      <c r="AJ5" s="3" t="s">
        <v>65</v>
      </c>
      <c r="AK5" s="3" t="s">
        <v>66</v>
      </c>
      <c r="AL5" s="3" t="s">
        <v>67</v>
      </c>
      <c r="AM5" s="3" t="s">
        <v>68</v>
      </c>
      <c r="AN5" s="3" t="s">
        <v>69</v>
      </c>
      <c r="AO5" s="3" t="s">
        <v>70</v>
      </c>
      <c r="AP5" s="3" t="s">
        <v>71</v>
      </c>
      <c r="AQ5" s="3" t="s">
        <v>72</v>
      </c>
      <c r="AR5" s="3" t="s">
        <v>73</v>
      </c>
      <c r="AS5" s="3" t="s">
        <v>74</v>
      </c>
      <c r="AT5" s="3" t="s">
        <v>75</v>
      </c>
      <c r="AU5" s="2" t="s">
        <v>31</v>
      </c>
      <c r="AV5" s="2" t="s">
        <v>32</v>
      </c>
      <c r="AW5" s="2" t="s">
        <v>30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2" t="s">
        <v>31</v>
      </c>
      <c r="BO5" s="2" t="s">
        <v>32</v>
      </c>
      <c r="BP5" s="2" t="s">
        <v>30</v>
      </c>
      <c r="BQ5" s="3" t="s">
        <v>92</v>
      </c>
      <c r="BR5" s="3" t="s">
        <v>93</v>
      </c>
      <c r="BS5" s="3" t="s">
        <v>94</v>
      </c>
      <c r="BT5" s="3" t="s">
        <v>95</v>
      </c>
      <c r="BU5" s="3" t="s">
        <v>96</v>
      </c>
      <c r="BV5" s="3" t="s">
        <v>97</v>
      </c>
      <c r="BW5" s="3" t="s">
        <v>98</v>
      </c>
      <c r="BX5" s="3" t="s">
        <v>99</v>
      </c>
      <c r="BY5" s="3" t="s">
        <v>100</v>
      </c>
      <c r="BZ5" s="3" t="s">
        <v>101</v>
      </c>
      <c r="CA5" s="3" t="s">
        <v>102</v>
      </c>
      <c r="CB5" s="3" t="s">
        <v>103</v>
      </c>
      <c r="CC5" s="3" t="s">
        <v>104</v>
      </c>
      <c r="CD5" s="3" t="s">
        <v>105</v>
      </c>
      <c r="CE5" s="3" t="s">
        <v>106</v>
      </c>
      <c r="CF5" s="3" t="s">
        <v>107</v>
      </c>
      <c r="CG5" s="2" t="s">
        <v>31</v>
      </c>
      <c r="CH5" s="2" t="s">
        <v>32</v>
      </c>
      <c r="CI5" s="2" t="s">
        <v>30</v>
      </c>
      <c r="CJ5" s="3" t="s">
        <v>108</v>
      </c>
      <c r="CK5" s="3" t="s">
        <v>109</v>
      </c>
      <c r="CL5" s="3" t="s">
        <v>110</v>
      </c>
      <c r="CM5" s="3" t="s">
        <v>111</v>
      </c>
      <c r="CN5" s="3" t="s">
        <v>112</v>
      </c>
      <c r="CO5" s="3" t="s">
        <v>113</v>
      </c>
      <c r="CP5" s="3" t="s">
        <v>114</v>
      </c>
      <c r="CQ5" s="3" t="s">
        <v>115</v>
      </c>
      <c r="CR5" s="3" t="s">
        <v>116</v>
      </c>
      <c r="CS5" s="3" t="s">
        <v>117</v>
      </c>
      <c r="CT5" s="3" t="s">
        <v>118</v>
      </c>
      <c r="CU5" s="3" t="s">
        <v>119</v>
      </c>
      <c r="CV5" s="3" t="s">
        <v>120</v>
      </c>
      <c r="CW5" s="3" t="s">
        <v>121</v>
      </c>
      <c r="CX5" s="3" t="s">
        <v>122</v>
      </c>
      <c r="CY5" s="3" t="s">
        <v>123</v>
      </c>
      <c r="CZ5" s="2" t="s">
        <v>31</v>
      </c>
      <c r="DA5" s="2" t="s">
        <v>32</v>
      </c>
      <c r="DB5" s="2" t="s">
        <v>30</v>
      </c>
      <c r="DC5" s="3" t="s">
        <v>124</v>
      </c>
      <c r="DD5" s="3" t="s">
        <v>125</v>
      </c>
      <c r="DE5" s="3" t="s">
        <v>126</v>
      </c>
      <c r="DF5" s="3" t="s">
        <v>127</v>
      </c>
      <c r="DG5" s="3" t="s">
        <v>128</v>
      </c>
      <c r="DH5" s="3" t="s">
        <v>129</v>
      </c>
      <c r="DI5" s="3" t="s">
        <v>130</v>
      </c>
      <c r="DJ5" s="3" t="s">
        <v>131</v>
      </c>
      <c r="DK5" s="3" t="s">
        <v>132</v>
      </c>
      <c r="DL5" s="3" t="s">
        <v>133</v>
      </c>
      <c r="DM5" s="3" t="s">
        <v>134</v>
      </c>
      <c r="DN5" s="3" t="s">
        <v>135</v>
      </c>
      <c r="DO5" s="3" t="s">
        <v>136</v>
      </c>
      <c r="DP5" s="3" t="s">
        <v>137</v>
      </c>
      <c r="DQ5" s="3" t="s">
        <v>138</v>
      </c>
      <c r="DR5" s="3" t="s">
        <v>139</v>
      </c>
      <c r="DS5" s="2" t="s">
        <v>31</v>
      </c>
      <c r="DT5" s="2" t="s">
        <v>32</v>
      </c>
      <c r="DU5" s="2" t="s">
        <v>30</v>
      </c>
      <c r="DV5" s="3" t="s">
        <v>140</v>
      </c>
      <c r="DW5" s="3" t="s">
        <v>141</v>
      </c>
      <c r="DX5" s="3" t="s">
        <v>142</v>
      </c>
      <c r="DY5" s="3" t="s">
        <v>143</v>
      </c>
      <c r="DZ5" s="3" t="s">
        <v>144</v>
      </c>
      <c r="EA5" s="3" t="s">
        <v>145</v>
      </c>
      <c r="EB5" s="3" t="s">
        <v>146</v>
      </c>
      <c r="EC5" s="3" t="s">
        <v>147</v>
      </c>
      <c r="ED5" s="3" t="s">
        <v>148</v>
      </c>
      <c r="EE5" s="3" t="s">
        <v>149</v>
      </c>
      <c r="EF5" s="3" t="s">
        <v>150</v>
      </c>
      <c r="EG5" s="3" t="s">
        <v>151</v>
      </c>
      <c r="EH5" s="3" t="s">
        <v>152</v>
      </c>
      <c r="EI5" s="3" t="s">
        <v>153</v>
      </c>
      <c r="EJ5" s="3" t="s">
        <v>154</v>
      </c>
      <c r="EK5" s="3" t="s">
        <v>155</v>
      </c>
      <c r="EL5" s="2" t="s">
        <v>31</v>
      </c>
      <c r="EM5" s="2" t="s">
        <v>32</v>
      </c>
      <c r="EN5" s="2" t="s">
        <v>30</v>
      </c>
      <c r="EO5" s="3" t="s">
        <v>156</v>
      </c>
      <c r="EP5" s="3" t="s">
        <v>157</v>
      </c>
      <c r="EQ5" s="3" t="s">
        <v>158</v>
      </c>
      <c r="ER5" s="3" t="s">
        <v>159</v>
      </c>
      <c r="ES5" s="3" t="s">
        <v>160</v>
      </c>
      <c r="ET5" s="3" t="s">
        <v>161</v>
      </c>
      <c r="EU5" s="3" t="s">
        <v>162</v>
      </c>
      <c r="EV5" s="3" t="s">
        <v>163</v>
      </c>
      <c r="EW5" s="3" t="s">
        <v>164</v>
      </c>
      <c r="EX5" s="3" t="s">
        <v>165</v>
      </c>
      <c r="EY5" s="3" t="s">
        <v>166</v>
      </c>
      <c r="EZ5" s="3" t="s">
        <v>167</v>
      </c>
      <c r="FA5" s="3" t="s">
        <v>168</v>
      </c>
      <c r="FB5" s="3" t="s">
        <v>169</v>
      </c>
      <c r="FC5" s="3" t="s">
        <v>170</v>
      </c>
      <c r="FD5" s="3" t="s">
        <v>171</v>
      </c>
      <c r="FE5" s="2" t="s">
        <v>31</v>
      </c>
      <c r="FF5" s="2" t="s">
        <v>32</v>
      </c>
      <c r="FG5" s="2" t="s">
        <v>30</v>
      </c>
      <c r="FH5" s="3" t="s">
        <v>172</v>
      </c>
      <c r="FI5" s="3" t="s">
        <v>173</v>
      </c>
      <c r="FJ5" s="3" t="s">
        <v>174</v>
      </c>
      <c r="FK5" s="3" t="s">
        <v>175</v>
      </c>
      <c r="FL5" s="3" t="s">
        <v>176</v>
      </c>
      <c r="FM5" s="3" t="s">
        <v>177</v>
      </c>
      <c r="FN5" s="3" t="s">
        <v>178</v>
      </c>
      <c r="FO5" s="3" t="s">
        <v>179</v>
      </c>
      <c r="FP5" s="3" t="s">
        <v>180</v>
      </c>
      <c r="FQ5" s="3" t="s">
        <v>181</v>
      </c>
      <c r="FR5" s="3" t="s">
        <v>182</v>
      </c>
      <c r="FS5" s="3" t="s">
        <v>183</v>
      </c>
      <c r="FT5" s="3" t="s">
        <v>184</v>
      </c>
      <c r="FU5" s="3" t="s">
        <v>185</v>
      </c>
      <c r="FV5" s="3" t="s">
        <v>186</v>
      </c>
      <c r="FW5" s="3" t="s">
        <v>187</v>
      </c>
      <c r="FX5" s="2" t="s">
        <v>31</v>
      </c>
      <c r="FY5" s="2" t="s">
        <v>32</v>
      </c>
      <c r="FZ5" s="2" t="s">
        <v>30</v>
      </c>
      <c r="GA5" s="3" t="s">
        <v>188</v>
      </c>
      <c r="GB5" s="3" t="s">
        <v>189</v>
      </c>
      <c r="GC5" s="3" t="s">
        <v>190</v>
      </c>
      <c r="GD5" s="3" t="s">
        <v>191</v>
      </c>
      <c r="GE5" s="3" t="s">
        <v>192</v>
      </c>
      <c r="GF5" s="3" t="s">
        <v>193</v>
      </c>
      <c r="GG5" s="3" t="s">
        <v>194</v>
      </c>
      <c r="GH5" s="3" t="s">
        <v>195</v>
      </c>
      <c r="GI5" s="3" t="s">
        <v>196</v>
      </c>
      <c r="GJ5" s="3" t="s">
        <v>197</v>
      </c>
      <c r="GK5" s="3" t="s">
        <v>198</v>
      </c>
      <c r="GL5" s="3" t="s">
        <v>199</v>
      </c>
      <c r="GM5" s="3" t="s">
        <v>200</v>
      </c>
      <c r="GN5" s="3" t="s">
        <v>201</v>
      </c>
      <c r="GO5" s="3" t="s">
        <v>202</v>
      </c>
      <c r="GP5" s="3" t="s">
        <v>203</v>
      </c>
      <c r="GQ5" s="2" t="s">
        <v>31</v>
      </c>
      <c r="GR5" s="2" t="s">
        <v>32</v>
      </c>
      <c r="GS5" s="2" t="s">
        <v>30</v>
      </c>
      <c r="GT5" s="3" t="s">
        <v>204</v>
      </c>
      <c r="GU5" s="3" t="s">
        <v>205</v>
      </c>
      <c r="GV5" s="3" t="s">
        <v>206</v>
      </c>
      <c r="GW5" s="3" t="s">
        <v>207</v>
      </c>
      <c r="GX5" s="3" t="s">
        <v>208</v>
      </c>
      <c r="GY5" s="3" t="s">
        <v>209</v>
      </c>
      <c r="GZ5" s="3" t="s">
        <v>210</v>
      </c>
      <c r="HA5" s="3" t="s">
        <v>211</v>
      </c>
      <c r="HB5" s="3" t="s">
        <v>212</v>
      </c>
      <c r="HC5" s="3" t="s">
        <v>213</v>
      </c>
      <c r="HD5" s="3" t="s">
        <v>214</v>
      </c>
      <c r="HE5" s="3" t="s">
        <v>215</v>
      </c>
      <c r="HF5" s="3" t="s">
        <v>216</v>
      </c>
      <c r="HG5" s="3" t="s">
        <v>217</v>
      </c>
      <c r="HH5" s="3" t="s">
        <v>218</v>
      </c>
      <c r="HI5" s="3" t="s">
        <v>219</v>
      </c>
      <c r="HJ5" s="2" t="s">
        <v>31</v>
      </c>
      <c r="HK5" s="2" t="s">
        <v>32</v>
      </c>
      <c r="HL5" s="2" t="s">
        <v>30</v>
      </c>
      <c r="HM5" s="3" t="s">
        <v>220</v>
      </c>
      <c r="HN5" s="3" t="s">
        <v>221</v>
      </c>
      <c r="HO5" s="3" t="s">
        <v>222</v>
      </c>
      <c r="HP5" s="3" t="s">
        <v>223</v>
      </c>
      <c r="HQ5" s="3" t="s">
        <v>224</v>
      </c>
      <c r="HR5" s="3" t="s">
        <v>225</v>
      </c>
      <c r="HS5" s="3" t="s">
        <v>226</v>
      </c>
      <c r="HT5" s="3" t="s">
        <v>227</v>
      </c>
      <c r="HU5" s="3" t="s">
        <v>228</v>
      </c>
      <c r="HV5" s="3" t="s">
        <v>229</v>
      </c>
      <c r="HW5" s="3" t="s">
        <v>230</v>
      </c>
      <c r="HX5" s="3" t="s">
        <v>231</v>
      </c>
      <c r="HY5" s="3" t="s">
        <v>232</v>
      </c>
      <c r="HZ5" s="3" t="s">
        <v>233</v>
      </c>
      <c r="IA5" s="3" t="s">
        <v>234</v>
      </c>
      <c r="IB5" s="3" t="s">
        <v>235</v>
      </c>
      <c r="IC5" s="2" t="s">
        <v>31</v>
      </c>
      <c r="ID5" s="2" t="s">
        <v>32</v>
      </c>
      <c r="IE5" s="2" t="s">
        <v>30</v>
      </c>
      <c r="IF5" s="3" t="s">
        <v>236</v>
      </c>
      <c r="IG5" s="3" t="s">
        <v>237</v>
      </c>
      <c r="IH5" s="3" t="s">
        <v>238</v>
      </c>
      <c r="II5" s="3" t="s">
        <v>239</v>
      </c>
      <c r="IJ5" s="3" t="s">
        <v>240</v>
      </c>
      <c r="IK5" s="3" t="s">
        <v>241</v>
      </c>
      <c r="IL5" s="3" t="s">
        <v>242</v>
      </c>
      <c r="IM5" s="3" t="s">
        <v>243</v>
      </c>
      <c r="IN5" s="3" t="s">
        <v>244</v>
      </c>
      <c r="IO5" s="3" t="s">
        <v>245</v>
      </c>
      <c r="IP5" s="3" t="s">
        <v>246</v>
      </c>
      <c r="IQ5" s="3" t="s">
        <v>247</v>
      </c>
      <c r="IR5" s="3" t="s">
        <v>248</v>
      </c>
      <c r="IS5" s="3" t="s">
        <v>249</v>
      </c>
      <c r="IT5" s="3" t="s">
        <v>250</v>
      </c>
      <c r="IU5" s="3" t="s">
        <v>251</v>
      </c>
      <c r="IV5" s="2" t="s">
        <v>31</v>
      </c>
      <c r="IW5" s="2" t="s">
        <v>32</v>
      </c>
      <c r="IX5" s="2" t="s">
        <v>30</v>
      </c>
      <c r="IY5" s="3" t="s">
        <v>252</v>
      </c>
      <c r="IZ5" s="3" t="s">
        <v>253</v>
      </c>
      <c r="JA5" s="3" t="s">
        <v>254</v>
      </c>
      <c r="JB5" s="3" t="s">
        <v>255</v>
      </c>
      <c r="JC5" s="3" t="s">
        <v>256</v>
      </c>
      <c r="JD5" s="3" t="s">
        <v>257</v>
      </c>
      <c r="JE5" s="3" t="s">
        <v>258</v>
      </c>
      <c r="JF5" s="3" t="s">
        <v>259</v>
      </c>
      <c r="JG5" s="3" t="s">
        <v>260</v>
      </c>
      <c r="JH5" s="3" t="s">
        <v>261</v>
      </c>
      <c r="JI5" s="3" t="s">
        <v>262</v>
      </c>
      <c r="JJ5" s="3" t="s">
        <v>263</v>
      </c>
      <c r="JK5" s="3" t="s">
        <v>264</v>
      </c>
      <c r="JL5" s="3" t="s">
        <v>265</v>
      </c>
      <c r="JM5" s="3" t="s">
        <v>266</v>
      </c>
      <c r="JN5" s="3" t="s">
        <v>267</v>
      </c>
      <c r="JO5" s="2" t="s">
        <v>31</v>
      </c>
      <c r="JP5" s="2" t="s">
        <v>32</v>
      </c>
      <c r="JQ5" s="2" t="s">
        <v>30</v>
      </c>
      <c r="JR5" s="3" t="s">
        <v>268</v>
      </c>
      <c r="JS5" s="3" t="s">
        <v>269</v>
      </c>
      <c r="JT5" s="3" t="s">
        <v>270</v>
      </c>
      <c r="JU5" s="3" t="s">
        <v>271</v>
      </c>
      <c r="JV5" s="3" t="s">
        <v>272</v>
      </c>
      <c r="JW5" s="3" t="s">
        <v>273</v>
      </c>
      <c r="JX5" s="3" t="s">
        <v>274</v>
      </c>
      <c r="JY5" s="3" t="s">
        <v>275</v>
      </c>
      <c r="JZ5" s="3" t="s">
        <v>276</v>
      </c>
      <c r="KA5" s="3" t="s">
        <v>277</v>
      </c>
      <c r="KB5" s="3" t="s">
        <v>278</v>
      </c>
      <c r="KC5" s="3" t="s">
        <v>279</v>
      </c>
      <c r="KD5" s="3" t="s">
        <v>280</v>
      </c>
      <c r="KE5" s="3" t="s">
        <v>281</v>
      </c>
      <c r="KF5" s="3" t="s">
        <v>282</v>
      </c>
      <c r="KG5" s="3" t="s">
        <v>283</v>
      </c>
      <c r="KH5" s="2" t="s">
        <v>31</v>
      </c>
      <c r="KI5" s="2" t="s">
        <v>32</v>
      </c>
      <c r="KJ5" s="2" t="s">
        <v>30</v>
      </c>
      <c r="KK5" s="3" t="s">
        <v>284</v>
      </c>
      <c r="KL5" s="3" t="s">
        <v>285</v>
      </c>
      <c r="KM5" s="3" t="s">
        <v>286</v>
      </c>
      <c r="KN5" s="3" t="s">
        <v>287</v>
      </c>
      <c r="KO5" s="3" t="s">
        <v>288</v>
      </c>
      <c r="KP5" s="3" t="s">
        <v>289</v>
      </c>
      <c r="KQ5" s="3" t="s">
        <v>290</v>
      </c>
      <c r="KR5" s="3" t="s">
        <v>291</v>
      </c>
      <c r="KS5" s="3" t="s">
        <v>292</v>
      </c>
      <c r="KT5" s="3" t="s">
        <v>293</v>
      </c>
      <c r="KU5" s="3" t="s">
        <v>294</v>
      </c>
      <c r="KV5" s="3" t="s">
        <v>295</v>
      </c>
      <c r="KW5" s="3" t="s">
        <v>296</v>
      </c>
      <c r="KX5" s="3" t="s">
        <v>297</v>
      </c>
      <c r="KY5" s="3" t="s">
        <v>298</v>
      </c>
      <c r="KZ5" s="3" t="s">
        <v>299</v>
      </c>
      <c r="LA5" s="2" t="s">
        <v>31</v>
      </c>
      <c r="LB5" s="2" t="s">
        <v>32</v>
      </c>
      <c r="LC5" s="2" t="s">
        <v>30</v>
      </c>
      <c r="LD5" s="3" t="s">
        <v>300</v>
      </c>
      <c r="LE5" s="3" t="s">
        <v>301</v>
      </c>
      <c r="LF5" s="3" t="s">
        <v>302</v>
      </c>
      <c r="LG5" s="3" t="s">
        <v>303</v>
      </c>
      <c r="LH5" s="3" t="s">
        <v>304</v>
      </c>
      <c r="LI5" s="3" t="s">
        <v>305</v>
      </c>
      <c r="LJ5" s="3" t="s">
        <v>306</v>
      </c>
      <c r="LK5" s="3" t="s">
        <v>307</v>
      </c>
      <c r="LL5" s="3" t="s">
        <v>308</v>
      </c>
      <c r="LM5" s="3" t="s">
        <v>309</v>
      </c>
      <c r="LN5" s="3" t="s">
        <v>310</v>
      </c>
      <c r="LO5" s="3" t="s">
        <v>311</v>
      </c>
      <c r="LP5" s="3" t="s">
        <v>312</v>
      </c>
      <c r="LQ5" s="3" t="s">
        <v>313</v>
      </c>
      <c r="LR5" s="3" t="s">
        <v>314</v>
      </c>
      <c r="LS5" s="3" t="s">
        <v>315</v>
      </c>
      <c r="LT5" s="2" t="s">
        <v>31</v>
      </c>
      <c r="LU5" s="2" t="s">
        <v>32</v>
      </c>
      <c r="LV5" s="2" t="s">
        <v>30</v>
      </c>
      <c r="LW5" s="3" t="s">
        <v>316</v>
      </c>
      <c r="LX5" s="3" t="s">
        <v>317</v>
      </c>
      <c r="LY5" s="3" t="s">
        <v>318</v>
      </c>
      <c r="LZ5" s="3" t="s">
        <v>319</v>
      </c>
      <c r="MA5" s="3" t="s">
        <v>320</v>
      </c>
      <c r="MB5" s="3" t="s">
        <v>321</v>
      </c>
      <c r="MC5" s="3" t="s">
        <v>322</v>
      </c>
      <c r="MD5" s="3" t="s">
        <v>323</v>
      </c>
      <c r="ME5" s="3" t="s">
        <v>324</v>
      </c>
      <c r="MF5" s="3" t="s">
        <v>325</v>
      </c>
      <c r="MG5" s="3" t="s">
        <v>326</v>
      </c>
      <c r="MH5" s="3" t="s">
        <v>327</v>
      </c>
      <c r="MI5" s="3" t="s">
        <v>328</v>
      </c>
      <c r="MJ5" s="3" t="s">
        <v>329</v>
      </c>
      <c r="MK5" s="3" t="s">
        <v>330</v>
      </c>
      <c r="ML5" s="3" t="s">
        <v>331</v>
      </c>
      <c r="MM5" s="2" t="s">
        <v>31</v>
      </c>
      <c r="MN5" s="2" t="s">
        <v>32</v>
      </c>
      <c r="MO5" s="2" t="s">
        <v>30</v>
      </c>
      <c r="MP5" s="3" t="s">
        <v>31</v>
      </c>
      <c r="MQ5" s="3" t="s">
        <v>32</v>
      </c>
      <c r="MR5" s="3" t="s">
        <v>31</v>
      </c>
      <c r="MS5" s="3" t="s">
        <v>32</v>
      </c>
      <c r="MT5" s="3" t="s">
        <v>31</v>
      </c>
      <c r="MU5" s="3" t="s">
        <v>32</v>
      </c>
      <c r="MV5" s="3" t="s">
        <v>31</v>
      </c>
      <c r="MW5" s="3" t="s">
        <v>32</v>
      </c>
      <c r="MX5" s="3" t="s">
        <v>31</v>
      </c>
      <c r="MY5" s="3" t="s">
        <v>32</v>
      </c>
      <c r="MZ5" s="3" t="s">
        <v>31</v>
      </c>
      <c r="NA5" s="3" t="s">
        <v>32</v>
      </c>
      <c r="NB5" s="3" t="s">
        <v>31</v>
      </c>
      <c r="NC5" s="3" t="s">
        <v>32</v>
      </c>
      <c r="ND5" s="3" t="s">
        <v>31</v>
      </c>
      <c r="NE5" s="3" t="s">
        <v>32</v>
      </c>
      <c r="NF5" s="2" t="s">
        <v>31</v>
      </c>
      <c r="NG5" s="2" t="s">
        <v>32</v>
      </c>
      <c r="NH5" s="2" t="s">
        <v>30</v>
      </c>
    </row>
    <row r="6" spans="1:372" x14ac:dyDescent="0.25">
      <c r="A6" t="s">
        <v>332</v>
      </c>
      <c r="B6" t="s">
        <v>346</v>
      </c>
      <c r="C6" t="s">
        <v>347</v>
      </c>
      <c r="D6" t="s">
        <v>348</v>
      </c>
      <c r="E6">
        <v>129374</v>
      </c>
      <c r="F6" t="s">
        <v>349</v>
      </c>
      <c r="G6" t="s">
        <v>333</v>
      </c>
      <c r="H6" t="s">
        <v>334</v>
      </c>
      <c r="I6" t="s">
        <v>335</v>
      </c>
      <c r="J6" t="s">
        <v>336</v>
      </c>
      <c r="K6" t="s">
        <v>337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3</v>
      </c>
      <c r="BO6">
        <v>0</v>
      </c>
      <c r="BP6">
        <v>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4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4</v>
      </c>
      <c r="NG6">
        <v>0</v>
      </c>
      <c r="NH6">
        <v>4</v>
      </c>
    </row>
    <row r="7" spans="1:372" x14ac:dyDescent="0.25">
      <c r="A7" t="s">
        <v>332</v>
      </c>
      <c r="B7" t="s">
        <v>346</v>
      </c>
      <c r="C7" t="s">
        <v>347</v>
      </c>
      <c r="D7" t="s">
        <v>348</v>
      </c>
      <c r="E7">
        <v>129375</v>
      </c>
      <c r="F7" t="s">
        <v>350</v>
      </c>
      <c r="G7" t="s">
        <v>333</v>
      </c>
      <c r="H7" t="s">
        <v>334</v>
      </c>
      <c r="I7" t="s">
        <v>335</v>
      </c>
      <c r="J7" t="s">
        <v>336</v>
      </c>
      <c r="K7" t="s">
        <v>337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</row>
    <row r="8" spans="1:372" x14ac:dyDescent="0.25">
      <c r="A8" t="s">
        <v>332</v>
      </c>
      <c r="B8" t="s">
        <v>346</v>
      </c>
      <c r="C8" t="s">
        <v>347</v>
      </c>
      <c r="D8" t="s">
        <v>348</v>
      </c>
      <c r="E8">
        <v>129376</v>
      </c>
      <c r="F8" t="s">
        <v>351</v>
      </c>
      <c r="G8" t="s">
        <v>333</v>
      </c>
      <c r="H8" t="s">
        <v>334</v>
      </c>
      <c r="I8" t="s">
        <v>335</v>
      </c>
      <c r="J8" t="s">
        <v>336</v>
      </c>
      <c r="K8" t="s">
        <v>337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1</v>
      </c>
      <c r="MQ8">
        <v>1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1</v>
      </c>
      <c r="NG8">
        <v>1</v>
      </c>
      <c r="NH8">
        <v>2</v>
      </c>
    </row>
    <row r="9" spans="1:372" x14ac:dyDescent="0.25">
      <c r="A9" t="s">
        <v>332</v>
      </c>
      <c r="B9" t="s">
        <v>346</v>
      </c>
      <c r="C9" t="s">
        <v>347</v>
      </c>
      <c r="D9" t="s">
        <v>348</v>
      </c>
      <c r="E9">
        <v>129377</v>
      </c>
      <c r="F9" t="s">
        <v>352</v>
      </c>
      <c r="G9" t="s">
        <v>333</v>
      </c>
      <c r="H9" t="s">
        <v>334</v>
      </c>
      <c r="I9" t="s">
        <v>335</v>
      </c>
      <c r="J9" t="s">
        <v>336</v>
      </c>
      <c r="K9" t="s">
        <v>337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2</v>
      </c>
      <c r="CH9">
        <v>1</v>
      </c>
      <c r="CI9">
        <v>3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1</v>
      </c>
      <c r="FI9">
        <v>0</v>
      </c>
      <c r="FJ9">
        <v>0</v>
      </c>
      <c r="FK9">
        <v>0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3</v>
      </c>
      <c r="FY9">
        <v>0</v>
      </c>
      <c r="FZ9">
        <v>3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2</v>
      </c>
      <c r="IS9">
        <v>0</v>
      </c>
      <c r="IT9">
        <v>0</v>
      </c>
      <c r="IU9">
        <v>0</v>
      </c>
      <c r="IV9">
        <v>2</v>
      </c>
      <c r="IW9">
        <v>0</v>
      </c>
      <c r="IX9">
        <v>2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0</v>
      </c>
      <c r="JF9">
        <v>0</v>
      </c>
      <c r="JG9">
        <v>1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1</v>
      </c>
      <c r="JP9">
        <v>1</v>
      </c>
      <c r="JQ9">
        <v>2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1</v>
      </c>
      <c r="LQ9">
        <v>0</v>
      </c>
      <c r="LR9">
        <v>0</v>
      </c>
      <c r="LS9">
        <v>0</v>
      </c>
      <c r="LT9">
        <v>1</v>
      </c>
      <c r="LU9">
        <v>0</v>
      </c>
      <c r="LV9">
        <v>1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2</v>
      </c>
      <c r="MQ9">
        <v>1</v>
      </c>
      <c r="MR9">
        <v>0</v>
      </c>
      <c r="MS9">
        <v>0</v>
      </c>
      <c r="MT9">
        <v>2</v>
      </c>
      <c r="MU9">
        <v>1</v>
      </c>
      <c r="MV9">
        <v>0</v>
      </c>
      <c r="MW9">
        <v>0</v>
      </c>
      <c r="MX9">
        <v>1</v>
      </c>
      <c r="MY9">
        <v>0</v>
      </c>
      <c r="MZ9">
        <v>0</v>
      </c>
      <c r="NA9">
        <v>0</v>
      </c>
      <c r="NB9">
        <v>5</v>
      </c>
      <c r="NC9">
        <v>1</v>
      </c>
      <c r="ND9">
        <v>0</v>
      </c>
      <c r="NE9">
        <v>0</v>
      </c>
      <c r="NF9">
        <v>10</v>
      </c>
      <c r="NG9">
        <v>3</v>
      </c>
      <c r="NH9">
        <v>13</v>
      </c>
    </row>
    <row r="10" spans="1:372" x14ac:dyDescent="0.25">
      <c r="A10" t="s">
        <v>332</v>
      </c>
      <c r="B10" t="s">
        <v>346</v>
      </c>
      <c r="C10" t="s">
        <v>347</v>
      </c>
      <c r="D10" t="s">
        <v>348</v>
      </c>
      <c r="E10">
        <v>129380</v>
      </c>
      <c r="F10" t="s">
        <v>353</v>
      </c>
      <c r="G10" t="s">
        <v>333</v>
      </c>
      <c r="H10" t="s">
        <v>334</v>
      </c>
      <c r="I10" t="s">
        <v>335</v>
      </c>
      <c r="J10" t="s">
        <v>336</v>
      </c>
      <c r="K10" t="s">
        <v>337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4</v>
      </c>
      <c r="BO10">
        <v>0</v>
      </c>
      <c r="BP10">
        <v>4</v>
      </c>
      <c r="BQ10">
        <v>3</v>
      </c>
      <c r="BR10">
        <v>1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3</v>
      </c>
      <c r="BY10">
        <v>0</v>
      </c>
      <c r="BZ10">
        <v>0</v>
      </c>
      <c r="CA10">
        <v>3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7</v>
      </c>
      <c r="CH10">
        <v>6</v>
      </c>
      <c r="CI10">
        <v>13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2</v>
      </c>
      <c r="DP10">
        <v>0</v>
      </c>
      <c r="DQ10">
        <v>0</v>
      </c>
      <c r="DR10">
        <v>0</v>
      </c>
      <c r="DS10">
        <v>2</v>
      </c>
      <c r="DT10">
        <v>0</v>
      </c>
      <c r="DU10">
        <v>2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1</v>
      </c>
      <c r="FH10">
        <v>3</v>
      </c>
      <c r="FI10">
        <v>0</v>
      </c>
      <c r="FJ10">
        <v>4</v>
      </c>
      <c r="FK10">
        <v>0</v>
      </c>
      <c r="FL10">
        <v>1</v>
      </c>
      <c r="FM10">
        <v>2</v>
      </c>
      <c r="FN10">
        <v>6</v>
      </c>
      <c r="FO10">
        <v>1</v>
      </c>
      <c r="FP10">
        <v>0</v>
      </c>
      <c r="FQ10">
        <v>0</v>
      </c>
      <c r="FR10">
        <v>1</v>
      </c>
      <c r="FS10">
        <v>1</v>
      </c>
      <c r="FT10">
        <v>2</v>
      </c>
      <c r="FU10">
        <v>4</v>
      </c>
      <c r="FV10">
        <v>0</v>
      </c>
      <c r="FW10">
        <v>0</v>
      </c>
      <c r="FX10">
        <v>17</v>
      </c>
      <c r="FY10">
        <v>8</v>
      </c>
      <c r="FZ10">
        <v>25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2</v>
      </c>
      <c r="JL10">
        <v>1</v>
      </c>
      <c r="JM10">
        <v>0</v>
      </c>
      <c r="JN10">
        <v>0</v>
      </c>
      <c r="JO10">
        <v>2</v>
      </c>
      <c r="JP10">
        <v>1</v>
      </c>
      <c r="JQ10">
        <v>3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1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</v>
      </c>
      <c r="LU10">
        <v>0</v>
      </c>
      <c r="LV10">
        <v>1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9</v>
      </c>
      <c r="MQ10">
        <v>1</v>
      </c>
      <c r="MR10">
        <v>4</v>
      </c>
      <c r="MS10">
        <v>1</v>
      </c>
      <c r="MT10">
        <v>3</v>
      </c>
      <c r="MU10">
        <v>2</v>
      </c>
      <c r="MV10">
        <v>7</v>
      </c>
      <c r="MW10">
        <v>5</v>
      </c>
      <c r="MX10">
        <v>0</v>
      </c>
      <c r="MY10">
        <v>0</v>
      </c>
      <c r="MZ10">
        <v>5</v>
      </c>
      <c r="NA10">
        <v>1</v>
      </c>
      <c r="NB10">
        <v>6</v>
      </c>
      <c r="NC10">
        <v>6</v>
      </c>
      <c r="ND10">
        <v>0</v>
      </c>
      <c r="NE10">
        <v>0</v>
      </c>
      <c r="NF10">
        <v>34</v>
      </c>
      <c r="NG10">
        <v>16</v>
      </c>
      <c r="NH10">
        <v>50</v>
      </c>
    </row>
    <row r="11" spans="1:372" x14ac:dyDescent="0.25">
      <c r="A11" t="s">
        <v>332</v>
      </c>
      <c r="B11" t="s">
        <v>346</v>
      </c>
      <c r="C11" t="s">
        <v>347</v>
      </c>
      <c r="D11" t="s">
        <v>348</v>
      </c>
      <c r="E11">
        <v>129381</v>
      </c>
      <c r="F11" t="s">
        <v>354</v>
      </c>
      <c r="G11" t="s">
        <v>333</v>
      </c>
      <c r="H11" t="s">
        <v>334</v>
      </c>
      <c r="I11" t="s">
        <v>335</v>
      </c>
      <c r="J11" t="s">
        <v>336</v>
      </c>
      <c r="K11" t="s">
        <v>337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2</v>
      </c>
      <c r="BQ11">
        <v>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2</v>
      </c>
      <c r="CH11">
        <v>0</v>
      </c>
      <c r="CI11">
        <v>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2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1</v>
      </c>
      <c r="FU11">
        <v>0</v>
      </c>
      <c r="FV11">
        <v>0</v>
      </c>
      <c r="FW11">
        <v>0</v>
      </c>
      <c r="FX11">
        <v>3</v>
      </c>
      <c r="FY11">
        <v>1</v>
      </c>
      <c r="FZ11">
        <v>4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3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3</v>
      </c>
      <c r="JP11">
        <v>0</v>
      </c>
      <c r="JQ11">
        <v>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9</v>
      </c>
      <c r="MQ11">
        <v>1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MZ11">
        <v>0</v>
      </c>
      <c r="NA11">
        <v>0</v>
      </c>
      <c r="NB11">
        <v>1</v>
      </c>
      <c r="NC11">
        <v>1</v>
      </c>
      <c r="ND11">
        <v>0</v>
      </c>
      <c r="NE11">
        <v>0</v>
      </c>
      <c r="NF11">
        <v>11</v>
      </c>
      <c r="NG11">
        <v>2</v>
      </c>
      <c r="NH11">
        <v>13</v>
      </c>
    </row>
    <row r="12" spans="1:372" x14ac:dyDescent="0.25">
      <c r="A12" t="s">
        <v>332</v>
      </c>
      <c r="B12" t="s">
        <v>346</v>
      </c>
      <c r="C12" t="s">
        <v>347</v>
      </c>
      <c r="D12" t="s">
        <v>348</v>
      </c>
      <c r="E12">
        <v>129382</v>
      </c>
      <c r="F12" t="s">
        <v>355</v>
      </c>
      <c r="G12" t="s">
        <v>333</v>
      </c>
      <c r="H12" t="s">
        <v>334</v>
      </c>
      <c r="I12" t="s">
        <v>335</v>
      </c>
      <c r="J12" t="s">
        <v>336</v>
      </c>
      <c r="K12" t="s">
        <v>337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3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4</v>
      </c>
      <c r="BO12">
        <v>2</v>
      </c>
      <c r="BP12">
        <v>6</v>
      </c>
      <c r="BQ12">
        <v>2</v>
      </c>
      <c r="BR12">
        <v>0</v>
      </c>
      <c r="BS12">
        <v>0</v>
      </c>
      <c r="BT12">
        <v>0</v>
      </c>
      <c r="BU12">
        <v>3</v>
      </c>
      <c r="BV12">
        <v>1</v>
      </c>
      <c r="BW12">
        <v>0</v>
      </c>
      <c r="BX12">
        <v>1</v>
      </c>
      <c r="BY12">
        <v>0</v>
      </c>
      <c r="BZ12">
        <v>1</v>
      </c>
      <c r="CA12">
        <v>2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7</v>
      </c>
      <c r="CH12">
        <v>4</v>
      </c>
      <c r="CI12">
        <v>11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1</v>
      </c>
      <c r="FC12">
        <v>0</v>
      </c>
      <c r="FD12">
        <v>0</v>
      </c>
      <c r="FE12">
        <v>1</v>
      </c>
      <c r="FF12">
        <v>1</v>
      </c>
      <c r="FG12">
        <v>2</v>
      </c>
      <c r="FH12">
        <v>3</v>
      </c>
      <c r="FI12">
        <v>3</v>
      </c>
      <c r="FJ12">
        <v>1</v>
      </c>
      <c r="FK12">
        <v>0</v>
      </c>
      <c r="FL12">
        <v>5</v>
      </c>
      <c r="FM12">
        <v>0</v>
      </c>
      <c r="FN12">
        <v>1</v>
      </c>
      <c r="FO12">
        <v>0</v>
      </c>
      <c r="FP12">
        <v>1</v>
      </c>
      <c r="FQ12">
        <v>2</v>
      </c>
      <c r="FR12">
        <v>4</v>
      </c>
      <c r="FS12">
        <v>1</v>
      </c>
      <c r="FT12">
        <v>7</v>
      </c>
      <c r="FU12">
        <v>0</v>
      </c>
      <c r="FV12">
        <v>0</v>
      </c>
      <c r="FW12">
        <v>0</v>
      </c>
      <c r="FX12">
        <v>22</v>
      </c>
      <c r="FY12">
        <v>6</v>
      </c>
      <c r="FZ12">
        <v>28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1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1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2</v>
      </c>
      <c r="JP12">
        <v>1</v>
      </c>
      <c r="JQ12">
        <v>3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1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</v>
      </c>
      <c r="LU12">
        <v>0</v>
      </c>
      <c r="LV12">
        <v>1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9</v>
      </c>
      <c r="MQ12">
        <v>3</v>
      </c>
      <c r="MR12">
        <v>1</v>
      </c>
      <c r="MS12">
        <v>0</v>
      </c>
      <c r="MT12">
        <v>8</v>
      </c>
      <c r="MU12">
        <v>2</v>
      </c>
      <c r="MV12">
        <v>1</v>
      </c>
      <c r="MW12">
        <v>1</v>
      </c>
      <c r="MX12">
        <v>3</v>
      </c>
      <c r="MY12">
        <v>6</v>
      </c>
      <c r="MZ12">
        <v>8</v>
      </c>
      <c r="NA12">
        <v>1</v>
      </c>
      <c r="NB12">
        <v>7</v>
      </c>
      <c r="NC12">
        <v>3</v>
      </c>
      <c r="ND12">
        <v>0</v>
      </c>
      <c r="NE12">
        <v>0</v>
      </c>
      <c r="NF12">
        <v>37</v>
      </c>
      <c r="NG12">
        <v>16</v>
      </c>
      <c r="NH12">
        <v>53</v>
      </c>
    </row>
    <row r="13" spans="1:372" x14ac:dyDescent="0.25">
      <c r="A13" t="s">
        <v>332</v>
      </c>
      <c r="B13" t="s">
        <v>346</v>
      </c>
      <c r="C13" t="s">
        <v>347</v>
      </c>
      <c r="D13" t="s">
        <v>348</v>
      </c>
      <c r="E13">
        <v>129383</v>
      </c>
      <c r="F13" t="s">
        <v>356</v>
      </c>
      <c r="G13" t="s">
        <v>333</v>
      </c>
      <c r="H13" t="s">
        <v>334</v>
      </c>
      <c r="I13" t="s">
        <v>335</v>
      </c>
      <c r="J13" t="s">
        <v>336</v>
      </c>
      <c r="K13" t="s">
        <v>337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2</v>
      </c>
      <c r="CD13">
        <v>0</v>
      </c>
      <c r="CE13">
        <v>0</v>
      </c>
      <c r="CF13">
        <v>0</v>
      </c>
      <c r="CG13">
        <v>3</v>
      </c>
      <c r="CH13">
        <v>0</v>
      </c>
      <c r="CI13">
        <v>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2</v>
      </c>
      <c r="FB13">
        <v>0</v>
      </c>
      <c r="FC13">
        <v>0</v>
      </c>
      <c r="FD13">
        <v>0</v>
      </c>
      <c r="FE13">
        <v>3</v>
      </c>
      <c r="FF13">
        <v>0</v>
      </c>
      <c r="FG13">
        <v>3</v>
      </c>
      <c r="FH13">
        <v>9</v>
      </c>
      <c r="FI13">
        <v>1</v>
      </c>
      <c r="FJ13">
        <v>5</v>
      </c>
      <c r="FK13">
        <v>0</v>
      </c>
      <c r="FL13">
        <v>3</v>
      </c>
      <c r="FM13">
        <v>3</v>
      </c>
      <c r="FN13">
        <v>3</v>
      </c>
      <c r="FO13">
        <v>1</v>
      </c>
      <c r="FP13">
        <v>3</v>
      </c>
      <c r="FQ13">
        <v>1</v>
      </c>
      <c r="FR13">
        <v>7</v>
      </c>
      <c r="FS13">
        <v>1</v>
      </c>
      <c r="FT13">
        <v>6</v>
      </c>
      <c r="FU13">
        <v>0</v>
      </c>
      <c r="FV13">
        <v>0</v>
      </c>
      <c r="FW13">
        <v>0</v>
      </c>
      <c r="FX13">
        <v>36</v>
      </c>
      <c r="FY13">
        <v>7</v>
      </c>
      <c r="FZ13">
        <v>43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0</v>
      </c>
      <c r="JM13">
        <v>0</v>
      </c>
      <c r="JN13">
        <v>0</v>
      </c>
      <c r="JO13">
        <v>1</v>
      </c>
      <c r="JP13">
        <v>0</v>
      </c>
      <c r="JQ13">
        <v>1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9</v>
      </c>
      <c r="MQ13">
        <v>1</v>
      </c>
      <c r="MR13">
        <v>6</v>
      </c>
      <c r="MS13">
        <v>0</v>
      </c>
      <c r="MT13">
        <v>3</v>
      </c>
      <c r="MU13">
        <v>3</v>
      </c>
      <c r="MV13">
        <v>3</v>
      </c>
      <c r="MW13">
        <v>1</v>
      </c>
      <c r="MX13">
        <v>5</v>
      </c>
      <c r="MY13">
        <v>1</v>
      </c>
      <c r="MZ13">
        <v>7</v>
      </c>
      <c r="NA13">
        <v>1</v>
      </c>
      <c r="NB13">
        <v>11</v>
      </c>
      <c r="NC13">
        <v>0</v>
      </c>
      <c r="ND13">
        <v>0</v>
      </c>
      <c r="NE13">
        <v>0</v>
      </c>
      <c r="NF13">
        <v>44</v>
      </c>
      <c r="NG13">
        <v>7</v>
      </c>
      <c r="NH13">
        <v>51</v>
      </c>
    </row>
    <row r="14" spans="1:372" x14ac:dyDescent="0.25">
      <c r="A14" t="s">
        <v>332</v>
      </c>
      <c r="B14" t="s">
        <v>346</v>
      </c>
      <c r="C14" t="s">
        <v>347</v>
      </c>
      <c r="D14" t="s">
        <v>348</v>
      </c>
      <c r="E14">
        <v>129384</v>
      </c>
      <c r="F14" t="s">
        <v>357</v>
      </c>
      <c r="G14" t="s">
        <v>333</v>
      </c>
      <c r="H14" t="s">
        <v>334</v>
      </c>
      <c r="I14" t="s">
        <v>335</v>
      </c>
      <c r="J14" t="s">
        <v>336</v>
      </c>
      <c r="K14" t="s">
        <v>337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3</v>
      </c>
      <c r="FY14">
        <v>0</v>
      </c>
      <c r="FZ14">
        <v>3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</v>
      </c>
      <c r="MY14">
        <v>0</v>
      </c>
      <c r="MZ14">
        <v>0</v>
      </c>
      <c r="NA14">
        <v>0</v>
      </c>
      <c r="NB14">
        <v>2</v>
      </c>
      <c r="NC14">
        <v>0</v>
      </c>
      <c r="ND14">
        <v>0</v>
      </c>
      <c r="NE14">
        <v>0</v>
      </c>
      <c r="NF14">
        <v>3</v>
      </c>
      <c r="NG14">
        <v>0</v>
      </c>
      <c r="NH14">
        <v>3</v>
      </c>
    </row>
    <row r="15" spans="1:372" x14ac:dyDescent="0.25">
      <c r="A15" t="s">
        <v>332</v>
      </c>
      <c r="B15" t="s">
        <v>346</v>
      </c>
      <c r="C15" t="s">
        <v>347</v>
      </c>
      <c r="D15" t="s">
        <v>348</v>
      </c>
      <c r="E15">
        <v>129385</v>
      </c>
      <c r="F15" t="s">
        <v>358</v>
      </c>
      <c r="G15" t="s">
        <v>333</v>
      </c>
      <c r="H15" t="s">
        <v>334</v>
      </c>
      <c r="I15" t="s">
        <v>335</v>
      </c>
      <c r="J15" t="s">
        <v>336</v>
      </c>
      <c r="K15" t="s">
        <v>337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3</v>
      </c>
      <c r="AZ15">
        <v>1</v>
      </c>
      <c r="BA15">
        <v>1</v>
      </c>
      <c r="BB15">
        <v>1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4</v>
      </c>
      <c r="BP15">
        <v>6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1</v>
      </c>
      <c r="BX15">
        <v>0</v>
      </c>
      <c r="BY15">
        <v>3</v>
      </c>
      <c r="BZ15">
        <v>2</v>
      </c>
      <c r="CA15">
        <v>2</v>
      </c>
      <c r="CB15">
        <v>1</v>
      </c>
      <c r="CC15">
        <v>2</v>
      </c>
      <c r="CD15">
        <v>1</v>
      </c>
      <c r="CE15">
        <v>0</v>
      </c>
      <c r="CF15">
        <v>0</v>
      </c>
      <c r="CG15">
        <v>8</v>
      </c>
      <c r="CH15">
        <v>5</v>
      </c>
      <c r="CI15">
        <v>13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2</v>
      </c>
      <c r="DA15">
        <v>0</v>
      </c>
      <c r="DB15">
        <v>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1</v>
      </c>
      <c r="FM15">
        <v>0</v>
      </c>
      <c r="FN15">
        <v>0</v>
      </c>
      <c r="FO15">
        <v>3</v>
      </c>
      <c r="FP15">
        <v>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3</v>
      </c>
      <c r="FY15">
        <v>3</v>
      </c>
      <c r="FZ15">
        <v>6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3</v>
      </c>
      <c r="MR15">
        <v>2</v>
      </c>
      <c r="MS15">
        <v>2</v>
      </c>
      <c r="MT15">
        <v>2</v>
      </c>
      <c r="MU15">
        <v>0</v>
      </c>
      <c r="MV15">
        <v>1</v>
      </c>
      <c r="MW15">
        <v>3</v>
      </c>
      <c r="MX15">
        <v>6</v>
      </c>
      <c r="MY15">
        <v>2</v>
      </c>
      <c r="MZ15">
        <v>2</v>
      </c>
      <c r="NA15">
        <v>1</v>
      </c>
      <c r="NB15">
        <v>2</v>
      </c>
      <c r="NC15">
        <v>1</v>
      </c>
      <c r="ND15">
        <v>0</v>
      </c>
      <c r="NE15">
        <v>0</v>
      </c>
      <c r="NF15">
        <v>15</v>
      </c>
      <c r="NG15">
        <v>12</v>
      </c>
      <c r="NH15">
        <v>27</v>
      </c>
    </row>
    <row r="16" spans="1:372" x14ac:dyDescent="0.25">
      <c r="A16" t="s">
        <v>332</v>
      </c>
      <c r="B16" t="s">
        <v>346</v>
      </c>
      <c r="C16" t="s">
        <v>347</v>
      </c>
      <c r="D16" t="s">
        <v>348</v>
      </c>
      <c r="E16">
        <v>129386</v>
      </c>
      <c r="F16" t="s">
        <v>359</v>
      </c>
      <c r="G16" t="s">
        <v>333</v>
      </c>
      <c r="H16" t="s">
        <v>334</v>
      </c>
      <c r="I16" t="s">
        <v>335</v>
      </c>
      <c r="J16" t="s">
        <v>336</v>
      </c>
      <c r="K16" t="s">
        <v>337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</row>
    <row r="17" spans="1:372" x14ac:dyDescent="0.25">
      <c r="A17" t="s">
        <v>332</v>
      </c>
      <c r="B17" t="s">
        <v>346</v>
      </c>
      <c r="C17" t="s">
        <v>347</v>
      </c>
      <c r="D17" t="s">
        <v>348</v>
      </c>
      <c r="E17">
        <v>205504</v>
      </c>
      <c r="F17" t="s">
        <v>360</v>
      </c>
      <c r="G17" t="s">
        <v>333</v>
      </c>
      <c r="H17" t="s">
        <v>334</v>
      </c>
      <c r="I17" t="s">
        <v>335</v>
      </c>
      <c r="J17" t="s">
        <v>336</v>
      </c>
      <c r="K17" t="s">
        <v>337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0</v>
      </c>
      <c r="NC17">
        <v>0</v>
      </c>
      <c r="ND17">
        <v>0</v>
      </c>
      <c r="NE17">
        <v>0</v>
      </c>
      <c r="NF17">
        <v>1</v>
      </c>
      <c r="NG17">
        <v>1</v>
      </c>
      <c r="NH17">
        <v>2</v>
      </c>
    </row>
    <row r="18" spans="1:372" x14ac:dyDescent="0.25">
      <c r="A18" t="s">
        <v>332</v>
      </c>
      <c r="B18" t="s">
        <v>346</v>
      </c>
      <c r="C18" t="s">
        <v>347</v>
      </c>
      <c r="D18" t="s">
        <v>348</v>
      </c>
      <c r="E18">
        <v>405423</v>
      </c>
      <c r="F18" t="s">
        <v>361</v>
      </c>
      <c r="G18" t="s">
        <v>338</v>
      </c>
      <c r="H18" t="s">
        <v>339</v>
      </c>
      <c r="I18" t="s">
        <v>340</v>
      </c>
      <c r="J18" t="s">
        <v>336</v>
      </c>
      <c r="K18" t="s">
        <v>341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</row>
    <row r="19" spans="1:372" x14ac:dyDescent="0.25">
      <c r="A19" t="s">
        <v>332</v>
      </c>
      <c r="B19" t="s">
        <v>346</v>
      </c>
      <c r="C19" t="s">
        <v>347</v>
      </c>
      <c r="D19" t="s">
        <v>348</v>
      </c>
      <c r="E19">
        <v>405426</v>
      </c>
      <c r="F19" t="s">
        <v>362</v>
      </c>
      <c r="G19" t="s">
        <v>338</v>
      </c>
      <c r="H19" t="s">
        <v>339</v>
      </c>
      <c r="I19" t="s">
        <v>343</v>
      </c>
      <c r="J19" t="s">
        <v>336</v>
      </c>
      <c r="K19" t="s">
        <v>344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1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1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1</v>
      </c>
      <c r="NG19">
        <v>0</v>
      </c>
      <c r="NH19">
        <v>1</v>
      </c>
    </row>
    <row r="20" spans="1:372" x14ac:dyDescent="0.25">
      <c r="A20" t="s">
        <v>332</v>
      </c>
      <c r="B20" t="s">
        <v>346</v>
      </c>
      <c r="C20" t="s">
        <v>347</v>
      </c>
      <c r="D20" t="s">
        <v>348</v>
      </c>
      <c r="E20">
        <v>407899</v>
      </c>
      <c r="F20" t="s">
        <v>363</v>
      </c>
      <c r="G20" t="s">
        <v>338</v>
      </c>
      <c r="H20" t="s">
        <v>339</v>
      </c>
      <c r="I20" t="s">
        <v>364</v>
      </c>
      <c r="J20" t="s">
        <v>365</v>
      </c>
      <c r="K20" t="s">
        <v>341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</row>
    <row r="21" spans="1:372" x14ac:dyDescent="0.25">
      <c r="A21" t="s">
        <v>332</v>
      </c>
      <c r="B21" t="s">
        <v>346</v>
      </c>
      <c r="C21" t="s">
        <v>347</v>
      </c>
      <c r="D21" t="s">
        <v>348</v>
      </c>
      <c r="E21">
        <v>465506</v>
      </c>
      <c r="F21" t="s">
        <v>366</v>
      </c>
      <c r="G21" t="s">
        <v>342</v>
      </c>
      <c r="H21" t="s">
        <v>339</v>
      </c>
      <c r="I21" t="s">
        <v>340</v>
      </c>
      <c r="J21" t="s">
        <v>336</v>
      </c>
      <c r="K21" t="s">
        <v>341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</row>
    <row r="22" spans="1:372" x14ac:dyDescent="0.25">
      <c r="A22" t="s">
        <v>332</v>
      </c>
      <c r="B22" t="s">
        <v>346</v>
      </c>
      <c r="C22" t="s">
        <v>347</v>
      </c>
      <c r="D22" t="s">
        <v>348</v>
      </c>
      <c r="E22">
        <v>500454</v>
      </c>
      <c r="F22" t="s">
        <v>367</v>
      </c>
      <c r="G22" t="s">
        <v>333</v>
      </c>
      <c r="H22" t="s">
        <v>334</v>
      </c>
      <c r="I22" t="s">
        <v>340</v>
      </c>
      <c r="J22" t="s">
        <v>336</v>
      </c>
      <c r="K22" t="s">
        <v>341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1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1</v>
      </c>
      <c r="NG22">
        <v>0</v>
      </c>
      <c r="NH22">
        <v>1</v>
      </c>
    </row>
    <row r="23" spans="1:372" x14ac:dyDescent="0.25">
      <c r="A23" t="s">
        <v>332</v>
      </c>
      <c r="B23" t="s">
        <v>346</v>
      </c>
      <c r="C23" t="s">
        <v>347</v>
      </c>
      <c r="D23" t="s">
        <v>348</v>
      </c>
      <c r="E23">
        <v>501424</v>
      </c>
      <c r="F23" t="s">
        <v>368</v>
      </c>
      <c r="G23" t="s">
        <v>333</v>
      </c>
      <c r="H23" t="s">
        <v>334</v>
      </c>
      <c r="I23" t="s">
        <v>340</v>
      </c>
      <c r="J23" t="s">
        <v>336</v>
      </c>
      <c r="K23" t="s">
        <v>341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1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0</v>
      </c>
      <c r="JQ23">
        <v>1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1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1</v>
      </c>
      <c r="NG23">
        <v>0</v>
      </c>
      <c r="NH23">
        <v>1</v>
      </c>
    </row>
    <row r="24" spans="1:372" x14ac:dyDescent="0.25">
      <c r="A24" t="s">
        <v>332</v>
      </c>
      <c r="B24" t="s">
        <v>346</v>
      </c>
      <c r="C24" t="s">
        <v>347</v>
      </c>
      <c r="D24" t="s">
        <v>348</v>
      </c>
      <c r="E24">
        <v>101813</v>
      </c>
      <c r="F24" t="s">
        <v>369</v>
      </c>
      <c r="G24" t="s">
        <v>333</v>
      </c>
      <c r="H24" t="s">
        <v>334</v>
      </c>
      <c r="I24" t="s">
        <v>335</v>
      </c>
      <c r="J24" t="s">
        <v>336</v>
      </c>
      <c r="K24" t="s">
        <v>337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1</v>
      </c>
      <c r="JP24">
        <v>0</v>
      </c>
      <c r="JQ24">
        <v>1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1</v>
      </c>
      <c r="NG24">
        <v>0</v>
      </c>
      <c r="NH24">
        <v>1</v>
      </c>
    </row>
    <row r="25" spans="1:372" x14ac:dyDescent="0.25">
      <c r="A25" t="s">
        <v>332</v>
      </c>
      <c r="B25" t="s">
        <v>346</v>
      </c>
      <c r="C25" t="s">
        <v>347</v>
      </c>
      <c r="D25" t="s">
        <v>348</v>
      </c>
      <c r="E25">
        <v>129387</v>
      </c>
      <c r="F25" t="s">
        <v>370</v>
      </c>
      <c r="G25" t="s">
        <v>333</v>
      </c>
      <c r="H25" t="s">
        <v>334</v>
      </c>
      <c r="I25" t="s">
        <v>335</v>
      </c>
      <c r="J25" t="s">
        <v>336</v>
      </c>
      <c r="K25" t="s">
        <v>337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2</v>
      </c>
      <c r="BO25">
        <v>0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1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2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1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3</v>
      </c>
      <c r="NG25">
        <v>0</v>
      </c>
      <c r="NH25">
        <v>3</v>
      </c>
    </row>
    <row r="26" spans="1:372" x14ac:dyDescent="0.25">
      <c r="A26" t="s">
        <v>332</v>
      </c>
      <c r="B26" t="s">
        <v>346</v>
      </c>
      <c r="C26" t="s">
        <v>347</v>
      </c>
      <c r="D26" t="s">
        <v>348</v>
      </c>
      <c r="E26">
        <v>129388</v>
      </c>
      <c r="F26" t="s">
        <v>371</v>
      </c>
      <c r="G26" t="s">
        <v>333</v>
      </c>
      <c r="H26" t="s">
        <v>334</v>
      </c>
      <c r="I26" t="s">
        <v>335</v>
      </c>
      <c r="J26" t="s">
        <v>336</v>
      </c>
      <c r="K26" t="s">
        <v>337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2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2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5</v>
      </c>
      <c r="FY26">
        <v>0</v>
      </c>
      <c r="FZ26">
        <v>5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3</v>
      </c>
      <c r="MS26">
        <v>0</v>
      </c>
      <c r="MT26">
        <v>1</v>
      </c>
      <c r="MU26">
        <v>0</v>
      </c>
      <c r="MV26">
        <v>1</v>
      </c>
      <c r="MW26">
        <v>0</v>
      </c>
      <c r="MX26">
        <v>0</v>
      </c>
      <c r="MY26">
        <v>0</v>
      </c>
      <c r="MZ26">
        <v>2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7</v>
      </c>
      <c r="NG26">
        <v>0</v>
      </c>
      <c r="NH26">
        <v>7</v>
      </c>
    </row>
    <row r="27" spans="1:372" x14ac:dyDescent="0.25">
      <c r="A27" t="s">
        <v>332</v>
      </c>
      <c r="B27" t="s">
        <v>346</v>
      </c>
      <c r="C27" t="s">
        <v>347</v>
      </c>
      <c r="D27" t="s">
        <v>348</v>
      </c>
      <c r="E27">
        <v>129389</v>
      </c>
      <c r="F27" t="s">
        <v>372</v>
      </c>
      <c r="G27" t="s">
        <v>333</v>
      </c>
      <c r="H27" t="s">
        <v>334</v>
      </c>
      <c r="I27" t="s">
        <v>335</v>
      </c>
      <c r="J27" t="s">
        <v>336</v>
      </c>
      <c r="K27" t="s">
        <v>337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3</v>
      </c>
      <c r="BV27">
        <v>1</v>
      </c>
      <c r="BW27">
        <v>2</v>
      </c>
      <c r="BX27">
        <v>0</v>
      </c>
      <c r="BY27">
        <v>0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6</v>
      </c>
      <c r="CH27">
        <v>3</v>
      </c>
      <c r="CI27">
        <v>9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2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1</v>
      </c>
      <c r="ER27">
        <v>1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3</v>
      </c>
      <c r="FF27">
        <v>1</v>
      </c>
      <c r="FG27">
        <v>4</v>
      </c>
      <c r="FH27">
        <v>3</v>
      </c>
      <c r="FI27">
        <v>1</v>
      </c>
      <c r="FJ27">
        <v>1</v>
      </c>
      <c r="FK27">
        <v>0</v>
      </c>
      <c r="FL27">
        <v>0</v>
      </c>
      <c r="FM27">
        <v>0</v>
      </c>
      <c r="FN27">
        <v>1</v>
      </c>
      <c r="FO27">
        <v>1</v>
      </c>
      <c r="FP27">
        <v>5</v>
      </c>
      <c r="FQ27">
        <v>0</v>
      </c>
      <c r="FR27">
        <v>1</v>
      </c>
      <c r="FS27">
        <v>1</v>
      </c>
      <c r="FT27">
        <v>1</v>
      </c>
      <c r="FU27">
        <v>0</v>
      </c>
      <c r="FV27">
        <v>0</v>
      </c>
      <c r="FW27">
        <v>0</v>
      </c>
      <c r="FX27">
        <v>12</v>
      </c>
      <c r="FY27">
        <v>3</v>
      </c>
      <c r="FZ27">
        <v>15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4</v>
      </c>
      <c r="IZ27">
        <v>1</v>
      </c>
      <c r="JA27">
        <v>1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1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7</v>
      </c>
      <c r="JP27">
        <v>1</v>
      </c>
      <c r="JQ27">
        <v>8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8</v>
      </c>
      <c r="MQ27">
        <v>2</v>
      </c>
      <c r="MR27">
        <v>3</v>
      </c>
      <c r="MS27">
        <v>2</v>
      </c>
      <c r="MT27">
        <v>3</v>
      </c>
      <c r="MU27">
        <v>1</v>
      </c>
      <c r="MV27">
        <v>5</v>
      </c>
      <c r="MW27">
        <v>1</v>
      </c>
      <c r="MX27">
        <v>6</v>
      </c>
      <c r="MY27">
        <v>0</v>
      </c>
      <c r="MZ27">
        <v>2</v>
      </c>
      <c r="NA27">
        <v>2</v>
      </c>
      <c r="NB27">
        <v>4</v>
      </c>
      <c r="NC27">
        <v>1</v>
      </c>
      <c r="ND27">
        <v>0</v>
      </c>
      <c r="NE27">
        <v>0</v>
      </c>
      <c r="NF27">
        <v>31</v>
      </c>
      <c r="NG27">
        <v>9</v>
      </c>
      <c r="NH27">
        <v>40</v>
      </c>
    </row>
    <row r="28" spans="1:372" x14ac:dyDescent="0.25">
      <c r="A28" t="s">
        <v>332</v>
      </c>
      <c r="B28" t="s">
        <v>346</v>
      </c>
      <c r="C28" t="s">
        <v>347</v>
      </c>
      <c r="D28" t="s">
        <v>348</v>
      </c>
      <c r="E28">
        <v>129390</v>
      </c>
      <c r="F28" t="s">
        <v>373</v>
      </c>
      <c r="G28" t="s">
        <v>333</v>
      </c>
      <c r="H28" t="s">
        <v>334</v>
      </c>
      <c r="I28" t="s">
        <v>335</v>
      </c>
      <c r="J28" t="s">
        <v>336</v>
      </c>
      <c r="K28" t="s">
        <v>337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2</v>
      </c>
      <c r="BO28">
        <v>2</v>
      </c>
      <c r="BP28">
        <v>4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1</v>
      </c>
      <c r="CI28">
        <v>3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1</v>
      </c>
      <c r="JP28">
        <v>1</v>
      </c>
      <c r="JQ28">
        <v>2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1</v>
      </c>
      <c r="MQ28">
        <v>1</v>
      </c>
      <c r="MR28">
        <v>2</v>
      </c>
      <c r="MS28">
        <v>0</v>
      </c>
      <c r="MT28">
        <v>0</v>
      </c>
      <c r="MU28">
        <v>1</v>
      </c>
      <c r="MV28">
        <v>1</v>
      </c>
      <c r="MW28">
        <v>1</v>
      </c>
      <c r="MX28">
        <v>1</v>
      </c>
      <c r="MY28">
        <v>0</v>
      </c>
      <c r="MZ28">
        <v>2</v>
      </c>
      <c r="NA28">
        <v>1</v>
      </c>
      <c r="NB28">
        <v>0</v>
      </c>
      <c r="NC28">
        <v>0</v>
      </c>
      <c r="ND28">
        <v>0</v>
      </c>
      <c r="NE28">
        <v>0</v>
      </c>
      <c r="NF28">
        <v>7</v>
      </c>
      <c r="NG28">
        <v>4</v>
      </c>
      <c r="NH28">
        <v>11</v>
      </c>
    </row>
    <row r="29" spans="1:372" x14ac:dyDescent="0.25">
      <c r="A29" t="s">
        <v>332</v>
      </c>
      <c r="B29" t="s">
        <v>346</v>
      </c>
      <c r="C29" t="s">
        <v>347</v>
      </c>
      <c r="D29" t="s">
        <v>348</v>
      </c>
      <c r="E29">
        <v>129391</v>
      </c>
      <c r="F29" t="s">
        <v>374</v>
      </c>
      <c r="G29" t="s">
        <v>333</v>
      </c>
      <c r="H29" t="s">
        <v>334</v>
      </c>
      <c r="I29" t="s">
        <v>335</v>
      </c>
      <c r="J29" t="s">
        <v>336</v>
      </c>
      <c r="K29" t="s">
        <v>337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2</v>
      </c>
      <c r="CH29">
        <v>0</v>
      </c>
      <c r="CI29">
        <v>2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3</v>
      </c>
      <c r="FS29">
        <v>2</v>
      </c>
      <c r="FT29">
        <v>0</v>
      </c>
      <c r="FU29">
        <v>0</v>
      </c>
      <c r="FV29">
        <v>0</v>
      </c>
      <c r="FW29">
        <v>0</v>
      </c>
      <c r="FX29">
        <v>4</v>
      </c>
      <c r="FY29">
        <v>2</v>
      </c>
      <c r="FZ29">
        <v>6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  <c r="IW29">
        <v>0</v>
      </c>
      <c r="IX29">
        <v>1</v>
      </c>
      <c r="IY29">
        <v>0</v>
      </c>
      <c r="IZ29">
        <v>1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1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1</v>
      </c>
      <c r="LM29">
        <v>0</v>
      </c>
      <c r="LN29">
        <v>1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2</v>
      </c>
      <c r="LU29">
        <v>0</v>
      </c>
      <c r="LV29">
        <v>2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1</v>
      </c>
      <c r="MQ29">
        <v>2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3</v>
      </c>
      <c r="MY29">
        <v>0</v>
      </c>
      <c r="MZ29">
        <v>6</v>
      </c>
      <c r="NA29">
        <v>2</v>
      </c>
      <c r="NB29">
        <v>0</v>
      </c>
      <c r="NC29">
        <v>0</v>
      </c>
      <c r="ND29">
        <v>0</v>
      </c>
      <c r="NE29">
        <v>0</v>
      </c>
      <c r="NF29">
        <v>10</v>
      </c>
      <c r="NG29">
        <v>4</v>
      </c>
      <c r="NH29">
        <v>14</v>
      </c>
    </row>
    <row r="30" spans="1:372" x14ac:dyDescent="0.25">
      <c r="A30" t="s">
        <v>332</v>
      </c>
      <c r="B30" t="s">
        <v>346</v>
      </c>
      <c r="C30" t="s">
        <v>347</v>
      </c>
      <c r="D30" t="s">
        <v>348</v>
      </c>
      <c r="E30">
        <v>129392</v>
      </c>
      <c r="F30" t="s">
        <v>375</v>
      </c>
      <c r="G30" t="s">
        <v>333</v>
      </c>
      <c r="H30" t="s">
        <v>334</v>
      </c>
      <c r="I30" t="s">
        <v>335</v>
      </c>
      <c r="J30" t="s">
        <v>336</v>
      </c>
      <c r="K30" t="s">
        <v>337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1</v>
      </c>
      <c r="BY30">
        <v>2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2</v>
      </c>
      <c r="CH30">
        <v>2</v>
      </c>
      <c r="CI30">
        <v>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1</v>
      </c>
      <c r="FI30">
        <v>1</v>
      </c>
      <c r="FJ30">
        <v>0</v>
      </c>
      <c r="FK30">
        <v>0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2</v>
      </c>
      <c r="FY30">
        <v>1</v>
      </c>
      <c r="FZ30">
        <v>3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1</v>
      </c>
      <c r="IZ30">
        <v>0</v>
      </c>
      <c r="JA30">
        <v>1</v>
      </c>
      <c r="JB30">
        <v>0</v>
      </c>
      <c r="JC30">
        <v>1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3</v>
      </c>
      <c r="JP30">
        <v>0</v>
      </c>
      <c r="JQ30">
        <v>3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2</v>
      </c>
      <c r="MQ30">
        <v>1</v>
      </c>
      <c r="MR30">
        <v>1</v>
      </c>
      <c r="MS30">
        <v>1</v>
      </c>
      <c r="MT30">
        <v>2</v>
      </c>
      <c r="MU30">
        <v>0</v>
      </c>
      <c r="MV30">
        <v>0</v>
      </c>
      <c r="MW30">
        <v>1</v>
      </c>
      <c r="MX30">
        <v>2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7</v>
      </c>
      <c r="NG30">
        <v>3</v>
      </c>
      <c r="NH30">
        <v>10</v>
      </c>
    </row>
    <row r="31" spans="1:372" x14ac:dyDescent="0.25">
      <c r="A31" t="s">
        <v>332</v>
      </c>
      <c r="B31" t="s">
        <v>346</v>
      </c>
      <c r="C31" t="s">
        <v>347</v>
      </c>
      <c r="D31" t="s">
        <v>348</v>
      </c>
      <c r="E31">
        <v>129393</v>
      </c>
      <c r="F31" t="s">
        <v>376</v>
      </c>
      <c r="G31" t="s">
        <v>333</v>
      </c>
      <c r="H31" t="s">
        <v>334</v>
      </c>
      <c r="I31" t="s">
        <v>335</v>
      </c>
      <c r="J31" t="s">
        <v>336</v>
      </c>
      <c r="K31" t="s">
        <v>337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1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1</v>
      </c>
      <c r="LU31">
        <v>0</v>
      </c>
      <c r="LV31">
        <v>1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</v>
      </c>
      <c r="MY31">
        <v>0</v>
      </c>
      <c r="MZ31">
        <v>1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2</v>
      </c>
      <c r="NG31">
        <v>0</v>
      </c>
      <c r="NH31">
        <v>2</v>
      </c>
    </row>
    <row r="32" spans="1:372" x14ac:dyDescent="0.25">
      <c r="A32" t="s">
        <v>332</v>
      </c>
      <c r="B32" t="s">
        <v>346</v>
      </c>
      <c r="C32" t="s">
        <v>347</v>
      </c>
      <c r="D32" t="s">
        <v>348</v>
      </c>
      <c r="E32">
        <v>129394</v>
      </c>
      <c r="F32" t="s">
        <v>377</v>
      </c>
      <c r="G32" t="s">
        <v>333</v>
      </c>
      <c r="H32" t="s">
        <v>334</v>
      </c>
      <c r="I32" t="s">
        <v>335</v>
      </c>
      <c r="J32" t="s">
        <v>336</v>
      </c>
      <c r="K32" t="s">
        <v>337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2</v>
      </c>
      <c r="JL32">
        <v>0</v>
      </c>
      <c r="JM32">
        <v>0</v>
      </c>
      <c r="JN32">
        <v>0</v>
      </c>
      <c r="JO32">
        <v>2</v>
      </c>
      <c r="JP32">
        <v>0</v>
      </c>
      <c r="JQ32">
        <v>2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2</v>
      </c>
      <c r="NC32">
        <v>0</v>
      </c>
      <c r="ND32">
        <v>0</v>
      </c>
      <c r="NE32">
        <v>1</v>
      </c>
      <c r="NF32">
        <v>2</v>
      </c>
      <c r="NG32">
        <v>1</v>
      </c>
      <c r="NH32">
        <v>3</v>
      </c>
    </row>
    <row r="33" spans="1:372" x14ac:dyDescent="0.25">
      <c r="A33" t="s">
        <v>332</v>
      </c>
      <c r="B33" t="s">
        <v>346</v>
      </c>
      <c r="C33" t="s">
        <v>347</v>
      </c>
      <c r="D33" t="s">
        <v>348</v>
      </c>
      <c r="E33">
        <v>129395</v>
      </c>
      <c r="F33" t="s">
        <v>378</v>
      </c>
      <c r="G33" t="s">
        <v>333</v>
      </c>
      <c r="H33" t="s">
        <v>334</v>
      </c>
      <c r="I33" t="s">
        <v>335</v>
      </c>
      <c r="J33" t="s">
        <v>336</v>
      </c>
      <c r="K33" t="s">
        <v>337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</v>
      </c>
      <c r="BA33">
        <v>1</v>
      </c>
      <c r="BB33">
        <v>0</v>
      </c>
      <c r="BC33">
        <v>0</v>
      </c>
      <c r="BD33">
        <v>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5</v>
      </c>
      <c r="BO33">
        <v>1</v>
      </c>
      <c r="BP33">
        <v>6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2</v>
      </c>
      <c r="BX33">
        <v>1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</v>
      </c>
      <c r="CH33">
        <v>2</v>
      </c>
      <c r="CI33">
        <v>5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0</v>
      </c>
      <c r="FG33">
        <v>1</v>
      </c>
      <c r="FH33">
        <v>5</v>
      </c>
      <c r="FI33">
        <v>0</v>
      </c>
      <c r="FJ33">
        <v>3</v>
      </c>
      <c r="FK33">
        <v>0</v>
      </c>
      <c r="FL33">
        <v>3</v>
      </c>
      <c r="FM33">
        <v>3</v>
      </c>
      <c r="FN33">
        <v>2</v>
      </c>
      <c r="FO33">
        <v>2</v>
      </c>
      <c r="FP33">
        <v>6</v>
      </c>
      <c r="FQ33">
        <v>0</v>
      </c>
      <c r="FR33">
        <v>3</v>
      </c>
      <c r="FS33">
        <v>2</v>
      </c>
      <c r="FT33">
        <v>1</v>
      </c>
      <c r="FU33">
        <v>0</v>
      </c>
      <c r="FV33">
        <v>0</v>
      </c>
      <c r="FW33">
        <v>0</v>
      </c>
      <c r="FX33">
        <v>23</v>
      </c>
      <c r="FY33">
        <v>7</v>
      </c>
      <c r="FZ33">
        <v>30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1</v>
      </c>
      <c r="JP33">
        <v>0</v>
      </c>
      <c r="JQ33">
        <v>1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5</v>
      </c>
      <c r="MQ33">
        <v>0</v>
      </c>
      <c r="MR33">
        <v>6</v>
      </c>
      <c r="MS33">
        <v>2</v>
      </c>
      <c r="MT33">
        <v>3</v>
      </c>
      <c r="MU33">
        <v>3</v>
      </c>
      <c r="MV33">
        <v>7</v>
      </c>
      <c r="MW33">
        <v>3</v>
      </c>
      <c r="MX33">
        <v>6</v>
      </c>
      <c r="MY33">
        <v>0</v>
      </c>
      <c r="MZ33">
        <v>6</v>
      </c>
      <c r="NA33">
        <v>2</v>
      </c>
      <c r="NB33">
        <v>1</v>
      </c>
      <c r="NC33">
        <v>0</v>
      </c>
      <c r="ND33">
        <v>0</v>
      </c>
      <c r="NE33">
        <v>0</v>
      </c>
      <c r="NF33">
        <v>34</v>
      </c>
      <c r="NG33">
        <v>10</v>
      </c>
      <c r="NH33">
        <v>44</v>
      </c>
    </row>
    <row r="34" spans="1:372" x14ac:dyDescent="0.25">
      <c r="A34" t="s">
        <v>332</v>
      </c>
      <c r="B34" t="s">
        <v>346</v>
      </c>
      <c r="C34" t="s">
        <v>347</v>
      </c>
      <c r="D34" t="s">
        <v>348</v>
      </c>
      <c r="E34">
        <v>129396</v>
      </c>
      <c r="F34" t="s">
        <v>379</v>
      </c>
      <c r="G34" t="s">
        <v>333</v>
      </c>
      <c r="H34" t="s">
        <v>334</v>
      </c>
      <c r="I34" t="s">
        <v>335</v>
      </c>
      <c r="J34" t="s">
        <v>336</v>
      </c>
      <c r="K34" t="s">
        <v>337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1</v>
      </c>
      <c r="FF34">
        <v>0</v>
      </c>
      <c r="FG34">
        <v>1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2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2</v>
      </c>
      <c r="FY34">
        <v>1</v>
      </c>
      <c r="FZ34">
        <v>3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2</v>
      </c>
      <c r="IZ34">
        <v>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2</v>
      </c>
      <c r="JP34">
        <v>1</v>
      </c>
      <c r="JQ34">
        <v>3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2</v>
      </c>
      <c r="MQ34">
        <v>2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2</v>
      </c>
      <c r="MY34">
        <v>0</v>
      </c>
      <c r="MZ34">
        <v>1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5</v>
      </c>
      <c r="NG34">
        <v>2</v>
      </c>
      <c r="NH34">
        <v>7</v>
      </c>
    </row>
    <row r="35" spans="1:372" x14ac:dyDescent="0.25">
      <c r="A35" t="s">
        <v>332</v>
      </c>
      <c r="B35" t="s">
        <v>346</v>
      </c>
      <c r="C35" t="s">
        <v>347</v>
      </c>
      <c r="D35" t="s">
        <v>348</v>
      </c>
      <c r="E35">
        <v>129397</v>
      </c>
      <c r="F35" t="s">
        <v>380</v>
      </c>
      <c r="G35" t="s">
        <v>333</v>
      </c>
      <c r="H35" t="s">
        <v>334</v>
      </c>
      <c r="I35" t="s">
        <v>335</v>
      </c>
      <c r="J35" t="s">
        <v>336</v>
      </c>
      <c r="K35" t="s">
        <v>337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2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2</v>
      </c>
      <c r="FZ35">
        <v>2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2</v>
      </c>
      <c r="MR35">
        <v>0</v>
      </c>
      <c r="MS35">
        <v>1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3</v>
      </c>
      <c r="NH35">
        <v>3</v>
      </c>
    </row>
    <row r="36" spans="1:372" x14ac:dyDescent="0.25">
      <c r="A36" t="s">
        <v>332</v>
      </c>
      <c r="B36" t="s">
        <v>346</v>
      </c>
      <c r="C36" t="s">
        <v>347</v>
      </c>
      <c r="D36" t="s">
        <v>348</v>
      </c>
      <c r="E36">
        <v>129398</v>
      </c>
      <c r="F36" t="s">
        <v>381</v>
      </c>
      <c r="G36" t="s">
        <v>333</v>
      </c>
      <c r="H36" t="s">
        <v>334</v>
      </c>
      <c r="I36" t="s">
        <v>335</v>
      </c>
      <c r="J36" t="s">
        <v>336</v>
      </c>
      <c r="K36" t="s">
        <v>337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1</v>
      </c>
      <c r="FH36">
        <v>3</v>
      </c>
      <c r="FI36">
        <v>0</v>
      </c>
      <c r="FJ36">
        <v>0</v>
      </c>
      <c r="FK36">
        <v>0</v>
      </c>
      <c r="FL36">
        <v>2</v>
      </c>
      <c r="FM36">
        <v>0</v>
      </c>
      <c r="FN36">
        <v>2</v>
      </c>
      <c r="FO36">
        <v>0</v>
      </c>
      <c r="FP36">
        <v>2</v>
      </c>
      <c r="FQ36">
        <v>0</v>
      </c>
      <c r="FR36">
        <v>2</v>
      </c>
      <c r="FS36">
        <v>1</v>
      </c>
      <c r="FT36">
        <v>2</v>
      </c>
      <c r="FU36">
        <v>1</v>
      </c>
      <c r="FV36">
        <v>0</v>
      </c>
      <c r="FW36">
        <v>0</v>
      </c>
      <c r="FX36">
        <v>13</v>
      </c>
      <c r="FY36">
        <v>2</v>
      </c>
      <c r="FZ36">
        <v>15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1</v>
      </c>
      <c r="JP36">
        <v>0</v>
      </c>
      <c r="JQ36">
        <v>1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3</v>
      </c>
      <c r="MQ36">
        <v>0</v>
      </c>
      <c r="MR36">
        <v>0</v>
      </c>
      <c r="MS36">
        <v>0</v>
      </c>
      <c r="MT36">
        <v>3</v>
      </c>
      <c r="MU36">
        <v>0</v>
      </c>
      <c r="MV36">
        <v>2</v>
      </c>
      <c r="MW36">
        <v>0</v>
      </c>
      <c r="MX36">
        <v>4</v>
      </c>
      <c r="MY36">
        <v>0</v>
      </c>
      <c r="MZ36">
        <v>2</v>
      </c>
      <c r="NA36">
        <v>2</v>
      </c>
      <c r="NB36">
        <v>2</v>
      </c>
      <c r="NC36">
        <v>1</v>
      </c>
      <c r="ND36">
        <v>0</v>
      </c>
      <c r="NE36">
        <v>0</v>
      </c>
      <c r="NF36">
        <v>16</v>
      </c>
      <c r="NG36">
        <v>3</v>
      </c>
      <c r="NH36">
        <v>19</v>
      </c>
    </row>
    <row r="37" spans="1:372" x14ac:dyDescent="0.25">
      <c r="A37" t="s">
        <v>332</v>
      </c>
      <c r="B37" t="s">
        <v>346</v>
      </c>
      <c r="C37" t="s">
        <v>347</v>
      </c>
      <c r="D37" t="s">
        <v>348</v>
      </c>
      <c r="E37">
        <v>129399</v>
      </c>
      <c r="F37" t="s">
        <v>382</v>
      </c>
      <c r="G37" t="s">
        <v>333</v>
      </c>
      <c r="H37" t="s">
        <v>334</v>
      </c>
      <c r="I37" t="s">
        <v>335</v>
      </c>
      <c r="J37" t="s">
        <v>336</v>
      </c>
      <c r="K37" t="s">
        <v>337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2</v>
      </c>
      <c r="AY37">
        <v>1</v>
      </c>
      <c r="AZ37">
        <v>4</v>
      </c>
      <c r="BA37">
        <v>1</v>
      </c>
      <c r="BB37">
        <v>1</v>
      </c>
      <c r="BC37">
        <v>0</v>
      </c>
      <c r="BD37">
        <v>5</v>
      </c>
      <c r="BE37">
        <v>1</v>
      </c>
      <c r="BF37">
        <v>3</v>
      </c>
      <c r="BG37">
        <v>0</v>
      </c>
      <c r="BH37">
        <v>0</v>
      </c>
      <c r="BI37">
        <v>0</v>
      </c>
      <c r="BJ37">
        <v>2</v>
      </c>
      <c r="BK37">
        <v>2</v>
      </c>
      <c r="BL37">
        <v>0</v>
      </c>
      <c r="BM37">
        <v>0</v>
      </c>
      <c r="BN37">
        <v>17</v>
      </c>
      <c r="BO37">
        <v>5</v>
      </c>
      <c r="BP37">
        <v>22</v>
      </c>
      <c r="BQ37">
        <v>2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5</v>
      </c>
      <c r="CH37">
        <v>0</v>
      </c>
      <c r="CI37">
        <v>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1</v>
      </c>
      <c r="FM37">
        <v>2</v>
      </c>
      <c r="FN37">
        <v>0</v>
      </c>
      <c r="FO37">
        <v>0</v>
      </c>
      <c r="FP37">
        <v>0</v>
      </c>
      <c r="FQ37">
        <v>0</v>
      </c>
      <c r="FR37">
        <v>2</v>
      </c>
      <c r="FS37">
        <v>0</v>
      </c>
      <c r="FT37">
        <v>2</v>
      </c>
      <c r="FU37">
        <v>0</v>
      </c>
      <c r="FV37">
        <v>0</v>
      </c>
      <c r="FW37">
        <v>0</v>
      </c>
      <c r="FX37">
        <v>5</v>
      </c>
      <c r="FY37">
        <v>2</v>
      </c>
      <c r="FZ37">
        <v>7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1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1</v>
      </c>
      <c r="JP37">
        <v>0</v>
      </c>
      <c r="JQ37">
        <v>1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5</v>
      </c>
      <c r="MQ37">
        <v>1</v>
      </c>
      <c r="MR37">
        <v>4</v>
      </c>
      <c r="MS37">
        <v>1</v>
      </c>
      <c r="MT37">
        <v>3</v>
      </c>
      <c r="MU37">
        <v>2</v>
      </c>
      <c r="MV37">
        <v>5</v>
      </c>
      <c r="MW37">
        <v>1</v>
      </c>
      <c r="MX37">
        <v>3</v>
      </c>
      <c r="MY37">
        <v>0</v>
      </c>
      <c r="MZ37">
        <v>3</v>
      </c>
      <c r="NA37">
        <v>0</v>
      </c>
      <c r="NB37">
        <v>5</v>
      </c>
      <c r="NC37">
        <v>3</v>
      </c>
      <c r="ND37">
        <v>0</v>
      </c>
      <c r="NE37">
        <v>0</v>
      </c>
      <c r="NF37">
        <v>28</v>
      </c>
      <c r="NG37">
        <v>8</v>
      </c>
      <c r="NH37">
        <v>36</v>
      </c>
    </row>
    <row r="38" spans="1:372" x14ac:dyDescent="0.25">
      <c r="A38" t="s">
        <v>332</v>
      </c>
      <c r="B38" t="s">
        <v>346</v>
      </c>
      <c r="C38" t="s">
        <v>347</v>
      </c>
      <c r="D38" t="s">
        <v>348</v>
      </c>
      <c r="E38">
        <v>129400</v>
      </c>
      <c r="F38" t="s">
        <v>383</v>
      </c>
      <c r="G38" t="s">
        <v>333</v>
      </c>
      <c r="H38" t="s">
        <v>334</v>
      </c>
      <c r="I38" t="s">
        <v>335</v>
      </c>
      <c r="J38" t="s">
        <v>336</v>
      </c>
      <c r="K38" t="s">
        <v>337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</row>
    <row r="39" spans="1:372" x14ac:dyDescent="0.25">
      <c r="A39" t="s">
        <v>332</v>
      </c>
      <c r="B39" t="s">
        <v>346</v>
      </c>
      <c r="C39" t="s">
        <v>347</v>
      </c>
      <c r="D39" t="s">
        <v>348</v>
      </c>
      <c r="E39">
        <v>129401</v>
      </c>
      <c r="F39" t="s">
        <v>384</v>
      </c>
      <c r="G39" t="s">
        <v>333</v>
      </c>
      <c r="H39" t="s">
        <v>334</v>
      </c>
      <c r="I39" t="s">
        <v>335</v>
      </c>
      <c r="J39" t="s">
        <v>336</v>
      </c>
      <c r="K39" t="s">
        <v>337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1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2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2</v>
      </c>
      <c r="FY39">
        <v>0</v>
      </c>
      <c r="FZ39">
        <v>2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4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4</v>
      </c>
      <c r="NG39">
        <v>0</v>
      </c>
      <c r="NH39">
        <v>4</v>
      </c>
    </row>
    <row r="40" spans="1:372" x14ac:dyDescent="0.25">
      <c r="A40" t="s">
        <v>332</v>
      </c>
      <c r="B40" t="s">
        <v>346</v>
      </c>
      <c r="C40" t="s">
        <v>347</v>
      </c>
      <c r="D40" t="s">
        <v>348</v>
      </c>
      <c r="E40">
        <v>129402</v>
      </c>
      <c r="F40" t="s">
        <v>385</v>
      </c>
      <c r="G40" t="s">
        <v>333</v>
      </c>
      <c r="H40" t="s">
        <v>334</v>
      </c>
      <c r="I40" t="s">
        <v>335</v>
      </c>
      <c r="J40" t="s">
        <v>336</v>
      </c>
      <c r="K40" t="s">
        <v>337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0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1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2</v>
      </c>
      <c r="NG40">
        <v>0</v>
      </c>
      <c r="NH40">
        <v>2</v>
      </c>
    </row>
    <row r="41" spans="1:372" x14ac:dyDescent="0.25">
      <c r="A41" t="s">
        <v>332</v>
      </c>
      <c r="B41" t="s">
        <v>346</v>
      </c>
      <c r="C41" t="s">
        <v>347</v>
      </c>
      <c r="D41" t="s">
        <v>348</v>
      </c>
      <c r="E41">
        <v>129403</v>
      </c>
      <c r="F41" t="s">
        <v>386</v>
      </c>
      <c r="G41" t="s">
        <v>333</v>
      </c>
      <c r="H41" t="s">
        <v>334</v>
      </c>
      <c r="I41" t="s">
        <v>335</v>
      </c>
      <c r="J41" t="s">
        <v>336</v>
      </c>
      <c r="K41" t="s">
        <v>337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2</v>
      </c>
      <c r="CH41">
        <v>0</v>
      </c>
      <c r="CI41">
        <v>2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1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2</v>
      </c>
      <c r="FY41">
        <v>0</v>
      </c>
      <c r="FZ41">
        <v>2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1</v>
      </c>
      <c r="MQ41">
        <v>0</v>
      </c>
      <c r="MR41">
        <v>1</v>
      </c>
      <c r="MS41">
        <v>0</v>
      </c>
      <c r="MT41">
        <v>1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1</v>
      </c>
      <c r="NC41">
        <v>0</v>
      </c>
      <c r="ND41">
        <v>0</v>
      </c>
      <c r="NE41">
        <v>0</v>
      </c>
      <c r="NF41">
        <v>4</v>
      </c>
      <c r="NG41">
        <v>0</v>
      </c>
      <c r="NH41">
        <v>4</v>
      </c>
    </row>
    <row r="42" spans="1:372" x14ac:dyDescent="0.25">
      <c r="A42" t="s">
        <v>332</v>
      </c>
      <c r="B42" t="s">
        <v>346</v>
      </c>
      <c r="C42" t="s">
        <v>347</v>
      </c>
      <c r="D42" t="s">
        <v>348</v>
      </c>
      <c r="E42">
        <v>129404</v>
      </c>
      <c r="F42" t="s">
        <v>387</v>
      </c>
      <c r="G42" t="s">
        <v>333</v>
      </c>
      <c r="H42" t="s">
        <v>334</v>
      </c>
      <c r="I42" t="s">
        <v>335</v>
      </c>
      <c r="J42" t="s">
        <v>336</v>
      </c>
      <c r="K42" t="s">
        <v>337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0</v>
      </c>
      <c r="BU42">
        <v>2</v>
      </c>
      <c r="BV42">
        <v>1</v>
      </c>
      <c r="BW42">
        <v>1</v>
      </c>
      <c r="BX42">
        <v>0</v>
      </c>
      <c r="BY42">
        <v>2</v>
      </c>
      <c r="BZ42">
        <v>0</v>
      </c>
      <c r="CA42">
        <v>2</v>
      </c>
      <c r="CB42">
        <v>0</v>
      </c>
      <c r="CC42">
        <v>2</v>
      </c>
      <c r="CD42">
        <v>0</v>
      </c>
      <c r="CE42">
        <v>0</v>
      </c>
      <c r="CF42">
        <v>0</v>
      </c>
      <c r="CG42">
        <v>11</v>
      </c>
      <c r="CH42">
        <v>1</v>
      </c>
      <c r="CI42">
        <v>12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2</v>
      </c>
      <c r="MS42">
        <v>0</v>
      </c>
      <c r="MT42">
        <v>2</v>
      </c>
      <c r="MU42">
        <v>1</v>
      </c>
      <c r="MV42">
        <v>1</v>
      </c>
      <c r="MW42">
        <v>0</v>
      </c>
      <c r="MX42">
        <v>2</v>
      </c>
      <c r="MY42">
        <v>0</v>
      </c>
      <c r="MZ42">
        <v>2</v>
      </c>
      <c r="NA42">
        <v>0</v>
      </c>
      <c r="NB42">
        <v>2</v>
      </c>
      <c r="NC42">
        <v>0</v>
      </c>
      <c r="ND42">
        <v>0</v>
      </c>
      <c r="NE42">
        <v>0</v>
      </c>
      <c r="NF42">
        <v>11</v>
      </c>
      <c r="NG42">
        <v>1</v>
      </c>
      <c r="NH42">
        <v>12</v>
      </c>
    </row>
    <row r="43" spans="1:372" x14ac:dyDescent="0.25">
      <c r="A43" t="s">
        <v>332</v>
      </c>
      <c r="B43" t="s">
        <v>346</v>
      </c>
      <c r="C43" t="s">
        <v>347</v>
      </c>
      <c r="D43" t="s">
        <v>348</v>
      </c>
      <c r="E43">
        <v>129405</v>
      </c>
      <c r="F43" t="s">
        <v>388</v>
      </c>
      <c r="G43" t="s">
        <v>333</v>
      </c>
      <c r="H43" t="s">
        <v>334</v>
      </c>
      <c r="I43" t="s">
        <v>335</v>
      </c>
      <c r="J43" t="s">
        <v>336</v>
      </c>
      <c r="K43" t="s">
        <v>337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2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3</v>
      </c>
      <c r="BO43">
        <v>1</v>
      </c>
      <c r="BP43">
        <v>4</v>
      </c>
      <c r="BQ43">
        <v>0</v>
      </c>
      <c r="BR43">
        <v>1</v>
      </c>
      <c r="BS43">
        <v>0</v>
      </c>
      <c r="BT43">
        <v>0</v>
      </c>
      <c r="BU43">
        <v>3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6</v>
      </c>
      <c r="CH43">
        <v>1</v>
      </c>
      <c r="CI43">
        <v>7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2</v>
      </c>
      <c r="FK43">
        <v>1</v>
      </c>
      <c r="FL43">
        <v>0</v>
      </c>
      <c r="FM43">
        <v>0</v>
      </c>
      <c r="FN43">
        <v>1</v>
      </c>
      <c r="FO43">
        <v>0</v>
      </c>
      <c r="FP43">
        <v>0</v>
      </c>
      <c r="FQ43">
        <v>2</v>
      </c>
      <c r="FR43">
        <v>1</v>
      </c>
      <c r="FS43">
        <v>0</v>
      </c>
      <c r="FT43">
        <v>1</v>
      </c>
      <c r="FU43">
        <v>0</v>
      </c>
      <c r="FV43">
        <v>0</v>
      </c>
      <c r="FW43">
        <v>0</v>
      </c>
      <c r="FX43">
        <v>5</v>
      </c>
      <c r="FY43">
        <v>4</v>
      </c>
      <c r="FZ43">
        <v>9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1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1</v>
      </c>
      <c r="JP43">
        <v>1</v>
      </c>
      <c r="JQ43">
        <v>2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1</v>
      </c>
      <c r="MQ43">
        <v>3</v>
      </c>
      <c r="MR43">
        <v>2</v>
      </c>
      <c r="MS43">
        <v>2</v>
      </c>
      <c r="MT43">
        <v>4</v>
      </c>
      <c r="MU43">
        <v>0</v>
      </c>
      <c r="MV43">
        <v>4</v>
      </c>
      <c r="MW43">
        <v>1</v>
      </c>
      <c r="MX43">
        <v>1</v>
      </c>
      <c r="MY43">
        <v>2</v>
      </c>
      <c r="MZ43">
        <v>4</v>
      </c>
      <c r="NA43">
        <v>0</v>
      </c>
      <c r="NB43">
        <v>3</v>
      </c>
      <c r="NC43">
        <v>0</v>
      </c>
      <c r="ND43">
        <v>0</v>
      </c>
      <c r="NE43">
        <v>0</v>
      </c>
      <c r="NF43">
        <v>19</v>
      </c>
      <c r="NG43">
        <v>8</v>
      </c>
      <c r="NH43">
        <v>27</v>
      </c>
    </row>
    <row r="44" spans="1:372" x14ac:dyDescent="0.25">
      <c r="A44" t="s">
        <v>332</v>
      </c>
      <c r="B44" t="s">
        <v>346</v>
      </c>
      <c r="C44" t="s">
        <v>347</v>
      </c>
      <c r="D44" t="s">
        <v>348</v>
      </c>
      <c r="E44">
        <v>129406</v>
      </c>
      <c r="F44" t="s">
        <v>389</v>
      </c>
      <c r="G44" t="s">
        <v>333</v>
      </c>
      <c r="H44" t="s">
        <v>334</v>
      </c>
      <c r="I44" t="s">
        <v>335</v>
      </c>
      <c r="J44" t="s">
        <v>336</v>
      </c>
      <c r="K44" t="s">
        <v>337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1</v>
      </c>
      <c r="FF44">
        <v>0</v>
      </c>
      <c r="FG44">
        <v>1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1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1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1</v>
      </c>
      <c r="NG44">
        <v>1</v>
      </c>
      <c r="NH44">
        <v>2</v>
      </c>
    </row>
    <row r="45" spans="1:372" x14ac:dyDescent="0.25">
      <c r="A45" t="s">
        <v>332</v>
      </c>
      <c r="B45" t="s">
        <v>346</v>
      </c>
      <c r="C45" t="s">
        <v>347</v>
      </c>
      <c r="D45" t="s">
        <v>348</v>
      </c>
      <c r="E45">
        <v>129407</v>
      </c>
      <c r="F45" t="s">
        <v>390</v>
      </c>
      <c r="G45" t="s">
        <v>333</v>
      </c>
      <c r="H45" t="s">
        <v>334</v>
      </c>
      <c r="I45" t="s">
        <v>335</v>
      </c>
      <c r="J45" t="s">
        <v>336</v>
      </c>
      <c r="K45" t="s">
        <v>337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</row>
    <row r="46" spans="1:372" x14ac:dyDescent="0.25">
      <c r="A46" t="s">
        <v>332</v>
      </c>
      <c r="B46" t="s">
        <v>346</v>
      </c>
      <c r="C46" t="s">
        <v>347</v>
      </c>
      <c r="D46" t="s">
        <v>348</v>
      </c>
      <c r="E46">
        <v>129408</v>
      </c>
      <c r="F46" t="s">
        <v>391</v>
      </c>
      <c r="G46" t="s">
        <v>333</v>
      </c>
      <c r="H46" t="s">
        <v>334</v>
      </c>
      <c r="I46" t="s">
        <v>335</v>
      </c>
      <c r="J46" t="s">
        <v>336</v>
      </c>
      <c r="K46" t="s">
        <v>337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1</v>
      </c>
      <c r="CI46">
        <v>2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1</v>
      </c>
      <c r="FZ46">
        <v>1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1</v>
      </c>
      <c r="MQ46">
        <v>1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1</v>
      </c>
      <c r="MZ46">
        <v>0</v>
      </c>
      <c r="NA46">
        <v>0</v>
      </c>
      <c r="NB46">
        <v>0</v>
      </c>
      <c r="NC46">
        <v>1</v>
      </c>
      <c r="ND46">
        <v>0</v>
      </c>
      <c r="NE46">
        <v>0</v>
      </c>
      <c r="NF46">
        <v>1</v>
      </c>
      <c r="NG46">
        <v>3</v>
      </c>
      <c r="NH46">
        <v>4</v>
      </c>
    </row>
    <row r="47" spans="1:372" x14ac:dyDescent="0.25">
      <c r="A47" t="s">
        <v>332</v>
      </c>
      <c r="B47" t="s">
        <v>346</v>
      </c>
      <c r="C47" t="s">
        <v>347</v>
      </c>
      <c r="D47" t="s">
        <v>348</v>
      </c>
      <c r="E47">
        <v>129409</v>
      </c>
      <c r="F47" t="s">
        <v>392</v>
      </c>
      <c r="G47" t="s">
        <v>333</v>
      </c>
      <c r="H47" t="s">
        <v>334</v>
      </c>
      <c r="I47" t="s">
        <v>335</v>
      </c>
      <c r="J47" t="s">
        <v>336</v>
      </c>
      <c r="K47" t="s">
        <v>337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2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2</v>
      </c>
      <c r="CI47">
        <v>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1</v>
      </c>
      <c r="IZ47">
        <v>1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1</v>
      </c>
      <c r="JP47">
        <v>1</v>
      </c>
      <c r="JQ47">
        <v>2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1</v>
      </c>
      <c r="MQ47">
        <v>3</v>
      </c>
      <c r="MR47">
        <v>0</v>
      </c>
      <c r="MS47">
        <v>0</v>
      </c>
      <c r="MT47">
        <v>0</v>
      </c>
      <c r="MU47">
        <v>0</v>
      </c>
      <c r="MV47">
        <v>1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2</v>
      </c>
      <c r="NG47">
        <v>3</v>
      </c>
      <c r="NH47">
        <v>5</v>
      </c>
    </row>
    <row r="48" spans="1:372" x14ac:dyDescent="0.25">
      <c r="A48" t="s">
        <v>332</v>
      </c>
      <c r="B48" t="s">
        <v>346</v>
      </c>
      <c r="C48" t="s">
        <v>347</v>
      </c>
      <c r="D48" t="s">
        <v>348</v>
      </c>
      <c r="E48">
        <v>257001</v>
      </c>
      <c r="F48" t="s">
        <v>393</v>
      </c>
      <c r="G48" t="s">
        <v>333</v>
      </c>
      <c r="H48" t="s">
        <v>334</v>
      </c>
      <c r="I48" t="s">
        <v>335</v>
      </c>
      <c r="J48" t="s">
        <v>336</v>
      </c>
      <c r="K48" t="s">
        <v>337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1</v>
      </c>
      <c r="ND48">
        <v>0</v>
      </c>
      <c r="NE48">
        <v>0</v>
      </c>
      <c r="NF48">
        <v>0</v>
      </c>
      <c r="NG48">
        <v>1</v>
      </c>
      <c r="NH48">
        <v>1</v>
      </c>
    </row>
    <row r="49" spans="1:372" x14ac:dyDescent="0.25">
      <c r="A49" t="s">
        <v>332</v>
      </c>
      <c r="B49" t="s">
        <v>346</v>
      </c>
      <c r="C49" t="s">
        <v>347</v>
      </c>
      <c r="D49" t="s">
        <v>348</v>
      </c>
      <c r="E49">
        <v>465513</v>
      </c>
      <c r="F49" t="s">
        <v>394</v>
      </c>
      <c r="G49" t="s">
        <v>342</v>
      </c>
      <c r="H49" t="s">
        <v>339</v>
      </c>
      <c r="I49" t="s">
        <v>395</v>
      </c>
      <c r="J49" t="s">
        <v>336</v>
      </c>
      <c r="K49" t="s">
        <v>341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</row>
    <row r="50" spans="1:372" x14ac:dyDescent="0.25">
      <c r="A50" t="s">
        <v>332</v>
      </c>
      <c r="B50" t="s">
        <v>346</v>
      </c>
      <c r="C50" t="s">
        <v>347</v>
      </c>
      <c r="D50" t="s">
        <v>348</v>
      </c>
      <c r="E50">
        <v>465515</v>
      </c>
      <c r="F50" t="s">
        <v>396</v>
      </c>
      <c r="G50" t="s">
        <v>342</v>
      </c>
      <c r="H50" t="s">
        <v>339</v>
      </c>
      <c r="I50" t="s">
        <v>343</v>
      </c>
      <c r="J50" t="s">
        <v>336</v>
      </c>
      <c r="K50" t="s">
        <v>344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</row>
    <row r="51" spans="1:372" x14ac:dyDescent="0.25">
      <c r="A51" t="s">
        <v>332</v>
      </c>
      <c r="B51" t="s">
        <v>346</v>
      </c>
      <c r="C51" t="s">
        <v>347</v>
      </c>
      <c r="D51" t="s">
        <v>348</v>
      </c>
      <c r="E51">
        <v>465516</v>
      </c>
      <c r="F51" t="s">
        <v>397</v>
      </c>
      <c r="G51" t="s">
        <v>342</v>
      </c>
      <c r="H51" t="s">
        <v>339</v>
      </c>
      <c r="I51" t="s">
        <v>345</v>
      </c>
      <c r="J51" t="s">
        <v>336</v>
      </c>
      <c r="K51" t="s">
        <v>337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1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1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1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1</v>
      </c>
      <c r="NH51">
        <v>1</v>
      </c>
    </row>
    <row r="52" spans="1:372" x14ac:dyDescent="0.25">
      <c r="A52" t="s">
        <v>332</v>
      </c>
      <c r="B52" t="s">
        <v>346</v>
      </c>
      <c r="C52" t="s">
        <v>347</v>
      </c>
      <c r="D52" t="s">
        <v>348</v>
      </c>
      <c r="E52">
        <v>465900</v>
      </c>
      <c r="F52" t="s">
        <v>398</v>
      </c>
      <c r="G52" t="s">
        <v>342</v>
      </c>
      <c r="H52" t="s">
        <v>339</v>
      </c>
      <c r="I52" t="s">
        <v>340</v>
      </c>
      <c r="J52" t="s">
        <v>336</v>
      </c>
      <c r="K52" t="s">
        <v>341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</row>
    <row r="53" spans="1:372" x14ac:dyDescent="0.25">
      <c r="A53" t="s">
        <v>332</v>
      </c>
      <c r="B53" t="s">
        <v>346</v>
      </c>
      <c r="C53" t="s">
        <v>347</v>
      </c>
      <c r="D53" t="s">
        <v>348</v>
      </c>
      <c r="E53">
        <v>102157</v>
      </c>
      <c r="F53" t="s">
        <v>399</v>
      </c>
      <c r="G53" t="s">
        <v>333</v>
      </c>
      <c r="H53" t="s">
        <v>334</v>
      </c>
      <c r="I53" t="s">
        <v>335</v>
      </c>
      <c r="J53" t="s">
        <v>336</v>
      </c>
      <c r="K53" t="s">
        <v>337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0</v>
      </c>
      <c r="FX53">
        <v>1</v>
      </c>
      <c r="FY53">
        <v>1</v>
      </c>
      <c r="FZ53">
        <v>2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1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1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2</v>
      </c>
      <c r="JP53">
        <v>1</v>
      </c>
      <c r="JQ53">
        <v>3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1</v>
      </c>
      <c r="MQ53">
        <v>0</v>
      </c>
      <c r="MR53">
        <v>0</v>
      </c>
      <c r="MS53">
        <v>1</v>
      </c>
      <c r="MT53">
        <v>2</v>
      </c>
      <c r="MU53">
        <v>0</v>
      </c>
      <c r="MV53">
        <v>0</v>
      </c>
      <c r="MW53">
        <v>0</v>
      </c>
      <c r="MX53">
        <v>1</v>
      </c>
      <c r="MY53">
        <v>0</v>
      </c>
      <c r="MZ53">
        <v>1</v>
      </c>
      <c r="NA53">
        <v>0</v>
      </c>
      <c r="NB53">
        <v>0</v>
      </c>
      <c r="NC53">
        <v>1</v>
      </c>
      <c r="ND53">
        <v>0</v>
      </c>
      <c r="NE53">
        <v>0</v>
      </c>
      <c r="NF53">
        <v>5</v>
      </c>
      <c r="NG53">
        <v>2</v>
      </c>
      <c r="NH53">
        <v>7</v>
      </c>
    </row>
    <row r="54" spans="1:372" x14ac:dyDescent="0.25">
      <c r="A54" t="s">
        <v>332</v>
      </c>
      <c r="B54" t="s">
        <v>346</v>
      </c>
      <c r="C54" t="s">
        <v>347</v>
      </c>
      <c r="D54" t="s">
        <v>348</v>
      </c>
      <c r="E54">
        <v>102164</v>
      </c>
      <c r="F54" t="s">
        <v>400</v>
      </c>
      <c r="G54" t="s">
        <v>333</v>
      </c>
      <c r="H54" t="s">
        <v>334</v>
      </c>
      <c r="I54" t="s">
        <v>335</v>
      </c>
      <c r="J54" t="s">
        <v>336</v>
      </c>
      <c r="K54" t="s">
        <v>337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</row>
    <row r="55" spans="1:372" x14ac:dyDescent="0.25">
      <c r="A55" t="s">
        <v>332</v>
      </c>
      <c r="B55" t="s">
        <v>346</v>
      </c>
      <c r="C55" t="s">
        <v>347</v>
      </c>
      <c r="D55" t="s">
        <v>348</v>
      </c>
      <c r="E55">
        <v>129410</v>
      </c>
      <c r="F55" t="s">
        <v>401</v>
      </c>
      <c r="G55" t="s">
        <v>333</v>
      </c>
      <c r="H55" t="s">
        <v>334</v>
      </c>
      <c r="I55" t="s">
        <v>335</v>
      </c>
      <c r="J55" t="s">
        <v>336</v>
      </c>
      <c r="K55" t="s">
        <v>337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1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1</v>
      </c>
      <c r="ND55">
        <v>0</v>
      </c>
      <c r="NE55">
        <v>0</v>
      </c>
      <c r="NF55">
        <v>1</v>
      </c>
      <c r="NG55">
        <v>1</v>
      </c>
      <c r="NH55">
        <v>2</v>
      </c>
    </row>
    <row r="56" spans="1:372" x14ac:dyDescent="0.25">
      <c r="A56" t="s">
        <v>332</v>
      </c>
      <c r="B56" t="s">
        <v>346</v>
      </c>
      <c r="C56" t="s">
        <v>347</v>
      </c>
      <c r="D56" t="s">
        <v>348</v>
      </c>
      <c r="E56">
        <v>129412</v>
      </c>
      <c r="F56" t="s">
        <v>402</v>
      </c>
      <c r="G56" t="s">
        <v>333</v>
      </c>
      <c r="H56" t="s">
        <v>334</v>
      </c>
      <c r="I56" t="s">
        <v>335</v>
      </c>
      <c r="J56" t="s">
        <v>336</v>
      </c>
      <c r="K56" t="s">
        <v>337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</row>
    <row r="57" spans="1:372" x14ac:dyDescent="0.25">
      <c r="A57" t="s">
        <v>332</v>
      </c>
      <c r="B57" t="s">
        <v>346</v>
      </c>
      <c r="C57" t="s">
        <v>347</v>
      </c>
      <c r="D57" t="s">
        <v>348</v>
      </c>
      <c r="E57">
        <v>129413</v>
      </c>
      <c r="F57" t="s">
        <v>403</v>
      </c>
      <c r="G57" t="s">
        <v>333</v>
      </c>
      <c r="H57" t="s">
        <v>334</v>
      </c>
      <c r="I57" t="s">
        <v>335</v>
      </c>
      <c r="J57" t="s">
        <v>336</v>
      </c>
      <c r="K57" t="s">
        <v>337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2</v>
      </c>
      <c r="FI57">
        <v>2</v>
      </c>
      <c r="FJ57">
        <v>0</v>
      </c>
      <c r="FK57">
        <v>0</v>
      </c>
      <c r="FL57">
        <v>0</v>
      </c>
      <c r="FM57">
        <v>0</v>
      </c>
      <c r="FN57">
        <v>1</v>
      </c>
      <c r="FO57">
        <v>0</v>
      </c>
      <c r="FP57">
        <v>0</v>
      </c>
      <c r="FQ57">
        <v>0</v>
      </c>
      <c r="FR57">
        <v>0</v>
      </c>
      <c r="FS57">
        <v>2</v>
      </c>
      <c r="FT57">
        <v>1</v>
      </c>
      <c r="FU57">
        <v>0</v>
      </c>
      <c r="FV57">
        <v>0</v>
      </c>
      <c r="FW57">
        <v>0</v>
      </c>
      <c r="FX57">
        <v>4</v>
      </c>
      <c r="FY57">
        <v>4</v>
      </c>
      <c r="FZ57">
        <v>8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2</v>
      </c>
      <c r="MQ57">
        <v>2</v>
      </c>
      <c r="MR57">
        <v>0</v>
      </c>
      <c r="MS57">
        <v>0</v>
      </c>
      <c r="MT57">
        <v>0</v>
      </c>
      <c r="MU57">
        <v>0</v>
      </c>
      <c r="MV57">
        <v>1</v>
      </c>
      <c r="MW57">
        <v>0</v>
      </c>
      <c r="MX57">
        <v>0</v>
      </c>
      <c r="MY57">
        <v>0</v>
      </c>
      <c r="MZ57">
        <v>0</v>
      </c>
      <c r="NA57">
        <v>2</v>
      </c>
      <c r="NB57">
        <v>1</v>
      </c>
      <c r="NC57">
        <v>0</v>
      </c>
      <c r="ND57">
        <v>0</v>
      </c>
      <c r="NE57">
        <v>0</v>
      </c>
      <c r="NF57">
        <v>4</v>
      </c>
      <c r="NG57">
        <v>4</v>
      </c>
      <c r="NH57">
        <v>8</v>
      </c>
    </row>
    <row r="58" spans="1:372" x14ac:dyDescent="0.25">
      <c r="A58" t="s">
        <v>332</v>
      </c>
      <c r="B58" t="s">
        <v>346</v>
      </c>
      <c r="C58" t="s">
        <v>347</v>
      </c>
      <c r="D58" t="s">
        <v>348</v>
      </c>
      <c r="E58">
        <v>129414</v>
      </c>
      <c r="F58" t="s">
        <v>404</v>
      </c>
      <c r="G58" t="s">
        <v>333</v>
      </c>
      <c r="H58" t="s">
        <v>334</v>
      </c>
      <c r="I58" t="s">
        <v>335</v>
      </c>
      <c r="J58" t="s">
        <v>336</v>
      </c>
      <c r="K58" t="s">
        <v>337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</row>
    <row r="59" spans="1:372" x14ac:dyDescent="0.25">
      <c r="A59" t="s">
        <v>332</v>
      </c>
      <c r="B59" t="s">
        <v>346</v>
      </c>
      <c r="C59" t="s">
        <v>347</v>
      </c>
      <c r="D59" t="s">
        <v>348</v>
      </c>
      <c r="E59">
        <v>129417</v>
      </c>
      <c r="F59" t="s">
        <v>405</v>
      </c>
      <c r="G59" t="s">
        <v>333</v>
      </c>
      <c r="H59" t="s">
        <v>334</v>
      </c>
      <c r="I59" t="s">
        <v>335</v>
      </c>
      <c r="J59" t="s">
        <v>336</v>
      </c>
      <c r="K59" t="s">
        <v>337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1</v>
      </c>
      <c r="FF59">
        <v>0</v>
      </c>
      <c r="FG59">
        <v>1</v>
      </c>
      <c r="FH59">
        <v>0</v>
      </c>
      <c r="FI59">
        <v>4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4</v>
      </c>
      <c r="FZ59">
        <v>4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2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2</v>
      </c>
      <c r="JP59">
        <v>0</v>
      </c>
      <c r="JQ59">
        <v>2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4</v>
      </c>
      <c r="MQ59">
        <v>5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4</v>
      </c>
      <c r="NG59">
        <v>5</v>
      </c>
      <c r="NH59">
        <v>9</v>
      </c>
    </row>
    <row r="60" spans="1:372" x14ac:dyDescent="0.25">
      <c r="A60" t="s">
        <v>332</v>
      </c>
      <c r="B60" t="s">
        <v>346</v>
      </c>
      <c r="C60" t="s">
        <v>347</v>
      </c>
      <c r="D60" t="s">
        <v>348</v>
      </c>
      <c r="E60">
        <v>129418</v>
      </c>
      <c r="F60" t="s">
        <v>406</v>
      </c>
      <c r="G60" t="s">
        <v>333</v>
      </c>
      <c r="H60" t="s">
        <v>334</v>
      </c>
      <c r="I60" t="s">
        <v>335</v>
      </c>
      <c r="J60" t="s">
        <v>336</v>
      </c>
      <c r="K60" t="s">
        <v>337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1</v>
      </c>
      <c r="JP60">
        <v>0</v>
      </c>
      <c r="JQ60">
        <v>1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2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2</v>
      </c>
      <c r="NG60">
        <v>0</v>
      </c>
      <c r="NH60">
        <v>2</v>
      </c>
    </row>
    <row r="61" spans="1:372" x14ac:dyDescent="0.25">
      <c r="A61" t="s">
        <v>332</v>
      </c>
      <c r="B61" t="s">
        <v>346</v>
      </c>
      <c r="C61" t="s">
        <v>347</v>
      </c>
      <c r="D61" t="s">
        <v>348</v>
      </c>
      <c r="E61">
        <v>129419</v>
      </c>
      <c r="F61" t="s">
        <v>407</v>
      </c>
      <c r="G61" t="s">
        <v>333</v>
      </c>
      <c r="H61" t="s">
        <v>334</v>
      </c>
      <c r="I61" t="s">
        <v>335</v>
      </c>
      <c r="J61" t="s">
        <v>336</v>
      </c>
      <c r="K61" t="s">
        <v>337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2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3</v>
      </c>
      <c r="CH61">
        <v>0</v>
      </c>
      <c r="CI61">
        <v>3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2</v>
      </c>
      <c r="FU61">
        <v>0</v>
      </c>
      <c r="FV61">
        <v>0</v>
      </c>
      <c r="FW61">
        <v>0</v>
      </c>
      <c r="FX61">
        <v>2</v>
      </c>
      <c r="FY61">
        <v>0</v>
      </c>
      <c r="FZ61">
        <v>2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1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2</v>
      </c>
      <c r="IS61">
        <v>0</v>
      </c>
      <c r="IT61">
        <v>0</v>
      </c>
      <c r="IU61">
        <v>0</v>
      </c>
      <c r="IV61">
        <v>3</v>
      </c>
      <c r="IW61">
        <v>0</v>
      </c>
      <c r="IX61">
        <v>3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0</v>
      </c>
      <c r="JF61">
        <v>0</v>
      </c>
      <c r="JG61">
        <v>4</v>
      </c>
      <c r="JH61">
        <v>0</v>
      </c>
      <c r="JI61">
        <v>0</v>
      </c>
      <c r="JJ61">
        <v>0</v>
      </c>
      <c r="JK61">
        <v>1</v>
      </c>
      <c r="JL61">
        <v>0</v>
      </c>
      <c r="JM61">
        <v>0</v>
      </c>
      <c r="JN61">
        <v>0</v>
      </c>
      <c r="JO61">
        <v>6</v>
      </c>
      <c r="JP61">
        <v>0</v>
      </c>
      <c r="JQ61">
        <v>6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1</v>
      </c>
      <c r="LQ61">
        <v>0</v>
      </c>
      <c r="LR61">
        <v>0</v>
      </c>
      <c r="LS61">
        <v>0</v>
      </c>
      <c r="LT61">
        <v>1</v>
      </c>
      <c r="LU61">
        <v>0</v>
      </c>
      <c r="LV61">
        <v>1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1</v>
      </c>
      <c r="MS61">
        <v>0</v>
      </c>
      <c r="MT61">
        <v>1</v>
      </c>
      <c r="MU61">
        <v>0</v>
      </c>
      <c r="MV61">
        <v>1</v>
      </c>
      <c r="MW61">
        <v>0</v>
      </c>
      <c r="MX61">
        <v>6</v>
      </c>
      <c r="MY61">
        <v>0</v>
      </c>
      <c r="MZ61">
        <v>0</v>
      </c>
      <c r="NA61">
        <v>0</v>
      </c>
      <c r="NB61">
        <v>8</v>
      </c>
      <c r="NC61">
        <v>0</v>
      </c>
      <c r="ND61">
        <v>0</v>
      </c>
      <c r="NE61">
        <v>0</v>
      </c>
      <c r="NF61">
        <v>17</v>
      </c>
      <c r="NG61">
        <v>0</v>
      </c>
      <c r="NH61">
        <v>17</v>
      </c>
    </row>
    <row r="62" spans="1:372" x14ac:dyDescent="0.25">
      <c r="A62" t="s">
        <v>332</v>
      </c>
      <c r="B62" t="s">
        <v>346</v>
      </c>
      <c r="C62" t="s">
        <v>347</v>
      </c>
      <c r="D62" t="s">
        <v>348</v>
      </c>
      <c r="E62">
        <v>129420</v>
      </c>
      <c r="F62" t="s">
        <v>408</v>
      </c>
      <c r="G62" t="s">
        <v>333</v>
      </c>
      <c r="H62" t="s">
        <v>334</v>
      </c>
      <c r="I62" t="s">
        <v>335</v>
      </c>
      <c r="J62" t="s">
        <v>336</v>
      </c>
      <c r="K62" t="s">
        <v>337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</row>
    <row r="63" spans="1:372" x14ac:dyDescent="0.25">
      <c r="A63" t="s">
        <v>332</v>
      </c>
      <c r="B63" t="s">
        <v>346</v>
      </c>
      <c r="C63" t="s">
        <v>347</v>
      </c>
      <c r="D63" t="s">
        <v>348</v>
      </c>
      <c r="E63">
        <v>129421</v>
      </c>
      <c r="F63" t="s">
        <v>409</v>
      </c>
      <c r="G63" t="s">
        <v>333</v>
      </c>
      <c r="H63" t="s">
        <v>334</v>
      </c>
      <c r="I63" t="s">
        <v>335</v>
      </c>
      <c r="J63" t="s">
        <v>336</v>
      </c>
      <c r="K63" t="s">
        <v>337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1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1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1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1</v>
      </c>
      <c r="NH63">
        <v>1</v>
      </c>
    </row>
    <row r="64" spans="1:372" x14ac:dyDescent="0.25">
      <c r="A64" t="s">
        <v>332</v>
      </c>
      <c r="B64" t="s">
        <v>346</v>
      </c>
      <c r="C64" t="s">
        <v>347</v>
      </c>
      <c r="D64" t="s">
        <v>348</v>
      </c>
      <c r="E64">
        <v>129422</v>
      </c>
      <c r="F64" t="s">
        <v>410</v>
      </c>
      <c r="G64" t="s">
        <v>333</v>
      </c>
      <c r="H64" t="s">
        <v>334</v>
      </c>
      <c r="I64" t="s">
        <v>335</v>
      </c>
      <c r="J64" t="s">
        <v>336</v>
      </c>
      <c r="K64" t="s">
        <v>337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1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1</v>
      </c>
      <c r="JP64">
        <v>0</v>
      </c>
      <c r="JQ64">
        <v>1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1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1</v>
      </c>
      <c r="NG64">
        <v>0</v>
      </c>
      <c r="NH64">
        <v>1</v>
      </c>
    </row>
    <row r="65" spans="1:372" x14ac:dyDescent="0.25">
      <c r="A65" t="s">
        <v>332</v>
      </c>
      <c r="B65" t="s">
        <v>346</v>
      </c>
      <c r="C65" t="s">
        <v>347</v>
      </c>
      <c r="D65" t="s">
        <v>348</v>
      </c>
      <c r="E65">
        <v>501085</v>
      </c>
      <c r="F65" t="s">
        <v>411</v>
      </c>
      <c r="G65" t="s">
        <v>333</v>
      </c>
      <c r="H65" t="s">
        <v>334</v>
      </c>
      <c r="I65" t="s">
        <v>343</v>
      </c>
      <c r="J65" t="s">
        <v>336</v>
      </c>
      <c r="K65" t="s">
        <v>344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3</v>
      </c>
      <c r="BO65">
        <v>0</v>
      </c>
      <c r="BP65">
        <v>3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1</v>
      </c>
      <c r="DP65">
        <v>0</v>
      </c>
      <c r="DQ65">
        <v>0</v>
      </c>
      <c r="DR65">
        <v>0</v>
      </c>
      <c r="DS65">
        <v>2</v>
      </c>
      <c r="DT65">
        <v>0</v>
      </c>
      <c r="DU65">
        <v>2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4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1</v>
      </c>
      <c r="FT65">
        <v>1</v>
      </c>
      <c r="FU65">
        <v>0</v>
      </c>
      <c r="FV65">
        <v>0</v>
      </c>
      <c r="FW65">
        <v>0</v>
      </c>
      <c r="FX65">
        <v>6</v>
      </c>
      <c r="FY65">
        <v>2</v>
      </c>
      <c r="FZ65">
        <v>8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2</v>
      </c>
      <c r="JF65">
        <v>0</v>
      </c>
      <c r="JG65">
        <v>0</v>
      </c>
      <c r="JH65">
        <v>0</v>
      </c>
      <c r="JI65">
        <v>1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3</v>
      </c>
      <c r="JP65">
        <v>0</v>
      </c>
      <c r="JQ65">
        <v>3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1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1</v>
      </c>
      <c r="LU65">
        <v>0</v>
      </c>
      <c r="LV65">
        <v>1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2</v>
      </c>
      <c r="MQ65">
        <v>0</v>
      </c>
      <c r="MR65">
        <v>4</v>
      </c>
      <c r="MS65">
        <v>1</v>
      </c>
      <c r="MT65">
        <v>0</v>
      </c>
      <c r="MU65">
        <v>0</v>
      </c>
      <c r="MV65">
        <v>3</v>
      </c>
      <c r="MW65">
        <v>0</v>
      </c>
      <c r="MX65">
        <v>2</v>
      </c>
      <c r="MY65">
        <v>0</v>
      </c>
      <c r="MZ65">
        <v>2</v>
      </c>
      <c r="NA65">
        <v>1</v>
      </c>
      <c r="NB65">
        <v>2</v>
      </c>
      <c r="NC65">
        <v>0</v>
      </c>
      <c r="ND65">
        <v>0</v>
      </c>
      <c r="NE65">
        <v>0</v>
      </c>
      <c r="NF65">
        <v>15</v>
      </c>
      <c r="NG65">
        <v>2</v>
      </c>
      <c r="NH65">
        <v>17</v>
      </c>
    </row>
    <row r="66" spans="1:372" x14ac:dyDescent="0.25">
      <c r="A66" t="s">
        <v>332</v>
      </c>
      <c r="B66" t="s">
        <v>346</v>
      </c>
      <c r="C66" t="s">
        <v>347</v>
      </c>
      <c r="D66" t="s">
        <v>348</v>
      </c>
      <c r="E66">
        <v>501086</v>
      </c>
      <c r="F66" t="s">
        <v>412</v>
      </c>
      <c r="G66" t="s">
        <v>333</v>
      </c>
      <c r="H66" t="s">
        <v>334</v>
      </c>
      <c r="I66" t="s">
        <v>343</v>
      </c>
      <c r="J66" t="s">
        <v>336</v>
      </c>
      <c r="K66" t="s">
        <v>344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</row>
    <row r="67" spans="1:372" x14ac:dyDescent="0.25">
      <c r="A67" t="s">
        <v>332</v>
      </c>
      <c r="B67" t="s">
        <v>346</v>
      </c>
      <c r="C67" t="s">
        <v>347</v>
      </c>
      <c r="D67" t="s">
        <v>348</v>
      </c>
      <c r="E67">
        <v>501087</v>
      </c>
      <c r="F67" t="s">
        <v>413</v>
      </c>
      <c r="G67" t="s">
        <v>333</v>
      </c>
      <c r="H67" t="s">
        <v>334</v>
      </c>
      <c r="I67" t="s">
        <v>340</v>
      </c>
      <c r="J67" t="s">
        <v>336</v>
      </c>
      <c r="K67" t="s">
        <v>341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</row>
  </sheetData>
  <sheetProtection algorithmName="SHA-512" hashValue="wsOWAdMjHuelYuwFad/BdwGO+Eq5S2XIGMwLmBZN2C99gKosuFYaKITfuguklUvhalPDfAP97licmT8a7PjmqA==" saltValue="5OrGkXz4eWQwvHqG/oo2UA==" spinCount="100000" sheet="1" objects="1" scenarios="1"/>
  <mergeCells count="190">
    <mergeCell ref="FH2:FZ2"/>
    <mergeCell ref="GA2:GS2"/>
    <mergeCell ref="GT2:HL2"/>
    <mergeCell ref="HM2:IE2"/>
    <mergeCell ref="L2:AD2"/>
    <mergeCell ref="AE2:AW2"/>
    <mergeCell ref="AX2:BP2"/>
    <mergeCell ref="BQ2:CI2"/>
    <mergeCell ref="CJ2:DB2"/>
    <mergeCell ref="DC2:DU2"/>
    <mergeCell ref="AE3:AF3"/>
    <mergeCell ref="AG3:AH3"/>
    <mergeCell ref="AI3:AJ3"/>
    <mergeCell ref="AK3:AL3"/>
    <mergeCell ref="AM3:AN3"/>
    <mergeCell ref="AO3:AP3"/>
    <mergeCell ref="MP2:NH2"/>
    <mergeCell ref="L3:M3"/>
    <mergeCell ref="N3:O3"/>
    <mergeCell ref="P3:Q3"/>
    <mergeCell ref="R3:S3"/>
    <mergeCell ref="T3:U3"/>
    <mergeCell ref="V3:W3"/>
    <mergeCell ref="X3:Y3"/>
    <mergeCell ref="Z3:AA3"/>
    <mergeCell ref="AB3:AD3"/>
    <mergeCell ref="IF2:IX2"/>
    <mergeCell ref="IY2:JQ2"/>
    <mergeCell ref="JR2:KJ2"/>
    <mergeCell ref="KK2:LC2"/>
    <mergeCell ref="LD2:LV2"/>
    <mergeCell ref="LW2:MO2"/>
    <mergeCell ref="DV2:EN2"/>
    <mergeCell ref="EO2:FG2"/>
    <mergeCell ref="BD3:BE3"/>
    <mergeCell ref="BF3:BG3"/>
    <mergeCell ref="BH3:BI3"/>
    <mergeCell ref="BJ3:BK3"/>
    <mergeCell ref="BL3:BM3"/>
    <mergeCell ref="BN3:BP3"/>
    <mergeCell ref="AQ3:AR3"/>
    <mergeCell ref="AS3:AT3"/>
    <mergeCell ref="AU3:AW3"/>
    <mergeCell ref="AX3:AY3"/>
    <mergeCell ref="AZ3:BA3"/>
    <mergeCell ref="BB3:BC3"/>
    <mergeCell ref="CC3:CD3"/>
    <mergeCell ref="CE3:CF3"/>
    <mergeCell ref="CG3:CI3"/>
    <mergeCell ref="CJ3:CK3"/>
    <mergeCell ref="CL3:CM3"/>
    <mergeCell ref="CN3:CO3"/>
    <mergeCell ref="BQ3:BR3"/>
    <mergeCell ref="BS3:BT3"/>
    <mergeCell ref="BU3:BV3"/>
    <mergeCell ref="BW3:BX3"/>
    <mergeCell ref="BY3:BZ3"/>
    <mergeCell ref="CA3:CB3"/>
    <mergeCell ref="DC3:DD3"/>
    <mergeCell ref="DE3:DF3"/>
    <mergeCell ref="DG3:DH3"/>
    <mergeCell ref="DI3:DJ3"/>
    <mergeCell ref="DK3:DL3"/>
    <mergeCell ref="DM3:DN3"/>
    <mergeCell ref="CP3:CQ3"/>
    <mergeCell ref="CR3:CS3"/>
    <mergeCell ref="CT3:CU3"/>
    <mergeCell ref="CV3:CW3"/>
    <mergeCell ref="CX3:CY3"/>
    <mergeCell ref="CZ3:DB3"/>
    <mergeCell ref="EB3:EC3"/>
    <mergeCell ref="ED3:EE3"/>
    <mergeCell ref="EF3:EG3"/>
    <mergeCell ref="EH3:EI3"/>
    <mergeCell ref="EJ3:EK3"/>
    <mergeCell ref="EL3:EN3"/>
    <mergeCell ref="DO3:DP3"/>
    <mergeCell ref="DQ3:DR3"/>
    <mergeCell ref="DS3:DU3"/>
    <mergeCell ref="DV3:DW3"/>
    <mergeCell ref="DX3:DY3"/>
    <mergeCell ref="DZ3:EA3"/>
    <mergeCell ref="FA3:FB3"/>
    <mergeCell ref="FC3:FD3"/>
    <mergeCell ref="FE3:FG3"/>
    <mergeCell ref="FH3:FI3"/>
    <mergeCell ref="FJ3:FK3"/>
    <mergeCell ref="FL3:FM3"/>
    <mergeCell ref="EO3:EP3"/>
    <mergeCell ref="EQ3:ER3"/>
    <mergeCell ref="ES3:ET3"/>
    <mergeCell ref="EU3:EV3"/>
    <mergeCell ref="EW3:EX3"/>
    <mergeCell ref="EY3:EZ3"/>
    <mergeCell ref="GA3:GB3"/>
    <mergeCell ref="GC3:GD3"/>
    <mergeCell ref="GE3:GF3"/>
    <mergeCell ref="GG3:GH3"/>
    <mergeCell ref="GI3:GJ3"/>
    <mergeCell ref="GK3:GL3"/>
    <mergeCell ref="FN3:FO3"/>
    <mergeCell ref="FP3:FQ3"/>
    <mergeCell ref="FR3:FS3"/>
    <mergeCell ref="FT3:FU3"/>
    <mergeCell ref="FV3:FW3"/>
    <mergeCell ref="FX3:FZ3"/>
    <mergeCell ref="GZ3:HA3"/>
    <mergeCell ref="HB3:HC3"/>
    <mergeCell ref="HD3:HE3"/>
    <mergeCell ref="HF3:HG3"/>
    <mergeCell ref="HH3:HI3"/>
    <mergeCell ref="HJ3:HL3"/>
    <mergeCell ref="GM3:GN3"/>
    <mergeCell ref="GO3:GP3"/>
    <mergeCell ref="GQ3:GS3"/>
    <mergeCell ref="GT3:GU3"/>
    <mergeCell ref="GV3:GW3"/>
    <mergeCell ref="GX3:GY3"/>
    <mergeCell ref="HY3:HZ3"/>
    <mergeCell ref="IA3:IB3"/>
    <mergeCell ref="IC3:IE3"/>
    <mergeCell ref="IF3:IG3"/>
    <mergeCell ref="IH3:II3"/>
    <mergeCell ref="IJ3:IK3"/>
    <mergeCell ref="HM3:HN3"/>
    <mergeCell ref="HO3:HP3"/>
    <mergeCell ref="HQ3:HR3"/>
    <mergeCell ref="HS3:HT3"/>
    <mergeCell ref="HU3:HV3"/>
    <mergeCell ref="HW3:HX3"/>
    <mergeCell ref="IY3:IZ3"/>
    <mergeCell ref="JA3:JB3"/>
    <mergeCell ref="JC3:JD3"/>
    <mergeCell ref="JE3:JF3"/>
    <mergeCell ref="JG3:JH3"/>
    <mergeCell ref="JI3:JJ3"/>
    <mergeCell ref="IL3:IM3"/>
    <mergeCell ref="IN3:IO3"/>
    <mergeCell ref="IP3:IQ3"/>
    <mergeCell ref="IR3:IS3"/>
    <mergeCell ref="IT3:IU3"/>
    <mergeCell ref="IV3:IX3"/>
    <mergeCell ref="JX3:JY3"/>
    <mergeCell ref="JZ3:KA3"/>
    <mergeCell ref="KB3:KC3"/>
    <mergeCell ref="KD3:KE3"/>
    <mergeCell ref="KF3:KG3"/>
    <mergeCell ref="KH3:KJ3"/>
    <mergeCell ref="JK3:JL3"/>
    <mergeCell ref="JM3:JN3"/>
    <mergeCell ref="JO3:JQ3"/>
    <mergeCell ref="JR3:JS3"/>
    <mergeCell ref="JT3:JU3"/>
    <mergeCell ref="JV3:JW3"/>
    <mergeCell ref="KW3:KX3"/>
    <mergeCell ref="KY3:KZ3"/>
    <mergeCell ref="LA3:LC3"/>
    <mergeCell ref="LD3:LE3"/>
    <mergeCell ref="LF3:LG3"/>
    <mergeCell ref="LH3:LI3"/>
    <mergeCell ref="KK3:KL3"/>
    <mergeCell ref="KM3:KN3"/>
    <mergeCell ref="KO3:KP3"/>
    <mergeCell ref="KQ3:KR3"/>
    <mergeCell ref="KS3:KT3"/>
    <mergeCell ref="KU3:KV3"/>
    <mergeCell ref="LW3:LX3"/>
    <mergeCell ref="LY3:LZ3"/>
    <mergeCell ref="MA3:MB3"/>
    <mergeCell ref="MC3:MD3"/>
    <mergeCell ref="ME3:MF3"/>
    <mergeCell ref="MG3:MH3"/>
    <mergeCell ref="LJ3:LK3"/>
    <mergeCell ref="LL3:LM3"/>
    <mergeCell ref="LN3:LO3"/>
    <mergeCell ref="LP3:LQ3"/>
    <mergeCell ref="LR3:LS3"/>
    <mergeCell ref="LT3:LV3"/>
    <mergeCell ref="MV3:MW3"/>
    <mergeCell ref="MX3:MY3"/>
    <mergeCell ref="MZ3:NA3"/>
    <mergeCell ref="NB3:NC3"/>
    <mergeCell ref="ND3:NE3"/>
    <mergeCell ref="NF3:NH3"/>
    <mergeCell ref="MI3:MJ3"/>
    <mergeCell ref="MK3:ML3"/>
    <mergeCell ref="MM3:MO3"/>
    <mergeCell ref="MP3:MQ3"/>
    <mergeCell ref="MR3:MS3"/>
    <mergeCell ref="MT3:M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CE6E-E271-4093-B7A0-D70C110531F8}">
  <dimension ref="A1:IX36"/>
  <sheetViews>
    <sheetView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29" customWidth="1"/>
    <col min="7" max="7" width="0" hidden="1" customWidth="1"/>
    <col min="9" max="11" width="0" hidden="1" customWidth="1"/>
  </cols>
  <sheetData>
    <row r="1" spans="1:258" x14ac:dyDescent="0.25">
      <c r="A1" s="1" t="s">
        <v>414</v>
      </c>
    </row>
    <row r="2" spans="1:258" x14ac:dyDescent="0.25">
      <c r="A2" s="1" t="s">
        <v>1</v>
      </c>
      <c r="L2" s="8" t="s">
        <v>415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 t="s">
        <v>3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 t="s">
        <v>4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 t="s">
        <v>5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 t="s">
        <v>6</v>
      </c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 t="s">
        <v>7</v>
      </c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 t="s">
        <v>8</v>
      </c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 t="s">
        <v>9</v>
      </c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 t="s">
        <v>10</v>
      </c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 t="s">
        <v>11</v>
      </c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 t="s">
        <v>12</v>
      </c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 t="s">
        <v>13</v>
      </c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 t="s">
        <v>14</v>
      </c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 t="s">
        <v>15</v>
      </c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 t="s">
        <v>16</v>
      </c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 t="s">
        <v>17</v>
      </c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 t="s">
        <v>18</v>
      </c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 t="s">
        <v>19</v>
      </c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 t="s">
        <v>416</v>
      </c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</row>
    <row r="3" spans="1:258" x14ac:dyDescent="0.25">
      <c r="A3" s="1" t="s">
        <v>21</v>
      </c>
      <c r="L3" s="6" t="s">
        <v>417</v>
      </c>
      <c r="M3" s="6"/>
      <c r="N3" s="6" t="s">
        <v>418</v>
      </c>
      <c r="O3" s="6"/>
      <c r="P3" s="6" t="s">
        <v>419</v>
      </c>
      <c r="Q3" s="6"/>
      <c r="R3" s="6" t="s">
        <v>420</v>
      </c>
      <c r="S3" s="6"/>
      <c r="T3" s="6" t="s">
        <v>29</v>
      </c>
      <c r="U3" s="6"/>
      <c r="V3" s="6" t="s">
        <v>30</v>
      </c>
      <c r="W3" s="6"/>
      <c r="X3" s="6"/>
      <c r="Y3" s="6" t="s">
        <v>417</v>
      </c>
      <c r="Z3" s="6"/>
      <c r="AA3" s="6" t="s">
        <v>418</v>
      </c>
      <c r="AB3" s="6"/>
      <c r="AC3" s="6" t="s">
        <v>419</v>
      </c>
      <c r="AD3" s="6"/>
      <c r="AE3" s="6" t="s">
        <v>420</v>
      </c>
      <c r="AF3" s="6"/>
      <c r="AG3" s="6" t="s">
        <v>29</v>
      </c>
      <c r="AH3" s="6"/>
      <c r="AI3" s="6" t="s">
        <v>30</v>
      </c>
      <c r="AJ3" s="6"/>
      <c r="AK3" s="6"/>
      <c r="AL3" s="6" t="s">
        <v>417</v>
      </c>
      <c r="AM3" s="6"/>
      <c r="AN3" s="6" t="s">
        <v>418</v>
      </c>
      <c r="AO3" s="6"/>
      <c r="AP3" s="6" t="s">
        <v>419</v>
      </c>
      <c r="AQ3" s="6"/>
      <c r="AR3" s="6" t="s">
        <v>420</v>
      </c>
      <c r="AS3" s="6"/>
      <c r="AT3" s="6" t="s">
        <v>29</v>
      </c>
      <c r="AU3" s="6"/>
      <c r="AV3" s="6" t="s">
        <v>30</v>
      </c>
      <c r="AW3" s="6"/>
      <c r="AX3" s="6"/>
      <c r="AY3" s="6" t="s">
        <v>417</v>
      </c>
      <c r="AZ3" s="6"/>
      <c r="BA3" s="6" t="s">
        <v>418</v>
      </c>
      <c r="BB3" s="6"/>
      <c r="BC3" s="6" t="s">
        <v>419</v>
      </c>
      <c r="BD3" s="6"/>
      <c r="BE3" s="6" t="s">
        <v>420</v>
      </c>
      <c r="BF3" s="6"/>
      <c r="BG3" s="6" t="s">
        <v>29</v>
      </c>
      <c r="BH3" s="6"/>
      <c r="BI3" s="6" t="s">
        <v>30</v>
      </c>
      <c r="BJ3" s="6"/>
      <c r="BK3" s="6"/>
      <c r="BL3" s="6" t="s">
        <v>417</v>
      </c>
      <c r="BM3" s="6"/>
      <c r="BN3" s="6" t="s">
        <v>418</v>
      </c>
      <c r="BO3" s="6"/>
      <c r="BP3" s="6" t="s">
        <v>419</v>
      </c>
      <c r="BQ3" s="6"/>
      <c r="BR3" s="6" t="s">
        <v>420</v>
      </c>
      <c r="BS3" s="6"/>
      <c r="BT3" s="6" t="s">
        <v>29</v>
      </c>
      <c r="BU3" s="6"/>
      <c r="BV3" s="6" t="s">
        <v>30</v>
      </c>
      <c r="BW3" s="6"/>
      <c r="BX3" s="6"/>
      <c r="BY3" s="6" t="s">
        <v>417</v>
      </c>
      <c r="BZ3" s="6"/>
      <c r="CA3" s="6" t="s">
        <v>418</v>
      </c>
      <c r="CB3" s="6"/>
      <c r="CC3" s="6" t="s">
        <v>419</v>
      </c>
      <c r="CD3" s="6"/>
      <c r="CE3" s="6" t="s">
        <v>420</v>
      </c>
      <c r="CF3" s="6"/>
      <c r="CG3" s="6" t="s">
        <v>29</v>
      </c>
      <c r="CH3" s="6"/>
      <c r="CI3" s="6" t="s">
        <v>30</v>
      </c>
      <c r="CJ3" s="6"/>
      <c r="CK3" s="6"/>
      <c r="CL3" s="6" t="s">
        <v>417</v>
      </c>
      <c r="CM3" s="6"/>
      <c r="CN3" s="6" t="s">
        <v>418</v>
      </c>
      <c r="CO3" s="6"/>
      <c r="CP3" s="6" t="s">
        <v>419</v>
      </c>
      <c r="CQ3" s="6"/>
      <c r="CR3" s="6" t="s">
        <v>420</v>
      </c>
      <c r="CS3" s="6"/>
      <c r="CT3" s="6" t="s">
        <v>29</v>
      </c>
      <c r="CU3" s="6"/>
      <c r="CV3" s="6" t="s">
        <v>30</v>
      </c>
      <c r="CW3" s="6"/>
      <c r="CX3" s="6"/>
      <c r="CY3" s="6" t="s">
        <v>417</v>
      </c>
      <c r="CZ3" s="6"/>
      <c r="DA3" s="6" t="s">
        <v>418</v>
      </c>
      <c r="DB3" s="6"/>
      <c r="DC3" s="6" t="s">
        <v>419</v>
      </c>
      <c r="DD3" s="6"/>
      <c r="DE3" s="6" t="s">
        <v>420</v>
      </c>
      <c r="DF3" s="6"/>
      <c r="DG3" s="6" t="s">
        <v>29</v>
      </c>
      <c r="DH3" s="6"/>
      <c r="DI3" s="6" t="s">
        <v>30</v>
      </c>
      <c r="DJ3" s="6"/>
      <c r="DK3" s="6"/>
      <c r="DL3" s="6" t="s">
        <v>417</v>
      </c>
      <c r="DM3" s="6"/>
      <c r="DN3" s="6" t="s">
        <v>418</v>
      </c>
      <c r="DO3" s="6"/>
      <c r="DP3" s="6" t="s">
        <v>419</v>
      </c>
      <c r="DQ3" s="6"/>
      <c r="DR3" s="6" t="s">
        <v>420</v>
      </c>
      <c r="DS3" s="6"/>
      <c r="DT3" s="6" t="s">
        <v>29</v>
      </c>
      <c r="DU3" s="6"/>
      <c r="DV3" s="6" t="s">
        <v>30</v>
      </c>
      <c r="DW3" s="6"/>
      <c r="DX3" s="6"/>
      <c r="DY3" s="6" t="s">
        <v>417</v>
      </c>
      <c r="DZ3" s="6"/>
      <c r="EA3" s="6" t="s">
        <v>418</v>
      </c>
      <c r="EB3" s="6"/>
      <c r="EC3" s="6" t="s">
        <v>419</v>
      </c>
      <c r="ED3" s="6"/>
      <c r="EE3" s="6" t="s">
        <v>420</v>
      </c>
      <c r="EF3" s="6"/>
      <c r="EG3" s="6" t="s">
        <v>29</v>
      </c>
      <c r="EH3" s="6"/>
      <c r="EI3" s="6" t="s">
        <v>30</v>
      </c>
      <c r="EJ3" s="6"/>
      <c r="EK3" s="6"/>
      <c r="EL3" s="6" t="s">
        <v>417</v>
      </c>
      <c r="EM3" s="6"/>
      <c r="EN3" s="6" t="s">
        <v>418</v>
      </c>
      <c r="EO3" s="6"/>
      <c r="EP3" s="6" t="s">
        <v>419</v>
      </c>
      <c r="EQ3" s="6"/>
      <c r="ER3" s="6" t="s">
        <v>420</v>
      </c>
      <c r="ES3" s="6"/>
      <c r="ET3" s="6" t="s">
        <v>29</v>
      </c>
      <c r="EU3" s="6"/>
      <c r="EV3" s="6" t="s">
        <v>30</v>
      </c>
      <c r="EW3" s="6"/>
      <c r="EX3" s="6"/>
      <c r="EY3" s="6" t="s">
        <v>417</v>
      </c>
      <c r="EZ3" s="6"/>
      <c r="FA3" s="6" t="s">
        <v>418</v>
      </c>
      <c r="FB3" s="6"/>
      <c r="FC3" s="6" t="s">
        <v>419</v>
      </c>
      <c r="FD3" s="6"/>
      <c r="FE3" s="6" t="s">
        <v>420</v>
      </c>
      <c r="FF3" s="6"/>
      <c r="FG3" s="6" t="s">
        <v>29</v>
      </c>
      <c r="FH3" s="6"/>
      <c r="FI3" s="6" t="s">
        <v>30</v>
      </c>
      <c r="FJ3" s="6"/>
      <c r="FK3" s="6"/>
      <c r="FL3" s="6" t="s">
        <v>417</v>
      </c>
      <c r="FM3" s="6"/>
      <c r="FN3" s="6" t="s">
        <v>418</v>
      </c>
      <c r="FO3" s="6"/>
      <c r="FP3" s="6" t="s">
        <v>419</v>
      </c>
      <c r="FQ3" s="6"/>
      <c r="FR3" s="6" t="s">
        <v>420</v>
      </c>
      <c r="FS3" s="6"/>
      <c r="FT3" s="6" t="s">
        <v>29</v>
      </c>
      <c r="FU3" s="6"/>
      <c r="FV3" s="6" t="s">
        <v>30</v>
      </c>
      <c r="FW3" s="6"/>
      <c r="FX3" s="6"/>
      <c r="FY3" s="6" t="s">
        <v>417</v>
      </c>
      <c r="FZ3" s="6"/>
      <c r="GA3" s="6" t="s">
        <v>418</v>
      </c>
      <c r="GB3" s="6"/>
      <c r="GC3" s="6" t="s">
        <v>419</v>
      </c>
      <c r="GD3" s="6"/>
      <c r="GE3" s="6" t="s">
        <v>420</v>
      </c>
      <c r="GF3" s="6"/>
      <c r="GG3" s="6" t="s">
        <v>29</v>
      </c>
      <c r="GH3" s="6"/>
      <c r="GI3" s="6" t="s">
        <v>30</v>
      </c>
      <c r="GJ3" s="6"/>
      <c r="GK3" s="6"/>
      <c r="GL3" s="6" t="s">
        <v>417</v>
      </c>
      <c r="GM3" s="6"/>
      <c r="GN3" s="6" t="s">
        <v>418</v>
      </c>
      <c r="GO3" s="6"/>
      <c r="GP3" s="6" t="s">
        <v>419</v>
      </c>
      <c r="GQ3" s="6"/>
      <c r="GR3" s="6" t="s">
        <v>420</v>
      </c>
      <c r="GS3" s="6"/>
      <c r="GT3" s="6" t="s">
        <v>29</v>
      </c>
      <c r="GU3" s="6"/>
      <c r="GV3" s="6" t="s">
        <v>30</v>
      </c>
      <c r="GW3" s="6"/>
      <c r="GX3" s="6"/>
      <c r="GY3" s="6" t="s">
        <v>417</v>
      </c>
      <c r="GZ3" s="6"/>
      <c r="HA3" s="6" t="s">
        <v>418</v>
      </c>
      <c r="HB3" s="6"/>
      <c r="HC3" s="6" t="s">
        <v>419</v>
      </c>
      <c r="HD3" s="6"/>
      <c r="HE3" s="6" t="s">
        <v>420</v>
      </c>
      <c r="HF3" s="6"/>
      <c r="HG3" s="6" t="s">
        <v>29</v>
      </c>
      <c r="HH3" s="6"/>
      <c r="HI3" s="6" t="s">
        <v>30</v>
      </c>
      <c r="HJ3" s="6"/>
      <c r="HK3" s="6"/>
      <c r="HL3" s="6" t="s">
        <v>417</v>
      </c>
      <c r="HM3" s="6"/>
      <c r="HN3" s="6" t="s">
        <v>418</v>
      </c>
      <c r="HO3" s="6"/>
      <c r="HP3" s="6" t="s">
        <v>419</v>
      </c>
      <c r="HQ3" s="6"/>
      <c r="HR3" s="6" t="s">
        <v>420</v>
      </c>
      <c r="HS3" s="6"/>
      <c r="HT3" s="6" t="s">
        <v>29</v>
      </c>
      <c r="HU3" s="6"/>
      <c r="HV3" s="6" t="s">
        <v>30</v>
      </c>
      <c r="HW3" s="6"/>
      <c r="HX3" s="6"/>
      <c r="HY3" s="6" t="s">
        <v>417</v>
      </c>
      <c r="HZ3" s="6"/>
      <c r="IA3" s="6" t="s">
        <v>418</v>
      </c>
      <c r="IB3" s="6"/>
      <c r="IC3" s="6" t="s">
        <v>419</v>
      </c>
      <c r="ID3" s="6"/>
      <c r="IE3" s="6" t="s">
        <v>420</v>
      </c>
      <c r="IF3" s="6"/>
      <c r="IG3" s="6" t="s">
        <v>29</v>
      </c>
      <c r="IH3" s="6"/>
      <c r="II3" s="6" t="s">
        <v>30</v>
      </c>
      <c r="IJ3" s="6"/>
      <c r="IK3" s="6"/>
      <c r="IL3" s="6" t="s">
        <v>417</v>
      </c>
      <c r="IM3" s="6"/>
      <c r="IN3" s="6" t="s">
        <v>418</v>
      </c>
      <c r="IO3" s="6"/>
      <c r="IP3" s="6" t="s">
        <v>419</v>
      </c>
      <c r="IQ3" s="6"/>
      <c r="IR3" s="6" t="s">
        <v>420</v>
      </c>
      <c r="IS3" s="6"/>
      <c r="IT3" s="6" t="s">
        <v>29</v>
      </c>
      <c r="IU3" s="6"/>
      <c r="IV3" s="6" t="s">
        <v>30</v>
      </c>
      <c r="IW3" s="6"/>
      <c r="IX3" s="6"/>
    </row>
    <row r="4" spans="1:258" x14ac:dyDescent="0.25">
      <c r="L4" s="2" t="s">
        <v>31</v>
      </c>
      <c r="M4" s="2" t="s">
        <v>32</v>
      </c>
      <c r="N4" s="2" t="s">
        <v>31</v>
      </c>
      <c r="O4" s="2" t="s">
        <v>32</v>
      </c>
      <c r="P4" s="2" t="s">
        <v>31</v>
      </c>
      <c r="Q4" s="2" t="s">
        <v>32</v>
      </c>
      <c r="R4" s="2" t="s">
        <v>31</v>
      </c>
      <c r="S4" s="2" t="s">
        <v>32</v>
      </c>
      <c r="T4" s="2" t="s">
        <v>31</v>
      </c>
      <c r="U4" s="2" t="s">
        <v>32</v>
      </c>
      <c r="V4" s="2" t="s">
        <v>31</v>
      </c>
      <c r="W4" s="2" t="s">
        <v>32</v>
      </c>
      <c r="X4" s="2" t="s">
        <v>30</v>
      </c>
      <c r="Y4" s="2" t="s">
        <v>31</v>
      </c>
      <c r="Z4" s="2" t="s">
        <v>32</v>
      </c>
      <c r="AA4" s="2" t="s">
        <v>31</v>
      </c>
      <c r="AB4" s="2" t="s">
        <v>32</v>
      </c>
      <c r="AC4" s="2" t="s">
        <v>31</v>
      </c>
      <c r="AD4" s="2" t="s">
        <v>32</v>
      </c>
      <c r="AE4" s="2" t="s">
        <v>31</v>
      </c>
      <c r="AF4" s="2" t="s">
        <v>32</v>
      </c>
      <c r="AG4" s="2" t="s">
        <v>31</v>
      </c>
      <c r="AH4" s="2" t="s">
        <v>32</v>
      </c>
      <c r="AI4" s="2" t="s">
        <v>31</v>
      </c>
      <c r="AJ4" s="2" t="s">
        <v>32</v>
      </c>
      <c r="AK4" s="2" t="s">
        <v>30</v>
      </c>
      <c r="AL4" s="2" t="s">
        <v>31</v>
      </c>
      <c r="AM4" s="2" t="s">
        <v>32</v>
      </c>
      <c r="AN4" s="2" t="s">
        <v>31</v>
      </c>
      <c r="AO4" s="2" t="s">
        <v>32</v>
      </c>
      <c r="AP4" s="2" t="s">
        <v>31</v>
      </c>
      <c r="AQ4" s="2" t="s">
        <v>32</v>
      </c>
      <c r="AR4" s="2" t="s">
        <v>31</v>
      </c>
      <c r="AS4" s="2" t="s">
        <v>32</v>
      </c>
      <c r="AT4" s="2" t="s">
        <v>31</v>
      </c>
      <c r="AU4" s="2" t="s">
        <v>32</v>
      </c>
      <c r="AV4" s="2" t="s">
        <v>31</v>
      </c>
      <c r="AW4" s="2" t="s">
        <v>32</v>
      </c>
      <c r="AX4" s="2" t="s">
        <v>30</v>
      </c>
      <c r="AY4" s="2" t="s">
        <v>31</v>
      </c>
      <c r="AZ4" s="2" t="s">
        <v>32</v>
      </c>
      <c r="BA4" s="2" t="s">
        <v>31</v>
      </c>
      <c r="BB4" s="2" t="s">
        <v>32</v>
      </c>
      <c r="BC4" s="2" t="s">
        <v>31</v>
      </c>
      <c r="BD4" s="2" t="s">
        <v>32</v>
      </c>
      <c r="BE4" s="2" t="s">
        <v>31</v>
      </c>
      <c r="BF4" s="2" t="s">
        <v>32</v>
      </c>
      <c r="BG4" s="2" t="s">
        <v>31</v>
      </c>
      <c r="BH4" s="2" t="s">
        <v>32</v>
      </c>
      <c r="BI4" s="2" t="s">
        <v>31</v>
      </c>
      <c r="BJ4" s="2" t="s">
        <v>32</v>
      </c>
      <c r="BK4" s="2" t="s">
        <v>30</v>
      </c>
      <c r="BL4" s="2" t="s">
        <v>31</v>
      </c>
      <c r="BM4" s="2" t="s">
        <v>32</v>
      </c>
      <c r="BN4" s="2" t="s">
        <v>31</v>
      </c>
      <c r="BO4" s="2" t="s">
        <v>32</v>
      </c>
      <c r="BP4" s="2" t="s">
        <v>31</v>
      </c>
      <c r="BQ4" s="2" t="s">
        <v>32</v>
      </c>
      <c r="BR4" s="2" t="s">
        <v>31</v>
      </c>
      <c r="BS4" s="2" t="s">
        <v>32</v>
      </c>
      <c r="BT4" s="2" t="s">
        <v>31</v>
      </c>
      <c r="BU4" s="2" t="s">
        <v>32</v>
      </c>
      <c r="BV4" s="2" t="s">
        <v>31</v>
      </c>
      <c r="BW4" s="2" t="s">
        <v>32</v>
      </c>
      <c r="BX4" s="2" t="s">
        <v>30</v>
      </c>
      <c r="BY4" s="2" t="s">
        <v>31</v>
      </c>
      <c r="BZ4" s="2" t="s">
        <v>32</v>
      </c>
      <c r="CA4" s="2" t="s">
        <v>31</v>
      </c>
      <c r="CB4" s="2" t="s">
        <v>32</v>
      </c>
      <c r="CC4" s="2" t="s">
        <v>31</v>
      </c>
      <c r="CD4" s="2" t="s">
        <v>32</v>
      </c>
      <c r="CE4" s="2" t="s">
        <v>31</v>
      </c>
      <c r="CF4" s="2" t="s">
        <v>32</v>
      </c>
      <c r="CG4" s="2" t="s">
        <v>31</v>
      </c>
      <c r="CH4" s="2" t="s">
        <v>32</v>
      </c>
      <c r="CI4" s="2" t="s">
        <v>31</v>
      </c>
      <c r="CJ4" s="2" t="s">
        <v>32</v>
      </c>
      <c r="CK4" s="2" t="s">
        <v>30</v>
      </c>
      <c r="CL4" s="2" t="s">
        <v>31</v>
      </c>
      <c r="CM4" s="2" t="s">
        <v>32</v>
      </c>
      <c r="CN4" s="2" t="s">
        <v>31</v>
      </c>
      <c r="CO4" s="2" t="s">
        <v>32</v>
      </c>
      <c r="CP4" s="2" t="s">
        <v>31</v>
      </c>
      <c r="CQ4" s="2" t="s">
        <v>32</v>
      </c>
      <c r="CR4" s="2" t="s">
        <v>31</v>
      </c>
      <c r="CS4" s="2" t="s">
        <v>32</v>
      </c>
      <c r="CT4" s="2" t="s">
        <v>31</v>
      </c>
      <c r="CU4" s="2" t="s">
        <v>32</v>
      </c>
      <c r="CV4" s="2" t="s">
        <v>31</v>
      </c>
      <c r="CW4" s="2" t="s">
        <v>32</v>
      </c>
      <c r="CX4" s="2" t="s">
        <v>30</v>
      </c>
      <c r="CY4" s="2" t="s">
        <v>31</v>
      </c>
      <c r="CZ4" s="2" t="s">
        <v>32</v>
      </c>
      <c r="DA4" s="2" t="s">
        <v>31</v>
      </c>
      <c r="DB4" s="2" t="s">
        <v>32</v>
      </c>
      <c r="DC4" s="2" t="s">
        <v>31</v>
      </c>
      <c r="DD4" s="2" t="s">
        <v>32</v>
      </c>
      <c r="DE4" s="2" t="s">
        <v>31</v>
      </c>
      <c r="DF4" s="2" t="s">
        <v>32</v>
      </c>
      <c r="DG4" s="2" t="s">
        <v>31</v>
      </c>
      <c r="DH4" s="2" t="s">
        <v>32</v>
      </c>
      <c r="DI4" s="2" t="s">
        <v>31</v>
      </c>
      <c r="DJ4" s="2" t="s">
        <v>32</v>
      </c>
      <c r="DK4" s="2" t="s">
        <v>30</v>
      </c>
      <c r="DL4" s="2" t="s">
        <v>31</v>
      </c>
      <c r="DM4" s="2" t="s">
        <v>32</v>
      </c>
      <c r="DN4" s="2" t="s">
        <v>31</v>
      </c>
      <c r="DO4" s="2" t="s">
        <v>32</v>
      </c>
      <c r="DP4" s="2" t="s">
        <v>31</v>
      </c>
      <c r="DQ4" s="2" t="s">
        <v>32</v>
      </c>
      <c r="DR4" s="2" t="s">
        <v>31</v>
      </c>
      <c r="DS4" s="2" t="s">
        <v>32</v>
      </c>
      <c r="DT4" s="2" t="s">
        <v>31</v>
      </c>
      <c r="DU4" s="2" t="s">
        <v>32</v>
      </c>
      <c r="DV4" s="2" t="s">
        <v>31</v>
      </c>
      <c r="DW4" s="2" t="s">
        <v>32</v>
      </c>
      <c r="DX4" s="2" t="s">
        <v>30</v>
      </c>
      <c r="DY4" s="2" t="s">
        <v>31</v>
      </c>
      <c r="DZ4" s="2" t="s">
        <v>32</v>
      </c>
      <c r="EA4" s="2" t="s">
        <v>31</v>
      </c>
      <c r="EB4" s="2" t="s">
        <v>32</v>
      </c>
      <c r="EC4" s="2" t="s">
        <v>31</v>
      </c>
      <c r="ED4" s="2" t="s">
        <v>32</v>
      </c>
      <c r="EE4" s="2" t="s">
        <v>31</v>
      </c>
      <c r="EF4" s="2" t="s">
        <v>32</v>
      </c>
      <c r="EG4" s="2" t="s">
        <v>31</v>
      </c>
      <c r="EH4" s="2" t="s">
        <v>32</v>
      </c>
      <c r="EI4" s="2" t="s">
        <v>31</v>
      </c>
      <c r="EJ4" s="2" t="s">
        <v>32</v>
      </c>
      <c r="EK4" s="2" t="s">
        <v>30</v>
      </c>
      <c r="EL4" s="2" t="s">
        <v>31</v>
      </c>
      <c r="EM4" s="2" t="s">
        <v>32</v>
      </c>
      <c r="EN4" s="2" t="s">
        <v>31</v>
      </c>
      <c r="EO4" s="2" t="s">
        <v>32</v>
      </c>
      <c r="EP4" s="2" t="s">
        <v>31</v>
      </c>
      <c r="EQ4" s="2" t="s">
        <v>32</v>
      </c>
      <c r="ER4" s="2" t="s">
        <v>31</v>
      </c>
      <c r="ES4" s="2" t="s">
        <v>32</v>
      </c>
      <c r="ET4" s="2" t="s">
        <v>31</v>
      </c>
      <c r="EU4" s="2" t="s">
        <v>32</v>
      </c>
      <c r="EV4" s="2" t="s">
        <v>31</v>
      </c>
      <c r="EW4" s="2" t="s">
        <v>32</v>
      </c>
      <c r="EX4" s="2" t="s">
        <v>30</v>
      </c>
      <c r="EY4" s="2" t="s">
        <v>31</v>
      </c>
      <c r="EZ4" s="2" t="s">
        <v>32</v>
      </c>
      <c r="FA4" s="2" t="s">
        <v>31</v>
      </c>
      <c r="FB4" s="2" t="s">
        <v>32</v>
      </c>
      <c r="FC4" s="2" t="s">
        <v>31</v>
      </c>
      <c r="FD4" s="2" t="s">
        <v>32</v>
      </c>
      <c r="FE4" s="2" t="s">
        <v>31</v>
      </c>
      <c r="FF4" s="2" t="s">
        <v>32</v>
      </c>
      <c r="FG4" s="2" t="s">
        <v>31</v>
      </c>
      <c r="FH4" s="2" t="s">
        <v>32</v>
      </c>
      <c r="FI4" s="2" t="s">
        <v>31</v>
      </c>
      <c r="FJ4" s="2" t="s">
        <v>32</v>
      </c>
      <c r="FK4" s="2" t="s">
        <v>30</v>
      </c>
      <c r="FL4" s="2" t="s">
        <v>31</v>
      </c>
      <c r="FM4" s="2" t="s">
        <v>32</v>
      </c>
      <c r="FN4" s="2" t="s">
        <v>31</v>
      </c>
      <c r="FO4" s="2" t="s">
        <v>32</v>
      </c>
      <c r="FP4" s="2" t="s">
        <v>31</v>
      </c>
      <c r="FQ4" s="2" t="s">
        <v>32</v>
      </c>
      <c r="FR4" s="2" t="s">
        <v>31</v>
      </c>
      <c r="FS4" s="2" t="s">
        <v>32</v>
      </c>
      <c r="FT4" s="2" t="s">
        <v>31</v>
      </c>
      <c r="FU4" s="2" t="s">
        <v>32</v>
      </c>
      <c r="FV4" s="2" t="s">
        <v>31</v>
      </c>
      <c r="FW4" s="2" t="s">
        <v>32</v>
      </c>
      <c r="FX4" s="2" t="s">
        <v>30</v>
      </c>
      <c r="FY4" s="2" t="s">
        <v>31</v>
      </c>
      <c r="FZ4" s="2" t="s">
        <v>32</v>
      </c>
      <c r="GA4" s="2" t="s">
        <v>31</v>
      </c>
      <c r="GB4" s="2" t="s">
        <v>32</v>
      </c>
      <c r="GC4" s="2" t="s">
        <v>31</v>
      </c>
      <c r="GD4" s="2" t="s">
        <v>32</v>
      </c>
      <c r="GE4" s="2" t="s">
        <v>31</v>
      </c>
      <c r="GF4" s="2" t="s">
        <v>32</v>
      </c>
      <c r="GG4" s="2" t="s">
        <v>31</v>
      </c>
      <c r="GH4" s="2" t="s">
        <v>32</v>
      </c>
      <c r="GI4" s="2" t="s">
        <v>31</v>
      </c>
      <c r="GJ4" s="2" t="s">
        <v>32</v>
      </c>
      <c r="GK4" s="2" t="s">
        <v>30</v>
      </c>
      <c r="GL4" s="2" t="s">
        <v>31</v>
      </c>
      <c r="GM4" s="2" t="s">
        <v>32</v>
      </c>
      <c r="GN4" s="2" t="s">
        <v>31</v>
      </c>
      <c r="GO4" s="2" t="s">
        <v>32</v>
      </c>
      <c r="GP4" s="2" t="s">
        <v>31</v>
      </c>
      <c r="GQ4" s="2" t="s">
        <v>32</v>
      </c>
      <c r="GR4" s="2" t="s">
        <v>31</v>
      </c>
      <c r="GS4" s="2" t="s">
        <v>32</v>
      </c>
      <c r="GT4" s="2" t="s">
        <v>31</v>
      </c>
      <c r="GU4" s="2" t="s">
        <v>32</v>
      </c>
      <c r="GV4" s="2" t="s">
        <v>31</v>
      </c>
      <c r="GW4" s="2" t="s">
        <v>32</v>
      </c>
      <c r="GX4" s="2" t="s">
        <v>30</v>
      </c>
      <c r="GY4" s="2" t="s">
        <v>31</v>
      </c>
      <c r="GZ4" s="2" t="s">
        <v>32</v>
      </c>
      <c r="HA4" s="2" t="s">
        <v>31</v>
      </c>
      <c r="HB4" s="2" t="s">
        <v>32</v>
      </c>
      <c r="HC4" s="2" t="s">
        <v>31</v>
      </c>
      <c r="HD4" s="2" t="s">
        <v>32</v>
      </c>
      <c r="HE4" s="2" t="s">
        <v>31</v>
      </c>
      <c r="HF4" s="2" t="s">
        <v>32</v>
      </c>
      <c r="HG4" s="2" t="s">
        <v>31</v>
      </c>
      <c r="HH4" s="2" t="s">
        <v>32</v>
      </c>
      <c r="HI4" s="2" t="s">
        <v>31</v>
      </c>
      <c r="HJ4" s="2" t="s">
        <v>32</v>
      </c>
      <c r="HK4" s="2" t="s">
        <v>30</v>
      </c>
      <c r="HL4" s="2" t="s">
        <v>31</v>
      </c>
      <c r="HM4" s="2" t="s">
        <v>32</v>
      </c>
      <c r="HN4" s="2" t="s">
        <v>31</v>
      </c>
      <c r="HO4" s="2" t="s">
        <v>32</v>
      </c>
      <c r="HP4" s="2" t="s">
        <v>31</v>
      </c>
      <c r="HQ4" s="2" t="s">
        <v>32</v>
      </c>
      <c r="HR4" s="2" t="s">
        <v>31</v>
      </c>
      <c r="HS4" s="2" t="s">
        <v>32</v>
      </c>
      <c r="HT4" s="2" t="s">
        <v>31</v>
      </c>
      <c r="HU4" s="2" t="s">
        <v>32</v>
      </c>
      <c r="HV4" s="2" t="s">
        <v>31</v>
      </c>
      <c r="HW4" s="2" t="s">
        <v>32</v>
      </c>
      <c r="HX4" s="2" t="s">
        <v>30</v>
      </c>
      <c r="HY4" s="2" t="s">
        <v>31</v>
      </c>
      <c r="HZ4" s="2" t="s">
        <v>32</v>
      </c>
      <c r="IA4" s="2" t="s">
        <v>31</v>
      </c>
      <c r="IB4" s="2" t="s">
        <v>32</v>
      </c>
      <c r="IC4" s="2" t="s">
        <v>31</v>
      </c>
      <c r="ID4" s="2" t="s">
        <v>32</v>
      </c>
      <c r="IE4" s="2" t="s">
        <v>31</v>
      </c>
      <c r="IF4" s="2" t="s">
        <v>32</v>
      </c>
      <c r="IG4" s="2" t="s">
        <v>31</v>
      </c>
      <c r="IH4" s="2" t="s">
        <v>32</v>
      </c>
      <c r="II4" s="2" t="s">
        <v>31</v>
      </c>
      <c r="IJ4" s="2" t="s">
        <v>32</v>
      </c>
      <c r="IK4" s="2" t="s">
        <v>30</v>
      </c>
      <c r="IL4" s="2" t="s">
        <v>31</v>
      </c>
      <c r="IM4" s="2" t="s">
        <v>32</v>
      </c>
      <c r="IN4" s="2" t="s">
        <v>31</v>
      </c>
      <c r="IO4" s="2" t="s">
        <v>32</v>
      </c>
      <c r="IP4" s="2" t="s">
        <v>31</v>
      </c>
      <c r="IQ4" s="2" t="s">
        <v>32</v>
      </c>
      <c r="IR4" s="2" t="s">
        <v>31</v>
      </c>
      <c r="IS4" s="2" t="s">
        <v>32</v>
      </c>
      <c r="IT4" s="2" t="s">
        <v>31</v>
      </c>
      <c r="IU4" s="2" t="s">
        <v>32</v>
      </c>
      <c r="IV4" s="2" t="s">
        <v>31</v>
      </c>
      <c r="IW4" s="2" t="s">
        <v>32</v>
      </c>
      <c r="IX4" s="2" t="s">
        <v>30</v>
      </c>
    </row>
    <row r="5" spans="1:258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421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422</v>
      </c>
      <c r="M5" s="3" t="s">
        <v>423</v>
      </c>
      <c r="N5" s="3" t="s">
        <v>424</v>
      </c>
      <c r="O5" s="3" t="s">
        <v>425</v>
      </c>
      <c r="P5" s="3" t="s">
        <v>426</v>
      </c>
      <c r="Q5" s="3" t="s">
        <v>427</v>
      </c>
      <c r="R5" s="3" t="s">
        <v>428</v>
      </c>
      <c r="S5" s="3" t="s">
        <v>429</v>
      </c>
      <c r="T5" s="3" t="s">
        <v>58</v>
      </c>
      <c r="U5" s="3" t="s">
        <v>59</v>
      </c>
      <c r="V5" s="3" t="s">
        <v>31</v>
      </c>
      <c r="W5" s="3" t="s">
        <v>32</v>
      </c>
      <c r="X5" s="3" t="s">
        <v>30</v>
      </c>
      <c r="Y5" s="3" t="s">
        <v>430</v>
      </c>
      <c r="Z5" s="3" t="s">
        <v>431</v>
      </c>
      <c r="AA5" s="3" t="s">
        <v>432</v>
      </c>
      <c r="AB5" s="3" t="s">
        <v>433</v>
      </c>
      <c r="AC5" s="3" t="s">
        <v>434</v>
      </c>
      <c r="AD5" s="3" t="s">
        <v>435</v>
      </c>
      <c r="AE5" s="3" t="s">
        <v>436</v>
      </c>
      <c r="AF5" s="3" t="s">
        <v>437</v>
      </c>
      <c r="AG5" s="3" t="s">
        <v>74</v>
      </c>
      <c r="AH5" s="3" t="s">
        <v>75</v>
      </c>
      <c r="AI5" s="3" t="s">
        <v>31</v>
      </c>
      <c r="AJ5" s="3" t="s">
        <v>32</v>
      </c>
      <c r="AK5" s="3" t="s">
        <v>30</v>
      </c>
      <c r="AL5" s="3" t="s">
        <v>438</v>
      </c>
      <c r="AM5" s="3" t="s">
        <v>439</v>
      </c>
      <c r="AN5" s="3" t="s">
        <v>440</v>
      </c>
      <c r="AO5" s="3" t="s">
        <v>441</v>
      </c>
      <c r="AP5" s="3" t="s">
        <v>442</v>
      </c>
      <c r="AQ5" s="3" t="s">
        <v>443</v>
      </c>
      <c r="AR5" s="3" t="s">
        <v>444</v>
      </c>
      <c r="AS5" s="3" t="s">
        <v>445</v>
      </c>
      <c r="AT5" s="3" t="s">
        <v>90</v>
      </c>
      <c r="AU5" s="3" t="s">
        <v>91</v>
      </c>
      <c r="AV5" s="3" t="s">
        <v>31</v>
      </c>
      <c r="AW5" s="3" t="s">
        <v>32</v>
      </c>
      <c r="AX5" s="3" t="s">
        <v>30</v>
      </c>
      <c r="AY5" s="3" t="s">
        <v>446</v>
      </c>
      <c r="AZ5" s="3" t="s">
        <v>447</v>
      </c>
      <c r="BA5" s="3" t="s">
        <v>448</v>
      </c>
      <c r="BB5" s="3" t="s">
        <v>449</v>
      </c>
      <c r="BC5" s="3" t="s">
        <v>450</v>
      </c>
      <c r="BD5" s="3" t="s">
        <v>451</v>
      </c>
      <c r="BE5" s="3" t="s">
        <v>452</v>
      </c>
      <c r="BF5" s="3" t="s">
        <v>453</v>
      </c>
      <c r="BG5" s="3" t="s">
        <v>106</v>
      </c>
      <c r="BH5" s="3" t="s">
        <v>107</v>
      </c>
      <c r="BI5" s="3" t="s">
        <v>31</v>
      </c>
      <c r="BJ5" s="3" t="s">
        <v>32</v>
      </c>
      <c r="BK5" s="3" t="s">
        <v>30</v>
      </c>
      <c r="BL5" s="3" t="s">
        <v>454</v>
      </c>
      <c r="BM5" s="3" t="s">
        <v>455</v>
      </c>
      <c r="BN5" s="3" t="s">
        <v>456</v>
      </c>
      <c r="BO5" s="3" t="s">
        <v>457</v>
      </c>
      <c r="BP5" s="3" t="s">
        <v>458</v>
      </c>
      <c r="BQ5" s="3" t="s">
        <v>459</v>
      </c>
      <c r="BR5" s="3" t="s">
        <v>460</v>
      </c>
      <c r="BS5" s="3" t="s">
        <v>461</v>
      </c>
      <c r="BT5" s="3" t="s">
        <v>122</v>
      </c>
      <c r="BU5" s="3" t="s">
        <v>123</v>
      </c>
      <c r="BV5" s="3" t="s">
        <v>31</v>
      </c>
      <c r="BW5" s="3" t="s">
        <v>32</v>
      </c>
      <c r="BX5" s="3" t="s">
        <v>30</v>
      </c>
      <c r="BY5" s="3" t="s">
        <v>462</v>
      </c>
      <c r="BZ5" s="3" t="s">
        <v>463</v>
      </c>
      <c r="CA5" s="3" t="s">
        <v>464</v>
      </c>
      <c r="CB5" s="3" t="s">
        <v>465</v>
      </c>
      <c r="CC5" s="3" t="s">
        <v>466</v>
      </c>
      <c r="CD5" s="3" t="s">
        <v>467</v>
      </c>
      <c r="CE5" s="3" t="s">
        <v>468</v>
      </c>
      <c r="CF5" s="3" t="s">
        <v>469</v>
      </c>
      <c r="CG5" s="3" t="s">
        <v>138</v>
      </c>
      <c r="CH5" s="3" t="s">
        <v>139</v>
      </c>
      <c r="CI5" s="3" t="s">
        <v>31</v>
      </c>
      <c r="CJ5" s="3" t="s">
        <v>32</v>
      </c>
      <c r="CK5" s="3" t="s">
        <v>30</v>
      </c>
      <c r="CL5" s="4" t="s">
        <v>470</v>
      </c>
      <c r="CM5" s="3" t="s">
        <v>471</v>
      </c>
      <c r="CN5" s="3" t="s">
        <v>472</v>
      </c>
      <c r="CO5" s="3" t="s">
        <v>473</v>
      </c>
      <c r="CP5" s="3" t="s">
        <v>474</v>
      </c>
      <c r="CQ5" s="3" t="s">
        <v>475</v>
      </c>
      <c r="CR5" s="3" t="s">
        <v>476</v>
      </c>
      <c r="CS5" s="3" t="s">
        <v>477</v>
      </c>
      <c r="CT5" s="3" t="s">
        <v>154</v>
      </c>
      <c r="CU5" s="3" t="s">
        <v>155</v>
      </c>
      <c r="CV5" s="3" t="s">
        <v>31</v>
      </c>
      <c r="CW5" s="3" t="s">
        <v>32</v>
      </c>
      <c r="CX5" s="3" t="s">
        <v>30</v>
      </c>
      <c r="CY5" s="3" t="s">
        <v>478</v>
      </c>
      <c r="CZ5" s="3" t="s">
        <v>479</v>
      </c>
      <c r="DA5" s="3" t="s">
        <v>480</v>
      </c>
      <c r="DB5" s="3" t="s">
        <v>481</v>
      </c>
      <c r="DC5" s="3" t="s">
        <v>482</v>
      </c>
      <c r="DD5" s="3" t="s">
        <v>483</v>
      </c>
      <c r="DE5" s="3" t="s">
        <v>484</v>
      </c>
      <c r="DF5" s="3" t="s">
        <v>485</v>
      </c>
      <c r="DG5" s="3" t="s">
        <v>170</v>
      </c>
      <c r="DH5" s="3" t="s">
        <v>171</v>
      </c>
      <c r="DI5" s="3" t="s">
        <v>31</v>
      </c>
      <c r="DJ5" s="3" t="s">
        <v>32</v>
      </c>
      <c r="DK5" s="3" t="s">
        <v>30</v>
      </c>
      <c r="DL5" s="3" t="s">
        <v>486</v>
      </c>
      <c r="DM5" s="3" t="s">
        <v>487</v>
      </c>
      <c r="DN5" s="3" t="s">
        <v>488</v>
      </c>
      <c r="DO5" s="3" t="s">
        <v>489</v>
      </c>
      <c r="DP5" s="3" t="s">
        <v>490</v>
      </c>
      <c r="DQ5" s="3" t="s">
        <v>491</v>
      </c>
      <c r="DR5" s="3" t="s">
        <v>492</v>
      </c>
      <c r="DS5" s="3" t="s">
        <v>493</v>
      </c>
      <c r="DT5" s="3" t="s">
        <v>186</v>
      </c>
      <c r="DU5" s="3" t="s">
        <v>187</v>
      </c>
      <c r="DV5" s="3" t="s">
        <v>31</v>
      </c>
      <c r="DW5" s="3" t="s">
        <v>32</v>
      </c>
      <c r="DX5" s="3" t="s">
        <v>30</v>
      </c>
      <c r="DY5" s="3" t="s">
        <v>494</v>
      </c>
      <c r="DZ5" s="3" t="s">
        <v>495</v>
      </c>
      <c r="EA5" s="3" t="s">
        <v>496</v>
      </c>
      <c r="EB5" s="3" t="s">
        <v>497</v>
      </c>
      <c r="EC5" s="3" t="s">
        <v>498</v>
      </c>
      <c r="ED5" s="3" t="s">
        <v>499</v>
      </c>
      <c r="EE5" s="3" t="s">
        <v>500</v>
      </c>
      <c r="EF5" s="3" t="s">
        <v>501</v>
      </c>
      <c r="EG5" s="3" t="s">
        <v>202</v>
      </c>
      <c r="EH5" s="3" t="s">
        <v>203</v>
      </c>
      <c r="EI5" s="3" t="s">
        <v>31</v>
      </c>
      <c r="EJ5" s="3" t="s">
        <v>32</v>
      </c>
      <c r="EK5" s="3" t="s">
        <v>30</v>
      </c>
      <c r="EL5" s="3" t="s">
        <v>502</v>
      </c>
      <c r="EM5" s="3" t="s">
        <v>503</v>
      </c>
      <c r="EN5" s="3" t="s">
        <v>504</v>
      </c>
      <c r="EO5" s="3" t="s">
        <v>505</v>
      </c>
      <c r="EP5" s="3" t="s">
        <v>506</v>
      </c>
      <c r="EQ5" s="3" t="s">
        <v>507</v>
      </c>
      <c r="ER5" s="3" t="s">
        <v>508</v>
      </c>
      <c r="ES5" s="3" t="s">
        <v>509</v>
      </c>
      <c r="ET5" s="3" t="s">
        <v>218</v>
      </c>
      <c r="EU5" s="3" t="s">
        <v>219</v>
      </c>
      <c r="EV5" s="3" t="s">
        <v>31</v>
      </c>
      <c r="EW5" s="3" t="s">
        <v>32</v>
      </c>
      <c r="EX5" s="3" t="s">
        <v>30</v>
      </c>
      <c r="EY5" s="3" t="s">
        <v>510</v>
      </c>
      <c r="EZ5" s="3" t="s">
        <v>511</v>
      </c>
      <c r="FA5" s="3" t="s">
        <v>512</v>
      </c>
      <c r="FB5" s="3" t="s">
        <v>513</v>
      </c>
      <c r="FC5" s="3" t="s">
        <v>514</v>
      </c>
      <c r="FD5" s="3" t="s">
        <v>515</v>
      </c>
      <c r="FE5" s="3" t="s">
        <v>516</v>
      </c>
      <c r="FF5" s="3" t="s">
        <v>517</v>
      </c>
      <c r="FG5" s="3" t="s">
        <v>234</v>
      </c>
      <c r="FH5" s="3" t="s">
        <v>235</v>
      </c>
      <c r="FI5" s="3" t="s">
        <v>31</v>
      </c>
      <c r="FJ5" s="3" t="s">
        <v>32</v>
      </c>
      <c r="FK5" s="3" t="s">
        <v>30</v>
      </c>
      <c r="FL5" s="3" t="s">
        <v>518</v>
      </c>
      <c r="FM5" s="3" t="s">
        <v>519</v>
      </c>
      <c r="FN5" s="3" t="s">
        <v>520</v>
      </c>
      <c r="FO5" s="3" t="s">
        <v>521</v>
      </c>
      <c r="FP5" s="3" t="s">
        <v>522</v>
      </c>
      <c r="FQ5" s="3" t="s">
        <v>523</v>
      </c>
      <c r="FR5" s="3" t="s">
        <v>524</v>
      </c>
      <c r="FS5" s="3" t="s">
        <v>525</v>
      </c>
      <c r="FT5" s="3" t="s">
        <v>250</v>
      </c>
      <c r="FU5" s="3" t="s">
        <v>251</v>
      </c>
      <c r="FV5" s="3" t="s">
        <v>31</v>
      </c>
      <c r="FW5" s="3" t="s">
        <v>32</v>
      </c>
      <c r="FX5" s="3" t="s">
        <v>30</v>
      </c>
      <c r="FY5" s="3" t="s">
        <v>526</v>
      </c>
      <c r="FZ5" s="3" t="s">
        <v>527</v>
      </c>
      <c r="GA5" s="3" t="s">
        <v>528</v>
      </c>
      <c r="GB5" s="3" t="s">
        <v>529</v>
      </c>
      <c r="GC5" s="3" t="s">
        <v>530</v>
      </c>
      <c r="GD5" s="3" t="s">
        <v>531</v>
      </c>
      <c r="GE5" s="3" t="s">
        <v>532</v>
      </c>
      <c r="GF5" s="3" t="s">
        <v>533</v>
      </c>
      <c r="GG5" s="3" t="s">
        <v>266</v>
      </c>
      <c r="GH5" s="3" t="s">
        <v>267</v>
      </c>
      <c r="GI5" s="3" t="s">
        <v>31</v>
      </c>
      <c r="GJ5" s="3" t="s">
        <v>32</v>
      </c>
      <c r="GK5" s="3" t="s">
        <v>30</v>
      </c>
      <c r="GL5" s="3" t="s">
        <v>534</v>
      </c>
      <c r="GM5" s="3" t="s">
        <v>535</v>
      </c>
      <c r="GN5" s="3" t="s">
        <v>536</v>
      </c>
      <c r="GO5" s="3" t="s">
        <v>537</v>
      </c>
      <c r="GP5" s="3" t="s">
        <v>538</v>
      </c>
      <c r="GQ5" s="3" t="s">
        <v>539</v>
      </c>
      <c r="GR5" s="3" t="s">
        <v>540</v>
      </c>
      <c r="GS5" s="3" t="s">
        <v>541</v>
      </c>
      <c r="GT5" s="3" t="s">
        <v>282</v>
      </c>
      <c r="GU5" s="3" t="s">
        <v>283</v>
      </c>
      <c r="GV5" s="3" t="s">
        <v>31</v>
      </c>
      <c r="GW5" s="3" t="s">
        <v>32</v>
      </c>
      <c r="GX5" s="3" t="s">
        <v>30</v>
      </c>
      <c r="GY5" s="3" t="s">
        <v>542</v>
      </c>
      <c r="GZ5" s="3" t="s">
        <v>543</v>
      </c>
      <c r="HA5" s="3" t="s">
        <v>544</v>
      </c>
      <c r="HB5" s="3" t="s">
        <v>545</v>
      </c>
      <c r="HC5" s="3" t="s">
        <v>546</v>
      </c>
      <c r="HD5" s="3" t="s">
        <v>547</v>
      </c>
      <c r="HE5" s="3" t="s">
        <v>548</v>
      </c>
      <c r="HF5" s="3" t="s">
        <v>549</v>
      </c>
      <c r="HG5" s="3" t="s">
        <v>298</v>
      </c>
      <c r="HH5" s="3" t="s">
        <v>299</v>
      </c>
      <c r="HI5" s="3" t="s">
        <v>31</v>
      </c>
      <c r="HJ5" s="3" t="s">
        <v>32</v>
      </c>
      <c r="HK5" s="3" t="s">
        <v>30</v>
      </c>
      <c r="HL5" s="3" t="s">
        <v>550</v>
      </c>
      <c r="HM5" s="3" t="s">
        <v>551</v>
      </c>
      <c r="HN5" s="3" t="s">
        <v>552</v>
      </c>
      <c r="HO5" s="3" t="s">
        <v>553</v>
      </c>
      <c r="HP5" s="3" t="s">
        <v>554</v>
      </c>
      <c r="HQ5" s="3" t="s">
        <v>555</v>
      </c>
      <c r="HR5" s="3" t="s">
        <v>556</v>
      </c>
      <c r="HS5" s="3" t="s">
        <v>557</v>
      </c>
      <c r="HT5" s="3" t="s">
        <v>314</v>
      </c>
      <c r="HU5" s="3" t="s">
        <v>315</v>
      </c>
      <c r="HV5" s="3" t="s">
        <v>31</v>
      </c>
      <c r="HW5" s="3" t="s">
        <v>32</v>
      </c>
      <c r="HX5" s="3" t="s">
        <v>30</v>
      </c>
      <c r="HY5" s="3" t="s">
        <v>558</v>
      </c>
      <c r="HZ5" s="3" t="s">
        <v>559</v>
      </c>
      <c r="IA5" s="3" t="s">
        <v>560</v>
      </c>
      <c r="IB5" s="3" t="s">
        <v>561</v>
      </c>
      <c r="IC5" s="3" t="s">
        <v>562</v>
      </c>
      <c r="ID5" s="3" t="s">
        <v>563</v>
      </c>
      <c r="IE5" s="3" t="s">
        <v>564</v>
      </c>
      <c r="IF5" s="3" t="s">
        <v>565</v>
      </c>
      <c r="IG5" s="3" t="s">
        <v>330</v>
      </c>
      <c r="IH5" s="3" t="s">
        <v>331</v>
      </c>
      <c r="II5" s="3" t="s">
        <v>31</v>
      </c>
      <c r="IJ5" s="3" t="s">
        <v>32</v>
      </c>
      <c r="IK5" s="3" t="s">
        <v>30</v>
      </c>
      <c r="IL5" s="3" t="s">
        <v>31</v>
      </c>
      <c r="IM5" s="3" t="s">
        <v>32</v>
      </c>
      <c r="IN5" s="3" t="s">
        <v>31</v>
      </c>
      <c r="IO5" s="3" t="s">
        <v>32</v>
      </c>
      <c r="IP5" s="3" t="s">
        <v>31</v>
      </c>
      <c r="IQ5" s="3" t="s">
        <v>32</v>
      </c>
      <c r="IR5" s="3" t="s">
        <v>31</v>
      </c>
      <c r="IS5" s="3" t="s">
        <v>32</v>
      </c>
      <c r="IT5" s="3" t="s">
        <v>31</v>
      </c>
      <c r="IU5" s="3" t="s">
        <v>32</v>
      </c>
      <c r="IV5" s="3" t="s">
        <v>31</v>
      </c>
      <c r="IW5" s="3" t="s">
        <v>32</v>
      </c>
      <c r="IX5" s="3" t="s">
        <v>30</v>
      </c>
    </row>
    <row r="6" spans="1:258" x14ac:dyDescent="0.25">
      <c r="A6" t="s">
        <v>332</v>
      </c>
      <c r="B6" t="s">
        <v>346</v>
      </c>
      <c r="C6" t="s">
        <v>347</v>
      </c>
      <c r="D6" t="s">
        <v>348</v>
      </c>
      <c r="E6">
        <v>304325</v>
      </c>
      <c r="F6" t="s">
        <v>570</v>
      </c>
      <c r="G6" t="s">
        <v>333</v>
      </c>
      <c r="H6" t="s">
        <v>334</v>
      </c>
      <c r="I6" t="s">
        <v>566</v>
      </c>
      <c r="J6" t="s">
        <v>336</v>
      </c>
      <c r="K6" t="s">
        <v>567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2</v>
      </c>
      <c r="AB6">
        <v>2</v>
      </c>
      <c r="AC6">
        <v>0</v>
      </c>
      <c r="AD6">
        <v>3</v>
      </c>
      <c r="AE6">
        <v>2</v>
      </c>
      <c r="AF6">
        <v>5</v>
      </c>
      <c r="AG6">
        <v>0</v>
      </c>
      <c r="AH6">
        <v>0</v>
      </c>
      <c r="AI6">
        <v>4</v>
      </c>
      <c r="AJ6">
        <v>10</v>
      </c>
      <c r="AK6">
        <v>14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0</v>
      </c>
      <c r="AV6">
        <v>2</v>
      </c>
      <c r="AW6">
        <v>1</v>
      </c>
      <c r="AX6">
        <v>3</v>
      </c>
      <c r="AY6">
        <v>5</v>
      </c>
      <c r="AZ6">
        <v>0</v>
      </c>
      <c r="BA6">
        <v>0</v>
      </c>
      <c r="BB6">
        <v>5</v>
      </c>
      <c r="BC6">
        <v>6</v>
      </c>
      <c r="BD6">
        <v>7</v>
      </c>
      <c r="BE6">
        <v>6</v>
      </c>
      <c r="BF6">
        <v>4</v>
      </c>
      <c r="BG6">
        <v>0</v>
      </c>
      <c r="BH6">
        <v>0</v>
      </c>
      <c r="BI6">
        <v>17</v>
      </c>
      <c r="BJ6">
        <v>16</v>
      </c>
      <c r="BK6">
        <v>33</v>
      </c>
      <c r="BL6">
        <v>2</v>
      </c>
      <c r="BM6">
        <v>0</v>
      </c>
      <c r="BN6">
        <v>1</v>
      </c>
      <c r="BO6">
        <v>1</v>
      </c>
      <c r="BP6">
        <v>0</v>
      </c>
      <c r="BQ6">
        <v>1</v>
      </c>
      <c r="BR6">
        <v>1</v>
      </c>
      <c r="BS6">
        <v>2</v>
      </c>
      <c r="BT6">
        <v>0</v>
      </c>
      <c r="BU6">
        <v>0</v>
      </c>
      <c r="BV6">
        <v>4</v>
      </c>
      <c r="BW6">
        <v>4</v>
      </c>
      <c r="BX6">
        <v>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3</v>
      </c>
      <c r="DF6">
        <v>0</v>
      </c>
      <c r="DG6">
        <v>0</v>
      </c>
      <c r="DH6">
        <v>0</v>
      </c>
      <c r="DI6">
        <v>4</v>
      </c>
      <c r="DJ6">
        <v>0</v>
      </c>
      <c r="DK6">
        <v>4</v>
      </c>
      <c r="DL6">
        <v>16</v>
      </c>
      <c r="DM6">
        <v>1</v>
      </c>
      <c r="DN6">
        <v>21</v>
      </c>
      <c r="DO6">
        <v>3</v>
      </c>
      <c r="DP6">
        <v>33</v>
      </c>
      <c r="DQ6">
        <v>12</v>
      </c>
      <c r="DR6">
        <v>38</v>
      </c>
      <c r="DS6">
        <v>10</v>
      </c>
      <c r="DT6">
        <v>0</v>
      </c>
      <c r="DU6">
        <v>0</v>
      </c>
      <c r="DV6">
        <v>108</v>
      </c>
      <c r="DW6">
        <v>26</v>
      </c>
      <c r="DX6">
        <v>134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2</v>
      </c>
      <c r="FM6">
        <v>0</v>
      </c>
      <c r="FN6">
        <v>2</v>
      </c>
      <c r="FO6">
        <v>0</v>
      </c>
      <c r="FP6">
        <v>3</v>
      </c>
      <c r="FQ6">
        <v>1</v>
      </c>
      <c r="FR6">
        <v>0</v>
      </c>
      <c r="FS6">
        <v>0</v>
      </c>
      <c r="FT6">
        <v>0</v>
      </c>
      <c r="FU6">
        <v>0</v>
      </c>
      <c r="FV6">
        <v>7</v>
      </c>
      <c r="FW6">
        <v>1</v>
      </c>
      <c r="FX6">
        <v>8</v>
      </c>
      <c r="FY6">
        <v>0</v>
      </c>
      <c r="FZ6">
        <v>1</v>
      </c>
      <c r="GA6">
        <v>4</v>
      </c>
      <c r="GB6">
        <v>1</v>
      </c>
      <c r="GC6">
        <v>1</v>
      </c>
      <c r="GD6">
        <v>6</v>
      </c>
      <c r="GE6">
        <v>0</v>
      </c>
      <c r="GF6">
        <v>7</v>
      </c>
      <c r="GG6">
        <v>0</v>
      </c>
      <c r="GH6">
        <v>0</v>
      </c>
      <c r="GI6">
        <v>5</v>
      </c>
      <c r="GJ6">
        <v>15</v>
      </c>
      <c r="GK6">
        <v>20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4</v>
      </c>
      <c r="HQ6">
        <v>0</v>
      </c>
      <c r="HR6">
        <v>3</v>
      </c>
      <c r="HS6">
        <v>1</v>
      </c>
      <c r="HT6">
        <v>0</v>
      </c>
      <c r="HU6">
        <v>0</v>
      </c>
      <c r="HV6">
        <v>7</v>
      </c>
      <c r="HW6">
        <v>1</v>
      </c>
      <c r="HX6">
        <v>8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26</v>
      </c>
      <c r="IM6">
        <v>2</v>
      </c>
      <c r="IN6">
        <v>31</v>
      </c>
      <c r="IO6">
        <v>12</v>
      </c>
      <c r="IP6">
        <v>48</v>
      </c>
      <c r="IQ6">
        <v>31</v>
      </c>
      <c r="IR6">
        <v>53</v>
      </c>
      <c r="IS6">
        <v>30</v>
      </c>
      <c r="IT6">
        <v>0</v>
      </c>
      <c r="IU6">
        <v>0</v>
      </c>
      <c r="IV6">
        <v>158</v>
      </c>
      <c r="IW6">
        <v>75</v>
      </c>
      <c r="IX6">
        <v>233</v>
      </c>
    </row>
    <row r="7" spans="1:258" x14ac:dyDescent="0.25">
      <c r="A7" t="s">
        <v>332</v>
      </c>
      <c r="B7" t="s">
        <v>346</v>
      </c>
      <c r="C7" t="s">
        <v>347</v>
      </c>
      <c r="D7" t="s">
        <v>348</v>
      </c>
      <c r="E7">
        <v>304326</v>
      </c>
      <c r="F7" t="s">
        <v>571</v>
      </c>
      <c r="G7" t="s">
        <v>333</v>
      </c>
      <c r="H7" t="s">
        <v>334</v>
      </c>
      <c r="I7" t="s">
        <v>566</v>
      </c>
      <c r="J7" t="s">
        <v>336</v>
      </c>
      <c r="K7" t="s">
        <v>567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>
        <v>0</v>
      </c>
      <c r="AI7">
        <v>0</v>
      </c>
      <c r="AJ7">
        <v>3</v>
      </c>
      <c r="AK7">
        <v>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1</v>
      </c>
      <c r="AX7">
        <v>1</v>
      </c>
      <c r="AY7">
        <v>5</v>
      </c>
      <c r="AZ7">
        <v>3</v>
      </c>
      <c r="BA7">
        <v>2</v>
      </c>
      <c r="BB7">
        <v>0</v>
      </c>
      <c r="BC7">
        <v>3</v>
      </c>
      <c r="BD7">
        <v>0</v>
      </c>
      <c r="BE7">
        <v>6</v>
      </c>
      <c r="BF7">
        <v>3</v>
      </c>
      <c r="BG7">
        <v>0</v>
      </c>
      <c r="BH7">
        <v>0</v>
      </c>
      <c r="BI7">
        <v>16</v>
      </c>
      <c r="BJ7">
        <v>6</v>
      </c>
      <c r="BK7">
        <v>22</v>
      </c>
      <c r="BL7">
        <v>1</v>
      </c>
      <c r="BM7">
        <v>0</v>
      </c>
      <c r="BN7">
        <v>0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2</v>
      </c>
      <c r="BW7">
        <v>1</v>
      </c>
      <c r="BX7">
        <v>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5</v>
      </c>
      <c r="DM7">
        <v>4</v>
      </c>
      <c r="DN7">
        <v>10</v>
      </c>
      <c r="DO7">
        <v>1</v>
      </c>
      <c r="DP7">
        <v>3</v>
      </c>
      <c r="DQ7">
        <v>1</v>
      </c>
      <c r="DR7">
        <v>4</v>
      </c>
      <c r="DS7">
        <v>4</v>
      </c>
      <c r="DT7">
        <v>0</v>
      </c>
      <c r="DU7">
        <v>0</v>
      </c>
      <c r="DV7">
        <v>22</v>
      </c>
      <c r="DW7">
        <v>10</v>
      </c>
      <c r="DX7">
        <v>32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0</v>
      </c>
      <c r="FS7">
        <v>0</v>
      </c>
      <c r="FT7">
        <v>0</v>
      </c>
      <c r="FU7">
        <v>0</v>
      </c>
      <c r="FV7">
        <v>1</v>
      </c>
      <c r="FW7">
        <v>0</v>
      </c>
      <c r="FX7">
        <v>1</v>
      </c>
      <c r="FY7">
        <v>0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1</v>
      </c>
      <c r="GG7">
        <v>0</v>
      </c>
      <c r="GH7">
        <v>0</v>
      </c>
      <c r="GI7">
        <v>0</v>
      </c>
      <c r="GJ7">
        <v>2</v>
      </c>
      <c r="GK7">
        <v>2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1</v>
      </c>
      <c r="HW7">
        <v>0</v>
      </c>
      <c r="HX7">
        <v>1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11</v>
      </c>
      <c r="IM7">
        <v>8</v>
      </c>
      <c r="IN7">
        <v>13</v>
      </c>
      <c r="IO7">
        <v>2</v>
      </c>
      <c r="IP7">
        <v>7</v>
      </c>
      <c r="IQ7">
        <v>4</v>
      </c>
      <c r="IR7">
        <v>11</v>
      </c>
      <c r="IS7">
        <v>9</v>
      </c>
      <c r="IT7">
        <v>0</v>
      </c>
      <c r="IU7">
        <v>0</v>
      </c>
      <c r="IV7">
        <v>42</v>
      </c>
      <c r="IW7">
        <v>23</v>
      </c>
      <c r="IX7">
        <v>65</v>
      </c>
    </row>
    <row r="8" spans="1:258" x14ac:dyDescent="0.25">
      <c r="A8" t="s">
        <v>332</v>
      </c>
      <c r="B8" t="s">
        <v>346</v>
      </c>
      <c r="C8" t="s">
        <v>347</v>
      </c>
      <c r="D8" t="s">
        <v>348</v>
      </c>
      <c r="E8">
        <v>325104</v>
      </c>
      <c r="F8" t="s">
        <v>572</v>
      </c>
      <c r="G8" t="s">
        <v>333</v>
      </c>
      <c r="H8" t="s">
        <v>334</v>
      </c>
      <c r="I8" t="s">
        <v>566</v>
      </c>
      <c r="J8" t="s">
        <v>336</v>
      </c>
      <c r="K8" t="s">
        <v>567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0</v>
      </c>
      <c r="AI8">
        <v>0</v>
      </c>
      <c r="AJ8">
        <v>2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2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3</v>
      </c>
      <c r="BJ8">
        <v>1</v>
      </c>
      <c r="BK8">
        <v>4</v>
      </c>
      <c r="BL8">
        <v>0</v>
      </c>
      <c r="BM8">
        <v>0</v>
      </c>
      <c r="BN8">
        <v>1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1</v>
      </c>
      <c r="DL8">
        <v>6</v>
      </c>
      <c r="DM8">
        <v>2</v>
      </c>
      <c r="DN8">
        <v>5</v>
      </c>
      <c r="DO8">
        <v>3</v>
      </c>
      <c r="DP8">
        <v>4</v>
      </c>
      <c r="DQ8">
        <v>3</v>
      </c>
      <c r="DR8">
        <v>4</v>
      </c>
      <c r="DS8">
        <v>1</v>
      </c>
      <c r="DT8">
        <v>0</v>
      </c>
      <c r="DU8">
        <v>0</v>
      </c>
      <c r="DV8">
        <v>19</v>
      </c>
      <c r="DW8">
        <v>9</v>
      </c>
      <c r="DX8">
        <v>28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1</v>
      </c>
      <c r="FY8">
        <v>3</v>
      </c>
      <c r="FZ8">
        <v>0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4</v>
      </c>
      <c r="GJ8">
        <v>0</v>
      </c>
      <c r="GK8">
        <v>4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0</v>
      </c>
      <c r="HU8">
        <v>0</v>
      </c>
      <c r="HV8">
        <v>0</v>
      </c>
      <c r="HW8">
        <v>1</v>
      </c>
      <c r="HX8">
        <v>1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10</v>
      </c>
      <c r="IM8">
        <v>2</v>
      </c>
      <c r="IN8">
        <v>10</v>
      </c>
      <c r="IO8">
        <v>5</v>
      </c>
      <c r="IP8">
        <v>4</v>
      </c>
      <c r="IQ8">
        <v>3</v>
      </c>
      <c r="IR8">
        <v>4</v>
      </c>
      <c r="IS8">
        <v>5</v>
      </c>
      <c r="IT8">
        <v>0</v>
      </c>
      <c r="IU8">
        <v>0</v>
      </c>
      <c r="IV8">
        <v>28</v>
      </c>
      <c r="IW8">
        <v>15</v>
      </c>
      <c r="IX8">
        <v>43</v>
      </c>
    </row>
    <row r="9" spans="1:258" x14ac:dyDescent="0.25">
      <c r="A9" t="s">
        <v>332</v>
      </c>
      <c r="B9" t="s">
        <v>346</v>
      </c>
      <c r="C9" t="s">
        <v>347</v>
      </c>
      <c r="D9" t="s">
        <v>348</v>
      </c>
      <c r="E9">
        <v>405423</v>
      </c>
      <c r="F9" t="s">
        <v>361</v>
      </c>
      <c r="G9" t="s">
        <v>338</v>
      </c>
      <c r="H9" t="s">
        <v>339</v>
      </c>
      <c r="I9" t="s">
        <v>340</v>
      </c>
      <c r="J9" t="s">
        <v>336</v>
      </c>
      <c r="K9" t="s">
        <v>341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</row>
    <row r="10" spans="1:258" x14ac:dyDescent="0.25">
      <c r="A10" t="s">
        <v>332</v>
      </c>
      <c r="B10" t="s">
        <v>346</v>
      </c>
      <c r="C10" t="s">
        <v>347</v>
      </c>
      <c r="D10" t="s">
        <v>348</v>
      </c>
      <c r="E10">
        <v>405424</v>
      </c>
      <c r="F10" t="s">
        <v>573</v>
      </c>
      <c r="G10" t="s">
        <v>338</v>
      </c>
      <c r="H10" t="s">
        <v>339</v>
      </c>
      <c r="I10" t="s">
        <v>566</v>
      </c>
      <c r="J10" t="s">
        <v>336</v>
      </c>
      <c r="K10" t="s">
        <v>567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2</v>
      </c>
      <c r="DW10">
        <v>0</v>
      </c>
      <c r="DX10">
        <v>2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1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1</v>
      </c>
      <c r="GK10">
        <v>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</v>
      </c>
      <c r="IQ10">
        <v>1</v>
      </c>
      <c r="IR10">
        <v>1</v>
      </c>
      <c r="IS10">
        <v>0</v>
      </c>
      <c r="IT10">
        <v>0</v>
      </c>
      <c r="IU10">
        <v>0</v>
      </c>
      <c r="IV10">
        <v>2</v>
      </c>
      <c r="IW10">
        <v>1</v>
      </c>
      <c r="IX10">
        <v>3</v>
      </c>
    </row>
    <row r="11" spans="1:258" x14ac:dyDescent="0.25">
      <c r="A11" t="s">
        <v>332</v>
      </c>
      <c r="B11" t="s">
        <v>346</v>
      </c>
      <c r="C11" t="s">
        <v>347</v>
      </c>
      <c r="D11" t="s">
        <v>348</v>
      </c>
      <c r="E11">
        <v>405426</v>
      </c>
      <c r="F11" t="s">
        <v>362</v>
      </c>
      <c r="G11" t="s">
        <v>338</v>
      </c>
      <c r="H11" t="s">
        <v>339</v>
      </c>
      <c r="I11" t="s">
        <v>343</v>
      </c>
      <c r="J11" t="s">
        <v>336</v>
      </c>
      <c r="K11" t="s">
        <v>344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</row>
    <row r="12" spans="1:258" x14ac:dyDescent="0.25">
      <c r="A12" t="s">
        <v>332</v>
      </c>
      <c r="B12" t="s">
        <v>346</v>
      </c>
      <c r="C12" t="s">
        <v>347</v>
      </c>
      <c r="D12" t="s">
        <v>348</v>
      </c>
      <c r="E12">
        <v>407899</v>
      </c>
      <c r="F12" t="s">
        <v>363</v>
      </c>
      <c r="G12" t="s">
        <v>338</v>
      </c>
      <c r="H12" t="s">
        <v>339</v>
      </c>
      <c r="I12" t="s">
        <v>364</v>
      </c>
      <c r="J12" t="s">
        <v>365</v>
      </c>
      <c r="K12" t="s">
        <v>341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</row>
    <row r="13" spans="1:258" x14ac:dyDescent="0.25">
      <c r="A13" t="s">
        <v>332</v>
      </c>
      <c r="B13" t="s">
        <v>346</v>
      </c>
      <c r="C13" t="s">
        <v>347</v>
      </c>
      <c r="D13" t="s">
        <v>348</v>
      </c>
      <c r="E13">
        <v>465506</v>
      </c>
      <c r="F13" t="s">
        <v>366</v>
      </c>
      <c r="G13" t="s">
        <v>342</v>
      </c>
      <c r="H13" t="s">
        <v>339</v>
      </c>
      <c r="I13" t="s">
        <v>340</v>
      </c>
      <c r="J13" t="s">
        <v>336</v>
      </c>
      <c r="K13" t="s">
        <v>341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</row>
    <row r="14" spans="1:258" x14ac:dyDescent="0.25">
      <c r="A14" t="s">
        <v>332</v>
      </c>
      <c r="B14" t="s">
        <v>346</v>
      </c>
      <c r="C14" t="s">
        <v>347</v>
      </c>
      <c r="D14" t="s">
        <v>348</v>
      </c>
      <c r="E14">
        <v>500454</v>
      </c>
      <c r="F14" t="s">
        <v>367</v>
      </c>
      <c r="G14" t="s">
        <v>333</v>
      </c>
      <c r="H14" t="s">
        <v>334</v>
      </c>
      <c r="I14" t="s">
        <v>340</v>
      </c>
      <c r="J14" t="s">
        <v>336</v>
      </c>
      <c r="K14" t="s">
        <v>341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3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5</v>
      </c>
      <c r="BJ14">
        <v>0</v>
      </c>
      <c r="BK14">
        <v>5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1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1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3</v>
      </c>
      <c r="IQ14">
        <v>0</v>
      </c>
      <c r="IR14">
        <v>2</v>
      </c>
      <c r="IS14">
        <v>0</v>
      </c>
      <c r="IT14">
        <v>0</v>
      </c>
      <c r="IU14">
        <v>0</v>
      </c>
      <c r="IV14">
        <v>5</v>
      </c>
      <c r="IW14">
        <v>1</v>
      </c>
      <c r="IX14">
        <v>6</v>
      </c>
    </row>
    <row r="15" spans="1:258" x14ac:dyDescent="0.25">
      <c r="A15" t="s">
        <v>332</v>
      </c>
      <c r="B15" t="s">
        <v>346</v>
      </c>
      <c r="C15" t="s">
        <v>347</v>
      </c>
      <c r="D15" t="s">
        <v>348</v>
      </c>
      <c r="E15">
        <v>501424</v>
      </c>
      <c r="F15" t="s">
        <v>368</v>
      </c>
      <c r="G15" t="s">
        <v>333</v>
      </c>
      <c r="H15" t="s">
        <v>334</v>
      </c>
      <c r="I15" t="s">
        <v>340</v>
      </c>
      <c r="J15" t="s">
        <v>336</v>
      </c>
      <c r="K15" t="s">
        <v>341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3</v>
      </c>
      <c r="BJ15">
        <v>0</v>
      </c>
      <c r="BK15">
        <v>3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1</v>
      </c>
      <c r="HW15">
        <v>1</v>
      </c>
      <c r="HX15">
        <v>2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3</v>
      </c>
      <c r="IQ15">
        <v>1</v>
      </c>
      <c r="IR15">
        <v>1</v>
      </c>
      <c r="IS15">
        <v>0</v>
      </c>
      <c r="IT15">
        <v>0</v>
      </c>
      <c r="IU15">
        <v>0</v>
      </c>
      <c r="IV15">
        <v>6</v>
      </c>
      <c r="IW15">
        <v>1</v>
      </c>
      <c r="IX15">
        <v>7</v>
      </c>
    </row>
    <row r="16" spans="1:258" x14ac:dyDescent="0.25">
      <c r="A16" t="s">
        <v>332</v>
      </c>
      <c r="B16" t="s">
        <v>346</v>
      </c>
      <c r="C16" t="s">
        <v>347</v>
      </c>
      <c r="D16" t="s">
        <v>348</v>
      </c>
      <c r="E16">
        <v>304303</v>
      </c>
      <c r="F16" t="s">
        <v>574</v>
      </c>
      <c r="G16" t="s">
        <v>333</v>
      </c>
      <c r="H16" t="s">
        <v>334</v>
      </c>
      <c r="I16" t="s">
        <v>566</v>
      </c>
      <c r="J16" t="s">
        <v>336</v>
      </c>
      <c r="K16" t="s">
        <v>567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2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</v>
      </c>
      <c r="DW16">
        <v>0</v>
      </c>
      <c r="DX16">
        <v>2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2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2</v>
      </c>
      <c r="IW16">
        <v>0</v>
      </c>
      <c r="IX16">
        <v>2</v>
      </c>
    </row>
    <row r="17" spans="1:258" x14ac:dyDescent="0.25">
      <c r="A17" t="s">
        <v>332</v>
      </c>
      <c r="B17" t="s">
        <v>346</v>
      </c>
      <c r="C17" t="s">
        <v>347</v>
      </c>
      <c r="D17" t="s">
        <v>348</v>
      </c>
      <c r="E17">
        <v>304305</v>
      </c>
      <c r="F17" t="s">
        <v>575</v>
      </c>
      <c r="G17" t="s">
        <v>333</v>
      </c>
      <c r="H17" t="s">
        <v>334</v>
      </c>
      <c r="I17" t="s">
        <v>566</v>
      </c>
      <c r="J17" t="s">
        <v>336</v>
      </c>
      <c r="K17" t="s">
        <v>567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4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3</v>
      </c>
      <c r="BJ17">
        <v>0</v>
      </c>
      <c r="BK17">
        <v>3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3</v>
      </c>
      <c r="DQ17">
        <v>1</v>
      </c>
      <c r="DR17">
        <v>3</v>
      </c>
      <c r="DS17">
        <v>0</v>
      </c>
      <c r="DT17">
        <v>0</v>
      </c>
      <c r="DU17">
        <v>0</v>
      </c>
      <c r="DV17">
        <v>7</v>
      </c>
      <c r="DW17">
        <v>1</v>
      </c>
      <c r="DX17">
        <v>8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1</v>
      </c>
      <c r="FW17">
        <v>0</v>
      </c>
      <c r="FX17">
        <v>1</v>
      </c>
      <c r="FY17">
        <v>2</v>
      </c>
      <c r="FZ17">
        <v>0</v>
      </c>
      <c r="GA17">
        <v>1</v>
      </c>
      <c r="GB17">
        <v>1</v>
      </c>
      <c r="GC17">
        <v>0</v>
      </c>
      <c r="GD17">
        <v>0</v>
      </c>
      <c r="GE17">
        <v>1</v>
      </c>
      <c r="GF17">
        <v>0</v>
      </c>
      <c r="GG17">
        <v>0</v>
      </c>
      <c r="GH17">
        <v>0</v>
      </c>
      <c r="GI17">
        <v>4</v>
      </c>
      <c r="GJ17">
        <v>1</v>
      </c>
      <c r="GK17">
        <v>5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2</v>
      </c>
      <c r="HQ17">
        <v>0</v>
      </c>
      <c r="HR17">
        <v>1</v>
      </c>
      <c r="HS17">
        <v>0</v>
      </c>
      <c r="HT17">
        <v>0</v>
      </c>
      <c r="HU17">
        <v>0</v>
      </c>
      <c r="HV17">
        <v>3</v>
      </c>
      <c r="HW17">
        <v>0</v>
      </c>
      <c r="HX17">
        <v>3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2</v>
      </c>
      <c r="IM17">
        <v>1</v>
      </c>
      <c r="IN17">
        <v>2</v>
      </c>
      <c r="IO17">
        <v>2</v>
      </c>
      <c r="IP17">
        <v>8</v>
      </c>
      <c r="IQ17">
        <v>2</v>
      </c>
      <c r="IR17">
        <v>7</v>
      </c>
      <c r="IS17">
        <v>1</v>
      </c>
      <c r="IT17">
        <v>0</v>
      </c>
      <c r="IU17">
        <v>0</v>
      </c>
      <c r="IV17">
        <v>19</v>
      </c>
      <c r="IW17">
        <v>6</v>
      </c>
      <c r="IX17">
        <v>25</v>
      </c>
    </row>
    <row r="18" spans="1:258" x14ac:dyDescent="0.25">
      <c r="A18" t="s">
        <v>332</v>
      </c>
      <c r="B18" t="s">
        <v>346</v>
      </c>
      <c r="C18" t="s">
        <v>347</v>
      </c>
      <c r="D18" t="s">
        <v>348</v>
      </c>
      <c r="E18">
        <v>304314</v>
      </c>
      <c r="F18" t="s">
        <v>576</v>
      </c>
      <c r="G18" t="s">
        <v>333</v>
      </c>
      <c r="H18" t="s">
        <v>334</v>
      </c>
      <c r="I18" t="s">
        <v>566</v>
      </c>
      <c r="J18" t="s">
        <v>336</v>
      </c>
      <c r="K18" t="s">
        <v>567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6</v>
      </c>
      <c r="DM18">
        <v>1</v>
      </c>
      <c r="DN18">
        <v>6</v>
      </c>
      <c r="DO18">
        <v>4</v>
      </c>
      <c r="DP18">
        <v>8</v>
      </c>
      <c r="DQ18">
        <v>0</v>
      </c>
      <c r="DR18">
        <v>3</v>
      </c>
      <c r="DS18">
        <v>4</v>
      </c>
      <c r="DT18">
        <v>0</v>
      </c>
      <c r="DU18">
        <v>0</v>
      </c>
      <c r="DV18">
        <v>23</v>
      </c>
      <c r="DW18">
        <v>9</v>
      </c>
      <c r="DX18">
        <v>32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1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1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6</v>
      </c>
      <c r="IM18">
        <v>1</v>
      </c>
      <c r="IN18">
        <v>6</v>
      </c>
      <c r="IO18">
        <v>4</v>
      </c>
      <c r="IP18">
        <v>8</v>
      </c>
      <c r="IQ18">
        <v>3</v>
      </c>
      <c r="IR18">
        <v>3</v>
      </c>
      <c r="IS18">
        <v>4</v>
      </c>
      <c r="IT18">
        <v>0</v>
      </c>
      <c r="IU18">
        <v>0</v>
      </c>
      <c r="IV18">
        <v>23</v>
      </c>
      <c r="IW18">
        <v>12</v>
      </c>
      <c r="IX18">
        <v>35</v>
      </c>
    </row>
    <row r="19" spans="1:258" x14ac:dyDescent="0.25">
      <c r="A19" t="s">
        <v>332</v>
      </c>
      <c r="B19" t="s">
        <v>346</v>
      </c>
      <c r="C19" t="s">
        <v>347</v>
      </c>
      <c r="D19" t="s">
        <v>348</v>
      </c>
      <c r="E19">
        <v>304327</v>
      </c>
      <c r="F19" t="s">
        <v>577</v>
      </c>
      <c r="G19" t="s">
        <v>333</v>
      </c>
      <c r="H19" t="s">
        <v>334</v>
      </c>
      <c r="I19" t="s">
        <v>566</v>
      </c>
      <c r="J19" t="s">
        <v>336</v>
      </c>
      <c r="K19" t="s">
        <v>567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</v>
      </c>
      <c r="AW19">
        <v>0</v>
      </c>
      <c r="AX19">
        <v>2</v>
      </c>
      <c r="AY19">
        <v>0</v>
      </c>
      <c r="AZ19">
        <v>0</v>
      </c>
      <c r="BA19">
        <v>0</v>
      </c>
      <c r="BB19">
        <v>2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2</v>
      </c>
      <c r="BK19">
        <v>3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2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2</v>
      </c>
      <c r="DW19">
        <v>0</v>
      </c>
      <c r="DX19">
        <v>2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2</v>
      </c>
      <c r="IO19">
        <v>2</v>
      </c>
      <c r="IP19">
        <v>3</v>
      </c>
      <c r="IQ19">
        <v>1</v>
      </c>
      <c r="IR19">
        <v>0</v>
      </c>
      <c r="IS19">
        <v>1</v>
      </c>
      <c r="IT19">
        <v>0</v>
      </c>
      <c r="IU19">
        <v>0</v>
      </c>
      <c r="IV19">
        <v>5</v>
      </c>
      <c r="IW19">
        <v>4</v>
      </c>
      <c r="IX19">
        <v>9</v>
      </c>
    </row>
    <row r="20" spans="1:258" x14ac:dyDescent="0.25">
      <c r="A20" t="s">
        <v>332</v>
      </c>
      <c r="B20" t="s">
        <v>346</v>
      </c>
      <c r="C20" t="s">
        <v>347</v>
      </c>
      <c r="D20" t="s">
        <v>348</v>
      </c>
      <c r="E20">
        <v>304328</v>
      </c>
      <c r="F20" t="s">
        <v>578</v>
      </c>
      <c r="G20" t="s">
        <v>333</v>
      </c>
      <c r="H20" t="s">
        <v>334</v>
      </c>
      <c r="I20" t="s">
        <v>566</v>
      </c>
      <c r="J20" t="s">
        <v>336</v>
      </c>
      <c r="K20" t="s">
        <v>567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</row>
    <row r="21" spans="1:258" x14ac:dyDescent="0.25">
      <c r="A21" t="s">
        <v>332</v>
      </c>
      <c r="B21" t="s">
        <v>346</v>
      </c>
      <c r="C21" t="s">
        <v>347</v>
      </c>
      <c r="D21" t="s">
        <v>348</v>
      </c>
      <c r="E21">
        <v>304338</v>
      </c>
      <c r="F21" t="s">
        <v>579</v>
      </c>
      <c r="G21" t="s">
        <v>333</v>
      </c>
      <c r="H21" t="s">
        <v>334</v>
      </c>
      <c r="I21" t="s">
        <v>566</v>
      </c>
      <c r="J21" t="s">
        <v>336</v>
      </c>
      <c r="K21" t="s">
        <v>567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2</v>
      </c>
      <c r="BO21">
        <v>6</v>
      </c>
      <c r="BP21">
        <v>6</v>
      </c>
      <c r="BQ21">
        <v>3</v>
      </c>
      <c r="BR21">
        <v>7</v>
      </c>
      <c r="BS21">
        <v>2</v>
      </c>
      <c r="BT21">
        <v>0</v>
      </c>
      <c r="BU21">
        <v>0</v>
      </c>
      <c r="BV21">
        <v>15</v>
      </c>
      <c r="BW21">
        <v>12</v>
      </c>
      <c r="BX21">
        <v>27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1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2</v>
      </c>
      <c r="GG21">
        <v>0</v>
      </c>
      <c r="GH21">
        <v>0</v>
      </c>
      <c r="GI21">
        <v>0</v>
      </c>
      <c r="GJ21">
        <v>2</v>
      </c>
      <c r="GK21">
        <v>2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2</v>
      </c>
      <c r="IO21">
        <v>6</v>
      </c>
      <c r="IP21">
        <v>6</v>
      </c>
      <c r="IQ21">
        <v>3</v>
      </c>
      <c r="IR21">
        <v>8</v>
      </c>
      <c r="IS21">
        <v>4</v>
      </c>
      <c r="IT21">
        <v>0</v>
      </c>
      <c r="IU21">
        <v>0</v>
      </c>
      <c r="IV21">
        <v>16</v>
      </c>
      <c r="IW21">
        <v>14</v>
      </c>
      <c r="IX21">
        <v>30</v>
      </c>
    </row>
    <row r="22" spans="1:258" x14ac:dyDescent="0.25">
      <c r="A22" t="s">
        <v>332</v>
      </c>
      <c r="B22" t="s">
        <v>346</v>
      </c>
      <c r="C22" t="s">
        <v>347</v>
      </c>
      <c r="D22" t="s">
        <v>348</v>
      </c>
      <c r="E22">
        <v>305680</v>
      </c>
      <c r="F22" t="s">
        <v>580</v>
      </c>
      <c r="G22" t="s">
        <v>333</v>
      </c>
      <c r="H22" t="s">
        <v>334</v>
      </c>
      <c r="I22" t="s">
        <v>566</v>
      </c>
      <c r="J22" t="s">
        <v>336</v>
      </c>
      <c r="K22" t="s">
        <v>567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5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5</v>
      </c>
      <c r="BJ22">
        <v>3</v>
      </c>
      <c r="BK22">
        <v>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3</v>
      </c>
      <c r="DO22">
        <v>3</v>
      </c>
      <c r="DP22">
        <v>1</v>
      </c>
      <c r="DQ22">
        <v>0</v>
      </c>
      <c r="DR22">
        <v>0</v>
      </c>
      <c r="DS22">
        <v>2</v>
      </c>
      <c r="DT22">
        <v>0</v>
      </c>
      <c r="DU22">
        <v>0</v>
      </c>
      <c r="DV22">
        <v>5</v>
      </c>
      <c r="DW22">
        <v>6</v>
      </c>
      <c r="DX22">
        <v>11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1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6</v>
      </c>
      <c r="IM22">
        <v>2</v>
      </c>
      <c r="IN22">
        <v>3</v>
      </c>
      <c r="IO22">
        <v>4</v>
      </c>
      <c r="IP22">
        <v>1</v>
      </c>
      <c r="IQ22">
        <v>2</v>
      </c>
      <c r="IR22">
        <v>0</v>
      </c>
      <c r="IS22">
        <v>3</v>
      </c>
      <c r="IT22">
        <v>0</v>
      </c>
      <c r="IU22">
        <v>0</v>
      </c>
      <c r="IV22">
        <v>10</v>
      </c>
      <c r="IW22">
        <v>11</v>
      </c>
      <c r="IX22">
        <v>21</v>
      </c>
    </row>
    <row r="23" spans="1:258" x14ac:dyDescent="0.25">
      <c r="A23" t="s">
        <v>332</v>
      </c>
      <c r="B23" t="s">
        <v>346</v>
      </c>
      <c r="C23" t="s">
        <v>347</v>
      </c>
      <c r="D23" t="s">
        <v>348</v>
      </c>
      <c r="E23">
        <v>316104</v>
      </c>
      <c r="F23" t="s">
        <v>581</v>
      </c>
      <c r="G23" t="s">
        <v>333</v>
      </c>
      <c r="H23" t="s">
        <v>334</v>
      </c>
      <c r="I23" t="s">
        <v>566</v>
      </c>
      <c r="J23" t="s">
        <v>336</v>
      </c>
      <c r="K23" t="s">
        <v>567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2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5</v>
      </c>
      <c r="DM23">
        <v>1</v>
      </c>
      <c r="DN23">
        <v>3</v>
      </c>
      <c r="DO23">
        <v>0</v>
      </c>
      <c r="DP23">
        <v>2</v>
      </c>
      <c r="DQ23">
        <v>0</v>
      </c>
      <c r="DR23">
        <v>0</v>
      </c>
      <c r="DS23">
        <v>2</v>
      </c>
      <c r="DT23">
        <v>0</v>
      </c>
      <c r="DU23">
        <v>0</v>
      </c>
      <c r="DV23">
        <v>10</v>
      </c>
      <c r="DW23">
        <v>3</v>
      </c>
      <c r="DX23">
        <v>13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1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5</v>
      </c>
      <c r="IM23">
        <v>3</v>
      </c>
      <c r="IN23">
        <v>3</v>
      </c>
      <c r="IO23">
        <v>0</v>
      </c>
      <c r="IP23">
        <v>2</v>
      </c>
      <c r="IQ23">
        <v>0</v>
      </c>
      <c r="IR23">
        <v>0</v>
      </c>
      <c r="IS23">
        <v>5</v>
      </c>
      <c r="IT23">
        <v>0</v>
      </c>
      <c r="IU23">
        <v>0</v>
      </c>
      <c r="IV23">
        <v>10</v>
      </c>
      <c r="IW23">
        <v>8</v>
      </c>
      <c r="IX23">
        <v>18</v>
      </c>
    </row>
    <row r="24" spans="1:258" x14ac:dyDescent="0.25">
      <c r="A24" t="s">
        <v>332</v>
      </c>
      <c r="B24" t="s">
        <v>346</v>
      </c>
      <c r="C24" t="s">
        <v>347</v>
      </c>
      <c r="D24" t="s">
        <v>348</v>
      </c>
      <c r="E24">
        <v>325101</v>
      </c>
      <c r="F24" t="s">
        <v>582</v>
      </c>
      <c r="G24" t="s">
        <v>333</v>
      </c>
      <c r="H24" t="s">
        <v>334</v>
      </c>
      <c r="I24" t="s">
        <v>568</v>
      </c>
      <c r="J24" t="s">
        <v>336</v>
      </c>
      <c r="K24" t="s">
        <v>569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2</v>
      </c>
      <c r="BL24">
        <v>3</v>
      </c>
      <c r="BM24">
        <v>1</v>
      </c>
      <c r="BN24">
        <v>0</v>
      </c>
      <c r="BO24">
        <v>1</v>
      </c>
      <c r="BP24">
        <v>2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5</v>
      </c>
      <c r="BW24">
        <v>3</v>
      </c>
      <c r="BX24">
        <v>8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1</v>
      </c>
      <c r="DN24">
        <v>1</v>
      </c>
      <c r="DO24">
        <v>0</v>
      </c>
      <c r="DP24">
        <v>6</v>
      </c>
      <c r="DQ24">
        <v>0</v>
      </c>
      <c r="DR24">
        <v>1</v>
      </c>
      <c r="DS24">
        <v>1</v>
      </c>
      <c r="DT24">
        <v>0</v>
      </c>
      <c r="DU24">
        <v>0</v>
      </c>
      <c r="DV24">
        <v>8</v>
      </c>
      <c r="DW24">
        <v>2</v>
      </c>
      <c r="DX24">
        <v>10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2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3</v>
      </c>
      <c r="GJ24">
        <v>0</v>
      </c>
      <c r="GK24">
        <v>3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4</v>
      </c>
      <c r="IM24">
        <v>2</v>
      </c>
      <c r="IN24">
        <v>1</v>
      </c>
      <c r="IO24">
        <v>1</v>
      </c>
      <c r="IP24">
        <v>11</v>
      </c>
      <c r="IQ24">
        <v>1</v>
      </c>
      <c r="IR24">
        <v>1</v>
      </c>
      <c r="IS24">
        <v>3</v>
      </c>
      <c r="IT24">
        <v>0</v>
      </c>
      <c r="IU24">
        <v>0</v>
      </c>
      <c r="IV24">
        <v>17</v>
      </c>
      <c r="IW24">
        <v>7</v>
      </c>
      <c r="IX24">
        <v>24</v>
      </c>
    </row>
    <row r="25" spans="1:258" x14ac:dyDescent="0.25">
      <c r="A25" t="s">
        <v>332</v>
      </c>
      <c r="B25" t="s">
        <v>346</v>
      </c>
      <c r="C25" t="s">
        <v>347</v>
      </c>
      <c r="D25" t="s">
        <v>348</v>
      </c>
      <c r="E25">
        <v>325102</v>
      </c>
      <c r="F25" t="s">
        <v>583</v>
      </c>
      <c r="G25" t="s">
        <v>333</v>
      </c>
      <c r="H25" t="s">
        <v>334</v>
      </c>
      <c r="I25" t="s">
        <v>566</v>
      </c>
      <c r="J25" t="s">
        <v>336</v>
      </c>
      <c r="K25" t="s">
        <v>567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2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2</v>
      </c>
      <c r="IW25">
        <v>0</v>
      </c>
      <c r="IX25">
        <v>2</v>
      </c>
    </row>
    <row r="26" spans="1:258" x14ac:dyDescent="0.25">
      <c r="A26" t="s">
        <v>332</v>
      </c>
      <c r="B26" t="s">
        <v>346</v>
      </c>
      <c r="C26" t="s">
        <v>347</v>
      </c>
      <c r="D26" t="s">
        <v>348</v>
      </c>
      <c r="E26">
        <v>325106</v>
      </c>
      <c r="F26" t="s">
        <v>584</v>
      </c>
      <c r="G26" t="s">
        <v>333</v>
      </c>
      <c r="H26" t="s">
        <v>334</v>
      </c>
      <c r="I26" t="s">
        <v>566</v>
      </c>
      <c r="J26" t="s">
        <v>336</v>
      </c>
      <c r="K26" t="s">
        <v>567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1</v>
      </c>
      <c r="AZ26">
        <v>0</v>
      </c>
      <c r="BA26">
        <v>3</v>
      </c>
      <c r="BB26">
        <v>0</v>
      </c>
      <c r="BC26">
        <v>1</v>
      </c>
      <c r="BD26">
        <v>1</v>
      </c>
      <c r="BE26">
        <v>5</v>
      </c>
      <c r="BF26">
        <v>2</v>
      </c>
      <c r="BG26">
        <v>0</v>
      </c>
      <c r="BH26">
        <v>0</v>
      </c>
      <c r="BI26">
        <v>10</v>
      </c>
      <c r="BJ26">
        <v>3</v>
      </c>
      <c r="BK26">
        <v>13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4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4</v>
      </c>
      <c r="DW26">
        <v>1</v>
      </c>
      <c r="DX26">
        <v>5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1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1</v>
      </c>
      <c r="FY26">
        <v>2</v>
      </c>
      <c r="FZ26">
        <v>0</v>
      </c>
      <c r="GA26">
        <v>0</v>
      </c>
      <c r="GB26">
        <v>0</v>
      </c>
      <c r="GC26">
        <v>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3</v>
      </c>
      <c r="GJ26">
        <v>0</v>
      </c>
      <c r="GK26">
        <v>3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1</v>
      </c>
      <c r="HM26">
        <v>0</v>
      </c>
      <c r="HN26">
        <v>0</v>
      </c>
      <c r="HO26">
        <v>0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2</v>
      </c>
      <c r="HW26">
        <v>0</v>
      </c>
      <c r="HX26">
        <v>2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9</v>
      </c>
      <c r="IM26">
        <v>1</v>
      </c>
      <c r="IN26">
        <v>4</v>
      </c>
      <c r="IO26">
        <v>1</v>
      </c>
      <c r="IP26">
        <v>3</v>
      </c>
      <c r="IQ26">
        <v>1</v>
      </c>
      <c r="IR26">
        <v>5</v>
      </c>
      <c r="IS26">
        <v>2</v>
      </c>
      <c r="IT26">
        <v>0</v>
      </c>
      <c r="IU26">
        <v>0</v>
      </c>
      <c r="IV26">
        <v>21</v>
      </c>
      <c r="IW26">
        <v>5</v>
      </c>
      <c r="IX26">
        <v>26</v>
      </c>
    </row>
    <row r="27" spans="1:258" x14ac:dyDescent="0.25">
      <c r="A27" t="s">
        <v>332</v>
      </c>
      <c r="B27" t="s">
        <v>346</v>
      </c>
      <c r="C27" t="s">
        <v>347</v>
      </c>
      <c r="D27" t="s">
        <v>348</v>
      </c>
      <c r="E27">
        <v>465513</v>
      </c>
      <c r="F27" t="s">
        <v>394</v>
      </c>
      <c r="G27" t="s">
        <v>342</v>
      </c>
      <c r="H27" t="s">
        <v>339</v>
      </c>
      <c r="I27" t="s">
        <v>395</v>
      </c>
      <c r="J27" t="s">
        <v>336</v>
      </c>
      <c r="K27" t="s">
        <v>341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1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1</v>
      </c>
    </row>
    <row r="28" spans="1:258" x14ac:dyDescent="0.25">
      <c r="A28" t="s">
        <v>332</v>
      </c>
      <c r="B28" t="s">
        <v>346</v>
      </c>
      <c r="C28" t="s">
        <v>347</v>
      </c>
      <c r="D28" t="s">
        <v>348</v>
      </c>
      <c r="E28">
        <v>465515</v>
      </c>
      <c r="F28" t="s">
        <v>396</v>
      </c>
      <c r="G28" t="s">
        <v>342</v>
      </c>
      <c r="H28" t="s">
        <v>339</v>
      </c>
      <c r="I28" t="s">
        <v>343</v>
      </c>
      <c r="J28" t="s">
        <v>336</v>
      </c>
      <c r="K28" t="s">
        <v>344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1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1</v>
      </c>
    </row>
    <row r="29" spans="1:258" x14ac:dyDescent="0.25">
      <c r="A29" t="s">
        <v>332</v>
      </c>
      <c r="B29" t="s">
        <v>346</v>
      </c>
      <c r="C29" t="s">
        <v>347</v>
      </c>
      <c r="D29" t="s">
        <v>348</v>
      </c>
      <c r="E29">
        <v>465900</v>
      </c>
      <c r="F29" t="s">
        <v>398</v>
      </c>
      <c r="G29" t="s">
        <v>342</v>
      </c>
      <c r="H29" t="s">
        <v>339</v>
      </c>
      <c r="I29" t="s">
        <v>340</v>
      </c>
      <c r="J29" t="s">
        <v>336</v>
      </c>
      <c r="K29" t="s">
        <v>341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</row>
    <row r="30" spans="1:258" x14ac:dyDescent="0.25">
      <c r="A30" t="s">
        <v>332</v>
      </c>
      <c r="B30" t="s">
        <v>346</v>
      </c>
      <c r="C30" t="s">
        <v>347</v>
      </c>
      <c r="D30" t="s">
        <v>348</v>
      </c>
      <c r="E30">
        <v>304313</v>
      </c>
      <c r="F30" t="s">
        <v>585</v>
      </c>
      <c r="G30" t="s">
        <v>333</v>
      </c>
      <c r="H30" t="s">
        <v>334</v>
      </c>
      <c r="I30" t="s">
        <v>566</v>
      </c>
      <c r="J30" t="s">
        <v>365</v>
      </c>
      <c r="K30" t="s">
        <v>567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2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4</v>
      </c>
      <c r="AK30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4</v>
      </c>
      <c r="BF30">
        <v>1</v>
      </c>
      <c r="BG30">
        <v>0</v>
      </c>
      <c r="BH30">
        <v>0</v>
      </c>
      <c r="BI30">
        <v>4</v>
      </c>
      <c r="BJ30">
        <v>2</v>
      </c>
      <c r="BK30">
        <v>6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3</v>
      </c>
      <c r="DM30">
        <v>0</v>
      </c>
      <c r="DN30">
        <v>2</v>
      </c>
      <c r="DO30">
        <v>1</v>
      </c>
      <c r="DP30">
        <v>2</v>
      </c>
      <c r="DQ30">
        <v>1</v>
      </c>
      <c r="DR30">
        <v>5</v>
      </c>
      <c r="DS30">
        <v>0</v>
      </c>
      <c r="DT30">
        <v>0</v>
      </c>
      <c r="DU30">
        <v>0</v>
      </c>
      <c r="DV30">
        <v>12</v>
      </c>
      <c r="DW30">
        <v>2</v>
      </c>
      <c r="DX30">
        <v>14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3</v>
      </c>
      <c r="IM30">
        <v>1</v>
      </c>
      <c r="IN30">
        <v>2</v>
      </c>
      <c r="IO30">
        <v>2</v>
      </c>
      <c r="IP30">
        <v>2</v>
      </c>
      <c r="IQ30">
        <v>4</v>
      </c>
      <c r="IR30">
        <v>9</v>
      </c>
      <c r="IS30">
        <v>2</v>
      </c>
      <c r="IT30">
        <v>0</v>
      </c>
      <c r="IU30">
        <v>0</v>
      </c>
      <c r="IV30">
        <v>16</v>
      </c>
      <c r="IW30">
        <v>9</v>
      </c>
      <c r="IX30">
        <v>25</v>
      </c>
    </row>
    <row r="31" spans="1:258" x14ac:dyDescent="0.25">
      <c r="A31" t="s">
        <v>332</v>
      </c>
      <c r="B31" t="s">
        <v>346</v>
      </c>
      <c r="C31" t="s">
        <v>347</v>
      </c>
      <c r="D31" t="s">
        <v>348</v>
      </c>
      <c r="E31">
        <v>304318</v>
      </c>
      <c r="F31" t="s">
        <v>586</v>
      </c>
      <c r="G31" t="s">
        <v>333</v>
      </c>
      <c r="H31" t="s">
        <v>334</v>
      </c>
      <c r="I31" t="s">
        <v>566</v>
      </c>
      <c r="J31" t="s">
        <v>336</v>
      </c>
      <c r="K31" t="s">
        <v>567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2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4</v>
      </c>
      <c r="AK31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4</v>
      </c>
      <c r="DM31">
        <v>0</v>
      </c>
      <c r="DN31">
        <v>4</v>
      </c>
      <c r="DO31">
        <v>3</v>
      </c>
      <c r="DP31">
        <v>1</v>
      </c>
      <c r="DQ31">
        <v>3</v>
      </c>
      <c r="DR31">
        <v>3</v>
      </c>
      <c r="DS31">
        <v>3</v>
      </c>
      <c r="DT31">
        <v>0</v>
      </c>
      <c r="DU31">
        <v>0</v>
      </c>
      <c r="DV31">
        <v>12</v>
      </c>
      <c r="DW31">
        <v>9</v>
      </c>
      <c r="DX31">
        <v>21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2</v>
      </c>
      <c r="HO31">
        <v>0</v>
      </c>
      <c r="HP31">
        <v>0</v>
      </c>
      <c r="HQ31">
        <v>1</v>
      </c>
      <c r="HR31">
        <v>0</v>
      </c>
      <c r="HS31">
        <v>0</v>
      </c>
      <c r="HT31">
        <v>0</v>
      </c>
      <c r="HU31">
        <v>0</v>
      </c>
      <c r="HV31">
        <v>3</v>
      </c>
      <c r="HW31">
        <v>1</v>
      </c>
      <c r="HX31">
        <v>4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5</v>
      </c>
      <c r="IM31">
        <v>1</v>
      </c>
      <c r="IN31">
        <v>6</v>
      </c>
      <c r="IO31">
        <v>3</v>
      </c>
      <c r="IP31">
        <v>1</v>
      </c>
      <c r="IQ31">
        <v>6</v>
      </c>
      <c r="IR31">
        <v>4</v>
      </c>
      <c r="IS31">
        <v>4</v>
      </c>
      <c r="IT31">
        <v>0</v>
      </c>
      <c r="IU31">
        <v>0</v>
      </c>
      <c r="IV31">
        <v>16</v>
      </c>
      <c r="IW31">
        <v>14</v>
      </c>
      <c r="IX31">
        <v>30</v>
      </c>
    </row>
    <row r="32" spans="1:258" x14ac:dyDescent="0.25">
      <c r="A32" t="s">
        <v>332</v>
      </c>
      <c r="B32" t="s">
        <v>346</v>
      </c>
      <c r="C32" t="s">
        <v>347</v>
      </c>
      <c r="D32" t="s">
        <v>348</v>
      </c>
      <c r="E32">
        <v>325105</v>
      </c>
      <c r="F32" t="s">
        <v>587</v>
      </c>
      <c r="G32" t="s">
        <v>333</v>
      </c>
      <c r="H32" t="s">
        <v>334</v>
      </c>
      <c r="I32" t="s">
        <v>566</v>
      </c>
      <c r="J32" t="s">
        <v>365</v>
      </c>
      <c r="K32" t="s">
        <v>567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2</v>
      </c>
      <c r="AE32">
        <v>1</v>
      </c>
      <c r="AF32">
        <v>3</v>
      </c>
      <c r="AG32">
        <v>0</v>
      </c>
      <c r="AH32">
        <v>0</v>
      </c>
      <c r="AI32">
        <v>1</v>
      </c>
      <c r="AJ32">
        <v>6</v>
      </c>
      <c r="AK32">
        <v>7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1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2</v>
      </c>
      <c r="BK32">
        <v>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3</v>
      </c>
      <c r="DS32">
        <v>2</v>
      </c>
      <c r="DT32">
        <v>0</v>
      </c>
      <c r="DU32">
        <v>0</v>
      </c>
      <c r="DV32">
        <v>4</v>
      </c>
      <c r="DW32">
        <v>2</v>
      </c>
      <c r="DX32">
        <v>6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1</v>
      </c>
      <c r="GA32">
        <v>1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2</v>
      </c>
      <c r="GJ32">
        <v>1</v>
      </c>
      <c r="GK32">
        <v>3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2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3</v>
      </c>
      <c r="HW32">
        <v>0</v>
      </c>
      <c r="HX32">
        <v>3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2</v>
      </c>
      <c r="IM32">
        <v>2</v>
      </c>
      <c r="IN32">
        <v>2</v>
      </c>
      <c r="IO32">
        <v>1</v>
      </c>
      <c r="IP32">
        <v>3</v>
      </c>
      <c r="IQ32">
        <v>2</v>
      </c>
      <c r="IR32">
        <v>4</v>
      </c>
      <c r="IS32">
        <v>6</v>
      </c>
      <c r="IT32">
        <v>0</v>
      </c>
      <c r="IU32">
        <v>0</v>
      </c>
      <c r="IV32">
        <v>11</v>
      </c>
      <c r="IW32">
        <v>11</v>
      </c>
      <c r="IX32">
        <v>22</v>
      </c>
    </row>
    <row r="33" spans="1:258" x14ac:dyDescent="0.25">
      <c r="A33" t="s">
        <v>332</v>
      </c>
      <c r="B33" t="s">
        <v>346</v>
      </c>
      <c r="C33" t="s">
        <v>347</v>
      </c>
      <c r="D33" t="s">
        <v>348</v>
      </c>
      <c r="E33">
        <v>501085</v>
      </c>
      <c r="F33" t="s">
        <v>411</v>
      </c>
      <c r="G33" t="s">
        <v>333</v>
      </c>
      <c r="H33" t="s">
        <v>334</v>
      </c>
      <c r="I33" t="s">
        <v>343</v>
      </c>
      <c r="J33" t="s">
        <v>336</v>
      </c>
      <c r="K33" t="s">
        <v>344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</v>
      </c>
      <c r="AE33">
        <v>0</v>
      </c>
      <c r="AF33">
        <v>1</v>
      </c>
      <c r="AG33">
        <v>0</v>
      </c>
      <c r="AH33">
        <v>0</v>
      </c>
      <c r="AI33">
        <v>1</v>
      </c>
      <c r="AJ33">
        <v>5</v>
      </c>
      <c r="AK33">
        <v>6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3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4</v>
      </c>
      <c r="DW33">
        <v>0</v>
      </c>
      <c r="DX33">
        <v>4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1</v>
      </c>
      <c r="GJ33">
        <v>0</v>
      </c>
      <c r="GK33">
        <v>1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2</v>
      </c>
      <c r="HR33">
        <v>4</v>
      </c>
      <c r="HS33">
        <v>1</v>
      </c>
      <c r="HT33">
        <v>0</v>
      </c>
      <c r="HU33">
        <v>0</v>
      </c>
      <c r="HV33">
        <v>5</v>
      </c>
      <c r="HW33">
        <v>3</v>
      </c>
      <c r="HX33">
        <v>8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4</v>
      </c>
      <c r="IM33">
        <v>0</v>
      </c>
      <c r="IN33">
        <v>0</v>
      </c>
      <c r="IO33">
        <v>1</v>
      </c>
      <c r="IP33">
        <v>3</v>
      </c>
      <c r="IQ33">
        <v>5</v>
      </c>
      <c r="IR33">
        <v>5</v>
      </c>
      <c r="IS33">
        <v>2</v>
      </c>
      <c r="IT33">
        <v>0</v>
      </c>
      <c r="IU33">
        <v>0</v>
      </c>
      <c r="IV33">
        <v>12</v>
      </c>
      <c r="IW33">
        <v>8</v>
      </c>
      <c r="IX33">
        <v>20</v>
      </c>
    </row>
    <row r="34" spans="1:258" x14ac:dyDescent="0.25">
      <c r="A34" t="s">
        <v>332</v>
      </c>
      <c r="B34" t="s">
        <v>346</v>
      </c>
      <c r="C34" t="s">
        <v>347</v>
      </c>
      <c r="D34" t="s">
        <v>348</v>
      </c>
      <c r="E34">
        <v>501086</v>
      </c>
      <c r="F34" t="s">
        <v>412</v>
      </c>
      <c r="G34" t="s">
        <v>333</v>
      </c>
      <c r="H34" t="s">
        <v>334</v>
      </c>
      <c r="I34" t="s">
        <v>343</v>
      </c>
      <c r="J34" t="s">
        <v>336</v>
      </c>
      <c r="K34" t="s">
        <v>344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</row>
    <row r="35" spans="1:258" x14ac:dyDescent="0.25">
      <c r="A35" t="s">
        <v>332</v>
      </c>
      <c r="B35" t="s">
        <v>346</v>
      </c>
      <c r="C35" t="s">
        <v>347</v>
      </c>
      <c r="D35" t="s">
        <v>348</v>
      </c>
      <c r="E35">
        <v>501087</v>
      </c>
      <c r="F35" t="s">
        <v>413</v>
      </c>
      <c r="G35" t="s">
        <v>333</v>
      </c>
      <c r="H35" t="s">
        <v>334</v>
      </c>
      <c r="I35" t="s">
        <v>340</v>
      </c>
      <c r="J35" t="s">
        <v>336</v>
      </c>
      <c r="K35" t="s">
        <v>341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</row>
    <row r="36" spans="1:258" x14ac:dyDescent="0.25">
      <c r="A36" t="s">
        <v>332</v>
      </c>
      <c r="B36" t="s">
        <v>346</v>
      </c>
      <c r="C36" t="s">
        <v>347</v>
      </c>
      <c r="D36" t="s">
        <v>348</v>
      </c>
      <c r="E36">
        <v>306039</v>
      </c>
      <c r="F36" t="s">
        <v>588</v>
      </c>
      <c r="G36" t="s">
        <v>333</v>
      </c>
      <c r="H36" t="s">
        <v>334</v>
      </c>
      <c r="I36" t="s">
        <v>566</v>
      </c>
      <c r="J36" t="s">
        <v>336</v>
      </c>
      <c r="K36" t="s">
        <v>567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</v>
      </c>
      <c r="BJ36">
        <v>1</v>
      </c>
      <c r="BK36">
        <v>4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</v>
      </c>
      <c r="DJ36">
        <v>0</v>
      </c>
      <c r="DK36">
        <v>1</v>
      </c>
      <c r="DL36">
        <v>2</v>
      </c>
      <c r="DM36">
        <v>1</v>
      </c>
      <c r="DN36">
        <v>5</v>
      </c>
      <c r="DO36">
        <v>0</v>
      </c>
      <c r="DP36">
        <v>7</v>
      </c>
      <c r="DQ36">
        <v>2</v>
      </c>
      <c r="DR36">
        <v>0</v>
      </c>
      <c r="DS36">
        <v>0</v>
      </c>
      <c r="DT36">
        <v>0</v>
      </c>
      <c r="DU36">
        <v>0</v>
      </c>
      <c r="DV36">
        <v>14</v>
      </c>
      <c r="DW36">
        <v>3</v>
      </c>
      <c r="DX36">
        <v>17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1</v>
      </c>
      <c r="HQ36">
        <v>1</v>
      </c>
      <c r="HR36">
        <v>0</v>
      </c>
      <c r="HS36">
        <v>0</v>
      </c>
      <c r="HT36">
        <v>0</v>
      </c>
      <c r="HU36">
        <v>0</v>
      </c>
      <c r="HV36">
        <v>1</v>
      </c>
      <c r="HW36">
        <v>1</v>
      </c>
      <c r="HX36">
        <v>2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3</v>
      </c>
      <c r="IM36">
        <v>2</v>
      </c>
      <c r="IN36">
        <v>5</v>
      </c>
      <c r="IO36">
        <v>0</v>
      </c>
      <c r="IP36">
        <v>11</v>
      </c>
      <c r="IQ36">
        <v>5</v>
      </c>
      <c r="IR36">
        <v>0</v>
      </c>
      <c r="IS36">
        <v>0</v>
      </c>
      <c r="IT36">
        <v>0</v>
      </c>
      <c r="IU36">
        <v>0</v>
      </c>
      <c r="IV36">
        <v>19</v>
      </c>
      <c r="IW36">
        <v>7</v>
      </c>
      <c r="IX36">
        <v>26</v>
      </c>
    </row>
  </sheetData>
  <sheetProtection algorithmName="SHA-512" hashValue="0Y1aW0/kHq3ij4eXZ4lbBugUY+2qEYo8gfvElL/Ir0Zz952LOiRmFR6DpYldN1fGu/HhJNdHZ0LcsrOoKQM1Aw==" saltValue="LJEbRlHOe/RnjBFOiWiGYw==" spinCount="100000" sheet="1" objects="1" scenarios="1"/>
  <mergeCells count="133">
    <mergeCell ref="AL2:AX2"/>
    <mergeCell ref="AY2:BK2"/>
    <mergeCell ref="BL2:BX2"/>
    <mergeCell ref="BY2:CK2"/>
    <mergeCell ref="IL2:IX2"/>
    <mergeCell ref="L3:M3"/>
    <mergeCell ref="N3:O3"/>
    <mergeCell ref="P3:Q3"/>
    <mergeCell ref="R3:S3"/>
    <mergeCell ref="T3:U3"/>
    <mergeCell ref="V3:X3"/>
    <mergeCell ref="Y3:Z3"/>
    <mergeCell ref="AA3:AB3"/>
    <mergeCell ref="AC3:AD3"/>
    <mergeCell ref="FL2:FX2"/>
    <mergeCell ref="FY2:GK2"/>
    <mergeCell ref="GL2:GX2"/>
    <mergeCell ref="GY2:HK2"/>
    <mergeCell ref="HL2:HX2"/>
    <mergeCell ref="HY2:IK2"/>
    <mergeCell ref="CL2:CX2"/>
    <mergeCell ref="CY2:DK2"/>
    <mergeCell ref="DL2:DX2"/>
    <mergeCell ref="DY2:EK2"/>
    <mergeCell ref="EL2:EX2"/>
    <mergeCell ref="EY2:FK2"/>
    <mergeCell ref="L2:X2"/>
    <mergeCell ref="Y2:AK2"/>
    <mergeCell ref="AR3:AS3"/>
    <mergeCell ref="AT3:AU3"/>
    <mergeCell ref="AV3:AX3"/>
    <mergeCell ref="AY3:AZ3"/>
    <mergeCell ref="BA3:BB3"/>
    <mergeCell ref="BC3:BD3"/>
    <mergeCell ref="AE3:AF3"/>
    <mergeCell ref="AG3:AH3"/>
    <mergeCell ref="AI3:AK3"/>
    <mergeCell ref="AL3:AM3"/>
    <mergeCell ref="AN3:AO3"/>
    <mergeCell ref="AP3:AQ3"/>
    <mergeCell ref="BR3:BS3"/>
    <mergeCell ref="BT3:BU3"/>
    <mergeCell ref="BV3:BX3"/>
    <mergeCell ref="BY3:BZ3"/>
    <mergeCell ref="CA3:CB3"/>
    <mergeCell ref="CC3:CD3"/>
    <mergeCell ref="BE3:BF3"/>
    <mergeCell ref="BG3:BH3"/>
    <mergeCell ref="BI3:BK3"/>
    <mergeCell ref="BL3:BM3"/>
    <mergeCell ref="BN3:BO3"/>
    <mergeCell ref="BP3:BQ3"/>
    <mergeCell ref="CR3:CS3"/>
    <mergeCell ref="CT3:CU3"/>
    <mergeCell ref="CV3:CX3"/>
    <mergeCell ref="CY3:CZ3"/>
    <mergeCell ref="DA3:DB3"/>
    <mergeCell ref="DC3:DD3"/>
    <mergeCell ref="CE3:CF3"/>
    <mergeCell ref="CG3:CH3"/>
    <mergeCell ref="CI3:CK3"/>
    <mergeCell ref="CL3:CM3"/>
    <mergeCell ref="CN3:CO3"/>
    <mergeCell ref="CP3:CQ3"/>
    <mergeCell ref="DR3:DS3"/>
    <mergeCell ref="DT3:DU3"/>
    <mergeCell ref="DV3:DX3"/>
    <mergeCell ref="DY3:DZ3"/>
    <mergeCell ref="EA3:EB3"/>
    <mergeCell ref="EC3:ED3"/>
    <mergeCell ref="DE3:DF3"/>
    <mergeCell ref="DG3:DH3"/>
    <mergeCell ref="DI3:DK3"/>
    <mergeCell ref="DL3:DM3"/>
    <mergeCell ref="DN3:DO3"/>
    <mergeCell ref="DP3:DQ3"/>
    <mergeCell ref="ER3:ES3"/>
    <mergeCell ref="ET3:EU3"/>
    <mergeCell ref="EV3:EX3"/>
    <mergeCell ref="EY3:EZ3"/>
    <mergeCell ref="FA3:FB3"/>
    <mergeCell ref="FC3:FD3"/>
    <mergeCell ref="EE3:EF3"/>
    <mergeCell ref="EG3:EH3"/>
    <mergeCell ref="EI3:EK3"/>
    <mergeCell ref="EL3:EM3"/>
    <mergeCell ref="EN3:EO3"/>
    <mergeCell ref="EP3:EQ3"/>
    <mergeCell ref="FR3:FS3"/>
    <mergeCell ref="FT3:FU3"/>
    <mergeCell ref="FV3:FX3"/>
    <mergeCell ref="FY3:FZ3"/>
    <mergeCell ref="GA3:GB3"/>
    <mergeCell ref="GC3:GD3"/>
    <mergeCell ref="FE3:FF3"/>
    <mergeCell ref="FG3:FH3"/>
    <mergeCell ref="FI3:FK3"/>
    <mergeCell ref="FL3:FM3"/>
    <mergeCell ref="FN3:FO3"/>
    <mergeCell ref="FP3:FQ3"/>
    <mergeCell ref="GR3:GS3"/>
    <mergeCell ref="GT3:GU3"/>
    <mergeCell ref="GV3:GX3"/>
    <mergeCell ref="GY3:GZ3"/>
    <mergeCell ref="HA3:HB3"/>
    <mergeCell ref="HC3:HD3"/>
    <mergeCell ref="GE3:GF3"/>
    <mergeCell ref="GG3:GH3"/>
    <mergeCell ref="GI3:GK3"/>
    <mergeCell ref="GL3:GM3"/>
    <mergeCell ref="GN3:GO3"/>
    <mergeCell ref="GP3:GQ3"/>
    <mergeCell ref="HR3:HS3"/>
    <mergeCell ref="HT3:HU3"/>
    <mergeCell ref="HV3:HX3"/>
    <mergeCell ref="HY3:HZ3"/>
    <mergeCell ref="IA3:IB3"/>
    <mergeCell ref="IC3:ID3"/>
    <mergeCell ref="HE3:HF3"/>
    <mergeCell ref="HG3:HH3"/>
    <mergeCell ref="HI3:HK3"/>
    <mergeCell ref="HL3:HM3"/>
    <mergeCell ref="HN3:HO3"/>
    <mergeCell ref="HP3:HQ3"/>
    <mergeCell ref="IR3:IS3"/>
    <mergeCell ref="IT3:IU3"/>
    <mergeCell ref="IV3:IX3"/>
    <mergeCell ref="IE3:IF3"/>
    <mergeCell ref="IG3:IH3"/>
    <mergeCell ref="II3:IK3"/>
    <mergeCell ref="IL3:IM3"/>
    <mergeCell ref="IN3:IO3"/>
    <mergeCell ref="IP3:I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4782-F36B-482E-9CDD-F9516D3198A5}">
  <dimension ref="A1:EN33"/>
  <sheetViews>
    <sheetView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L6" sqref="L6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24.140625" customWidth="1"/>
    <col min="7" max="7" width="0" hidden="1" customWidth="1"/>
    <col min="9" max="11" width="0" hidden="1" customWidth="1"/>
  </cols>
  <sheetData>
    <row r="1" spans="1:144" x14ac:dyDescent="0.25">
      <c r="A1" s="3" t="s">
        <v>589</v>
      </c>
    </row>
    <row r="2" spans="1:144" x14ac:dyDescent="0.25">
      <c r="A2" s="3" t="s">
        <v>1</v>
      </c>
      <c r="L2" s="7" t="s">
        <v>415</v>
      </c>
      <c r="M2" s="7"/>
      <c r="N2" s="7"/>
      <c r="O2" s="7"/>
      <c r="P2" s="7"/>
      <c r="Q2" s="7"/>
      <c r="R2" s="7"/>
      <c r="S2" s="7" t="s">
        <v>3</v>
      </c>
      <c r="T2" s="7"/>
      <c r="U2" s="7"/>
      <c r="V2" s="7"/>
      <c r="W2" s="7"/>
      <c r="X2" s="7"/>
      <c r="Y2" s="7"/>
      <c r="Z2" s="7" t="s">
        <v>4</v>
      </c>
      <c r="AA2" s="7"/>
      <c r="AB2" s="7"/>
      <c r="AC2" s="7"/>
      <c r="AD2" s="7"/>
      <c r="AE2" s="7"/>
      <c r="AF2" s="7"/>
      <c r="AG2" s="7" t="s">
        <v>5</v>
      </c>
      <c r="AH2" s="7"/>
      <c r="AI2" s="7"/>
      <c r="AJ2" s="7"/>
      <c r="AK2" s="7"/>
      <c r="AL2" s="7"/>
      <c r="AM2" s="7"/>
      <c r="AN2" s="7" t="s">
        <v>6</v>
      </c>
      <c r="AO2" s="7"/>
      <c r="AP2" s="7"/>
      <c r="AQ2" s="7"/>
      <c r="AR2" s="7"/>
      <c r="AS2" s="7"/>
      <c r="AT2" s="7"/>
      <c r="AU2" s="7" t="s">
        <v>7</v>
      </c>
      <c r="AV2" s="7"/>
      <c r="AW2" s="7"/>
      <c r="AX2" s="7"/>
      <c r="AY2" s="7"/>
      <c r="AZ2" s="7"/>
      <c r="BA2" s="7"/>
      <c r="BB2" s="7" t="s">
        <v>8</v>
      </c>
      <c r="BC2" s="7"/>
      <c r="BD2" s="7"/>
      <c r="BE2" s="7"/>
      <c r="BF2" s="7"/>
      <c r="BG2" s="7"/>
      <c r="BH2" s="7"/>
      <c r="BI2" s="7" t="s">
        <v>9</v>
      </c>
      <c r="BJ2" s="7"/>
      <c r="BK2" s="7"/>
      <c r="BL2" s="7"/>
      <c r="BM2" s="7"/>
      <c r="BN2" s="7"/>
      <c r="BO2" s="7"/>
      <c r="BP2" s="7" t="s">
        <v>10</v>
      </c>
      <c r="BQ2" s="7"/>
      <c r="BR2" s="7"/>
      <c r="BS2" s="7"/>
      <c r="BT2" s="7"/>
      <c r="BU2" s="7"/>
      <c r="BV2" s="7"/>
      <c r="BW2" s="7" t="s">
        <v>11</v>
      </c>
      <c r="BX2" s="7"/>
      <c r="BY2" s="7"/>
      <c r="BZ2" s="7"/>
      <c r="CA2" s="7"/>
      <c r="CB2" s="7"/>
      <c r="CC2" s="7"/>
      <c r="CD2" s="7" t="s">
        <v>12</v>
      </c>
      <c r="CE2" s="7"/>
      <c r="CF2" s="7"/>
      <c r="CG2" s="7"/>
      <c r="CH2" s="7"/>
      <c r="CI2" s="7"/>
      <c r="CJ2" s="7"/>
      <c r="CK2" s="7" t="s">
        <v>13</v>
      </c>
      <c r="CL2" s="7"/>
      <c r="CM2" s="7"/>
      <c r="CN2" s="7"/>
      <c r="CO2" s="7"/>
      <c r="CP2" s="7"/>
      <c r="CQ2" s="7"/>
      <c r="CR2" s="7" t="s">
        <v>14</v>
      </c>
      <c r="CS2" s="7"/>
      <c r="CT2" s="7"/>
      <c r="CU2" s="7"/>
      <c r="CV2" s="7"/>
      <c r="CW2" s="7"/>
      <c r="CX2" s="7"/>
      <c r="CY2" s="7" t="s">
        <v>15</v>
      </c>
      <c r="CZ2" s="7"/>
      <c r="DA2" s="7"/>
      <c r="DB2" s="7"/>
      <c r="DC2" s="7"/>
      <c r="DD2" s="7"/>
      <c r="DE2" s="7"/>
      <c r="DF2" s="7" t="s">
        <v>16</v>
      </c>
      <c r="DG2" s="7"/>
      <c r="DH2" s="7"/>
      <c r="DI2" s="7"/>
      <c r="DJ2" s="7"/>
      <c r="DK2" s="7"/>
      <c r="DL2" s="7"/>
      <c r="DM2" s="7" t="s">
        <v>17</v>
      </c>
      <c r="DN2" s="7"/>
      <c r="DO2" s="7"/>
      <c r="DP2" s="7"/>
      <c r="DQ2" s="7"/>
      <c r="DR2" s="7"/>
      <c r="DS2" s="7"/>
      <c r="DT2" s="7" t="s">
        <v>18</v>
      </c>
      <c r="DU2" s="7"/>
      <c r="DV2" s="7"/>
      <c r="DW2" s="7"/>
      <c r="DX2" s="7"/>
      <c r="DY2" s="7"/>
      <c r="DZ2" s="7"/>
      <c r="EA2" s="7" t="s">
        <v>19</v>
      </c>
      <c r="EB2" s="7"/>
      <c r="EC2" s="7"/>
      <c r="ED2" s="7"/>
      <c r="EE2" s="7"/>
      <c r="EF2" s="7"/>
      <c r="EG2" s="7"/>
      <c r="EH2" s="7" t="s">
        <v>590</v>
      </c>
      <c r="EI2" s="7"/>
      <c r="EJ2" s="7"/>
      <c r="EK2" s="7"/>
      <c r="EL2" s="7"/>
      <c r="EM2" s="7"/>
      <c r="EN2" s="7"/>
    </row>
    <row r="3" spans="1:144" x14ac:dyDescent="0.25">
      <c r="A3" s="3" t="s">
        <v>21</v>
      </c>
      <c r="L3" s="6" t="s">
        <v>591</v>
      </c>
      <c r="M3" s="6"/>
      <c r="N3" s="6" t="s">
        <v>592</v>
      </c>
      <c r="O3" s="6"/>
      <c r="P3" s="6" t="s">
        <v>593</v>
      </c>
      <c r="Q3" s="6"/>
      <c r="R3" s="6"/>
      <c r="S3" s="6" t="s">
        <v>591</v>
      </c>
      <c r="T3" s="6"/>
      <c r="U3" s="6" t="s">
        <v>592</v>
      </c>
      <c r="V3" s="6"/>
      <c r="W3" s="6" t="s">
        <v>593</v>
      </c>
      <c r="X3" s="6"/>
      <c r="Y3" s="6"/>
      <c r="Z3" s="6" t="s">
        <v>591</v>
      </c>
      <c r="AA3" s="6"/>
      <c r="AB3" s="6" t="s">
        <v>592</v>
      </c>
      <c r="AC3" s="6"/>
      <c r="AD3" s="6" t="s">
        <v>593</v>
      </c>
      <c r="AE3" s="6"/>
      <c r="AF3" s="6"/>
      <c r="AG3" s="6" t="s">
        <v>591</v>
      </c>
      <c r="AH3" s="6"/>
      <c r="AI3" s="6" t="s">
        <v>592</v>
      </c>
      <c r="AJ3" s="6"/>
      <c r="AK3" s="6" t="s">
        <v>593</v>
      </c>
      <c r="AL3" s="6"/>
      <c r="AM3" s="6"/>
      <c r="AN3" s="6" t="s">
        <v>591</v>
      </c>
      <c r="AO3" s="6"/>
      <c r="AP3" s="6" t="s">
        <v>592</v>
      </c>
      <c r="AQ3" s="6"/>
      <c r="AR3" s="6" t="s">
        <v>593</v>
      </c>
      <c r="AS3" s="6"/>
      <c r="AT3" s="6"/>
      <c r="AU3" s="6" t="s">
        <v>591</v>
      </c>
      <c r="AV3" s="6"/>
      <c r="AW3" s="6" t="s">
        <v>592</v>
      </c>
      <c r="AX3" s="6"/>
      <c r="AY3" s="6" t="s">
        <v>593</v>
      </c>
      <c r="AZ3" s="6"/>
      <c r="BA3" s="6"/>
      <c r="BB3" s="6" t="s">
        <v>591</v>
      </c>
      <c r="BC3" s="6"/>
      <c r="BD3" s="6" t="s">
        <v>592</v>
      </c>
      <c r="BE3" s="6"/>
      <c r="BF3" s="6" t="s">
        <v>593</v>
      </c>
      <c r="BG3" s="6"/>
      <c r="BH3" s="6"/>
      <c r="BI3" s="6" t="s">
        <v>591</v>
      </c>
      <c r="BJ3" s="6"/>
      <c r="BK3" s="6" t="s">
        <v>592</v>
      </c>
      <c r="BL3" s="6"/>
      <c r="BM3" s="6" t="s">
        <v>593</v>
      </c>
      <c r="BN3" s="6"/>
      <c r="BO3" s="6"/>
      <c r="BP3" s="6" t="s">
        <v>591</v>
      </c>
      <c r="BQ3" s="6"/>
      <c r="BR3" s="6" t="s">
        <v>592</v>
      </c>
      <c r="BS3" s="6"/>
      <c r="BT3" s="6" t="s">
        <v>593</v>
      </c>
      <c r="BU3" s="6"/>
      <c r="BV3" s="6"/>
      <c r="BW3" s="6" t="s">
        <v>591</v>
      </c>
      <c r="BX3" s="6"/>
      <c r="BY3" s="6" t="s">
        <v>592</v>
      </c>
      <c r="BZ3" s="6"/>
      <c r="CA3" s="6" t="s">
        <v>593</v>
      </c>
      <c r="CB3" s="6"/>
      <c r="CC3" s="6"/>
      <c r="CD3" s="6" t="s">
        <v>591</v>
      </c>
      <c r="CE3" s="6"/>
      <c r="CF3" s="6" t="s">
        <v>592</v>
      </c>
      <c r="CG3" s="6"/>
      <c r="CH3" s="6" t="s">
        <v>593</v>
      </c>
      <c r="CI3" s="6"/>
      <c r="CJ3" s="6"/>
      <c r="CK3" s="6" t="s">
        <v>591</v>
      </c>
      <c r="CL3" s="6"/>
      <c r="CM3" s="6" t="s">
        <v>592</v>
      </c>
      <c r="CN3" s="6"/>
      <c r="CO3" s="6" t="s">
        <v>593</v>
      </c>
      <c r="CP3" s="6"/>
      <c r="CQ3" s="6"/>
      <c r="CR3" s="6" t="s">
        <v>591</v>
      </c>
      <c r="CS3" s="6"/>
      <c r="CT3" s="6" t="s">
        <v>592</v>
      </c>
      <c r="CU3" s="6"/>
      <c r="CV3" s="6" t="s">
        <v>593</v>
      </c>
      <c r="CW3" s="6"/>
      <c r="CX3" s="6"/>
      <c r="CY3" s="6" t="s">
        <v>591</v>
      </c>
      <c r="CZ3" s="6"/>
      <c r="DA3" s="6" t="s">
        <v>592</v>
      </c>
      <c r="DB3" s="6"/>
      <c r="DC3" s="6" t="s">
        <v>593</v>
      </c>
      <c r="DD3" s="6"/>
      <c r="DE3" s="6"/>
      <c r="DF3" s="6" t="s">
        <v>591</v>
      </c>
      <c r="DG3" s="6"/>
      <c r="DH3" s="6" t="s">
        <v>592</v>
      </c>
      <c r="DI3" s="6"/>
      <c r="DJ3" s="6" t="s">
        <v>593</v>
      </c>
      <c r="DK3" s="6"/>
      <c r="DL3" s="6"/>
      <c r="DM3" s="6" t="s">
        <v>591</v>
      </c>
      <c r="DN3" s="6"/>
      <c r="DO3" s="6" t="s">
        <v>592</v>
      </c>
      <c r="DP3" s="6"/>
      <c r="DQ3" s="6" t="s">
        <v>593</v>
      </c>
      <c r="DR3" s="6"/>
      <c r="DS3" s="6"/>
      <c r="DT3" s="6" t="s">
        <v>591</v>
      </c>
      <c r="DU3" s="6"/>
      <c r="DV3" s="6" t="s">
        <v>592</v>
      </c>
      <c r="DW3" s="6"/>
      <c r="DX3" s="6" t="s">
        <v>593</v>
      </c>
      <c r="DY3" s="6"/>
      <c r="DZ3" s="6"/>
      <c r="EA3" s="6" t="s">
        <v>591</v>
      </c>
      <c r="EB3" s="6"/>
      <c r="EC3" s="6" t="s">
        <v>592</v>
      </c>
      <c r="ED3" s="6"/>
      <c r="EE3" s="6" t="s">
        <v>593</v>
      </c>
      <c r="EF3" s="6"/>
      <c r="EG3" s="6"/>
      <c r="EH3" s="6" t="s">
        <v>591</v>
      </c>
      <c r="EI3" s="6"/>
      <c r="EJ3" s="6" t="s">
        <v>592</v>
      </c>
      <c r="EK3" s="6"/>
      <c r="EL3" s="6" t="s">
        <v>593</v>
      </c>
      <c r="EM3" s="6"/>
      <c r="EN3" s="6"/>
    </row>
    <row r="4" spans="1:144" x14ac:dyDescent="0.25">
      <c r="L4" s="2" t="s">
        <v>31</v>
      </c>
      <c r="M4" s="2" t="s">
        <v>32</v>
      </c>
      <c r="N4" s="2" t="s">
        <v>31</v>
      </c>
      <c r="O4" s="2" t="s">
        <v>32</v>
      </c>
      <c r="P4" s="2" t="s">
        <v>31</v>
      </c>
      <c r="Q4" s="2" t="s">
        <v>32</v>
      </c>
      <c r="R4" s="2" t="s">
        <v>30</v>
      </c>
      <c r="S4" s="2" t="s">
        <v>31</v>
      </c>
      <c r="T4" s="2" t="s">
        <v>32</v>
      </c>
      <c r="U4" s="2" t="s">
        <v>31</v>
      </c>
      <c r="V4" s="2" t="s">
        <v>32</v>
      </c>
      <c r="W4" s="2" t="s">
        <v>31</v>
      </c>
      <c r="X4" s="2" t="s">
        <v>32</v>
      </c>
      <c r="Y4" s="2" t="s">
        <v>30</v>
      </c>
      <c r="Z4" s="2" t="s">
        <v>31</v>
      </c>
      <c r="AA4" s="2" t="s">
        <v>32</v>
      </c>
      <c r="AB4" s="2" t="s">
        <v>31</v>
      </c>
      <c r="AC4" s="2" t="s">
        <v>32</v>
      </c>
      <c r="AD4" s="2" t="s">
        <v>31</v>
      </c>
      <c r="AE4" s="2" t="s">
        <v>32</v>
      </c>
      <c r="AF4" s="2" t="s">
        <v>30</v>
      </c>
      <c r="AG4" s="2" t="s">
        <v>31</v>
      </c>
      <c r="AH4" s="2" t="s">
        <v>32</v>
      </c>
      <c r="AI4" s="2" t="s">
        <v>31</v>
      </c>
      <c r="AJ4" s="2" t="s">
        <v>32</v>
      </c>
      <c r="AK4" s="2" t="s">
        <v>31</v>
      </c>
      <c r="AL4" s="2" t="s">
        <v>32</v>
      </c>
      <c r="AM4" s="2" t="s">
        <v>30</v>
      </c>
      <c r="AN4" s="2" t="s">
        <v>31</v>
      </c>
      <c r="AO4" s="2" t="s">
        <v>32</v>
      </c>
      <c r="AP4" s="2" t="s">
        <v>31</v>
      </c>
      <c r="AQ4" s="2" t="s">
        <v>32</v>
      </c>
      <c r="AR4" s="2" t="s">
        <v>31</v>
      </c>
      <c r="AS4" s="2" t="s">
        <v>32</v>
      </c>
      <c r="AT4" s="2" t="s">
        <v>30</v>
      </c>
      <c r="AU4" s="2" t="s">
        <v>31</v>
      </c>
      <c r="AV4" s="2" t="s">
        <v>32</v>
      </c>
      <c r="AW4" s="2" t="s">
        <v>31</v>
      </c>
      <c r="AX4" s="2" t="s">
        <v>32</v>
      </c>
      <c r="AY4" s="2" t="s">
        <v>31</v>
      </c>
      <c r="AZ4" s="2" t="s">
        <v>32</v>
      </c>
      <c r="BA4" s="2" t="s">
        <v>30</v>
      </c>
      <c r="BB4" s="2" t="s">
        <v>31</v>
      </c>
      <c r="BC4" s="2" t="s">
        <v>32</v>
      </c>
      <c r="BD4" s="2" t="s">
        <v>31</v>
      </c>
      <c r="BE4" s="2" t="s">
        <v>32</v>
      </c>
      <c r="BF4" s="2" t="s">
        <v>31</v>
      </c>
      <c r="BG4" s="2" t="s">
        <v>32</v>
      </c>
      <c r="BH4" s="2" t="s">
        <v>30</v>
      </c>
      <c r="BI4" s="2" t="s">
        <v>31</v>
      </c>
      <c r="BJ4" s="2" t="s">
        <v>32</v>
      </c>
      <c r="BK4" s="2" t="s">
        <v>31</v>
      </c>
      <c r="BL4" s="2" t="s">
        <v>32</v>
      </c>
      <c r="BM4" s="2" t="s">
        <v>31</v>
      </c>
      <c r="BN4" s="2" t="s">
        <v>32</v>
      </c>
      <c r="BO4" s="2" t="s">
        <v>30</v>
      </c>
      <c r="BP4" s="2" t="s">
        <v>31</v>
      </c>
      <c r="BQ4" s="2" t="s">
        <v>32</v>
      </c>
      <c r="BR4" s="2" t="s">
        <v>31</v>
      </c>
      <c r="BS4" s="2" t="s">
        <v>32</v>
      </c>
      <c r="BT4" s="2" t="s">
        <v>31</v>
      </c>
      <c r="BU4" s="2" t="s">
        <v>32</v>
      </c>
      <c r="BV4" s="2" t="s">
        <v>30</v>
      </c>
      <c r="BW4" s="2" t="s">
        <v>31</v>
      </c>
      <c r="BX4" s="2" t="s">
        <v>32</v>
      </c>
      <c r="BY4" s="2" t="s">
        <v>31</v>
      </c>
      <c r="BZ4" s="2" t="s">
        <v>32</v>
      </c>
      <c r="CA4" s="2" t="s">
        <v>31</v>
      </c>
      <c r="CB4" s="2" t="s">
        <v>32</v>
      </c>
      <c r="CC4" s="2" t="s">
        <v>30</v>
      </c>
      <c r="CD4" s="2" t="s">
        <v>31</v>
      </c>
      <c r="CE4" s="2" t="s">
        <v>32</v>
      </c>
      <c r="CF4" s="2" t="s">
        <v>31</v>
      </c>
      <c r="CG4" s="2" t="s">
        <v>32</v>
      </c>
      <c r="CH4" s="2" t="s">
        <v>31</v>
      </c>
      <c r="CI4" s="2" t="s">
        <v>32</v>
      </c>
      <c r="CJ4" s="2" t="s">
        <v>30</v>
      </c>
      <c r="CK4" s="2" t="s">
        <v>31</v>
      </c>
      <c r="CL4" s="2" t="s">
        <v>32</v>
      </c>
      <c r="CM4" s="2" t="s">
        <v>31</v>
      </c>
      <c r="CN4" s="2" t="s">
        <v>32</v>
      </c>
      <c r="CO4" s="2" t="s">
        <v>31</v>
      </c>
      <c r="CP4" s="2" t="s">
        <v>32</v>
      </c>
      <c r="CQ4" s="2" t="s">
        <v>30</v>
      </c>
      <c r="CR4" s="2" t="s">
        <v>31</v>
      </c>
      <c r="CS4" s="2" t="s">
        <v>32</v>
      </c>
      <c r="CT4" s="2" t="s">
        <v>31</v>
      </c>
      <c r="CU4" s="2" t="s">
        <v>32</v>
      </c>
      <c r="CV4" s="2" t="s">
        <v>31</v>
      </c>
      <c r="CW4" s="2" t="s">
        <v>32</v>
      </c>
      <c r="CX4" s="2" t="s">
        <v>30</v>
      </c>
      <c r="CY4" s="2" t="s">
        <v>31</v>
      </c>
      <c r="CZ4" s="2" t="s">
        <v>32</v>
      </c>
      <c r="DA4" s="2" t="s">
        <v>31</v>
      </c>
      <c r="DB4" s="2" t="s">
        <v>32</v>
      </c>
      <c r="DC4" s="2" t="s">
        <v>31</v>
      </c>
      <c r="DD4" s="2" t="s">
        <v>32</v>
      </c>
      <c r="DE4" s="2" t="s">
        <v>30</v>
      </c>
      <c r="DF4" s="2" t="s">
        <v>31</v>
      </c>
      <c r="DG4" s="2" t="s">
        <v>32</v>
      </c>
      <c r="DH4" s="2" t="s">
        <v>31</v>
      </c>
      <c r="DI4" s="2" t="s">
        <v>32</v>
      </c>
      <c r="DJ4" s="2" t="s">
        <v>31</v>
      </c>
      <c r="DK4" s="2" t="s">
        <v>32</v>
      </c>
      <c r="DL4" s="2" t="s">
        <v>30</v>
      </c>
      <c r="DM4" s="2" t="s">
        <v>31</v>
      </c>
      <c r="DN4" s="2" t="s">
        <v>32</v>
      </c>
      <c r="DO4" s="2" t="s">
        <v>31</v>
      </c>
      <c r="DP4" s="2" t="s">
        <v>32</v>
      </c>
      <c r="DQ4" s="2" t="s">
        <v>31</v>
      </c>
      <c r="DR4" s="2" t="s">
        <v>32</v>
      </c>
      <c r="DS4" s="2" t="s">
        <v>30</v>
      </c>
      <c r="DT4" s="2" t="s">
        <v>31</v>
      </c>
      <c r="DU4" s="2" t="s">
        <v>32</v>
      </c>
      <c r="DV4" s="2" t="s">
        <v>31</v>
      </c>
      <c r="DW4" s="2" t="s">
        <v>32</v>
      </c>
      <c r="DX4" s="2" t="s">
        <v>31</v>
      </c>
      <c r="DY4" s="2" t="s">
        <v>32</v>
      </c>
      <c r="DZ4" s="2" t="s">
        <v>30</v>
      </c>
      <c r="EA4" s="2" t="s">
        <v>31</v>
      </c>
      <c r="EB4" s="2" t="s">
        <v>32</v>
      </c>
      <c r="EC4" s="2" t="s">
        <v>31</v>
      </c>
      <c r="ED4" s="2" t="s">
        <v>32</v>
      </c>
      <c r="EE4" s="2" t="s">
        <v>31</v>
      </c>
      <c r="EF4" s="2" t="s">
        <v>32</v>
      </c>
      <c r="EG4" s="2" t="s">
        <v>30</v>
      </c>
      <c r="EH4" s="2" t="s">
        <v>31</v>
      </c>
      <c r="EI4" s="2" t="s">
        <v>32</v>
      </c>
      <c r="EJ4" s="2" t="s">
        <v>31</v>
      </c>
      <c r="EK4" s="2" t="s">
        <v>32</v>
      </c>
      <c r="EL4" s="2" t="s">
        <v>31</v>
      </c>
      <c r="EM4" s="2" t="s">
        <v>32</v>
      </c>
      <c r="EN4" s="2" t="s">
        <v>30</v>
      </c>
    </row>
    <row r="5" spans="1:144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421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43</v>
      </c>
      <c r="L5" s="3" t="s">
        <v>594</v>
      </c>
      <c r="M5" s="3" t="s">
        <v>595</v>
      </c>
      <c r="N5" s="3" t="s">
        <v>596</v>
      </c>
      <c r="O5" s="3" t="s">
        <v>597</v>
      </c>
      <c r="P5" s="3" t="s">
        <v>31</v>
      </c>
      <c r="Q5" s="3" t="s">
        <v>32</v>
      </c>
      <c r="R5" s="3" t="s">
        <v>30</v>
      </c>
      <c r="S5" s="3" t="s">
        <v>598</v>
      </c>
      <c r="T5" s="3" t="s">
        <v>599</v>
      </c>
      <c r="U5" s="3" t="s">
        <v>600</v>
      </c>
      <c r="V5" s="3" t="s">
        <v>601</v>
      </c>
      <c r="W5" s="3" t="s">
        <v>31</v>
      </c>
      <c r="X5" s="3" t="s">
        <v>32</v>
      </c>
      <c r="Y5" s="3" t="s">
        <v>30</v>
      </c>
      <c r="Z5" s="3" t="s">
        <v>602</v>
      </c>
      <c r="AA5" s="3" t="s">
        <v>603</v>
      </c>
      <c r="AB5" s="3" t="s">
        <v>604</v>
      </c>
      <c r="AC5" s="3" t="s">
        <v>605</v>
      </c>
      <c r="AD5" s="3" t="s">
        <v>31</v>
      </c>
      <c r="AE5" s="3" t="s">
        <v>32</v>
      </c>
      <c r="AF5" s="3" t="s">
        <v>30</v>
      </c>
      <c r="AG5" s="3" t="s">
        <v>606</v>
      </c>
      <c r="AH5" s="3" t="s">
        <v>607</v>
      </c>
      <c r="AI5" s="3" t="s">
        <v>608</v>
      </c>
      <c r="AJ5" s="3" t="s">
        <v>609</v>
      </c>
      <c r="AK5" s="3" t="s">
        <v>31</v>
      </c>
      <c r="AL5" s="3" t="s">
        <v>32</v>
      </c>
      <c r="AM5" s="3" t="s">
        <v>30</v>
      </c>
      <c r="AN5" s="3" t="s">
        <v>610</v>
      </c>
      <c r="AO5" s="3" t="s">
        <v>611</v>
      </c>
      <c r="AP5" s="3" t="s">
        <v>612</v>
      </c>
      <c r="AQ5" s="3" t="s">
        <v>613</v>
      </c>
      <c r="AR5" s="3" t="s">
        <v>31</v>
      </c>
      <c r="AS5" s="3" t="s">
        <v>32</v>
      </c>
      <c r="AT5" s="3" t="s">
        <v>30</v>
      </c>
      <c r="AU5" s="3" t="s">
        <v>614</v>
      </c>
      <c r="AV5" s="3" t="s">
        <v>615</v>
      </c>
      <c r="AW5" s="3" t="s">
        <v>616</v>
      </c>
      <c r="AX5" s="3" t="s">
        <v>617</v>
      </c>
      <c r="AY5" s="3" t="s">
        <v>31</v>
      </c>
      <c r="AZ5" s="3" t="s">
        <v>32</v>
      </c>
      <c r="BA5" s="3" t="s">
        <v>30</v>
      </c>
      <c r="BB5" s="3" t="s">
        <v>618</v>
      </c>
      <c r="BC5" s="3" t="s">
        <v>619</v>
      </c>
      <c r="BD5" s="3" t="s">
        <v>620</v>
      </c>
      <c r="BE5" s="3" t="s">
        <v>621</v>
      </c>
      <c r="BF5" s="3" t="s">
        <v>31</v>
      </c>
      <c r="BG5" s="3" t="s">
        <v>32</v>
      </c>
      <c r="BH5" s="3" t="s">
        <v>30</v>
      </c>
      <c r="BI5" s="3" t="s">
        <v>622</v>
      </c>
      <c r="BJ5" s="3" t="s">
        <v>623</v>
      </c>
      <c r="BK5" s="3" t="s">
        <v>624</v>
      </c>
      <c r="BL5" s="3" t="s">
        <v>625</v>
      </c>
      <c r="BM5" s="3" t="s">
        <v>31</v>
      </c>
      <c r="BN5" s="3" t="s">
        <v>32</v>
      </c>
      <c r="BO5" s="3" t="s">
        <v>30</v>
      </c>
      <c r="BP5" s="3" t="s">
        <v>626</v>
      </c>
      <c r="BQ5" s="3" t="s">
        <v>627</v>
      </c>
      <c r="BR5" s="3" t="s">
        <v>628</v>
      </c>
      <c r="BS5" s="3" t="s">
        <v>629</v>
      </c>
      <c r="BT5" s="3" t="s">
        <v>31</v>
      </c>
      <c r="BU5" s="3" t="s">
        <v>32</v>
      </c>
      <c r="BV5" s="3" t="s">
        <v>30</v>
      </c>
      <c r="BW5" s="3" t="s">
        <v>630</v>
      </c>
      <c r="BX5" s="3" t="s">
        <v>631</v>
      </c>
      <c r="BY5" s="3" t="s">
        <v>632</v>
      </c>
      <c r="BZ5" s="3" t="s">
        <v>633</v>
      </c>
      <c r="CA5" s="3" t="s">
        <v>31</v>
      </c>
      <c r="CB5" s="3" t="s">
        <v>32</v>
      </c>
      <c r="CC5" s="3" t="s">
        <v>30</v>
      </c>
      <c r="CD5" s="3" t="s">
        <v>634</v>
      </c>
      <c r="CE5" s="3" t="s">
        <v>635</v>
      </c>
      <c r="CF5" s="3" t="s">
        <v>636</v>
      </c>
      <c r="CG5" s="3" t="s">
        <v>637</v>
      </c>
      <c r="CH5" s="3" t="s">
        <v>31</v>
      </c>
      <c r="CI5" s="3" t="s">
        <v>32</v>
      </c>
      <c r="CJ5" s="3" t="s">
        <v>30</v>
      </c>
      <c r="CK5" s="3" t="s">
        <v>638</v>
      </c>
      <c r="CL5" s="3" t="s">
        <v>639</v>
      </c>
      <c r="CM5" s="3" t="s">
        <v>640</v>
      </c>
      <c r="CN5" s="3" t="s">
        <v>641</v>
      </c>
      <c r="CO5" s="3" t="s">
        <v>31</v>
      </c>
      <c r="CP5" s="3" t="s">
        <v>32</v>
      </c>
      <c r="CQ5" s="3" t="s">
        <v>30</v>
      </c>
      <c r="CR5" s="3" t="s">
        <v>642</v>
      </c>
      <c r="CS5" s="3" t="s">
        <v>643</v>
      </c>
      <c r="CT5" s="3" t="s">
        <v>644</v>
      </c>
      <c r="CU5" s="3" t="s">
        <v>645</v>
      </c>
      <c r="CV5" s="3" t="s">
        <v>31</v>
      </c>
      <c r="CW5" s="3" t="s">
        <v>32</v>
      </c>
      <c r="CX5" s="3" t="s">
        <v>30</v>
      </c>
      <c r="CY5" s="3" t="s">
        <v>646</v>
      </c>
      <c r="CZ5" s="3" t="s">
        <v>647</v>
      </c>
      <c r="DA5" s="3" t="s">
        <v>648</v>
      </c>
      <c r="DB5" s="3" t="s">
        <v>649</v>
      </c>
      <c r="DC5" s="3" t="s">
        <v>31</v>
      </c>
      <c r="DD5" s="3" t="s">
        <v>32</v>
      </c>
      <c r="DE5" s="3" t="s">
        <v>30</v>
      </c>
      <c r="DF5" s="3" t="s">
        <v>650</v>
      </c>
      <c r="DG5" s="3" t="s">
        <v>651</v>
      </c>
      <c r="DH5" s="3" t="s">
        <v>652</v>
      </c>
      <c r="DI5" s="3" t="s">
        <v>653</v>
      </c>
      <c r="DJ5" s="3" t="s">
        <v>31</v>
      </c>
      <c r="DK5" s="3" t="s">
        <v>32</v>
      </c>
      <c r="DL5" s="3" t="s">
        <v>30</v>
      </c>
      <c r="DM5" s="3" t="s">
        <v>654</v>
      </c>
      <c r="DN5" s="3" t="s">
        <v>655</v>
      </c>
      <c r="DO5" s="3" t="s">
        <v>656</v>
      </c>
      <c r="DP5" s="3" t="s">
        <v>657</v>
      </c>
      <c r="DQ5" s="3" t="s">
        <v>31</v>
      </c>
      <c r="DR5" s="3" t="s">
        <v>32</v>
      </c>
      <c r="DS5" s="3" t="s">
        <v>30</v>
      </c>
      <c r="DT5" s="3" t="s">
        <v>658</v>
      </c>
      <c r="DU5" s="3" t="s">
        <v>659</v>
      </c>
      <c r="DV5" s="3" t="s">
        <v>660</v>
      </c>
      <c r="DW5" s="3" t="s">
        <v>661</v>
      </c>
      <c r="DX5" s="3" t="s">
        <v>31</v>
      </c>
      <c r="DY5" s="3" t="s">
        <v>32</v>
      </c>
      <c r="DZ5" s="3" t="s">
        <v>30</v>
      </c>
      <c r="EA5" s="3" t="s">
        <v>662</v>
      </c>
      <c r="EB5" s="3" t="s">
        <v>663</v>
      </c>
      <c r="EC5" s="3" t="s">
        <v>664</v>
      </c>
      <c r="ED5" s="3" t="s">
        <v>665</v>
      </c>
      <c r="EE5" s="3" t="s">
        <v>31</v>
      </c>
      <c r="EF5" s="3" t="s">
        <v>32</v>
      </c>
      <c r="EG5" s="3" t="s">
        <v>30</v>
      </c>
      <c r="EH5" s="5" t="s">
        <v>31</v>
      </c>
      <c r="EI5" s="5" t="s">
        <v>32</v>
      </c>
      <c r="EJ5" s="5" t="s">
        <v>31</v>
      </c>
      <c r="EK5" s="5" t="s">
        <v>32</v>
      </c>
      <c r="EL5" s="3" t="s">
        <v>31</v>
      </c>
      <c r="EM5" s="3" t="s">
        <v>32</v>
      </c>
      <c r="EN5" s="3" t="s">
        <v>30</v>
      </c>
    </row>
    <row r="6" spans="1:144" x14ac:dyDescent="0.25">
      <c r="A6" t="s">
        <v>332</v>
      </c>
      <c r="B6" t="s">
        <v>346</v>
      </c>
      <c r="C6" t="s">
        <v>347</v>
      </c>
      <c r="D6" t="s">
        <v>348</v>
      </c>
      <c r="E6">
        <v>304325</v>
      </c>
      <c r="F6" t="s">
        <v>570</v>
      </c>
      <c r="G6" t="s">
        <v>333</v>
      </c>
      <c r="H6" t="s">
        <v>334</v>
      </c>
      <c r="I6" t="s">
        <v>566</v>
      </c>
      <c r="J6" t="s">
        <v>336</v>
      </c>
      <c r="K6" t="s">
        <v>567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4</v>
      </c>
      <c r="W6">
        <v>0</v>
      </c>
      <c r="X6">
        <v>6</v>
      </c>
      <c r="Y6">
        <v>6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22</v>
      </c>
      <c r="AH6">
        <v>21</v>
      </c>
      <c r="AI6">
        <v>3</v>
      </c>
      <c r="AJ6">
        <v>8</v>
      </c>
      <c r="AK6">
        <v>25</v>
      </c>
      <c r="AL6">
        <v>29</v>
      </c>
      <c r="AM6">
        <v>54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8</v>
      </c>
      <c r="BQ6">
        <v>1</v>
      </c>
      <c r="BR6">
        <v>1</v>
      </c>
      <c r="BS6">
        <v>1</v>
      </c>
      <c r="BT6">
        <v>9</v>
      </c>
      <c r="BU6">
        <v>2</v>
      </c>
      <c r="BV6">
        <v>11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2</v>
      </c>
      <c r="DU6">
        <v>1</v>
      </c>
      <c r="DV6">
        <v>0</v>
      </c>
      <c r="DW6">
        <v>0</v>
      </c>
      <c r="DX6">
        <v>2</v>
      </c>
      <c r="DY6">
        <v>1</v>
      </c>
      <c r="DZ6">
        <v>3</v>
      </c>
      <c r="EA6">
        <v>1</v>
      </c>
      <c r="EB6">
        <v>0</v>
      </c>
      <c r="EC6">
        <v>0</v>
      </c>
      <c r="ED6">
        <v>0</v>
      </c>
      <c r="EE6">
        <v>1</v>
      </c>
      <c r="EF6">
        <v>0</v>
      </c>
      <c r="EG6">
        <v>1</v>
      </c>
      <c r="EH6">
        <v>33</v>
      </c>
      <c r="EI6">
        <v>25</v>
      </c>
      <c r="EJ6">
        <v>4</v>
      </c>
      <c r="EK6">
        <v>13</v>
      </c>
      <c r="EL6">
        <v>37</v>
      </c>
      <c r="EM6">
        <v>38</v>
      </c>
      <c r="EN6">
        <v>75</v>
      </c>
    </row>
    <row r="7" spans="1:144" x14ac:dyDescent="0.25">
      <c r="A7" t="s">
        <v>332</v>
      </c>
      <c r="B7" t="s">
        <v>346</v>
      </c>
      <c r="C7" t="s">
        <v>347</v>
      </c>
      <c r="D7" t="s">
        <v>348</v>
      </c>
      <c r="E7">
        <v>304326</v>
      </c>
      <c r="F7" t="s">
        <v>571</v>
      </c>
      <c r="G7" t="s">
        <v>333</v>
      </c>
      <c r="H7" t="s">
        <v>334</v>
      </c>
      <c r="I7" t="s">
        <v>566</v>
      </c>
      <c r="J7" t="s">
        <v>336</v>
      </c>
      <c r="K7" t="s">
        <v>567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11</v>
      </c>
      <c r="BQ7">
        <v>8</v>
      </c>
      <c r="BR7">
        <v>2</v>
      </c>
      <c r="BS7">
        <v>2</v>
      </c>
      <c r="BT7">
        <v>13</v>
      </c>
      <c r="BU7">
        <v>10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11</v>
      </c>
      <c r="EI7">
        <v>8</v>
      </c>
      <c r="EJ7">
        <v>2</v>
      </c>
      <c r="EK7">
        <v>2</v>
      </c>
      <c r="EL7">
        <v>13</v>
      </c>
      <c r="EM7">
        <v>10</v>
      </c>
      <c r="EN7">
        <v>23</v>
      </c>
    </row>
    <row r="8" spans="1:144" x14ac:dyDescent="0.25">
      <c r="A8" t="s">
        <v>332</v>
      </c>
      <c r="B8" t="s">
        <v>346</v>
      </c>
      <c r="C8" t="s">
        <v>347</v>
      </c>
      <c r="D8" t="s">
        <v>348</v>
      </c>
      <c r="E8">
        <v>325104</v>
      </c>
      <c r="F8" t="s">
        <v>572</v>
      </c>
      <c r="G8" t="s">
        <v>333</v>
      </c>
      <c r="H8" t="s">
        <v>334</v>
      </c>
      <c r="I8" t="s">
        <v>566</v>
      </c>
      <c r="J8" t="s">
        <v>336</v>
      </c>
      <c r="K8" t="s">
        <v>567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0</v>
      </c>
      <c r="DW8">
        <v>1</v>
      </c>
      <c r="DX8">
        <v>1</v>
      </c>
      <c r="DY8">
        <v>2</v>
      </c>
      <c r="DZ8">
        <v>3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3</v>
      </c>
      <c r="EJ8">
        <v>0</v>
      </c>
      <c r="EK8">
        <v>1</v>
      </c>
      <c r="EL8">
        <v>1</v>
      </c>
      <c r="EM8">
        <v>4</v>
      </c>
      <c r="EN8">
        <v>5</v>
      </c>
    </row>
    <row r="9" spans="1:144" x14ac:dyDescent="0.25">
      <c r="A9" t="s">
        <v>332</v>
      </c>
      <c r="B9" t="s">
        <v>346</v>
      </c>
      <c r="C9" t="s">
        <v>347</v>
      </c>
      <c r="D9" t="s">
        <v>348</v>
      </c>
      <c r="E9">
        <v>405423</v>
      </c>
      <c r="F9" t="s">
        <v>361</v>
      </c>
      <c r="G9" t="s">
        <v>338</v>
      </c>
      <c r="H9" t="s">
        <v>339</v>
      </c>
      <c r="I9" t="s">
        <v>340</v>
      </c>
      <c r="J9" t="s">
        <v>336</v>
      </c>
      <c r="K9" t="s">
        <v>341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 x14ac:dyDescent="0.25">
      <c r="A10" t="s">
        <v>332</v>
      </c>
      <c r="B10" t="s">
        <v>346</v>
      </c>
      <c r="C10" t="s">
        <v>347</v>
      </c>
      <c r="D10" t="s">
        <v>348</v>
      </c>
      <c r="E10">
        <v>405424</v>
      </c>
      <c r="F10" t="s">
        <v>573</v>
      </c>
      <c r="G10" t="s">
        <v>338</v>
      </c>
      <c r="H10" t="s">
        <v>339</v>
      </c>
      <c r="I10" t="s">
        <v>566</v>
      </c>
      <c r="J10" t="s">
        <v>336</v>
      </c>
      <c r="K10" t="s">
        <v>567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 x14ac:dyDescent="0.25">
      <c r="A11" t="s">
        <v>332</v>
      </c>
      <c r="B11" t="s">
        <v>346</v>
      </c>
      <c r="C11" t="s">
        <v>347</v>
      </c>
      <c r="D11" t="s">
        <v>348</v>
      </c>
      <c r="E11">
        <v>405812</v>
      </c>
      <c r="F11" t="s">
        <v>668</v>
      </c>
      <c r="G11" t="s">
        <v>342</v>
      </c>
      <c r="H11" t="s">
        <v>339</v>
      </c>
      <c r="I11" t="s">
        <v>666</v>
      </c>
      <c r="J11" t="s">
        <v>336</v>
      </c>
      <c r="K11" t="s">
        <v>667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1</v>
      </c>
      <c r="EM11">
        <v>0</v>
      </c>
      <c r="EN11">
        <v>1</v>
      </c>
    </row>
    <row r="12" spans="1:144" x14ac:dyDescent="0.25">
      <c r="A12" t="s">
        <v>332</v>
      </c>
      <c r="B12" t="s">
        <v>346</v>
      </c>
      <c r="C12" t="s">
        <v>347</v>
      </c>
      <c r="D12" t="s">
        <v>348</v>
      </c>
      <c r="E12">
        <v>407899</v>
      </c>
      <c r="F12" t="s">
        <v>363</v>
      </c>
      <c r="G12" t="s">
        <v>338</v>
      </c>
      <c r="H12" t="s">
        <v>339</v>
      </c>
      <c r="I12" t="s">
        <v>364</v>
      </c>
      <c r="J12" t="s">
        <v>365</v>
      </c>
      <c r="K12" t="s">
        <v>341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 x14ac:dyDescent="0.25">
      <c r="A13" t="s">
        <v>332</v>
      </c>
      <c r="B13" t="s">
        <v>346</v>
      </c>
      <c r="C13" t="s">
        <v>347</v>
      </c>
      <c r="D13" t="s">
        <v>348</v>
      </c>
      <c r="E13">
        <v>410494</v>
      </c>
      <c r="F13" t="s">
        <v>669</v>
      </c>
      <c r="G13" t="s">
        <v>342</v>
      </c>
      <c r="H13" t="s">
        <v>339</v>
      </c>
      <c r="I13" t="s">
        <v>666</v>
      </c>
      <c r="J13" t="s">
        <v>336</v>
      </c>
      <c r="K13" t="s">
        <v>667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2</v>
      </c>
      <c r="W13">
        <v>0</v>
      </c>
      <c r="X13">
        <v>4</v>
      </c>
      <c r="Y13">
        <v>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</v>
      </c>
      <c r="AH13">
        <v>1</v>
      </c>
      <c r="AI13">
        <v>1</v>
      </c>
      <c r="AJ13">
        <v>3</v>
      </c>
      <c r="AK13">
        <v>3</v>
      </c>
      <c r="AL13">
        <v>4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1</v>
      </c>
      <c r="DC13">
        <v>0</v>
      </c>
      <c r="DD13">
        <v>2</v>
      </c>
      <c r="DE13">
        <v>2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3</v>
      </c>
      <c r="EI13">
        <v>4</v>
      </c>
      <c r="EJ13">
        <v>1</v>
      </c>
      <c r="EK13">
        <v>6</v>
      </c>
      <c r="EL13">
        <v>4</v>
      </c>
      <c r="EM13">
        <v>10</v>
      </c>
      <c r="EN13">
        <v>14</v>
      </c>
    </row>
    <row r="14" spans="1:144" x14ac:dyDescent="0.25">
      <c r="A14" t="s">
        <v>332</v>
      </c>
      <c r="B14" t="s">
        <v>346</v>
      </c>
      <c r="C14" t="s">
        <v>347</v>
      </c>
      <c r="D14" t="s">
        <v>348</v>
      </c>
      <c r="E14">
        <v>465506</v>
      </c>
      <c r="F14" t="s">
        <v>366</v>
      </c>
      <c r="G14" t="s">
        <v>342</v>
      </c>
      <c r="H14" t="s">
        <v>339</v>
      </c>
      <c r="I14" t="s">
        <v>340</v>
      </c>
      <c r="J14" t="s">
        <v>336</v>
      </c>
      <c r="K14" t="s">
        <v>341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1</v>
      </c>
      <c r="EK14">
        <v>0</v>
      </c>
      <c r="EL14">
        <v>1</v>
      </c>
      <c r="EM14">
        <v>0</v>
      </c>
      <c r="EN14">
        <v>1</v>
      </c>
    </row>
    <row r="15" spans="1:144" x14ac:dyDescent="0.25">
      <c r="A15" t="s">
        <v>332</v>
      </c>
      <c r="B15" t="s">
        <v>346</v>
      </c>
      <c r="C15" t="s">
        <v>347</v>
      </c>
      <c r="D15" t="s">
        <v>348</v>
      </c>
      <c r="E15">
        <v>500454</v>
      </c>
      <c r="F15" t="s">
        <v>367</v>
      </c>
      <c r="G15" t="s">
        <v>333</v>
      </c>
      <c r="H15" t="s">
        <v>334</v>
      </c>
      <c r="I15" t="s">
        <v>340</v>
      </c>
      <c r="J15" t="s">
        <v>336</v>
      </c>
      <c r="K15" t="s">
        <v>341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4" x14ac:dyDescent="0.25">
      <c r="A16" t="s">
        <v>332</v>
      </c>
      <c r="B16" t="s">
        <v>346</v>
      </c>
      <c r="C16" t="s">
        <v>347</v>
      </c>
      <c r="D16" t="s">
        <v>348</v>
      </c>
      <c r="E16">
        <v>501424</v>
      </c>
      <c r="F16" t="s">
        <v>368</v>
      </c>
      <c r="G16" t="s">
        <v>333</v>
      </c>
      <c r="H16" t="s">
        <v>334</v>
      </c>
      <c r="I16" t="s">
        <v>340</v>
      </c>
      <c r="J16" t="s">
        <v>336</v>
      </c>
      <c r="K16" t="s">
        <v>341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1</v>
      </c>
      <c r="EM16">
        <v>0</v>
      </c>
      <c r="EN16">
        <v>1</v>
      </c>
    </row>
    <row r="17" spans="1:144" x14ac:dyDescent="0.25">
      <c r="A17" t="s">
        <v>332</v>
      </c>
      <c r="B17" t="s">
        <v>346</v>
      </c>
      <c r="C17" t="s">
        <v>347</v>
      </c>
      <c r="D17" t="s">
        <v>348</v>
      </c>
      <c r="E17">
        <v>304303</v>
      </c>
      <c r="F17" t="s">
        <v>574</v>
      </c>
      <c r="G17" t="s">
        <v>333</v>
      </c>
      <c r="H17" t="s">
        <v>334</v>
      </c>
      <c r="I17" t="s">
        <v>566</v>
      </c>
      <c r="J17" t="s">
        <v>336</v>
      </c>
      <c r="K17" t="s">
        <v>567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</row>
    <row r="18" spans="1:144" x14ac:dyDescent="0.25">
      <c r="A18" t="s">
        <v>332</v>
      </c>
      <c r="B18" t="s">
        <v>346</v>
      </c>
      <c r="C18" t="s">
        <v>347</v>
      </c>
      <c r="D18" t="s">
        <v>348</v>
      </c>
      <c r="E18">
        <v>304305</v>
      </c>
      <c r="F18" t="s">
        <v>575</v>
      </c>
      <c r="G18" t="s">
        <v>333</v>
      </c>
      <c r="H18" t="s">
        <v>334</v>
      </c>
      <c r="I18" t="s">
        <v>566</v>
      </c>
      <c r="J18" t="s">
        <v>336</v>
      </c>
      <c r="K18" t="s">
        <v>567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</row>
    <row r="19" spans="1:144" x14ac:dyDescent="0.25">
      <c r="A19" t="s">
        <v>332</v>
      </c>
      <c r="B19" t="s">
        <v>346</v>
      </c>
      <c r="C19" t="s">
        <v>347</v>
      </c>
      <c r="D19" t="s">
        <v>348</v>
      </c>
      <c r="E19">
        <v>304314</v>
      </c>
      <c r="F19" t="s">
        <v>576</v>
      </c>
      <c r="G19" t="s">
        <v>333</v>
      </c>
      <c r="H19" t="s">
        <v>334</v>
      </c>
      <c r="I19" t="s">
        <v>566</v>
      </c>
      <c r="J19" t="s">
        <v>336</v>
      </c>
      <c r="K19" t="s">
        <v>567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1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3</v>
      </c>
      <c r="EJ19">
        <v>0</v>
      </c>
      <c r="EK19">
        <v>0</v>
      </c>
      <c r="EL19">
        <v>1</v>
      </c>
      <c r="EM19">
        <v>3</v>
      </c>
      <c r="EN19">
        <v>4</v>
      </c>
    </row>
    <row r="20" spans="1:144" x14ac:dyDescent="0.25">
      <c r="A20" t="s">
        <v>332</v>
      </c>
      <c r="B20" t="s">
        <v>346</v>
      </c>
      <c r="C20" t="s">
        <v>347</v>
      </c>
      <c r="D20" t="s">
        <v>348</v>
      </c>
      <c r="E20">
        <v>304327</v>
      </c>
      <c r="F20" t="s">
        <v>577</v>
      </c>
      <c r="G20" t="s">
        <v>333</v>
      </c>
      <c r="H20" t="s">
        <v>334</v>
      </c>
      <c r="I20" t="s">
        <v>566</v>
      </c>
      <c r="J20" t="s">
        <v>336</v>
      </c>
      <c r="K20" t="s">
        <v>567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1</v>
      </c>
      <c r="EL20">
        <v>1</v>
      </c>
      <c r="EM20">
        <v>1</v>
      </c>
      <c r="EN20">
        <v>2</v>
      </c>
    </row>
    <row r="21" spans="1:144" x14ac:dyDescent="0.25">
      <c r="A21" t="s">
        <v>332</v>
      </c>
      <c r="B21" t="s">
        <v>346</v>
      </c>
      <c r="C21" t="s">
        <v>347</v>
      </c>
      <c r="D21" t="s">
        <v>348</v>
      </c>
      <c r="E21">
        <v>304328</v>
      </c>
      <c r="F21" t="s">
        <v>578</v>
      </c>
      <c r="G21" t="s">
        <v>333</v>
      </c>
      <c r="H21" t="s">
        <v>334</v>
      </c>
      <c r="I21" t="s">
        <v>566</v>
      </c>
      <c r="J21" t="s">
        <v>336</v>
      </c>
      <c r="K21" t="s">
        <v>567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</row>
    <row r="22" spans="1:144" x14ac:dyDescent="0.25">
      <c r="A22" t="s">
        <v>332</v>
      </c>
      <c r="B22" t="s">
        <v>346</v>
      </c>
      <c r="C22" t="s">
        <v>347</v>
      </c>
      <c r="D22" t="s">
        <v>348</v>
      </c>
      <c r="E22">
        <v>304338</v>
      </c>
      <c r="F22" t="s">
        <v>579</v>
      </c>
      <c r="G22" t="s">
        <v>333</v>
      </c>
      <c r="H22" t="s">
        <v>334</v>
      </c>
      <c r="I22" t="s">
        <v>566</v>
      </c>
      <c r="J22" t="s">
        <v>336</v>
      </c>
      <c r="K22" t="s">
        <v>567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</row>
    <row r="23" spans="1:144" x14ac:dyDescent="0.25">
      <c r="A23" t="s">
        <v>332</v>
      </c>
      <c r="B23" t="s">
        <v>346</v>
      </c>
      <c r="C23" t="s">
        <v>347</v>
      </c>
      <c r="D23" t="s">
        <v>348</v>
      </c>
      <c r="E23">
        <v>305680</v>
      </c>
      <c r="F23" t="s">
        <v>580</v>
      </c>
      <c r="G23" t="s">
        <v>333</v>
      </c>
      <c r="H23" t="s">
        <v>334</v>
      </c>
      <c r="I23" t="s">
        <v>566</v>
      </c>
      <c r="J23" t="s">
        <v>336</v>
      </c>
      <c r="K23" t="s">
        <v>567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0</v>
      </c>
      <c r="DD23">
        <v>1</v>
      </c>
      <c r="DE23">
        <v>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1</v>
      </c>
      <c r="EN23">
        <v>1</v>
      </c>
    </row>
    <row r="24" spans="1:144" x14ac:dyDescent="0.25">
      <c r="A24" t="s">
        <v>332</v>
      </c>
      <c r="B24" t="s">
        <v>346</v>
      </c>
      <c r="C24" t="s">
        <v>347</v>
      </c>
      <c r="D24" t="s">
        <v>348</v>
      </c>
      <c r="E24">
        <v>316104</v>
      </c>
      <c r="F24" t="s">
        <v>581</v>
      </c>
      <c r="G24" t="s">
        <v>333</v>
      </c>
      <c r="H24" t="s">
        <v>334</v>
      </c>
      <c r="I24" t="s">
        <v>566</v>
      </c>
      <c r="J24" t="s">
        <v>336</v>
      </c>
      <c r="K24" t="s">
        <v>567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1</v>
      </c>
    </row>
    <row r="25" spans="1:144" x14ac:dyDescent="0.25">
      <c r="A25" t="s">
        <v>332</v>
      </c>
      <c r="B25" t="s">
        <v>346</v>
      </c>
      <c r="C25" t="s">
        <v>347</v>
      </c>
      <c r="D25" t="s">
        <v>348</v>
      </c>
      <c r="E25">
        <v>325102</v>
      </c>
      <c r="F25" t="s">
        <v>583</v>
      </c>
      <c r="G25" t="s">
        <v>333</v>
      </c>
      <c r="H25" t="s">
        <v>334</v>
      </c>
      <c r="I25" t="s">
        <v>566</v>
      </c>
      <c r="J25" t="s">
        <v>336</v>
      </c>
      <c r="K25" t="s">
        <v>567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1</v>
      </c>
      <c r="EN25">
        <v>1</v>
      </c>
    </row>
    <row r="26" spans="1:144" x14ac:dyDescent="0.25">
      <c r="A26" t="s">
        <v>332</v>
      </c>
      <c r="B26" t="s">
        <v>346</v>
      </c>
      <c r="C26" t="s">
        <v>347</v>
      </c>
      <c r="D26" t="s">
        <v>348</v>
      </c>
      <c r="E26">
        <v>325106</v>
      </c>
      <c r="F26" t="s">
        <v>584</v>
      </c>
      <c r="G26" t="s">
        <v>333</v>
      </c>
      <c r="H26" t="s">
        <v>334</v>
      </c>
      <c r="I26" t="s">
        <v>566</v>
      </c>
      <c r="J26" t="s">
        <v>336</v>
      </c>
      <c r="K26" t="s">
        <v>567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</row>
    <row r="27" spans="1:144" x14ac:dyDescent="0.25">
      <c r="A27" t="s">
        <v>332</v>
      </c>
      <c r="B27" t="s">
        <v>346</v>
      </c>
      <c r="C27" t="s">
        <v>347</v>
      </c>
      <c r="D27" t="s">
        <v>348</v>
      </c>
      <c r="E27">
        <v>465513</v>
      </c>
      <c r="F27" t="s">
        <v>394</v>
      </c>
      <c r="G27" t="s">
        <v>342</v>
      </c>
      <c r="H27" t="s">
        <v>339</v>
      </c>
      <c r="I27" t="s">
        <v>395</v>
      </c>
      <c r="J27" t="s">
        <v>336</v>
      </c>
      <c r="K27" t="s">
        <v>341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2</v>
      </c>
      <c r="EC27">
        <v>0</v>
      </c>
      <c r="ED27">
        <v>0</v>
      </c>
      <c r="EE27">
        <v>1</v>
      </c>
      <c r="EF27">
        <v>2</v>
      </c>
      <c r="EG27">
        <v>3</v>
      </c>
      <c r="EH27">
        <v>1</v>
      </c>
      <c r="EI27">
        <v>2</v>
      </c>
      <c r="EJ27">
        <v>0</v>
      </c>
      <c r="EK27">
        <v>0</v>
      </c>
      <c r="EL27">
        <v>1</v>
      </c>
      <c r="EM27">
        <v>2</v>
      </c>
      <c r="EN27">
        <v>3</v>
      </c>
    </row>
    <row r="28" spans="1:144" x14ac:dyDescent="0.25">
      <c r="A28" t="s">
        <v>332</v>
      </c>
      <c r="B28" t="s">
        <v>346</v>
      </c>
      <c r="C28" t="s">
        <v>347</v>
      </c>
      <c r="D28" t="s">
        <v>348</v>
      </c>
      <c r="E28">
        <v>465900</v>
      </c>
      <c r="F28" t="s">
        <v>398</v>
      </c>
      <c r="G28" t="s">
        <v>342</v>
      </c>
      <c r="H28" t="s">
        <v>339</v>
      </c>
      <c r="I28" t="s">
        <v>340</v>
      </c>
      <c r="J28" t="s">
        <v>336</v>
      </c>
      <c r="K28" t="s">
        <v>341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</row>
    <row r="29" spans="1:144" x14ac:dyDescent="0.25">
      <c r="A29" t="s">
        <v>332</v>
      </c>
      <c r="B29" t="s">
        <v>346</v>
      </c>
      <c r="C29" t="s">
        <v>347</v>
      </c>
      <c r="D29" t="s">
        <v>348</v>
      </c>
      <c r="E29">
        <v>304313</v>
      </c>
      <c r="F29" t="s">
        <v>585</v>
      </c>
      <c r="G29" t="s">
        <v>333</v>
      </c>
      <c r="H29" t="s">
        <v>334</v>
      </c>
      <c r="I29" t="s">
        <v>566</v>
      </c>
      <c r="J29" t="s">
        <v>365</v>
      </c>
      <c r="K29" t="s">
        <v>567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</v>
      </c>
      <c r="AI29">
        <v>0</v>
      </c>
      <c r="AJ29">
        <v>0</v>
      </c>
      <c r="AK29">
        <v>0</v>
      </c>
      <c r="AL29">
        <v>2</v>
      </c>
      <c r="AM29">
        <v>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3</v>
      </c>
      <c r="EJ29">
        <v>0</v>
      </c>
      <c r="EK29">
        <v>0</v>
      </c>
      <c r="EL29">
        <v>1</v>
      </c>
      <c r="EM29">
        <v>3</v>
      </c>
      <c r="EN29">
        <v>4</v>
      </c>
    </row>
    <row r="30" spans="1:144" x14ac:dyDescent="0.25">
      <c r="A30" t="s">
        <v>332</v>
      </c>
      <c r="B30" t="s">
        <v>346</v>
      </c>
      <c r="C30" t="s">
        <v>347</v>
      </c>
      <c r="D30" t="s">
        <v>348</v>
      </c>
      <c r="E30">
        <v>304318</v>
      </c>
      <c r="F30" t="s">
        <v>586</v>
      </c>
      <c r="G30" t="s">
        <v>333</v>
      </c>
      <c r="H30" t="s">
        <v>334</v>
      </c>
      <c r="I30" t="s">
        <v>566</v>
      </c>
      <c r="J30" t="s">
        <v>336</v>
      </c>
      <c r="K30" t="s">
        <v>567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</v>
      </c>
      <c r="W30">
        <v>0</v>
      </c>
      <c r="X30">
        <v>2</v>
      </c>
      <c r="Y30">
        <v>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1</v>
      </c>
      <c r="EI30">
        <v>0</v>
      </c>
      <c r="EJ30">
        <v>0</v>
      </c>
      <c r="EK30">
        <v>2</v>
      </c>
      <c r="EL30">
        <v>1</v>
      </c>
      <c r="EM30">
        <v>2</v>
      </c>
      <c r="EN30">
        <v>3</v>
      </c>
    </row>
    <row r="31" spans="1:144" x14ac:dyDescent="0.25">
      <c r="A31" t="s">
        <v>332</v>
      </c>
      <c r="B31" t="s">
        <v>346</v>
      </c>
      <c r="C31" t="s">
        <v>347</v>
      </c>
      <c r="D31" t="s">
        <v>348</v>
      </c>
      <c r="E31">
        <v>325105</v>
      </c>
      <c r="F31" t="s">
        <v>587</v>
      </c>
      <c r="G31" t="s">
        <v>333</v>
      </c>
      <c r="H31" t="s">
        <v>334</v>
      </c>
      <c r="I31" t="s">
        <v>566</v>
      </c>
      <c r="J31" t="s">
        <v>365</v>
      </c>
      <c r="K31" t="s">
        <v>567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</v>
      </c>
      <c r="DU31">
        <v>0</v>
      </c>
      <c r="DV31">
        <v>0</v>
      </c>
      <c r="DW31">
        <v>0</v>
      </c>
      <c r="DX31">
        <v>2</v>
      </c>
      <c r="DY31">
        <v>0</v>
      </c>
      <c r="DZ31">
        <v>2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4</v>
      </c>
      <c r="EI31">
        <v>0</v>
      </c>
      <c r="EJ31">
        <v>0</v>
      </c>
      <c r="EK31">
        <v>0</v>
      </c>
      <c r="EL31">
        <v>4</v>
      </c>
      <c r="EM31">
        <v>0</v>
      </c>
      <c r="EN31">
        <v>4</v>
      </c>
    </row>
    <row r="32" spans="1:144" x14ac:dyDescent="0.25">
      <c r="A32" t="s">
        <v>332</v>
      </c>
      <c r="B32" t="s">
        <v>346</v>
      </c>
      <c r="C32" t="s">
        <v>347</v>
      </c>
      <c r="D32" t="s">
        <v>348</v>
      </c>
      <c r="E32">
        <v>501087</v>
      </c>
      <c r="F32" t="s">
        <v>413</v>
      </c>
      <c r="G32" t="s">
        <v>333</v>
      </c>
      <c r="H32" t="s">
        <v>334</v>
      </c>
      <c r="I32" t="s">
        <v>340</v>
      </c>
      <c r="J32" t="s">
        <v>336</v>
      </c>
      <c r="K32" t="s">
        <v>341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</row>
    <row r="33" spans="1:144" x14ac:dyDescent="0.25">
      <c r="A33" t="s">
        <v>332</v>
      </c>
      <c r="B33" t="s">
        <v>346</v>
      </c>
      <c r="C33" t="s">
        <v>347</v>
      </c>
      <c r="D33" t="s">
        <v>348</v>
      </c>
      <c r="E33">
        <v>306039</v>
      </c>
      <c r="F33" t="s">
        <v>588</v>
      </c>
      <c r="G33" t="s">
        <v>333</v>
      </c>
      <c r="H33" t="s">
        <v>334</v>
      </c>
      <c r="I33" t="s">
        <v>566</v>
      </c>
      <c r="J33" t="s">
        <v>336</v>
      </c>
      <c r="K33" t="s">
        <v>567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1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1</v>
      </c>
      <c r="EJ33">
        <v>0</v>
      </c>
      <c r="EK33">
        <v>0</v>
      </c>
      <c r="EL33">
        <v>1</v>
      </c>
      <c r="EM33">
        <v>1</v>
      </c>
      <c r="EN33">
        <v>2</v>
      </c>
    </row>
  </sheetData>
  <sheetProtection algorithmName="SHA-512" hashValue="hZIVYVKsoJCA10UzBn8tzodNykSSMoA2wntIx82b/5p12GkiXeJo6joWvz/SsCaGJFmVwiQ2aLY//dHobmoRuw==" saltValue="IRnf4Pvd2k8kG9MSIZcwEg==" spinCount="100000" sheet="1" objects="1" scenarios="1"/>
  <mergeCells count="76">
    <mergeCell ref="CK2:CQ2"/>
    <mergeCell ref="L2:R2"/>
    <mergeCell ref="S2:Y2"/>
    <mergeCell ref="Z2:AF2"/>
    <mergeCell ref="AG2:AM2"/>
    <mergeCell ref="AN2:AT2"/>
    <mergeCell ref="AU2:BA2"/>
    <mergeCell ref="BB2:BH2"/>
    <mergeCell ref="BI2:BO2"/>
    <mergeCell ref="BP2:BV2"/>
    <mergeCell ref="BW2:CC2"/>
    <mergeCell ref="CD2:CJ2"/>
    <mergeCell ref="EH2:EN2"/>
    <mergeCell ref="L3:M3"/>
    <mergeCell ref="N3:O3"/>
    <mergeCell ref="P3:R3"/>
    <mergeCell ref="S3:T3"/>
    <mergeCell ref="U3:V3"/>
    <mergeCell ref="W3:Y3"/>
    <mergeCell ref="Z3:AA3"/>
    <mergeCell ref="AB3:AC3"/>
    <mergeCell ref="AD3:AF3"/>
    <mergeCell ref="CR2:CX2"/>
    <mergeCell ref="CY2:DE2"/>
    <mergeCell ref="DF2:DL2"/>
    <mergeCell ref="DM2:DS2"/>
    <mergeCell ref="DT2:DZ2"/>
    <mergeCell ref="EA2:EG2"/>
    <mergeCell ref="BF3:BH3"/>
    <mergeCell ref="AG3:AH3"/>
    <mergeCell ref="AI3:AJ3"/>
    <mergeCell ref="AK3:AM3"/>
    <mergeCell ref="AN3:AO3"/>
    <mergeCell ref="AP3:AQ3"/>
    <mergeCell ref="AR3:AT3"/>
    <mergeCell ref="AU3:AV3"/>
    <mergeCell ref="AW3:AX3"/>
    <mergeCell ref="AY3:BA3"/>
    <mergeCell ref="BB3:BC3"/>
    <mergeCell ref="BD3:BE3"/>
    <mergeCell ref="CH3:CJ3"/>
    <mergeCell ref="BI3:BJ3"/>
    <mergeCell ref="BK3:BL3"/>
    <mergeCell ref="BM3:BO3"/>
    <mergeCell ref="BP3:BQ3"/>
    <mergeCell ref="BR3:BS3"/>
    <mergeCell ref="BT3:BV3"/>
    <mergeCell ref="BW3:BX3"/>
    <mergeCell ref="BY3:BZ3"/>
    <mergeCell ref="CA3:CC3"/>
    <mergeCell ref="CD3:CE3"/>
    <mergeCell ref="CF3:CG3"/>
    <mergeCell ref="DJ3:DL3"/>
    <mergeCell ref="CK3:CL3"/>
    <mergeCell ref="CM3:CN3"/>
    <mergeCell ref="CO3:CQ3"/>
    <mergeCell ref="CR3:CS3"/>
    <mergeCell ref="CT3:CU3"/>
    <mergeCell ref="CV3:CX3"/>
    <mergeCell ref="CY3:CZ3"/>
    <mergeCell ref="DA3:DB3"/>
    <mergeCell ref="DC3:DE3"/>
    <mergeCell ref="DF3:DG3"/>
    <mergeCell ref="DH3:DI3"/>
    <mergeCell ref="EL3:EN3"/>
    <mergeCell ref="DM3:DN3"/>
    <mergeCell ref="DO3:DP3"/>
    <mergeCell ref="DQ3:DS3"/>
    <mergeCell ref="DT3:DU3"/>
    <mergeCell ref="DV3:DW3"/>
    <mergeCell ref="DX3:DZ3"/>
    <mergeCell ref="EA3:EB3"/>
    <mergeCell ref="EC3:ED3"/>
    <mergeCell ref="EE3:EG3"/>
    <mergeCell ref="EH3:EI3"/>
    <mergeCell ref="EJ3:E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098E-4542-4C20-B699-5EC4D7C37BC1}">
  <dimension ref="A1:AA72"/>
  <sheetViews>
    <sheetView topLeftCell="A4" zoomScale="90" zoomScaleNormal="90" workbookViewId="0">
      <selection activeCell="C33" sqref="C33"/>
    </sheetView>
  </sheetViews>
  <sheetFormatPr defaultColWidth="0" defaultRowHeight="15" x14ac:dyDescent="0.25"/>
  <cols>
    <col min="1" max="1" width="3.5703125" customWidth="1"/>
    <col min="2" max="2" width="34.85546875" customWidth="1"/>
    <col min="3" max="11" width="7.85546875" customWidth="1"/>
    <col min="12" max="12" width="3.140625" customWidth="1"/>
    <col min="13" max="27" width="0" hidden="1" customWidth="1"/>
    <col min="28" max="16384" width="9.140625" hidden="1"/>
  </cols>
  <sheetData>
    <row r="1" spans="1:13" x14ac:dyDescent="0.25">
      <c r="A1" s="9" t="s">
        <v>670</v>
      </c>
    </row>
    <row r="2" spans="1:13" x14ac:dyDescent="0.25">
      <c r="A2" s="3" t="s">
        <v>1</v>
      </c>
    </row>
    <row r="3" spans="1:13" x14ac:dyDescent="0.25">
      <c r="A3" s="10" t="s">
        <v>21</v>
      </c>
    </row>
    <row r="4" spans="1:13" x14ac:dyDescent="0.25">
      <c r="H4" s="3" t="s">
        <v>671</v>
      </c>
      <c r="I4" s="11"/>
      <c r="J4" s="11"/>
      <c r="K4" s="11"/>
    </row>
    <row r="5" spans="1:13" ht="15.75" thickBot="1" x14ac:dyDescent="0.3">
      <c r="B5" s="3" t="s">
        <v>672</v>
      </c>
      <c r="M5" s="12" t="s">
        <v>673</v>
      </c>
    </row>
    <row r="6" spans="1:13" x14ac:dyDescent="0.25">
      <c r="B6" s="13"/>
      <c r="C6" s="14" t="s">
        <v>674</v>
      </c>
      <c r="D6" s="15"/>
      <c r="E6" s="16"/>
      <c r="F6" s="17" t="s">
        <v>675</v>
      </c>
      <c r="G6" s="18"/>
      <c r="H6" s="19"/>
      <c r="I6" s="20" t="s">
        <v>676</v>
      </c>
      <c r="J6" s="21"/>
      <c r="K6" s="22"/>
      <c r="M6" s="12" t="s">
        <v>677</v>
      </c>
    </row>
    <row r="7" spans="1:13" ht="15.75" thickBot="1" x14ac:dyDescent="0.3">
      <c r="B7" s="23"/>
      <c r="C7" s="24" t="s">
        <v>31</v>
      </c>
      <c r="D7" s="25" t="s">
        <v>32</v>
      </c>
      <c r="E7" s="26" t="s">
        <v>30</v>
      </c>
      <c r="F7" s="27" t="s">
        <v>31</v>
      </c>
      <c r="G7" s="25" t="s">
        <v>32</v>
      </c>
      <c r="H7" s="28" t="s">
        <v>30</v>
      </c>
      <c r="I7" s="24" t="s">
        <v>31</v>
      </c>
      <c r="J7" s="25" t="s">
        <v>32</v>
      </c>
      <c r="K7" s="29" t="s">
        <v>30</v>
      </c>
      <c r="M7" s="12" t="s">
        <v>678</v>
      </c>
    </row>
    <row r="8" spans="1:13" x14ac:dyDescent="0.25">
      <c r="B8" s="30" t="s">
        <v>2</v>
      </c>
      <c r="C8" s="31">
        <f>C31+C54</f>
        <v>2</v>
      </c>
      <c r="D8" s="32">
        <f>D31+D54</f>
        <v>2</v>
      </c>
      <c r="E8" s="33">
        <f>SUM(C8:D8)</f>
        <v>4</v>
      </c>
      <c r="F8" s="34">
        <f>F31+F54</f>
        <v>1</v>
      </c>
      <c r="G8" s="32">
        <f>G31+G54</f>
        <v>3</v>
      </c>
      <c r="H8" s="35">
        <f>SUM(F8:G8)</f>
        <v>4</v>
      </c>
      <c r="I8" s="31">
        <f>I31+I54</f>
        <v>0</v>
      </c>
      <c r="J8" s="32">
        <f>J31+J54</f>
        <v>0</v>
      </c>
      <c r="K8" s="36">
        <f>SUM(I8:J8)</f>
        <v>0</v>
      </c>
      <c r="M8" s="12" t="s">
        <v>679</v>
      </c>
    </row>
    <row r="9" spans="1:13" x14ac:dyDescent="0.25">
      <c r="B9" s="37" t="s">
        <v>3</v>
      </c>
      <c r="C9" s="38">
        <f t="shared" ref="C9:D24" si="0">C32+C55</f>
        <v>0</v>
      </c>
      <c r="D9" s="39">
        <f t="shared" si="0"/>
        <v>6</v>
      </c>
      <c r="E9" s="40">
        <f t="shared" ref="E9:E25" si="1">SUM(C9:D9)</f>
        <v>6</v>
      </c>
      <c r="F9" s="41">
        <f t="shared" ref="F9:G24" si="2">F32+F55</f>
        <v>7</v>
      </c>
      <c r="G9" s="39">
        <f t="shared" si="2"/>
        <v>46</v>
      </c>
      <c r="H9" s="42">
        <f t="shared" ref="H9:H25" si="3">SUM(F9:G9)</f>
        <v>53</v>
      </c>
      <c r="I9" s="38">
        <f t="shared" ref="I9:J24" si="4">I32+I55</f>
        <v>0</v>
      </c>
      <c r="J9" s="39">
        <f t="shared" si="4"/>
        <v>15</v>
      </c>
      <c r="K9" s="43">
        <f t="shared" ref="K9:K25" si="5">SUM(I9:J9)</f>
        <v>15</v>
      </c>
      <c r="M9" s="12" t="s">
        <v>680</v>
      </c>
    </row>
    <row r="10" spans="1:13" x14ac:dyDescent="0.25">
      <c r="B10" s="37" t="s">
        <v>4</v>
      </c>
      <c r="C10" s="38">
        <f t="shared" si="0"/>
        <v>54</v>
      </c>
      <c r="D10" s="39">
        <f t="shared" si="0"/>
        <v>18</v>
      </c>
      <c r="E10" s="40">
        <f t="shared" si="1"/>
        <v>72</v>
      </c>
      <c r="F10" s="41">
        <f t="shared" si="2"/>
        <v>7</v>
      </c>
      <c r="G10" s="39">
        <f t="shared" si="2"/>
        <v>2</v>
      </c>
      <c r="H10" s="42">
        <f t="shared" si="3"/>
        <v>9</v>
      </c>
      <c r="I10" s="38">
        <f t="shared" si="4"/>
        <v>0</v>
      </c>
      <c r="J10" s="39">
        <f t="shared" si="4"/>
        <v>0</v>
      </c>
      <c r="K10" s="43">
        <f t="shared" si="5"/>
        <v>0</v>
      </c>
      <c r="M10" s="12" t="s">
        <v>681</v>
      </c>
    </row>
    <row r="11" spans="1:13" x14ac:dyDescent="0.25">
      <c r="B11" s="37" t="s">
        <v>5</v>
      </c>
      <c r="C11" s="38">
        <f t="shared" si="0"/>
        <v>80</v>
      </c>
      <c r="D11" s="39">
        <f t="shared" si="0"/>
        <v>31</v>
      </c>
      <c r="E11" s="40">
        <f t="shared" si="1"/>
        <v>111</v>
      </c>
      <c r="F11" s="41">
        <f t="shared" si="2"/>
        <v>72</v>
      </c>
      <c r="G11" s="39">
        <f t="shared" si="2"/>
        <v>38</v>
      </c>
      <c r="H11" s="42">
        <f t="shared" si="3"/>
        <v>110</v>
      </c>
      <c r="I11" s="38">
        <f t="shared" si="4"/>
        <v>31</v>
      </c>
      <c r="J11" s="39">
        <f t="shared" si="4"/>
        <v>36</v>
      </c>
      <c r="K11" s="43">
        <f t="shared" si="5"/>
        <v>67</v>
      </c>
      <c r="M11" s="12" t="s">
        <v>682</v>
      </c>
    </row>
    <row r="12" spans="1:13" x14ac:dyDescent="0.25">
      <c r="B12" s="37" t="s">
        <v>6</v>
      </c>
      <c r="C12" s="38">
        <f t="shared" si="0"/>
        <v>11</v>
      </c>
      <c r="D12" s="39">
        <f t="shared" si="0"/>
        <v>4</v>
      </c>
      <c r="E12" s="40">
        <f t="shared" si="1"/>
        <v>15</v>
      </c>
      <c r="F12" s="41">
        <f t="shared" si="2"/>
        <v>28</v>
      </c>
      <c r="G12" s="39">
        <f t="shared" si="2"/>
        <v>23</v>
      </c>
      <c r="H12" s="42">
        <f t="shared" si="3"/>
        <v>51</v>
      </c>
      <c r="I12" s="38">
        <f t="shared" si="4"/>
        <v>2</v>
      </c>
      <c r="J12" s="39">
        <f t="shared" si="4"/>
        <v>2</v>
      </c>
      <c r="K12" s="43">
        <f t="shared" si="5"/>
        <v>4</v>
      </c>
      <c r="M12" s="12" t="s">
        <v>683</v>
      </c>
    </row>
    <row r="13" spans="1:13" x14ac:dyDescent="0.25">
      <c r="B13" s="37" t="s">
        <v>7</v>
      </c>
      <c r="C13" s="38">
        <f t="shared" si="0"/>
        <v>8</v>
      </c>
      <c r="D13" s="39">
        <f t="shared" si="0"/>
        <v>1</v>
      </c>
      <c r="E13" s="40">
        <f t="shared" si="1"/>
        <v>9</v>
      </c>
      <c r="F13" s="41">
        <f t="shared" si="2"/>
        <v>1</v>
      </c>
      <c r="G13" s="39">
        <f t="shared" si="2"/>
        <v>0</v>
      </c>
      <c r="H13" s="42">
        <f t="shared" si="3"/>
        <v>1</v>
      </c>
      <c r="I13" s="38">
        <f t="shared" si="4"/>
        <v>0</v>
      </c>
      <c r="J13" s="39">
        <f t="shared" si="4"/>
        <v>0</v>
      </c>
      <c r="K13" s="43">
        <f t="shared" si="5"/>
        <v>0</v>
      </c>
      <c r="M13" s="12" t="s">
        <v>346</v>
      </c>
    </row>
    <row r="14" spans="1:13" x14ac:dyDescent="0.25">
      <c r="B14" s="37" t="s">
        <v>8</v>
      </c>
      <c r="C14" s="38">
        <f t="shared" si="0"/>
        <v>0</v>
      </c>
      <c r="D14" s="39">
        <f t="shared" si="0"/>
        <v>0</v>
      </c>
      <c r="E14" s="40">
        <f t="shared" si="1"/>
        <v>0</v>
      </c>
      <c r="F14" s="41">
        <f t="shared" si="2"/>
        <v>0</v>
      </c>
      <c r="G14" s="39">
        <f t="shared" si="2"/>
        <v>0</v>
      </c>
      <c r="H14" s="42">
        <f t="shared" si="3"/>
        <v>0</v>
      </c>
      <c r="I14" s="38">
        <f t="shared" si="4"/>
        <v>0</v>
      </c>
      <c r="J14" s="39">
        <f t="shared" si="4"/>
        <v>0</v>
      </c>
      <c r="K14" s="43">
        <f t="shared" si="5"/>
        <v>0</v>
      </c>
      <c r="M14" s="12" t="s">
        <v>684</v>
      </c>
    </row>
    <row r="15" spans="1:13" x14ac:dyDescent="0.25">
      <c r="B15" s="37" t="s">
        <v>9</v>
      </c>
      <c r="C15" s="38">
        <f t="shared" si="0"/>
        <v>14</v>
      </c>
      <c r="D15" s="39">
        <f t="shared" si="0"/>
        <v>3</v>
      </c>
      <c r="E15" s="40">
        <f t="shared" si="1"/>
        <v>17</v>
      </c>
      <c r="F15" s="41">
        <f t="shared" si="2"/>
        <v>5</v>
      </c>
      <c r="G15" s="39">
        <f t="shared" si="2"/>
        <v>1</v>
      </c>
      <c r="H15" s="42">
        <f t="shared" si="3"/>
        <v>6</v>
      </c>
      <c r="I15" s="38">
        <f t="shared" si="4"/>
        <v>0</v>
      </c>
      <c r="J15" s="39">
        <f t="shared" si="4"/>
        <v>0</v>
      </c>
      <c r="K15" s="43">
        <f t="shared" si="5"/>
        <v>0</v>
      </c>
      <c r="M15" s="12" t="s">
        <v>685</v>
      </c>
    </row>
    <row r="16" spans="1:13" x14ac:dyDescent="0.25">
      <c r="B16" s="37" t="s">
        <v>10</v>
      </c>
      <c r="C16" s="38">
        <f t="shared" si="0"/>
        <v>180</v>
      </c>
      <c r="D16" s="39">
        <f t="shared" si="0"/>
        <v>61</v>
      </c>
      <c r="E16" s="40">
        <f t="shared" si="1"/>
        <v>241</v>
      </c>
      <c r="F16" s="41">
        <f t="shared" si="2"/>
        <v>262</v>
      </c>
      <c r="G16" s="39">
        <f t="shared" si="2"/>
        <v>83</v>
      </c>
      <c r="H16" s="42">
        <f t="shared" si="3"/>
        <v>345</v>
      </c>
      <c r="I16" s="38">
        <f t="shared" si="4"/>
        <v>27</v>
      </c>
      <c r="J16" s="39">
        <f t="shared" si="4"/>
        <v>13</v>
      </c>
      <c r="K16" s="43">
        <f t="shared" si="5"/>
        <v>40</v>
      </c>
    </row>
    <row r="17" spans="2:11" x14ac:dyDescent="0.25">
      <c r="B17" s="37" t="s">
        <v>11</v>
      </c>
      <c r="C17" s="38">
        <f t="shared" si="0"/>
        <v>0</v>
      </c>
      <c r="D17" s="39">
        <f t="shared" si="0"/>
        <v>0</v>
      </c>
      <c r="E17" s="40">
        <f t="shared" si="1"/>
        <v>0</v>
      </c>
      <c r="F17" s="41">
        <f t="shared" si="2"/>
        <v>0</v>
      </c>
      <c r="G17" s="39">
        <f t="shared" si="2"/>
        <v>0</v>
      </c>
      <c r="H17" s="42">
        <f t="shared" si="3"/>
        <v>0</v>
      </c>
      <c r="I17" s="38">
        <f t="shared" si="4"/>
        <v>0</v>
      </c>
      <c r="J17" s="39">
        <f t="shared" si="4"/>
        <v>0</v>
      </c>
      <c r="K17" s="43">
        <f t="shared" si="5"/>
        <v>0</v>
      </c>
    </row>
    <row r="18" spans="2:11" x14ac:dyDescent="0.25">
      <c r="B18" s="37" t="s">
        <v>12</v>
      </c>
      <c r="C18" s="38">
        <f t="shared" si="0"/>
        <v>0</v>
      </c>
      <c r="D18" s="39">
        <f t="shared" si="0"/>
        <v>0</v>
      </c>
      <c r="E18" s="40">
        <f t="shared" si="1"/>
        <v>0</v>
      </c>
      <c r="F18" s="41">
        <f t="shared" si="2"/>
        <v>0</v>
      </c>
      <c r="G18" s="39">
        <f t="shared" si="2"/>
        <v>0</v>
      </c>
      <c r="H18" s="42">
        <f t="shared" si="3"/>
        <v>0</v>
      </c>
      <c r="I18" s="38">
        <f t="shared" si="4"/>
        <v>0</v>
      </c>
      <c r="J18" s="39">
        <f t="shared" si="4"/>
        <v>0</v>
      </c>
      <c r="K18" s="43">
        <f t="shared" si="5"/>
        <v>0</v>
      </c>
    </row>
    <row r="19" spans="2:11" x14ac:dyDescent="0.25">
      <c r="B19" s="37" t="s">
        <v>13</v>
      </c>
      <c r="C19" s="38">
        <f t="shared" si="0"/>
        <v>0</v>
      </c>
      <c r="D19" s="39">
        <f t="shared" si="0"/>
        <v>0</v>
      </c>
      <c r="E19" s="40">
        <f t="shared" si="1"/>
        <v>0</v>
      </c>
      <c r="F19" s="41">
        <f t="shared" si="2"/>
        <v>0</v>
      </c>
      <c r="G19" s="39">
        <f t="shared" si="2"/>
        <v>0</v>
      </c>
      <c r="H19" s="42">
        <f t="shared" si="3"/>
        <v>0</v>
      </c>
      <c r="I19" s="38">
        <f t="shared" si="4"/>
        <v>0</v>
      </c>
      <c r="J19" s="39">
        <f t="shared" si="4"/>
        <v>0</v>
      </c>
      <c r="K19" s="43">
        <f t="shared" si="5"/>
        <v>0</v>
      </c>
    </row>
    <row r="20" spans="2:11" x14ac:dyDescent="0.25">
      <c r="B20" s="37" t="s">
        <v>14</v>
      </c>
      <c r="C20" s="38">
        <f t="shared" si="0"/>
        <v>6</v>
      </c>
      <c r="D20" s="39">
        <f t="shared" si="0"/>
        <v>0</v>
      </c>
      <c r="E20" s="40">
        <f t="shared" si="1"/>
        <v>6</v>
      </c>
      <c r="F20" s="41">
        <f t="shared" si="2"/>
        <v>11</v>
      </c>
      <c r="G20" s="39">
        <f t="shared" si="2"/>
        <v>1</v>
      </c>
      <c r="H20" s="42">
        <f t="shared" si="3"/>
        <v>12</v>
      </c>
      <c r="I20" s="38">
        <f t="shared" si="4"/>
        <v>0</v>
      </c>
      <c r="J20" s="39">
        <f t="shared" si="4"/>
        <v>0</v>
      </c>
      <c r="K20" s="43">
        <f t="shared" si="5"/>
        <v>0</v>
      </c>
    </row>
    <row r="21" spans="2:11" x14ac:dyDescent="0.25">
      <c r="B21" s="37" t="s">
        <v>15</v>
      </c>
      <c r="C21" s="38">
        <f t="shared" si="0"/>
        <v>46</v>
      </c>
      <c r="D21" s="39">
        <f t="shared" si="0"/>
        <v>12</v>
      </c>
      <c r="E21" s="40">
        <f t="shared" si="1"/>
        <v>58</v>
      </c>
      <c r="F21" s="41">
        <f t="shared" si="2"/>
        <v>22</v>
      </c>
      <c r="G21" s="39">
        <f t="shared" si="2"/>
        <v>26</v>
      </c>
      <c r="H21" s="42">
        <f t="shared" si="3"/>
        <v>48</v>
      </c>
      <c r="I21" s="38">
        <f t="shared" si="4"/>
        <v>0</v>
      </c>
      <c r="J21" s="39">
        <f t="shared" si="4"/>
        <v>4</v>
      </c>
      <c r="K21" s="43">
        <f t="shared" si="5"/>
        <v>4</v>
      </c>
    </row>
    <row r="22" spans="2:11" x14ac:dyDescent="0.25">
      <c r="B22" s="37" t="s">
        <v>16</v>
      </c>
      <c r="C22" s="38">
        <f t="shared" si="0"/>
        <v>0</v>
      </c>
      <c r="D22" s="39">
        <f t="shared" si="0"/>
        <v>0</v>
      </c>
      <c r="E22" s="40">
        <f t="shared" si="1"/>
        <v>0</v>
      </c>
      <c r="F22" s="41">
        <f t="shared" si="2"/>
        <v>0</v>
      </c>
      <c r="G22" s="39">
        <f t="shared" si="2"/>
        <v>0</v>
      </c>
      <c r="H22" s="42">
        <f t="shared" si="3"/>
        <v>0</v>
      </c>
      <c r="I22" s="38">
        <f t="shared" si="4"/>
        <v>0</v>
      </c>
      <c r="J22" s="39">
        <f t="shared" si="4"/>
        <v>0</v>
      </c>
      <c r="K22" s="43">
        <f t="shared" si="5"/>
        <v>0</v>
      </c>
    </row>
    <row r="23" spans="2:11" x14ac:dyDescent="0.25">
      <c r="B23" s="37" t="s">
        <v>17</v>
      </c>
      <c r="C23" s="38">
        <f t="shared" si="0"/>
        <v>0</v>
      </c>
      <c r="D23" s="39">
        <f t="shared" si="0"/>
        <v>0</v>
      </c>
      <c r="E23" s="40">
        <f t="shared" si="1"/>
        <v>0</v>
      </c>
      <c r="F23" s="41">
        <f t="shared" si="2"/>
        <v>0</v>
      </c>
      <c r="G23" s="39">
        <f t="shared" si="2"/>
        <v>0</v>
      </c>
      <c r="H23" s="42">
        <f t="shared" si="3"/>
        <v>0</v>
      </c>
      <c r="I23" s="38">
        <f t="shared" si="4"/>
        <v>0</v>
      </c>
      <c r="J23" s="39">
        <f t="shared" si="4"/>
        <v>0</v>
      </c>
      <c r="K23" s="43">
        <f t="shared" si="5"/>
        <v>0</v>
      </c>
    </row>
    <row r="24" spans="2:11" x14ac:dyDescent="0.25">
      <c r="B24" s="37" t="s">
        <v>18</v>
      </c>
      <c r="C24" s="38">
        <f t="shared" si="0"/>
        <v>8</v>
      </c>
      <c r="D24" s="39">
        <f t="shared" si="0"/>
        <v>0</v>
      </c>
      <c r="E24" s="40">
        <f t="shared" si="1"/>
        <v>8</v>
      </c>
      <c r="F24" s="41">
        <f t="shared" si="2"/>
        <v>26</v>
      </c>
      <c r="G24" s="39">
        <f t="shared" si="2"/>
        <v>9</v>
      </c>
      <c r="H24" s="42">
        <f t="shared" si="3"/>
        <v>35</v>
      </c>
      <c r="I24" s="38">
        <f t="shared" si="4"/>
        <v>7</v>
      </c>
      <c r="J24" s="39">
        <f t="shared" si="4"/>
        <v>4</v>
      </c>
      <c r="K24" s="43">
        <f t="shared" si="5"/>
        <v>11</v>
      </c>
    </row>
    <row r="25" spans="2:11" ht="15.75" thickBot="1" x14ac:dyDescent="0.3">
      <c r="B25" s="37" t="s">
        <v>19</v>
      </c>
      <c r="C25" s="38">
        <f t="shared" ref="C25:D25" si="6">C48+C71</f>
        <v>0</v>
      </c>
      <c r="D25" s="39">
        <f t="shared" si="6"/>
        <v>0</v>
      </c>
      <c r="E25" s="40">
        <f t="shared" si="1"/>
        <v>0</v>
      </c>
      <c r="F25" s="41">
        <f t="shared" ref="F25:G25" si="7">F48+F71</f>
        <v>0</v>
      </c>
      <c r="G25" s="39">
        <f t="shared" si="7"/>
        <v>0</v>
      </c>
      <c r="H25" s="42">
        <f t="shared" si="3"/>
        <v>0</v>
      </c>
      <c r="I25" s="38">
        <f t="shared" ref="I25:J25" si="8">I48+I71</f>
        <v>2</v>
      </c>
      <c r="J25" s="39">
        <f t="shared" si="8"/>
        <v>2</v>
      </c>
      <c r="K25" s="43">
        <f t="shared" si="5"/>
        <v>4</v>
      </c>
    </row>
    <row r="26" spans="2:11" ht="15.75" thickBot="1" x14ac:dyDescent="0.3">
      <c r="B26" s="44" t="s">
        <v>686</v>
      </c>
      <c r="C26" s="45">
        <f t="shared" ref="C26:K26" si="9">SUM(C8:C25)</f>
        <v>409</v>
      </c>
      <c r="D26" s="46">
        <f t="shared" si="9"/>
        <v>138</v>
      </c>
      <c r="E26" s="47">
        <f t="shared" si="9"/>
        <v>547</v>
      </c>
      <c r="F26" s="48">
        <f t="shared" si="9"/>
        <v>442</v>
      </c>
      <c r="G26" s="46">
        <f t="shared" si="9"/>
        <v>232</v>
      </c>
      <c r="H26" s="49">
        <f t="shared" si="9"/>
        <v>674</v>
      </c>
      <c r="I26" s="45">
        <f t="shared" si="9"/>
        <v>69</v>
      </c>
      <c r="J26" s="46">
        <f t="shared" si="9"/>
        <v>76</v>
      </c>
      <c r="K26" s="50">
        <f t="shared" si="9"/>
        <v>145</v>
      </c>
    </row>
    <row r="28" spans="2:11" ht="15.75" thickBot="1" x14ac:dyDescent="0.3">
      <c r="B28" s="3" t="s">
        <v>334</v>
      </c>
    </row>
    <row r="29" spans="2:11" x14ac:dyDescent="0.25">
      <c r="B29" s="13"/>
      <c r="C29" s="14" t="s">
        <v>674</v>
      </c>
      <c r="D29" s="15"/>
      <c r="E29" s="16"/>
      <c r="F29" s="17" t="s">
        <v>675</v>
      </c>
      <c r="G29" s="18"/>
      <c r="H29" s="19"/>
      <c r="I29" s="20" t="s">
        <v>676</v>
      </c>
      <c r="J29" s="21"/>
      <c r="K29" s="22"/>
    </row>
    <row r="30" spans="2:11" ht="15.75" thickBot="1" x14ac:dyDescent="0.3">
      <c r="B30" s="23"/>
      <c r="C30" s="24" t="s">
        <v>31</v>
      </c>
      <c r="D30" s="25" t="s">
        <v>32</v>
      </c>
      <c r="E30" s="26" t="s">
        <v>30</v>
      </c>
      <c r="F30" s="27" t="s">
        <v>31</v>
      </c>
      <c r="G30" s="25" t="s">
        <v>32</v>
      </c>
      <c r="H30" s="28" t="s">
        <v>30</v>
      </c>
      <c r="I30" s="24" t="s">
        <v>31</v>
      </c>
      <c r="J30" s="25" t="s">
        <v>32</v>
      </c>
      <c r="K30" s="29" t="s">
        <v>30</v>
      </c>
    </row>
    <row r="31" spans="2:11" x14ac:dyDescent="0.25">
      <c r="B31" s="30" t="s">
        <v>2</v>
      </c>
      <c r="C31" s="31">
        <f>IF(ISBLANK($I$4),SUMIF(ES!$H$6:$H$2136,Summary!$B$28,ES!AB$6:AB$2136),SUMIFS(ES!AB$6:AB$2136,ES!$B$6:$B$2136,Summary!$I$4,ES!$H$6:$H$2136,Summary!$B$28))</f>
        <v>2</v>
      </c>
      <c r="D31" s="32">
        <f>IF(ISBLANK($I$4),SUMIF(ES!$H$6:$H$2136,Summary!$B$28,ES!AC$6:AC$2136),SUMIFS(ES!AC$6:AC$2136,ES!$B$6:$B$2136,Summary!$I$4,ES!$H$6:$H$2136,Summary!$B$28))</f>
        <v>2</v>
      </c>
      <c r="E31" s="33">
        <f>SUM(C31:D31)</f>
        <v>4</v>
      </c>
      <c r="F31" s="51">
        <f>IF(ISBLANK($I$4),SUMIF(JHS!$H$6:$H$860,Summary!$B$28,JHS!V$6:V$860),SUMIFS(JHS!V$6:V$860,JHS!$B$6:$B$860,Summary!$I$4,JHS!$H$6:$H$860,Summary!$B$28))</f>
        <v>1</v>
      </c>
      <c r="G31" s="31">
        <f>IF(ISBLANK($I$4),SUMIF(JHS!$H$6:$H$860,Summary!$B$28,JHS!W$6:W$860),SUMIFS(JHS!W$6:W$860,JHS!$B$6:$B$860,Summary!$I$4,JHS!$H$6:$H$860,Summary!$B$28))</f>
        <v>3</v>
      </c>
      <c r="H31" s="35">
        <f>SUM(F31:G31)</f>
        <v>4</v>
      </c>
      <c r="I31" s="52">
        <f>IF(ISBLANK($I$4),SUMIF(SHS!$H$6:$H$632,Summary!$B$28,SHS!P$6:P$632),SUMIFS(SHS!P$6:P$632,SHS!$B$6:$B$632,Summary!$I$4,SHS!$H$6:$H$632,Summary!$B$28))</f>
        <v>0</v>
      </c>
      <c r="J31" s="32">
        <f>IF(ISBLANK($I$4),SUMIF(SHS!$H$6:$H$632,Summary!$B$28,SHS!Q$6:Q$632),SUMIFS(SHS!Q$6:Q$632,SHS!$B$6:$B$632,Summary!$I$4,SHS!$H$6:$H$632,Summary!$B$28))</f>
        <v>0</v>
      </c>
      <c r="K31" s="36">
        <f>SUM(I31:J31)</f>
        <v>0</v>
      </c>
    </row>
    <row r="32" spans="2:11" x14ac:dyDescent="0.25">
      <c r="B32" s="37" t="s">
        <v>3</v>
      </c>
      <c r="C32" s="38">
        <f>IF(ISBLANK($I$4),SUMIF(ES!$H$6:$H$2136,Summary!$B$28,ES!AU$6:AU$2136),SUMIFS(ES!AU$6:AU$2136,ES!$B$6:$B$2136,Summary!$I$4,ES!$H$6:$H$2136,Summary!$B$28))</f>
        <v>0</v>
      </c>
      <c r="D32" s="39">
        <f>IF(ISBLANK($I$4),SUMIF(ES!$H$6:$H$2136,Summary!$B$28,ES!AV$6:AV$2136),SUMIFS(ES!AV$6:AV$2136,ES!$B$6:$B$2136,Summary!$I$4,ES!$H$6:$H$2136,Summary!$B$28))</f>
        <v>6</v>
      </c>
      <c r="E32" s="40">
        <f t="shared" ref="E32:E48" si="10">SUM(C32:D32)</f>
        <v>6</v>
      </c>
      <c r="F32" s="41">
        <f>IF(ISBLANK($I$4),SUMIF(JHS!$H$6:$H$860,Summary!$B$28,JHS!AI$6:AI$860),SUMIFS(JHS!AI$6:AI$860,JHS!$B$6:$B$860,Summary!$I$4,JHS!$H$6:$H$860,Summary!$B$28))</f>
        <v>7</v>
      </c>
      <c r="G32" s="38">
        <f>IF(ISBLANK($I$4),SUMIF(JHS!$H$6:$H$860,Summary!$B$28,JHS!AJ$6:AJ$860),SUMIFS(JHS!AJ$6:AJ$860,JHS!$B$6:$B$860,Summary!$I$4,JHS!$H$6:$H$860,Summary!$B$28))</f>
        <v>46</v>
      </c>
      <c r="H32" s="42">
        <f t="shared" ref="H32:H48" si="11">SUM(F32:G32)</f>
        <v>53</v>
      </c>
      <c r="I32" s="38">
        <f>IF(ISBLANK($I$4),SUMIF(SHS!$H$6:$H$632,Summary!$B$28,SHS!W$6:W$632),SUMIFS(SHS!W$6:W$632,SHS!$B$6:$B$632,Summary!$I$4,SHS!$H$6:$H$632,Summary!$B$28))</f>
        <v>0</v>
      </c>
      <c r="J32" s="39">
        <f>IF(ISBLANK($I$4),SUMIF(SHS!$H$6:$H$632,Summary!$B$28,SHS!X$6:X$632),SUMIFS(SHS!X$6:X$632,SHS!$B$6:$B$632,Summary!$I$4,SHS!$H$6:$H$632,Summary!$B$28))</f>
        <v>11</v>
      </c>
      <c r="K32" s="43">
        <f t="shared" ref="K32:K48" si="12">SUM(I32:J32)</f>
        <v>11</v>
      </c>
    </row>
    <row r="33" spans="2:11" x14ac:dyDescent="0.25">
      <c r="B33" s="37" t="s">
        <v>4</v>
      </c>
      <c r="C33" s="38">
        <f>IF(ISBLANK($I$4),SUMIF(ES!$H$6:$H$2136,Summary!$B$28,ES!BN$6:BN$2136),SUMIFS(ES!BN$6:BN$2136,ES!$B$6:$B$2136,Summary!$I$4,ES!$H$6:$H$2136,Summary!$B$28))</f>
        <v>54</v>
      </c>
      <c r="D33" s="39">
        <f>IF(ISBLANK($I$4),SUMIF(ES!$H$6:$H$2136,Summary!$B$28,ES!BO$6:BO$2136),SUMIFS(ES!BO$6:BO$2136,ES!$B$6:$B$2136,Summary!$I$4,ES!$H$6:$H$2136,Summary!$B$28))</f>
        <v>18</v>
      </c>
      <c r="E33" s="40">
        <f t="shared" si="10"/>
        <v>72</v>
      </c>
      <c r="F33" s="41">
        <f>IF(ISBLANK($I$4),SUMIF(JHS!$H$6:$H$860,Summary!$B$28,JHS!AV$6:AV$860),SUMIFS(JHS!AV$6:AV$860,JHS!$B$6:$B$860,Summary!$I$4,JHS!$H$6:$H$860,Summary!$B$28))</f>
        <v>7</v>
      </c>
      <c r="G33" s="38">
        <f>IF(ISBLANK($I$4),SUMIF(JHS!$H$6:$H$860,Summary!$B$28,JHS!AW$6:AW$860),SUMIFS(JHS!AW$6:AW$860,JHS!$B$6:$B$860,Summary!$I$4,JHS!$H$6:$H$860,Summary!$B$28))</f>
        <v>2</v>
      </c>
      <c r="H33" s="42">
        <f t="shared" si="11"/>
        <v>9</v>
      </c>
      <c r="I33" s="38">
        <f>IF(ISBLANK($I$4),SUMIF(SHS!$H$6:$H$632,Summary!$B$28,SHS!AD$6:AD$632),SUMIFS(SHS!AD$6:AD$632,SHS!$B$6:$B$632,Summary!$I$4,SHS!$H$6:$H$632,Summary!$B$28))</f>
        <v>0</v>
      </c>
      <c r="J33" s="39">
        <f>IF(ISBLANK($I$4),SUMIF(SHS!$H$6:$H$632,Summary!$B$28,SHS!AE$6:AE$632),SUMIFS(SHS!AE$6:AE$632,SHS!$B$6:$B$632,Summary!$I$4,SHS!$H$6:$H$632,Summary!$B$28))</f>
        <v>0</v>
      </c>
      <c r="K33" s="43">
        <f t="shared" si="12"/>
        <v>0</v>
      </c>
    </row>
    <row r="34" spans="2:11" x14ac:dyDescent="0.25">
      <c r="B34" s="37" t="s">
        <v>5</v>
      </c>
      <c r="C34" s="38">
        <f>IF(ISBLANK($I$4),SUMIF(ES!$H$6:$H$2136,Summary!$B$28,ES!CG$6:CG$2136),SUMIFS(ES!CG$6:CG$2136,ES!$B$6:$B$2136,Summary!$I$4,ES!$H$6:$H$2136,Summary!$B$28))</f>
        <v>80</v>
      </c>
      <c r="D34" s="39">
        <f>IF(ISBLANK($I$4),SUMIF(ES!$H$6:$H$2136,Summary!$B$28,ES!CH$6:CH$2136),SUMIFS(ES!CH$6:CH$2136,ES!$B$6:$B$2136,Summary!$I$4,ES!$H$6:$H$2136,Summary!$B$28))</f>
        <v>31</v>
      </c>
      <c r="E34" s="40">
        <f t="shared" si="10"/>
        <v>111</v>
      </c>
      <c r="F34" s="41">
        <f>IF(ISBLANK($I$4),SUMIF(JHS!$H$6:$H$860,Summary!$B$28,JHS!BI$6:BI$860),SUMIFS(JHS!BI$6:BI$860,JHS!$B$6:$B$860,Summary!$I$4,JHS!$H$6:$H$860,Summary!$B$28))</f>
        <v>72</v>
      </c>
      <c r="G34" s="38">
        <f>IF(ISBLANK($I$4),SUMIF(JHS!$H$6:$H$860,Summary!$B$28,JHS!BJ$6:BJ$860),SUMIFS(JHS!BJ$6:BJ$860,JHS!$B$6:$B$860,Summary!$I$4,JHS!$H$6:$H$860,Summary!$B$28))</f>
        <v>38</v>
      </c>
      <c r="H34" s="42">
        <f t="shared" si="11"/>
        <v>110</v>
      </c>
      <c r="I34" s="38">
        <f>IF(ISBLANK($I$4),SUMIF(SHS!$H$6:$H$632,Summary!$B$28,SHS!AK$6:AK$632),SUMIFS(SHS!AK$6:AK$632,SHS!$B$6:$B$632,Summary!$I$4,SHS!$H$6:$H$632,Summary!$B$28))</f>
        <v>28</v>
      </c>
      <c r="J34" s="39">
        <f>IF(ISBLANK($I$4),SUMIF(SHS!$H$6:$H$632,Summary!$B$28,SHS!AL$6:AL$632),SUMIFS(SHS!AL$6:AL$632,SHS!$B$6:$B$632,Summary!$I$4,SHS!$H$6:$H$632,Summary!$B$28))</f>
        <v>32</v>
      </c>
      <c r="K34" s="43">
        <f t="shared" si="12"/>
        <v>60</v>
      </c>
    </row>
    <row r="35" spans="2:11" x14ac:dyDescent="0.25">
      <c r="B35" s="37" t="s">
        <v>6</v>
      </c>
      <c r="C35" s="38">
        <f>IF(ISBLANK($I$4),SUMIF(ES!$H$6:$H$2136,Summary!$B$28,ES!CZ$6:CZ$2136),SUMIFS(ES!CZ$6:CZ$2136,ES!$B$6:$B$2136,Summary!$I$4,ES!$H$6:$H$2136,Summary!$B$28))</f>
        <v>11</v>
      </c>
      <c r="D35" s="39">
        <f>IF(ISBLANK($I$4),SUMIF(ES!$H$6:$H$2136,Summary!$B$28,ES!DA$6:DA$2136),SUMIFS(ES!DA$6:DA$2136,ES!$B$6:$B$2136,Summary!$I$4,ES!$H$6:$H$2136,Summary!$B$28))</f>
        <v>4</v>
      </c>
      <c r="E35" s="40">
        <f t="shared" si="10"/>
        <v>15</v>
      </c>
      <c r="F35" s="41">
        <f>IF(ISBLANK($I$4),SUMIF(JHS!$H$6:$H$860,Summary!$B$28,JHS!BV$6:BV$860),SUMIFS(JHS!BV$6:BV$860,JHS!$B$6:$B$860,Summary!$I$4,JHS!$H$6:$H$860,Summary!$B$28))</f>
        <v>28</v>
      </c>
      <c r="G35" s="38">
        <f>IF(ISBLANK($I$4),SUMIF(JHS!$H$6:$H$860,Summary!$B$28,JHS!BW$6:BW$860),SUMIFS(JHS!BW$6:BW$860,JHS!$B$6:$B$860,Summary!$I$4,JHS!$H$6:$H$860,Summary!$B$28))</f>
        <v>23</v>
      </c>
      <c r="H35" s="42">
        <f t="shared" si="11"/>
        <v>51</v>
      </c>
      <c r="I35" s="38">
        <f>IF(ISBLANK($I$4),SUMIF(SHS!$H$6:$H$632,Summary!$B$28,SHS!AR$6:AR$632),SUMIFS(SHS!AR$6:AR$632,SHS!$B$6:$B$632,Summary!$I$4,SHS!$H$6:$H$632,Summary!$B$28))</f>
        <v>2</v>
      </c>
      <c r="J35" s="39">
        <f>IF(ISBLANK($I$4),SUMIF(SHS!$H$6:$H$632,Summary!$B$28,SHS!AS$6:AS$632),SUMIFS(SHS!AS$6:AS$632,SHS!$B$6:$B$632,Summary!$I$4,SHS!$H$6:$H$632,Summary!$B$28))</f>
        <v>2</v>
      </c>
      <c r="K35" s="43">
        <f t="shared" si="12"/>
        <v>4</v>
      </c>
    </row>
    <row r="36" spans="2:11" x14ac:dyDescent="0.25">
      <c r="B36" s="37" t="s">
        <v>7</v>
      </c>
      <c r="C36" s="38">
        <f>IF(ISBLANK($I$4),SUMIF(ES!$H$6:$H$2136,Summary!$B$28,ES!DS$6:DS$2136),SUMIFS(ES!DS$6:DS$2136,ES!$B$6:$B$2136,Summary!$I$4,ES!$H$6:$H$2136,Summary!$B$28))</f>
        <v>8</v>
      </c>
      <c r="D36" s="39">
        <f>IF(ISBLANK($I$4),SUMIF(ES!$H$6:$H$2136,Summary!$B$28,ES!DT$6:DT$2136),SUMIFS(ES!DT$6:DT$2136,ES!$B$6:$B$2136,Summary!$I$4,ES!$H$6:$H$2136,Summary!$B$28))</f>
        <v>1</v>
      </c>
      <c r="E36" s="40">
        <f t="shared" si="10"/>
        <v>9</v>
      </c>
      <c r="F36" s="41">
        <f>IF(ISBLANK($I$4),SUMIF(JHS!$H$6:$H$860,Summary!$B$28,JHS!CI$6:CI$860),SUMIFS(JHS!CI$6:CI$860,JHS!$B$6:$B$860,Summary!$I$4,JHS!$H$6:$H$860,Summary!$B$28))</f>
        <v>1</v>
      </c>
      <c r="G36" s="38">
        <f>IF(ISBLANK($I$4),SUMIF(JHS!$H$6:$H$860,Summary!$B$28,JHS!CJ$6:CJ$860),SUMIFS(JHS!CJ$6:CJ$860,JHS!$B$6:$B$860,Summary!$I$4,JHS!$H$6:$H$860,Summary!$B$28))</f>
        <v>0</v>
      </c>
      <c r="H36" s="42">
        <f t="shared" si="11"/>
        <v>1</v>
      </c>
      <c r="I36" s="38">
        <f>IF(ISBLANK($I$4),SUMIF(SHS!$H$6:$H$632,Summary!$B$28,SHS!AY$6:AY$632),SUMIFS(SHS!AY$6:AY$632,SHS!$B$6:$B$632,Summary!$I$4,SHS!$H$6:$H$632,Summary!$B$28))</f>
        <v>0</v>
      </c>
      <c r="J36" s="39">
        <f>IF(ISBLANK($I$4),SUMIF(SHS!$H$6:$H$632,Summary!$B$28,SHS!AZ$6:AZ$632),SUMIFS(SHS!AZ$6:AZ$632,SHS!$B$6:$B$632,Summary!$I$4,SHS!$H$6:$H$632,Summary!$B$28))</f>
        <v>0</v>
      </c>
      <c r="K36" s="43">
        <f t="shared" si="12"/>
        <v>0</v>
      </c>
    </row>
    <row r="37" spans="2:11" x14ac:dyDescent="0.25">
      <c r="B37" s="37" t="s">
        <v>8</v>
      </c>
      <c r="C37" s="38">
        <f>IF(ISBLANK($I$4),SUMIF(ES!$H$6:$H$2136,Summary!$B$28,ES!EL$6:EL$2136),SUMIFS(ES!EL$6:EL$2136,ES!$B$6:$B$2136,Summary!$I$4,ES!$H$6:$H$2136,Summary!$B$28))</f>
        <v>0</v>
      </c>
      <c r="D37" s="39">
        <f>IF(ISBLANK($I$4),SUMIF(ES!$H$6:$H$2136,Summary!$B$28,ES!EM$6:EM$2136),SUMIFS(ES!EM$6:EM$2136,ES!$B$6:$B$2136,Summary!$I$4,ES!$H$6:$H$2136,Summary!$B$28))</f>
        <v>0</v>
      </c>
      <c r="E37" s="40">
        <f t="shared" si="10"/>
        <v>0</v>
      </c>
      <c r="F37" s="41">
        <f>IF(ISBLANK($I$4),SUMIF(JHS!$H$6:$H$860,Summary!$B$28,JHS!CV$6:CV$860),SUMIFS(JHS!CV$6:CV$860,JHS!$B$6:$B$860,Summary!$I$4,JHS!$H$6:$H$860,Summary!$B$28))</f>
        <v>0</v>
      </c>
      <c r="G37" s="38">
        <f>IF(ISBLANK($I$4),SUMIF(JHS!$H$6:$H$860,Summary!$B$28,JHS!CW$6:CW$860),SUMIFS(JHS!CW$6:CW$860,JHS!$B$6:$B$860,Summary!$I$4,JHS!$H$6:$H$860,Summary!$B$28))</f>
        <v>0</v>
      </c>
      <c r="H37" s="42">
        <f t="shared" si="11"/>
        <v>0</v>
      </c>
      <c r="I37" s="38">
        <f>IF(ISBLANK($I$4),SUMIF(SHS!$H$6:$H$632,Summary!$B$28,SHS!BF$6:BF$632),SUMIFS(SHS!BF$6:BF$632,SHS!$B$6:$B$632,Summary!$I$4,SHS!$H$6:$H$632,Summary!$B$28))</f>
        <v>0</v>
      </c>
      <c r="J37" s="39">
        <f>IF(ISBLANK($I$4),SUMIF(SHS!$H$6:$H$632,Summary!$B$28,SHS!BG$6:BG$632),SUMIFS(SHS!BG$6:BG$632,SHS!$B$6:$B$632,Summary!$I$4,SHS!$H$6:$H$632,Summary!$B$28))</f>
        <v>0</v>
      </c>
      <c r="K37" s="43">
        <f t="shared" si="12"/>
        <v>0</v>
      </c>
    </row>
    <row r="38" spans="2:11" x14ac:dyDescent="0.25">
      <c r="B38" s="37" t="s">
        <v>9</v>
      </c>
      <c r="C38" s="38">
        <f>IF(ISBLANK($I$4),SUMIF(ES!$H$6:$H$2136,Summary!$B$28,ES!FE$6:FE$2136),SUMIFS(ES!FE$6:FE$2136,ES!$B$6:$B$2136,Summary!$I$4,ES!$H$6:$H$2136,Summary!$B$28))</f>
        <v>13</v>
      </c>
      <c r="D38" s="39">
        <f>IF(ISBLANK($I$4),SUMIF(ES!$H$6:$H$2136,Summary!$B$28,ES!FF$6:FF$2136),SUMIFS(ES!FF$6:FF$2136,ES!$B$6:$B$2136,Summary!$I$4,ES!$H$6:$H$2136,Summary!$B$28))</f>
        <v>3</v>
      </c>
      <c r="E38" s="40">
        <f t="shared" si="10"/>
        <v>16</v>
      </c>
      <c r="F38" s="41">
        <f>IF(ISBLANK($I$4),SUMIF(JHS!$H$6:$H$860,Summary!$B$28,JHS!DI$6:DI$860),SUMIFS(JHS!DI$6:DI$860,JHS!$B$6:$B$860,Summary!$I$4,JHS!$H$6:$H$860,Summary!$B$28))</f>
        <v>5</v>
      </c>
      <c r="G38" s="38">
        <f>IF(ISBLANK($I$4),SUMIF(JHS!$H$6:$H$860,Summary!$B$28,JHS!DJ$6:DJ$860),SUMIFS(JHS!DJ$6:DJ$860,JHS!$B$6:$B$860,Summary!$I$4,JHS!$H$6:$H$860,Summary!$B$28))</f>
        <v>1</v>
      </c>
      <c r="H38" s="42">
        <f t="shared" si="11"/>
        <v>6</v>
      </c>
      <c r="I38" s="38">
        <f>IF(ISBLANK($I$4),SUMIF(SHS!$H$6:$H$632,Summary!$B$28,SHS!BM$6:BM$632),SUMIFS(SHS!BM$6:BM$632,SHS!$B$6:$B$632,Summary!$I$4,SHS!$H$6:$H$632,Summary!$B$28))</f>
        <v>0</v>
      </c>
      <c r="J38" s="39">
        <f>IF(ISBLANK($I$4),SUMIF(SHS!$H$6:$H$632,Summary!$B$28,SHS!BN$6:BN$632),SUMIFS(SHS!BN$6:BN$632,SHS!$B$6:$B$632,Summary!$I$4,SHS!$H$6:$H$632,Summary!$B$28))</f>
        <v>0</v>
      </c>
      <c r="K38" s="43">
        <f t="shared" si="12"/>
        <v>0</v>
      </c>
    </row>
    <row r="39" spans="2:11" x14ac:dyDescent="0.25">
      <c r="B39" s="37" t="s">
        <v>10</v>
      </c>
      <c r="C39" s="38">
        <f>IF(ISBLANK($I$4),SUMIF(ES!$H$6:$H$2136,Summary!$B$28,ES!FX$6:FX$2136),SUMIFS(ES!FX$6:FX$2136,ES!$B$6:$B$2136,Summary!$I$4,ES!$H$6:$H$2136,Summary!$B$28))</f>
        <v>180</v>
      </c>
      <c r="D39" s="39">
        <f>IF(ISBLANK($I$4),SUMIF(ES!$H$6:$H$2136,Summary!$B$28,ES!FY$6:FY$2136),SUMIFS(ES!FY$6:FY$2136,ES!$B$6:$B$2136,Summary!$I$4,ES!$H$6:$H$2136,Summary!$B$28))</f>
        <v>61</v>
      </c>
      <c r="E39" s="40">
        <f t="shared" si="10"/>
        <v>241</v>
      </c>
      <c r="F39" s="41">
        <f>IF(ISBLANK($I$4),SUMIF(JHS!$H$6:$H$860,Summary!$B$28,JHS!DV$6:DV$860),SUMIFS(JHS!DV$6:DV$860,JHS!$B$6:$B$860,Summary!$I$4,JHS!$H$6:$H$860,Summary!$B$28))</f>
        <v>258</v>
      </c>
      <c r="G39" s="38">
        <f>IF(ISBLANK($I$4),SUMIF(JHS!$H$6:$H$860,Summary!$B$28,JHS!DW$6:DW$860),SUMIFS(JHS!DW$6:DW$860,JHS!$B$6:$B$860,Summary!$I$4,JHS!$H$6:$H$860,Summary!$B$28))</f>
        <v>83</v>
      </c>
      <c r="H39" s="42">
        <f t="shared" si="11"/>
        <v>341</v>
      </c>
      <c r="I39" s="38">
        <f>IF(ISBLANK($I$4),SUMIF(SHS!$H$6:$H$632,Summary!$B$28,SHS!BT$6:BT$632),SUMIFS(SHS!BT$6:BT$632,SHS!$B$6:$B$632,Summary!$I$4,SHS!$H$6:$H$632,Summary!$B$28))</f>
        <v>25</v>
      </c>
      <c r="J39" s="39">
        <f>IF(ISBLANK($I$4),SUMIF(SHS!$H$6:$H$632,Summary!$B$28,SHS!BU$6:BU$632),SUMIFS(SHS!BU$6:BU$632,SHS!$B$6:$B$632,Summary!$I$4,SHS!$H$6:$H$632,Summary!$B$28))</f>
        <v>13</v>
      </c>
      <c r="K39" s="43">
        <f t="shared" si="12"/>
        <v>38</v>
      </c>
    </row>
    <row r="40" spans="2:11" x14ac:dyDescent="0.25">
      <c r="B40" s="37" t="s">
        <v>11</v>
      </c>
      <c r="C40" s="38">
        <f>IF(ISBLANK($I$4),SUMIF(ES!$H$6:$H$2136,Summary!$B$28,ES!GQ$6:GQ$2136),SUMIFS(ES!GQ$6:GQ$2136,ES!$B$6:$B$2136,Summary!$I$4,ES!$H$6:$H$2136,Summary!$B$28))</f>
        <v>0</v>
      </c>
      <c r="D40" s="39">
        <f>IF(ISBLANK($I$4),SUMIF(ES!$H$6:$H$2136,Summary!$B$28,ES!GR$6:GR$2136),SUMIFS(ES!GR$6:GR$2136,ES!$B$6:$B$2136,Summary!$I$4,ES!$H$6:$H$2136,Summary!$B$28))</f>
        <v>0</v>
      </c>
      <c r="E40" s="40">
        <f t="shared" si="10"/>
        <v>0</v>
      </c>
      <c r="F40" s="41">
        <f>IF(ISBLANK($I$4),SUMIF(JHS!$H$6:$H$860,Summary!$B$28,JHS!EI$6:EI$860),SUMIFS(JHS!EI$6:EI$860,JHS!$B$6:$B$860,Summary!$I$4,JHS!$H$6:$H$860,Summary!$B$28))</f>
        <v>0</v>
      </c>
      <c r="G40" s="38">
        <f>IF(ISBLANK($I$4),SUMIF(JHS!$H$6:$H$860,Summary!$B$28,JHS!EJ$6:EJ$860),SUMIFS(JHS!EJ$6:EJ$860,JHS!$B$6:$B$860,Summary!$I$4,JHS!$H$6:$H$860,Summary!$B$28))</f>
        <v>0</v>
      </c>
      <c r="H40" s="42">
        <f t="shared" si="11"/>
        <v>0</v>
      </c>
      <c r="I40" s="38">
        <f>IF(ISBLANK($I$4),SUMIF(SHS!$H$6:$H$632,Summary!$B$28,SHS!CA$6:CA$632),SUMIFS(SHS!CA$6:CA$632,SHS!$B$6:$B$632,Summary!$I$4,SHS!$H$6:$H$632,Summary!$B$28))</f>
        <v>0</v>
      </c>
      <c r="J40" s="39">
        <f>IF(ISBLANK($I$4),SUMIF(SHS!$H$6:$H$632,Summary!$B$28,SHS!CB$6:CB$632),SUMIFS(SHS!CB$6:CB$632,SHS!$B$6:$B$632,Summary!$I$4,SHS!$H$6:$H$632,Summary!$B$28))</f>
        <v>0</v>
      </c>
      <c r="K40" s="43">
        <f t="shared" si="12"/>
        <v>0</v>
      </c>
    </row>
    <row r="41" spans="2:11" x14ac:dyDescent="0.25">
      <c r="B41" s="37" t="s">
        <v>12</v>
      </c>
      <c r="C41" s="38">
        <f>IF(ISBLANK($I$4),SUMIF(ES!$H$6:$H$2136,Summary!$B$28,ES!HJ$6:HJ$2136),SUMIFS(ES!HJ$6:HJ$2136,ES!$B$6:$B$2136,Summary!$I$4,ES!$H$6:$H$2136,Summary!$B$28))</f>
        <v>0</v>
      </c>
      <c r="D41" s="39">
        <f>IF(ISBLANK($I$4),SUMIF(ES!$H$6:$H$2136,Summary!$B$28,ES!HK$6:HK$2136),SUMIFS(ES!HK$6:HK$2136,ES!$B$6:$B$2136,Summary!$I$4,ES!$H$6:$H$2136,Summary!$B$28))</f>
        <v>0</v>
      </c>
      <c r="E41" s="40">
        <f t="shared" si="10"/>
        <v>0</v>
      </c>
      <c r="F41" s="41">
        <f>IF(ISBLANK($I$4),SUMIF(JHS!$H$6:$H$860,Summary!$B$28,JHS!EV$6:EV$860),SUMIFS(JHS!EV$6:EV$860,JHS!$B$6:$B$860,Summary!$I$4,JHS!$H$6:$H$860,Summary!$B$28))</f>
        <v>0</v>
      </c>
      <c r="G41" s="38">
        <f>IF(ISBLANK($I$4),SUMIF(JHS!$H$6:$H$860,Summary!$B$28,JHS!EW$6:EW$860),SUMIFS(JHS!EW$6:EW$860,JHS!$B$6:$B$860,Summary!$I$4,JHS!$H$6:$H$860,Summary!$B$28))</f>
        <v>0</v>
      </c>
      <c r="H41" s="42">
        <f t="shared" si="11"/>
        <v>0</v>
      </c>
      <c r="I41" s="38">
        <f>IF(ISBLANK($I$4),SUMIF(SHS!$H$6:$H$632,Summary!$B$28,SHS!CH$6:CH$632),SUMIFS(SHS!CH$6:CH$632,SHS!$B$6:$B$632,Summary!$I$4,SHS!$H$6:$H$632,Summary!$B$28))</f>
        <v>0</v>
      </c>
      <c r="J41" s="39">
        <f>IF(ISBLANK($I$4),SUMIF(SHS!$H$6:$H$632,Summary!$B$28,SHS!CI$6:CI$632),SUMIFS(SHS!CI$6:CI$632,SHS!$B$6:$B$632,Summary!$I$4,SHS!$H$6:$H$632,Summary!$B$28))</f>
        <v>0</v>
      </c>
      <c r="K41" s="43">
        <f t="shared" si="12"/>
        <v>0</v>
      </c>
    </row>
    <row r="42" spans="2:11" x14ac:dyDescent="0.25">
      <c r="B42" s="37" t="s">
        <v>13</v>
      </c>
      <c r="C42" s="38">
        <f>IF(ISBLANK($I$4),SUMIF(ES!$H$6:$H$2136,Summary!$B$28,ES!IC$6:IC$2136),SUMIFS(ES!IC$6:IC$2136,ES!$B$6:$B$2136,Summary!$I$4,ES!$H$6:$H$2136,Summary!$B$28))</f>
        <v>0</v>
      </c>
      <c r="D42" s="39">
        <f>IF(ISBLANK($I$4),SUMIF(ES!$H$6:$H$2136,Summary!$B$28,ES!ID$6:ID$2136),SUMIFS(ES!ID$6:ID$2136,ES!$B$6:$B$2136,Summary!$I$4,ES!$H$6:$H$2136,Summary!$B$28))</f>
        <v>0</v>
      </c>
      <c r="E42" s="40">
        <f t="shared" si="10"/>
        <v>0</v>
      </c>
      <c r="F42" s="41">
        <f>IF(ISBLANK($I$4),SUMIF(JHS!$H$6:$H$860,Summary!$B$28,JHS!FI$6:FI$860),SUMIFS(JHS!FI$6:FI$860,JHS!$B$6:$B$860,Summary!$I$4,JHS!$H$6:$H$860,Summary!$B$28))</f>
        <v>0</v>
      </c>
      <c r="G42" s="38">
        <f>IF(ISBLANK($I$4),SUMIF(JHS!$H$6:$H$860,Summary!$B$28,JHS!FJ$6:FJ$860),SUMIFS(JHS!FJ$6:FJ$860,JHS!$B$6:$B$860,Summary!$I$4,JHS!$H$6:$H$860,Summary!$B$28))</f>
        <v>0</v>
      </c>
      <c r="H42" s="42">
        <f t="shared" si="11"/>
        <v>0</v>
      </c>
      <c r="I42" s="38">
        <f>IF(ISBLANK($I$4),SUMIF(SHS!$H$6:$H$632,Summary!$B$28,SHS!CO$6:CO$632),SUMIFS(SHS!CO$6:CO$632,SHS!$B$6:$B$632,Summary!$I$4,SHS!$H$6:$H$632,Summary!$B$28))</f>
        <v>0</v>
      </c>
      <c r="J42" s="39">
        <f>IF(ISBLANK($I$4),SUMIF(SHS!$H$6:$H$632,Summary!$B$28,SHS!CP$6:CP$632),SUMIFS(SHS!CP$6:CP$632,SHS!$B$6:$B$632,Summary!$I$4,SHS!$H$6:$H$632,Summary!$B$28))</f>
        <v>0</v>
      </c>
      <c r="K42" s="43">
        <f t="shared" si="12"/>
        <v>0</v>
      </c>
    </row>
    <row r="43" spans="2:11" x14ac:dyDescent="0.25">
      <c r="B43" s="37" t="s">
        <v>14</v>
      </c>
      <c r="C43" s="38">
        <f>IF(ISBLANK($I$4),SUMIF(ES!$H$6:$H$2136,Summary!$B$28,ES!IV$6:IV$2136),SUMIFS(ES!IV$6:IV$2136,ES!$B$6:$B$2136,Summary!$I$4,ES!$H$6:$H$2136,Summary!$B$28))</f>
        <v>6</v>
      </c>
      <c r="D43" s="39">
        <f>IF(ISBLANK($I$4),SUMIF(ES!$H$6:$H$2136,Summary!$B$28,ES!IW$6:IW$2136),SUMIFS(ES!IW$6:IW$2136,ES!$B$6:$B$2136,Summary!$I$4,ES!$H$6:$H$2136,Summary!$B$28))</f>
        <v>0</v>
      </c>
      <c r="E43" s="40">
        <f t="shared" si="10"/>
        <v>6</v>
      </c>
      <c r="F43" s="41">
        <f>IF(ISBLANK($I$4),SUMIF(JHS!$H$6:$H$860,Summary!$B$28,JHS!FV$6:FV$860),SUMIFS(JHS!FV$6:FV$860,JHS!$B$6:$B$860,Summary!$I$4,JHS!$H$6:$H$860,Summary!$B$28))</f>
        <v>11</v>
      </c>
      <c r="G43" s="38">
        <f>IF(ISBLANK($I$4),SUMIF(JHS!$H$6:$H$860,Summary!$B$28,JHS!FW$6:FW$860),SUMIFS(JHS!FW$6:FW$860,JHS!$B$6:$B$860,Summary!$I$4,JHS!$H$6:$H$860,Summary!$B$28))</f>
        <v>1</v>
      </c>
      <c r="H43" s="42">
        <f t="shared" si="11"/>
        <v>12</v>
      </c>
      <c r="I43" s="38">
        <f>IF(ISBLANK($I$4),SUMIF(SHS!$H$6:$H$632,Summary!$B$28,SHS!CV$6:CV$632),SUMIFS(SHS!CV$6:CV$632,SHS!$B$6:$B$632,Summary!$I$4,SHS!$H$6:$H$632,Summary!$B$28))</f>
        <v>0</v>
      </c>
      <c r="J43" s="39">
        <f>IF(ISBLANK($I$4),SUMIF(SHS!$H$6:$H$632,Summary!$B$28,SHS!CW$6:CW$632),SUMIFS(SHS!CW$6:CW$632,SHS!$B$6:$B$632,Summary!$I$4,SHS!$H$6:$H$632,Summary!$B$28))</f>
        <v>0</v>
      </c>
      <c r="K43" s="43">
        <f t="shared" si="12"/>
        <v>0</v>
      </c>
    </row>
    <row r="44" spans="2:11" x14ac:dyDescent="0.25">
      <c r="B44" s="37" t="s">
        <v>15</v>
      </c>
      <c r="C44" s="38">
        <f>IF(ISBLANK($I$4),SUMIF(ES!$H$6:$H$2136,Summary!$B$28,ES!JO$6:JO$2136),SUMIFS(ES!JO$6:JO$2136,ES!$B$6:$B$2136,Summary!$I$4,ES!$H$6:$H$2136,Summary!$B$28))</f>
        <v>46</v>
      </c>
      <c r="D44" s="39">
        <f>IF(ISBLANK($I$4),SUMIF(ES!$H$6:$H$2136,Summary!$B$28,ES!JP$6:JP$2136),SUMIFS(ES!JP$6:JP$2136,ES!$B$6:$B$2136,Summary!$I$4,ES!$H$6:$H$2136,Summary!$B$28))</f>
        <v>11</v>
      </c>
      <c r="E44" s="40">
        <f t="shared" si="10"/>
        <v>57</v>
      </c>
      <c r="F44" s="41">
        <f>IF(ISBLANK($I$4),SUMIF(JHS!$H$6:$H$860,Summary!$B$28,JHS!GI$6:GI$860),SUMIFS(JHS!GI$6:GI$860,JHS!$B$6:$B$860,Summary!$I$4,JHS!$H$6:$H$860,Summary!$B$28))</f>
        <v>22</v>
      </c>
      <c r="G44" s="38">
        <f>IF(ISBLANK($I$4),SUMIF(JHS!$H$6:$H$860,Summary!$B$28,JHS!GJ$6:GJ$860),SUMIFS(JHS!GJ$6:GJ$860,JHS!$B$6:$B$860,Summary!$I$4,JHS!$H$6:$H$860,Summary!$B$28))</f>
        <v>25</v>
      </c>
      <c r="H44" s="42">
        <f t="shared" si="11"/>
        <v>47</v>
      </c>
      <c r="I44" s="38">
        <f>IF(ISBLANK($I$4),SUMIF(SHS!$H$6:$H$632,Summary!$B$28,SHS!DC$6:DC$632),SUMIFS(SHS!DC$6:DC$632,SHS!$B$6:$B$632,Summary!$I$4,SHS!$H$6:$H$632,Summary!$B$28))</f>
        <v>0</v>
      </c>
      <c r="J44" s="39">
        <f>IF(ISBLANK($I$4),SUMIF(SHS!$H$6:$H$632,Summary!$B$28,SHS!DD$6:DD$632),SUMIFS(SHS!DD$6:DD$632,SHS!$B$6:$B$632,Summary!$I$4,SHS!$H$6:$H$632,Summary!$B$28))</f>
        <v>2</v>
      </c>
      <c r="K44" s="43">
        <f t="shared" si="12"/>
        <v>2</v>
      </c>
    </row>
    <row r="45" spans="2:11" x14ac:dyDescent="0.25">
      <c r="B45" s="37" t="s">
        <v>16</v>
      </c>
      <c r="C45" s="38">
        <f>IF(ISBLANK($I$4),SUMIF(ES!$H$6:$H$2136,Summary!$B$28,ES!KH$6:KH$2136),SUMIFS(ES!KH$6:KH$2136,ES!$B$6:$B$2136,Summary!$I$4,ES!$H$6:$H$2136,Summary!$B$28))</f>
        <v>0</v>
      </c>
      <c r="D45" s="39">
        <f>IF(ISBLANK($I$4),SUMIF(ES!$H$6:$H$2136,Summary!$B$28,ES!KI$6:KI$2136),SUMIFS(ES!KI$6:KI$2136,ES!$B$6:$B$2136,Summary!$I$4,ES!$H$6:$H$2136,Summary!$B$28))</f>
        <v>0</v>
      </c>
      <c r="E45" s="40">
        <f t="shared" si="10"/>
        <v>0</v>
      </c>
      <c r="F45" s="41">
        <f>IF(ISBLANK($I$4),SUMIF(JHS!$H$6:$H$860,Summary!$B$28,JHS!GV$6:GV$860),SUMIFS(JHS!GV$6:GV$860,JHS!$B$6:$B$860,Summary!$I$4,JHS!$H$6:$H$860,Summary!$B$28))</f>
        <v>0</v>
      </c>
      <c r="G45" s="38">
        <f>IF(ISBLANK($I$4),SUMIF(JHS!$H$6:$H$860,Summary!$B$28,JHS!GW$6:GW$860),SUMIFS(JHS!GW$6:GW$860,JHS!$B$6:$B$860,Summary!$I$4,JHS!$H$6:$H$860,Summary!$B$28))</f>
        <v>0</v>
      </c>
      <c r="H45" s="42">
        <f t="shared" si="11"/>
        <v>0</v>
      </c>
      <c r="I45" s="38">
        <f>IF(ISBLANK($I$4),SUMIF(SHS!$H$6:$H$632,Summary!$B$28,SHS!DJ$6:DJ$632),SUMIFS(SHS!DJ$6:DJ$632,SHS!$B$6:$B$632,Summary!$I$4,SHS!$H$6:$H$632,Summary!$B$28))</f>
        <v>0</v>
      </c>
      <c r="J45" s="39">
        <f>IF(ISBLANK($I$4),SUMIF(SHS!$H$6:$H$632,Summary!$B$28,SHS!DK$6:DK$632),SUMIFS(SHS!DK$6:DK$632,SHS!$B$6:$B$632,Summary!$I$4,SHS!$H$6:$H$632,Summary!$B$28))</f>
        <v>0</v>
      </c>
      <c r="K45" s="43">
        <f t="shared" si="12"/>
        <v>0</v>
      </c>
    </row>
    <row r="46" spans="2:11" x14ac:dyDescent="0.25">
      <c r="B46" s="37" t="s">
        <v>17</v>
      </c>
      <c r="C46" s="38">
        <f>IF(ISBLANK($I$4),SUMIF(ES!$H$6:$H$2136,Summary!$B$28,ES!LA$6:LA$2136),SUMIFS(ES!LA$6:LA$2136,ES!$B$6:$B$2136,Summary!$I$4,ES!$H$6:$H$2136,Summary!$B$28))</f>
        <v>0</v>
      </c>
      <c r="D46" s="39">
        <f>IF(ISBLANK($I$4),SUMIF(ES!$H$6:$H$2136,Summary!$B$28,ES!LB$6:LB$2136),SUMIFS(ES!LB$6:LB$2136,ES!$B$6:$B$2136,Summary!$I$4,ES!$H$6:$H$2136,Summary!$B$28))</f>
        <v>0</v>
      </c>
      <c r="E46" s="40">
        <f t="shared" si="10"/>
        <v>0</v>
      </c>
      <c r="F46" s="41">
        <f>IF(ISBLANK($I$4),SUMIF(JHS!$H$6:$H$860,Summary!$B$28,JHS!HI$6:HI$860),SUMIFS(JHS!HI$6:HI$860,JHS!$B$6:$B$860,Summary!$I$4,JHS!$H$6:$H$860,Summary!$B$28))</f>
        <v>0</v>
      </c>
      <c r="G46" s="38">
        <f>IF(ISBLANK($I$4),SUMIF(JHS!$H$6:$H$860,Summary!$B$28,JHS!HJ$6:HJ$860),SUMIFS(JHS!HJ$6:HJ$860,JHS!$B$6:$B$860,Summary!$I$4,JHS!$H$6:$H$860,Summary!$B$28))</f>
        <v>0</v>
      </c>
      <c r="H46" s="42">
        <f t="shared" si="11"/>
        <v>0</v>
      </c>
      <c r="I46" s="38">
        <f>IF(ISBLANK($I$4),SUMIF(SHS!$H$6:$H$632,Summary!$B$28,SHS!DQ$6:DQ$632),SUMIFS(SHS!DQ$6:DQ$632,SHS!$B$6:$B$632,Summary!$I$4,SHS!$H$6:$H$632,Summary!$B$28))</f>
        <v>0</v>
      </c>
      <c r="J46" s="39">
        <f>IF(ISBLANK($I$4),SUMIF(SHS!$H$6:$H$632,Summary!$B$28,SHS!DR$6:DR$632),SUMIFS(SHS!DR$6:DR$632,SHS!$B$6:$B$632,Summary!$I$4,SHS!$H$6:$H$632,Summary!$B$28))</f>
        <v>0</v>
      </c>
      <c r="K46" s="43">
        <f t="shared" si="12"/>
        <v>0</v>
      </c>
    </row>
    <row r="47" spans="2:11" x14ac:dyDescent="0.25">
      <c r="B47" s="37" t="s">
        <v>18</v>
      </c>
      <c r="C47" s="38">
        <f>IF(ISBLANK($I$4),SUMIF(ES!$H$6:$H$2136,Summary!$B$28,ES!LT$6:LT$2136),SUMIFS(ES!LT$6:LT$2136,ES!$B$6:$B$2136,Summary!$I$4,ES!$H$6:$H$2136,Summary!$B$28))</f>
        <v>8</v>
      </c>
      <c r="D47" s="39">
        <f>IF(ISBLANK($I$4),SUMIF(ES!$H$6:$H$2136,Summary!$B$28,ES!LU$6:LU$2136),SUMIFS(ES!LU$6:LU$2136,ES!$B$6:$B$2136,Summary!$I$4,ES!$H$6:$H$2136,Summary!$B$28))</f>
        <v>0</v>
      </c>
      <c r="E47" s="40">
        <f t="shared" si="10"/>
        <v>8</v>
      </c>
      <c r="F47" s="41">
        <f>IF(ISBLANK($I$4),SUMIF(JHS!$H$6:$H$860,Summary!$B$28,JHS!HV$6:HV$860),SUMIFS(JHS!HV$6:HV$860,JHS!$B$6:$B$860,Summary!$I$4,JHS!$H$6:$H$860,Summary!$B$28))</f>
        <v>26</v>
      </c>
      <c r="G47" s="38">
        <f>IF(ISBLANK($I$4),SUMIF(JHS!$H$6:$H$860,Summary!$B$28,JHS!HW$6:HW$860),SUMIFS(JHS!HW$6:HW$860,JHS!$B$6:$B$860,Summary!$I$4,JHS!$H$6:$H$860,Summary!$B$28))</f>
        <v>9</v>
      </c>
      <c r="H47" s="42">
        <f t="shared" si="11"/>
        <v>35</v>
      </c>
      <c r="I47" s="38">
        <f>IF(ISBLANK($I$4),SUMIF(SHS!$H$6:$H$632,Summary!$B$28,SHS!DX$6:DX$632),SUMIFS(SHS!DX$6:DX$632,SHS!$B$6:$B$632,Summary!$I$4,SHS!$H$6:$H$632,Summary!$B$28))</f>
        <v>6</v>
      </c>
      <c r="J47" s="39">
        <f>IF(ISBLANK($I$4),SUMIF(SHS!$H$6:$H$632,Summary!$B$28,SHS!DY$6:DY$632),SUMIFS(SHS!DY$6:DY$632,SHS!$B$6:$B$632,Summary!$I$4,SHS!$H$6:$H$632,Summary!$B$28))</f>
        <v>4</v>
      </c>
      <c r="K47" s="43">
        <f t="shared" si="12"/>
        <v>10</v>
      </c>
    </row>
    <row r="48" spans="2:11" ht="15.75" thickBot="1" x14ac:dyDescent="0.3">
      <c r="B48" s="53" t="s">
        <v>19</v>
      </c>
      <c r="C48" s="54">
        <f>IF(ISBLANK($I$4),SUMIF(ES!$H$6:$H$2136,Summary!$B$28,ES!MM$6:MM$2136),SUMIFS(ES!MM$6:MM$2136,ES!$B$6:$B$2136,Summary!$I$4,ES!$H$6:$H$2136,Summary!$B$28))</f>
        <v>0</v>
      </c>
      <c r="D48" s="55">
        <f>IF(ISBLANK($I$4),SUMIF(ES!$H$6:$H$2136,Summary!$B$28,ES!MN$6:MN$2136),SUMIFS(ES!MN$6:MN$2136,ES!$B$6:$B$2136,Summary!$I$4,ES!$H$6:$H$2136,Summary!$B$28))</f>
        <v>0</v>
      </c>
      <c r="E48" s="56">
        <f t="shared" si="10"/>
        <v>0</v>
      </c>
      <c r="F48" s="57">
        <f>IF(ISBLANK($I$4),SUMIF(JHS!$H$6:$H$860,Summary!$B$28,JHS!II$6:II$860),SUMIFS(JHS!II$6:II$860,JHS!$B$6:$B$860,Summary!$I$4,JHS!$H$6:$H$860,Summary!$B$28))</f>
        <v>0</v>
      </c>
      <c r="G48" s="54">
        <f>IF(ISBLANK($I$4),SUMIF(JHS!$H$6:$H$860,Summary!$B$28,JHS!IJ$6:IJ$860),SUMIFS(JHS!IJ$6:IJ$860,JHS!$B$6:$B$860,Summary!$I$4,JHS!$H$6:$H$860,Summary!$B$28))</f>
        <v>0</v>
      </c>
      <c r="H48" s="58">
        <f t="shared" si="11"/>
        <v>0</v>
      </c>
      <c r="I48" s="54">
        <f>IF(ISBLANK($I$4),SUMIF(SHS!$H$6:$H$632,Summary!$B$28,SHS!EE$6:EE$632),SUMIFS(SHS!EE$6:EE$632,SHS!$B$6:$B$632,Summary!$I$4,SHS!$H$6:$H$632,Summary!$B$28))</f>
        <v>1</v>
      </c>
      <c r="J48" s="55">
        <f>IF(ISBLANK($I$4),SUMIF(SHS!$H$6:$H$632,Summary!$B$28,SHS!EF$6:EF$632),SUMIFS(SHS!EF$6:EF$632,SHS!$B$6:$B$632,Summary!$I$4,SHS!$H$6:$H$632,Summary!$B$28))</f>
        <v>0</v>
      </c>
      <c r="K48" s="59">
        <f t="shared" si="12"/>
        <v>1</v>
      </c>
    </row>
    <row r="49" spans="2:11" ht="15.75" thickBot="1" x14ac:dyDescent="0.3">
      <c r="B49" s="44" t="s">
        <v>686</v>
      </c>
      <c r="C49" s="45">
        <f t="shared" ref="C49:K49" si="13">SUM(C31:C48)</f>
        <v>408</v>
      </c>
      <c r="D49" s="46">
        <f t="shared" si="13"/>
        <v>137</v>
      </c>
      <c r="E49" s="47">
        <f t="shared" si="13"/>
        <v>545</v>
      </c>
      <c r="F49" s="48">
        <f t="shared" si="13"/>
        <v>438</v>
      </c>
      <c r="G49" s="46">
        <f t="shared" si="13"/>
        <v>231</v>
      </c>
      <c r="H49" s="49">
        <f t="shared" si="13"/>
        <v>669</v>
      </c>
      <c r="I49" s="45">
        <f t="shared" si="13"/>
        <v>62</v>
      </c>
      <c r="J49" s="46">
        <f t="shared" si="13"/>
        <v>64</v>
      </c>
      <c r="K49" s="50">
        <f t="shared" si="13"/>
        <v>126</v>
      </c>
    </row>
    <row r="51" spans="2:11" ht="15.75" thickBot="1" x14ac:dyDescent="0.3">
      <c r="B51" s="3" t="s">
        <v>339</v>
      </c>
    </row>
    <row r="52" spans="2:11" x14ac:dyDescent="0.25">
      <c r="B52" s="13"/>
      <c r="C52" s="14" t="s">
        <v>674</v>
      </c>
      <c r="D52" s="15"/>
      <c r="E52" s="16"/>
      <c r="F52" s="17" t="s">
        <v>675</v>
      </c>
      <c r="G52" s="18"/>
      <c r="H52" s="19"/>
      <c r="I52" s="20" t="s">
        <v>676</v>
      </c>
      <c r="J52" s="21"/>
      <c r="K52" s="22"/>
    </row>
    <row r="53" spans="2:11" ht="15.75" thickBot="1" x14ac:dyDescent="0.3">
      <c r="B53" s="23"/>
      <c r="C53" s="24" t="s">
        <v>31</v>
      </c>
      <c r="D53" s="25" t="s">
        <v>32</v>
      </c>
      <c r="E53" s="26" t="s">
        <v>30</v>
      </c>
      <c r="F53" s="27" t="s">
        <v>31</v>
      </c>
      <c r="G53" s="25" t="s">
        <v>32</v>
      </c>
      <c r="H53" s="28" t="s">
        <v>30</v>
      </c>
      <c r="I53" s="24" t="s">
        <v>31</v>
      </c>
      <c r="J53" s="25" t="s">
        <v>32</v>
      </c>
      <c r="K53" s="29" t="s">
        <v>30</v>
      </c>
    </row>
    <row r="54" spans="2:11" x14ac:dyDescent="0.25">
      <c r="B54" s="30" t="s">
        <v>2</v>
      </c>
      <c r="C54" s="31">
        <f>IF(ISBLANK($I$4),SUMIF(ES!$H$6:$H$2136,Summary!$B$51,ES!AB$6:AB$2136),SUMIFS(ES!AB$6:AB$2136,ES!$B$6:$B$2136,Summary!$I$4,ES!$H$6:$H$2136,Summary!$B$51))</f>
        <v>0</v>
      </c>
      <c r="D54" s="32">
        <f>IF(ISBLANK($I$4),SUMIF(ES!$H$6:$H$2136,Summary!$B$51,ES!AC$6:AC$2136),SUMIFS(ES!AC$6:AC$2136,ES!$B$6:$B$2136,Summary!$I$4,ES!$H$6:$H$2136,Summary!$B$51))</f>
        <v>0</v>
      </c>
      <c r="E54" s="33">
        <f>SUM(C54:D54)</f>
        <v>0</v>
      </c>
      <c r="F54" s="34">
        <f>IF(ISBLANK($I$4),SUMIF(JHS!$H$6:$H$860,Summary!$B$51,JHS!V$6:V$860),SUMIFS(JHS!V$6:V$860,JHS!$B$6:$B$860,Summary!$I$4,JHS!$H$6:$H$860,Summary!$B$51))</f>
        <v>0</v>
      </c>
      <c r="G54" s="32">
        <f>IF(ISBLANK($I$4),SUMIF(JHS!$H$6:$H$860,Summary!$B$51,JHS!W$6:W$860),SUMIFS(JHS!W$6:W$860,JHS!$B$6:$B$860,Summary!$I$4,JHS!$H$6:$H$860,Summary!$B$51))</f>
        <v>0</v>
      </c>
      <c r="H54" s="35">
        <f>SUM(F54:G54)</f>
        <v>0</v>
      </c>
      <c r="I54" s="31">
        <f>IF(ISBLANK($I$4),SUMIF(SHS!$H$6:$H$632,Summary!$B$51,SHS!P$6:P$632),SUMIFS(SHS!P$6:P$632,SHS!$B$6:$B$632,Summary!$I$4,SHS!$H$6:$H$632,Summary!$B$51))</f>
        <v>0</v>
      </c>
      <c r="J54" s="32">
        <f>IF(ISBLANK($I$4),SUMIF(SHS!$H$6:$H$632,Summary!$B$51,SHS!Q$6:Q$632),SUMIFS(SHS!Q$6:Q$632,SHS!$B$6:$B$632,Summary!$I$4,SHS!$H$6:$H$632,Summary!$B$51))</f>
        <v>0</v>
      </c>
      <c r="K54" s="36">
        <f>SUM(I54:J54)</f>
        <v>0</v>
      </c>
    </row>
    <row r="55" spans="2:11" x14ac:dyDescent="0.25">
      <c r="B55" s="37" t="s">
        <v>3</v>
      </c>
      <c r="C55" s="38">
        <f>IF(ISBLANK($I$4),SUMIF(ES!$H$6:$H$2136,Summary!$B$51,ES!AU$6:AU$2136),SUMIFS(ES!AU$6:AU$2136,ES!$B$6:$B$2136,Summary!$I$4,ES!$H$6:$H$2136,Summary!$B$51))</f>
        <v>0</v>
      </c>
      <c r="D55" s="39">
        <f>IF(ISBLANK($I$4),SUMIF(ES!$H$6:$H$2136,Summary!$B$51,ES!AV$6:AV$2136),SUMIFS(ES!AV$6:AV$2136,ES!$B$6:$B$2136,Summary!$I$4,ES!$H$6:$H$2136,Summary!$B$51))</f>
        <v>0</v>
      </c>
      <c r="E55" s="40">
        <f t="shared" ref="E55:E71" si="14">SUM(C55:D55)</f>
        <v>0</v>
      </c>
      <c r="F55" s="41">
        <f>IF(ISBLANK($I$4),SUMIF(JHS!$H$6:$H$860,Summary!$B$51,JHS!AI$6:AI$860),SUMIFS(JHS!AI$6:AI$860,JHS!$B$6:$B$860,Summary!$I$4,JHS!$H$6:$H$860,Summary!$B$51))</f>
        <v>0</v>
      </c>
      <c r="G55" s="39">
        <f>IF(ISBLANK($I$4),SUMIF(JHS!$H$6:$H$860,Summary!$B$51,JHS!AJ$6:AJ$860),SUMIFS(JHS!AJ$6:AJ$860,JHS!$B$6:$B$860,Summary!$I$4,JHS!$H$6:$H$860,Summary!$B$51))</f>
        <v>0</v>
      </c>
      <c r="H55" s="42">
        <f t="shared" ref="H55:H71" si="15">SUM(F55:G55)</f>
        <v>0</v>
      </c>
      <c r="I55" s="38">
        <f>IF(ISBLANK($I$4),SUMIF(SHS!$H$6:$H$632,Summary!$B$51,SHS!W$6:W$632),SUMIFS(SHS!W$6:W$632,SHS!$B$6:$B$632,Summary!$I$4,SHS!$H$6:$H$632,Summary!$B$51))</f>
        <v>0</v>
      </c>
      <c r="J55" s="39">
        <f>IF(ISBLANK($I$4),SUMIF(SHS!$H$6:$H$632,Summary!$B$51,SHS!X$6:X$632),SUMIFS(SHS!X$6:X$632,SHS!$B$6:$B$632,Summary!$I$4,SHS!$H$6:$H$632,Summary!$B$51))</f>
        <v>4</v>
      </c>
      <c r="K55" s="43">
        <f t="shared" ref="K55:K71" si="16">SUM(I55:J55)</f>
        <v>4</v>
      </c>
    </row>
    <row r="56" spans="2:11" x14ac:dyDescent="0.25">
      <c r="B56" s="37" t="s">
        <v>4</v>
      </c>
      <c r="C56" s="38">
        <f>IF(ISBLANK($I$4),SUMIF(ES!$H$6:$H$2136,Summary!$B$51,ES!BN$6:BN$2136),SUMIFS(ES!BN$6:BN$2136,ES!$B$6:$B$2136,Summary!$I$4,ES!$H$6:$H$2136,Summary!$B$51))</f>
        <v>0</v>
      </c>
      <c r="D56" s="39">
        <f>IF(ISBLANK($I$4),SUMIF(ES!$H$6:$H$2136,Summary!$B$51,ES!BO$6:BO$2136),SUMIFS(ES!BO$6:BO$2136,ES!$B$6:$B$2136,Summary!$I$4,ES!$H$6:$H$2136,Summary!$B$51))</f>
        <v>0</v>
      </c>
      <c r="E56" s="40">
        <f t="shared" si="14"/>
        <v>0</v>
      </c>
      <c r="F56" s="41">
        <f>IF(ISBLANK($I$4),SUMIF(JHS!$H$6:$H$860,Summary!$B$51,JHS!AV$6:AV$860),SUMIFS(JHS!AV$6:AV$860,JHS!$B$6:$B$860,Summary!$I$4,JHS!$H$6:$H$860,Summary!$B$51))</f>
        <v>0</v>
      </c>
      <c r="G56" s="39">
        <f>IF(ISBLANK($I$4),SUMIF(JHS!$H$6:$H$860,Summary!$B$51,JHS!AW$6:AW$860),SUMIFS(JHS!AW$6:AW$860,JHS!$B$6:$B$860,Summary!$I$4,JHS!$H$6:$H$860,Summary!$B$51))</f>
        <v>0</v>
      </c>
      <c r="H56" s="42">
        <f t="shared" si="15"/>
        <v>0</v>
      </c>
      <c r="I56" s="38">
        <f>IF(ISBLANK($I$4),SUMIF(SHS!$H$6:$H$632,Summary!$B$51,SHS!AD$6:AD$632),SUMIFS(SHS!AD$6:AD$632,SHS!$B$6:$B$632,Summary!$I$4,SHS!$H$6:$H$632,Summary!$B$51))</f>
        <v>0</v>
      </c>
      <c r="J56" s="39">
        <f>IF(ISBLANK($I$4),SUMIF(SHS!$H$6:$H$632,Summary!$B$51,SHS!AE$6:AE$632),SUMIFS(SHS!AE$6:AE$632,SHS!$B$6:$B$632,Summary!$I$4,SHS!$H$6:$H$632,Summary!$B$51))</f>
        <v>0</v>
      </c>
      <c r="K56" s="43">
        <f t="shared" si="16"/>
        <v>0</v>
      </c>
    </row>
    <row r="57" spans="2:11" x14ac:dyDescent="0.25">
      <c r="B57" s="37" t="s">
        <v>5</v>
      </c>
      <c r="C57" s="38">
        <f>IF(ISBLANK($I$4),SUMIF(ES!$H$6:$H$2136,Summary!$B$51,ES!CG$6:CG$2136),SUMIFS(ES!CG$6:CG$2136,ES!$B$6:$B$2136,Summary!$I$4,ES!$H$6:$H$2136,Summary!$B$51))</f>
        <v>0</v>
      </c>
      <c r="D57" s="39">
        <f>IF(ISBLANK($I$4),SUMIF(ES!$H$6:$H$2136,Summary!$B$51,ES!CH$6:CH$2136),SUMIFS(ES!CH$6:CH$2136,ES!$B$6:$B$2136,Summary!$I$4,ES!$H$6:$H$2136,Summary!$B$51))</f>
        <v>0</v>
      </c>
      <c r="E57" s="40">
        <f t="shared" si="14"/>
        <v>0</v>
      </c>
      <c r="F57" s="41">
        <f>IF(ISBLANK($I$4),SUMIF(JHS!$H$6:$H$860,Summary!$B$51,JHS!BI$6:BI$860),SUMIFS(JHS!BI$6:BI$860,JHS!$B$6:$B$860,Summary!$I$4,JHS!$H$6:$H$860,Summary!$B$51))</f>
        <v>0</v>
      </c>
      <c r="G57" s="39">
        <f>IF(ISBLANK($I$4),SUMIF(JHS!$H$6:$H$860,Summary!$B$51,JHS!BJ$6:BJ$860),SUMIFS(JHS!BJ$6:BJ$860,JHS!$B$6:$B$860,Summary!$I$4,JHS!$H$6:$H$860,Summary!$B$51))</f>
        <v>0</v>
      </c>
      <c r="H57" s="42">
        <f t="shared" si="15"/>
        <v>0</v>
      </c>
      <c r="I57" s="38">
        <f>IF(ISBLANK($I$4),SUMIF(SHS!$H$6:$H$632,Summary!$B$51,SHS!AK$6:AK$632),SUMIFS(SHS!AK$6:AK$632,SHS!$B$6:$B$632,Summary!$I$4,SHS!$H$6:$H$632,Summary!$B$51))</f>
        <v>3</v>
      </c>
      <c r="J57" s="39">
        <f>IF(ISBLANK($I$4),SUMIF(SHS!$H$6:$H$632,Summary!$B$51,SHS!AL$6:AL$632),SUMIFS(SHS!AL$6:AL$632,SHS!$B$6:$B$632,Summary!$I$4,SHS!$H$6:$H$632,Summary!$B$51))</f>
        <v>4</v>
      </c>
      <c r="K57" s="43">
        <f t="shared" si="16"/>
        <v>7</v>
      </c>
    </row>
    <row r="58" spans="2:11" x14ac:dyDescent="0.25">
      <c r="B58" s="37" t="s">
        <v>6</v>
      </c>
      <c r="C58" s="38">
        <f>IF(ISBLANK($I$4),SUMIF(ES!$H$6:$H$2136,Summary!$B$51,ES!CZ$6:CZ$2136),SUMIFS(ES!CZ$6:CZ$2136,ES!$B$6:$B$2136,Summary!$I$4,ES!$H$6:$H$2136,Summary!$B$51))</f>
        <v>0</v>
      </c>
      <c r="D58" s="39">
        <f>IF(ISBLANK($I$4),SUMIF(ES!$H$6:$H$2136,Summary!$B$51,ES!DA$6:DA$2136),SUMIFS(ES!DA$6:DA$2136,ES!$B$6:$B$2136,Summary!$I$4,ES!$H$6:$H$2136,Summary!$B$51))</f>
        <v>0</v>
      </c>
      <c r="E58" s="40">
        <f t="shared" si="14"/>
        <v>0</v>
      </c>
      <c r="F58" s="41">
        <f>IF(ISBLANK($I$4),SUMIF(JHS!$H$6:$H$860,Summary!$B$51,JHS!BV$6:BV$860),SUMIFS(JHS!BV$6:BV$860,JHS!$B$6:$B$860,Summary!$I$4,JHS!$H$6:$H$860,Summary!$B$51))</f>
        <v>0</v>
      </c>
      <c r="G58" s="39">
        <f>IF(ISBLANK($I$4),SUMIF(JHS!$H$6:$H$860,Summary!$B$51,JHS!BW$6:BW$860),SUMIFS(JHS!BW$6:BW$860,JHS!$B$6:$B$860,Summary!$I$4,JHS!$H$6:$H$860,Summary!$B$51))</f>
        <v>0</v>
      </c>
      <c r="H58" s="42">
        <f t="shared" si="15"/>
        <v>0</v>
      </c>
      <c r="I58" s="38">
        <f>IF(ISBLANK($I$4),SUMIF(SHS!$H$6:$H$632,Summary!$B$51,SHS!AR$6:AR$632),SUMIFS(SHS!AR$6:AR$632,SHS!$B$6:$B$632,Summary!$I$4,SHS!$H$6:$H$632,Summary!$B$51))</f>
        <v>0</v>
      </c>
      <c r="J58" s="39">
        <f>IF(ISBLANK($I$4),SUMIF(SHS!$H$6:$H$632,Summary!$B$51,SHS!AS$6:AS$632),SUMIFS(SHS!AS$6:AS$632,SHS!$B$6:$B$632,Summary!$I$4,SHS!$H$6:$H$632,Summary!$B$51))</f>
        <v>0</v>
      </c>
      <c r="K58" s="43">
        <f t="shared" si="16"/>
        <v>0</v>
      </c>
    </row>
    <row r="59" spans="2:11" x14ac:dyDescent="0.25">
      <c r="B59" s="37" t="s">
        <v>7</v>
      </c>
      <c r="C59" s="38">
        <f>IF(ISBLANK($I$4),SUMIF(ES!$H$6:$H$2136,Summary!$B$51,ES!DS$6:DS$2136),SUMIFS(ES!DS$6:DS$2136,ES!$B$6:$B$2136,Summary!$I$4,ES!$H$6:$H$2136,Summary!$B$51))</f>
        <v>0</v>
      </c>
      <c r="D59" s="39">
        <f>IF(ISBLANK($I$4),SUMIF(ES!$H$6:$H$2136,Summary!$B$51,ES!DT$6:DT$2136),SUMIFS(ES!DT$6:DT$2136,ES!$B$6:$B$2136,Summary!$I$4,ES!$H$6:$H$2136,Summary!$B$51))</f>
        <v>0</v>
      </c>
      <c r="E59" s="40">
        <f t="shared" si="14"/>
        <v>0</v>
      </c>
      <c r="F59" s="41">
        <f>IF(ISBLANK($I$4),SUMIF(JHS!$H$6:$H$860,Summary!$B$51,JHS!CI$6:CI$860),SUMIFS(JHS!CI$6:CI$860,JHS!$B$6:$B$860,Summary!$I$4,JHS!$H$6:$H$860,Summary!$B$51))</f>
        <v>0</v>
      </c>
      <c r="G59" s="39">
        <f>IF(ISBLANK($I$4),SUMIF(JHS!$H$6:$H$860,Summary!$B$51,JHS!CJ$6:CJ$860),SUMIFS(JHS!CJ$6:CJ$860,JHS!$B$6:$B$860,Summary!$I$4,JHS!$H$6:$H$860,Summary!$B$51))</f>
        <v>0</v>
      </c>
      <c r="H59" s="42">
        <f t="shared" si="15"/>
        <v>0</v>
      </c>
      <c r="I59" s="38">
        <f>IF(ISBLANK($I$4),SUMIF(SHS!$H$6:$H$632,Summary!$B$51,SHS!AY$6:AY$632),SUMIFS(SHS!AY$6:AY$632,SHS!$B$6:$B$632,Summary!$I$4,SHS!$H$6:$H$632,Summary!$B$51))</f>
        <v>0</v>
      </c>
      <c r="J59" s="39">
        <f>IF(ISBLANK($I$4),SUMIF(SHS!$H$6:$H$632,Summary!$B$51,SHS!AZ$6:AZ$632),SUMIFS(SHS!AZ$6:AZ$632,SHS!$B$6:$B$632,Summary!$I$4,SHS!$H$6:$H$632,Summary!$B$51))</f>
        <v>0</v>
      </c>
      <c r="K59" s="43">
        <f t="shared" si="16"/>
        <v>0</v>
      </c>
    </row>
    <row r="60" spans="2:11" x14ac:dyDescent="0.25">
      <c r="B60" s="37" t="s">
        <v>8</v>
      </c>
      <c r="C60" s="38">
        <f>IF(ISBLANK($I$4),SUMIF(ES!$H$6:$H$2136,Summary!$B$51,ES!EL$6:EL$2136),SUMIFS(ES!EL$6:EL$2136,ES!$B$6:$B$2136,Summary!$I$4,ES!$H$6:$H$2136,Summary!$B$51))</f>
        <v>0</v>
      </c>
      <c r="D60" s="39">
        <f>IF(ISBLANK($I$4),SUMIF(ES!$H$6:$H$2136,Summary!$B$51,ES!EM$6:EM$2136),SUMIFS(ES!EM$6:EM$2136,ES!$B$6:$B$2136,Summary!$I$4,ES!$H$6:$H$2136,Summary!$B$51))</f>
        <v>0</v>
      </c>
      <c r="E60" s="40">
        <f t="shared" si="14"/>
        <v>0</v>
      </c>
      <c r="F60" s="41">
        <f>IF(ISBLANK($I$4),SUMIF(JHS!$H$6:$H$860,Summary!$B$51,JHS!CV$6:CV$860),SUMIFS(JHS!CV$6:CV$860,JHS!$B$6:$B$860,Summary!$I$4,JHS!$H$6:$H$860,Summary!$B$51))</f>
        <v>0</v>
      </c>
      <c r="G60" s="39">
        <f>IF(ISBLANK($I$4),SUMIF(JHS!$H$6:$H$860,Summary!$B$51,JHS!CW$6:CW$860),SUMIFS(JHS!CW$6:CW$860,JHS!$B$6:$B$860,Summary!$I$4,JHS!$H$6:$H$860,Summary!$B$51))</f>
        <v>0</v>
      </c>
      <c r="H60" s="42">
        <f t="shared" si="15"/>
        <v>0</v>
      </c>
      <c r="I60" s="38">
        <f>IF(ISBLANK($I$4),SUMIF(SHS!$H$6:$H$632,Summary!$B$51,SHS!BF$6:BF$632),SUMIFS(SHS!BF$6:BF$632,SHS!$B$6:$B$632,Summary!$I$4,SHS!$H$6:$H$632,Summary!$B$51))</f>
        <v>0</v>
      </c>
      <c r="J60" s="39">
        <f>IF(ISBLANK($I$4),SUMIF(SHS!$H$6:$H$632,Summary!$B$51,SHS!BG$6:BG$632),SUMIFS(SHS!BG$6:BG$632,SHS!$B$6:$B$632,Summary!$I$4,SHS!$H$6:$H$632,Summary!$B$51))</f>
        <v>0</v>
      </c>
      <c r="K60" s="43">
        <f t="shared" si="16"/>
        <v>0</v>
      </c>
    </row>
    <row r="61" spans="2:11" x14ac:dyDescent="0.25">
      <c r="B61" s="37" t="s">
        <v>9</v>
      </c>
      <c r="C61" s="38">
        <f>IF(ISBLANK($I$4),SUMIF(ES!$H$6:$H$2136,Summary!$B$51,ES!FE$6:FE$2136),SUMIFS(ES!FE$6:FE$2136,ES!$B$6:$B$2136,Summary!$I$4,ES!$H$6:$H$2136,Summary!$B$51))</f>
        <v>1</v>
      </c>
      <c r="D61" s="39">
        <f>IF(ISBLANK($I$4),SUMIF(ES!$H$6:$H$2136,Summary!$B$51,ES!FF$6:FF$2136),SUMIFS(ES!FF$6:FF$2136,ES!$B$6:$B$2136,Summary!$I$4,ES!$H$6:$H$2136,Summary!$B$51))</f>
        <v>0</v>
      </c>
      <c r="E61" s="40">
        <f t="shared" si="14"/>
        <v>1</v>
      </c>
      <c r="F61" s="41">
        <f>IF(ISBLANK($I$4),SUMIF(JHS!$H$6:$H$860,Summary!$B$51,JHS!DI$6:DI$860),SUMIFS(JHS!DI$6:DI$860,JHS!$B$6:$B$860,Summary!$I$4,JHS!$H$6:$H$860,Summary!$B$51))</f>
        <v>0</v>
      </c>
      <c r="G61" s="39">
        <f>IF(ISBLANK($I$4),SUMIF(JHS!$H$6:$H$860,Summary!$B$51,JHS!DJ$6:DJ$860),SUMIFS(JHS!DJ$6:DJ$860,JHS!$B$6:$B$860,Summary!$I$4,JHS!$H$6:$H$860,Summary!$B$51))</f>
        <v>0</v>
      </c>
      <c r="H61" s="42">
        <f t="shared" si="15"/>
        <v>0</v>
      </c>
      <c r="I61" s="38">
        <f>IF(ISBLANK($I$4),SUMIF(SHS!$H$6:$H$632,Summary!$B$51,SHS!BM$6:BM$632),SUMIFS(SHS!BM$6:BM$632,SHS!$B$6:$B$632,Summary!$I$4,SHS!$H$6:$H$632,Summary!$B$51))</f>
        <v>0</v>
      </c>
      <c r="J61" s="39">
        <f>IF(ISBLANK($I$4),SUMIF(SHS!$H$6:$H$632,Summary!$B$51,SHS!BN$6:BN$632),SUMIFS(SHS!BN$6:BN$632,SHS!$B$6:$B$632,Summary!$I$4,SHS!$H$6:$H$632,Summary!$B$51))</f>
        <v>0</v>
      </c>
      <c r="K61" s="43">
        <f t="shared" si="16"/>
        <v>0</v>
      </c>
    </row>
    <row r="62" spans="2:11" x14ac:dyDescent="0.25">
      <c r="B62" s="37" t="s">
        <v>10</v>
      </c>
      <c r="C62" s="38">
        <f>IF(ISBLANK($I$4),SUMIF(ES!$H$6:$H$2136,Summary!$B$51,ES!FX$6:FX$2136),SUMIFS(ES!FX$6:FX$2136,ES!$B$6:$B$2136,Summary!$I$4,ES!$H$6:$H$2136,Summary!$B$51))</f>
        <v>0</v>
      </c>
      <c r="D62" s="39">
        <f>IF(ISBLANK($I$4),SUMIF(ES!$H$6:$H$2136,Summary!$B$51,ES!FY$6:FY$2136),SUMIFS(ES!FY$6:FY$2136,ES!$B$6:$B$2136,Summary!$I$4,ES!$H$6:$H$2136,Summary!$B$51))</f>
        <v>0</v>
      </c>
      <c r="E62" s="40">
        <f t="shared" si="14"/>
        <v>0</v>
      </c>
      <c r="F62" s="41">
        <f>IF(ISBLANK($I$4),SUMIF(JHS!$H$6:$H$860,Summary!$B$51,JHS!DV$6:DV$860),SUMIFS(JHS!DV$6:DV$860,JHS!$B$6:$B$860,Summary!$I$4,JHS!$H$6:$H$860,Summary!$B$51))</f>
        <v>4</v>
      </c>
      <c r="G62" s="39">
        <f>IF(ISBLANK($I$4),SUMIF(JHS!$H$6:$H$860,Summary!$B$51,JHS!DW$6:DW$860),SUMIFS(JHS!DW$6:DW$860,JHS!$B$6:$B$860,Summary!$I$4,JHS!$H$6:$H$860,Summary!$B$51))</f>
        <v>0</v>
      </c>
      <c r="H62" s="42">
        <f t="shared" si="15"/>
        <v>4</v>
      </c>
      <c r="I62" s="38">
        <f>IF(ISBLANK($I$4),SUMIF(SHS!$H$6:$H$632,Summary!$B$51,SHS!BT$6:BT$632),SUMIFS(SHS!BT$6:BT$632,SHS!$B$6:$B$632,Summary!$I$4,SHS!$H$6:$H$632,Summary!$B$51))</f>
        <v>2</v>
      </c>
      <c r="J62" s="39">
        <f>IF(ISBLANK($I$4),SUMIF(SHS!$H$6:$H$632,Summary!$B$51,SHS!BU$6:BU$632),SUMIFS(SHS!BU$6:BU$632,SHS!$B$6:$B$632,Summary!$I$4,SHS!$H$6:$H$632,Summary!$B$51))</f>
        <v>0</v>
      </c>
      <c r="K62" s="43">
        <f t="shared" si="16"/>
        <v>2</v>
      </c>
    </row>
    <row r="63" spans="2:11" x14ac:dyDescent="0.25">
      <c r="B63" s="37" t="s">
        <v>11</v>
      </c>
      <c r="C63" s="38">
        <f>IF(ISBLANK($I$4),SUMIF(ES!$H$6:$H$2136,Summary!$B$51,ES!GQ$6:GQ$2136),SUMIFS(ES!GQ$6:GQ$2136,ES!$B$6:$B$2136,Summary!$I$4,ES!$H$6:$H$2136,Summary!$B$51))</f>
        <v>0</v>
      </c>
      <c r="D63" s="39">
        <f>IF(ISBLANK($I$4),SUMIF(ES!$H$6:$H$2136,Summary!$B$51,ES!GR$6:GR$2136),SUMIFS(ES!GR$6:GR$2136,ES!$B$6:$B$2136,Summary!$I$4,ES!$H$6:$H$2136,Summary!$B$51))</f>
        <v>0</v>
      </c>
      <c r="E63" s="40">
        <f t="shared" si="14"/>
        <v>0</v>
      </c>
      <c r="F63" s="41">
        <f>IF(ISBLANK($I$4),SUMIF(JHS!$H$6:$H$860,Summary!$B$51,JHS!EI$6:EI$860),SUMIFS(JHS!EI$6:EI$860,JHS!$B$6:$B$860,Summary!$I$4,JHS!$H$6:$H$860,Summary!$B$51))</f>
        <v>0</v>
      </c>
      <c r="G63" s="39">
        <f>IF(ISBLANK($I$4),SUMIF(JHS!$H$6:$H$860,Summary!$B$51,JHS!EJ$6:EJ$860),SUMIFS(JHS!EJ$6:EJ$860,JHS!$B$6:$B$860,Summary!$I$4,JHS!$H$6:$H$860,Summary!$B$51))</f>
        <v>0</v>
      </c>
      <c r="H63" s="42">
        <f t="shared" si="15"/>
        <v>0</v>
      </c>
      <c r="I63" s="38">
        <f>IF(ISBLANK($I$4),SUMIF(SHS!$H$6:$H$632,Summary!$B$51,SHS!CA$6:CA$632),SUMIFS(SHS!CA$6:CA$632,SHS!$B$6:$B$632,Summary!$I$4,SHS!$H$6:$H$632,Summary!$B$51))</f>
        <v>0</v>
      </c>
      <c r="J63" s="39">
        <f>IF(ISBLANK($I$4),SUMIF(SHS!$H$6:$H$632,Summary!$B$51,SHS!CB$6:CB$632),SUMIFS(SHS!CB$6:CB$632,SHS!$B$6:$B$632,Summary!$I$4,SHS!$H$6:$H$632,Summary!$B$51))</f>
        <v>0</v>
      </c>
      <c r="K63" s="43">
        <f t="shared" si="16"/>
        <v>0</v>
      </c>
    </row>
    <row r="64" spans="2:11" x14ac:dyDescent="0.25">
      <c r="B64" s="37" t="s">
        <v>12</v>
      </c>
      <c r="C64" s="38">
        <f>IF(ISBLANK($I$4),SUMIF(ES!$H$6:$H$2136,Summary!$B$51,ES!HJ$6:HJ$2136),SUMIFS(ES!HJ$6:HJ$2136,ES!$B$6:$B$2136,Summary!$I$4,ES!$H$6:$H$2136,Summary!$B$51))</f>
        <v>0</v>
      </c>
      <c r="D64" s="39">
        <f>IF(ISBLANK($I$4),SUMIF(ES!$H$6:$H$2136,Summary!$B$51,ES!HK$6:HK$2136),SUMIFS(ES!HK$6:HK$2136,ES!$B$6:$B$2136,Summary!$I$4,ES!$H$6:$H$2136,Summary!$B$51))</f>
        <v>0</v>
      </c>
      <c r="E64" s="40">
        <f t="shared" si="14"/>
        <v>0</v>
      </c>
      <c r="F64" s="41">
        <f>IF(ISBLANK($I$4),SUMIF(JHS!$H$6:$H$860,Summary!$B$51,JHS!EV$6:EV$860),SUMIFS(JHS!EV$6:EV$860,JHS!$B$6:$B$860,Summary!$I$4,JHS!$H$6:$H$860,Summary!$B$51))</f>
        <v>0</v>
      </c>
      <c r="G64" s="39">
        <f>IF(ISBLANK($I$4),SUMIF(JHS!$H$6:$H$860,Summary!$B$51,JHS!EW$6:EW$860),SUMIFS(JHS!EW$6:EW$860,JHS!$B$6:$B$860,Summary!$I$4,JHS!$H$6:$H$860,Summary!$B$51))</f>
        <v>0</v>
      </c>
      <c r="H64" s="42">
        <f t="shared" si="15"/>
        <v>0</v>
      </c>
      <c r="I64" s="38">
        <f>IF(ISBLANK($I$4),SUMIF(SHS!$H$6:$H$632,Summary!$B$51,SHS!CH$6:CH$632),SUMIFS(SHS!CH$6:CH$632,SHS!$B$6:$B$632,Summary!$I$4,SHS!$H$6:$H$632,Summary!$B$51))</f>
        <v>0</v>
      </c>
      <c r="J64" s="39">
        <f>IF(ISBLANK($I$4),SUMIF(SHS!$H$6:$H$632,Summary!$B$51,SHS!CI$6:CI$632),SUMIFS(SHS!CI$6:CI$632,SHS!$B$6:$B$632,Summary!$I$4,SHS!$H$6:$H$632,Summary!$B$51))</f>
        <v>0</v>
      </c>
      <c r="K64" s="43">
        <f t="shared" si="16"/>
        <v>0</v>
      </c>
    </row>
    <row r="65" spans="2:11" x14ac:dyDescent="0.25">
      <c r="B65" s="37" t="s">
        <v>13</v>
      </c>
      <c r="C65" s="38">
        <f>IF(ISBLANK($I$4),SUMIF(ES!$H$6:$H$2136,Summary!$B$51,ES!IC$6:IC$2136),SUMIFS(ES!IC$6:IC$2136,ES!$B$6:$B$2136,Summary!$I$4,ES!$H$6:$H$2136,Summary!$B$51))</f>
        <v>0</v>
      </c>
      <c r="D65" s="39">
        <f>IF(ISBLANK($I$4),SUMIF(ES!$H$6:$H$2136,Summary!$B$51,ES!ID$6:ID$2136),SUMIFS(ES!ID$6:ID$2136,ES!$B$6:$B$2136,Summary!$I$4,ES!$H$6:$H$2136,Summary!$B$51))</f>
        <v>0</v>
      </c>
      <c r="E65" s="40">
        <f t="shared" si="14"/>
        <v>0</v>
      </c>
      <c r="F65" s="41">
        <f>IF(ISBLANK($I$4),SUMIF(JHS!$H$6:$H$860,Summary!$B$51,JHS!FI$6:FI$860),SUMIFS(JHS!FI$6:FI$860,JHS!$B$6:$B$860,Summary!$I$4,JHS!$H$6:$H$860,Summary!$B$51))</f>
        <v>0</v>
      </c>
      <c r="G65" s="39">
        <f>IF(ISBLANK($I$4),SUMIF(JHS!$H$6:$H$860,Summary!$B$51,JHS!FJ$6:FJ$860),SUMIFS(JHS!FJ$6:FJ$860,JHS!$B$6:$B$860,Summary!$I$4,JHS!$H$6:$H$860,Summary!$B$51))</f>
        <v>0</v>
      </c>
      <c r="H65" s="42">
        <f t="shared" si="15"/>
        <v>0</v>
      </c>
      <c r="I65" s="38">
        <f>IF(ISBLANK($I$4),SUMIF(SHS!$H$6:$H$632,Summary!$B$51,SHS!CO$6:CO$632),SUMIFS(SHS!CO$6:CO$632,SHS!$B$6:$B$632,Summary!$I$4,SHS!$H$6:$H$632,Summary!$B$51))</f>
        <v>0</v>
      </c>
      <c r="J65" s="39">
        <f>IF(ISBLANK($I$4),SUMIF(SHS!$H$6:$H$632,Summary!$B$51,SHS!CP$6:CP$632),SUMIFS(SHS!CP$6:CP$632,SHS!$B$6:$B$632,Summary!$I$4,SHS!$H$6:$H$632,Summary!$B$51))</f>
        <v>0</v>
      </c>
      <c r="K65" s="43">
        <f t="shared" si="16"/>
        <v>0</v>
      </c>
    </row>
    <row r="66" spans="2:11" x14ac:dyDescent="0.25">
      <c r="B66" s="37" t="s">
        <v>14</v>
      </c>
      <c r="C66" s="38">
        <f>IF(ISBLANK($I$4),SUMIF(ES!$H$6:$H$2136,Summary!$B$51,ES!IV$6:IV$2136),SUMIFS(ES!IV$6:IV$2136,ES!$B$6:$B$2136,Summary!$I$4,ES!$H$6:$H$2136,Summary!$B$51))</f>
        <v>0</v>
      </c>
      <c r="D66" s="39">
        <f>IF(ISBLANK($I$4),SUMIF(ES!$H$6:$H$2136,Summary!$B$51,ES!IW$6:IW$2136),SUMIFS(ES!IW$6:IW$2136,ES!$B$6:$B$2136,Summary!$I$4,ES!$H$6:$H$2136,Summary!$B$51))</f>
        <v>0</v>
      </c>
      <c r="E66" s="40">
        <f t="shared" si="14"/>
        <v>0</v>
      </c>
      <c r="F66" s="41">
        <f>IF(ISBLANK($I$4),SUMIF(JHS!$H$6:$H$860,Summary!$B$51,JHS!FV$6:FV$860),SUMIFS(JHS!FV$6:FV$860,JHS!$B$6:$B$860,Summary!$I$4,JHS!$H$6:$H$860,Summary!$B$51))</f>
        <v>0</v>
      </c>
      <c r="G66" s="39">
        <f>IF(ISBLANK($I$4),SUMIF(JHS!$H$6:$H$860,Summary!$B$51,JHS!FW$6:FW$860),SUMIFS(JHS!FW$6:FW$860,JHS!$B$6:$B$860,Summary!$I$4,JHS!$H$6:$H$860,Summary!$B$51))</f>
        <v>0</v>
      </c>
      <c r="H66" s="42">
        <f t="shared" si="15"/>
        <v>0</v>
      </c>
      <c r="I66" s="38">
        <f>IF(ISBLANK($I$4),SUMIF(SHS!$H$6:$H$632,Summary!$B$51,SHS!CV$6:CV$632),SUMIFS(SHS!CV$6:CV$632,SHS!$B$6:$B$632,Summary!$I$4,SHS!$H$6:$H$632,Summary!$B$51))</f>
        <v>0</v>
      </c>
      <c r="J66" s="39">
        <f>IF(ISBLANK($I$4),SUMIF(SHS!$H$6:$H$632,Summary!$B$51,SHS!CW$6:CW$632),SUMIFS(SHS!CW$6:CW$632,SHS!$B$6:$B$632,Summary!$I$4,SHS!$H$6:$H$632,Summary!$B$51))</f>
        <v>0</v>
      </c>
      <c r="K66" s="43">
        <f t="shared" si="16"/>
        <v>0</v>
      </c>
    </row>
    <row r="67" spans="2:11" x14ac:dyDescent="0.25">
      <c r="B67" s="37" t="s">
        <v>15</v>
      </c>
      <c r="C67" s="38">
        <f>IF(ISBLANK($I$4),SUMIF(ES!$H$6:$H$2136,Summary!$B$51,ES!JO$6:JO$2136),SUMIFS(ES!JO$6:JO$2136,ES!$B$6:$B$2136,Summary!$I$4,ES!$H$6:$H$2136,Summary!$B$51))</f>
        <v>0</v>
      </c>
      <c r="D67" s="39">
        <f>IF(ISBLANK($I$4),SUMIF(ES!$H$6:$H$2136,Summary!$B$51,ES!JP$6:JP$2136),SUMIFS(ES!JP$6:JP$2136,ES!$B$6:$B$2136,Summary!$I$4,ES!$H$6:$H$2136,Summary!$B$51))</f>
        <v>1</v>
      </c>
      <c r="E67" s="40">
        <f t="shared" si="14"/>
        <v>1</v>
      </c>
      <c r="F67" s="41">
        <f>IF(ISBLANK($I$4),SUMIF(JHS!$H$6:$H$860,Summary!$B$51,JHS!GI$6:GI$860),SUMIFS(JHS!GI$6:GI$860,JHS!$B$6:$B$860,Summary!$I$4,JHS!$H$6:$H$860,Summary!$B$51))</f>
        <v>0</v>
      </c>
      <c r="G67" s="39">
        <f>IF(ISBLANK($I$4),SUMIF(JHS!$H$6:$H$860,Summary!$B$51,JHS!GJ$6:GJ$860),SUMIFS(JHS!GJ$6:GJ$860,JHS!$B$6:$B$860,Summary!$I$4,JHS!$H$6:$H$860,Summary!$B$51))</f>
        <v>1</v>
      </c>
      <c r="H67" s="42">
        <f t="shared" si="15"/>
        <v>1</v>
      </c>
      <c r="I67" s="38">
        <f>IF(ISBLANK($I$4),SUMIF(SHS!$H$6:$H$632,Summary!$B$51,SHS!DC$6:DC$632),SUMIFS(SHS!DC$6:DC$632,SHS!$B$6:$B$632,Summary!$I$4,SHS!$H$6:$H$632,Summary!$B$51))</f>
        <v>0</v>
      </c>
      <c r="J67" s="39">
        <f>IF(ISBLANK($I$4),SUMIF(SHS!$H$6:$H$632,Summary!$B$51,SHS!DD$6:DD$632),SUMIFS(SHS!DD$6:DD$632,SHS!$B$6:$B$632,Summary!$I$4,SHS!$H$6:$H$632,Summary!$B$51))</f>
        <v>2</v>
      </c>
      <c r="K67" s="43">
        <f t="shared" si="16"/>
        <v>2</v>
      </c>
    </row>
    <row r="68" spans="2:11" x14ac:dyDescent="0.25">
      <c r="B68" s="37" t="s">
        <v>16</v>
      </c>
      <c r="C68" s="38">
        <f>IF(ISBLANK($I$4),SUMIF(ES!$H$6:$H$2136,Summary!$B$51,ES!KH$6:KH$2136),SUMIFS(ES!KH$6:KH$2136,ES!$B$6:$B$2136,Summary!$I$4,ES!$H$6:$H$2136,Summary!$B$51))</f>
        <v>0</v>
      </c>
      <c r="D68" s="39">
        <f>IF(ISBLANK($I$4),SUMIF(ES!$H$6:$H$2136,Summary!$B$51,ES!KI$6:KI$2136),SUMIFS(ES!KI$6:KI$2136,ES!$B$6:$B$2136,Summary!$I$4,ES!$H$6:$H$2136,Summary!$B$51))</f>
        <v>0</v>
      </c>
      <c r="E68" s="40">
        <f t="shared" si="14"/>
        <v>0</v>
      </c>
      <c r="F68" s="41">
        <f>IF(ISBLANK($I$4),SUMIF(JHS!$H$6:$H$860,Summary!$B$51,JHS!GV$6:GV$860),SUMIFS(JHS!GV$6:GV$860,JHS!$B$6:$B$860,Summary!$I$4,JHS!$H$6:$H$860,Summary!$B$51))</f>
        <v>0</v>
      </c>
      <c r="G68" s="39">
        <f>IF(ISBLANK($I$4),SUMIF(JHS!$H$6:$H$860,Summary!$B$51,JHS!GW$6:GW$860),SUMIFS(JHS!GW$6:GW$860,JHS!$B$6:$B$860,Summary!$I$4,JHS!$H$6:$H$860,Summary!$B$51))</f>
        <v>0</v>
      </c>
      <c r="H68" s="42">
        <f t="shared" si="15"/>
        <v>0</v>
      </c>
      <c r="I68" s="38">
        <f>IF(ISBLANK($I$4),SUMIF(SHS!$H$6:$H$632,Summary!$B$51,SHS!DJ$6:DJ$632),SUMIFS(SHS!DJ$6:DJ$632,SHS!$B$6:$B$632,Summary!$I$4,SHS!$H$6:$H$632,Summary!$B$51))</f>
        <v>0</v>
      </c>
      <c r="J68" s="39">
        <f>IF(ISBLANK($I$4),SUMIF(SHS!$H$6:$H$632,Summary!$B$51,SHS!DK$6:DK$632),SUMIFS(SHS!DK$6:DK$632,SHS!$B$6:$B$632,Summary!$I$4,SHS!$H$6:$H$632,Summary!$B$51))</f>
        <v>0</v>
      </c>
      <c r="K68" s="43">
        <f t="shared" si="16"/>
        <v>0</v>
      </c>
    </row>
    <row r="69" spans="2:11" x14ac:dyDescent="0.25">
      <c r="B69" s="37" t="s">
        <v>17</v>
      </c>
      <c r="C69" s="38">
        <f>IF(ISBLANK($I$4),SUMIF(ES!$H$6:$H$2136,Summary!$B$51,ES!LA$6:LA$2136),SUMIFS(ES!LA$6:LA$2136,ES!$B$6:$B$2136,Summary!$I$4,ES!$H$6:$H$2136,Summary!$B$51))</f>
        <v>0</v>
      </c>
      <c r="D69" s="39">
        <f>IF(ISBLANK($I$4),SUMIF(ES!$H$6:$H$2136,Summary!$B$51,ES!LB$6:LB$2136),SUMIFS(ES!LB$6:LB$2136,ES!$B$6:$B$2136,Summary!$I$4,ES!$H$6:$H$2136,Summary!$B$51))</f>
        <v>0</v>
      </c>
      <c r="E69" s="40">
        <f t="shared" si="14"/>
        <v>0</v>
      </c>
      <c r="F69" s="41">
        <f>IF(ISBLANK($I$4),SUMIF(JHS!$H$6:$H$860,Summary!$B$51,JHS!HI$6:HI$860),SUMIFS(JHS!HI$6:HI$860,JHS!$B$6:$B$860,Summary!$I$4,JHS!$H$6:$H$860,Summary!$B$51))</f>
        <v>0</v>
      </c>
      <c r="G69" s="39">
        <f>IF(ISBLANK($I$4),SUMIF(JHS!$H$6:$H$860,Summary!$B$51,JHS!HJ$6:HJ$860),SUMIFS(JHS!HJ$6:HJ$860,JHS!$B$6:$B$860,Summary!$I$4,JHS!$H$6:$H$860,Summary!$B$51))</f>
        <v>0</v>
      </c>
      <c r="H69" s="42">
        <f t="shared" si="15"/>
        <v>0</v>
      </c>
      <c r="I69" s="38">
        <f>IF(ISBLANK($I$4),SUMIF(SHS!$H$6:$H$632,Summary!$B$51,SHS!DQ$6:DQ$632),SUMIFS(SHS!DQ$6:DQ$632,SHS!$B$6:$B$632,Summary!$I$4,SHS!$H$6:$H$632,Summary!$B$51))</f>
        <v>0</v>
      </c>
      <c r="J69" s="39">
        <f>IF(ISBLANK($I$4),SUMIF(SHS!$H$6:$H$632,Summary!$B$51,SHS!DR$6:DR$632),SUMIFS(SHS!DR$6:DR$632,SHS!$B$6:$B$632,Summary!$I$4,SHS!$H$6:$H$632,Summary!$B$51))</f>
        <v>0</v>
      </c>
      <c r="K69" s="43">
        <f t="shared" si="16"/>
        <v>0</v>
      </c>
    </row>
    <row r="70" spans="2:11" x14ac:dyDescent="0.25">
      <c r="B70" s="37" t="s">
        <v>18</v>
      </c>
      <c r="C70" s="38">
        <f>IF(ISBLANK($I$4),SUMIF(ES!$H$6:$H$2136,Summary!$B$51,ES!LT$6:LT$2136),SUMIFS(ES!LT$6:LT$2136,ES!$B$6:$B$2136,Summary!$I$4,ES!$H$6:$H$2136,Summary!$B$51))</f>
        <v>0</v>
      </c>
      <c r="D70" s="39">
        <f>IF(ISBLANK($I$4),SUMIF(ES!$H$6:$H$2136,Summary!$B$51,ES!LU$6:LU$2136),SUMIFS(ES!LU$6:LU$2136,ES!$B$6:$B$2136,Summary!$I$4,ES!$H$6:$H$2136,Summary!$B$51))</f>
        <v>0</v>
      </c>
      <c r="E70" s="40">
        <f t="shared" si="14"/>
        <v>0</v>
      </c>
      <c r="F70" s="41">
        <f>IF(ISBLANK($I$4),SUMIF(JHS!$H$6:$H$860,Summary!$B$51,JHS!HV$6:HV$860),SUMIFS(JHS!HV$6:HV$860,JHS!$B$6:$B$860,Summary!$I$4,JHS!$H$6:$H$860,Summary!$B$51))</f>
        <v>0</v>
      </c>
      <c r="G70" s="39">
        <f>IF(ISBLANK($I$4),SUMIF(JHS!$H$6:$H$860,Summary!$B$51,JHS!HW$6:HW$860),SUMIFS(JHS!HW$6:HW$860,JHS!$B$6:$B$860,Summary!$I$4,JHS!$H$6:$H$860,Summary!$B$51))</f>
        <v>0</v>
      </c>
      <c r="H70" s="42">
        <f t="shared" si="15"/>
        <v>0</v>
      </c>
      <c r="I70" s="38">
        <f>IF(ISBLANK($I$4),SUMIF(SHS!$H$6:$H$632,Summary!$B$51,SHS!DX$6:DX$632),SUMIFS(SHS!DX$6:DX$632,SHS!$B$6:$B$632,Summary!$I$4,SHS!$H$6:$H$632,Summary!$B$51))</f>
        <v>1</v>
      </c>
      <c r="J70" s="39">
        <f>IF(ISBLANK($I$4),SUMIF(SHS!$H$6:$H$632,Summary!$B$51,SHS!DY$6:DY$632),SUMIFS(SHS!DY$6:DY$632,SHS!$B$6:$B$632,Summary!$I$4,SHS!$H$6:$H$632,Summary!$B$51))</f>
        <v>0</v>
      </c>
      <c r="K70" s="43">
        <f t="shared" si="16"/>
        <v>1</v>
      </c>
    </row>
    <row r="71" spans="2:11" ht="15.75" thickBot="1" x14ac:dyDescent="0.3">
      <c r="B71" s="53" t="s">
        <v>19</v>
      </c>
      <c r="C71" s="54">
        <f>IF(ISBLANK($I$4),SUMIF(ES!$H$6:$H$2136,Summary!$B$51,ES!MM$6:MM$2136),SUMIFS(ES!MM$6:MM$2136,ES!$B$6:$B$2136,Summary!$I$4,ES!$H$6:$H$2136,Summary!$B$51))</f>
        <v>0</v>
      </c>
      <c r="D71" s="55">
        <f>IF(ISBLANK($I$4),SUMIF(ES!$H$6:$H$2136,Summary!$B$51,ES!MN$6:MN$2136),SUMIFS(ES!MN$6:MN$2136,ES!$B$6:$B$2136,Summary!$I$4,ES!$H$6:$H$2136,Summary!$B$51))</f>
        <v>0</v>
      </c>
      <c r="E71" s="56">
        <f t="shared" si="14"/>
        <v>0</v>
      </c>
      <c r="F71" s="60">
        <f>IF(ISBLANK($I$4),SUMIF(JHS!$H$6:$H$860,Summary!$B$51,JHS!II$6:II$860),SUMIFS(JHS!II$6:II$860,JHS!$B$6:$B$860,Summary!$I$4,JHS!$H$6:$H$860,Summary!$B$51))</f>
        <v>0</v>
      </c>
      <c r="G71" s="55">
        <f>IF(ISBLANK($I$4),SUMIF(JHS!$H$6:$H$860,Summary!$B$51,JHS!IJ$6:IJ$860),SUMIFS(JHS!IJ$6:IJ$860,JHS!$B$6:$B$860,Summary!$I$4,JHS!$H$6:$H$860,Summary!$B$51))</f>
        <v>0</v>
      </c>
      <c r="H71" s="58">
        <f t="shared" si="15"/>
        <v>0</v>
      </c>
      <c r="I71" s="54">
        <f>IF(ISBLANK($I$4),SUMIF(SHS!$H$6:$H$632,Summary!$B$51,SHS!EE$6:EE$632),SUMIFS(SHS!EE$6:EE$632,SHS!$B$6:$B$632,Summary!$I$4,SHS!$H$6:$H$632,Summary!$B$51))</f>
        <v>1</v>
      </c>
      <c r="J71" s="55">
        <f>IF(ISBLANK($I$4),SUMIF(SHS!$H$6:$H$632,Summary!$B$51,SHS!EF$6:EF$632),SUMIFS(SHS!EF$6:EF$632,SHS!$B$6:$B$632,Summary!$I$4,SHS!$H$6:$H$632,Summary!$B$51))</f>
        <v>2</v>
      </c>
      <c r="K71" s="59">
        <f t="shared" si="16"/>
        <v>3</v>
      </c>
    </row>
    <row r="72" spans="2:11" ht="15.75" thickBot="1" x14ac:dyDescent="0.3">
      <c r="B72" s="44" t="s">
        <v>686</v>
      </c>
      <c r="C72" s="45">
        <f t="shared" ref="C72:K72" si="17">SUM(C54:C71)</f>
        <v>1</v>
      </c>
      <c r="D72" s="46">
        <f t="shared" si="17"/>
        <v>1</v>
      </c>
      <c r="E72" s="47">
        <f t="shared" si="17"/>
        <v>2</v>
      </c>
      <c r="F72" s="48">
        <f t="shared" si="17"/>
        <v>4</v>
      </c>
      <c r="G72" s="46">
        <f t="shared" si="17"/>
        <v>1</v>
      </c>
      <c r="H72" s="49">
        <f t="shared" si="17"/>
        <v>5</v>
      </c>
      <c r="I72" s="45">
        <f t="shared" si="17"/>
        <v>7</v>
      </c>
      <c r="J72" s="46">
        <f t="shared" si="17"/>
        <v>12</v>
      </c>
      <c r="K72" s="50">
        <f t="shared" si="17"/>
        <v>19</v>
      </c>
    </row>
  </sheetData>
  <sheetProtection algorithmName="SHA-512" hashValue="X1dKdwusspJ6dGr488mlC9i2I7wA66Mx2SvnWhpWA1FGIRZ14rV2uKL/4Qbz0LgzHOv+caT+bvqzOpWaDhkDKQ==" saltValue="1p1ruHmR3qri9/5g28rhiQ==" spinCount="100000" sheet="1" objects="1" scenarios="1"/>
  <mergeCells count="13">
    <mergeCell ref="B52:B53"/>
    <mergeCell ref="C52:E52"/>
    <mergeCell ref="F52:H52"/>
    <mergeCell ref="I52:K52"/>
    <mergeCell ref="I4:K4"/>
    <mergeCell ref="B6:B7"/>
    <mergeCell ref="C6:E6"/>
    <mergeCell ref="F6:H6"/>
    <mergeCell ref="I6:K6"/>
    <mergeCell ref="B29:B30"/>
    <mergeCell ref="C29:E29"/>
    <mergeCell ref="F29:H29"/>
    <mergeCell ref="I29:K29"/>
  </mergeCells>
  <dataValidations disablePrompts="1" count="1">
    <dataValidation type="list" allowBlank="1" showInputMessage="1" showErrorMessage="1" sqref="I4" xr:uid="{48716589-0066-4CCC-A5E8-669D132FA0D7}">
      <formula1>$M$4:$M$15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JHS</vt:lpstr>
      <vt:lpstr>SHS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Dela Cerna Shella Lu</cp:lastModifiedBy>
  <dcterms:created xsi:type="dcterms:W3CDTF">2024-01-05T04:32:31Z</dcterms:created>
  <dcterms:modified xsi:type="dcterms:W3CDTF">2025-07-02T06:09:07Z</dcterms:modified>
</cp:coreProperties>
</file>