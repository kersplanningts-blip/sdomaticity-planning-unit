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2-2023_KPI/"/>
    </mc:Choice>
  </mc:AlternateContent>
  <xr:revisionPtr revIDLastSave="18" documentId="11_68620013A8E86E1CA4E218940D3400B3DE59BC32" xr6:coauthVersionLast="47" xr6:coauthVersionMax="47" xr10:uidLastSave="{C07516F0-E5B1-4825-B68D-56D771B6F7F8}"/>
  <bookViews>
    <workbookView xWindow="-105" yWindow="0" windowWidth="20985" windowHeight="15585" tabRatio="856" xr2:uid="{00000000-000D-0000-FFFF-FFFF00000000}"/>
  </bookViews>
  <sheets>
    <sheet name="Kto6 CSR, CR, Coeffcnt,YrInput" sheetId="58" r:id="rId1"/>
    <sheet name="Kto6 Promo &amp; Grad" sheetId="59" r:id="rId2"/>
    <sheet name="Kto6 Repetition" sheetId="60" r:id="rId3"/>
    <sheet name="Kto6 SchoolLeaver" sheetId="61" r:id="rId4"/>
    <sheet name="G1to6 CSR,CR,Coeffcnt,YrInput" sheetId="62" r:id="rId5"/>
    <sheet name="G1to6 Promo &amp; Grad" sheetId="63" r:id="rId6"/>
    <sheet name="G1to6 Repetition" sheetId="64" r:id="rId7"/>
    <sheet name="G1to6 SchoolLeaver" sheetId="65" r:id="rId8"/>
    <sheet name="G7toG10 CSR,CR,Coeffcnt,YrInput" sheetId="67" r:id="rId9"/>
    <sheet name="G7toG10 Promo &amp; Grad" sheetId="68" r:id="rId10"/>
    <sheet name="G7toG10 Repetition Rate" sheetId="69" r:id="rId11"/>
    <sheet name="G7toG10 School Leaver" sheetId="70" r:id="rId12"/>
    <sheet name="G7toG12 CSR,CR,Coeffcnt,YrInput" sheetId="71" r:id="rId13"/>
    <sheet name="G7toG12  Promo &amp; Grad" sheetId="72" r:id="rId14"/>
    <sheet name="G7toG12 SchoolLeaver" sheetId="73" r:id="rId15"/>
  </sheets>
  <definedNames>
    <definedName name="__xlnm.Print_Area_4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13" hidden="1">#REF!</definedName>
    <definedName name="_Fill" localSheetId="14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AgeProfileWorks">#REF!</definedName>
    <definedName name="cmd_shifting">#REF!</definedName>
    <definedName name="_xlnm.Print_Area" localSheetId="4">'G1to6 CSR,CR,Coeffcnt,YrInput'!$A$1:$N$8</definedName>
    <definedName name="_xlnm.Print_Area" localSheetId="5">'G1to6 Promo &amp; Grad'!$A$1:$J$8</definedName>
    <definedName name="_xlnm.Print_Area" localSheetId="6">'G1to6 Repetition'!$A$1:$J$8</definedName>
    <definedName name="_xlnm.Print_Area" localSheetId="7">'G1to6 SchoolLeaver'!$B$49:$P$848</definedName>
    <definedName name="_xlnm.Print_Area" localSheetId="8">'G7toG10 CSR,CR,Coeffcnt,YrInput'!$A$1:$L$8</definedName>
    <definedName name="_xlnm.Print_Area" localSheetId="9">'G7toG10 Promo &amp; Grad'!$A$1:$H$8</definedName>
    <definedName name="_xlnm.Print_Area" localSheetId="10">'G7toG10 Repetition Rate'!$A$1:$H$8</definedName>
    <definedName name="_xlnm.Print_Area" localSheetId="11">'G7toG10 School Leaver'!$A$1:$H$8</definedName>
    <definedName name="_xlnm.Print_Area" localSheetId="13">'G7toG12  Promo &amp; Grad'!$A$1:$J$8</definedName>
    <definedName name="_xlnm.Print_Area" localSheetId="12">'G7toG12 CSR,CR,Coeffcnt,YrInput'!$A$1:$N$8</definedName>
    <definedName name="_xlnm.Print_Area" localSheetId="14">'G7toG12 SchoolLeaver'!$A$1:$J$8</definedName>
    <definedName name="_xlnm.Print_Area" localSheetId="0">'Kto6 CSR, CR, Coeffcnt,YrInput'!$A$1:$O$8</definedName>
    <definedName name="_xlnm.Print_Area" localSheetId="1">'Kto6 Promo &amp; Grad'!$A$1:$K$8</definedName>
    <definedName name="_xlnm.Print_Area" localSheetId="2">'Kto6 Repetition'!$A$1:$K$8</definedName>
    <definedName name="_xlnm.Print_Area" localSheetId="3">'Kto6 SchoolLeaver'!$A$1:$K$8</definedName>
    <definedName name="_xlnm.Print_Area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13">#REF!</definedName>
    <definedName name="PRINT_AREA_MI" localSheetId="14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2" l="1"/>
  <c r="N45" i="71"/>
  <c r="M45" i="71"/>
  <c r="L45" i="71"/>
  <c r="N42" i="71"/>
  <c r="M42" i="71"/>
  <c r="L42" i="71"/>
  <c r="N39" i="71"/>
  <c r="M39" i="71"/>
  <c r="L39" i="71"/>
  <c r="N36" i="71"/>
  <c r="M36" i="71"/>
  <c r="L36" i="71"/>
  <c r="N33" i="71"/>
  <c r="M33" i="71"/>
  <c r="L33" i="71"/>
  <c r="N30" i="71"/>
  <c r="M30" i="71"/>
  <c r="L30" i="71"/>
  <c r="N27" i="71"/>
  <c r="M27" i="71"/>
  <c r="L27" i="71"/>
  <c r="N24" i="71"/>
  <c r="M24" i="71"/>
  <c r="L24" i="71"/>
  <c r="N21" i="71"/>
  <c r="M21" i="71"/>
  <c r="L21" i="71"/>
  <c r="N18" i="71"/>
  <c r="M18" i="71"/>
  <c r="L18" i="71"/>
  <c r="N15" i="71"/>
  <c r="M15" i="71"/>
  <c r="L15" i="71"/>
  <c r="N12" i="71"/>
  <c r="M12" i="71"/>
  <c r="L12" i="71"/>
  <c r="A5" i="68" l="1"/>
  <c r="A5" i="69" s="1"/>
  <c r="L45" i="67"/>
  <c r="K45" i="67"/>
  <c r="J45" i="67"/>
  <c r="L42" i="67"/>
  <c r="K42" i="67"/>
  <c r="J42" i="67"/>
  <c r="L39" i="67"/>
  <c r="K39" i="67"/>
  <c r="J39" i="67"/>
  <c r="L36" i="67"/>
  <c r="K36" i="67"/>
  <c r="J36" i="67"/>
  <c r="L33" i="67"/>
  <c r="K33" i="67"/>
  <c r="J33" i="67"/>
  <c r="L30" i="67"/>
  <c r="K30" i="67"/>
  <c r="J30" i="67"/>
  <c r="L27" i="67"/>
  <c r="K27" i="67"/>
  <c r="J27" i="67"/>
  <c r="L24" i="67"/>
  <c r="K24" i="67"/>
  <c r="J24" i="67"/>
  <c r="L21" i="67"/>
  <c r="K21" i="67"/>
  <c r="J21" i="67"/>
  <c r="L18" i="67"/>
  <c r="K18" i="67"/>
  <c r="J18" i="67"/>
  <c r="L15" i="67"/>
  <c r="K15" i="67"/>
  <c r="J15" i="67"/>
  <c r="L12" i="67"/>
  <c r="K12" i="67"/>
  <c r="J12" i="67"/>
  <c r="A5" i="64" l="1"/>
  <c r="A5" i="63"/>
  <c r="N45" i="62"/>
  <c r="M45" i="62"/>
  <c r="L45" i="62"/>
  <c r="N42" i="62"/>
  <c r="M42" i="62"/>
  <c r="L42" i="62"/>
  <c r="N39" i="62"/>
  <c r="M39" i="62"/>
  <c r="L39" i="62"/>
  <c r="N36" i="62"/>
  <c r="M36" i="62"/>
  <c r="L36" i="62"/>
  <c r="N33" i="62"/>
  <c r="M33" i="62"/>
  <c r="L33" i="62"/>
  <c r="N30" i="62"/>
  <c r="M30" i="62"/>
  <c r="L30" i="62"/>
  <c r="N27" i="62"/>
  <c r="M27" i="62"/>
  <c r="L27" i="62"/>
  <c r="N24" i="62"/>
  <c r="M24" i="62"/>
  <c r="L24" i="62"/>
  <c r="N21" i="62"/>
  <c r="M21" i="62"/>
  <c r="L21" i="62"/>
  <c r="N18" i="62"/>
  <c r="M18" i="62"/>
  <c r="L18" i="62"/>
  <c r="N15" i="62"/>
  <c r="M15" i="62"/>
  <c r="L15" i="62"/>
  <c r="N12" i="62"/>
  <c r="M12" i="62"/>
  <c r="L12" i="62"/>
  <c r="A5" i="61" l="1"/>
  <c r="A5" i="60"/>
  <c r="A5" i="59"/>
  <c r="O45" i="58"/>
  <c r="N45" i="58"/>
  <c r="M45" i="58"/>
  <c r="O42" i="58"/>
  <c r="N42" i="58"/>
  <c r="M42" i="58"/>
  <c r="O39" i="58"/>
  <c r="N39" i="58"/>
  <c r="M39" i="58"/>
  <c r="O36" i="58"/>
  <c r="N36" i="58"/>
  <c r="M36" i="58"/>
  <c r="O33" i="58"/>
  <c r="N33" i="58"/>
  <c r="M33" i="58"/>
  <c r="O30" i="58"/>
  <c r="N30" i="58"/>
  <c r="M30" i="58"/>
  <c r="O27" i="58"/>
  <c r="N27" i="58"/>
  <c r="M27" i="58"/>
  <c r="O24" i="58"/>
  <c r="N24" i="58"/>
  <c r="M24" i="58"/>
  <c r="O21" i="58"/>
  <c r="N21" i="58"/>
  <c r="M21" i="58"/>
  <c r="O18" i="58"/>
  <c r="N18" i="58"/>
  <c r="M18" i="58"/>
  <c r="O15" i="58"/>
  <c r="N15" i="58"/>
  <c r="M15" i="58"/>
  <c r="O12" i="58"/>
  <c r="N12" i="58"/>
  <c r="M12" i="58"/>
</calcChain>
</file>

<file path=xl/sharedStrings.xml><?xml version="1.0" encoding="utf-8"?>
<sst xmlns="http://schemas.openxmlformats.org/spreadsheetml/2006/main" count="1024" uniqueCount="75">
  <si>
    <t xml:space="preserve">   Female (F)</t>
  </si>
  <si>
    <t xml:space="preserve">   Male (M)</t>
  </si>
  <si>
    <t>Total (MF)</t>
  </si>
  <si>
    <t>Region XI - Davao Region</t>
  </si>
  <si>
    <t>DEPARTMENT OF EDUCATION</t>
  </si>
  <si>
    <t>SY 2022-2023</t>
  </si>
  <si>
    <t>SY 2022 - 2023</t>
  </si>
  <si>
    <t>BASIC EDUCATION INFORMATION SYSTEM</t>
  </si>
  <si>
    <t>COHORT SURVIVAL RATES &amp; COMPLETION RATES IN PUBLIC AND PRIVATE ELEMENTARY SCHOOLS</t>
  </si>
  <si>
    <t>(KINDERGARTEN TO GRADE 6)</t>
  </si>
  <si>
    <t>Note:  Computed using UNESCO's template for assessing internal efficiency   (Including SUCs)</t>
  </si>
  <si>
    <t>Sex</t>
  </si>
  <si>
    <t>Survival Rates</t>
  </si>
  <si>
    <t>(CSR)</t>
  </si>
  <si>
    <t>Completion</t>
  </si>
  <si>
    <t>Coefficient</t>
  </si>
  <si>
    <t>Years Input</t>
  </si>
  <si>
    <t>GPI</t>
  </si>
  <si>
    <t>Kinder</t>
  </si>
  <si>
    <t>Grade I</t>
  </si>
  <si>
    <t>Grade II</t>
  </si>
  <si>
    <t>Grade III</t>
  </si>
  <si>
    <t>Grade IV</t>
  </si>
  <si>
    <t>Grade V</t>
  </si>
  <si>
    <t>Grade VI</t>
  </si>
  <si>
    <t>Rate</t>
  </si>
  <si>
    <t>of Efficiency</t>
  </si>
  <si>
    <t>Per Graduate</t>
  </si>
  <si>
    <t>Cohort</t>
  </si>
  <si>
    <t>Total (M &amp; F)</t>
  </si>
  <si>
    <t>REGION/DIVISION</t>
  </si>
  <si>
    <t>Gender</t>
  </si>
  <si>
    <t>Parity Index</t>
  </si>
  <si>
    <t>Region XI - Davao City</t>
  </si>
  <si>
    <t>Region XI - Davao de Oro (Compostela Valley)</t>
  </si>
  <si>
    <t>Region XI - Davao del Norte</t>
  </si>
  <si>
    <t>Region XI - Davao del Sur</t>
  </si>
  <si>
    <t>Region XI - Davao Occidental</t>
  </si>
  <si>
    <t>Region XI - Davao Oriental</t>
  </si>
  <si>
    <t>Region XI - Digos City</t>
  </si>
  <si>
    <t>Region XI - Island Garden City of Samal</t>
  </si>
  <si>
    <t>Region XI - Mati City</t>
  </si>
  <si>
    <t>Region XI - Panabo City</t>
  </si>
  <si>
    <t>Region XI - Tagum City</t>
  </si>
  <si>
    <t>PROMOTION RATES AND GRADUATION RATES IN PUBLIC AND PRIVATE ELEMENTARY SCHOOLS</t>
  </si>
  <si>
    <t xml:space="preserve">Grade VI
</t>
  </si>
  <si>
    <t>Ave. Promotion</t>
  </si>
  <si>
    <t>Grad. Rate</t>
  </si>
  <si>
    <t>REPETITION RATES IN PUBLIC AND PRIVATE ELEMENTARY SCHOOLS</t>
  </si>
  <si>
    <t>Ave. Repetition</t>
  </si>
  <si>
    <t>Repetition Rate</t>
  </si>
  <si>
    <t>SCHOOL LEAVER RATES IN PUBLIC AND PRIVATE ELEMENTARY SCHOOLS</t>
  </si>
  <si>
    <t>Ave. School</t>
  </si>
  <si>
    <t>Leaver Rate</t>
  </si>
  <si>
    <t>School Leaver Rate</t>
  </si>
  <si>
    <t>(GRADE 1 TO GRADE 6)</t>
  </si>
  <si>
    <t>Graduation</t>
  </si>
  <si>
    <t>COHORT SURVIVAL RATE AND COMPLETION RATE IN PUBLIC AND PRIVATE JUNIOR HIGH SCHOOL</t>
  </si>
  <si>
    <t>(GRADE 7 TO GRADE 10)</t>
  </si>
  <si>
    <t>Note:   Computed using UNESCO's template for assessing internal efficiency   (Including SUCs)</t>
  </si>
  <si>
    <t>Grade 7</t>
  </si>
  <si>
    <t>Grade 8</t>
  </si>
  <si>
    <t>Grade 9</t>
  </si>
  <si>
    <t>Grade 10</t>
  </si>
  <si>
    <t>PROMOTION RATE AND GRADUATION RATE IN PUBLIC AND PRIVATE JUNIOR HIGH SCHOOL</t>
  </si>
  <si>
    <t>REPETITION RATE IN PUBLIC AND PRIVATE JUNIOR HIGH SCHOOL</t>
  </si>
  <si>
    <t>SCHOOL LEAVER RATE IN PUBLIC AND PRIVATE JUNIOR HIGH SCHOOL</t>
  </si>
  <si>
    <t xml:space="preserve"> COHORT SURVIVAL RATE AND COMPLETION RATE IN PUBLIC AND PRIVATE JHS to SHS</t>
  </si>
  <si>
    <t>(Grade 7 to Grade 12)</t>
  </si>
  <si>
    <t>Grade10</t>
  </si>
  <si>
    <t>Grade 11</t>
  </si>
  <si>
    <t>Grade 12</t>
  </si>
  <si>
    <t>PROMOTION RATE AND GRADUATION RATE IN PUBLIC AND PRIVATE JHS to SHS</t>
  </si>
  <si>
    <t xml:space="preserve">Grade 12
</t>
  </si>
  <si>
    <t>SCHOOL LEAVER RATE IN PUBLIC AND PRIVATE JHS to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</si>
</sst>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0.0000000%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rgb="FF0000FF"/>
      <name val="Arial"/>
      <family val="2"/>
    </font>
    <font>
      <b/>
      <i/>
      <sz val="10"/>
      <color rgb="FFC00000"/>
      <name val="Arial"/>
      <family val="2"/>
    </font>
    <font>
      <sz val="8"/>
      <color rgb="FFC00000"/>
      <name val="Arial"/>
      <family val="2"/>
    </font>
    <font>
      <sz val="8"/>
      <name val="Arial Narrow"/>
      <family val="2"/>
    </font>
    <font>
      <b/>
      <sz val="8"/>
      <color rgb="FFC00000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b/>
      <sz val="9"/>
      <color rgb="FFFF000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11"/>
      <color rgb="FFFF0000"/>
      <name val="Arial"/>
      <family val="2"/>
    </font>
    <font>
      <b/>
      <u/>
      <sz val="10"/>
      <color indexed="10"/>
      <name val="Arial"/>
      <family val="2"/>
    </font>
    <font>
      <b/>
      <i/>
      <sz val="11"/>
      <color rgb="FF0000FF"/>
      <name val="Arial"/>
      <family val="2"/>
    </font>
    <font>
      <b/>
      <sz val="11"/>
      <color rgb="FFC0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38" fontId="2" fillId="2" borderId="0" applyNumberFormat="0" applyBorder="0" applyAlignment="0" applyProtection="0"/>
    <xf numFmtId="10" fontId="2" fillId="3" borderId="26" applyNumberFormat="0" applyBorder="0" applyAlignment="0" applyProtection="0"/>
    <xf numFmtId="166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27">
    <xf numFmtId="0" fontId="0" fillId="0" borderId="0" xfId="0"/>
    <xf numFmtId="0" fontId="2" fillId="0" borderId="0" xfId="0" applyFont="1"/>
    <xf numFmtId="4" fontId="2" fillId="0" borderId="0" xfId="0" applyNumberFormat="1" applyFont="1"/>
    <xf numFmtId="49" fontId="5" fillId="0" borderId="7" xfId="0" applyNumberFormat="1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5" xfId="0" applyFont="1" applyBorder="1"/>
    <xf numFmtId="4" fontId="5" fillId="0" borderId="0" xfId="0" applyNumberFormat="1" applyFont="1"/>
    <xf numFmtId="10" fontId="5" fillId="0" borderId="0" xfId="1" applyNumberFormat="1" applyFont="1" applyFill="1"/>
    <xf numFmtId="10" fontId="5" fillId="0" borderId="0" xfId="1" applyNumberFormat="1" applyFont="1" applyFill="1" applyBorder="1" applyAlignment="1">
      <alignment vertical="center"/>
    </xf>
    <xf numFmtId="0" fontId="5" fillId="0" borderId="0" xfId="0" applyFont="1"/>
    <xf numFmtId="10" fontId="5" fillId="0" borderId="0" xfId="1" applyNumberFormat="1" applyFont="1" applyFill="1" applyAlignment="1">
      <alignment horizontal="center" vertical="top"/>
    </xf>
    <xf numFmtId="0" fontId="2" fillId="0" borderId="0" xfId="11" applyFont="1"/>
    <xf numFmtId="2" fontId="2" fillId="0" borderId="0" xfId="11" applyNumberFormat="1" applyFont="1"/>
    <xf numFmtId="10" fontId="2" fillId="0" borderId="0" xfId="1" applyNumberFormat="1" applyFont="1"/>
    <xf numFmtId="0" fontId="5" fillId="0" borderId="0" xfId="11" applyFont="1"/>
    <xf numFmtId="49" fontId="5" fillId="0" borderId="7" xfId="11" applyNumberFormat="1" applyFont="1" applyBorder="1"/>
    <xf numFmtId="0" fontId="2" fillId="0" borderId="9" xfId="11" applyFont="1" applyBorder="1"/>
    <xf numFmtId="0" fontId="2" fillId="0" borderId="5" xfId="11" applyFont="1" applyBorder="1"/>
    <xf numFmtId="0" fontId="2" fillId="0" borderId="15" xfId="11" applyFont="1" applyBorder="1"/>
    <xf numFmtId="0" fontId="5" fillId="0" borderId="0" xfId="11" quotePrefix="1" applyFont="1"/>
    <xf numFmtId="3" fontId="5" fillId="0" borderId="0" xfId="11" applyNumberFormat="1" applyFont="1" applyAlignment="1">
      <alignment vertical="center"/>
    </xf>
    <xf numFmtId="0" fontId="7" fillId="0" borderId="0" xfId="0" applyFont="1" applyAlignment="1">
      <alignment horizontal="center" vertical="top"/>
    </xf>
    <xf numFmtId="3" fontId="7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9" fillId="0" borderId="21" xfId="0" applyNumberFormat="1" applyFont="1" applyBorder="1" applyAlignment="1">
      <alignment horizontal="left" vertical="center"/>
    </xf>
    <xf numFmtId="3" fontId="10" fillId="0" borderId="0" xfId="0" applyNumberFormat="1" applyFont="1" applyAlignment="1">
      <alignment vertical="center"/>
    </xf>
    <xf numFmtId="10" fontId="5" fillId="0" borderId="0" xfId="1" applyNumberFormat="1" applyFont="1"/>
    <xf numFmtId="165" fontId="5" fillId="0" borderId="0" xfId="5" applyFont="1"/>
    <xf numFmtId="0" fontId="10" fillId="0" borderId="0" xfId="14" applyFont="1"/>
    <xf numFmtId="0" fontId="11" fillId="0" borderId="0" xfId="14" applyFont="1"/>
    <xf numFmtId="49" fontId="5" fillId="0" borderId="33" xfId="0" applyNumberFormat="1" applyFont="1" applyBorder="1" applyAlignment="1">
      <alignment horizontal="center" vertical="center" wrapText="1"/>
    </xf>
    <xf numFmtId="10" fontId="5" fillId="0" borderId="30" xfId="1" applyNumberFormat="1" applyFont="1" applyBorder="1" applyAlignment="1">
      <alignment horizontal="center"/>
    </xf>
    <xf numFmtId="10" fontId="5" fillId="0" borderId="18" xfId="1" applyNumberFormat="1" applyFont="1" applyBorder="1" applyAlignment="1">
      <alignment horizontal="center"/>
    </xf>
    <xf numFmtId="165" fontId="5" fillId="0" borderId="18" xfId="5" applyFont="1" applyBorder="1" applyAlignment="1">
      <alignment horizontal="center"/>
    </xf>
    <xf numFmtId="4" fontId="5" fillId="0" borderId="39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10" fontId="5" fillId="0" borderId="4" xfId="1" applyNumberFormat="1" applyFont="1" applyBorder="1" applyAlignment="1">
      <alignment horizontal="center"/>
    </xf>
    <xf numFmtId="10" fontId="5" fillId="0" borderId="2" xfId="1" applyNumberFormat="1" applyFont="1" applyBorder="1" applyAlignment="1">
      <alignment horizontal="center"/>
    </xf>
    <xf numFmtId="10" fontId="5" fillId="0" borderId="41" xfId="1" applyNumberFormat="1" applyFont="1" applyBorder="1" applyAlignment="1">
      <alignment horizontal="center"/>
    </xf>
    <xf numFmtId="10" fontId="5" fillId="0" borderId="42" xfId="1" applyNumberFormat="1" applyFont="1" applyBorder="1" applyAlignment="1">
      <alignment horizontal="center"/>
    </xf>
    <xf numFmtId="10" fontId="5" fillId="0" borderId="20" xfId="1" applyNumberFormat="1" applyFont="1" applyBorder="1" applyAlignment="1">
      <alignment horizontal="center"/>
    </xf>
    <xf numFmtId="165" fontId="5" fillId="0" borderId="20" xfId="5" applyFont="1" applyBorder="1" applyAlignment="1">
      <alignment horizontal="center"/>
    </xf>
    <xf numFmtId="4" fontId="5" fillId="0" borderId="2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0" fontId="5" fillId="0" borderId="3" xfId="1" applyNumberFormat="1" applyFont="1" applyBorder="1" applyAlignment="1">
      <alignment horizontal="center"/>
    </xf>
    <xf numFmtId="0" fontId="12" fillId="0" borderId="5" xfId="0" applyFont="1" applyBorder="1"/>
    <xf numFmtId="10" fontId="2" fillId="0" borderId="43" xfId="1" applyNumberFormat="1" applyFont="1" applyBorder="1"/>
    <xf numFmtId="10" fontId="2" fillId="0" borderId="16" xfId="1" applyNumberFormat="1" applyFont="1" applyBorder="1"/>
    <xf numFmtId="4" fontId="2" fillId="0" borderId="16" xfId="1" applyNumberFormat="1" applyFont="1" applyBorder="1"/>
    <xf numFmtId="165" fontId="2" fillId="0" borderId="15" xfId="5" applyFont="1" applyBorder="1"/>
    <xf numFmtId="10" fontId="2" fillId="0" borderId="0" xfId="0" applyNumberFormat="1" applyFont="1"/>
    <xf numFmtId="10" fontId="2" fillId="0" borderId="8" xfId="1" applyNumberFormat="1" applyFont="1" applyBorder="1"/>
    <xf numFmtId="10" fontId="2" fillId="0" borderId="6" xfId="1" applyNumberFormat="1" applyFont="1" applyBorder="1"/>
    <xf numFmtId="4" fontId="2" fillId="0" borderId="6" xfId="1" applyNumberFormat="1" applyFont="1" applyBorder="1"/>
    <xf numFmtId="165" fontId="2" fillId="0" borderId="5" xfId="5" applyFont="1" applyBorder="1"/>
    <xf numFmtId="49" fontId="5" fillId="0" borderId="11" xfId="0" applyNumberFormat="1" applyFont="1" applyBorder="1"/>
    <xf numFmtId="0" fontId="12" fillId="0" borderId="9" xfId="0" applyFont="1" applyBorder="1"/>
    <xf numFmtId="10" fontId="2" fillId="0" borderId="44" xfId="1" applyNumberFormat="1" applyFont="1" applyBorder="1"/>
    <xf numFmtId="10" fontId="2" fillId="0" borderId="10" xfId="1" applyNumberFormat="1" applyFont="1" applyBorder="1"/>
    <xf numFmtId="4" fontId="2" fillId="0" borderId="10" xfId="1" applyNumberFormat="1" applyFont="1" applyBorder="1"/>
    <xf numFmtId="165" fontId="2" fillId="0" borderId="9" xfId="5" applyFont="1" applyBorder="1"/>
    <xf numFmtId="165" fontId="2" fillId="0" borderId="19" xfId="5" applyFont="1" applyBorder="1"/>
    <xf numFmtId="4" fontId="2" fillId="0" borderId="22" xfId="1" applyNumberFormat="1" applyFont="1" applyBorder="1"/>
    <xf numFmtId="4" fontId="2" fillId="0" borderId="6" xfId="1" applyNumberFormat="1" applyFont="1" applyFill="1" applyBorder="1"/>
    <xf numFmtId="10" fontId="5" fillId="0" borderId="43" xfId="1" applyNumberFormat="1" applyFont="1" applyBorder="1"/>
    <xf numFmtId="10" fontId="5" fillId="0" borderId="16" xfId="1" applyNumberFormat="1" applyFont="1" applyBorder="1"/>
    <xf numFmtId="4" fontId="5" fillId="0" borderId="16" xfId="1" applyNumberFormat="1" applyFont="1" applyBorder="1"/>
    <xf numFmtId="10" fontId="5" fillId="0" borderId="8" xfId="1" applyNumberFormat="1" applyFont="1" applyBorder="1"/>
    <xf numFmtId="10" fontId="5" fillId="0" borderId="6" xfId="1" applyNumberFormat="1" applyFont="1" applyBorder="1"/>
    <xf numFmtId="10" fontId="15" fillId="0" borderId="37" xfId="1" applyNumberFormat="1" applyFont="1" applyBorder="1" applyAlignment="1">
      <alignment horizontal="center"/>
    </xf>
    <xf numFmtId="10" fontId="15" fillId="0" borderId="41" xfId="1" applyNumberFormat="1" applyFont="1" applyBorder="1" applyAlignment="1">
      <alignment horizontal="center"/>
    </xf>
    <xf numFmtId="49" fontId="5" fillId="0" borderId="14" xfId="0" applyNumberFormat="1" applyFont="1" applyBorder="1"/>
    <xf numFmtId="0" fontId="2" fillId="0" borderId="22" xfId="0" applyFont="1" applyBorder="1"/>
    <xf numFmtId="10" fontId="2" fillId="0" borderId="45" xfId="1" applyNumberFormat="1" applyFont="1" applyBorder="1"/>
    <xf numFmtId="10" fontId="2" fillId="0" borderId="22" xfId="1" applyNumberFormat="1" applyFont="1" applyBorder="1"/>
    <xf numFmtId="10" fontId="5" fillId="0" borderId="19" xfId="1" applyNumberFormat="1" applyFont="1" applyBorder="1"/>
    <xf numFmtId="10" fontId="5" fillId="0" borderId="45" xfId="1" applyNumberFormat="1" applyFont="1" applyBorder="1"/>
    <xf numFmtId="10" fontId="2" fillId="0" borderId="46" xfId="0" applyNumberFormat="1" applyFont="1" applyBorder="1"/>
    <xf numFmtId="4" fontId="2" fillId="0" borderId="43" xfId="1" applyNumberFormat="1" applyFont="1" applyBorder="1"/>
    <xf numFmtId="0" fontId="2" fillId="0" borderId="6" xfId="0" applyFont="1" applyBorder="1"/>
    <xf numFmtId="10" fontId="5" fillId="0" borderId="5" xfId="1" applyNumberFormat="1" applyFont="1" applyBorder="1"/>
    <xf numFmtId="4" fontId="2" fillId="0" borderId="8" xfId="1" applyNumberFormat="1" applyFont="1" applyBorder="1"/>
    <xf numFmtId="0" fontId="2" fillId="0" borderId="10" xfId="0" applyFont="1" applyBorder="1"/>
    <xf numFmtId="10" fontId="5" fillId="0" borderId="9" xfId="1" applyNumberFormat="1" applyFont="1" applyBorder="1"/>
    <xf numFmtId="10" fontId="5" fillId="0" borderId="44" xfId="1" applyNumberFormat="1" applyFont="1" applyBorder="1"/>
    <xf numFmtId="49" fontId="5" fillId="4" borderId="14" xfId="0" applyNumberFormat="1" applyFont="1" applyFill="1" applyBorder="1"/>
    <xf numFmtId="0" fontId="5" fillId="4" borderId="22" xfId="0" applyFont="1" applyFill="1" applyBorder="1"/>
    <xf numFmtId="10" fontId="5" fillId="4" borderId="45" xfId="1" applyNumberFormat="1" applyFont="1" applyFill="1" applyBorder="1"/>
    <xf numFmtId="10" fontId="5" fillId="4" borderId="22" xfId="1" applyNumberFormat="1" applyFont="1" applyFill="1" applyBorder="1"/>
    <xf numFmtId="10" fontId="5" fillId="4" borderId="19" xfId="1" applyNumberFormat="1" applyFont="1" applyFill="1" applyBorder="1"/>
    <xf numFmtId="10" fontId="5" fillId="4" borderId="46" xfId="0" applyNumberFormat="1" applyFont="1" applyFill="1" applyBorder="1"/>
    <xf numFmtId="4" fontId="5" fillId="4" borderId="22" xfId="1" applyNumberFormat="1" applyFont="1" applyFill="1" applyBorder="1"/>
    <xf numFmtId="165" fontId="5" fillId="4" borderId="19" xfId="5" applyFont="1" applyFill="1" applyBorder="1"/>
    <xf numFmtId="49" fontId="5" fillId="4" borderId="7" xfId="0" applyNumberFormat="1" applyFont="1" applyFill="1" applyBorder="1"/>
    <xf numFmtId="0" fontId="5" fillId="4" borderId="6" xfId="0" applyFont="1" applyFill="1" applyBorder="1"/>
    <xf numFmtId="10" fontId="5" fillId="4" borderId="8" xfId="1" applyNumberFormat="1" applyFont="1" applyFill="1" applyBorder="1"/>
    <xf numFmtId="10" fontId="5" fillId="4" borderId="6" xfId="1" applyNumberFormat="1" applyFont="1" applyFill="1" applyBorder="1"/>
    <xf numFmtId="10" fontId="5" fillId="4" borderId="5" xfId="1" applyNumberFormat="1" applyFont="1" applyFill="1" applyBorder="1"/>
    <xf numFmtId="4" fontId="5" fillId="4" borderId="6" xfId="1" applyNumberFormat="1" applyFont="1" applyFill="1" applyBorder="1"/>
    <xf numFmtId="165" fontId="5" fillId="4" borderId="5" xfId="5" applyFont="1" applyFill="1" applyBorder="1"/>
    <xf numFmtId="49" fontId="5" fillId="4" borderId="3" xfId="0" applyNumberFormat="1" applyFont="1" applyFill="1" applyBorder="1"/>
    <xf numFmtId="0" fontId="5" fillId="4" borderId="2" xfId="0" applyFont="1" applyFill="1" applyBorder="1"/>
    <xf numFmtId="10" fontId="5" fillId="4" borderId="44" xfId="1" applyNumberFormat="1" applyFont="1" applyFill="1" applyBorder="1"/>
    <xf numFmtId="10" fontId="5" fillId="4" borderId="10" xfId="1" applyNumberFormat="1" applyFont="1" applyFill="1" applyBorder="1"/>
    <xf numFmtId="10" fontId="5" fillId="4" borderId="9" xfId="1" applyNumberFormat="1" applyFont="1" applyFill="1" applyBorder="1"/>
    <xf numFmtId="4" fontId="5" fillId="4" borderId="10" xfId="1" applyNumberFormat="1" applyFont="1" applyFill="1" applyBorder="1"/>
    <xf numFmtId="165" fontId="5" fillId="4" borderId="9" xfId="5" applyFont="1" applyFill="1" applyBorder="1"/>
    <xf numFmtId="49" fontId="5" fillId="0" borderId="0" xfId="14" applyNumberFormat="1" applyFont="1"/>
    <xf numFmtId="0" fontId="2" fillId="0" borderId="0" xfId="14" applyFont="1"/>
    <xf numFmtId="49" fontId="5" fillId="0" borderId="27" xfId="0" applyNumberFormat="1" applyFont="1" applyBorder="1" applyAlignment="1">
      <alignment vertical="center" wrapText="1"/>
    </xf>
    <xf numFmtId="4" fontId="15" fillId="0" borderId="37" xfId="1" applyNumberFormat="1" applyFont="1" applyBorder="1" applyAlignment="1">
      <alignment horizontal="center"/>
    </xf>
    <xf numFmtId="4" fontId="15" fillId="0" borderId="41" xfId="1" applyNumberFormat="1" applyFont="1" applyBorder="1" applyAlignment="1">
      <alignment horizontal="center"/>
    </xf>
    <xf numFmtId="10" fontId="5" fillId="0" borderId="0" xfId="1" applyNumberFormat="1" applyFont="1" applyFill="1" applyBorder="1" applyAlignment="1">
      <alignment horizontal="center"/>
    </xf>
    <xf numFmtId="10" fontId="5" fillId="0" borderId="23" xfId="1" applyNumberFormat="1" applyFont="1" applyBorder="1" applyAlignment="1">
      <alignment horizontal="center"/>
    </xf>
    <xf numFmtId="165" fontId="2" fillId="0" borderId="0" xfId="5" applyFont="1" applyFill="1" applyBorder="1"/>
    <xf numFmtId="2" fontId="2" fillId="0" borderId="0" xfId="0" applyNumberFormat="1" applyFont="1"/>
    <xf numFmtId="10" fontId="2" fillId="0" borderId="45" xfId="1" applyNumberFormat="1" applyFont="1" applyFill="1" applyBorder="1"/>
    <xf numFmtId="10" fontId="2" fillId="0" borderId="22" xfId="1" applyNumberFormat="1" applyFont="1" applyFill="1" applyBorder="1"/>
    <xf numFmtId="10" fontId="5" fillId="0" borderId="19" xfId="1" applyNumberFormat="1" applyFont="1" applyFill="1" applyBorder="1"/>
    <xf numFmtId="10" fontId="5" fillId="0" borderId="45" xfId="1" applyNumberFormat="1" applyFont="1" applyFill="1" applyBorder="1"/>
    <xf numFmtId="4" fontId="2" fillId="0" borderId="22" xfId="1" applyNumberFormat="1" applyFont="1" applyFill="1" applyBorder="1"/>
    <xf numFmtId="165" fontId="2" fillId="0" borderId="19" xfId="5" applyFont="1" applyFill="1" applyBorder="1"/>
    <xf numFmtId="10" fontId="11" fillId="0" borderId="0" xfId="0" applyNumberFormat="1" applyFont="1"/>
    <xf numFmtId="2" fontId="11" fillId="0" borderId="0" xfId="0" applyNumberFormat="1" applyFont="1"/>
    <xf numFmtId="49" fontId="16" fillId="0" borderId="7" xfId="0" applyNumberFormat="1" applyFont="1" applyBorder="1"/>
    <xf numFmtId="10" fontId="2" fillId="0" borderId="8" xfId="1" applyNumberFormat="1" applyFont="1" applyFill="1" applyBorder="1"/>
    <xf numFmtId="10" fontId="2" fillId="0" borderId="6" xfId="1" applyNumberFormat="1" applyFont="1" applyFill="1" applyBorder="1"/>
    <xf numFmtId="10" fontId="5" fillId="0" borderId="5" xfId="1" applyNumberFormat="1" applyFont="1" applyFill="1" applyBorder="1"/>
    <xf numFmtId="10" fontId="5" fillId="0" borderId="8" xfId="1" applyNumberFormat="1" applyFont="1" applyFill="1" applyBorder="1"/>
    <xf numFmtId="165" fontId="2" fillId="0" borderId="5" xfId="5" applyFont="1" applyFill="1" applyBorder="1"/>
    <xf numFmtId="10" fontId="2" fillId="0" borderId="44" xfId="1" applyNumberFormat="1" applyFont="1" applyFill="1" applyBorder="1"/>
    <xf numFmtId="10" fontId="2" fillId="0" borderId="10" xfId="1" applyNumberFormat="1" applyFont="1" applyFill="1" applyBorder="1"/>
    <xf numFmtId="10" fontId="5" fillId="0" borderId="9" xfId="1" applyNumberFormat="1" applyFont="1" applyFill="1" applyBorder="1"/>
    <xf numFmtId="10" fontId="5" fillId="0" borderId="44" xfId="1" applyNumberFormat="1" applyFont="1" applyFill="1" applyBorder="1"/>
    <xf numFmtId="4" fontId="2" fillId="0" borderId="10" xfId="1" applyNumberFormat="1" applyFont="1" applyFill="1" applyBorder="1"/>
    <xf numFmtId="165" fontId="2" fillId="0" borderId="9" xfId="5" applyFont="1" applyFill="1" applyBorder="1"/>
    <xf numFmtId="49" fontId="5" fillId="0" borderId="0" xfId="0" applyNumberFormat="1" applyFont="1"/>
    <xf numFmtId="0" fontId="5" fillId="0" borderId="0" xfId="14" applyFont="1"/>
    <xf numFmtId="0" fontId="5" fillId="0" borderId="0" xfId="14" applyFont="1" applyAlignment="1">
      <alignment horizontal="center"/>
    </xf>
    <xf numFmtId="0" fontId="17" fillId="0" borderId="0" xfId="14" applyFont="1" applyAlignment="1">
      <alignment horizontal="center"/>
    </xf>
    <xf numFmtId="0" fontId="18" fillId="0" borderId="0" xfId="14" applyFont="1" applyAlignment="1">
      <alignment horizontal="center"/>
    </xf>
    <xf numFmtId="0" fontId="5" fillId="0" borderId="0" xfId="14" applyFont="1" applyAlignment="1">
      <alignment horizontal="center" vertical="top"/>
    </xf>
    <xf numFmtId="0" fontId="17" fillId="0" borderId="0" xfId="14" applyFont="1" applyAlignment="1">
      <alignment horizontal="center" vertical="top"/>
    </xf>
    <xf numFmtId="0" fontId="18" fillId="0" borderId="0" xfId="14" applyFont="1" applyAlignment="1">
      <alignment horizontal="center" vertical="top"/>
    </xf>
    <xf numFmtId="4" fontId="5" fillId="0" borderId="0" xfId="14" applyNumberFormat="1" applyFont="1"/>
    <xf numFmtId="10" fontId="17" fillId="0" borderId="0" xfId="1" applyNumberFormat="1" applyFont="1" applyFill="1" applyAlignment="1">
      <alignment horizontal="center" vertical="top"/>
    </xf>
    <xf numFmtId="4" fontId="17" fillId="0" borderId="0" xfId="14" applyNumberFormat="1" applyFont="1"/>
    <xf numFmtId="10" fontId="18" fillId="0" borderId="0" xfId="1" applyNumberFormat="1" applyFont="1" applyFill="1" applyAlignment="1">
      <alignment horizontal="center" vertical="top"/>
    </xf>
    <xf numFmtId="4" fontId="18" fillId="0" borderId="0" xfId="14" applyNumberFormat="1" applyFont="1"/>
    <xf numFmtId="3" fontId="5" fillId="0" borderId="0" xfId="14" applyNumberFormat="1" applyFont="1" applyAlignment="1">
      <alignment vertical="center"/>
    </xf>
    <xf numFmtId="0" fontId="5" fillId="0" borderId="0" xfId="14" quotePrefix="1" applyFont="1"/>
    <xf numFmtId="10" fontId="5" fillId="0" borderId="0" xfId="1" applyNumberFormat="1" applyFont="1" applyBorder="1" applyAlignment="1">
      <alignment vertical="center"/>
    </xf>
    <xf numFmtId="4" fontId="2" fillId="0" borderId="0" xfId="14" applyNumberFormat="1" applyFont="1"/>
    <xf numFmtId="3" fontId="17" fillId="0" borderId="0" xfId="14" applyNumberFormat="1" applyFont="1" applyAlignment="1">
      <alignment vertical="center"/>
    </xf>
    <xf numFmtId="0" fontId="17" fillId="0" borderId="0" xfId="14" quotePrefix="1" applyFont="1"/>
    <xf numFmtId="10" fontId="17" fillId="0" borderId="0" xfId="1" applyNumberFormat="1" applyFont="1" applyBorder="1" applyAlignment="1">
      <alignment vertical="center"/>
    </xf>
    <xf numFmtId="3" fontId="18" fillId="0" borderId="0" xfId="14" applyNumberFormat="1" applyFont="1" applyAlignment="1">
      <alignment vertical="center"/>
    </xf>
    <xf numFmtId="0" fontId="18" fillId="0" borderId="0" xfId="14" quotePrefix="1" applyFont="1"/>
    <xf numFmtId="10" fontId="18" fillId="0" borderId="0" xfId="1" applyNumberFormat="1" applyFont="1" applyBorder="1" applyAlignment="1">
      <alignment vertical="center"/>
    </xf>
    <xf numFmtId="3" fontId="10" fillId="0" borderId="21" xfId="0" applyNumberFormat="1" applyFont="1" applyBorder="1" applyAlignment="1">
      <alignment vertical="center"/>
    </xf>
    <xf numFmtId="10" fontId="17" fillId="0" borderId="0" xfId="1" applyNumberFormat="1" applyFont="1"/>
    <xf numFmtId="10" fontId="18" fillId="0" borderId="0" xfId="1" applyNumberFormat="1" applyFont="1"/>
    <xf numFmtId="10" fontId="5" fillId="0" borderId="17" xfId="1" applyNumberFormat="1" applyFont="1" applyBorder="1" applyAlignment="1">
      <alignment horizontal="center"/>
    </xf>
    <xf numFmtId="10" fontId="5" fillId="0" borderId="16" xfId="1" applyNumberFormat="1" applyFont="1" applyBorder="1" applyAlignment="1">
      <alignment horizontal="center"/>
    </xf>
    <xf numFmtId="10" fontId="5" fillId="0" borderId="37" xfId="1" applyNumberFormat="1" applyFont="1" applyBorder="1" applyAlignment="1">
      <alignment horizontal="center"/>
    </xf>
    <xf numFmtId="10" fontId="5" fillId="0" borderId="43" xfId="1" applyNumberFormat="1" applyFont="1" applyBorder="1" applyAlignment="1">
      <alignment horizontal="center"/>
    </xf>
    <xf numFmtId="4" fontId="2" fillId="0" borderId="15" xfId="14" applyNumberFormat="1" applyFont="1" applyBorder="1" applyAlignment="1">
      <alignment horizontal="center"/>
    </xf>
    <xf numFmtId="4" fontId="2" fillId="0" borderId="1" xfId="14" applyNumberFormat="1" applyFont="1" applyBorder="1" applyAlignment="1">
      <alignment horizontal="center"/>
    </xf>
    <xf numFmtId="2" fontId="2" fillId="0" borderId="0" xfId="14" applyNumberFormat="1" applyFont="1"/>
    <xf numFmtId="4" fontId="12" fillId="0" borderId="15" xfId="0" applyNumberFormat="1" applyFont="1" applyBorder="1" applyAlignment="1">
      <alignment horizontal="center"/>
    </xf>
    <xf numFmtId="4" fontId="12" fillId="0" borderId="9" xfId="0" applyNumberFormat="1" applyFont="1" applyBorder="1" applyAlignment="1">
      <alignment horizontal="center"/>
    </xf>
    <xf numFmtId="2" fontId="2" fillId="0" borderId="6" xfId="0" applyNumberFormat="1" applyFont="1" applyBorder="1"/>
    <xf numFmtId="10" fontId="5" fillId="0" borderId="10" xfId="1" applyNumberFormat="1" applyFont="1" applyBorder="1"/>
    <xf numFmtId="2" fontId="2" fillId="4" borderId="6" xfId="0" applyNumberFormat="1" applyFont="1" applyFill="1" applyBorder="1"/>
    <xf numFmtId="10" fontId="2" fillId="4" borderId="6" xfId="1" applyNumberFormat="1" applyFont="1" applyFill="1" applyBorder="1"/>
    <xf numFmtId="10" fontId="2" fillId="4" borderId="10" xfId="1" applyNumberFormat="1" applyFont="1" applyFill="1" applyBorder="1"/>
    <xf numFmtId="4" fontId="15" fillId="0" borderId="0" xfId="0" applyNumberFormat="1" applyFont="1" applyAlignment="1">
      <alignment horizontal="center"/>
    </xf>
    <xf numFmtId="10" fontId="5" fillId="0" borderId="6" xfId="1" applyNumberFormat="1" applyFont="1" applyFill="1" applyBorder="1"/>
    <xf numFmtId="10" fontId="2" fillId="0" borderId="0" xfId="14" applyNumberFormat="1" applyFont="1"/>
    <xf numFmtId="10" fontId="5" fillId="0" borderId="10" xfId="1" applyNumberFormat="1" applyFont="1" applyFill="1" applyBorder="1"/>
    <xf numFmtId="10" fontId="11" fillId="0" borderId="0" xfId="14" applyNumberFormat="1" applyFont="1"/>
    <xf numFmtId="2" fontId="11" fillId="0" borderId="0" xfId="14" applyNumberFormat="1" applyFont="1"/>
    <xf numFmtId="49" fontId="5" fillId="0" borderId="14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10" fontId="5" fillId="0" borderId="18" xfId="1" applyNumberFormat="1" applyFont="1" applyFill="1" applyBorder="1" applyAlignment="1">
      <alignment horizontal="center"/>
    </xf>
    <xf numFmtId="10" fontId="5" fillId="0" borderId="20" xfId="1" applyNumberFormat="1" applyFont="1" applyFill="1" applyBorder="1" applyAlignment="1">
      <alignment horizontal="center"/>
    </xf>
    <xf numFmtId="10" fontId="5" fillId="0" borderId="6" xfId="1" applyNumberFormat="1" applyFont="1" applyBorder="1" applyAlignment="1">
      <alignment horizontal="center"/>
    </xf>
    <xf numFmtId="4" fontId="12" fillId="0" borderId="5" xfId="0" applyNumberFormat="1" applyFont="1" applyBorder="1" applyAlignment="1">
      <alignment horizontal="center"/>
    </xf>
    <xf numFmtId="10" fontId="5" fillId="0" borderId="22" xfId="1" applyNumberFormat="1" applyFont="1" applyBorder="1"/>
    <xf numFmtId="2" fontId="2" fillId="0" borderId="22" xfId="0" applyNumberFormat="1" applyFont="1" applyBorder="1"/>
    <xf numFmtId="2" fontId="2" fillId="4" borderId="22" xfId="0" applyNumberFormat="1" applyFont="1" applyFill="1" applyBorder="1"/>
    <xf numFmtId="10" fontId="5" fillId="0" borderId="0" xfId="1" applyNumberFormat="1" applyFont="1" applyFill="1" applyBorder="1" applyAlignment="1">
      <alignment horizontal="left"/>
    </xf>
    <xf numFmtId="10" fontId="5" fillId="0" borderId="22" xfId="1" applyNumberFormat="1" applyFont="1" applyFill="1" applyBorder="1"/>
    <xf numFmtId="169" fontId="5" fillId="0" borderId="0" xfId="1" applyNumberFormat="1" applyFont="1" applyFill="1" applyBorder="1" applyAlignment="1">
      <alignment vertical="center"/>
    </xf>
    <xf numFmtId="4" fontId="2" fillId="0" borderId="32" xfId="14" applyNumberFormat="1" applyFont="1" applyBorder="1" applyAlignment="1">
      <alignment horizontal="center"/>
    </xf>
    <xf numFmtId="4" fontId="2" fillId="0" borderId="29" xfId="14" applyNumberFormat="1" applyFont="1" applyBorder="1" applyAlignment="1">
      <alignment horizontal="center"/>
    </xf>
    <xf numFmtId="2" fontId="2" fillId="0" borderId="19" xfId="0" applyNumberFormat="1" applyFont="1" applyBorder="1"/>
    <xf numFmtId="10" fontId="2" fillId="0" borderId="5" xfId="1" applyNumberFormat="1" applyFont="1" applyBorder="1"/>
    <xf numFmtId="10" fontId="2" fillId="0" borderId="9" xfId="1" applyNumberFormat="1" applyFont="1" applyBorder="1"/>
    <xf numFmtId="10" fontId="2" fillId="0" borderId="5" xfId="1" applyNumberFormat="1" applyFont="1" applyFill="1" applyBorder="1"/>
    <xf numFmtId="0" fontId="13" fillId="0" borderId="0" xfId="14" applyFont="1"/>
    <xf numFmtId="2" fontId="2" fillId="4" borderId="19" xfId="0" applyNumberFormat="1" applyFont="1" applyFill="1" applyBorder="1"/>
    <xf numFmtId="10" fontId="2" fillId="4" borderId="5" xfId="1" applyNumberFormat="1" applyFont="1" applyFill="1" applyBorder="1"/>
    <xf numFmtId="10" fontId="5" fillId="4" borderId="2" xfId="1" applyNumberFormat="1" applyFont="1" applyFill="1" applyBorder="1"/>
    <xf numFmtId="10" fontId="2" fillId="4" borderId="1" xfId="1" applyNumberFormat="1" applyFont="1" applyFill="1" applyBorder="1"/>
    <xf numFmtId="10" fontId="2" fillId="0" borderId="9" xfId="1" applyNumberFormat="1" applyFont="1" applyFill="1" applyBorder="1"/>
    <xf numFmtId="0" fontId="22" fillId="0" borderId="0" xfId="0" applyFont="1" applyAlignment="1">
      <alignment horizontal="left" vertical="top"/>
    </xf>
    <xf numFmtId="10" fontId="5" fillId="0" borderId="15" xfId="1" applyNumberFormat="1" applyFont="1" applyBorder="1"/>
    <xf numFmtId="4" fontId="5" fillId="0" borderId="6" xfId="1" applyNumberFormat="1" applyFont="1" applyBorder="1"/>
    <xf numFmtId="4" fontId="5" fillId="0" borderId="10" xfId="1" applyNumberFormat="1" applyFont="1" applyBorder="1"/>
    <xf numFmtId="4" fontId="5" fillId="0" borderId="22" xfId="1" applyNumberFormat="1" applyFont="1" applyBorder="1"/>
    <xf numFmtId="4" fontId="5" fillId="0" borderId="6" xfId="1" applyNumberFormat="1" applyFont="1" applyFill="1" applyBorder="1"/>
    <xf numFmtId="4" fontId="2" fillId="0" borderId="44" xfId="1" applyNumberFormat="1" applyFont="1" applyBorder="1"/>
    <xf numFmtId="4" fontId="5" fillId="4" borderId="8" xfId="1" applyNumberFormat="1" applyFont="1" applyFill="1" applyBorder="1"/>
    <xf numFmtId="4" fontId="5" fillId="4" borderId="44" xfId="1" applyNumberFormat="1" applyFont="1" applyFill="1" applyBorder="1"/>
    <xf numFmtId="10" fontId="15" fillId="0" borderId="0" xfId="1" applyNumberFormat="1" applyFont="1" applyFill="1" applyBorder="1" applyAlignment="1">
      <alignment horizontal="center"/>
    </xf>
    <xf numFmtId="4" fontId="15" fillId="0" borderId="0" xfId="1" applyNumberFormat="1" applyFont="1" applyFill="1" applyBorder="1" applyAlignment="1">
      <alignment horizontal="center"/>
    </xf>
    <xf numFmtId="4" fontId="5" fillId="0" borderId="0" xfId="0" applyNumberFormat="1" applyFont="1" applyAlignment="1">
      <alignment horizontal="center"/>
    </xf>
    <xf numFmtId="10" fontId="5" fillId="0" borderId="43" xfId="1" applyNumberFormat="1" applyFont="1" applyFill="1" applyBorder="1"/>
    <xf numFmtId="10" fontId="5" fillId="0" borderId="16" xfId="1" applyNumberFormat="1" applyFont="1" applyFill="1" applyBorder="1"/>
    <xf numFmtId="10" fontId="5" fillId="0" borderId="15" xfId="1" applyNumberFormat="1" applyFont="1" applyFill="1" applyBorder="1"/>
    <xf numFmtId="4" fontId="5" fillId="0" borderId="16" xfId="1" applyNumberFormat="1" applyFont="1" applyFill="1" applyBorder="1"/>
    <xf numFmtId="4" fontId="5" fillId="0" borderId="10" xfId="1" applyNumberFormat="1" applyFont="1" applyFill="1" applyBorder="1"/>
    <xf numFmtId="4" fontId="2" fillId="0" borderId="8" xfId="1" applyNumberFormat="1" applyFont="1" applyFill="1" applyBorder="1"/>
    <xf numFmtId="10" fontId="3" fillId="0" borderId="0" xfId="0" applyNumberFormat="1" applyFont="1"/>
    <xf numFmtId="2" fontId="3" fillId="0" borderId="0" xfId="0" applyNumberFormat="1" applyFont="1"/>
    <xf numFmtId="4" fontId="2" fillId="0" borderId="44" xfId="1" applyNumberFormat="1" applyFont="1" applyFill="1" applyBorder="1"/>
    <xf numFmtId="0" fontId="7" fillId="0" borderId="0" xfId="14" applyFont="1" applyAlignment="1">
      <alignment horizontal="center" vertical="top"/>
    </xf>
    <xf numFmtId="2" fontId="5" fillId="0" borderId="0" xfId="14" applyNumberFormat="1" applyFont="1"/>
    <xf numFmtId="2" fontId="5" fillId="0" borderId="18" xfId="0" applyNumberFormat="1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2" fontId="2" fillId="0" borderId="15" xfId="1" applyNumberFormat="1" applyFont="1" applyBorder="1"/>
    <xf numFmtId="2" fontId="2" fillId="0" borderId="5" xfId="1" applyNumberFormat="1" applyFont="1" applyBorder="1"/>
    <xf numFmtId="2" fontId="2" fillId="0" borderId="9" xfId="1" applyNumberFormat="1" applyFont="1" applyBorder="1"/>
    <xf numFmtId="10" fontId="5" fillId="4" borderId="43" xfId="1" applyNumberFormat="1" applyFont="1" applyFill="1" applyBorder="1"/>
    <xf numFmtId="10" fontId="5" fillId="4" borderId="16" xfId="1" applyNumberFormat="1" applyFont="1" applyFill="1" applyBorder="1"/>
    <xf numFmtId="10" fontId="5" fillId="4" borderId="15" xfId="1" applyNumberFormat="1" applyFont="1" applyFill="1" applyBorder="1"/>
    <xf numFmtId="2" fontId="5" fillId="4" borderId="15" xfId="1" applyNumberFormat="1" applyFont="1" applyFill="1" applyBorder="1"/>
    <xf numFmtId="2" fontId="5" fillId="4" borderId="5" xfId="1" applyNumberFormat="1" applyFont="1" applyFill="1" applyBorder="1"/>
    <xf numFmtId="10" fontId="5" fillId="4" borderId="4" xfId="1" applyNumberFormat="1" applyFont="1" applyFill="1" applyBorder="1"/>
    <xf numFmtId="10" fontId="5" fillId="4" borderId="1" xfId="1" applyNumberFormat="1" applyFont="1" applyFill="1" applyBorder="1"/>
    <xf numFmtId="2" fontId="5" fillId="4" borderId="1" xfId="1" applyNumberFormat="1" applyFont="1" applyFill="1" applyBorder="1"/>
    <xf numFmtId="0" fontId="23" fillId="0" borderId="0" xfId="14" applyFont="1"/>
    <xf numFmtId="2" fontId="5" fillId="0" borderId="0" xfId="0" applyNumberFormat="1" applyFont="1" applyAlignment="1">
      <alignment horizontal="center"/>
    </xf>
    <xf numFmtId="10" fontId="3" fillId="0" borderId="0" xfId="14" applyNumberFormat="1" applyFont="1"/>
    <xf numFmtId="2" fontId="3" fillId="0" borderId="0" xfId="14" applyNumberFormat="1" applyFont="1"/>
    <xf numFmtId="0" fontId="7" fillId="0" borderId="0" xfId="11" applyFont="1"/>
    <xf numFmtId="0" fontId="20" fillId="0" borderId="0" xfId="11" applyFont="1"/>
    <xf numFmtId="0" fontId="5" fillId="0" borderId="0" xfId="11" applyFont="1" applyAlignment="1">
      <alignment vertical="top"/>
    </xf>
    <xf numFmtId="10" fontId="5" fillId="0" borderId="0" xfId="11" applyNumberFormat="1" applyFont="1" applyAlignment="1">
      <alignment vertical="top"/>
    </xf>
    <xf numFmtId="2" fontId="5" fillId="0" borderId="0" xfId="11" applyNumberFormat="1" applyFont="1" applyAlignment="1">
      <alignment vertical="top"/>
    </xf>
    <xf numFmtId="3" fontId="24" fillId="0" borderId="0" xfId="11" applyNumberFormat="1" applyFont="1" applyAlignment="1">
      <alignment vertical="center"/>
    </xf>
    <xf numFmtId="0" fontId="5" fillId="0" borderId="0" xfId="11" applyFont="1" applyAlignment="1">
      <alignment horizontal="center" vertical="top"/>
    </xf>
    <xf numFmtId="10" fontId="5" fillId="0" borderId="0" xfId="17" applyNumberFormat="1" applyFont="1" applyAlignment="1">
      <alignment horizontal="center" vertical="top"/>
    </xf>
    <xf numFmtId="10" fontId="21" fillId="0" borderId="0" xfId="17" applyNumberFormat="1" applyFont="1" applyAlignment="1">
      <alignment horizontal="center" vertical="top"/>
    </xf>
    <xf numFmtId="165" fontId="13" fillId="0" borderId="0" xfId="5" applyFont="1" applyAlignment="1">
      <alignment horizontal="center" vertical="top"/>
    </xf>
    <xf numFmtId="165" fontId="5" fillId="0" borderId="0" xfId="5" applyFont="1" applyAlignment="1">
      <alignment horizontal="center" vertical="top"/>
    </xf>
    <xf numFmtId="165" fontId="5" fillId="0" borderId="0" xfId="5" applyFont="1" applyAlignment="1"/>
    <xf numFmtId="3" fontId="25" fillId="0" borderId="21" xfId="11" applyNumberFormat="1" applyFont="1" applyBorder="1" applyAlignment="1">
      <alignment vertical="center"/>
    </xf>
    <xf numFmtId="3" fontId="26" fillId="0" borderId="21" xfId="11" applyNumberFormat="1" applyFont="1" applyBorder="1" applyAlignment="1">
      <alignment vertical="center"/>
    </xf>
    <xf numFmtId="10" fontId="5" fillId="0" borderId="0" xfId="17" applyNumberFormat="1" applyFont="1"/>
    <xf numFmtId="10" fontId="5" fillId="0" borderId="33" xfId="17" applyNumberFormat="1" applyFont="1" applyBorder="1" applyAlignment="1">
      <alignment horizontal="center"/>
    </xf>
    <xf numFmtId="10" fontId="5" fillId="0" borderId="32" xfId="17" applyNumberFormat="1" applyFont="1" applyBorder="1" applyAlignment="1"/>
    <xf numFmtId="10" fontId="5" fillId="0" borderId="18" xfId="17" applyNumberFormat="1" applyFont="1" applyBorder="1" applyAlignment="1">
      <alignment horizontal="center"/>
    </xf>
    <xf numFmtId="165" fontId="5" fillId="0" borderId="39" xfId="5" applyFont="1" applyBorder="1" applyAlignment="1">
      <alignment horizontal="center"/>
    </xf>
    <xf numFmtId="165" fontId="5" fillId="0" borderId="37" xfId="5" applyFont="1" applyBorder="1" applyAlignment="1">
      <alignment horizontal="center"/>
    </xf>
    <xf numFmtId="165" fontId="5" fillId="0" borderId="15" xfId="5" applyFont="1" applyBorder="1" applyAlignment="1">
      <alignment horizontal="center"/>
    </xf>
    <xf numFmtId="10" fontId="5" fillId="0" borderId="47" xfId="17" applyNumberFormat="1" applyFont="1" applyBorder="1" applyAlignment="1">
      <alignment horizontal="center"/>
    </xf>
    <xf numFmtId="10" fontId="5" fillId="0" borderId="48" xfId="17" applyNumberFormat="1" applyFont="1" applyBorder="1" applyAlignment="1">
      <alignment horizontal="center"/>
    </xf>
    <xf numFmtId="10" fontId="5" fillId="0" borderId="49" xfId="17" applyNumberFormat="1" applyFont="1" applyBorder="1" applyAlignment="1">
      <alignment horizontal="center"/>
    </xf>
    <xf numFmtId="10" fontId="5" fillId="0" borderId="50" xfId="17" applyNumberFormat="1" applyFont="1" applyBorder="1" applyAlignment="1">
      <alignment horizontal="center"/>
    </xf>
    <xf numFmtId="10" fontId="5" fillId="0" borderId="20" xfId="17" applyNumberFormat="1" applyFont="1" applyBorder="1" applyAlignment="1">
      <alignment horizontal="center"/>
    </xf>
    <xf numFmtId="165" fontId="5" fillId="0" borderId="21" xfId="5" applyFont="1" applyBorder="1" applyAlignment="1">
      <alignment horizontal="center"/>
    </xf>
    <xf numFmtId="165" fontId="5" fillId="0" borderId="41" xfId="5" applyFont="1" applyBorder="1" applyAlignment="1">
      <alignment horizontal="center"/>
    </xf>
    <xf numFmtId="165" fontId="5" fillId="0" borderId="1" xfId="5" applyFont="1" applyBorder="1" applyAlignment="1">
      <alignment horizontal="center"/>
    </xf>
    <xf numFmtId="2" fontId="2" fillId="0" borderId="39" xfId="5" applyNumberFormat="1" applyFont="1" applyBorder="1"/>
    <xf numFmtId="2" fontId="2" fillId="0" borderId="37" xfId="5" applyNumberFormat="1" applyFont="1" applyBorder="1"/>
    <xf numFmtId="165" fontId="2" fillId="0" borderId="0" xfId="5" applyFont="1" applyBorder="1"/>
    <xf numFmtId="165" fontId="2" fillId="0" borderId="35" xfId="5" applyFont="1" applyBorder="1"/>
    <xf numFmtId="165" fontId="2" fillId="0" borderId="38" xfId="5" applyFont="1" applyBorder="1"/>
    <xf numFmtId="165" fontId="2" fillId="0" borderId="34" xfId="5" applyFont="1" applyBorder="1"/>
    <xf numFmtId="165" fontId="2" fillId="0" borderId="46" xfId="5" applyFont="1" applyBorder="1"/>
    <xf numFmtId="165" fontId="2" fillId="0" borderId="36" xfId="5" applyFont="1" applyBorder="1"/>
    <xf numFmtId="10" fontId="2" fillId="0" borderId="0" xfId="11" applyNumberFormat="1" applyFont="1"/>
    <xf numFmtId="49" fontId="5" fillId="0" borderId="14" xfId="11" applyNumberFormat="1" applyFont="1" applyBorder="1"/>
    <xf numFmtId="49" fontId="5" fillId="0" borderId="11" xfId="11" applyNumberFormat="1" applyFont="1" applyBorder="1"/>
    <xf numFmtId="49" fontId="5" fillId="4" borderId="14" xfId="11" applyNumberFormat="1" applyFont="1" applyFill="1" applyBorder="1"/>
    <xf numFmtId="0" fontId="5" fillId="4" borderId="5" xfId="11" applyFont="1" applyFill="1" applyBorder="1"/>
    <xf numFmtId="165" fontId="5" fillId="4" borderId="46" xfId="5" applyFont="1" applyFill="1" applyBorder="1"/>
    <xf numFmtId="165" fontId="5" fillId="4" borderId="36" xfId="5" applyFont="1" applyFill="1" applyBorder="1"/>
    <xf numFmtId="49" fontId="5" fillId="4" borderId="7" xfId="11" applyNumberFormat="1" applyFont="1" applyFill="1" applyBorder="1"/>
    <xf numFmtId="165" fontId="5" fillId="4" borderId="0" xfId="5" applyFont="1" applyFill="1" applyBorder="1"/>
    <xf numFmtId="165" fontId="5" fillId="4" borderId="35" xfId="5" applyFont="1" applyFill="1" applyBorder="1"/>
    <xf numFmtId="49" fontId="5" fillId="4" borderId="3" xfId="11" applyNumberFormat="1" applyFont="1" applyFill="1" applyBorder="1"/>
    <xf numFmtId="0" fontId="5" fillId="4" borderId="9" xfId="11" applyFont="1" applyFill="1" applyBorder="1"/>
    <xf numFmtId="165" fontId="5" fillId="4" borderId="38" xfId="5" applyFont="1" applyFill="1" applyBorder="1"/>
    <xf numFmtId="165" fontId="5" fillId="4" borderId="34" xfId="5" applyFont="1" applyFill="1" applyBorder="1"/>
    <xf numFmtId="49" fontId="5" fillId="0" borderId="33" xfId="11" applyNumberFormat="1" applyFont="1" applyBorder="1" applyAlignment="1">
      <alignment horizontal="center" vertical="center" wrapText="1"/>
    </xf>
    <xf numFmtId="49" fontId="5" fillId="0" borderId="27" xfId="11" applyNumberFormat="1" applyFont="1" applyBorder="1" applyAlignment="1">
      <alignment vertical="center" wrapText="1"/>
    </xf>
    <xf numFmtId="10" fontId="5" fillId="0" borderId="0" xfId="17" applyNumberFormat="1" applyFont="1" applyFill="1" applyBorder="1" applyAlignment="1">
      <alignment horizontal="center"/>
    </xf>
    <xf numFmtId="10" fontId="5" fillId="0" borderId="0" xfId="17" applyNumberFormat="1" applyFont="1" applyFill="1" applyBorder="1" applyAlignment="1"/>
    <xf numFmtId="165" fontId="5" fillId="0" borderId="0" xfId="5" applyFont="1" applyFill="1" applyBorder="1" applyAlignment="1">
      <alignment horizontal="center"/>
    </xf>
    <xf numFmtId="4" fontId="5" fillId="0" borderId="22" xfId="1" applyNumberFormat="1" applyFont="1" applyFill="1" applyBorder="1"/>
    <xf numFmtId="165" fontId="2" fillId="0" borderId="46" xfId="5" applyFont="1" applyFill="1" applyBorder="1"/>
    <xf numFmtId="165" fontId="2" fillId="0" borderId="36" xfId="5" applyFont="1" applyFill="1" applyBorder="1"/>
    <xf numFmtId="10" fontId="3" fillId="0" borderId="0" xfId="11" applyNumberFormat="1" applyFont="1"/>
    <xf numFmtId="2" fontId="3" fillId="0" borderId="0" xfId="11" applyNumberFormat="1" applyFont="1"/>
    <xf numFmtId="49" fontId="16" fillId="0" borderId="7" xfId="11" applyNumberFormat="1" applyFont="1" applyBorder="1"/>
    <xf numFmtId="165" fontId="2" fillId="0" borderId="35" xfId="5" applyFont="1" applyFill="1" applyBorder="1"/>
    <xf numFmtId="165" fontId="2" fillId="0" borderId="38" xfId="5" applyFont="1" applyFill="1" applyBorder="1"/>
    <xf numFmtId="165" fontId="2" fillId="0" borderId="34" xfId="5" applyFont="1" applyFill="1" applyBorder="1"/>
    <xf numFmtId="49" fontId="5" fillId="0" borderId="0" xfId="11" applyNumberFormat="1" applyFont="1"/>
    <xf numFmtId="10" fontId="5" fillId="0" borderId="0" xfId="17" applyNumberFormat="1" applyFont="1" applyAlignment="1"/>
    <xf numFmtId="4" fontId="2" fillId="0" borderId="0" xfId="17" applyNumberFormat="1" applyFont="1" applyAlignment="1">
      <alignment horizontal="center" vertical="top"/>
    </xf>
    <xf numFmtId="10" fontId="5" fillId="0" borderId="0" xfId="17" applyNumberFormat="1" applyFont="1" applyBorder="1" applyAlignment="1">
      <alignment vertical="center"/>
    </xf>
    <xf numFmtId="4" fontId="2" fillId="0" borderId="0" xfId="17" applyNumberFormat="1" applyFont="1" applyBorder="1" applyAlignment="1">
      <alignment vertical="center"/>
    </xf>
    <xf numFmtId="4" fontId="2" fillId="0" borderId="0" xfId="17" applyNumberFormat="1" applyFont="1"/>
    <xf numFmtId="4" fontId="5" fillId="0" borderId="32" xfId="11" applyNumberFormat="1" applyFont="1" applyBorder="1" applyAlignment="1">
      <alignment horizontal="center"/>
    </xf>
    <xf numFmtId="10" fontId="5" fillId="0" borderId="28" xfId="17" applyNumberFormat="1" applyFont="1" applyBorder="1" applyAlignment="1">
      <alignment horizontal="center"/>
    </xf>
    <xf numFmtId="4" fontId="5" fillId="0" borderId="29" xfId="11" applyNumberFormat="1" applyFont="1" applyBorder="1" applyAlignment="1">
      <alignment horizontal="center"/>
    </xf>
    <xf numFmtId="2" fontId="2" fillId="0" borderId="13" xfId="11" applyNumberFormat="1" applyFont="1" applyBorder="1"/>
    <xf numFmtId="2" fontId="2" fillId="0" borderId="12" xfId="11" applyNumberFormat="1" applyFont="1" applyBorder="1"/>
    <xf numFmtId="2" fontId="2" fillId="0" borderId="18" xfId="11" applyNumberFormat="1" applyFont="1" applyBorder="1" applyAlignment="1">
      <alignment horizontal="center"/>
    </xf>
    <xf numFmtId="2" fontId="2" fillId="0" borderId="20" xfId="11" applyNumberFormat="1" applyFont="1" applyBorder="1" applyAlignment="1">
      <alignment horizontal="center"/>
    </xf>
    <xf numFmtId="4" fontId="5" fillId="0" borderId="0" xfId="11" applyNumberFormat="1" applyFont="1" applyAlignment="1">
      <alignment horizontal="center"/>
    </xf>
    <xf numFmtId="4" fontId="5" fillId="0" borderId="0" xfId="17" applyNumberFormat="1" applyFont="1" applyAlignment="1">
      <alignment horizontal="center" vertical="top"/>
    </xf>
    <xf numFmtId="3" fontId="5" fillId="0" borderId="0" xfId="11" applyNumberFormat="1" applyFont="1" applyAlignment="1">
      <alignment horizontal="center"/>
    </xf>
    <xf numFmtId="4" fontId="5" fillId="0" borderId="0" xfId="17" applyNumberFormat="1" applyFont="1" applyBorder="1" applyAlignment="1">
      <alignment vertical="center"/>
    </xf>
    <xf numFmtId="4" fontId="5" fillId="0" borderId="0" xfId="17" applyNumberFormat="1" applyFont="1"/>
    <xf numFmtId="10" fontId="5" fillId="0" borderId="18" xfId="17" applyNumberFormat="1" applyFont="1" applyFill="1" applyBorder="1" applyAlignment="1">
      <alignment horizontal="center"/>
    </xf>
    <xf numFmtId="10" fontId="5" fillId="0" borderId="20" xfId="17" applyNumberFormat="1" applyFont="1" applyFill="1" applyBorder="1" applyAlignment="1">
      <alignment horizontal="center"/>
    </xf>
    <xf numFmtId="10" fontId="2" fillId="0" borderId="0" xfId="17" applyNumberFormat="1" applyFont="1"/>
    <xf numFmtId="2" fontId="2" fillId="0" borderId="16" xfId="1" applyNumberFormat="1" applyFont="1" applyBorder="1"/>
    <xf numFmtId="2" fontId="2" fillId="0" borderId="6" xfId="1" applyNumberFormat="1" applyFont="1" applyBorder="1"/>
    <xf numFmtId="2" fontId="2" fillId="0" borderId="10" xfId="1" applyNumberFormat="1" applyFont="1" applyBorder="1"/>
    <xf numFmtId="0" fontId="5" fillId="4" borderId="15" xfId="11" applyFont="1" applyFill="1" applyBorder="1"/>
    <xf numFmtId="2" fontId="5" fillId="4" borderId="16" xfId="1" applyNumberFormat="1" applyFont="1" applyFill="1" applyBorder="1"/>
    <xf numFmtId="2" fontId="5" fillId="4" borderId="6" xfId="1" applyNumberFormat="1" applyFont="1" applyFill="1" applyBorder="1"/>
    <xf numFmtId="2" fontId="5" fillId="4" borderId="10" xfId="1" applyNumberFormat="1" applyFont="1" applyFill="1" applyBorder="1"/>
    <xf numFmtId="2" fontId="5" fillId="0" borderId="18" xfId="11" applyNumberFormat="1" applyFont="1" applyBorder="1" applyAlignment="1">
      <alignment horizontal="center"/>
    </xf>
    <xf numFmtId="2" fontId="5" fillId="0" borderId="20" xfId="11" applyNumberFormat="1" applyFont="1" applyBorder="1" applyAlignment="1">
      <alignment horizontal="center"/>
    </xf>
    <xf numFmtId="10" fontId="2" fillId="0" borderId="43" xfId="1" applyNumberFormat="1" applyFont="1" applyFill="1" applyBorder="1"/>
    <xf numFmtId="2" fontId="2" fillId="0" borderId="16" xfId="1" applyNumberFormat="1" applyFont="1" applyFill="1" applyBorder="1"/>
    <xf numFmtId="2" fontId="2" fillId="0" borderId="6" xfId="1" applyNumberFormat="1" applyFont="1" applyFill="1" applyBorder="1"/>
    <xf numFmtId="2" fontId="2" fillId="0" borderId="10" xfId="1" applyNumberFormat="1" applyFont="1" applyFill="1" applyBorder="1"/>
    <xf numFmtId="10" fontId="2" fillId="0" borderId="16" xfId="1" applyNumberFormat="1" applyFont="1" applyFill="1" applyBorder="1"/>
    <xf numFmtId="3" fontId="4" fillId="0" borderId="0" xfId="0" applyNumberFormat="1" applyFont="1" applyAlignment="1">
      <alignment horizontal="center" vertical="center"/>
    </xf>
    <xf numFmtId="165" fontId="2" fillId="0" borderId="0" xfId="5" applyFont="1"/>
    <xf numFmtId="4" fontId="2" fillId="0" borderId="39" xfId="0" applyNumberFormat="1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2" fillId="0" borderId="15" xfId="0" applyFont="1" applyBorder="1"/>
    <xf numFmtId="0" fontId="15" fillId="4" borderId="5" xfId="0" applyFont="1" applyFill="1" applyBorder="1"/>
    <xf numFmtId="4" fontId="2" fillId="4" borderId="8" xfId="1" applyNumberFormat="1" applyFont="1" applyFill="1" applyBorder="1"/>
    <xf numFmtId="4" fontId="2" fillId="4" borderId="6" xfId="1" applyNumberFormat="1" applyFont="1" applyFill="1" applyBorder="1"/>
    <xf numFmtId="165" fontId="2" fillId="4" borderId="19" xfId="5" applyFont="1" applyFill="1" applyBorder="1"/>
    <xf numFmtId="165" fontId="2" fillId="4" borderId="5" xfId="5" applyFont="1" applyFill="1" applyBorder="1"/>
    <xf numFmtId="0" fontId="15" fillId="4" borderId="9" xfId="0" applyFont="1" applyFill="1" applyBorder="1"/>
    <xf numFmtId="4" fontId="2" fillId="4" borderId="44" xfId="1" applyNumberFormat="1" applyFont="1" applyFill="1" applyBorder="1"/>
    <xf numFmtId="4" fontId="2" fillId="4" borderId="10" xfId="1" applyNumberFormat="1" applyFont="1" applyFill="1" applyBorder="1"/>
    <xf numFmtId="165" fontId="2" fillId="4" borderId="9" xfId="5" applyFont="1" applyFill="1" applyBorder="1"/>
    <xf numFmtId="0" fontId="27" fillId="0" borderId="0" xfId="0" applyFont="1"/>
    <xf numFmtId="2" fontId="2" fillId="4" borderId="16" xfId="1" applyNumberFormat="1" applyFont="1" applyFill="1" applyBorder="1"/>
    <xf numFmtId="2" fontId="2" fillId="4" borderId="6" xfId="1" applyNumberFormat="1" applyFont="1" applyFill="1" applyBorder="1"/>
    <xf numFmtId="2" fontId="2" fillId="4" borderId="10" xfId="1" applyNumberFormat="1" applyFont="1" applyFill="1" applyBorder="1"/>
    <xf numFmtId="4" fontId="5" fillId="0" borderId="0" xfId="14" applyNumberFormat="1" applyFont="1" applyAlignment="1">
      <alignment horizont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0" fontId="5" fillId="0" borderId="31" xfId="1" applyNumberFormat="1" applyFont="1" applyBorder="1" applyAlignment="1">
      <alignment horizontal="center"/>
    </xf>
    <xf numFmtId="10" fontId="5" fillId="0" borderId="0" xfId="1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3" fontId="19" fillId="0" borderId="0" xfId="14" applyNumberFormat="1" applyFont="1" applyAlignment="1">
      <alignment horizontal="center" vertical="center"/>
    </xf>
    <xf numFmtId="0" fontId="18" fillId="0" borderId="0" xfId="14" applyFont="1" applyAlignment="1">
      <alignment horizontal="center"/>
    </xf>
    <xf numFmtId="0" fontId="7" fillId="0" borderId="0" xfId="14" applyFont="1" applyAlignment="1">
      <alignment horizontal="center"/>
    </xf>
    <xf numFmtId="0" fontId="14" fillId="0" borderId="0" xfId="14" applyFont="1" applyAlignment="1">
      <alignment horizontal="center" vertical="top"/>
    </xf>
    <xf numFmtId="0" fontId="5" fillId="0" borderId="0" xfId="14" applyFont="1" applyAlignment="1">
      <alignment horizontal="center" vertical="top"/>
    </xf>
    <xf numFmtId="0" fontId="17" fillId="0" borderId="0" xfId="14" applyFont="1" applyAlignment="1">
      <alignment horizontal="center" vertical="top"/>
    </xf>
    <xf numFmtId="0" fontId="18" fillId="0" borderId="0" xfId="14" applyFont="1" applyAlignment="1">
      <alignment horizontal="center" vertical="top"/>
    </xf>
    <xf numFmtId="0" fontId="5" fillId="0" borderId="0" xfId="14" applyFont="1" applyAlignment="1">
      <alignment horizontal="center"/>
    </xf>
    <xf numFmtId="0" fontId="17" fillId="0" borderId="0" xfId="14" applyFont="1" applyAlignment="1">
      <alignment horizontal="center"/>
    </xf>
    <xf numFmtId="0" fontId="18" fillId="0" borderId="0" xfId="14" applyFont="1" applyAlignment="1">
      <alignment horizontal="center" vertical="center"/>
    </xf>
    <xf numFmtId="0" fontId="5" fillId="0" borderId="0" xfId="14" applyFont="1" applyAlignment="1">
      <alignment horizontal="center" vertical="center"/>
    </xf>
    <xf numFmtId="0" fontId="17" fillId="0" borderId="0" xfId="14" applyFont="1" applyAlignment="1">
      <alignment horizontal="center" vertical="center"/>
    </xf>
    <xf numFmtId="10" fontId="5" fillId="0" borderId="25" xfId="1" applyNumberFormat="1" applyFont="1" applyBorder="1" applyAlignment="1">
      <alignment horizontal="center"/>
    </xf>
    <xf numFmtId="10" fontId="5" fillId="0" borderId="24" xfId="1" applyNumberFormat="1" applyFont="1" applyBorder="1" applyAlignment="1">
      <alignment horizontal="center"/>
    </xf>
    <xf numFmtId="10" fontId="5" fillId="0" borderId="40" xfId="1" applyNumberFormat="1" applyFont="1" applyBorder="1" applyAlignment="1">
      <alignment horizontal="center"/>
    </xf>
    <xf numFmtId="0" fontId="7" fillId="0" borderId="0" xfId="14" applyFont="1" applyAlignment="1">
      <alignment horizontal="center" vertical="top"/>
    </xf>
    <xf numFmtId="49" fontId="5" fillId="0" borderId="15" xfId="11" applyNumberFormat="1" applyFont="1" applyBorder="1" applyAlignment="1">
      <alignment horizontal="center" vertical="center" wrapText="1"/>
    </xf>
    <xf numFmtId="49" fontId="5" fillId="0" borderId="1" xfId="11" applyNumberFormat="1" applyFont="1" applyBorder="1" applyAlignment="1">
      <alignment horizontal="center" vertical="center" wrapText="1"/>
    </xf>
    <xf numFmtId="10" fontId="5" fillId="0" borderId="33" xfId="17" applyNumberFormat="1" applyFont="1" applyBorder="1" applyAlignment="1">
      <alignment horizontal="center"/>
    </xf>
    <xf numFmtId="10" fontId="5" fillId="0" borderId="39" xfId="17" applyNumberFormat="1" applyFont="1" applyBorder="1" applyAlignment="1">
      <alignment horizontal="center"/>
    </xf>
    <xf numFmtId="10" fontId="5" fillId="0" borderId="0" xfId="17" applyNumberFormat="1" applyFont="1" applyFill="1" applyBorder="1" applyAlignment="1">
      <alignment horizontal="center"/>
    </xf>
    <xf numFmtId="0" fontId="5" fillId="0" borderId="0" xfId="11" applyFont="1" applyAlignment="1">
      <alignment horizontal="center" vertical="center"/>
    </xf>
    <xf numFmtId="0" fontId="7" fillId="0" borderId="0" xfId="11" applyFont="1" applyAlignment="1">
      <alignment horizontal="center"/>
    </xf>
    <xf numFmtId="0" fontId="7" fillId="0" borderId="0" xfId="11" applyFont="1" applyAlignment="1">
      <alignment horizontal="center" vertical="top"/>
    </xf>
    <xf numFmtId="10" fontId="5" fillId="0" borderId="0" xfId="17" applyNumberFormat="1" applyFont="1" applyFill="1" applyBorder="1" applyAlignment="1">
      <alignment horizontal="center" vertical="center"/>
    </xf>
    <xf numFmtId="10" fontId="5" fillId="0" borderId="17" xfId="17" applyNumberFormat="1" applyFont="1" applyBorder="1" applyAlignment="1">
      <alignment horizontal="center" vertical="center"/>
    </xf>
    <xf numFmtId="10" fontId="5" fillId="0" borderId="3" xfId="17" applyNumberFormat="1" applyFont="1" applyBorder="1" applyAlignment="1">
      <alignment horizontal="center" vertical="center"/>
    </xf>
    <xf numFmtId="10" fontId="5" fillId="0" borderId="16" xfId="17" applyNumberFormat="1" applyFont="1" applyBorder="1" applyAlignment="1">
      <alignment horizontal="center" vertical="center"/>
    </xf>
    <xf numFmtId="10" fontId="5" fillId="0" borderId="2" xfId="17" applyNumberFormat="1" applyFont="1" applyBorder="1" applyAlignment="1">
      <alignment horizontal="center" vertical="center"/>
    </xf>
    <xf numFmtId="10" fontId="5" fillId="0" borderId="37" xfId="17" applyNumberFormat="1" applyFont="1" applyBorder="1" applyAlignment="1">
      <alignment horizontal="center" vertical="center"/>
    </xf>
    <xf numFmtId="10" fontId="5" fillId="0" borderId="41" xfId="17" applyNumberFormat="1" applyFont="1" applyBorder="1" applyAlignment="1">
      <alignment horizontal="center" vertical="center"/>
    </xf>
    <xf numFmtId="0" fontId="14" fillId="0" borderId="0" xfId="11" applyFont="1" applyAlignment="1">
      <alignment horizontal="center" vertical="top"/>
    </xf>
    <xf numFmtId="10" fontId="5" fillId="0" borderId="15" xfId="17" applyNumberFormat="1" applyFont="1" applyBorder="1" applyAlignment="1">
      <alignment horizontal="center" vertical="center"/>
    </xf>
    <xf numFmtId="10" fontId="5" fillId="0" borderId="1" xfId="17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/>
    </xf>
    <xf numFmtId="49" fontId="5" fillId="0" borderId="15" xfId="14" applyNumberFormat="1" applyFont="1" applyBorder="1" applyAlignment="1">
      <alignment horizontal="center" vertical="center" wrapText="1"/>
    </xf>
    <xf numFmtId="49" fontId="5" fillId="0" borderId="1" xfId="14" applyNumberFormat="1" applyFont="1" applyBorder="1" applyAlignment="1">
      <alignment horizontal="center" vertical="center" wrapText="1"/>
    </xf>
    <xf numFmtId="0" fontId="5" fillId="0" borderId="17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16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37" xfId="1" applyNumberFormat="1" applyFont="1" applyBorder="1" applyAlignment="1">
      <alignment horizontal="center" vertical="center"/>
    </xf>
    <xf numFmtId="0" fontId="5" fillId="0" borderId="41" xfId="1" applyNumberFormat="1" applyFont="1" applyBorder="1" applyAlignment="1">
      <alignment horizontal="center" vertical="center"/>
    </xf>
    <xf numFmtId="0" fontId="5" fillId="0" borderId="32" xfId="1" applyNumberFormat="1" applyFont="1" applyBorder="1" applyAlignment="1">
      <alignment horizontal="center" vertical="center"/>
    </xf>
    <xf numFmtId="0" fontId="5" fillId="0" borderId="29" xfId="1" applyNumberFormat="1" applyFont="1" applyBorder="1" applyAlignment="1">
      <alignment horizontal="center" vertical="center"/>
    </xf>
  </cellXfs>
  <cellStyles count="25">
    <cellStyle name="Comma 2" xfId="5" xr:uid="{00000000-0005-0000-0000-000000000000}"/>
    <cellStyle name="Comma 3" xfId="6" xr:uid="{00000000-0005-0000-0000-000001000000}"/>
    <cellStyle name="Comma 3 2" xfId="24" xr:uid="{00000000-0005-0000-0000-000002000000}"/>
    <cellStyle name="Comma 4" xfId="23" xr:uid="{00000000-0005-0000-0000-000003000000}"/>
    <cellStyle name="Excel Built-in Normal" xfId="7" xr:uid="{00000000-0005-0000-0000-000004000000}"/>
    <cellStyle name="Grey" xfId="8" xr:uid="{00000000-0005-0000-0000-000005000000}"/>
    <cellStyle name="Input [yellow]" xfId="9" xr:uid="{00000000-0005-0000-0000-000006000000}"/>
    <cellStyle name="Normal" xfId="0" builtinId="0"/>
    <cellStyle name="Normal - Style1" xfId="10" xr:uid="{00000000-0005-0000-0000-000008000000}"/>
    <cellStyle name="Normal 2" xfId="11" xr:uid="{00000000-0005-0000-0000-000009000000}"/>
    <cellStyle name="Normal 2 2" xfId="3" xr:uid="{00000000-0005-0000-0000-00000A000000}"/>
    <cellStyle name="Normal 3" xfId="12" xr:uid="{00000000-0005-0000-0000-00000B000000}"/>
    <cellStyle name="Normal 4" xfId="13" xr:uid="{00000000-0005-0000-0000-00000C000000}"/>
    <cellStyle name="Normal 5" xfId="14" xr:uid="{00000000-0005-0000-0000-00000D000000}"/>
    <cellStyle name="Percent" xfId="1" builtinId="5"/>
    <cellStyle name="Percent [2]" xfId="15" xr:uid="{00000000-0005-0000-0000-00000F000000}"/>
    <cellStyle name="Percent [2] 2" xfId="16" xr:uid="{00000000-0005-0000-0000-000010000000}"/>
    <cellStyle name="Percent 2" xfId="17" xr:uid="{00000000-0005-0000-0000-000011000000}"/>
    <cellStyle name="Percent 2 2" xfId="2" xr:uid="{00000000-0005-0000-0000-000012000000}"/>
    <cellStyle name="Percent 3" xfId="4" xr:uid="{00000000-0005-0000-0000-000013000000}"/>
    <cellStyle name="Percent 4" xfId="18" xr:uid="{00000000-0005-0000-0000-000014000000}"/>
    <cellStyle name="Tusental (0)_pldt" xfId="19" xr:uid="{00000000-0005-0000-0000-000015000000}"/>
    <cellStyle name="Tusental_pldt" xfId="20" xr:uid="{00000000-0005-0000-0000-000016000000}"/>
    <cellStyle name="Valuta (0)_pldt" xfId="21" xr:uid="{00000000-0005-0000-0000-000017000000}"/>
    <cellStyle name="Valuta_pldt" xfId="22" xr:uid="{00000000-0005-0000-0000-000018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99FFCC"/>
      <color rgb="FFFFFFCC"/>
      <color rgb="FFCCFFFF"/>
      <color rgb="FF66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Z48"/>
  <sheetViews>
    <sheetView showGridLines="0" tabSelected="1" zoomScaleNormal="100" workbookViewId="0">
      <pane xSplit="1" ySplit="8" topLeftCell="B9" activePane="bottomRight" state="frozen"/>
      <selection activeCell="A6" sqref="A6:O6"/>
      <selection pane="topRight" activeCell="A6" sqref="A6:O6"/>
      <selection pane="bottomLeft" activeCell="A6" sqref="A6:O6"/>
      <selection pane="bottomRight" activeCell="B9" sqref="B9"/>
    </sheetView>
  </sheetViews>
  <sheetFormatPr defaultColWidth="9.28515625" defaultRowHeight="11.25" x14ac:dyDescent="0.2"/>
  <cols>
    <col min="1" max="1" width="46.42578125" style="139" customWidth="1"/>
    <col min="2" max="2" width="9.5703125" style="1" customWidth="1"/>
    <col min="3" max="8" width="8" style="14" customWidth="1"/>
    <col min="9" max="9" width="7" style="27" bestFit="1" customWidth="1"/>
    <col min="10" max="10" width="8.7109375" style="27" bestFit="1" customWidth="1"/>
    <col min="11" max="11" width="9.42578125" style="27" bestFit="1" customWidth="1"/>
    <col min="12" max="12" width="11.28515625" style="28" bestFit="1" customWidth="1"/>
    <col min="13" max="13" width="7.7109375" style="28" bestFit="1" customWidth="1"/>
    <col min="14" max="14" width="8.7109375" style="28" bestFit="1" customWidth="1"/>
    <col min="15" max="15" width="8.42578125" style="7" bestFit="1" customWidth="1"/>
    <col min="16" max="16" width="3.28515625" style="1" customWidth="1"/>
    <col min="17" max="16384" width="9.28515625" style="1"/>
  </cols>
  <sheetData>
    <row r="1" spans="1:26" x14ac:dyDescent="0.2">
      <c r="A1" s="377" t="s">
        <v>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</row>
    <row r="2" spans="1:26" x14ac:dyDescent="0.2">
      <c r="A2" s="377" t="s">
        <v>7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</row>
    <row r="3" spans="1:26" ht="12.75" x14ac:dyDescent="0.2">
      <c r="A3" s="378" t="s">
        <v>8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26" ht="12.75" x14ac:dyDescent="0.2">
      <c r="A4" s="378" t="s">
        <v>9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</row>
    <row r="5" spans="1:26" ht="12.75" x14ac:dyDescent="0.2">
      <c r="A5" s="379" t="s">
        <v>5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  <c r="O5" s="379"/>
    </row>
    <row r="6" spans="1:26" ht="12.75" x14ac:dyDescent="0.2">
      <c r="A6" s="376"/>
      <c r="B6" s="376"/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</row>
    <row r="7" spans="1:26" ht="12.75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3"/>
      <c r="N7" s="23"/>
      <c r="O7" s="23"/>
    </row>
    <row r="8" spans="1:26" ht="13.5" thickBot="1" x14ac:dyDescent="0.25">
      <c r="A8" s="25" t="s">
        <v>10</v>
      </c>
      <c r="B8" s="26"/>
      <c r="C8" s="27"/>
      <c r="D8" s="27"/>
      <c r="E8" s="27"/>
      <c r="F8" s="27"/>
      <c r="G8" s="27"/>
      <c r="H8" s="27"/>
      <c r="I8" s="24"/>
    </row>
    <row r="9" spans="1:26" ht="12" thickBot="1" x14ac:dyDescent="0.25">
      <c r="A9" s="110"/>
      <c r="B9" s="111"/>
    </row>
    <row r="10" spans="1:26" ht="10.35" customHeight="1" x14ac:dyDescent="0.25">
      <c r="A10" s="31" t="s">
        <v>30</v>
      </c>
      <c r="B10" s="372" t="s">
        <v>11</v>
      </c>
      <c r="C10" s="374" t="s">
        <v>12</v>
      </c>
      <c r="D10" s="374"/>
      <c r="E10" s="374"/>
      <c r="F10" s="374"/>
      <c r="G10" s="374"/>
      <c r="H10" s="374"/>
      <c r="I10" s="32" t="s">
        <v>13</v>
      </c>
      <c r="J10" s="72" t="s">
        <v>14</v>
      </c>
      <c r="K10" s="72" t="s">
        <v>15</v>
      </c>
      <c r="L10" s="34" t="s">
        <v>16</v>
      </c>
      <c r="M10" s="35" t="s">
        <v>17</v>
      </c>
      <c r="N10" s="36" t="s">
        <v>17</v>
      </c>
      <c r="O10" s="37" t="s">
        <v>17</v>
      </c>
      <c r="Q10" s="375"/>
      <c r="R10" s="375"/>
      <c r="S10" s="375"/>
      <c r="T10" s="32"/>
      <c r="U10" s="33"/>
      <c r="V10" s="33"/>
      <c r="W10" s="34"/>
      <c r="X10" s="35"/>
      <c r="Y10" s="36"/>
      <c r="Z10" s="37"/>
    </row>
    <row r="11" spans="1:26" ht="13.9" customHeight="1" thickBot="1" x14ac:dyDescent="0.3">
      <c r="A11" s="112"/>
      <c r="B11" s="373"/>
      <c r="C11" s="39" t="s">
        <v>18</v>
      </c>
      <c r="D11" s="39" t="s">
        <v>19</v>
      </c>
      <c r="E11" s="39" t="s">
        <v>20</v>
      </c>
      <c r="F11" s="39" t="s">
        <v>21</v>
      </c>
      <c r="G11" s="39" t="s">
        <v>22</v>
      </c>
      <c r="H11" s="39" t="s">
        <v>23</v>
      </c>
      <c r="I11" s="39" t="s">
        <v>24</v>
      </c>
      <c r="J11" s="73" t="s">
        <v>25</v>
      </c>
      <c r="K11" s="73" t="s">
        <v>26</v>
      </c>
      <c r="L11" s="43" t="s">
        <v>27</v>
      </c>
      <c r="M11" s="44" t="s">
        <v>28</v>
      </c>
      <c r="N11" s="45" t="s">
        <v>14</v>
      </c>
      <c r="O11" s="46" t="s">
        <v>15</v>
      </c>
      <c r="Q11" s="115"/>
      <c r="R11" s="115"/>
      <c r="S11" s="115"/>
      <c r="T11" s="116"/>
      <c r="U11" s="42"/>
      <c r="V11" s="42"/>
      <c r="W11" s="43"/>
      <c r="X11" s="44"/>
      <c r="Y11" s="45"/>
      <c r="Z11" s="46"/>
    </row>
    <row r="12" spans="1:26" x14ac:dyDescent="0.2">
      <c r="A12" s="74" t="s">
        <v>33</v>
      </c>
      <c r="B12" s="75" t="s">
        <v>29</v>
      </c>
      <c r="C12" s="76">
        <v>1</v>
      </c>
      <c r="D12" s="76">
        <v>0.9999999999982605</v>
      </c>
      <c r="E12" s="77">
        <v>0.99999999990849442</v>
      </c>
      <c r="F12" s="77">
        <v>0.99999999949105278</v>
      </c>
      <c r="G12" s="77">
        <v>0.99999999876122747</v>
      </c>
      <c r="H12" s="77">
        <v>0.99999999756954372</v>
      </c>
      <c r="I12" s="78">
        <v>0.99999999753168534</v>
      </c>
      <c r="J12" s="79">
        <v>0.9999999974805579</v>
      </c>
      <c r="K12" s="80">
        <v>0.98577689285113834</v>
      </c>
      <c r="L12" s="65">
        <v>7.100998259103104</v>
      </c>
      <c r="M12" s="65">
        <f t="shared" ref="M12:O12" si="0">I14/I13</f>
        <v>1.0000000070041095</v>
      </c>
      <c r="N12" s="65">
        <f t="shared" si="0"/>
        <v>1.0000000072979602</v>
      </c>
      <c r="O12" s="64">
        <f t="shared" si="0"/>
        <v>1.0077136089625465</v>
      </c>
      <c r="Q12" s="53"/>
      <c r="R12" s="53"/>
      <c r="S12" s="53"/>
      <c r="T12" s="53"/>
      <c r="U12" s="53"/>
      <c r="V12" s="53"/>
      <c r="W12" s="53"/>
      <c r="X12" s="118"/>
      <c r="Y12" s="118"/>
      <c r="Z12" s="118"/>
    </row>
    <row r="13" spans="1:26" x14ac:dyDescent="0.2">
      <c r="A13" s="3"/>
      <c r="B13" s="82" t="s">
        <v>1</v>
      </c>
      <c r="C13" s="54">
        <v>1</v>
      </c>
      <c r="D13" s="54">
        <v>0.99999999999445499</v>
      </c>
      <c r="E13" s="55">
        <v>0.99999999974735876</v>
      </c>
      <c r="F13" s="55">
        <v>0.99999999856614552</v>
      </c>
      <c r="G13" s="55">
        <v>0.9999999963037689</v>
      </c>
      <c r="H13" s="55">
        <v>0.99999999261705952</v>
      </c>
      <c r="I13" s="83">
        <v>0.99999999244204585</v>
      </c>
      <c r="J13" s="70">
        <v>0.9999999921446211</v>
      </c>
      <c r="K13" s="55">
        <v>0.98212771403183408</v>
      </c>
      <c r="L13" s="56">
        <v>7.1273826203962578</v>
      </c>
      <c r="M13" s="56"/>
      <c r="N13" s="56"/>
      <c r="O13" s="57"/>
      <c r="Q13" s="53"/>
      <c r="R13" s="53"/>
      <c r="S13" s="53"/>
      <c r="T13" s="53"/>
      <c r="U13" s="53"/>
      <c r="V13" s="53"/>
      <c r="W13" s="53"/>
      <c r="X13" s="118"/>
      <c r="Y13" s="118"/>
      <c r="Z13" s="118"/>
    </row>
    <row r="14" spans="1:26" x14ac:dyDescent="0.2">
      <c r="A14" s="58"/>
      <c r="B14" s="85" t="s">
        <v>0</v>
      </c>
      <c r="C14" s="60">
        <v>1</v>
      </c>
      <c r="D14" s="60">
        <v>0.99999999999961176</v>
      </c>
      <c r="E14" s="61">
        <v>0.99999999997528943</v>
      </c>
      <c r="F14" s="61">
        <v>0.99999999986835231</v>
      </c>
      <c r="G14" s="61">
        <v>0.99999999971133613</v>
      </c>
      <c r="H14" s="61">
        <v>0.99999999945038209</v>
      </c>
      <c r="I14" s="86">
        <v>0.99999999944615525</v>
      </c>
      <c r="J14" s="87">
        <v>0.99999999944258133</v>
      </c>
      <c r="K14" s="61">
        <v>0.98970346316915536</v>
      </c>
      <c r="L14" s="62">
        <v>7.072825609385176</v>
      </c>
      <c r="M14" s="62"/>
      <c r="N14" s="62"/>
      <c r="O14" s="63"/>
      <c r="Q14" s="53"/>
      <c r="R14" s="53"/>
      <c r="S14" s="53"/>
      <c r="T14" s="53"/>
      <c r="U14" s="53"/>
      <c r="V14" s="53"/>
      <c r="W14" s="53"/>
      <c r="X14" s="118"/>
      <c r="Y14" s="118"/>
      <c r="Z14" s="118"/>
    </row>
    <row r="15" spans="1:26" ht="10.5" customHeight="1" x14ac:dyDescent="0.2">
      <c r="A15" s="74" t="s">
        <v>34</v>
      </c>
      <c r="B15" s="75" t="s">
        <v>29</v>
      </c>
      <c r="C15" s="76">
        <v>1</v>
      </c>
      <c r="D15" s="76">
        <v>0.99999999999974143</v>
      </c>
      <c r="E15" s="77">
        <v>0.99999999995985611</v>
      </c>
      <c r="F15" s="77">
        <v>0.99999999897755443</v>
      </c>
      <c r="G15" s="77">
        <v>0.99999999457682598</v>
      </c>
      <c r="H15" s="77">
        <v>0.99999998759645736</v>
      </c>
      <c r="I15" s="78">
        <v>0.99367325689242503</v>
      </c>
      <c r="J15" s="79">
        <v>0.99298123963092588</v>
      </c>
      <c r="K15" s="80">
        <v>0.97472494946857768</v>
      </c>
      <c r="L15" s="65">
        <v>7.1815131066629778</v>
      </c>
      <c r="M15" s="65">
        <f t="shared" ref="M15:O15" si="1">I17/I16</f>
        <v>1.0085626638883061</v>
      </c>
      <c r="N15" s="65">
        <f t="shared" si="1"/>
        <v>1.0113382960205199</v>
      </c>
      <c r="O15" s="64">
        <f t="shared" si="1"/>
        <v>1.0227647760057907</v>
      </c>
      <c r="Q15" s="53"/>
      <c r="R15" s="53"/>
      <c r="S15" s="53"/>
      <c r="T15" s="53"/>
      <c r="U15" s="53"/>
      <c r="V15" s="53"/>
      <c r="W15" s="53"/>
      <c r="X15" s="118"/>
      <c r="Y15" s="118"/>
      <c r="Z15" s="118"/>
    </row>
    <row r="16" spans="1:26" x14ac:dyDescent="0.2">
      <c r="A16" s="3"/>
      <c r="B16" s="82" t="s">
        <v>1</v>
      </c>
      <c r="C16" s="54">
        <v>1</v>
      </c>
      <c r="D16" s="54">
        <v>0.99999999999961764</v>
      </c>
      <c r="E16" s="55">
        <v>0.99999999987905341</v>
      </c>
      <c r="F16" s="55">
        <v>0.99999999645467141</v>
      </c>
      <c r="G16" s="55">
        <v>0.99999997887176006</v>
      </c>
      <c r="H16" s="55">
        <v>0.99999994711670503</v>
      </c>
      <c r="I16" s="83">
        <v>0.98963128185351601</v>
      </c>
      <c r="J16" s="70">
        <v>0.98691522490534944</v>
      </c>
      <c r="K16" s="55">
        <v>0.96354588079382764</v>
      </c>
      <c r="L16" s="56">
        <v>7.2648330915316404</v>
      </c>
      <c r="M16" s="56"/>
      <c r="N16" s="56"/>
      <c r="O16" s="57"/>
      <c r="Q16" s="53"/>
      <c r="R16" s="53"/>
      <c r="S16" s="53"/>
      <c r="T16" s="53"/>
      <c r="U16" s="53"/>
      <c r="V16" s="53"/>
      <c r="W16" s="53"/>
      <c r="X16" s="118"/>
      <c r="Y16" s="118"/>
      <c r="Z16" s="118"/>
    </row>
    <row r="17" spans="1:26" x14ac:dyDescent="0.2">
      <c r="A17" s="58"/>
      <c r="B17" s="85" t="s">
        <v>0</v>
      </c>
      <c r="C17" s="60">
        <v>1</v>
      </c>
      <c r="D17" s="60">
        <v>0.9999999999998368</v>
      </c>
      <c r="E17" s="61">
        <v>0.999999999985553</v>
      </c>
      <c r="F17" s="61">
        <v>0.99999999979879339</v>
      </c>
      <c r="G17" s="61">
        <v>0.99999999922124838</v>
      </c>
      <c r="H17" s="61">
        <v>0.99999999848077048</v>
      </c>
      <c r="I17" s="86">
        <v>0.99810516189338105</v>
      </c>
      <c r="J17" s="87">
        <v>0.99810516187248421</v>
      </c>
      <c r="K17" s="61">
        <v>0.98548078694140151</v>
      </c>
      <c r="L17" s="62">
        <v>7.1031318852249052</v>
      </c>
      <c r="M17" s="62"/>
      <c r="N17" s="62"/>
      <c r="O17" s="63"/>
      <c r="Q17" s="53"/>
      <c r="R17" s="53"/>
      <c r="S17" s="53"/>
      <c r="T17" s="53"/>
      <c r="U17" s="53"/>
      <c r="V17" s="53"/>
      <c r="W17" s="53"/>
      <c r="X17" s="118"/>
      <c r="Y17" s="118"/>
      <c r="Z17" s="118"/>
    </row>
    <row r="18" spans="1:26" x14ac:dyDescent="0.2">
      <c r="A18" s="74" t="s">
        <v>35</v>
      </c>
      <c r="B18" s="75" t="s">
        <v>29</v>
      </c>
      <c r="C18" s="76">
        <v>1</v>
      </c>
      <c r="D18" s="76">
        <v>0.99718053660754846</v>
      </c>
      <c r="E18" s="77">
        <v>0.99552133438348633</v>
      </c>
      <c r="F18" s="77">
        <v>0.99552133438041368</v>
      </c>
      <c r="G18" s="77">
        <v>0.98889698152331229</v>
      </c>
      <c r="H18" s="77">
        <v>0.98501098818644361</v>
      </c>
      <c r="I18" s="78">
        <v>0.98210749227354099</v>
      </c>
      <c r="J18" s="79">
        <v>0.98210749227307426</v>
      </c>
      <c r="K18" s="80">
        <v>0.98262423947997923</v>
      </c>
      <c r="L18" s="65">
        <v>7.1237811146451202</v>
      </c>
      <c r="M18" s="65">
        <f t="shared" ref="M18:O18" si="2">I20/I19</f>
        <v>1.0143800817061197</v>
      </c>
      <c r="N18" s="65">
        <f t="shared" si="2"/>
        <v>1.0143800817093149</v>
      </c>
      <c r="O18" s="64">
        <f t="shared" si="2"/>
        <v>1.0122100469559892</v>
      </c>
      <c r="Q18" s="53"/>
      <c r="R18" s="53"/>
      <c r="S18" s="53"/>
      <c r="T18" s="53"/>
      <c r="U18" s="53"/>
      <c r="V18" s="53"/>
      <c r="W18" s="53"/>
      <c r="X18" s="118"/>
      <c r="Y18" s="118"/>
      <c r="Z18" s="118"/>
    </row>
    <row r="19" spans="1:26" x14ac:dyDescent="0.2">
      <c r="A19" s="3"/>
      <c r="B19" s="82" t="s">
        <v>1</v>
      </c>
      <c r="C19" s="54">
        <v>1</v>
      </c>
      <c r="D19" s="54">
        <v>0.99434329149725709</v>
      </c>
      <c r="E19" s="55">
        <v>0.99114375999022408</v>
      </c>
      <c r="F19" s="55">
        <v>0.99114375997178827</v>
      </c>
      <c r="G19" s="55">
        <v>0.98555364814306612</v>
      </c>
      <c r="H19" s="55">
        <v>0.97807058324484875</v>
      </c>
      <c r="I19" s="83">
        <v>0.97348623553380476</v>
      </c>
      <c r="J19" s="70">
        <v>0.97348623553071223</v>
      </c>
      <c r="K19" s="55">
        <v>0.97610921323581845</v>
      </c>
      <c r="L19" s="56">
        <v>7.1713286844152222</v>
      </c>
      <c r="M19" s="56"/>
      <c r="N19" s="56"/>
      <c r="O19" s="57"/>
      <c r="Q19" s="53"/>
      <c r="R19" s="53"/>
      <c r="S19" s="53"/>
      <c r="T19" s="53"/>
      <c r="U19" s="53"/>
      <c r="V19" s="53"/>
      <c r="W19" s="53"/>
      <c r="X19" s="118"/>
      <c r="Y19" s="118"/>
      <c r="Z19" s="118"/>
    </row>
    <row r="20" spans="1:26" x14ac:dyDescent="0.2">
      <c r="A20" s="58"/>
      <c r="B20" s="85" t="s">
        <v>0</v>
      </c>
      <c r="C20" s="60">
        <v>1</v>
      </c>
      <c r="D20" s="60">
        <v>1</v>
      </c>
      <c r="E20" s="61">
        <v>0.99999999999999512</v>
      </c>
      <c r="F20" s="61">
        <v>0.99614065180084166</v>
      </c>
      <c r="G20" s="61">
        <v>0.98850543985432637</v>
      </c>
      <c r="H20" s="61">
        <v>0.98850543985273875</v>
      </c>
      <c r="I20" s="86">
        <v>0.98748504714056373</v>
      </c>
      <c r="J20" s="87">
        <v>0.9874850471405372</v>
      </c>
      <c r="K20" s="61">
        <v>0.98802755256360142</v>
      </c>
      <c r="L20" s="62">
        <v>7.0848226669765824</v>
      </c>
      <c r="M20" s="62"/>
      <c r="N20" s="62"/>
      <c r="O20" s="63"/>
      <c r="Q20" s="53"/>
      <c r="R20" s="53"/>
      <c r="S20" s="53"/>
      <c r="T20" s="53"/>
      <c r="U20" s="53"/>
      <c r="V20" s="53"/>
      <c r="W20" s="53"/>
      <c r="X20" s="118"/>
      <c r="Y20" s="118"/>
      <c r="Z20" s="118"/>
    </row>
    <row r="21" spans="1:26" x14ac:dyDescent="0.2">
      <c r="A21" s="74" t="s">
        <v>36</v>
      </c>
      <c r="B21" s="75" t="s">
        <v>29</v>
      </c>
      <c r="C21" s="76">
        <v>1</v>
      </c>
      <c r="D21" s="76">
        <v>0.99999999999985834</v>
      </c>
      <c r="E21" s="77">
        <v>0.99999999998582012</v>
      </c>
      <c r="F21" s="77">
        <v>0.9999999997625777</v>
      </c>
      <c r="G21" s="77">
        <v>0.9999999992547064</v>
      </c>
      <c r="H21" s="77">
        <v>0.99999999820176766</v>
      </c>
      <c r="I21" s="78">
        <v>0.99999999816610119</v>
      </c>
      <c r="J21" s="79">
        <v>0.99999999812378926</v>
      </c>
      <c r="K21" s="80">
        <v>0.98616783187091306</v>
      </c>
      <c r="L21" s="65">
        <v>7.0981832643231906</v>
      </c>
      <c r="M21" s="65">
        <f t="shared" ref="M21:O21" si="3">I23/I22</f>
        <v>1.0000000060962471</v>
      </c>
      <c r="N21" s="65">
        <f t="shared" si="3"/>
        <v>1.0002126818151906</v>
      </c>
      <c r="O21" s="64">
        <f t="shared" si="3"/>
        <v>1.0086753988359862</v>
      </c>
      <c r="Q21" s="53"/>
      <c r="R21" s="53"/>
      <c r="S21" s="53"/>
      <c r="T21" s="53"/>
      <c r="U21" s="53"/>
      <c r="V21" s="53"/>
      <c r="W21" s="53"/>
      <c r="X21" s="118"/>
      <c r="Y21" s="118"/>
      <c r="Z21" s="118"/>
    </row>
    <row r="22" spans="1:26" x14ac:dyDescent="0.2">
      <c r="A22" s="3"/>
      <c r="B22" s="82" t="s">
        <v>1</v>
      </c>
      <c r="C22" s="54">
        <v>1</v>
      </c>
      <c r="D22" s="54">
        <v>0.99999999999945699</v>
      </c>
      <c r="E22" s="55">
        <v>0.99999999995062983</v>
      </c>
      <c r="F22" s="55">
        <v>0.9999999991959394</v>
      </c>
      <c r="G22" s="55">
        <v>0.99999999753529789</v>
      </c>
      <c r="H22" s="55">
        <v>0.99999999380875126</v>
      </c>
      <c r="I22" s="83">
        <v>0.99999999358060931</v>
      </c>
      <c r="J22" s="70">
        <v>0.999787363082833</v>
      </c>
      <c r="K22" s="55">
        <v>0.98195259449208983</v>
      </c>
      <c r="L22" s="56">
        <v>7.1286537041237885</v>
      </c>
      <c r="M22" s="56"/>
      <c r="N22" s="56"/>
      <c r="O22" s="57"/>
      <c r="Q22" s="53"/>
      <c r="R22" s="53"/>
      <c r="S22" s="53"/>
      <c r="T22" s="53"/>
      <c r="U22" s="53"/>
      <c r="V22" s="53"/>
      <c r="W22" s="53"/>
      <c r="X22" s="118"/>
      <c r="Y22" s="118"/>
      <c r="Z22" s="118"/>
    </row>
    <row r="23" spans="1:26" x14ac:dyDescent="0.2">
      <c r="A23" s="58"/>
      <c r="B23" s="85" t="s">
        <v>0</v>
      </c>
      <c r="C23" s="60">
        <v>1</v>
      </c>
      <c r="D23" s="60">
        <v>0.99999999999997746</v>
      </c>
      <c r="E23" s="61">
        <v>0.99999999999737388</v>
      </c>
      <c r="F23" s="61">
        <v>0.99999999995572564</v>
      </c>
      <c r="G23" s="61">
        <v>0.99999999985704757</v>
      </c>
      <c r="H23" s="61">
        <v>0.99999999967900433</v>
      </c>
      <c r="I23" s="86">
        <v>0.99999999967685638</v>
      </c>
      <c r="J23" s="87">
        <v>0.9999999996740182</v>
      </c>
      <c r="K23" s="61">
        <v>0.99047142488734019</v>
      </c>
      <c r="L23" s="62">
        <v>7.0673416961990663</v>
      </c>
      <c r="M23" s="62"/>
      <c r="N23" s="62"/>
      <c r="O23" s="63"/>
      <c r="Q23" s="53"/>
      <c r="R23" s="53"/>
      <c r="S23" s="53"/>
      <c r="T23" s="53"/>
      <c r="U23" s="53"/>
      <c r="V23" s="53"/>
      <c r="W23" s="53"/>
      <c r="X23" s="118"/>
      <c r="Y23" s="118"/>
      <c r="Z23" s="118"/>
    </row>
    <row r="24" spans="1:26" x14ac:dyDescent="0.2">
      <c r="A24" s="74" t="s">
        <v>37</v>
      </c>
      <c r="B24" s="75" t="s">
        <v>29</v>
      </c>
      <c r="C24" s="76">
        <v>1</v>
      </c>
      <c r="D24" s="76">
        <v>0.99999999999999645</v>
      </c>
      <c r="E24" s="77">
        <v>0.99999999995635236</v>
      </c>
      <c r="F24" s="77">
        <v>0.99999999845823273</v>
      </c>
      <c r="G24" s="77">
        <v>0.99999999248017346</v>
      </c>
      <c r="H24" s="77">
        <v>0.99999998237180843</v>
      </c>
      <c r="I24" s="78">
        <v>0.97315212002164919</v>
      </c>
      <c r="J24" s="79">
        <v>0.97315211888451647</v>
      </c>
      <c r="K24" s="80">
        <v>0.95626239410251823</v>
      </c>
      <c r="L24" s="65">
        <v>7.3201665601100174</v>
      </c>
      <c r="M24" s="65">
        <f t="shared" ref="M24:O24" si="4">I26/I25</f>
        <v>1.0138925754605472</v>
      </c>
      <c r="N24" s="65">
        <f t="shared" si="4"/>
        <v>1.0123683927599565</v>
      </c>
      <c r="O24" s="64">
        <f t="shared" si="4"/>
        <v>1.0251636760373093</v>
      </c>
      <c r="Q24" s="53"/>
      <c r="R24" s="53"/>
      <c r="S24" s="53"/>
      <c r="T24" s="53"/>
      <c r="U24" s="53"/>
      <c r="V24" s="53"/>
      <c r="W24" s="53"/>
      <c r="X24" s="118"/>
      <c r="Y24" s="118"/>
      <c r="Z24" s="118"/>
    </row>
    <row r="25" spans="1:26" x14ac:dyDescent="0.2">
      <c r="A25" s="3"/>
      <c r="B25" s="82" t="s">
        <v>1</v>
      </c>
      <c r="C25" s="54">
        <v>1</v>
      </c>
      <c r="D25" s="54">
        <v>0.99999999999999101</v>
      </c>
      <c r="E25" s="55">
        <v>0.99999999987777144</v>
      </c>
      <c r="F25" s="55">
        <v>0.99999999589617239</v>
      </c>
      <c r="G25" s="55">
        <v>0.99999997461299195</v>
      </c>
      <c r="H25" s="55">
        <v>0.99999993231082784</v>
      </c>
      <c r="I25" s="83">
        <v>0.96666659641629504</v>
      </c>
      <c r="J25" s="70">
        <v>0.96666658740888944</v>
      </c>
      <c r="K25" s="55">
        <v>0.94409239335811435</v>
      </c>
      <c r="L25" s="56">
        <v>7.4145285453483689</v>
      </c>
      <c r="M25" s="56"/>
      <c r="N25" s="56"/>
      <c r="O25" s="57"/>
      <c r="Q25" s="53"/>
      <c r="R25" s="53"/>
      <c r="S25" s="53"/>
      <c r="T25" s="53"/>
      <c r="U25" s="53"/>
      <c r="V25" s="53"/>
      <c r="W25" s="53"/>
      <c r="X25" s="118"/>
      <c r="Y25" s="118"/>
      <c r="Z25" s="118"/>
    </row>
    <row r="26" spans="1:26" x14ac:dyDescent="0.2">
      <c r="A26" s="58"/>
      <c r="B26" s="85" t="s">
        <v>0</v>
      </c>
      <c r="C26" s="60">
        <v>1</v>
      </c>
      <c r="D26" s="60">
        <v>0.99999999999999878</v>
      </c>
      <c r="E26" s="61">
        <v>0.99999999998805933</v>
      </c>
      <c r="F26" s="61">
        <v>0.99999999953018315</v>
      </c>
      <c r="G26" s="61">
        <v>0.99999999849175636</v>
      </c>
      <c r="H26" s="61">
        <v>0.9999999971829906</v>
      </c>
      <c r="I26" s="86">
        <v>0.9800960850521987</v>
      </c>
      <c r="J26" s="87">
        <v>0.97862269942988933</v>
      </c>
      <c r="K26" s="61">
        <v>0.9678492284938659</v>
      </c>
      <c r="L26" s="62">
        <v>7.2325314665933682</v>
      </c>
      <c r="M26" s="62"/>
      <c r="N26" s="62"/>
      <c r="O26" s="63"/>
      <c r="Q26" s="53"/>
      <c r="R26" s="53"/>
      <c r="S26" s="53"/>
      <c r="T26" s="53"/>
      <c r="U26" s="53"/>
      <c r="V26" s="53"/>
      <c r="W26" s="53"/>
      <c r="X26" s="118"/>
      <c r="Y26" s="118"/>
      <c r="Z26" s="118"/>
    </row>
    <row r="27" spans="1:26" x14ac:dyDescent="0.2">
      <c r="A27" s="74" t="s">
        <v>38</v>
      </c>
      <c r="B27" s="75" t="s">
        <v>29</v>
      </c>
      <c r="C27" s="119">
        <v>1</v>
      </c>
      <c r="D27" s="119">
        <v>0.99999999999850386</v>
      </c>
      <c r="E27" s="120">
        <v>0.99999999908272985</v>
      </c>
      <c r="F27" s="120">
        <v>0.99999997973211374</v>
      </c>
      <c r="G27" s="120">
        <v>0.99999992396531501</v>
      </c>
      <c r="H27" s="120">
        <v>0.99999981656790649</v>
      </c>
      <c r="I27" s="121">
        <v>0.98240831239344772</v>
      </c>
      <c r="J27" s="122">
        <v>0.97323077352951026</v>
      </c>
      <c r="K27" s="80">
        <v>0.94646936451963082</v>
      </c>
      <c r="L27" s="123">
        <v>7.3959076356927476</v>
      </c>
      <c r="M27" s="123">
        <f t="shared" ref="M27:O27" si="5">I29/I28</f>
        <v>1.0260696597364485</v>
      </c>
      <c r="N27" s="123">
        <f t="shared" si="5"/>
        <v>1.0457976636676956</v>
      </c>
      <c r="O27" s="124">
        <f t="shared" si="5"/>
        <v>1.064377239125939</v>
      </c>
      <c r="Q27" s="125"/>
      <c r="R27" s="125"/>
      <c r="S27" s="125"/>
      <c r="T27" s="125"/>
      <c r="U27" s="125"/>
      <c r="V27" s="125"/>
      <c r="W27" s="125"/>
      <c r="X27" s="126"/>
      <c r="Y27" s="126"/>
      <c r="Z27" s="126"/>
    </row>
    <row r="28" spans="1:26" ht="12" x14ac:dyDescent="0.2">
      <c r="A28" s="127"/>
      <c r="B28" s="82" t="s">
        <v>1</v>
      </c>
      <c r="C28" s="128">
        <v>1</v>
      </c>
      <c r="D28" s="128">
        <v>0.99999999999684308</v>
      </c>
      <c r="E28" s="129">
        <v>0.99999999634430614</v>
      </c>
      <c r="F28" s="129">
        <v>0.99999992733332188</v>
      </c>
      <c r="G28" s="129">
        <v>0.99999969256450494</v>
      </c>
      <c r="H28" s="129">
        <v>0.99999921931974323</v>
      </c>
      <c r="I28" s="130">
        <v>0.97010037841655727</v>
      </c>
      <c r="J28" s="131">
        <v>0.95180033336512337</v>
      </c>
      <c r="K28" s="129">
        <v>0.91783138772682549</v>
      </c>
      <c r="L28" s="66">
        <v>7.6266731489067494</v>
      </c>
      <c r="M28" s="66"/>
      <c r="N28" s="66"/>
      <c r="O28" s="132"/>
      <c r="Q28" s="125"/>
      <c r="R28" s="125"/>
      <c r="S28" s="125"/>
      <c r="T28" s="125"/>
      <c r="U28" s="125"/>
      <c r="V28" s="125"/>
      <c r="W28" s="125"/>
      <c r="X28" s="126"/>
      <c r="Y28" s="126"/>
      <c r="Z28" s="126"/>
    </row>
    <row r="29" spans="1:26" x14ac:dyDescent="0.2">
      <c r="A29" s="58"/>
      <c r="B29" s="85" t="s">
        <v>0</v>
      </c>
      <c r="C29" s="133">
        <v>1</v>
      </c>
      <c r="D29" s="133">
        <v>0.99999999999940192</v>
      </c>
      <c r="E29" s="134">
        <v>0.99999999984890764</v>
      </c>
      <c r="F29" s="134">
        <v>0.99999999640703197</v>
      </c>
      <c r="G29" s="134">
        <v>0.99999999004025764</v>
      </c>
      <c r="H29" s="134">
        <v>0.99999997829759402</v>
      </c>
      <c r="I29" s="135">
        <v>0.99539056519207691</v>
      </c>
      <c r="J29" s="136">
        <v>0.99539056491137978</v>
      </c>
      <c r="K29" s="134">
        <v>0.97691883845180782</v>
      </c>
      <c r="L29" s="137">
        <v>7.1653854183970838</v>
      </c>
      <c r="M29" s="137"/>
      <c r="N29" s="137"/>
      <c r="O29" s="138"/>
      <c r="Q29" s="125"/>
      <c r="R29" s="125"/>
      <c r="S29" s="125"/>
      <c r="T29" s="125"/>
      <c r="U29" s="125"/>
      <c r="V29" s="125"/>
      <c r="W29" s="125"/>
      <c r="X29" s="126"/>
      <c r="Y29" s="126"/>
      <c r="Z29" s="126"/>
    </row>
    <row r="30" spans="1:26" x14ac:dyDescent="0.2">
      <c r="A30" s="74" t="s">
        <v>39</v>
      </c>
      <c r="B30" s="75" t="s">
        <v>29</v>
      </c>
      <c r="C30" s="119">
        <v>1</v>
      </c>
      <c r="D30" s="119">
        <v>0.99999999999999845</v>
      </c>
      <c r="E30" s="120">
        <v>0.9999999999995669</v>
      </c>
      <c r="F30" s="120">
        <v>0.9999999999826783</v>
      </c>
      <c r="G30" s="120">
        <v>0.99999999989591026</v>
      </c>
      <c r="H30" s="120">
        <v>0.99999999918899629</v>
      </c>
      <c r="I30" s="121">
        <v>0.99999999915454751</v>
      </c>
      <c r="J30" s="122">
        <v>0.99999999913444848</v>
      </c>
      <c r="K30" s="80">
        <v>0.98735475072421064</v>
      </c>
      <c r="L30" s="123">
        <v>7.0896503965424786</v>
      </c>
      <c r="M30" s="123">
        <f t="shared" ref="M30:O30" si="6">I32/I31</f>
        <v>1.0000000030613898</v>
      </c>
      <c r="N30" s="123">
        <f t="shared" si="6"/>
        <v>1.0000000031652714</v>
      </c>
      <c r="O30" s="124">
        <f t="shared" si="6"/>
        <v>1.0076559727900682</v>
      </c>
      <c r="Q30" s="53"/>
      <c r="R30" s="53"/>
      <c r="S30" s="53"/>
      <c r="T30" s="53"/>
      <c r="U30" s="53"/>
      <c r="V30" s="53"/>
      <c r="W30" s="53"/>
      <c r="X30" s="118"/>
      <c r="Y30" s="118"/>
      <c r="Z30" s="118"/>
    </row>
    <row r="31" spans="1:26" x14ac:dyDescent="0.2">
      <c r="A31" s="3"/>
      <c r="B31" s="82" t="s">
        <v>1</v>
      </c>
      <c r="C31" s="128">
        <v>1</v>
      </c>
      <c r="D31" s="128">
        <v>0.99999999999999722</v>
      </c>
      <c r="E31" s="129">
        <v>0.99999999999909228</v>
      </c>
      <c r="F31" s="129">
        <v>0.99999999995954958</v>
      </c>
      <c r="G31" s="129">
        <v>0.9999999996407607</v>
      </c>
      <c r="H31" s="129">
        <v>0.99999999708149401</v>
      </c>
      <c r="I31" s="130">
        <v>0.99999999679981533</v>
      </c>
      <c r="J31" s="131">
        <v>0.99999999669405559</v>
      </c>
      <c r="K31" s="129">
        <v>0.98372623261366721</v>
      </c>
      <c r="L31" s="66">
        <v>7.1158008884256994</v>
      </c>
      <c r="M31" s="66"/>
      <c r="N31" s="66"/>
      <c r="O31" s="132"/>
      <c r="Q31" s="53"/>
      <c r="R31" s="53"/>
      <c r="S31" s="53"/>
      <c r="T31" s="53"/>
      <c r="U31" s="53"/>
      <c r="V31" s="53"/>
      <c r="W31" s="53"/>
      <c r="X31" s="118"/>
      <c r="Y31" s="118"/>
      <c r="Z31" s="118"/>
    </row>
    <row r="32" spans="1:26" x14ac:dyDescent="0.2">
      <c r="A32" s="58"/>
      <c r="B32" s="85" t="s">
        <v>0</v>
      </c>
      <c r="C32" s="133">
        <v>1</v>
      </c>
      <c r="D32" s="133">
        <v>0.99999999999999933</v>
      </c>
      <c r="E32" s="134">
        <v>0.99999999999981415</v>
      </c>
      <c r="F32" s="134">
        <v>0.99999999999392897</v>
      </c>
      <c r="G32" s="134">
        <v>0.99999999997982092</v>
      </c>
      <c r="H32" s="134">
        <v>0.99999999986239241</v>
      </c>
      <c r="I32" s="135">
        <v>0.99999999986120514</v>
      </c>
      <c r="J32" s="136">
        <v>0.99999999985932686</v>
      </c>
      <c r="K32" s="134">
        <v>0.9912576138834337</v>
      </c>
      <c r="L32" s="137">
        <v>7.0617364264938303</v>
      </c>
      <c r="M32" s="137"/>
      <c r="N32" s="137"/>
      <c r="O32" s="138"/>
      <c r="Q32" s="53"/>
      <c r="R32" s="53"/>
      <c r="S32" s="53"/>
      <c r="T32" s="53"/>
      <c r="U32" s="53"/>
      <c r="V32" s="53"/>
      <c r="W32" s="53"/>
      <c r="X32" s="118"/>
      <c r="Y32" s="118"/>
      <c r="Z32" s="118"/>
    </row>
    <row r="33" spans="1:26" ht="12" customHeight="1" x14ac:dyDescent="0.2">
      <c r="A33" s="74" t="s">
        <v>40</v>
      </c>
      <c r="B33" s="75" t="s">
        <v>29</v>
      </c>
      <c r="C33" s="119">
        <v>1</v>
      </c>
      <c r="D33" s="119">
        <v>0.9999999999998862</v>
      </c>
      <c r="E33" s="120">
        <v>0.99999999982870746</v>
      </c>
      <c r="F33" s="120">
        <v>0.99999999465507006</v>
      </c>
      <c r="G33" s="120">
        <v>0.99999996669726454</v>
      </c>
      <c r="H33" s="120">
        <v>0.99999987816745284</v>
      </c>
      <c r="I33" s="121">
        <v>0.99999987537892032</v>
      </c>
      <c r="J33" s="122">
        <v>0.9894131946984106</v>
      </c>
      <c r="K33" s="80">
        <v>0.9632912834120303</v>
      </c>
      <c r="L33" s="123">
        <v>7.2667531831136456</v>
      </c>
      <c r="M33" s="123">
        <f t="shared" ref="M33:O33" si="7">I35/I34</f>
        <v>1.000000605761757</v>
      </c>
      <c r="N33" s="123">
        <f t="shared" si="7"/>
        <v>1.007245271603685</v>
      </c>
      <c r="O33" s="124">
        <f t="shared" si="7"/>
        <v>1.0269985080299506</v>
      </c>
      <c r="Q33" s="53"/>
      <c r="R33" s="53"/>
      <c r="S33" s="53"/>
      <c r="T33" s="53"/>
      <c r="U33" s="53"/>
      <c r="V33" s="53"/>
      <c r="W33" s="53"/>
      <c r="X33" s="118"/>
      <c r="Y33" s="118"/>
      <c r="Z33" s="118"/>
    </row>
    <row r="34" spans="1:26" ht="10.5" customHeight="1" x14ac:dyDescent="0.2">
      <c r="A34" s="3"/>
      <c r="B34" s="82" t="s">
        <v>1</v>
      </c>
      <c r="C34" s="128">
        <v>1</v>
      </c>
      <c r="D34" s="128">
        <v>0.99999999999995048</v>
      </c>
      <c r="E34" s="129">
        <v>0.99999999955732677</v>
      </c>
      <c r="F34" s="129">
        <v>0.99999998396510803</v>
      </c>
      <c r="G34" s="129">
        <v>0.99999985194796681</v>
      </c>
      <c r="H34" s="129">
        <v>0.9999994090400246</v>
      </c>
      <c r="I34" s="130">
        <v>0.99999938122404686</v>
      </c>
      <c r="J34" s="131">
        <v>0.98582752186138478</v>
      </c>
      <c r="K34" s="129">
        <v>0.95074102340868338</v>
      </c>
      <c r="L34" s="66">
        <v>7.3626779823836381</v>
      </c>
      <c r="M34" s="66"/>
      <c r="N34" s="66"/>
      <c r="O34" s="132"/>
      <c r="Q34" s="53"/>
      <c r="R34" s="53"/>
      <c r="S34" s="53"/>
      <c r="T34" s="53"/>
      <c r="U34" s="53"/>
      <c r="V34" s="53"/>
      <c r="W34" s="53"/>
      <c r="X34" s="118"/>
      <c r="Y34" s="118"/>
      <c r="Z34" s="118"/>
    </row>
    <row r="35" spans="1:26" x14ac:dyDescent="0.2">
      <c r="A35" s="58"/>
      <c r="B35" s="85" t="s">
        <v>0</v>
      </c>
      <c r="C35" s="133">
        <v>1</v>
      </c>
      <c r="D35" s="133">
        <v>0.99999999999975053</v>
      </c>
      <c r="E35" s="134">
        <v>0.99999999993995503</v>
      </c>
      <c r="F35" s="134">
        <v>0.9999999984397604</v>
      </c>
      <c r="G35" s="134">
        <v>0.99999999528258843</v>
      </c>
      <c r="H35" s="134">
        <v>0.99999998703701987</v>
      </c>
      <c r="I35" s="135">
        <v>0.99999998698542891</v>
      </c>
      <c r="J35" s="136">
        <v>0.99297011001165836</v>
      </c>
      <c r="K35" s="134">
        <v>0.97640961256358616</v>
      </c>
      <c r="L35" s="137">
        <v>7.1691223743909456</v>
      </c>
      <c r="M35" s="137"/>
      <c r="N35" s="137"/>
      <c r="O35" s="138"/>
      <c r="Q35" s="53"/>
      <c r="R35" s="53"/>
      <c r="S35" s="53"/>
      <c r="T35" s="53"/>
      <c r="U35" s="53"/>
      <c r="V35" s="53"/>
      <c r="W35" s="53"/>
      <c r="X35" s="118"/>
      <c r="Y35" s="118"/>
      <c r="Z35" s="118"/>
    </row>
    <row r="36" spans="1:26" x14ac:dyDescent="0.2">
      <c r="A36" s="74" t="s">
        <v>41</v>
      </c>
      <c r="B36" s="75" t="s">
        <v>29</v>
      </c>
      <c r="C36" s="119">
        <v>1</v>
      </c>
      <c r="D36" s="119">
        <v>0.99999999999031985</v>
      </c>
      <c r="E36" s="120">
        <v>0.99999999779416071</v>
      </c>
      <c r="F36" s="120">
        <v>0.99999995217997339</v>
      </c>
      <c r="G36" s="120">
        <v>0.9999997302861906</v>
      </c>
      <c r="H36" s="120">
        <v>0.99999924094115389</v>
      </c>
      <c r="I36" s="121">
        <v>0.99999918211641792</v>
      </c>
      <c r="J36" s="122">
        <v>0.99095518831625473</v>
      </c>
      <c r="K36" s="80">
        <v>0.95100366643435363</v>
      </c>
      <c r="L36" s="123">
        <v>7.3606445979808415</v>
      </c>
      <c r="M36" s="123">
        <f t="shared" ref="M36:O36" si="8">I38/I37</f>
        <v>1.0095538224691782</v>
      </c>
      <c r="N36" s="123">
        <f t="shared" si="8"/>
        <v>1.0221071232566916</v>
      </c>
      <c r="O36" s="124">
        <f t="shared" si="8"/>
        <v>1.0515748941388399</v>
      </c>
      <c r="Q36" s="125"/>
      <c r="R36" s="125"/>
      <c r="S36" s="125"/>
      <c r="T36" s="125"/>
      <c r="U36" s="125"/>
      <c r="V36" s="125"/>
      <c r="W36" s="125"/>
      <c r="X36" s="126"/>
      <c r="Y36" s="126"/>
      <c r="Z36" s="126"/>
    </row>
    <row r="37" spans="1:26" ht="12" x14ac:dyDescent="0.2">
      <c r="A37" s="127"/>
      <c r="B37" s="82" t="s">
        <v>1</v>
      </c>
      <c r="C37" s="128">
        <v>1</v>
      </c>
      <c r="D37" s="128">
        <v>0.99999999997644173</v>
      </c>
      <c r="E37" s="129">
        <v>0.99999999005489426</v>
      </c>
      <c r="F37" s="129">
        <v>0.99999978855885086</v>
      </c>
      <c r="G37" s="129">
        <v>0.99999875338779909</v>
      </c>
      <c r="H37" s="129">
        <v>0.99999645895797296</v>
      </c>
      <c r="I37" s="130">
        <v>0.99053650947256622</v>
      </c>
      <c r="J37" s="131">
        <v>0.97574268579727619</v>
      </c>
      <c r="K37" s="129">
        <v>0.92434890517956403</v>
      </c>
      <c r="L37" s="66">
        <v>7.5728980266820134</v>
      </c>
      <c r="M37" s="66"/>
      <c r="N37" s="66"/>
      <c r="O37" s="132"/>
      <c r="Q37" s="125"/>
      <c r="R37" s="125"/>
      <c r="S37" s="125"/>
      <c r="T37" s="125"/>
      <c r="U37" s="125"/>
      <c r="V37" s="125"/>
      <c r="W37" s="125"/>
      <c r="X37" s="126"/>
      <c r="Y37" s="126"/>
      <c r="Z37" s="126"/>
    </row>
    <row r="38" spans="1:26" x14ac:dyDescent="0.2">
      <c r="A38" s="58"/>
      <c r="B38" s="85" t="s">
        <v>0</v>
      </c>
      <c r="C38" s="133">
        <v>1</v>
      </c>
      <c r="D38" s="133">
        <v>0.99999999999688161</v>
      </c>
      <c r="E38" s="134">
        <v>0.99999999968201914</v>
      </c>
      <c r="F38" s="134">
        <v>0.99999999400216477</v>
      </c>
      <c r="G38" s="134">
        <v>0.99999997105464133</v>
      </c>
      <c r="H38" s="134">
        <v>0.9999999206078235</v>
      </c>
      <c r="I38" s="135">
        <v>0.99999991943330668</v>
      </c>
      <c r="J38" s="136">
        <v>0.99731354961901186</v>
      </c>
      <c r="K38" s="134">
        <v>0.9720221021115526</v>
      </c>
      <c r="L38" s="137">
        <v>7.201482337483573</v>
      </c>
      <c r="M38" s="137"/>
      <c r="N38" s="137"/>
      <c r="O38" s="138"/>
      <c r="Q38" s="125"/>
      <c r="R38" s="125"/>
      <c r="S38" s="125"/>
      <c r="T38" s="125"/>
      <c r="U38" s="125"/>
      <c r="V38" s="125"/>
      <c r="W38" s="125"/>
      <c r="X38" s="126"/>
      <c r="Y38" s="126"/>
      <c r="Z38" s="126"/>
    </row>
    <row r="39" spans="1:26" x14ac:dyDescent="0.2">
      <c r="A39" s="74" t="s">
        <v>42</v>
      </c>
      <c r="B39" s="75" t="s">
        <v>29</v>
      </c>
      <c r="C39" s="76">
        <v>1</v>
      </c>
      <c r="D39" s="76">
        <v>0.99999999999999745</v>
      </c>
      <c r="E39" s="77">
        <v>0.99999999999952727</v>
      </c>
      <c r="F39" s="77">
        <v>0.99999999998631162</v>
      </c>
      <c r="G39" s="77">
        <v>0.99999999996232802</v>
      </c>
      <c r="H39" s="77">
        <v>0.99999999993475375</v>
      </c>
      <c r="I39" s="78">
        <v>0.99999999993349864</v>
      </c>
      <c r="J39" s="79">
        <v>0.99999999993222244</v>
      </c>
      <c r="K39" s="80">
        <v>0.99185787565598116</v>
      </c>
      <c r="L39" s="65">
        <v>7.0574627391756479</v>
      </c>
      <c r="M39" s="65">
        <f t="shared" ref="M39:O39" si="9">I41/I40</f>
        <v>1.0000000001321139</v>
      </c>
      <c r="N39" s="65">
        <f t="shared" si="9"/>
        <v>1.0000000001406852</v>
      </c>
      <c r="O39" s="64">
        <f t="shared" si="9"/>
        <v>1.0045684710545097</v>
      </c>
      <c r="Q39" s="53"/>
      <c r="R39" s="53"/>
      <c r="S39" s="53"/>
      <c r="T39" s="53"/>
      <c r="U39" s="53"/>
      <c r="V39" s="53"/>
      <c r="W39" s="53"/>
      <c r="X39" s="118"/>
      <c r="Y39" s="118"/>
      <c r="Z39" s="118"/>
    </row>
    <row r="40" spans="1:26" x14ac:dyDescent="0.2">
      <c r="A40" s="3"/>
      <c r="B40" s="82" t="s">
        <v>1</v>
      </c>
      <c r="C40" s="54">
        <v>1</v>
      </c>
      <c r="D40" s="54">
        <v>0.99999999999999822</v>
      </c>
      <c r="E40" s="55">
        <v>0.99999999999935107</v>
      </c>
      <c r="F40" s="55">
        <v>0.99999999997214961</v>
      </c>
      <c r="G40" s="55">
        <v>0.99999999991802901</v>
      </c>
      <c r="H40" s="55">
        <v>0.99999999985131593</v>
      </c>
      <c r="I40" s="83">
        <v>0.9999999998426583</v>
      </c>
      <c r="J40" s="70">
        <v>0.99999999983401411</v>
      </c>
      <c r="K40" s="55">
        <v>0.98964406475038302</v>
      </c>
      <c r="L40" s="56">
        <v>7.0732501202496509</v>
      </c>
      <c r="M40" s="56"/>
      <c r="N40" s="56"/>
      <c r="O40" s="57"/>
      <c r="Q40" s="53"/>
      <c r="R40" s="53"/>
      <c r="S40" s="53"/>
      <c r="T40" s="53"/>
      <c r="U40" s="53"/>
      <c r="V40" s="53"/>
      <c r="W40" s="53"/>
      <c r="X40" s="118"/>
      <c r="Y40" s="118"/>
      <c r="Z40" s="118"/>
    </row>
    <row r="41" spans="1:26" x14ac:dyDescent="0.2">
      <c r="A41" s="58"/>
      <c r="B41" s="85" t="s">
        <v>0</v>
      </c>
      <c r="C41" s="60">
        <v>1</v>
      </c>
      <c r="D41" s="60">
        <v>0.99999999999999667</v>
      </c>
      <c r="E41" s="61">
        <v>0.99999999999954536</v>
      </c>
      <c r="F41" s="61">
        <v>0.99999999999360845</v>
      </c>
      <c r="G41" s="61">
        <v>0.99999999998465039</v>
      </c>
      <c r="H41" s="61">
        <v>0.99999999997483646</v>
      </c>
      <c r="I41" s="86">
        <v>0.99999999997477207</v>
      </c>
      <c r="J41" s="87">
        <v>0.99999999997469935</v>
      </c>
      <c r="K41" s="61">
        <v>0.99416522501446247</v>
      </c>
      <c r="L41" s="62">
        <v>7.0410831357515731</v>
      </c>
      <c r="M41" s="62"/>
      <c r="N41" s="62"/>
      <c r="O41" s="63"/>
      <c r="Q41" s="53"/>
      <c r="R41" s="53"/>
      <c r="S41" s="53"/>
      <c r="T41" s="53"/>
      <c r="U41" s="53"/>
      <c r="V41" s="53"/>
      <c r="W41" s="53"/>
      <c r="X41" s="118"/>
      <c r="Y41" s="118"/>
      <c r="Z41" s="118"/>
    </row>
    <row r="42" spans="1:26" x14ac:dyDescent="0.2">
      <c r="A42" s="74" t="s">
        <v>43</v>
      </c>
      <c r="B42" s="75" t="s">
        <v>29</v>
      </c>
      <c r="C42" s="76">
        <v>1</v>
      </c>
      <c r="D42" s="76">
        <v>0.99999999999943168</v>
      </c>
      <c r="E42" s="77">
        <v>0.99999999995776234</v>
      </c>
      <c r="F42" s="77">
        <v>0.99999999949125018</v>
      </c>
      <c r="G42" s="77">
        <v>0.9999999985035416</v>
      </c>
      <c r="H42" s="77">
        <v>0.9999999966627745</v>
      </c>
      <c r="I42" s="78">
        <v>0.99999999660451155</v>
      </c>
      <c r="J42" s="79">
        <v>0.99999999652465243</v>
      </c>
      <c r="K42" s="80">
        <v>0.98480509298136509</v>
      </c>
      <c r="L42" s="65">
        <v>7.1080054823929073</v>
      </c>
      <c r="M42" s="65">
        <f t="shared" ref="M42:O42" si="10">I44/I43</f>
        <v>1.0003937102268285</v>
      </c>
      <c r="N42" s="65">
        <f t="shared" si="10"/>
        <v>1.0003937105677263</v>
      </c>
      <c r="O42" s="64">
        <f t="shared" si="10"/>
        <v>1.007953279092644</v>
      </c>
      <c r="Q42" s="53"/>
      <c r="R42" s="53"/>
      <c r="S42" s="53"/>
      <c r="T42" s="53"/>
      <c r="U42" s="53"/>
      <c r="V42" s="53"/>
      <c r="W42" s="53"/>
      <c r="X42" s="118"/>
      <c r="Y42" s="118"/>
      <c r="Z42" s="118"/>
    </row>
    <row r="43" spans="1:26" x14ac:dyDescent="0.2">
      <c r="A43" s="3"/>
      <c r="B43" s="82" t="s">
        <v>1</v>
      </c>
      <c r="C43" s="54">
        <v>1</v>
      </c>
      <c r="D43" s="54">
        <v>0.99999999999768951</v>
      </c>
      <c r="E43" s="55">
        <v>0.99999999986830845</v>
      </c>
      <c r="F43" s="55">
        <v>0.99999999880456969</v>
      </c>
      <c r="G43" s="55">
        <v>0.99999999586214394</v>
      </c>
      <c r="H43" s="55">
        <v>0.99999998999982564</v>
      </c>
      <c r="I43" s="83">
        <v>0.99960644389050801</v>
      </c>
      <c r="J43" s="70">
        <v>0.99960644353926564</v>
      </c>
      <c r="K43" s="55">
        <v>0.98086378526813234</v>
      </c>
      <c r="L43" s="56">
        <v>7.1365668761911278</v>
      </c>
      <c r="M43" s="56"/>
      <c r="N43" s="56"/>
      <c r="O43" s="57"/>
      <c r="Q43" s="53"/>
      <c r="R43" s="53"/>
      <c r="S43" s="53"/>
      <c r="T43" s="53"/>
      <c r="U43" s="53"/>
      <c r="V43" s="53"/>
      <c r="W43" s="53"/>
      <c r="X43" s="118"/>
      <c r="Y43" s="118"/>
      <c r="Z43" s="118"/>
    </row>
    <row r="44" spans="1:26" x14ac:dyDescent="0.2">
      <c r="A44" s="58"/>
      <c r="B44" s="85" t="s">
        <v>0</v>
      </c>
      <c r="C44" s="60">
        <v>1</v>
      </c>
      <c r="D44" s="60">
        <v>0.99999999999991307</v>
      </c>
      <c r="E44" s="61">
        <v>0.9999999999901702</v>
      </c>
      <c r="F44" s="61">
        <v>0.99999999981763188</v>
      </c>
      <c r="G44" s="61">
        <v>0.99999999958306907</v>
      </c>
      <c r="H44" s="61">
        <v>0.99999999917739379</v>
      </c>
      <c r="I44" s="86">
        <v>0.99999999917027149</v>
      </c>
      <c r="J44" s="87">
        <v>0.99999999915965443</v>
      </c>
      <c r="K44" s="61">
        <v>0.98866486870423698</v>
      </c>
      <c r="L44" s="62">
        <v>7.0802556271412103</v>
      </c>
      <c r="M44" s="62"/>
      <c r="N44" s="62"/>
      <c r="O44" s="63"/>
      <c r="Q44" s="53"/>
      <c r="R44" s="53"/>
      <c r="S44" s="53"/>
      <c r="T44" s="53"/>
      <c r="U44" s="53"/>
      <c r="V44" s="53"/>
      <c r="W44" s="53"/>
      <c r="X44" s="118"/>
      <c r="Y44" s="118"/>
      <c r="Z44" s="118"/>
    </row>
    <row r="45" spans="1:26" s="10" customFormat="1" x14ac:dyDescent="0.2">
      <c r="A45" s="88" t="s">
        <v>3</v>
      </c>
      <c r="B45" s="89" t="s">
        <v>29</v>
      </c>
      <c r="C45" s="90">
        <v>1</v>
      </c>
      <c r="D45" s="90">
        <v>0.99999999999971034</v>
      </c>
      <c r="E45" s="91">
        <v>0.99999999996824762</v>
      </c>
      <c r="F45" s="91">
        <v>0.9999999993782358</v>
      </c>
      <c r="G45" s="91">
        <v>0.99999999761018743</v>
      </c>
      <c r="H45" s="91">
        <v>0.99999999425686259</v>
      </c>
      <c r="I45" s="92">
        <v>0.99999999410303142</v>
      </c>
      <c r="J45" s="90">
        <v>0.99999999392346772</v>
      </c>
      <c r="K45" s="93">
        <v>0.98294431520014358</v>
      </c>
      <c r="L45" s="94">
        <v>7.1214614009692765</v>
      </c>
      <c r="M45" s="94">
        <f t="shared" ref="M45:O45" si="11">I47/I46</f>
        <v>1.0000000216616167</v>
      </c>
      <c r="N45" s="94">
        <f t="shared" si="11"/>
        <v>1.0000000228698673</v>
      </c>
      <c r="O45" s="95">
        <f t="shared" si="11"/>
        <v>1.0107651270126348</v>
      </c>
      <c r="Q45" s="53"/>
      <c r="R45" s="53"/>
      <c r="S45" s="53"/>
      <c r="T45" s="53"/>
      <c r="U45" s="53"/>
      <c r="V45" s="53"/>
      <c r="W45" s="53"/>
      <c r="X45" s="118"/>
      <c r="Y45" s="118"/>
      <c r="Z45" s="118"/>
    </row>
    <row r="46" spans="1:26" s="10" customFormat="1" x14ac:dyDescent="0.2">
      <c r="A46" s="96"/>
      <c r="B46" s="97" t="s">
        <v>1</v>
      </c>
      <c r="C46" s="98">
        <v>1</v>
      </c>
      <c r="D46" s="98">
        <v>0.99999999999922784</v>
      </c>
      <c r="E46" s="99">
        <v>0.99999999990709054</v>
      </c>
      <c r="F46" s="99">
        <v>0.99999999805967799</v>
      </c>
      <c r="G46" s="99">
        <v>0.99999999161359654</v>
      </c>
      <c r="H46" s="99">
        <v>0.99999997840990162</v>
      </c>
      <c r="I46" s="100">
        <v>0.99999997743044255</v>
      </c>
      <c r="J46" s="98">
        <v>0.99999997621261705</v>
      </c>
      <c r="K46" s="99">
        <v>0.97787948973547023</v>
      </c>
      <c r="L46" s="101">
        <v>7.1583462721910607</v>
      </c>
      <c r="M46" s="101"/>
      <c r="N46" s="101"/>
      <c r="O46" s="102"/>
      <c r="Q46" s="53"/>
      <c r="R46" s="53"/>
      <c r="S46" s="53"/>
      <c r="T46" s="53"/>
      <c r="U46" s="53"/>
      <c r="V46" s="53"/>
      <c r="W46" s="53"/>
      <c r="X46" s="118"/>
      <c r="Y46" s="118"/>
      <c r="Z46" s="118"/>
    </row>
    <row r="47" spans="1:26" s="10" customFormat="1" ht="12" thickBot="1" x14ac:dyDescent="0.25">
      <c r="A47" s="103"/>
      <c r="B47" s="104" t="s">
        <v>0</v>
      </c>
      <c r="C47" s="105">
        <v>1</v>
      </c>
      <c r="D47" s="105">
        <v>0.99999999999991629</v>
      </c>
      <c r="E47" s="106">
        <v>0.99999999999144584</v>
      </c>
      <c r="F47" s="106">
        <v>0.99999999986223997</v>
      </c>
      <c r="G47" s="106">
        <v>0.9999999995800668</v>
      </c>
      <c r="H47" s="106">
        <v>0.9999999991011207</v>
      </c>
      <c r="I47" s="107">
        <v>0.99999999909205872</v>
      </c>
      <c r="J47" s="105">
        <v>0.99999999908248394</v>
      </c>
      <c r="K47" s="106">
        <v>0.988406486645523</v>
      </c>
      <c r="L47" s="108">
        <v>7.0821064962420106</v>
      </c>
      <c r="M47" s="108"/>
      <c r="N47" s="108"/>
      <c r="O47" s="109"/>
      <c r="Q47" s="53"/>
      <c r="R47" s="53"/>
      <c r="S47" s="53"/>
      <c r="T47" s="53"/>
      <c r="U47" s="53"/>
      <c r="V47" s="53"/>
      <c r="W47" s="53"/>
      <c r="X47" s="118"/>
      <c r="Y47" s="118"/>
      <c r="Z47" s="118"/>
    </row>
    <row r="48" spans="1:26" x14ac:dyDescent="0.2">
      <c r="A48" s="110"/>
      <c r="B48" s="111"/>
    </row>
  </sheetData>
  <sheetProtection algorithmName="SHA-512" hashValue="iYeUaXgRV6j+LBMXqfsV5AWlWYyCWIb/yCWMHmYpCE4qhJLZila6iWrWNXcQvwj8TJ5Gm2GuB/XPVOROyzPdPQ==" saltValue="JHsT4d7A9M1XGIRpLeuHeA==" spinCount="100000" sheet="1" objects="1" scenarios="1"/>
  <mergeCells count="9">
    <mergeCell ref="B10:B11"/>
    <mergeCell ref="C10:H10"/>
    <mergeCell ref="Q10:S10"/>
    <mergeCell ref="A6:O6"/>
    <mergeCell ref="A1:O1"/>
    <mergeCell ref="A2:O2"/>
    <mergeCell ref="A3:O3"/>
    <mergeCell ref="A4:O4"/>
    <mergeCell ref="A5:O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HM47"/>
  <sheetViews>
    <sheetView showGridLines="0" zoomScaleNormal="100" workbookViewId="0">
      <pane xSplit="2" ySplit="8" topLeftCell="C9" activePane="bottomRight" state="frozen"/>
      <selection activeCell="A6" sqref="A6:O6"/>
      <selection pane="topRight" activeCell="A6" sqref="A6:O6"/>
      <selection pane="bottomLeft" activeCell="A6" sqref="A6:O6"/>
      <selection pane="bottomRight" activeCell="B49" sqref="B49:HM875"/>
    </sheetView>
  </sheetViews>
  <sheetFormatPr defaultRowHeight="11.25" x14ac:dyDescent="0.2"/>
  <cols>
    <col min="1" max="1" width="47" style="110" customWidth="1"/>
    <col min="2" max="2" width="10.5703125" style="111" customWidth="1"/>
    <col min="3" max="4" width="8.42578125" style="14" customWidth="1"/>
    <col min="5" max="5" width="7" style="14" bestFit="1" customWidth="1"/>
    <col min="6" max="6" width="7.42578125" style="14" bestFit="1" customWidth="1"/>
    <col min="7" max="7" width="7.5703125" style="14" bestFit="1" customWidth="1"/>
    <col min="8" max="8" width="7.42578125" style="14" bestFit="1" customWidth="1"/>
    <col min="9" max="9" width="9.5703125" style="27" bestFit="1" customWidth="1"/>
    <col min="10" max="10" width="11.7109375" style="27" customWidth="1"/>
    <col min="11" max="11" width="9.42578125" style="171" customWidth="1"/>
    <col min="12" max="12" width="8.7109375" style="140" customWidth="1"/>
    <col min="13" max="227" width="8.85546875" style="111"/>
    <col min="228" max="228" width="19.28515625" style="111" customWidth="1"/>
    <col min="229" max="229" width="10.5703125" style="111" customWidth="1"/>
    <col min="230" max="234" width="8.5703125" style="111" customWidth="1"/>
    <col min="235" max="235" width="9.7109375" style="111" customWidth="1"/>
    <col min="236" max="236" width="12.42578125" style="111" customWidth="1"/>
    <col min="237" max="237" width="8.7109375" style="111" customWidth="1"/>
    <col min="238" max="238" width="15.5703125" style="111" customWidth="1"/>
    <col min="239" max="247" width="8.85546875" style="111"/>
    <col min="248" max="248" width="14.5703125" style="111" customWidth="1"/>
    <col min="249" max="483" width="8.85546875" style="111"/>
    <col min="484" max="484" width="19.28515625" style="111" customWidth="1"/>
    <col min="485" max="485" width="10.5703125" style="111" customWidth="1"/>
    <col min="486" max="490" width="8.5703125" style="111" customWidth="1"/>
    <col min="491" max="491" width="9.7109375" style="111" customWidth="1"/>
    <col min="492" max="492" width="12.42578125" style="111" customWidth="1"/>
    <col min="493" max="493" width="8.7109375" style="111" customWidth="1"/>
    <col min="494" max="494" width="15.5703125" style="111" customWidth="1"/>
    <col min="495" max="503" width="8.85546875" style="111"/>
    <col min="504" max="504" width="14.5703125" style="111" customWidth="1"/>
    <col min="505" max="739" width="8.85546875" style="111"/>
    <col min="740" max="740" width="19.28515625" style="111" customWidth="1"/>
    <col min="741" max="741" width="10.5703125" style="111" customWidth="1"/>
    <col min="742" max="746" width="8.5703125" style="111" customWidth="1"/>
    <col min="747" max="747" width="9.7109375" style="111" customWidth="1"/>
    <col min="748" max="748" width="12.42578125" style="111" customWidth="1"/>
    <col min="749" max="749" width="8.7109375" style="111" customWidth="1"/>
    <col min="750" max="750" width="15.5703125" style="111" customWidth="1"/>
    <col min="751" max="759" width="8.85546875" style="111"/>
    <col min="760" max="760" width="14.5703125" style="111" customWidth="1"/>
    <col min="761" max="995" width="8.85546875" style="111"/>
    <col min="996" max="996" width="19.28515625" style="111" customWidth="1"/>
    <col min="997" max="997" width="10.5703125" style="111" customWidth="1"/>
    <col min="998" max="1002" width="8.5703125" style="111" customWidth="1"/>
    <col min="1003" max="1003" width="9.7109375" style="111" customWidth="1"/>
    <col min="1004" max="1004" width="12.42578125" style="111" customWidth="1"/>
    <col min="1005" max="1005" width="8.7109375" style="111" customWidth="1"/>
    <col min="1006" max="1006" width="15.5703125" style="111" customWidth="1"/>
    <col min="1007" max="1015" width="8.85546875" style="111"/>
    <col min="1016" max="1016" width="14.5703125" style="111" customWidth="1"/>
    <col min="1017" max="1251" width="8.85546875" style="111"/>
    <col min="1252" max="1252" width="19.28515625" style="111" customWidth="1"/>
    <col min="1253" max="1253" width="10.5703125" style="111" customWidth="1"/>
    <col min="1254" max="1258" width="8.5703125" style="111" customWidth="1"/>
    <col min="1259" max="1259" width="9.7109375" style="111" customWidth="1"/>
    <col min="1260" max="1260" width="12.42578125" style="111" customWidth="1"/>
    <col min="1261" max="1261" width="8.7109375" style="111" customWidth="1"/>
    <col min="1262" max="1262" width="15.5703125" style="111" customWidth="1"/>
    <col min="1263" max="1271" width="8.85546875" style="111"/>
    <col min="1272" max="1272" width="14.5703125" style="111" customWidth="1"/>
    <col min="1273" max="1507" width="8.85546875" style="111"/>
    <col min="1508" max="1508" width="19.28515625" style="111" customWidth="1"/>
    <col min="1509" max="1509" width="10.5703125" style="111" customWidth="1"/>
    <col min="1510" max="1514" width="8.5703125" style="111" customWidth="1"/>
    <col min="1515" max="1515" width="9.7109375" style="111" customWidth="1"/>
    <col min="1516" max="1516" width="12.42578125" style="111" customWidth="1"/>
    <col min="1517" max="1517" width="8.7109375" style="111" customWidth="1"/>
    <col min="1518" max="1518" width="15.5703125" style="111" customWidth="1"/>
    <col min="1519" max="1527" width="8.85546875" style="111"/>
    <col min="1528" max="1528" width="14.5703125" style="111" customWidth="1"/>
    <col min="1529" max="1763" width="8.85546875" style="111"/>
    <col min="1764" max="1764" width="19.28515625" style="111" customWidth="1"/>
    <col min="1765" max="1765" width="10.5703125" style="111" customWidth="1"/>
    <col min="1766" max="1770" width="8.5703125" style="111" customWidth="1"/>
    <col min="1771" max="1771" width="9.7109375" style="111" customWidth="1"/>
    <col min="1772" max="1772" width="12.42578125" style="111" customWidth="1"/>
    <col min="1773" max="1773" width="8.7109375" style="111" customWidth="1"/>
    <col min="1774" max="1774" width="15.5703125" style="111" customWidth="1"/>
    <col min="1775" max="1783" width="8.85546875" style="111"/>
    <col min="1784" max="1784" width="14.5703125" style="111" customWidth="1"/>
    <col min="1785" max="2019" width="8.85546875" style="111"/>
    <col min="2020" max="2020" width="19.28515625" style="111" customWidth="1"/>
    <col min="2021" max="2021" width="10.5703125" style="111" customWidth="1"/>
    <col min="2022" max="2026" width="8.5703125" style="111" customWidth="1"/>
    <col min="2027" max="2027" width="9.7109375" style="111" customWidth="1"/>
    <col min="2028" max="2028" width="12.42578125" style="111" customWidth="1"/>
    <col min="2029" max="2029" width="8.7109375" style="111" customWidth="1"/>
    <col min="2030" max="2030" width="15.5703125" style="111" customWidth="1"/>
    <col min="2031" max="2039" width="8.85546875" style="111"/>
    <col min="2040" max="2040" width="14.5703125" style="111" customWidth="1"/>
    <col min="2041" max="2275" width="8.85546875" style="111"/>
    <col min="2276" max="2276" width="19.28515625" style="111" customWidth="1"/>
    <col min="2277" max="2277" width="10.5703125" style="111" customWidth="1"/>
    <col min="2278" max="2282" width="8.5703125" style="111" customWidth="1"/>
    <col min="2283" max="2283" width="9.7109375" style="111" customWidth="1"/>
    <col min="2284" max="2284" width="12.42578125" style="111" customWidth="1"/>
    <col min="2285" max="2285" width="8.7109375" style="111" customWidth="1"/>
    <col min="2286" max="2286" width="15.5703125" style="111" customWidth="1"/>
    <col min="2287" max="2295" width="8.85546875" style="111"/>
    <col min="2296" max="2296" width="14.5703125" style="111" customWidth="1"/>
    <col min="2297" max="2531" width="8.85546875" style="111"/>
    <col min="2532" max="2532" width="19.28515625" style="111" customWidth="1"/>
    <col min="2533" max="2533" width="10.5703125" style="111" customWidth="1"/>
    <col min="2534" max="2538" width="8.5703125" style="111" customWidth="1"/>
    <col min="2539" max="2539" width="9.7109375" style="111" customWidth="1"/>
    <col min="2540" max="2540" width="12.42578125" style="111" customWidth="1"/>
    <col min="2541" max="2541" width="8.7109375" style="111" customWidth="1"/>
    <col min="2542" max="2542" width="15.5703125" style="111" customWidth="1"/>
    <col min="2543" max="2551" width="8.85546875" style="111"/>
    <col min="2552" max="2552" width="14.5703125" style="111" customWidth="1"/>
    <col min="2553" max="2787" width="8.85546875" style="111"/>
    <col min="2788" max="2788" width="19.28515625" style="111" customWidth="1"/>
    <col min="2789" max="2789" width="10.5703125" style="111" customWidth="1"/>
    <col min="2790" max="2794" width="8.5703125" style="111" customWidth="1"/>
    <col min="2795" max="2795" width="9.7109375" style="111" customWidth="1"/>
    <col min="2796" max="2796" width="12.42578125" style="111" customWidth="1"/>
    <col min="2797" max="2797" width="8.7109375" style="111" customWidth="1"/>
    <col min="2798" max="2798" width="15.5703125" style="111" customWidth="1"/>
    <col min="2799" max="2807" width="8.85546875" style="111"/>
    <col min="2808" max="2808" width="14.5703125" style="111" customWidth="1"/>
    <col min="2809" max="3043" width="8.85546875" style="111"/>
    <col min="3044" max="3044" width="19.28515625" style="111" customWidth="1"/>
    <col min="3045" max="3045" width="10.5703125" style="111" customWidth="1"/>
    <col min="3046" max="3050" width="8.5703125" style="111" customWidth="1"/>
    <col min="3051" max="3051" width="9.7109375" style="111" customWidth="1"/>
    <col min="3052" max="3052" width="12.42578125" style="111" customWidth="1"/>
    <col min="3053" max="3053" width="8.7109375" style="111" customWidth="1"/>
    <col min="3054" max="3054" width="15.5703125" style="111" customWidth="1"/>
    <col min="3055" max="3063" width="8.85546875" style="111"/>
    <col min="3064" max="3064" width="14.5703125" style="111" customWidth="1"/>
    <col min="3065" max="3299" width="8.85546875" style="111"/>
    <col min="3300" max="3300" width="19.28515625" style="111" customWidth="1"/>
    <col min="3301" max="3301" width="10.5703125" style="111" customWidth="1"/>
    <col min="3302" max="3306" width="8.5703125" style="111" customWidth="1"/>
    <col min="3307" max="3307" width="9.7109375" style="111" customWidth="1"/>
    <col min="3308" max="3308" width="12.42578125" style="111" customWidth="1"/>
    <col min="3309" max="3309" width="8.7109375" style="111" customWidth="1"/>
    <col min="3310" max="3310" width="15.5703125" style="111" customWidth="1"/>
    <col min="3311" max="3319" width="8.85546875" style="111"/>
    <col min="3320" max="3320" width="14.5703125" style="111" customWidth="1"/>
    <col min="3321" max="3555" width="8.85546875" style="111"/>
    <col min="3556" max="3556" width="19.28515625" style="111" customWidth="1"/>
    <col min="3557" max="3557" width="10.5703125" style="111" customWidth="1"/>
    <col min="3558" max="3562" width="8.5703125" style="111" customWidth="1"/>
    <col min="3563" max="3563" width="9.7109375" style="111" customWidth="1"/>
    <col min="3564" max="3564" width="12.42578125" style="111" customWidth="1"/>
    <col min="3565" max="3565" width="8.7109375" style="111" customWidth="1"/>
    <col min="3566" max="3566" width="15.5703125" style="111" customWidth="1"/>
    <col min="3567" max="3575" width="8.85546875" style="111"/>
    <col min="3576" max="3576" width="14.5703125" style="111" customWidth="1"/>
    <col min="3577" max="3811" width="8.85546875" style="111"/>
    <col min="3812" max="3812" width="19.28515625" style="111" customWidth="1"/>
    <col min="3813" max="3813" width="10.5703125" style="111" customWidth="1"/>
    <col min="3814" max="3818" width="8.5703125" style="111" customWidth="1"/>
    <col min="3819" max="3819" width="9.7109375" style="111" customWidth="1"/>
    <col min="3820" max="3820" width="12.42578125" style="111" customWidth="1"/>
    <col min="3821" max="3821" width="8.7109375" style="111" customWidth="1"/>
    <col min="3822" max="3822" width="15.5703125" style="111" customWidth="1"/>
    <col min="3823" max="3831" width="8.85546875" style="111"/>
    <col min="3832" max="3832" width="14.5703125" style="111" customWidth="1"/>
    <col min="3833" max="4067" width="8.85546875" style="111"/>
    <col min="4068" max="4068" width="19.28515625" style="111" customWidth="1"/>
    <col min="4069" max="4069" width="10.5703125" style="111" customWidth="1"/>
    <col min="4070" max="4074" width="8.5703125" style="111" customWidth="1"/>
    <col min="4075" max="4075" width="9.7109375" style="111" customWidth="1"/>
    <col min="4076" max="4076" width="12.42578125" style="111" customWidth="1"/>
    <col min="4077" max="4077" width="8.7109375" style="111" customWidth="1"/>
    <col min="4078" max="4078" width="15.5703125" style="111" customWidth="1"/>
    <col min="4079" max="4087" width="8.85546875" style="111"/>
    <col min="4088" max="4088" width="14.5703125" style="111" customWidth="1"/>
    <col min="4089" max="4323" width="8.85546875" style="111"/>
    <col min="4324" max="4324" width="19.28515625" style="111" customWidth="1"/>
    <col min="4325" max="4325" width="10.5703125" style="111" customWidth="1"/>
    <col min="4326" max="4330" width="8.5703125" style="111" customWidth="1"/>
    <col min="4331" max="4331" width="9.7109375" style="111" customWidth="1"/>
    <col min="4332" max="4332" width="12.42578125" style="111" customWidth="1"/>
    <col min="4333" max="4333" width="8.7109375" style="111" customWidth="1"/>
    <col min="4334" max="4334" width="15.5703125" style="111" customWidth="1"/>
    <col min="4335" max="4343" width="8.85546875" style="111"/>
    <col min="4344" max="4344" width="14.5703125" style="111" customWidth="1"/>
    <col min="4345" max="4579" width="8.85546875" style="111"/>
    <col min="4580" max="4580" width="19.28515625" style="111" customWidth="1"/>
    <col min="4581" max="4581" width="10.5703125" style="111" customWidth="1"/>
    <col min="4582" max="4586" width="8.5703125" style="111" customWidth="1"/>
    <col min="4587" max="4587" width="9.7109375" style="111" customWidth="1"/>
    <col min="4588" max="4588" width="12.42578125" style="111" customWidth="1"/>
    <col min="4589" max="4589" width="8.7109375" style="111" customWidth="1"/>
    <col min="4590" max="4590" width="15.5703125" style="111" customWidth="1"/>
    <col min="4591" max="4599" width="8.85546875" style="111"/>
    <col min="4600" max="4600" width="14.5703125" style="111" customWidth="1"/>
    <col min="4601" max="4835" width="8.85546875" style="111"/>
    <col min="4836" max="4836" width="19.28515625" style="111" customWidth="1"/>
    <col min="4837" max="4837" width="10.5703125" style="111" customWidth="1"/>
    <col min="4838" max="4842" width="8.5703125" style="111" customWidth="1"/>
    <col min="4843" max="4843" width="9.7109375" style="111" customWidth="1"/>
    <col min="4844" max="4844" width="12.42578125" style="111" customWidth="1"/>
    <col min="4845" max="4845" width="8.7109375" style="111" customWidth="1"/>
    <col min="4846" max="4846" width="15.5703125" style="111" customWidth="1"/>
    <col min="4847" max="4855" width="8.85546875" style="111"/>
    <col min="4856" max="4856" width="14.5703125" style="111" customWidth="1"/>
    <col min="4857" max="5091" width="8.85546875" style="111"/>
    <col min="5092" max="5092" width="19.28515625" style="111" customWidth="1"/>
    <col min="5093" max="5093" width="10.5703125" style="111" customWidth="1"/>
    <col min="5094" max="5098" width="8.5703125" style="111" customWidth="1"/>
    <col min="5099" max="5099" width="9.7109375" style="111" customWidth="1"/>
    <col min="5100" max="5100" width="12.42578125" style="111" customWidth="1"/>
    <col min="5101" max="5101" width="8.7109375" style="111" customWidth="1"/>
    <col min="5102" max="5102" width="15.5703125" style="111" customWidth="1"/>
    <col min="5103" max="5111" width="8.85546875" style="111"/>
    <col min="5112" max="5112" width="14.5703125" style="111" customWidth="1"/>
    <col min="5113" max="5347" width="8.85546875" style="111"/>
    <col min="5348" max="5348" width="19.28515625" style="111" customWidth="1"/>
    <col min="5349" max="5349" width="10.5703125" style="111" customWidth="1"/>
    <col min="5350" max="5354" width="8.5703125" style="111" customWidth="1"/>
    <col min="5355" max="5355" width="9.7109375" style="111" customWidth="1"/>
    <col min="5356" max="5356" width="12.42578125" style="111" customWidth="1"/>
    <col min="5357" max="5357" width="8.7109375" style="111" customWidth="1"/>
    <col min="5358" max="5358" width="15.5703125" style="111" customWidth="1"/>
    <col min="5359" max="5367" width="8.85546875" style="111"/>
    <col min="5368" max="5368" width="14.5703125" style="111" customWidth="1"/>
    <col min="5369" max="5603" width="8.85546875" style="111"/>
    <col min="5604" max="5604" width="19.28515625" style="111" customWidth="1"/>
    <col min="5605" max="5605" width="10.5703125" style="111" customWidth="1"/>
    <col min="5606" max="5610" width="8.5703125" style="111" customWidth="1"/>
    <col min="5611" max="5611" width="9.7109375" style="111" customWidth="1"/>
    <col min="5612" max="5612" width="12.42578125" style="111" customWidth="1"/>
    <col min="5613" max="5613" width="8.7109375" style="111" customWidth="1"/>
    <col min="5614" max="5614" width="15.5703125" style="111" customWidth="1"/>
    <col min="5615" max="5623" width="8.85546875" style="111"/>
    <col min="5624" max="5624" width="14.5703125" style="111" customWidth="1"/>
    <col min="5625" max="5859" width="8.85546875" style="111"/>
    <col min="5860" max="5860" width="19.28515625" style="111" customWidth="1"/>
    <col min="5861" max="5861" width="10.5703125" style="111" customWidth="1"/>
    <col min="5862" max="5866" width="8.5703125" style="111" customWidth="1"/>
    <col min="5867" max="5867" width="9.7109375" style="111" customWidth="1"/>
    <col min="5868" max="5868" width="12.42578125" style="111" customWidth="1"/>
    <col min="5869" max="5869" width="8.7109375" style="111" customWidth="1"/>
    <col min="5870" max="5870" width="15.5703125" style="111" customWidth="1"/>
    <col min="5871" max="5879" width="8.85546875" style="111"/>
    <col min="5880" max="5880" width="14.5703125" style="111" customWidth="1"/>
    <col min="5881" max="6115" width="8.85546875" style="111"/>
    <col min="6116" max="6116" width="19.28515625" style="111" customWidth="1"/>
    <col min="6117" max="6117" width="10.5703125" style="111" customWidth="1"/>
    <col min="6118" max="6122" width="8.5703125" style="111" customWidth="1"/>
    <col min="6123" max="6123" width="9.7109375" style="111" customWidth="1"/>
    <col min="6124" max="6124" width="12.42578125" style="111" customWidth="1"/>
    <col min="6125" max="6125" width="8.7109375" style="111" customWidth="1"/>
    <col min="6126" max="6126" width="15.5703125" style="111" customWidth="1"/>
    <col min="6127" max="6135" width="8.85546875" style="111"/>
    <col min="6136" max="6136" width="14.5703125" style="111" customWidth="1"/>
    <col min="6137" max="6371" width="8.85546875" style="111"/>
    <col min="6372" max="6372" width="19.28515625" style="111" customWidth="1"/>
    <col min="6373" max="6373" width="10.5703125" style="111" customWidth="1"/>
    <col min="6374" max="6378" width="8.5703125" style="111" customWidth="1"/>
    <col min="6379" max="6379" width="9.7109375" style="111" customWidth="1"/>
    <col min="6380" max="6380" width="12.42578125" style="111" customWidth="1"/>
    <col min="6381" max="6381" width="8.7109375" style="111" customWidth="1"/>
    <col min="6382" max="6382" width="15.5703125" style="111" customWidth="1"/>
    <col min="6383" max="6391" width="8.85546875" style="111"/>
    <col min="6392" max="6392" width="14.5703125" style="111" customWidth="1"/>
    <col min="6393" max="6627" width="8.85546875" style="111"/>
    <col min="6628" max="6628" width="19.28515625" style="111" customWidth="1"/>
    <col min="6629" max="6629" width="10.5703125" style="111" customWidth="1"/>
    <col min="6630" max="6634" width="8.5703125" style="111" customWidth="1"/>
    <col min="6635" max="6635" width="9.7109375" style="111" customWidth="1"/>
    <col min="6636" max="6636" width="12.42578125" style="111" customWidth="1"/>
    <col min="6637" max="6637" width="8.7109375" style="111" customWidth="1"/>
    <col min="6638" max="6638" width="15.5703125" style="111" customWidth="1"/>
    <col min="6639" max="6647" width="8.85546875" style="111"/>
    <col min="6648" max="6648" width="14.5703125" style="111" customWidth="1"/>
    <col min="6649" max="6883" width="8.85546875" style="111"/>
    <col min="6884" max="6884" width="19.28515625" style="111" customWidth="1"/>
    <col min="6885" max="6885" width="10.5703125" style="111" customWidth="1"/>
    <col min="6886" max="6890" width="8.5703125" style="111" customWidth="1"/>
    <col min="6891" max="6891" width="9.7109375" style="111" customWidth="1"/>
    <col min="6892" max="6892" width="12.42578125" style="111" customWidth="1"/>
    <col min="6893" max="6893" width="8.7109375" style="111" customWidth="1"/>
    <col min="6894" max="6894" width="15.5703125" style="111" customWidth="1"/>
    <col min="6895" max="6903" width="8.85546875" style="111"/>
    <col min="6904" max="6904" width="14.5703125" style="111" customWidth="1"/>
    <col min="6905" max="7139" width="8.85546875" style="111"/>
    <col min="7140" max="7140" width="19.28515625" style="111" customWidth="1"/>
    <col min="7141" max="7141" width="10.5703125" style="111" customWidth="1"/>
    <col min="7142" max="7146" width="8.5703125" style="111" customWidth="1"/>
    <col min="7147" max="7147" width="9.7109375" style="111" customWidth="1"/>
    <col min="7148" max="7148" width="12.42578125" style="111" customWidth="1"/>
    <col min="7149" max="7149" width="8.7109375" style="111" customWidth="1"/>
    <col min="7150" max="7150" width="15.5703125" style="111" customWidth="1"/>
    <col min="7151" max="7159" width="8.85546875" style="111"/>
    <col min="7160" max="7160" width="14.5703125" style="111" customWidth="1"/>
    <col min="7161" max="7395" width="8.85546875" style="111"/>
    <col min="7396" max="7396" width="19.28515625" style="111" customWidth="1"/>
    <col min="7397" max="7397" width="10.5703125" style="111" customWidth="1"/>
    <col min="7398" max="7402" width="8.5703125" style="111" customWidth="1"/>
    <col min="7403" max="7403" width="9.7109375" style="111" customWidth="1"/>
    <col min="7404" max="7404" width="12.42578125" style="111" customWidth="1"/>
    <col min="7405" max="7405" width="8.7109375" style="111" customWidth="1"/>
    <col min="7406" max="7406" width="15.5703125" style="111" customWidth="1"/>
    <col min="7407" max="7415" width="8.85546875" style="111"/>
    <col min="7416" max="7416" width="14.5703125" style="111" customWidth="1"/>
    <col min="7417" max="7651" width="8.85546875" style="111"/>
    <col min="7652" max="7652" width="19.28515625" style="111" customWidth="1"/>
    <col min="7653" max="7653" width="10.5703125" style="111" customWidth="1"/>
    <col min="7654" max="7658" width="8.5703125" style="111" customWidth="1"/>
    <col min="7659" max="7659" width="9.7109375" style="111" customWidth="1"/>
    <col min="7660" max="7660" width="12.42578125" style="111" customWidth="1"/>
    <col min="7661" max="7661" width="8.7109375" style="111" customWidth="1"/>
    <col min="7662" max="7662" width="15.5703125" style="111" customWidth="1"/>
    <col min="7663" max="7671" width="8.85546875" style="111"/>
    <col min="7672" max="7672" width="14.5703125" style="111" customWidth="1"/>
    <col min="7673" max="7907" width="8.85546875" style="111"/>
    <col min="7908" max="7908" width="19.28515625" style="111" customWidth="1"/>
    <col min="7909" max="7909" width="10.5703125" style="111" customWidth="1"/>
    <col min="7910" max="7914" width="8.5703125" style="111" customWidth="1"/>
    <col min="7915" max="7915" width="9.7109375" style="111" customWidth="1"/>
    <col min="7916" max="7916" width="12.42578125" style="111" customWidth="1"/>
    <col min="7917" max="7917" width="8.7109375" style="111" customWidth="1"/>
    <col min="7918" max="7918" width="15.5703125" style="111" customWidth="1"/>
    <col min="7919" max="7927" width="8.85546875" style="111"/>
    <col min="7928" max="7928" width="14.5703125" style="111" customWidth="1"/>
    <col min="7929" max="8163" width="8.85546875" style="111"/>
    <col min="8164" max="8164" width="19.28515625" style="111" customWidth="1"/>
    <col min="8165" max="8165" width="10.5703125" style="111" customWidth="1"/>
    <col min="8166" max="8170" width="8.5703125" style="111" customWidth="1"/>
    <col min="8171" max="8171" width="9.7109375" style="111" customWidth="1"/>
    <col min="8172" max="8172" width="12.42578125" style="111" customWidth="1"/>
    <col min="8173" max="8173" width="8.7109375" style="111" customWidth="1"/>
    <col min="8174" max="8174" width="15.5703125" style="111" customWidth="1"/>
    <col min="8175" max="8183" width="8.85546875" style="111"/>
    <col min="8184" max="8184" width="14.5703125" style="111" customWidth="1"/>
    <col min="8185" max="8419" width="8.85546875" style="111"/>
    <col min="8420" max="8420" width="19.28515625" style="111" customWidth="1"/>
    <col min="8421" max="8421" width="10.5703125" style="111" customWidth="1"/>
    <col min="8422" max="8426" width="8.5703125" style="111" customWidth="1"/>
    <col min="8427" max="8427" width="9.7109375" style="111" customWidth="1"/>
    <col min="8428" max="8428" width="12.42578125" style="111" customWidth="1"/>
    <col min="8429" max="8429" width="8.7109375" style="111" customWidth="1"/>
    <col min="8430" max="8430" width="15.5703125" style="111" customWidth="1"/>
    <col min="8431" max="8439" width="8.85546875" style="111"/>
    <col min="8440" max="8440" width="14.5703125" style="111" customWidth="1"/>
    <col min="8441" max="8675" width="8.85546875" style="111"/>
    <col min="8676" max="8676" width="19.28515625" style="111" customWidth="1"/>
    <col min="8677" max="8677" width="10.5703125" style="111" customWidth="1"/>
    <col min="8678" max="8682" width="8.5703125" style="111" customWidth="1"/>
    <col min="8683" max="8683" width="9.7109375" style="111" customWidth="1"/>
    <col min="8684" max="8684" width="12.42578125" style="111" customWidth="1"/>
    <col min="8685" max="8685" width="8.7109375" style="111" customWidth="1"/>
    <col min="8686" max="8686" width="15.5703125" style="111" customWidth="1"/>
    <col min="8687" max="8695" width="8.85546875" style="111"/>
    <col min="8696" max="8696" width="14.5703125" style="111" customWidth="1"/>
    <col min="8697" max="8931" width="8.85546875" style="111"/>
    <col min="8932" max="8932" width="19.28515625" style="111" customWidth="1"/>
    <col min="8933" max="8933" width="10.5703125" style="111" customWidth="1"/>
    <col min="8934" max="8938" width="8.5703125" style="111" customWidth="1"/>
    <col min="8939" max="8939" width="9.7109375" style="111" customWidth="1"/>
    <col min="8940" max="8940" width="12.42578125" style="111" customWidth="1"/>
    <col min="8941" max="8941" width="8.7109375" style="111" customWidth="1"/>
    <col min="8942" max="8942" width="15.5703125" style="111" customWidth="1"/>
    <col min="8943" max="8951" width="8.85546875" style="111"/>
    <col min="8952" max="8952" width="14.5703125" style="111" customWidth="1"/>
    <col min="8953" max="9187" width="8.85546875" style="111"/>
    <col min="9188" max="9188" width="19.28515625" style="111" customWidth="1"/>
    <col min="9189" max="9189" width="10.5703125" style="111" customWidth="1"/>
    <col min="9190" max="9194" width="8.5703125" style="111" customWidth="1"/>
    <col min="9195" max="9195" width="9.7109375" style="111" customWidth="1"/>
    <col min="9196" max="9196" width="12.42578125" style="111" customWidth="1"/>
    <col min="9197" max="9197" width="8.7109375" style="111" customWidth="1"/>
    <col min="9198" max="9198" width="15.5703125" style="111" customWidth="1"/>
    <col min="9199" max="9207" width="8.85546875" style="111"/>
    <col min="9208" max="9208" width="14.5703125" style="111" customWidth="1"/>
    <col min="9209" max="9443" width="8.85546875" style="111"/>
    <col min="9444" max="9444" width="19.28515625" style="111" customWidth="1"/>
    <col min="9445" max="9445" width="10.5703125" style="111" customWidth="1"/>
    <col min="9446" max="9450" width="8.5703125" style="111" customWidth="1"/>
    <col min="9451" max="9451" width="9.7109375" style="111" customWidth="1"/>
    <col min="9452" max="9452" width="12.42578125" style="111" customWidth="1"/>
    <col min="9453" max="9453" width="8.7109375" style="111" customWidth="1"/>
    <col min="9454" max="9454" width="15.5703125" style="111" customWidth="1"/>
    <col min="9455" max="9463" width="8.85546875" style="111"/>
    <col min="9464" max="9464" width="14.5703125" style="111" customWidth="1"/>
    <col min="9465" max="9699" width="8.85546875" style="111"/>
    <col min="9700" max="9700" width="19.28515625" style="111" customWidth="1"/>
    <col min="9701" max="9701" width="10.5703125" style="111" customWidth="1"/>
    <col min="9702" max="9706" width="8.5703125" style="111" customWidth="1"/>
    <col min="9707" max="9707" width="9.7109375" style="111" customWidth="1"/>
    <col min="9708" max="9708" width="12.42578125" style="111" customWidth="1"/>
    <col min="9709" max="9709" width="8.7109375" style="111" customWidth="1"/>
    <col min="9710" max="9710" width="15.5703125" style="111" customWidth="1"/>
    <col min="9711" max="9719" width="8.85546875" style="111"/>
    <col min="9720" max="9720" width="14.5703125" style="111" customWidth="1"/>
    <col min="9721" max="9955" width="8.85546875" style="111"/>
    <col min="9956" max="9956" width="19.28515625" style="111" customWidth="1"/>
    <col min="9957" max="9957" width="10.5703125" style="111" customWidth="1"/>
    <col min="9958" max="9962" width="8.5703125" style="111" customWidth="1"/>
    <col min="9963" max="9963" width="9.7109375" style="111" customWidth="1"/>
    <col min="9964" max="9964" width="12.42578125" style="111" customWidth="1"/>
    <col min="9965" max="9965" width="8.7109375" style="111" customWidth="1"/>
    <col min="9966" max="9966" width="15.5703125" style="111" customWidth="1"/>
    <col min="9967" max="9975" width="8.85546875" style="111"/>
    <col min="9976" max="9976" width="14.5703125" style="111" customWidth="1"/>
    <col min="9977" max="10211" width="8.85546875" style="111"/>
    <col min="10212" max="10212" width="19.28515625" style="111" customWidth="1"/>
    <col min="10213" max="10213" width="10.5703125" style="111" customWidth="1"/>
    <col min="10214" max="10218" width="8.5703125" style="111" customWidth="1"/>
    <col min="10219" max="10219" width="9.7109375" style="111" customWidth="1"/>
    <col min="10220" max="10220" width="12.42578125" style="111" customWidth="1"/>
    <col min="10221" max="10221" width="8.7109375" style="111" customWidth="1"/>
    <col min="10222" max="10222" width="15.5703125" style="111" customWidth="1"/>
    <col min="10223" max="10231" width="8.85546875" style="111"/>
    <col min="10232" max="10232" width="14.5703125" style="111" customWidth="1"/>
    <col min="10233" max="10467" width="8.85546875" style="111"/>
    <col min="10468" max="10468" width="19.28515625" style="111" customWidth="1"/>
    <col min="10469" max="10469" width="10.5703125" style="111" customWidth="1"/>
    <col min="10470" max="10474" width="8.5703125" style="111" customWidth="1"/>
    <col min="10475" max="10475" width="9.7109375" style="111" customWidth="1"/>
    <col min="10476" max="10476" width="12.42578125" style="111" customWidth="1"/>
    <col min="10477" max="10477" width="8.7109375" style="111" customWidth="1"/>
    <col min="10478" max="10478" width="15.5703125" style="111" customWidth="1"/>
    <col min="10479" max="10487" width="8.85546875" style="111"/>
    <col min="10488" max="10488" width="14.5703125" style="111" customWidth="1"/>
    <col min="10489" max="10723" width="8.85546875" style="111"/>
    <col min="10724" max="10724" width="19.28515625" style="111" customWidth="1"/>
    <col min="10725" max="10725" width="10.5703125" style="111" customWidth="1"/>
    <col min="10726" max="10730" width="8.5703125" style="111" customWidth="1"/>
    <col min="10731" max="10731" width="9.7109375" style="111" customWidth="1"/>
    <col min="10732" max="10732" width="12.42578125" style="111" customWidth="1"/>
    <col min="10733" max="10733" width="8.7109375" style="111" customWidth="1"/>
    <col min="10734" max="10734" width="15.5703125" style="111" customWidth="1"/>
    <col min="10735" max="10743" width="8.85546875" style="111"/>
    <col min="10744" max="10744" width="14.5703125" style="111" customWidth="1"/>
    <col min="10745" max="10979" width="8.85546875" style="111"/>
    <col min="10980" max="10980" width="19.28515625" style="111" customWidth="1"/>
    <col min="10981" max="10981" width="10.5703125" style="111" customWidth="1"/>
    <col min="10982" max="10986" width="8.5703125" style="111" customWidth="1"/>
    <col min="10987" max="10987" width="9.7109375" style="111" customWidth="1"/>
    <col min="10988" max="10988" width="12.42578125" style="111" customWidth="1"/>
    <col min="10989" max="10989" width="8.7109375" style="111" customWidth="1"/>
    <col min="10990" max="10990" width="15.5703125" style="111" customWidth="1"/>
    <col min="10991" max="10999" width="8.85546875" style="111"/>
    <col min="11000" max="11000" width="14.5703125" style="111" customWidth="1"/>
    <col min="11001" max="11235" width="8.85546875" style="111"/>
    <col min="11236" max="11236" width="19.28515625" style="111" customWidth="1"/>
    <col min="11237" max="11237" width="10.5703125" style="111" customWidth="1"/>
    <col min="11238" max="11242" width="8.5703125" style="111" customWidth="1"/>
    <col min="11243" max="11243" width="9.7109375" style="111" customWidth="1"/>
    <col min="11244" max="11244" width="12.42578125" style="111" customWidth="1"/>
    <col min="11245" max="11245" width="8.7109375" style="111" customWidth="1"/>
    <col min="11246" max="11246" width="15.5703125" style="111" customWidth="1"/>
    <col min="11247" max="11255" width="8.85546875" style="111"/>
    <col min="11256" max="11256" width="14.5703125" style="111" customWidth="1"/>
    <col min="11257" max="11491" width="8.85546875" style="111"/>
    <col min="11492" max="11492" width="19.28515625" style="111" customWidth="1"/>
    <col min="11493" max="11493" width="10.5703125" style="111" customWidth="1"/>
    <col min="11494" max="11498" width="8.5703125" style="111" customWidth="1"/>
    <col min="11499" max="11499" width="9.7109375" style="111" customWidth="1"/>
    <col min="11500" max="11500" width="12.42578125" style="111" customWidth="1"/>
    <col min="11501" max="11501" width="8.7109375" style="111" customWidth="1"/>
    <col min="11502" max="11502" width="15.5703125" style="111" customWidth="1"/>
    <col min="11503" max="11511" width="8.85546875" style="111"/>
    <col min="11512" max="11512" width="14.5703125" style="111" customWidth="1"/>
    <col min="11513" max="11747" width="8.85546875" style="111"/>
    <col min="11748" max="11748" width="19.28515625" style="111" customWidth="1"/>
    <col min="11749" max="11749" width="10.5703125" style="111" customWidth="1"/>
    <col min="11750" max="11754" width="8.5703125" style="111" customWidth="1"/>
    <col min="11755" max="11755" width="9.7109375" style="111" customWidth="1"/>
    <col min="11756" max="11756" width="12.42578125" style="111" customWidth="1"/>
    <col min="11757" max="11757" width="8.7109375" style="111" customWidth="1"/>
    <col min="11758" max="11758" width="15.5703125" style="111" customWidth="1"/>
    <col min="11759" max="11767" width="8.85546875" style="111"/>
    <col min="11768" max="11768" width="14.5703125" style="111" customWidth="1"/>
    <col min="11769" max="12003" width="8.85546875" style="111"/>
    <col min="12004" max="12004" width="19.28515625" style="111" customWidth="1"/>
    <col min="12005" max="12005" width="10.5703125" style="111" customWidth="1"/>
    <col min="12006" max="12010" width="8.5703125" style="111" customWidth="1"/>
    <col min="12011" max="12011" width="9.7109375" style="111" customWidth="1"/>
    <col min="12012" max="12012" width="12.42578125" style="111" customWidth="1"/>
    <col min="12013" max="12013" width="8.7109375" style="111" customWidth="1"/>
    <col min="12014" max="12014" width="15.5703125" style="111" customWidth="1"/>
    <col min="12015" max="12023" width="8.85546875" style="111"/>
    <col min="12024" max="12024" width="14.5703125" style="111" customWidth="1"/>
    <col min="12025" max="12259" width="8.85546875" style="111"/>
    <col min="12260" max="12260" width="19.28515625" style="111" customWidth="1"/>
    <col min="12261" max="12261" width="10.5703125" style="111" customWidth="1"/>
    <col min="12262" max="12266" width="8.5703125" style="111" customWidth="1"/>
    <col min="12267" max="12267" width="9.7109375" style="111" customWidth="1"/>
    <col min="12268" max="12268" width="12.42578125" style="111" customWidth="1"/>
    <col min="12269" max="12269" width="8.7109375" style="111" customWidth="1"/>
    <col min="12270" max="12270" width="15.5703125" style="111" customWidth="1"/>
    <col min="12271" max="12279" width="8.85546875" style="111"/>
    <col min="12280" max="12280" width="14.5703125" style="111" customWidth="1"/>
    <col min="12281" max="12515" width="8.85546875" style="111"/>
    <col min="12516" max="12516" width="19.28515625" style="111" customWidth="1"/>
    <col min="12517" max="12517" width="10.5703125" style="111" customWidth="1"/>
    <col min="12518" max="12522" width="8.5703125" style="111" customWidth="1"/>
    <col min="12523" max="12523" width="9.7109375" style="111" customWidth="1"/>
    <col min="12524" max="12524" width="12.42578125" style="111" customWidth="1"/>
    <col min="12525" max="12525" width="8.7109375" style="111" customWidth="1"/>
    <col min="12526" max="12526" width="15.5703125" style="111" customWidth="1"/>
    <col min="12527" max="12535" width="8.85546875" style="111"/>
    <col min="12536" max="12536" width="14.5703125" style="111" customWidth="1"/>
    <col min="12537" max="12771" width="8.85546875" style="111"/>
    <col min="12772" max="12772" width="19.28515625" style="111" customWidth="1"/>
    <col min="12773" max="12773" width="10.5703125" style="111" customWidth="1"/>
    <col min="12774" max="12778" width="8.5703125" style="111" customWidth="1"/>
    <col min="12779" max="12779" width="9.7109375" style="111" customWidth="1"/>
    <col min="12780" max="12780" width="12.42578125" style="111" customWidth="1"/>
    <col min="12781" max="12781" width="8.7109375" style="111" customWidth="1"/>
    <col min="12782" max="12782" width="15.5703125" style="111" customWidth="1"/>
    <col min="12783" max="12791" width="8.85546875" style="111"/>
    <col min="12792" max="12792" width="14.5703125" style="111" customWidth="1"/>
    <col min="12793" max="13027" width="8.85546875" style="111"/>
    <col min="13028" max="13028" width="19.28515625" style="111" customWidth="1"/>
    <col min="13029" max="13029" width="10.5703125" style="111" customWidth="1"/>
    <col min="13030" max="13034" width="8.5703125" style="111" customWidth="1"/>
    <col min="13035" max="13035" width="9.7109375" style="111" customWidth="1"/>
    <col min="13036" max="13036" width="12.42578125" style="111" customWidth="1"/>
    <col min="13037" max="13037" width="8.7109375" style="111" customWidth="1"/>
    <col min="13038" max="13038" width="15.5703125" style="111" customWidth="1"/>
    <col min="13039" max="13047" width="8.85546875" style="111"/>
    <col min="13048" max="13048" width="14.5703125" style="111" customWidth="1"/>
    <col min="13049" max="13283" width="8.85546875" style="111"/>
    <col min="13284" max="13284" width="19.28515625" style="111" customWidth="1"/>
    <col min="13285" max="13285" width="10.5703125" style="111" customWidth="1"/>
    <col min="13286" max="13290" width="8.5703125" style="111" customWidth="1"/>
    <col min="13291" max="13291" width="9.7109375" style="111" customWidth="1"/>
    <col min="13292" max="13292" width="12.42578125" style="111" customWidth="1"/>
    <col min="13293" max="13293" width="8.7109375" style="111" customWidth="1"/>
    <col min="13294" max="13294" width="15.5703125" style="111" customWidth="1"/>
    <col min="13295" max="13303" width="8.85546875" style="111"/>
    <col min="13304" max="13304" width="14.5703125" style="111" customWidth="1"/>
    <col min="13305" max="13539" width="8.85546875" style="111"/>
    <col min="13540" max="13540" width="19.28515625" style="111" customWidth="1"/>
    <col min="13541" max="13541" width="10.5703125" style="111" customWidth="1"/>
    <col min="13542" max="13546" width="8.5703125" style="111" customWidth="1"/>
    <col min="13547" max="13547" width="9.7109375" style="111" customWidth="1"/>
    <col min="13548" max="13548" width="12.42578125" style="111" customWidth="1"/>
    <col min="13549" max="13549" width="8.7109375" style="111" customWidth="1"/>
    <col min="13550" max="13550" width="15.5703125" style="111" customWidth="1"/>
    <col min="13551" max="13559" width="8.85546875" style="111"/>
    <col min="13560" max="13560" width="14.5703125" style="111" customWidth="1"/>
    <col min="13561" max="13795" width="8.85546875" style="111"/>
    <col min="13796" max="13796" width="19.28515625" style="111" customWidth="1"/>
    <col min="13797" max="13797" width="10.5703125" style="111" customWidth="1"/>
    <col min="13798" max="13802" width="8.5703125" style="111" customWidth="1"/>
    <col min="13803" max="13803" width="9.7109375" style="111" customWidth="1"/>
    <col min="13804" max="13804" width="12.42578125" style="111" customWidth="1"/>
    <col min="13805" max="13805" width="8.7109375" style="111" customWidth="1"/>
    <col min="13806" max="13806" width="15.5703125" style="111" customWidth="1"/>
    <col min="13807" max="13815" width="8.85546875" style="111"/>
    <col min="13816" max="13816" width="14.5703125" style="111" customWidth="1"/>
    <col min="13817" max="14051" width="8.85546875" style="111"/>
    <col min="14052" max="14052" width="19.28515625" style="111" customWidth="1"/>
    <col min="14053" max="14053" width="10.5703125" style="111" customWidth="1"/>
    <col min="14054" max="14058" width="8.5703125" style="111" customWidth="1"/>
    <col min="14059" max="14059" width="9.7109375" style="111" customWidth="1"/>
    <col min="14060" max="14060" width="12.42578125" style="111" customWidth="1"/>
    <col min="14061" max="14061" width="8.7109375" style="111" customWidth="1"/>
    <col min="14062" max="14062" width="15.5703125" style="111" customWidth="1"/>
    <col min="14063" max="14071" width="8.85546875" style="111"/>
    <col min="14072" max="14072" width="14.5703125" style="111" customWidth="1"/>
    <col min="14073" max="14307" width="8.85546875" style="111"/>
    <col min="14308" max="14308" width="19.28515625" style="111" customWidth="1"/>
    <col min="14309" max="14309" width="10.5703125" style="111" customWidth="1"/>
    <col min="14310" max="14314" width="8.5703125" style="111" customWidth="1"/>
    <col min="14315" max="14315" width="9.7109375" style="111" customWidth="1"/>
    <col min="14316" max="14316" width="12.42578125" style="111" customWidth="1"/>
    <col min="14317" max="14317" width="8.7109375" style="111" customWidth="1"/>
    <col min="14318" max="14318" width="15.5703125" style="111" customWidth="1"/>
    <col min="14319" max="14327" width="8.85546875" style="111"/>
    <col min="14328" max="14328" width="14.5703125" style="111" customWidth="1"/>
    <col min="14329" max="14563" width="8.85546875" style="111"/>
    <col min="14564" max="14564" width="19.28515625" style="111" customWidth="1"/>
    <col min="14565" max="14565" width="10.5703125" style="111" customWidth="1"/>
    <col min="14566" max="14570" width="8.5703125" style="111" customWidth="1"/>
    <col min="14571" max="14571" width="9.7109375" style="111" customWidth="1"/>
    <col min="14572" max="14572" width="12.42578125" style="111" customWidth="1"/>
    <col min="14573" max="14573" width="8.7109375" style="111" customWidth="1"/>
    <col min="14574" max="14574" width="15.5703125" style="111" customWidth="1"/>
    <col min="14575" max="14583" width="8.85546875" style="111"/>
    <col min="14584" max="14584" width="14.5703125" style="111" customWidth="1"/>
    <col min="14585" max="14819" width="8.85546875" style="111"/>
    <col min="14820" max="14820" width="19.28515625" style="111" customWidth="1"/>
    <col min="14821" max="14821" width="10.5703125" style="111" customWidth="1"/>
    <col min="14822" max="14826" width="8.5703125" style="111" customWidth="1"/>
    <col min="14827" max="14827" width="9.7109375" style="111" customWidth="1"/>
    <col min="14828" max="14828" width="12.42578125" style="111" customWidth="1"/>
    <col min="14829" max="14829" width="8.7109375" style="111" customWidth="1"/>
    <col min="14830" max="14830" width="15.5703125" style="111" customWidth="1"/>
    <col min="14831" max="14839" width="8.85546875" style="111"/>
    <col min="14840" max="14840" width="14.5703125" style="111" customWidth="1"/>
    <col min="14841" max="15075" width="8.85546875" style="111"/>
    <col min="15076" max="15076" width="19.28515625" style="111" customWidth="1"/>
    <col min="15077" max="15077" width="10.5703125" style="111" customWidth="1"/>
    <col min="15078" max="15082" width="8.5703125" style="111" customWidth="1"/>
    <col min="15083" max="15083" width="9.7109375" style="111" customWidth="1"/>
    <col min="15084" max="15084" width="12.42578125" style="111" customWidth="1"/>
    <col min="15085" max="15085" width="8.7109375" style="111" customWidth="1"/>
    <col min="15086" max="15086" width="15.5703125" style="111" customWidth="1"/>
    <col min="15087" max="15095" width="8.85546875" style="111"/>
    <col min="15096" max="15096" width="14.5703125" style="111" customWidth="1"/>
    <col min="15097" max="15331" width="8.85546875" style="111"/>
    <col min="15332" max="15332" width="19.28515625" style="111" customWidth="1"/>
    <col min="15333" max="15333" width="10.5703125" style="111" customWidth="1"/>
    <col min="15334" max="15338" width="8.5703125" style="111" customWidth="1"/>
    <col min="15339" max="15339" width="9.7109375" style="111" customWidth="1"/>
    <col min="15340" max="15340" width="12.42578125" style="111" customWidth="1"/>
    <col min="15341" max="15341" width="8.7109375" style="111" customWidth="1"/>
    <col min="15342" max="15342" width="15.5703125" style="111" customWidth="1"/>
    <col min="15343" max="15351" width="8.85546875" style="111"/>
    <col min="15352" max="15352" width="14.5703125" style="111" customWidth="1"/>
    <col min="15353" max="15587" width="8.85546875" style="111"/>
    <col min="15588" max="15588" width="19.28515625" style="111" customWidth="1"/>
    <col min="15589" max="15589" width="10.5703125" style="111" customWidth="1"/>
    <col min="15590" max="15594" width="8.5703125" style="111" customWidth="1"/>
    <col min="15595" max="15595" width="9.7109375" style="111" customWidth="1"/>
    <col min="15596" max="15596" width="12.42578125" style="111" customWidth="1"/>
    <col min="15597" max="15597" width="8.7109375" style="111" customWidth="1"/>
    <col min="15598" max="15598" width="15.5703125" style="111" customWidth="1"/>
    <col min="15599" max="15607" width="8.85546875" style="111"/>
    <col min="15608" max="15608" width="14.5703125" style="111" customWidth="1"/>
    <col min="15609" max="15843" width="8.85546875" style="111"/>
    <col min="15844" max="15844" width="19.28515625" style="111" customWidth="1"/>
    <col min="15845" max="15845" width="10.5703125" style="111" customWidth="1"/>
    <col min="15846" max="15850" width="8.5703125" style="111" customWidth="1"/>
    <col min="15851" max="15851" width="9.7109375" style="111" customWidth="1"/>
    <col min="15852" max="15852" width="12.42578125" style="111" customWidth="1"/>
    <col min="15853" max="15853" width="8.7109375" style="111" customWidth="1"/>
    <col min="15854" max="15854" width="15.5703125" style="111" customWidth="1"/>
    <col min="15855" max="15863" width="8.85546875" style="111"/>
    <col min="15864" max="15864" width="14.5703125" style="111" customWidth="1"/>
    <col min="15865" max="16099" width="8.85546875" style="111"/>
    <col min="16100" max="16100" width="19.28515625" style="111" customWidth="1"/>
    <col min="16101" max="16101" width="10.5703125" style="111" customWidth="1"/>
    <col min="16102" max="16106" width="8.5703125" style="111" customWidth="1"/>
    <col min="16107" max="16107" width="9.7109375" style="111" customWidth="1"/>
    <col min="16108" max="16108" width="12.42578125" style="111" customWidth="1"/>
    <col min="16109" max="16109" width="8.7109375" style="111" customWidth="1"/>
    <col min="16110" max="16110" width="15.5703125" style="111" customWidth="1"/>
    <col min="16111" max="16119" width="8.85546875" style="111"/>
    <col min="16120" max="16120" width="14.5703125" style="111" customWidth="1"/>
    <col min="16121" max="16352" width="8.85546875" style="111"/>
    <col min="16353" max="16384" width="9.28515625" style="111" customWidth="1"/>
  </cols>
  <sheetData>
    <row r="1" spans="1:221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1"/>
      <c r="CO1" s="391"/>
      <c r="CP1" s="391"/>
      <c r="CQ1" s="391"/>
      <c r="CR1" s="391"/>
      <c r="CS1" s="391"/>
      <c r="CT1" s="391"/>
      <c r="CU1" s="391"/>
      <c r="CV1" s="391"/>
      <c r="CW1" s="391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1"/>
      <c r="GU1" s="391"/>
      <c r="GV1" s="391"/>
      <c r="GW1" s="391"/>
      <c r="GX1" s="391"/>
      <c r="GY1" s="391"/>
      <c r="GZ1" s="391"/>
      <c r="HA1" s="391"/>
      <c r="HB1" s="391"/>
      <c r="HC1" s="391"/>
      <c r="HD1" s="389"/>
      <c r="HE1" s="389"/>
      <c r="HF1" s="389"/>
      <c r="HG1" s="389"/>
      <c r="HH1" s="389"/>
      <c r="HI1" s="389"/>
      <c r="HJ1" s="389"/>
      <c r="HK1" s="389"/>
      <c r="HL1" s="389"/>
      <c r="HM1" s="389"/>
    </row>
    <row r="2" spans="1:221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1"/>
      <c r="CO2" s="391"/>
      <c r="CP2" s="391"/>
      <c r="CQ2" s="391"/>
      <c r="CR2" s="391"/>
      <c r="CS2" s="391"/>
      <c r="CT2" s="391"/>
      <c r="CU2" s="391"/>
      <c r="CV2" s="391"/>
      <c r="CW2" s="391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GJ2" s="390"/>
      <c r="GK2" s="390"/>
      <c r="GL2" s="390"/>
      <c r="GM2" s="390"/>
      <c r="GN2" s="390"/>
      <c r="GO2" s="390"/>
      <c r="GP2" s="390"/>
      <c r="GQ2" s="390"/>
      <c r="GR2" s="390"/>
      <c r="GS2" s="390"/>
      <c r="GT2" s="391"/>
      <c r="GU2" s="391"/>
      <c r="GV2" s="391"/>
      <c r="GW2" s="391"/>
      <c r="GX2" s="391"/>
      <c r="GY2" s="391"/>
      <c r="GZ2" s="391"/>
      <c r="HA2" s="391"/>
      <c r="HB2" s="391"/>
      <c r="HC2" s="391"/>
      <c r="HD2" s="389"/>
      <c r="HE2" s="389"/>
      <c r="HF2" s="389"/>
      <c r="HG2" s="389"/>
      <c r="HH2" s="389"/>
      <c r="HI2" s="389"/>
      <c r="HJ2" s="389"/>
      <c r="HK2" s="389"/>
      <c r="HL2" s="389"/>
      <c r="HM2" s="389"/>
    </row>
    <row r="3" spans="1:221" ht="12.75" x14ac:dyDescent="0.2">
      <c r="A3" s="382" t="s">
        <v>44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CD3" s="387"/>
      <c r="CE3" s="387"/>
      <c r="CF3" s="387"/>
      <c r="CG3" s="387"/>
      <c r="CH3" s="387"/>
      <c r="CI3" s="387"/>
      <c r="CJ3" s="387"/>
      <c r="CK3" s="387"/>
      <c r="CL3" s="387"/>
      <c r="CM3" s="387"/>
      <c r="CN3" s="388"/>
      <c r="CO3" s="388"/>
      <c r="CP3" s="388"/>
      <c r="CQ3" s="388"/>
      <c r="CR3" s="388"/>
      <c r="CS3" s="388"/>
      <c r="CT3" s="388"/>
      <c r="CU3" s="388"/>
      <c r="CV3" s="388"/>
      <c r="CW3" s="388"/>
      <c r="CX3" s="381"/>
      <c r="CY3" s="381"/>
      <c r="CZ3" s="381"/>
      <c r="DA3" s="381"/>
      <c r="DB3" s="381"/>
      <c r="DC3" s="381"/>
      <c r="DD3" s="381"/>
      <c r="DE3" s="381"/>
      <c r="DF3" s="381"/>
      <c r="DG3" s="381"/>
      <c r="GJ3" s="387"/>
      <c r="GK3" s="387"/>
      <c r="GL3" s="387"/>
      <c r="GM3" s="387"/>
      <c r="GN3" s="387"/>
      <c r="GO3" s="387"/>
      <c r="GP3" s="387"/>
      <c r="GQ3" s="387"/>
      <c r="GR3" s="387"/>
      <c r="GS3" s="387"/>
      <c r="GT3" s="388"/>
      <c r="GU3" s="388"/>
      <c r="GV3" s="388"/>
      <c r="GW3" s="388"/>
      <c r="GX3" s="388"/>
      <c r="GY3" s="388"/>
      <c r="GZ3" s="388"/>
      <c r="HA3" s="388"/>
      <c r="HB3" s="388"/>
      <c r="HC3" s="388"/>
      <c r="HD3" s="381"/>
      <c r="HE3" s="381"/>
      <c r="HF3" s="381"/>
      <c r="HG3" s="381"/>
      <c r="HH3" s="381"/>
      <c r="HI3" s="381"/>
      <c r="HJ3" s="381"/>
      <c r="HK3" s="381"/>
      <c r="HL3" s="381"/>
      <c r="HM3" s="381"/>
    </row>
    <row r="4" spans="1:221" ht="12.75" x14ac:dyDescent="0.2">
      <c r="A4" s="382" t="s">
        <v>9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3"/>
      <c r="CY4" s="143"/>
      <c r="CZ4" s="143"/>
      <c r="DA4" s="143"/>
      <c r="DB4" s="143"/>
      <c r="DC4" s="143"/>
      <c r="DD4" s="143"/>
      <c r="DE4" s="143"/>
      <c r="DF4" s="143"/>
      <c r="DG4" s="143"/>
      <c r="GJ4" s="141"/>
      <c r="GK4" s="141"/>
      <c r="GL4" s="141"/>
      <c r="GM4" s="141"/>
      <c r="GN4" s="141"/>
      <c r="GO4" s="141"/>
      <c r="GP4" s="141"/>
      <c r="GQ4" s="141"/>
      <c r="GR4" s="141"/>
      <c r="GS4" s="141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3"/>
      <c r="HE4" s="143"/>
      <c r="HF4" s="143"/>
      <c r="HG4" s="143"/>
      <c r="HH4" s="143"/>
      <c r="HI4" s="143"/>
      <c r="HJ4" s="143"/>
      <c r="HK4" s="143"/>
      <c r="HL4" s="143"/>
      <c r="HM4" s="143"/>
    </row>
    <row r="5" spans="1:221" ht="12" x14ac:dyDescent="0.2">
      <c r="A5" s="383" t="str">
        <f>'Kto6 CSR, CR, Coeffcnt,YrInput'!A5:O5</f>
        <v>SY 2022-2023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CD5" s="384"/>
      <c r="CE5" s="384"/>
      <c r="CF5" s="384"/>
      <c r="CG5" s="384"/>
      <c r="CH5" s="384"/>
      <c r="CI5" s="384"/>
      <c r="CJ5" s="384"/>
      <c r="CK5" s="384"/>
      <c r="CL5" s="384"/>
      <c r="CM5" s="384"/>
      <c r="CN5" s="385"/>
      <c r="CO5" s="385"/>
      <c r="CP5" s="385"/>
      <c r="CQ5" s="385"/>
      <c r="CR5" s="385"/>
      <c r="CS5" s="385"/>
      <c r="CT5" s="385"/>
      <c r="CU5" s="385"/>
      <c r="CV5" s="385"/>
      <c r="CW5" s="385"/>
      <c r="CX5" s="386"/>
      <c r="CY5" s="386"/>
      <c r="CZ5" s="386"/>
      <c r="DA5" s="386"/>
      <c r="DB5" s="386"/>
      <c r="DC5" s="386"/>
      <c r="DD5" s="386"/>
      <c r="DE5" s="386"/>
      <c r="DF5" s="386"/>
      <c r="DG5" s="386"/>
      <c r="GJ5" s="384"/>
      <c r="GK5" s="384"/>
      <c r="GL5" s="384"/>
      <c r="GM5" s="384"/>
      <c r="GN5" s="384"/>
      <c r="GO5" s="384"/>
      <c r="GP5" s="384"/>
      <c r="GQ5" s="384"/>
      <c r="GR5" s="384"/>
      <c r="GS5" s="384"/>
      <c r="GT5" s="385"/>
      <c r="GU5" s="385"/>
      <c r="GV5" s="385"/>
      <c r="GW5" s="385"/>
      <c r="GX5" s="385"/>
      <c r="GY5" s="385"/>
      <c r="GZ5" s="385"/>
      <c r="HA5" s="385"/>
      <c r="HB5" s="385"/>
      <c r="HC5" s="385"/>
      <c r="HD5" s="386"/>
      <c r="HE5" s="386"/>
      <c r="HF5" s="386"/>
      <c r="HG5" s="386"/>
      <c r="HH5" s="386"/>
      <c r="HI5" s="386"/>
      <c r="HJ5" s="386"/>
      <c r="HK5" s="386"/>
      <c r="HL5" s="386"/>
      <c r="HM5" s="386"/>
    </row>
    <row r="6" spans="1:221" ht="15" x14ac:dyDescent="0.2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CD6" s="144"/>
      <c r="CE6" s="144"/>
      <c r="CF6" s="11"/>
      <c r="CG6" s="11"/>
      <c r="CH6" s="11"/>
      <c r="CI6" s="11"/>
      <c r="CJ6" s="11"/>
      <c r="CK6" s="11"/>
      <c r="CL6" s="11"/>
      <c r="CM6" s="147"/>
      <c r="CN6" s="145"/>
      <c r="CO6" s="145"/>
      <c r="CP6" s="148"/>
      <c r="CQ6" s="148"/>
      <c r="CR6" s="148"/>
      <c r="CS6" s="148"/>
      <c r="CT6" s="148"/>
      <c r="CU6" s="148"/>
      <c r="CV6" s="148"/>
      <c r="CW6" s="149"/>
      <c r="CX6" s="146"/>
      <c r="CY6" s="146"/>
      <c r="CZ6" s="150"/>
      <c r="DA6" s="150"/>
      <c r="DB6" s="150"/>
      <c r="DC6" s="150"/>
      <c r="DD6" s="150"/>
      <c r="DE6" s="150"/>
      <c r="DF6" s="150"/>
      <c r="DG6" s="151"/>
      <c r="GJ6" s="144"/>
      <c r="GK6" s="144"/>
      <c r="GL6" s="11"/>
      <c r="GM6" s="11"/>
      <c r="GN6" s="11"/>
      <c r="GO6" s="11"/>
      <c r="GP6" s="11"/>
      <c r="GQ6" s="11"/>
      <c r="GR6" s="11"/>
      <c r="GS6" s="147"/>
      <c r="GT6" s="145"/>
      <c r="GU6" s="145"/>
      <c r="GV6" s="148"/>
      <c r="GW6" s="148"/>
      <c r="GX6" s="148"/>
      <c r="GY6" s="148"/>
      <c r="GZ6" s="148"/>
      <c r="HA6" s="148"/>
      <c r="HB6" s="148"/>
      <c r="HC6" s="149"/>
      <c r="HD6" s="146"/>
      <c r="HE6" s="146"/>
      <c r="HF6" s="150"/>
      <c r="HG6" s="150"/>
      <c r="HH6" s="150"/>
      <c r="HI6" s="150"/>
      <c r="HJ6" s="150"/>
      <c r="HK6" s="150"/>
      <c r="HL6" s="150"/>
      <c r="HM6" s="151"/>
    </row>
    <row r="7" spans="1:221" x14ac:dyDescent="0.2">
      <c r="A7" s="152"/>
      <c r="B7" s="153"/>
      <c r="C7" s="154"/>
      <c r="D7" s="154"/>
      <c r="E7" s="154"/>
      <c r="F7" s="154"/>
      <c r="G7" s="154"/>
      <c r="H7" s="154"/>
      <c r="I7" s="154"/>
      <c r="J7" s="154"/>
      <c r="K7" s="155"/>
      <c r="CD7" s="152"/>
      <c r="CE7" s="153"/>
      <c r="CF7" s="154"/>
      <c r="CG7" s="154"/>
      <c r="CH7" s="154"/>
      <c r="CI7" s="154"/>
      <c r="CJ7" s="154"/>
      <c r="CK7" s="154"/>
      <c r="CL7" s="154"/>
      <c r="CM7" s="147"/>
      <c r="CN7" s="156"/>
      <c r="CO7" s="157"/>
      <c r="CP7" s="158"/>
      <c r="CQ7" s="158"/>
      <c r="CR7" s="158"/>
      <c r="CS7" s="158"/>
      <c r="CT7" s="158"/>
      <c r="CU7" s="158"/>
      <c r="CV7" s="158"/>
      <c r="CW7" s="149"/>
      <c r="CX7" s="159"/>
      <c r="CY7" s="160"/>
      <c r="CZ7" s="161"/>
      <c r="DA7" s="161"/>
      <c r="DB7" s="161"/>
      <c r="DC7" s="161"/>
      <c r="DD7" s="161"/>
      <c r="DE7" s="161"/>
      <c r="DF7" s="161"/>
      <c r="DG7" s="151"/>
      <c r="GJ7" s="152"/>
      <c r="GK7" s="153"/>
      <c r="GL7" s="154"/>
      <c r="GM7" s="154"/>
      <c r="GN7" s="154"/>
      <c r="GO7" s="154"/>
      <c r="GP7" s="154"/>
      <c r="GQ7" s="154"/>
      <c r="GR7" s="154"/>
      <c r="GS7" s="147"/>
      <c r="GT7" s="156"/>
      <c r="GU7" s="157"/>
      <c r="GV7" s="158"/>
      <c r="GW7" s="158"/>
      <c r="GX7" s="158"/>
      <c r="GY7" s="158"/>
      <c r="GZ7" s="158"/>
      <c r="HA7" s="158"/>
      <c r="HB7" s="158"/>
      <c r="HC7" s="149"/>
      <c r="HD7" s="159"/>
      <c r="HE7" s="160"/>
      <c r="HF7" s="161"/>
      <c r="HG7" s="161"/>
      <c r="HH7" s="161"/>
      <c r="HI7" s="161"/>
      <c r="HJ7" s="161"/>
      <c r="HK7" s="161"/>
      <c r="HL7" s="161"/>
      <c r="HM7" s="151"/>
    </row>
    <row r="8" spans="1:221" ht="13.5" thickBot="1" x14ac:dyDescent="0.25">
      <c r="A8" s="25" t="s">
        <v>10</v>
      </c>
      <c r="B8" s="162"/>
      <c r="C8" s="27"/>
      <c r="D8" s="27"/>
      <c r="E8" s="27"/>
      <c r="F8" s="27"/>
      <c r="G8" s="27"/>
      <c r="H8" s="27"/>
      <c r="K8" s="155"/>
      <c r="CD8" s="153"/>
      <c r="CE8" s="153"/>
      <c r="CF8" s="27"/>
      <c r="CG8" s="27"/>
      <c r="CH8" s="27"/>
      <c r="CI8" s="27"/>
      <c r="CJ8" s="27"/>
      <c r="CK8" s="27"/>
      <c r="CL8" s="27"/>
      <c r="CM8" s="147"/>
      <c r="CN8" s="157"/>
      <c r="CO8" s="157"/>
      <c r="CP8" s="163"/>
      <c r="CQ8" s="163"/>
      <c r="CR8" s="163"/>
      <c r="CS8" s="163"/>
      <c r="CT8" s="163"/>
      <c r="CU8" s="163"/>
      <c r="CV8" s="163"/>
      <c r="CW8" s="149"/>
      <c r="CX8" s="160"/>
      <c r="CY8" s="160"/>
      <c r="CZ8" s="164"/>
      <c r="DA8" s="164"/>
      <c r="DB8" s="164"/>
      <c r="DC8" s="164"/>
      <c r="DD8" s="164"/>
      <c r="DE8" s="164"/>
      <c r="DF8" s="164"/>
      <c r="DG8" s="151"/>
      <c r="GJ8" s="153"/>
      <c r="GK8" s="153"/>
      <c r="GL8" s="27"/>
      <c r="GM8" s="27"/>
      <c r="GN8" s="27"/>
      <c r="GO8" s="27"/>
      <c r="GP8" s="27"/>
      <c r="GQ8" s="27"/>
      <c r="GR8" s="27"/>
      <c r="GS8" s="147"/>
      <c r="GT8" s="157"/>
      <c r="GU8" s="157"/>
      <c r="GV8" s="163"/>
      <c r="GW8" s="163"/>
      <c r="GX8" s="163"/>
      <c r="GY8" s="163"/>
      <c r="GZ8" s="163"/>
      <c r="HA8" s="163"/>
      <c r="HB8" s="163"/>
      <c r="HC8" s="149"/>
      <c r="HD8" s="160"/>
      <c r="HE8" s="160"/>
      <c r="HF8" s="164"/>
      <c r="HG8" s="164"/>
      <c r="HH8" s="164"/>
      <c r="HI8" s="164"/>
      <c r="HJ8" s="164"/>
      <c r="HK8" s="164"/>
      <c r="HL8" s="164"/>
      <c r="HM8" s="151"/>
    </row>
    <row r="9" spans="1:221" ht="13.5" thickBot="1" x14ac:dyDescent="0.25">
      <c r="L9" s="29"/>
      <c r="M9" s="30"/>
      <c r="N9" s="30"/>
      <c r="O9" s="30"/>
      <c r="P9" s="30"/>
      <c r="Q9" s="30"/>
      <c r="R9" s="30"/>
      <c r="S9" s="30"/>
      <c r="T9" s="30"/>
    </row>
    <row r="10" spans="1:221" ht="10.35" customHeight="1" x14ac:dyDescent="0.25">
      <c r="A10" s="31" t="s">
        <v>30</v>
      </c>
      <c r="B10" s="372" t="s">
        <v>11</v>
      </c>
      <c r="C10" s="165" t="s">
        <v>18</v>
      </c>
      <c r="D10" s="166" t="s">
        <v>19</v>
      </c>
      <c r="E10" s="166" t="s">
        <v>20</v>
      </c>
      <c r="F10" s="166" t="s">
        <v>21</v>
      </c>
      <c r="G10" s="166" t="s">
        <v>22</v>
      </c>
      <c r="H10" s="167" t="s">
        <v>23</v>
      </c>
      <c r="I10" s="33" t="s">
        <v>45</v>
      </c>
      <c r="J10" s="168" t="s">
        <v>46</v>
      </c>
      <c r="K10" s="172" t="s">
        <v>31</v>
      </c>
      <c r="L10" s="375"/>
      <c r="M10" s="375"/>
      <c r="N10" s="375"/>
      <c r="O10" s="375"/>
      <c r="P10" s="375"/>
      <c r="Q10" s="375"/>
      <c r="R10" s="115"/>
      <c r="S10" s="115"/>
      <c r="T10" s="179"/>
    </row>
    <row r="11" spans="1:221" ht="10.9" customHeight="1" thickBot="1" x14ac:dyDescent="0.3">
      <c r="A11" s="112"/>
      <c r="B11" s="373"/>
      <c r="C11" s="47"/>
      <c r="D11" s="39"/>
      <c r="E11" s="39"/>
      <c r="F11" s="39"/>
      <c r="G11" s="39"/>
      <c r="H11" s="40"/>
      <c r="I11" s="42" t="s">
        <v>47</v>
      </c>
      <c r="J11" s="38" t="s">
        <v>25</v>
      </c>
      <c r="K11" s="173" t="s">
        <v>32</v>
      </c>
      <c r="L11" s="115"/>
      <c r="M11" s="115"/>
      <c r="N11" s="115"/>
      <c r="O11" s="115"/>
      <c r="P11" s="115"/>
      <c r="Q11" s="115"/>
      <c r="R11" s="115"/>
      <c r="S11" s="115"/>
      <c r="T11" s="179"/>
    </row>
    <row r="12" spans="1:221" x14ac:dyDescent="0.2">
      <c r="A12" s="74" t="s">
        <v>33</v>
      </c>
      <c r="B12" s="75" t="s">
        <v>29</v>
      </c>
      <c r="C12" s="120">
        <v>0.97910407362295304</v>
      </c>
      <c r="D12" s="120">
        <v>0.98008518475883499</v>
      </c>
      <c r="E12" s="129">
        <v>0.9847994825355757</v>
      </c>
      <c r="F12" s="129">
        <v>0.98658670450590347</v>
      </c>
      <c r="G12" s="129">
        <v>0.98902485869505574</v>
      </c>
      <c r="H12" s="129">
        <v>0.98957085476710593</v>
      </c>
      <c r="I12" s="180">
        <v>0.99140442058369982</v>
      </c>
      <c r="J12" s="180">
        <v>0.98567735135980761</v>
      </c>
      <c r="K12" s="174">
        <v>1.0077393075356416</v>
      </c>
      <c r="L12" s="181"/>
      <c r="M12" s="181"/>
      <c r="N12" s="181"/>
      <c r="O12" s="181"/>
      <c r="P12" s="181"/>
      <c r="Q12" s="181"/>
      <c r="R12" s="181"/>
      <c r="S12" s="181"/>
      <c r="T12" s="171"/>
    </row>
    <row r="13" spans="1:221" x14ac:dyDescent="0.2">
      <c r="A13" s="3"/>
      <c r="B13" s="82" t="s">
        <v>1</v>
      </c>
      <c r="C13" s="129">
        <v>0.97534031413612565</v>
      </c>
      <c r="D13" s="129">
        <v>0.97618783303730017</v>
      </c>
      <c r="E13" s="129">
        <v>0.98102647338669058</v>
      </c>
      <c r="F13" s="129">
        <v>0.98356589147286821</v>
      </c>
      <c r="G13" s="129">
        <v>0.98536193029490615</v>
      </c>
      <c r="H13" s="129">
        <v>0.98642082140717569</v>
      </c>
      <c r="I13" s="180">
        <v>0.98713214725299314</v>
      </c>
      <c r="J13" s="180">
        <v>0.98199999999999998</v>
      </c>
      <c r="K13" s="129"/>
      <c r="L13" s="181"/>
      <c r="M13" s="181"/>
      <c r="N13" s="181"/>
      <c r="O13" s="181"/>
      <c r="P13" s="181"/>
      <c r="Q13" s="181"/>
      <c r="R13" s="181"/>
      <c r="S13" s="181"/>
      <c r="T13" s="171"/>
    </row>
    <row r="14" spans="1:221" x14ac:dyDescent="0.2">
      <c r="A14" s="58"/>
      <c r="B14" s="85" t="s">
        <v>0</v>
      </c>
      <c r="C14" s="134">
        <v>0.98313253012048196</v>
      </c>
      <c r="D14" s="134">
        <v>0.98428161606502507</v>
      </c>
      <c r="E14" s="134">
        <v>0.98897491483431399</v>
      </c>
      <c r="F14" s="134">
        <v>0.98983389811677125</v>
      </c>
      <c r="G14" s="134">
        <v>0.99286356484603278</v>
      </c>
      <c r="H14" s="134">
        <v>0.99311325698031294</v>
      </c>
      <c r="I14" s="182">
        <v>0.99585860942603821</v>
      </c>
      <c r="J14" s="182">
        <v>0.98960000000000004</v>
      </c>
      <c r="K14" s="134"/>
      <c r="L14" s="181"/>
      <c r="M14" s="181"/>
      <c r="N14" s="181"/>
      <c r="O14" s="181"/>
      <c r="P14" s="181"/>
      <c r="Q14" s="181"/>
      <c r="R14" s="181"/>
      <c r="S14" s="181"/>
      <c r="T14" s="171"/>
    </row>
    <row r="15" spans="1:221" ht="10.15" customHeight="1" x14ac:dyDescent="0.2">
      <c r="A15" s="74" t="s">
        <v>34</v>
      </c>
      <c r="B15" s="75" t="s">
        <v>29</v>
      </c>
      <c r="C15" s="120">
        <v>0.98408695130006607</v>
      </c>
      <c r="D15" s="120">
        <v>0.9730215827338129</v>
      </c>
      <c r="E15" s="129">
        <v>0.97257724283409852</v>
      </c>
      <c r="F15" s="129">
        <v>0.97958619163531757</v>
      </c>
      <c r="G15" s="129">
        <v>0.98304488119683187</v>
      </c>
      <c r="H15" s="129">
        <v>0.97863659965877903</v>
      </c>
      <c r="I15" s="180">
        <v>0.98748748748748749</v>
      </c>
      <c r="J15" s="180">
        <v>0.97963786314967949</v>
      </c>
      <c r="K15" s="174">
        <v>1.0141843971631206</v>
      </c>
      <c r="L15" s="181"/>
      <c r="M15" s="181"/>
      <c r="N15" s="181"/>
      <c r="O15" s="181"/>
      <c r="P15" s="181"/>
      <c r="Q15" s="181"/>
      <c r="R15" s="181"/>
      <c r="S15" s="181"/>
      <c r="T15" s="171"/>
    </row>
    <row r="16" spans="1:221" ht="10.15" customHeight="1" x14ac:dyDescent="0.2">
      <c r="A16" s="3"/>
      <c r="B16" s="82" t="s">
        <v>1</v>
      </c>
      <c r="C16" s="129">
        <v>0.98317115054378934</v>
      </c>
      <c r="D16" s="129">
        <v>0.96614047128803482</v>
      </c>
      <c r="E16" s="129">
        <v>0.96410315985130113</v>
      </c>
      <c r="F16" s="129">
        <v>0.97183554548397544</v>
      </c>
      <c r="G16" s="129">
        <v>0.97735590118938698</v>
      </c>
      <c r="H16" s="129">
        <v>0.9689791314156796</v>
      </c>
      <c r="I16" s="180">
        <v>0.98013732221677297</v>
      </c>
      <c r="J16" s="180">
        <v>0.97289999999999999</v>
      </c>
      <c r="K16" s="129"/>
      <c r="L16" s="181"/>
      <c r="M16" s="181"/>
      <c r="N16" s="181"/>
      <c r="O16" s="181"/>
      <c r="P16" s="181"/>
      <c r="Q16" s="181"/>
      <c r="R16" s="181"/>
      <c r="S16" s="181"/>
      <c r="T16" s="171"/>
    </row>
    <row r="17" spans="1:20" x14ac:dyDescent="0.2">
      <c r="A17" s="58"/>
      <c r="B17" s="85" t="s">
        <v>0</v>
      </c>
      <c r="C17" s="134">
        <v>0.98509724677948973</v>
      </c>
      <c r="D17" s="134">
        <v>0.98059964726631388</v>
      </c>
      <c r="E17" s="134">
        <v>0.98229027962716375</v>
      </c>
      <c r="F17" s="134">
        <v>0.98773981155636281</v>
      </c>
      <c r="G17" s="134">
        <v>0.98903746536561865</v>
      </c>
      <c r="H17" s="134">
        <v>0.98935670683988108</v>
      </c>
      <c r="I17" s="182">
        <v>0.99374041900868681</v>
      </c>
      <c r="J17" s="182">
        <v>0.98670000000000002</v>
      </c>
      <c r="K17" s="134"/>
      <c r="L17" s="181"/>
      <c r="M17" s="181"/>
      <c r="N17" s="181"/>
      <c r="O17" s="181"/>
      <c r="P17" s="181"/>
      <c r="Q17" s="181"/>
      <c r="R17" s="181"/>
      <c r="S17" s="181"/>
      <c r="T17" s="171"/>
    </row>
    <row r="18" spans="1:20" x14ac:dyDescent="0.2">
      <c r="A18" s="74" t="s">
        <v>35</v>
      </c>
      <c r="B18" s="75" t="s">
        <v>29</v>
      </c>
      <c r="C18" s="120">
        <v>0.99096167751265363</v>
      </c>
      <c r="D18" s="120">
        <v>0.98792535675082327</v>
      </c>
      <c r="E18" s="129">
        <v>0.99100539676194288</v>
      </c>
      <c r="F18" s="129">
        <v>0.98561029287286273</v>
      </c>
      <c r="G18" s="129">
        <v>0.98874113475177305</v>
      </c>
      <c r="H18" s="129">
        <v>0.98927613941018766</v>
      </c>
      <c r="I18" s="180">
        <v>0.9965759939128781</v>
      </c>
      <c r="J18" s="180">
        <v>0.98997613525522921</v>
      </c>
      <c r="K18" s="174">
        <v>1.0067916877850989</v>
      </c>
      <c r="L18" s="181"/>
      <c r="M18" s="181"/>
      <c r="N18" s="181"/>
      <c r="O18" s="181"/>
      <c r="P18" s="181"/>
      <c r="Q18" s="181"/>
      <c r="R18" s="181"/>
      <c r="S18" s="181"/>
      <c r="T18" s="171"/>
    </row>
    <row r="19" spans="1:20" x14ac:dyDescent="0.2">
      <c r="A19" s="3"/>
      <c r="B19" s="82" t="s">
        <v>1</v>
      </c>
      <c r="C19" s="129">
        <v>0.98597721297107799</v>
      </c>
      <c r="D19" s="129">
        <v>0.98272823405005283</v>
      </c>
      <c r="E19" s="129">
        <v>0.98944988696307457</v>
      </c>
      <c r="F19" s="129">
        <v>0.98360101437024516</v>
      </c>
      <c r="G19" s="129">
        <v>0.98358132375577223</v>
      </c>
      <c r="H19" s="129">
        <v>0.98561151079136688</v>
      </c>
      <c r="I19" s="180">
        <v>0.99502945508100149</v>
      </c>
      <c r="J19" s="180">
        <v>0.98649999999999993</v>
      </c>
      <c r="K19" s="129"/>
      <c r="L19" s="181"/>
      <c r="M19" s="181"/>
      <c r="N19" s="181"/>
      <c r="O19" s="181"/>
      <c r="P19" s="181"/>
      <c r="Q19" s="181"/>
      <c r="R19" s="181"/>
      <c r="S19" s="181"/>
      <c r="T19" s="171"/>
    </row>
    <row r="20" spans="1:20" x14ac:dyDescent="0.2">
      <c r="A20" s="58"/>
      <c r="B20" s="85" t="s">
        <v>0</v>
      </c>
      <c r="C20" s="134">
        <v>0.99608135846239965</v>
      </c>
      <c r="D20" s="134">
        <v>0.99353366298972989</v>
      </c>
      <c r="E20" s="134">
        <v>0.988931460195828</v>
      </c>
      <c r="F20" s="134">
        <v>0.98762502119003226</v>
      </c>
      <c r="G20" s="134">
        <v>0.99429412847413956</v>
      </c>
      <c r="H20" s="134">
        <v>0.99332820118039522</v>
      </c>
      <c r="I20" s="182">
        <v>0.99822904368358911</v>
      </c>
      <c r="J20" s="182">
        <v>0.99319999999999997</v>
      </c>
      <c r="K20" s="134"/>
      <c r="L20" s="181"/>
      <c r="M20" s="181"/>
      <c r="N20" s="181"/>
      <c r="O20" s="181"/>
      <c r="P20" s="181"/>
      <c r="Q20" s="181"/>
      <c r="R20" s="181"/>
      <c r="S20" s="181"/>
      <c r="T20" s="171"/>
    </row>
    <row r="21" spans="1:20" x14ac:dyDescent="0.2">
      <c r="A21" s="74" t="s">
        <v>36</v>
      </c>
      <c r="B21" s="75" t="s">
        <v>29</v>
      </c>
      <c r="C21" s="120">
        <v>0.98540073492898994</v>
      </c>
      <c r="D21" s="120">
        <v>0.97952661539997998</v>
      </c>
      <c r="E21" s="129">
        <v>0.98386599527283936</v>
      </c>
      <c r="F21" s="129">
        <v>0.9848240538746087</v>
      </c>
      <c r="G21" s="129">
        <v>0.98955310504933258</v>
      </c>
      <c r="H21" s="129">
        <v>0.98851537265223111</v>
      </c>
      <c r="I21" s="180">
        <v>0.99158858603066435</v>
      </c>
      <c r="J21" s="180">
        <v>0.98609102198845788</v>
      </c>
      <c r="K21" s="174">
        <v>1.0085539714867617</v>
      </c>
      <c r="L21" s="181"/>
      <c r="M21" s="181"/>
      <c r="N21" s="181"/>
      <c r="O21" s="181"/>
      <c r="P21" s="181"/>
      <c r="Q21" s="181"/>
      <c r="R21" s="181"/>
      <c r="S21" s="181"/>
      <c r="T21" s="171"/>
    </row>
    <row r="22" spans="1:20" x14ac:dyDescent="0.2">
      <c r="A22" s="3"/>
      <c r="B22" s="82" t="s">
        <v>1</v>
      </c>
      <c r="C22" s="129">
        <v>0.98230593607305938</v>
      </c>
      <c r="D22" s="129">
        <v>0.97481253605075946</v>
      </c>
      <c r="E22" s="129">
        <v>0.98048399687743948</v>
      </c>
      <c r="F22" s="129">
        <v>0.98080753213833061</v>
      </c>
      <c r="G22" s="129">
        <v>0.98394105422255806</v>
      </c>
      <c r="H22" s="129">
        <v>0.98424101969872535</v>
      </c>
      <c r="I22" s="180">
        <v>0.98843809123397097</v>
      </c>
      <c r="J22" s="180">
        <v>0.98199999999999998</v>
      </c>
      <c r="K22" s="129"/>
      <c r="L22" s="181"/>
      <c r="M22" s="181"/>
      <c r="N22" s="181"/>
      <c r="O22" s="181"/>
      <c r="P22" s="181"/>
      <c r="Q22" s="181"/>
      <c r="R22" s="181"/>
      <c r="S22" s="181"/>
      <c r="T22" s="171"/>
    </row>
    <row r="23" spans="1:20" x14ac:dyDescent="0.2">
      <c r="A23" s="58"/>
      <c r="B23" s="85" t="s">
        <v>0</v>
      </c>
      <c r="C23" s="134">
        <v>0.98878038645335553</v>
      </c>
      <c r="D23" s="134">
        <v>0.98462177888611802</v>
      </c>
      <c r="E23" s="134">
        <v>0.9876275233340569</v>
      </c>
      <c r="F23" s="134">
        <v>0.9892430278884462</v>
      </c>
      <c r="G23" s="134">
        <v>0.99544103072348855</v>
      </c>
      <c r="H23" s="134">
        <v>0.99307616221562811</v>
      </c>
      <c r="I23" s="182">
        <v>0.99460625674217906</v>
      </c>
      <c r="J23" s="182">
        <v>0.99039999999999995</v>
      </c>
      <c r="K23" s="134"/>
      <c r="L23" s="181"/>
      <c r="M23" s="181"/>
      <c r="N23" s="181"/>
      <c r="O23" s="181"/>
      <c r="P23" s="181"/>
      <c r="Q23" s="181"/>
      <c r="R23" s="181"/>
      <c r="S23" s="181"/>
      <c r="T23" s="171"/>
    </row>
    <row r="24" spans="1:20" x14ac:dyDescent="0.2">
      <c r="A24" s="74" t="s">
        <v>37</v>
      </c>
      <c r="B24" s="75" t="s">
        <v>29</v>
      </c>
      <c r="C24" s="120">
        <v>0.99137331292611663</v>
      </c>
      <c r="D24" s="120">
        <v>0.96836142580823437</v>
      </c>
      <c r="E24" s="129">
        <v>0.97050147492625372</v>
      </c>
      <c r="F24" s="129">
        <v>0.9773413897280967</v>
      </c>
      <c r="G24" s="129">
        <v>0.97995606809445357</v>
      </c>
      <c r="H24" s="129">
        <v>0.95526272978688787</v>
      </c>
      <c r="I24" s="180">
        <v>0.98347722536469184</v>
      </c>
      <c r="J24" s="180">
        <v>0.97510451517394525</v>
      </c>
      <c r="K24" s="174">
        <v>1.0162273901808787</v>
      </c>
      <c r="L24" s="181"/>
      <c r="M24" s="181"/>
      <c r="N24" s="181"/>
      <c r="O24" s="181"/>
      <c r="P24" s="181"/>
      <c r="Q24" s="181"/>
      <c r="R24" s="181"/>
      <c r="S24" s="181"/>
      <c r="T24" s="171"/>
    </row>
    <row r="25" spans="1:20" x14ac:dyDescent="0.2">
      <c r="A25" s="3"/>
      <c r="B25" s="82" t="s">
        <v>1</v>
      </c>
      <c r="C25" s="129">
        <v>0.99014909478168267</v>
      </c>
      <c r="D25" s="129">
        <v>0.96330029466916689</v>
      </c>
      <c r="E25" s="129">
        <v>0.96167832167832168</v>
      </c>
      <c r="F25" s="129">
        <v>0.96912114014251782</v>
      </c>
      <c r="G25" s="129">
        <v>0.97094759706760791</v>
      </c>
      <c r="H25" s="129">
        <v>0.94191130543410373</v>
      </c>
      <c r="I25" s="180">
        <v>0.97503714710252598</v>
      </c>
      <c r="J25" s="180">
        <v>0.96749999999999992</v>
      </c>
      <c r="K25" s="129"/>
      <c r="L25" s="181"/>
      <c r="M25" s="181"/>
      <c r="N25" s="181"/>
      <c r="O25" s="181"/>
      <c r="P25" s="181"/>
      <c r="Q25" s="181"/>
      <c r="R25" s="181"/>
      <c r="S25" s="181"/>
      <c r="T25" s="171"/>
    </row>
    <row r="26" spans="1:20" x14ac:dyDescent="0.2">
      <c r="A26" s="58"/>
      <c r="B26" s="85" t="s">
        <v>0</v>
      </c>
      <c r="C26" s="134">
        <v>0.99271349460798597</v>
      </c>
      <c r="D26" s="134">
        <v>0.97375178316690447</v>
      </c>
      <c r="E26" s="134">
        <v>0.98034321372854916</v>
      </c>
      <c r="F26" s="134">
        <v>0.98625823074720875</v>
      </c>
      <c r="G26" s="134">
        <v>0.98916967509025266</v>
      </c>
      <c r="H26" s="134">
        <v>0.96977928692699489</v>
      </c>
      <c r="I26" s="182">
        <v>0.99045630778407401</v>
      </c>
      <c r="J26" s="182">
        <v>0.98319999999999996</v>
      </c>
      <c r="K26" s="134"/>
      <c r="L26" s="181"/>
      <c r="M26" s="181"/>
      <c r="N26" s="181"/>
      <c r="O26" s="181"/>
      <c r="P26" s="181"/>
      <c r="Q26" s="181"/>
      <c r="R26" s="181"/>
      <c r="S26" s="181"/>
      <c r="T26" s="171"/>
    </row>
    <row r="27" spans="1:20" x14ac:dyDescent="0.2">
      <c r="A27" s="74" t="s">
        <v>38</v>
      </c>
      <c r="B27" s="75" t="s">
        <v>29</v>
      </c>
      <c r="C27" s="120">
        <v>0.97954908220271353</v>
      </c>
      <c r="D27" s="120">
        <v>0.95324803149606296</v>
      </c>
      <c r="E27" s="129">
        <v>0.96055544375125779</v>
      </c>
      <c r="F27" s="129">
        <v>0.96574912579575001</v>
      </c>
      <c r="G27" s="129">
        <v>0.97216981132075475</v>
      </c>
      <c r="H27" s="129">
        <v>0.95886148882230926</v>
      </c>
      <c r="I27" s="180">
        <v>0.97489928726371244</v>
      </c>
      <c r="J27" s="180">
        <v>0.96614333228920468</v>
      </c>
      <c r="K27" s="174">
        <v>1.0281158203944609</v>
      </c>
      <c r="L27" s="183"/>
      <c r="M27" s="183"/>
      <c r="N27" s="183"/>
      <c r="O27" s="183"/>
      <c r="P27" s="183"/>
      <c r="Q27" s="183"/>
      <c r="R27" s="183"/>
      <c r="S27" s="183"/>
      <c r="T27" s="184"/>
    </row>
    <row r="28" spans="1:20" ht="12" x14ac:dyDescent="0.2">
      <c r="A28" s="127"/>
      <c r="B28" s="82" t="s">
        <v>1</v>
      </c>
      <c r="C28" s="129">
        <v>0.97724665391969412</v>
      </c>
      <c r="D28" s="129">
        <v>0.94205360513401282</v>
      </c>
      <c r="E28" s="129">
        <v>0.94749626307922274</v>
      </c>
      <c r="F28" s="129">
        <v>0.95441201864962877</v>
      </c>
      <c r="G28" s="129">
        <v>0.96030729833546735</v>
      </c>
      <c r="H28" s="129">
        <v>0.93608521970705727</v>
      </c>
      <c r="I28" s="180">
        <v>0.95809716599190287</v>
      </c>
      <c r="J28" s="180">
        <v>0.95319999999999994</v>
      </c>
      <c r="K28" s="129"/>
      <c r="L28" s="183"/>
      <c r="M28" s="183"/>
      <c r="N28" s="183"/>
      <c r="O28" s="183"/>
      <c r="P28" s="183"/>
      <c r="Q28" s="183"/>
      <c r="R28" s="183"/>
      <c r="S28" s="183"/>
      <c r="T28" s="184"/>
    </row>
    <row r="29" spans="1:20" x14ac:dyDescent="0.2">
      <c r="A29" s="58"/>
      <c r="B29" s="85" t="s">
        <v>0</v>
      </c>
      <c r="C29" s="134">
        <v>0.982060909470171</v>
      </c>
      <c r="D29" s="134">
        <v>0.96544631838749484</v>
      </c>
      <c r="E29" s="134">
        <v>0.97579590056694288</v>
      </c>
      <c r="F29" s="134">
        <v>0.97799328608728087</v>
      </c>
      <c r="G29" s="134">
        <v>0.98480420806545876</v>
      </c>
      <c r="H29" s="134">
        <v>0.98346116970278041</v>
      </c>
      <c r="I29" s="182">
        <v>0.99198481333052102</v>
      </c>
      <c r="J29" s="182">
        <v>0.98</v>
      </c>
      <c r="K29" s="134"/>
      <c r="L29" s="183"/>
      <c r="M29" s="183"/>
      <c r="N29" s="183"/>
      <c r="O29" s="183"/>
      <c r="P29" s="183"/>
      <c r="Q29" s="183"/>
      <c r="R29" s="183"/>
      <c r="S29" s="183"/>
      <c r="T29" s="184"/>
    </row>
    <row r="30" spans="1:20" x14ac:dyDescent="0.2">
      <c r="A30" s="74" t="s">
        <v>39</v>
      </c>
      <c r="B30" s="75" t="s">
        <v>29</v>
      </c>
      <c r="C30" s="120">
        <v>0.99230399230399235</v>
      </c>
      <c r="D30" s="120">
        <v>0.9860043907793633</v>
      </c>
      <c r="E30" s="129">
        <v>0.9863133372160745</v>
      </c>
      <c r="F30" s="129">
        <v>0.97959183673469385</v>
      </c>
      <c r="G30" s="129">
        <v>0.98608003977131498</v>
      </c>
      <c r="H30" s="129">
        <v>0.98703352308665404</v>
      </c>
      <c r="I30" s="180">
        <v>0.99429549343981749</v>
      </c>
      <c r="J30" s="180">
        <v>0.98733395118937284</v>
      </c>
      <c r="K30" s="174">
        <v>1.007521854035373</v>
      </c>
      <c r="L30" s="181"/>
      <c r="M30" s="181"/>
      <c r="N30" s="181"/>
      <c r="O30" s="181"/>
      <c r="P30" s="181"/>
      <c r="Q30" s="181"/>
      <c r="R30" s="181"/>
      <c r="S30" s="181"/>
      <c r="T30" s="171"/>
    </row>
    <row r="31" spans="1:20" x14ac:dyDescent="0.2">
      <c r="A31" s="3"/>
      <c r="B31" s="82" t="s">
        <v>1</v>
      </c>
      <c r="C31" s="129">
        <v>0.9916628068550255</v>
      </c>
      <c r="D31" s="129">
        <v>0.9838709677419355</v>
      </c>
      <c r="E31" s="129">
        <v>0.98190789473684215</v>
      </c>
      <c r="F31" s="129">
        <v>0.9742593491986401</v>
      </c>
      <c r="G31" s="129">
        <v>0.98145506419400852</v>
      </c>
      <c r="H31" s="129">
        <v>0.9794648413192284</v>
      </c>
      <c r="I31" s="180">
        <v>0.99374644684479818</v>
      </c>
      <c r="J31" s="180">
        <v>0.98380000000000001</v>
      </c>
      <c r="K31" s="129"/>
      <c r="L31" s="181"/>
      <c r="M31" s="181"/>
      <c r="N31" s="181"/>
      <c r="O31" s="181"/>
      <c r="P31" s="181"/>
      <c r="Q31" s="181"/>
      <c r="R31" s="181"/>
      <c r="S31" s="181"/>
      <c r="T31" s="171"/>
    </row>
    <row r="32" spans="1:20" x14ac:dyDescent="0.2">
      <c r="A32" s="58"/>
      <c r="B32" s="85" t="s">
        <v>0</v>
      </c>
      <c r="C32" s="134">
        <v>0.99299649824912462</v>
      </c>
      <c r="D32" s="134">
        <v>0.98838559814169569</v>
      </c>
      <c r="E32" s="134">
        <v>0.99130434782608701</v>
      </c>
      <c r="F32" s="134">
        <v>0.98534031413612566</v>
      </c>
      <c r="G32" s="134">
        <v>0.99114583333333328</v>
      </c>
      <c r="H32" s="134">
        <v>0.9948553054662379</v>
      </c>
      <c r="I32" s="182">
        <v>0.99484831139095597</v>
      </c>
      <c r="J32" s="182">
        <v>0.99119999999999997</v>
      </c>
      <c r="K32" s="134"/>
      <c r="L32" s="181"/>
      <c r="M32" s="181"/>
      <c r="N32" s="181"/>
      <c r="O32" s="181"/>
      <c r="P32" s="181"/>
      <c r="Q32" s="181"/>
      <c r="R32" s="181"/>
      <c r="S32" s="181"/>
      <c r="T32" s="171"/>
    </row>
    <row r="33" spans="1:20" ht="10.5" customHeight="1" x14ac:dyDescent="0.2">
      <c r="A33" s="185" t="s">
        <v>40</v>
      </c>
      <c r="B33" s="75" t="s">
        <v>29</v>
      </c>
      <c r="C33" s="120">
        <v>0.98584714921148398</v>
      </c>
      <c r="D33" s="120">
        <v>0.96254980079681274</v>
      </c>
      <c r="E33" s="129">
        <v>0.96132151490733275</v>
      </c>
      <c r="F33" s="129">
        <v>0.95975702353834469</v>
      </c>
      <c r="G33" s="129">
        <v>0.98050914876690531</v>
      </c>
      <c r="H33" s="129">
        <v>0.98128078817733988</v>
      </c>
      <c r="I33" s="180">
        <v>0.97437011294526499</v>
      </c>
      <c r="J33" s="180">
        <v>0.97176645028031872</v>
      </c>
      <c r="K33" s="174">
        <v>1.0206839205903753</v>
      </c>
      <c r="L33" s="181"/>
      <c r="M33" s="181"/>
      <c r="N33" s="181"/>
      <c r="O33" s="181"/>
      <c r="P33" s="181"/>
      <c r="Q33" s="181"/>
      <c r="R33" s="181"/>
      <c r="S33" s="181"/>
      <c r="T33" s="171"/>
    </row>
    <row r="34" spans="1:20" x14ac:dyDescent="0.2">
      <c r="A34" s="186"/>
      <c r="B34" s="82" t="s">
        <v>1</v>
      </c>
      <c r="C34" s="129">
        <v>0.98743126472898668</v>
      </c>
      <c r="D34" s="129">
        <v>0.95603576751117736</v>
      </c>
      <c r="E34" s="129">
        <v>0.94607087827426806</v>
      </c>
      <c r="F34" s="129">
        <v>0.94399410464259392</v>
      </c>
      <c r="G34" s="129">
        <v>0.97511664074650073</v>
      </c>
      <c r="H34" s="129">
        <v>0.96808510638297873</v>
      </c>
      <c r="I34" s="180">
        <v>0.96197061365600689</v>
      </c>
      <c r="J34" s="180">
        <v>0.96209999999999996</v>
      </c>
      <c r="K34" s="129"/>
      <c r="L34" s="181"/>
      <c r="M34" s="181"/>
      <c r="N34" s="181"/>
      <c r="O34" s="181"/>
      <c r="P34" s="181"/>
      <c r="Q34" s="181"/>
      <c r="R34" s="181"/>
      <c r="S34" s="181"/>
      <c r="T34" s="171"/>
    </row>
    <row r="35" spans="1:20" x14ac:dyDescent="0.2">
      <c r="A35" s="58"/>
      <c r="B35" s="85" t="s">
        <v>0</v>
      </c>
      <c r="C35" s="134">
        <v>0.98416666666666663</v>
      </c>
      <c r="D35" s="134">
        <v>0.97003424657534243</v>
      </c>
      <c r="E35" s="134">
        <v>0.97804054054054057</v>
      </c>
      <c r="F35" s="134">
        <v>0.97650743931088491</v>
      </c>
      <c r="G35" s="134">
        <v>0.98615635179153094</v>
      </c>
      <c r="H35" s="134">
        <v>0.99497991967871491</v>
      </c>
      <c r="I35" s="182">
        <v>0.98689956331877726</v>
      </c>
      <c r="J35" s="182">
        <v>0.98199999999999998</v>
      </c>
      <c r="K35" s="134"/>
      <c r="L35" s="181"/>
      <c r="M35" s="181"/>
      <c r="N35" s="181"/>
      <c r="O35" s="181"/>
      <c r="P35" s="181"/>
      <c r="Q35" s="181"/>
      <c r="R35" s="181"/>
      <c r="S35" s="181"/>
      <c r="T35" s="171"/>
    </row>
    <row r="36" spans="1:20" x14ac:dyDescent="0.2">
      <c r="A36" s="74" t="s">
        <v>41</v>
      </c>
      <c r="B36" s="75" t="s">
        <v>29</v>
      </c>
      <c r="C36" s="120">
        <v>0.97329732973297334</v>
      </c>
      <c r="D36" s="120">
        <v>0.94877764842840517</v>
      </c>
      <c r="E36" s="129">
        <v>0.94548651817116058</v>
      </c>
      <c r="F36" s="129">
        <v>0.95224274406332454</v>
      </c>
      <c r="G36" s="129">
        <v>0.95914396887159536</v>
      </c>
      <c r="H36" s="129">
        <v>0.9663807890222984</v>
      </c>
      <c r="I36" s="180">
        <v>0.9644765796919208</v>
      </c>
      <c r="J36" s="180">
        <v>0.95804924994717944</v>
      </c>
      <c r="K36" s="174">
        <v>1.033209549071618</v>
      </c>
      <c r="L36" s="183"/>
      <c r="M36" s="183"/>
      <c r="N36" s="183"/>
      <c r="O36" s="183"/>
      <c r="P36" s="183"/>
      <c r="Q36" s="183"/>
      <c r="R36" s="183"/>
      <c r="S36" s="183"/>
      <c r="T36" s="184"/>
    </row>
    <row r="37" spans="1:20" ht="12" x14ac:dyDescent="0.2">
      <c r="A37" s="127"/>
      <c r="B37" s="82" t="s">
        <v>1</v>
      </c>
      <c r="C37" s="129">
        <v>0.96967963386727685</v>
      </c>
      <c r="D37" s="129">
        <v>0.93458980044345896</v>
      </c>
      <c r="E37" s="129">
        <v>0.92731402612152181</v>
      </c>
      <c r="F37" s="129">
        <v>0.93743641912512721</v>
      </c>
      <c r="G37" s="129">
        <v>0.94009458749343144</v>
      </c>
      <c r="H37" s="129">
        <v>0.93974358974358974</v>
      </c>
      <c r="I37" s="180">
        <v>0.95189416716776909</v>
      </c>
      <c r="J37" s="180">
        <v>0.9425</v>
      </c>
      <c r="K37" s="129"/>
      <c r="L37" s="183"/>
      <c r="M37" s="183"/>
      <c r="N37" s="183"/>
      <c r="O37" s="183"/>
      <c r="P37" s="183"/>
      <c r="Q37" s="183"/>
      <c r="R37" s="183"/>
      <c r="S37" s="183"/>
      <c r="T37" s="184"/>
    </row>
    <row r="38" spans="1:20" x14ac:dyDescent="0.2">
      <c r="A38" s="58"/>
      <c r="B38" s="85" t="s">
        <v>0</v>
      </c>
      <c r="C38" s="134">
        <v>0.97728706624605677</v>
      </c>
      <c r="D38" s="134">
        <v>0.96446078431372551</v>
      </c>
      <c r="E38" s="134">
        <v>0.96486977589339795</v>
      </c>
      <c r="F38" s="134">
        <v>0.9682017543859649</v>
      </c>
      <c r="G38" s="134">
        <v>0.98053097345132745</v>
      </c>
      <c r="H38" s="134">
        <v>0.98671586715867154</v>
      </c>
      <c r="I38" s="182">
        <v>0.97826086956521741</v>
      </c>
      <c r="J38" s="182">
        <v>0.9738</v>
      </c>
      <c r="K38" s="134"/>
      <c r="L38" s="183"/>
      <c r="M38" s="183"/>
      <c r="N38" s="183"/>
      <c r="O38" s="183"/>
      <c r="P38" s="183"/>
      <c r="Q38" s="183"/>
      <c r="R38" s="183"/>
      <c r="S38" s="183"/>
      <c r="T38" s="184"/>
    </row>
    <row r="39" spans="1:20" x14ac:dyDescent="0.2">
      <c r="A39" s="74" t="s">
        <v>42</v>
      </c>
      <c r="B39" s="75" t="s">
        <v>29</v>
      </c>
      <c r="C39" s="120">
        <v>0.99182444061962138</v>
      </c>
      <c r="D39" s="120">
        <v>0.98676573020664038</v>
      </c>
      <c r="E39" s="129">
        <v>0.99070222657205775</v>
      </c>
      <c r="F39" s="129">
        <v>0.99361837906828332</v>
      </c>
      <c r="G39" s="129">
        <v>0.9938775510204082</v>
      </c>
      <c r="H39" s="129">
        <v>0.99156232988568316</v>
      </c>
      <c r="I39" s="180">
        <v>0.99469751747409019</v>
      </c>
      <c r="J39" s="180">
        <v>0.99189351481184951</v>
      </c>
      <c r="K39" s="174">
        <v>1.0043443119822186</v>
      </c>
      <c r="L39" s="181"/>
      <c r="M39" s="181"/>
      <c r="N39" s="181"/>
      <c r="O39" s="181"/>
      <c r="P39" s="181"/>
      <c r="Q39" s="181"/>
      <c r="R39" s="181"/>
      <c r="S39" s="181"/>
      <c r="T39" s="171"/>
    </row>
    <row r="40" spans="1:20" x14ac:dyDescent="0.2">
      <c r="A40" s="3"/>
      <c r="B40" s="82" t="s">
        <v>1</v>
      </c>
      <c r="C40" s="129">
        <v>0.99216494845360825</v>
      </c>
      <c r="D40" s="129">
        <v>0.9845384265575261</v>
      </c>
      <c r="E40" s="129">
        <v>0.98886827458256032</v>
      </c>
      <c r="F40" s="129">
        <v>0.99219427580225494</v>
      </c>
      <c r="G40" s="129">
        <v>0.99118554429263994</v>
      </c>
      <c r="H40" s="129">
        <v>0.98657357679914071</v>
      </c>
      <c r="I40" s="180">
        <v>0.99204119850187267</v>
      </c>
      <c r="J40" s="180">
        <v>0.98980000000000001</v>
      </c>
      <c r="K40" s="129"/>
      <c r="L40" s="181"/>
      <c r="M40" s="181"/>
      <c r="N40" s="181"/>
      <c r="O40" s="181"/>
      <c r="P40" s="181"/>
      <c r="Q40" s="181"/>
      <c r="R40" s="181"/>
      <c r="S40" s="181"/>
      <c r="T40" s="171"/>
    </row>
    <row r="41" spans="1:20" x14ac:dyDescent="0.2">
      <c r="A41" s="58"/>
      <c r="B41" s="85" t="s">
        <v>0</v>
      </c>
      <c r="C41" s="134">
        <v>0.99145299145299148</v>
      </c>
      <c r="D41" s="134">
        <v>0.9890891840607211</v>
      </c>
      <c r="E41" s="134">
        <v>0.99274987053340236</v>
      </c>
      <c r="F41" s="134">
        <v>0.99498956158663887</v>
      </c>
      <c r="G41" s="134">
        <v>0.99673049976646422</v>
      </c>
      <c r="H41" s="134">
        <v>0.99668874172185429</v>
      </c>
      <c r="I41" s="182">
        <v>0.99751614505712871</v>
      </c>
      <c r="J41" s="182">
        <v>0.99409999999999998</v>
      </c>
      <c r="K41" s="134"/>
      <c r="L41" s="181"/>
      <c r="M41" s="181"/>
      <c r="N41" s="181"/>
      <c r="O41" s="181"/>
      <c r="P41" s="181"/>
      <c r="Q41" s="181"/>
      <c r="R41" s="181"/>
      <c r="S41" s="181"/>
      <c r="T41" s="171"/>
    </row>
    <row r="42" spans="1:20" x14ac:dyDescent="0.2">
      <c r="A42" s="74" t="s">
        <v>43</v>
      </c>
      <c r="B42" s="75" t="s">
        <v>29</v>
      </c>
      <c r="C42" s="120">
        <v>0.98219131614653998</v>
      </c>
      <c r="D42" s="120">
        <v>0.97751394135635905</v>
      </c>
      <c r="E42" s="129">
        <v>0.98245934587977346</v>
      </c>
      <c r="F42" s="129">
        <v>0.98415580128734115</v>
      </c>
      <c r="G42" s="129">
        <v>0.98758389261744961</v>
      </c>
      <c r="H42" s="129">
        <v>0.98905775075987845</v>
      </c>
      <c r="I42" s="180">
        <v>0.99080340100642028</v>
      </c>
      <c r="J42" s="180">
        <v>0.98479001135073785</v>
      </c>
      <c r="K42" s="174">
        <v>1.007746407094078</v>
      </c>
      <c r="L42" s="181"/>
      <c r="M42" s="181"/>
      <c r="N42" s="181"/>
      <c r="O42" s="181"/>
      <c r="P42" s="181"/>
      <c r="Q42" s="181"/>
      <c r="R42" s="181"/>
      <c r="S42" s="181"/>
      <c r="T42" s="171"/>
    </row>
    <row r="43" spans="1:20" x14ac:dyDescent="0.2">
      <c r="A43" s="3"/>
      <c r="B43" s="82" t="s">
        <v>1</v>
      </c>
      <c r="C43" s="129">
        <v>0.97823936696340252</v>
      </c>
      <c r="D43" s="129">
        <v>0.975103734439834</v>
      </c>
      <c r="E43" s="129">
        <v>0.97770811563915017</v>
      </c>
      <c r="F43" s="129">
        <v>0.97985705003248857</v>
      </c>
      <c r="G43" s="129">
        <v>0.98308392973324654</v>
      </c>
      <c r="H43" s="129">
        <v>0.9856422196352348</v>
      </c>
      <c r="I43" s="180">
        <v>0.98848628513376224</v>
      </c>
      <c r="J43" s="180">
        <v>0.98109999999999997</v>
      </c>
      <c r="K43" s="129"/>
      <c r="L43" s="181"/>
      <c r="M43" s="181"/>
      <c r="N43" s="181"/>
      <c r="O43" s="181"/>
      <c r="P43" s="181"/>
      <c r="Q43" s="181"/>
      <c r="R43" s="181"/>
      <c r="S43" s="181"/>
      <c r="T43" s="171"/>
    </row>
    <row r="44" spans="1:20" x14ac:dyDescent="0.2">
      <c r="A44" s="58"/>
      <c r="B44" s="85" t="s">
        <v>0</v>
      </c>
      <c r="C44" s="134">
        <v>0.98637792525323087</v>
      </c>
      <c r="D44" s="134">
        <v>0.98012748406449191</v>
      </c>
      <c r="E44" s="134">
        <v>0.98770176787086861</v>
      </c>
      <c r="F44" s="134">
        <v>0.9885944313988595</v>
      </c>
      <c r="G44" s="134">
        <v>0.9923769923769924</v>
      </c>
      <c r="H44" s="134">
        <v>0.99236641221374045</v>
      </c>
      <c r="I44" s="182">
        <v>0.99323843416370106</v>
      </c>
      <c r="J44" s="182">
        <v>0.98870000000000002</v>
      </c>
      <c r="K44" s="134"/>
      <c r="L44" s="181"/>
      <c r="M44" s="181"/>
      <c r="N44" s="181"/>
      <c r="O44" s="181"/>
      <c r="P44" s="181"/>
      <c r="Q44" s="181"/>
      <c r="R44" s="181"/>
      <c r="S44" s="181"/>
      <c r="T44" s="171"/>
    </row>
    <row r="45" spans="1:20" s="140" customFormat="1" x14ac:dyDescent="0.2">
      <c r="A45" s="88" t="s">
        <v>3</v>
      </c>
      <c r="B45" s="89" t="s">
        <v>29</v>
      </c>
      <c r="C45" s="91">
        <v>0.98382392174299693</v>
      </c>
      <c r="D45" s="91">
        <v>0.97557380501158142</v>
      </c>
      <c r="E45" s="99">
        <v>0.97856323419263702</v>
      </c>
      <c r="F45" s="99">
        <v>0.98157141396585212</v>
      </c>
      <c r="G45" s="99">
        <v>0.98525084142451846</v>
      </c>
      <c r="H45" s="99">
        <v>0.98618413008925299</v>
      </c>
      <c r="I45" s="99">
        <v>0.98978419704730336</v>
      </c>
      <c r="J45" s="99">
        <v>0.98287847869986222</v>
      </c>
      <c r="K45" s="176">
        <v>1.0107383923092657</v>
      </c>
      <c r="L45" s="181"/>
      <c r="M45" s="181"/>
      <c r="N45" s="181"/>
      <c r="O45" s="181"/>
      <c r="P45" s="181"/>
      <c r="Q45" s="181"/>
      <c r="R45" s="181"/>
      <c r="S45" s="181"/>
      <c r="T45" s="171"/>
    </row>
    <row r="46" spans="1:20" s="140" customFormat="1" x14ac:dyDescent="0.2">
      <c r="A46" s="96"/>
      <c r="B46" s="97" t="s">
        <v>1</v>
      </c>
      <c r="C46" s="99">
        <v>0.98139335843889075</v>
      </c>
      <c r="D46" s="99">
        <v>0.97018812804674159</v>
      </c>
      <c r="E46" s="99">
        <v>0.97235576923076927</v>
      </c>
      <c r="F46" s="99">
        <v>0.97579510273008729</v>
      </c>
      <c r="G46" s="99">
        <v>0.97961213326703134</v>
      </c>
      <c r="H46" s="99">
        <v>0.98069530868392552</v>
      </c>
      <c r="I46" s="99">
        <v>0.98529303218187181</v>
      </c>
      <c r="J46" s="99">
        <v>0.9778</v>
      </c>
      <c r="K46" s="177"/>
      <c r="L46" s="181"/>
      <c r="M46" s="181"/>
      <c r="N46" s="181"/>
      <c r="O46" s="181"/>
      <c r="P46" s="181"/>
      <c r="Q46" s="181"/>
      <c r="R46" s="181"/>
      <c r="S46" s="181"/>
      <c r="T46" s="171"/>
    </row>
    <row r="47" spans="1:20" s="140" customFormat="1" ht="12" thickBot="1" x14ac:dyDescent="0.25">
      <c r="A47" s="103"/>
      <c r="B47" s="104" t="s">
        <v>0</v>
      </c>
      <c r="C47" s="106">
        <v>0.98645197112715155</v>
      </c>
      <c r="D47" s="106">
        <v>0.98141363254713376</v>
      </c>
      <c r="E47" s="106">
        <v>0.98552152667457615</v>
      </c>
      <c r="F47" s="106">
        <v>0.98769549419880287</v>
      </c>
      <c r="G47" s="106">
        <v>0.99121042425560446</v>
      </c>
      <c r="H47" s="106">
        <v>0.99221118417984233</v>
      </c>
      <c r="I47" s="106">
        <v>0.99446324207936021</v>
      </c>
      <c r="J47" s="106">
        <v>0.98829999999999996</v>
      </c>
      <c r="K47" s="178"/>
      <c r="L47" s="181"/>
      <c r="M47" s="181"/>
      <c r="N47" s="181"/>
      <c r="O47" s="181"/>
      <c r="P47" s="181"/>
      <c r="Q47" s="181"/>
      <c r="R47" s="181"/>
      <c r="S47" s="181"/>
      <c r="T47" s="171"/>
    </row>
  </sheetData>
  <sheetProtection algorithmName="SHA-512" hashValue="OnjryycQEo1JYTIQs2EHZ7B6BB0LmhacBX9DR6PG1cOOvJyv2bvfno/fdX3RiC916BqRfHmWeJ8vhV93iRb0DA==" saltValue="8+PQaimXXXlqqzzgnHqvuA==" spinCount="100000" sheet="1" objects="1" scenarios="1"/>
  <mergeCells count="32">
    <mergeCell ref="GJ3:GS3"/>
    <mergeCell ref="GT3:HC3"/>
    <mergeCell ref="HD1:HM1"/>
    <mergeCell ref="A2:K2"/>
    <mergeCell ref="CD2:CM2"/>
    <mergeCell ref="CN2:CW2"/>
    <mergeCell ref="CX2:DG2"/>
    <mergeCell ref="GJ2:GS2"/>
    <mergeCell ref="GT2:HC2"/>
    <mergeCell ref="HD2:HM2"/>
    <mergeCell ref="A1:K1"/>
    <mergeCell ref="CD1:CM1"/>
    <mergeCell ref="CN1:CW1"/>
    <mergeCell ref="CX1:DG1"/>
    <mergeCell ref="GJ1:GS1"/>
    <mergeCell ref="GT1:HC1"/>
    <mergeCell ref="B10:B11"/>
    <mergeCell ref="L10:Q10"/>
    <mergeCell ref="A6:K6"/>
    <mergeCell ref="HD3:HM3"/>
    <mergeCell ref="A4:K4"/>
    <mergeCell ref="A5:K5"/>
    <mergeCell ref="CD5:CM5"/>
    <mergeCell ref="CN5:CW5"/>
    <mergeCell ref="CX5:DG5"/>
    <mergeCell ref="GJ5:GS5"/>
    <mergeCell ref="GT5:HC5"/>
    <mergeCell ref="HD5:HM5"/>
    <mergeCell ref="A3:K3"/>
    <mergeCell ref="CD3:CM3"/>
    <mergeCell ref="CN3:CW3"/>
    <mergeCell ref="CX3:DG3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S47"/>
  <sheetViews>
    <sheetView showGridLines="0" zoomScaleNormal="100" workbookViewId="0">
      <pane xSplit="2" ySplit="8" topLeftCell="C9" activePane="bottomRight" state="frozen"/>
      <selection activeCell="A6" sqref="A6:O6"/>
      <selection pane="topRight" activeCell="A6" sqref="A6:O6"/>
      <selection pane="bottomLeft" activeCell="A6" sqref="A6:O6"/>
      <selection pane="bottomRight" activeCell="B49" sqref="B49:S875"/>
    </sheetView>
  </sheetViews>
  <sheetFormatPr defaultRowHeight="11.25" x14ac:dyDescent="0.2"/>
  <cols>
    <col min="1" max="1" width="45.5703125" style="110" customWidth="1"/>
    <col min="2" max="2" width="9.5703125" style="111" customWidth="1"/>
    <col min="3" max="3" width="6.5703125" style="14" bestFit="1" customWidth="1"/>
    <col min="4" max="4" width="6.5703125" style="14" customWidth="1"/>
    <col min="5" max="5" width="7" style="14" bestFit="1" customWidth="1"/>
    <col min="6" max="6" width="7.42578125" style="14" bestFit="1" customWidth="1"/>
    <col min="7" max="7" width="7.5703125" style="14" bestFit="1" customWidth="1"/>
    <col min="8" max="8" width="7.42578125" style="14" bestFit="1" customWidth="1"/>
    <col min="9" max="9" width="7.5703125" style="14" bestFit="1" customWidth="1"/>
    <col min="10" max="10" width="11.7109375" style="27" customWidth="1"/>
    <col min="11" max="11" width="9.5703125" style="171" customWidth="1"/>
    <col min="12" max="222" width="8.85546875" style="111"/>
    <col min="223" max="223" width="23.7109375" style="111" customWidth="1"/>
    <col min="224" max="224" width="10.5703125" style="111" customWidth="1"/>
    <col min="225" max="230" width="8.5703125" style="111" customWidth="1"/>
    <col min="231" max="231" width="10.7109375" style="111" customWidth="1"/>
    <col min="232" max="232" width="8.7109375" style="111" customWidth="1"/>
    <col min="233" max="233" width="17.7109375" style="111" customWidth="1"/>
    <col min="234" max="242" width="8.85546875" style="111"/>
    <col min="243" max="243" width="21.5703125" style="111" customWidth="1"/>
    <col min="244" max="250" width="8.85546875" style="111"/>
    <col min="251" max="251" width="10" style="111" customWidth="1"/>
    <col min="252" max="478" width="8.85546875" style="111"/>
    <col min="479" max="479" width="23.7109375" style="111" customWidth="1"/>
    <col min="480" max="480" width="10.5703125" style="111" customWidth="1"/>
    <col min="481" max="486" width="8.5703125" style="111" customWidth="1"/>
    <col min="487" max="487" width="10.7109375" style="111" customWidth="1"/>
    <col min="488" max="488" width="8.7109375" style="111" customWidth="1"/>
    <col min="489" max="489" width="17.7109375" style="111" customWidth="1"/>
    <col min="490" max="498" width="8.85546875" style="111"/>
    <col min="499" max="499" width="21.5703125" style="111" customWidth="1"/>
    <col min="500" max="506" width="8.85546875" style="111"/>
    <col min="507" max="507" width="10" style="111" customWidth="1"/>
    <col min="508" max="734" width="8.85546875" style="111"/>
    <col min="735" max="735" width="23.7109375" style="111" customWidth="1"/>
    <col min="736" max="736" width="10.5703125" style="111" customWidth="1"/>
    <col min="737" max="742" width="8.5703125" style="111" customWidth="1"/>
    <col min="743" max="743" width="10.7109375" style="111" customWidth="1"/>
    <col min="744" max="744" width="8.7109375" style="111" customWidth="1"/>
    <col min="745" max="745" width="17.7109375" style="111" customWidth="1"/>
    <col min="746" max="754" width="8.85546875" style="111"/>
    <col min="755" max="755" width="21.5703125" style="111" customWidth="1"/>
    <col min="756" max="762" width="8.85546875" style="111"/>
    <col min="763" max="763" width="10" style="111" customWidth="1"/>
    <col min="764" max="990" width="8.85546875" style="111"/>
    <col min="991" max="991" width="23.7109375" style="111" customWidth="1"/>
    <col min="992" max="992" width="10.5703125" style="111" customWidth="1"/>
    <col min="993" max="998" width="8.5703125" style="111" customWidth="1"/>
    <col min="999" max="999" width="10.7109375" style="111" customWidth="1"/>
    <col min="1000" max="1000" width="8.7109375" style="111" customWidth="1"/>
    <col min="1001" max="1001" width="17.7109375" style="111" customWidth="1"/>
    <col min="1002" max="1010" width="8.85546875" style="111"/>
    <col min="1011" max="1011" width="21.5703125" style="111" customWidth="1"/>
    <col min="1012" max="1018" width="8.85546875" style="111"/>
    <col min="1019" max="1019" width="10" style="111" customWidth="1"/>
    <col min="1020" max="1246" width="8.85546875" style="111"/>
    <col min="1247" max="1247" width="23.7109375" style="111" customWidth="1"/>
    <col min="1248" max="1248" width="10.5703125" style="111" customWidth="1"/>
    <col min="1249" max="1254" width="8.5703125" style="111" customWidth="1"/>
    <col min="1255" max="1255" width="10.7109375" style="111" customWidth="1"/>
    <col min="1256" max="1256" width="8.7109375" style="111" customWidth="1"/>
    <col min="1257" max="1257" width="17.7109375" style="111" customWidth="1"/>
    <col min="1258" max="1266" width="8.85546875" style="111"/>
    <col min="1267" max="1267" width="21.5703125" style="111" customWidth="1"/>
    <col min="1268" max="1274" width="8.85546875" style="111"/>
    <col min="1275" max="1275" width="10" style="111" customWidth="1"/>
    <col min="1276" max="1502" width="8.85546875" style="111"/>
    <col min="1503" max="1503" width="23.7109375" style="111" customWidth="1"/>
    <col min="1504" max="1504" width="10.5703125" style="111" customWidth="1"/>
    <col min="1505" max="1510" width="8.5703125" style="111" customWidth="1"/>
    <col min="1511" max="1511" width="10.7109375" style="111" customWidth="1"/>
    <col min="1512" max="1512" width="8.7109375" style="111" customWidth="1"/>
    <col min="1513" max="1513" width="17.7109375" style="111" customWidth="1"/>
    <col min="1514" max="1522" width="8.85546875" style="111"/>
    <col min="1523" max="1523" width="21.5703125" style="111" customWidth="1"/>
    <col min="1524" max="1530" width="8.85546875" style="111"/>
    <col min="1531" max="1531" width="10" style="111" customWidth="1"/>
    <col min="1532" max="1758" width="8.85546875" style="111"/>
    <col min="1759" max="1759" width="23.7109375" style="111" customWidth="1"/>
    <col min="1760" max="1760" width="10.5703125" style="111" customWidth="1"/>
    <col min="1761" max="1766" width="8.5703125" style="111" customWidth="1"/>
    <col min="1767" max="1767" width="10.7109375" style="111" customWidth="1"/>
    <col min="1768" max="1768" width="8.7109375" style="111" customWidth="1"/>
    <col min="1769" max="1769" width="17.7109375" style="111" customWidth="1"/>
    <col min="1770" max="1778" width="8.85546875" style="111"/>
    <col min="1779" max="1779" width="21.5703125" style="111" customWidth="1"/>
    <col min="1780" max="1786" width="8.85546875" style="111"/>
    <col min="1787" max="1787" width="10" style="111" customWidth="1"/>
    <col min="1788" max="2014" width="8.85546875" style="111"/>
    <col min="2015" max="2015" width="23.7109375" style="111" customWidth="1"/>
    <col min="2016" max="2016" width="10.5703125" style="111" customWidth="1"/>
    <col min="2017" max="2022" width="8.5703125" style="111" customWidth="1"/>
    <col min="2023" max="2023" width="10.7109375" style="111" customWidth="1"/>
    <col min="2024" max="2024" width="8.7109375" style="111" customWidth="1"/>
    <col min="2025" max="2025" width="17.7109375" style="111" customWidth="1"/>
    <col min="2026" max="2034" width="8.85546875" style="111"/>
    <col min="2035" max="2035" width="21.5703125" style="111" customWidth="1"/>
    <col min="2036" max="2042" width="8.85546875" style="111"/>
    <col min="2043" max="2043" width="10" style="111" customWidth="1"/>
    <col min="2044" max="2270" width="8.85546875" style="111"/>
    <col min="2271" max="2271" width="23.7109375" style="111" customWidth="1"/>
    <col min="2272" max="2272" width="10.5703125" style="111" customWidth="1"/>
    <col min="2273" max="2278" width="8.5703125" style="111" customWidth="1"/>
    <col min="2279" max="2279" width="10.7109375" style="111" customWidth="1"/>
    <col min="2280" max="2280" width="8.7109375" style="111" customWidth="1"/>
    <col min="2281" max="2281" width="17.7109375" style="111" customWidth="1"/>
    <col min="2282" max="2290" width="8.85546875" style="111"/>
    <col min="2291" max="2291" width="21.5703125" style="111" customWidth="1"/>
    <col min="2292" max="2298" width="8.85546875" style="111"/>
    <col min="2299" max="2299" width="10" style="111" customWidth="1"/>
    <col min="2300" max="2526" width="8.85546875" style="111"/>
    <col min="2527" max="2527" width="23.7109375" style="111" customWidth="1"/>
    <col min="2528" max="2528" width="10.5703125" style="111" customWidth="1"/>
    <col min="2529" max="2534" width="8.5703125" style="111" customWidth="1"/>
    <col min="2535" max="2535" width="10.7109375" style="111" customWidth="1"/>
    <col min="2536" max="2536" width="8.7109375" style="111" customWidth="1"/>
    <col min="2537" max="2537" width="17.7109375" style="111" customWidth="1"/>
    <col min="2538" max="2546" width="8.85546875" style="111"/>
    <col min="2547" max="2547" width="21.5703125" style="111" customWidth="1"/>
    <col min="2548" max="2554" width="8.85546875" style="111"/>
    <col min="2555" max="2555" width="10" style="111" customWidth="1"/>
    <col min="2556" max="2782" width="8.85546875" style="111"/>
    <col min="2783" max="2783" width="23.7109375" style="111" customWidth="1"/>
    <col min="2784" max="2784" width="10.5703125" style="111" customWidth="1"/>
    <col min="2785" max="2790" width="8.5703125" style="111" customWidth="1"/>
    <col min="2791" max="2791" width="10.7109375" style="111" customWidth="1"/>
    <col min="2792" max="2792" width="8.7109375" style="111" customWidth="1"/>
    <col min="2793" max="2793" width="17.7109375" style="111" customWidth="1"/>
    <col min="2794" max="2802" width="8.85546875" style="111"/>
    <col min="2803" max="2803" width="21.5703125" style="111" customWidth="1"/>
    <col min="2804" max="2810" width="8.85546875" style="111"/>
    <col min="2811" max="2811" width="10" style="111" customWidth="1"/>
    <col min="2812" max="3038" width="8.85546875" style="111"/>
    <col min="3039" max="3039" width="23.7109375" style="111" customWidth="1"/>
    <col min="3040" max="3040" width="10.5703125" style="111" customWidth="1"/>
    <col min="3041" max="3046" width="8.5703125" style="111" customWidth="1"/>
    <col min="3047" max="3047" width="10.7109375" style="111" customWidth="1"/>
    <col min="3048" max="3048" width="8.7109375" style="111" customWidth="1"/>
    <col min="3049" max="3049" width="17.7109375" style="111" customWidth="1"/>
    <col min="3050" max="3058" width="8.85546875" style="111"/>
    <col min="3059" max="3059" width="21.5703125" style="111" customWidth="1"/>
    <col min="3060" max="3066" width="8.85546875" style="111"/>
    <col min="3067" max="3067" width="10" style="111" customWidth="1"/>
    <col min="3068" max="3294" width="8.85546875" style="111"/>
    <col min="3295" max="3295" width="23.7109375" style="111" customWidth="1"/>
    <col min="3296" max="3296" width="10.5703125" style="111" customWidth="1"/>
    <col min="3297" max="3302" width="8.5703125" style="111" customWidth="1"/>
    <col min="3303" max="3303" width="10.7109375" style="111" customWidth="1"/>
    <col min="3304" max="3304" width="8.7109375" style="111" customWidth="1"/>
    <col min="3305" max="3305" width="17.7109375" style="111" customWidth="1"/>
    <col min="3306" max="3314" width="8.85546875" style="111"/>
    <col min="3315" max="3315" width="21.5703125" style="111" customWidth="1"/>
    <col min="3316" max="3322" width="8.85546875" style="111"/>
    <col min="3323" max="3323" width="10" style="111" customWidth="1"/>
    <col min="3324" max="3550" width="8.85546875" style="111"/>
    <col min="3551" max="3551" width="23.7109375" style="111" customWidth="1"/>
    <col min="3552" max="3552" width="10.5703125" style="111" customWidth="1"/>
    <col min="3553" max="3558" width="8.5703125" style="111" customWidth="1"/>
    <col min="3559" max="3559" width="10.7109375" style="111" customWidth="1"/>
    <col min="3560" max="3560" width="8.7109375" style="111" customWidth="1"/>
    <col min="3561" max="3561" width="17.7109375" style="111" customWidth="1"/>
    <col min="3562" max="3570" width="8.85546875" style="111"/>
    <col min="3571" max="3571" width="21.5703125" style="111" customWidth="1"/>
    <col min="3572" max="3578" width="8.85546875" style="111"/>
    <col min="3579" max="3579" width="10" style="111" customWidth="1"/>
    <col min="3580" max="3806" width="8.85546875" style="111"/>
    <col min="3807" max="3807" width="23.7109375" style="111" customWidth="1"/>
    <col min="3808" max="3808" width="10.5703125" style="111" customWidth="1"/>
    <col min="3809" max="3814" width="8.5703125" style="111" customWidth="1"/>
    <col min="3815" max="3815" width="10.7109375" style="111" customWidth="1"/>
    <col min="3816" max="3816" width="8.7109375" style="111" customWidth="1"/>
    <col min="3817" max="3817" width="17.7109375" style="111" customWidth="1"/>
    <col min="3818" max="3826" width="8.85546875" style="111"/>
    <col min="3827" max="3827" width="21.5703125" style="111" customWidth="1"/>
    <col min="3828" max="3834" width="8.85546875" style="111"/>
    <col min="3835" max="3835" width="10" style="111" customWidth="1"/>
    <col min="3836" max="4062" width="8.85546875" style="111"/>
    <col min="4063" max="4063" width="23.7109375" style="111" customWidth="1"/>
    <col min="4064" max="4064" width="10.5703125" style="111" customWidth="1"/>
    <col min="4065" max="4070" width="8.5703125" style="111" customWidth="1"/>
    <col min="4071" max="4071" width="10.7109375" style="111" customWidth="1"/>
    <col min="4072" max="4072" width="8.7109375" style="111" customWidth="1"/>
    <col min="4073" max="4073" width="17.7109375" style="111" customWidth="1"/>
    <col min="4074" max="4082" width="8.85546875" style="111"/>
    <col min="4083" max="4083" width="21.5703125" style="111" customWidth="1"/>
    <col min="4084" max="4090" width="8.85546875" style="111"/>
    <col min="4091" max="4091" width="10" style="111" customWidth="1"/>
    <col min="4092" max="4318" width="8.85546875" style="111"/>
    <col min="4319" max="4319" width="23.7109375" style="111" customWidth="1"/>
    <col min="4320" max="4320" width="10.5703125" style="111" customWidth="1"/>
    <col min="4321" max="4326" width="8.5703125" style="111" customWidth="1"/>
    <col min="4327" max="4327" width="10.7109375" style="111" customWidth="1"/>
    <col min="4328" max="4328" width="8.7109375" style="111" customWidth="1"/>
    <col min="4329" max="4329" width="17.7109375" style="111" customWidth="1"/>
    <col min="4330" max="4338" width="8.85546875" style="111"/>
    <col min="4339" max="4339" width="21.5703125" style="111" customWidth="1"/>
    <col min="4340" max="4346" width="8.85546875" style="111"/>
    <col min="4347" max="4347" width="10" style="111" customWidth="1"/>
    <col min="4348" max="4574" width="8.85546875" style="111"/>
    <col min="4575" max="4575" width="23.7109375" style="111" customWidth="1"/>
    <col min="4576" max="4576" width="10.5703125" style="111" customWidth="1"/>
    <col min="4577" max="4582" width="8.5703125" style="111" customWidth="1"/>
    <col min="4583" max="4583" width="10.7109375" style="111" customWidth="1"/>
    <col min="4584" max="4584" width="8.7109375" style="111" customWidth="1"/>
    <col min="4585" max="4585" width="17.7109375" style="111" customWidth="1"/>
    <col min="4586" max="4594" width="8.85546875" style="111"/>
    <col min="4595" max="4595" width="21.5703125" style="111" customWidth="1"/>
    <col min="4596" max="4602" width="8.85546875" style="111"/>
    <col min="4603" max="4603" width="10" style="111" customWidth="1"/>
    <col min="4604" max="4830" width="8.85546875" style="111"/>
    <col min="4831" max="4831" width="23.7109375" style="111" customWidth="1"/>
    <col min="4832" max="4832" width="10.5703125" style="111" customWidth="1"/>
    <col min="4833" max="4838" width="8.5703125" style="111" customWidth="1"/>
    <col min="4839" max="4839" width="10.7109375" style="111" customWidth="1"/>
    <col min="4840" max="4840" width="8.7109375" style="111" customWidth="1"/>
    <col min="4841" max="4841" width="17.7109375" style="111" customWidth="1"/>
    <col min="4842" max="4850" width="8.85546875" style="111"/>
    <col min="4851" max="4851" width="21.5703125" style="111" customWidth="1"/>
    <col min="4852" max="4858" width="8.85546875" style="111"/>
    <col min="4859" max="4859" width="10" style="111" customWidth="1"/>
    <col min="4860" max="5086" width="8.85546875" style="111"/>
    <col min="5087" max="5087" width="23.7109375" style="111" customWidth="1"/>
    <col min="5088" max="5088" width="10.5703125" style="111" customWidth="1"/>
    <col min="5089" max="5094" width="8.5703125" style="111" customWidth="1"/>
    <col min="5095" max="5095" width="10.7109375" style="111" customWidth="1"/>
    <col min="5096" max="5096" width="8.7109375" style="111" customWidth="1"/>
    <col min="5097" max="5097" width="17.7109375" style="111" customWidth="1"/>
    <col min="5098" max="5106" width="8.85546875" style="111"/>
    <col min="5107" max="5107" width="21.5703125" style="111" customWidth="1"/>
    <col min="5108" max="5114" width="8.85546875" style="111"/>
    <col min="5115" max="5115" width="10" style="111" customWidth="1"/>
    <col min="5116" max="5342" width="8.85546875" style="111"/>
    <col min="5343" max="5343" width="23.7109375" style="111" customWidth="1"/>
    <col min="5344" max="5344" width="10.5703125" style="111" customWidth="1"/>
    <col min="5345" max="5350" width="8.5703125" style="111" customWidth="1"/>
    <col min="5351" max="5351" width="10.7109375" style="111" customWidth="1"/>
    <col min="5352" max="5352" width="8.7109375" style="111" customWidth="1"/>
    <col min="5353" max="5353" width="17.7109375" style="111" customWidth="1"/>
    <col min="5354" max="5362" width="8.85546875" style="111"/>
    <col min="5363" max="5363" width="21.5703125" style="111" customWidth="1"/>
    <col min="5364" max="5370" width="8.85546875" style="111"/>
    <col min="5371" max="5371" width="10" style="111" customWidth="1"/>
    <col min="5372" max="5598" width="8.85546875" style="111"/>
    <col min="5599" max="5599" width="23.7109375" style="111" customWidth="1"/>
    <col min="5600" max="5600" width="10.5703125" style="111" customWidth="1"/>
    <col min="5601" max="5606" width="8.5703125" style="111" customWidth="1"/>
    <col min="5607" max="5607" width="10.7109375" style="111" customWidth="1"/>
    <col min="5608" max="5608" width="8.7109375" style="111" customWidth="1"/>
    <col min="5609" max="5609" width="17.7109375" style="111" customWidth="1"/>
    <col min="5610" max="5618" width="8.85546875" style="111"/>
    <col min="5619" max="5619" width="21.5703125" style="111" customWidth="1"/>
    <col min="5620" max="5626" width="8.85546875" style="111"/>
    <col min="5627" max="5627" width="10" style="111" customWidth="1"/>
    <col min="5628" max="5854" width="8.85546875" style="111"/>
    <col min="5855" max="5855" width="23.7109375" style="111" customWidth="1"/>
    <col min="5856" max="5856" width="10.5703125" style="111" customWidth="1"/>
    <col min="5857" max="5862" width="8.5703125" style="111" customWidth="1"/>
    <col min="5863" max="5863" width="10.7109375" style="111" customWidth="1"/>
    <col min="5864" max="5864" width="8.7109375" style="111" customWidth="1"/>
    <col min="5865" max="5865" width="17.7109375" style="111" customWidth="1"/>
    <col min="5866" max="5874" width="8.85546875" style="111"/>
    <col min="5875" max="5875" width="21.5703125" style="111" customWidth="1"/>
    <col min="5876" max="5882" width="8.85546875" style="111"/>
    <col min="5883" max="5883" width="10" style="111" customWidth="1"/>
    <col min="5884" max="6110" width="8.85546875" style="111"/>
    <col min="6111" max="6111" width="23.7109375" style="111" customWidth="1"/>
    <col min="6112" max="6112" width="10.5703125" style="111" customWidth="1"/>
    <col min="6113" max="6118" width="8.5703125" style="111" customWidth="1"/>
    <col min="6119" max="6119" width="10.7109375" style="111" customWidth="1"/>
    <col min="6120" max="6120" width="8.7109375" style="111" customWidth="1"/>
    <col min="6121" max="6121" width="17.7109375" style="111" customWidth="1"/>
    <col min="6122" max="6130" width="8.85546875" style="111"/>
    <col min="6131" max="6131" width="21.5703125" style="111" customWidth="1"/>
    <col min="6132" max="6138" width="8.85546875" style="111"/>
    <col min="6139" max="6139" width="10" style="111" customWidth="1"/>
    <col min="6140" max="6366" width="8.85546875" style="111"/>
    <col min="6367" max="6367" width="23.7109375" style="111" customWidth="1"/>
    <col min="6368" max="6368" width="10.5703125" style="111" customWidth="1"/>
    <col min="6369" max="6374" width="8.5703125" style="111" customWidth="1"/>
    <col min="6375" max="6375" width="10.7109375" style="111" customWidth="1"/>
    <col min="6376" max="6376" width="8.7109375" style="111" customWidth="1"/>
    <col min="6377" max="6377" width="17.7109375" style="111" customWidth="1"/>
    <col min="6378" max="6386" width="8.85546875" style="111"/>
    <col min="6387" max="6387" width="21.5703125" style="111" customWidth="1"/>
    <col min="6388" max="6394" width="8.85546875" style="111"/>
    <col min="6395" max="6395" width="10" style="111" customWidth="1"/>
    <col min="6396" max="6622" width="8.85546875" style="111"/>
    <col min="6623" max="6623" width="23.7109375" style="111" customWidth="1"/>
    <col min="6624" max="6624" width="10.5703125" style="111" customWidth="1"/>
    <col min="6625" max="6630" width="8.5703125" style="111" customWidth="1"/>
    <col min="6631" max="6631" width="10.7109375" style="111" customWidth="1"/>
    <col min="6632" max="6632" width="8.7109375" style="111" customWidth="1"/>
    <col min="6633" max="6633" width="17.7109375" style="111" customWidth="1"/>
    <col min="6634" max="6642" width="8.85546875" style="111"/>
    <col min="6643" max="6643" width="21.5703125" style="111" customWidth="1"/>
    <col min="6644" max="6650" width="8.85546875" style="111"/>
    <col min="6651" max="6651" width="10" style="111" customWidth="1"/>
    <col min="6652" max="6878" width="8.85546875" style="111"/>
    <col min="6879" max="6879" width="23.7109375" style="111" customWidth="1"/>
    <col min="6880" max="6880" width="10.5703125" style="111" customWidth="1"/>
    <col min="6881" max="6886" width="8.5703125" style="111" customWidth="1"/>
    <col min="6887" max="6887" width="10.7109375" style="111" customWidth="1"/>
    <col min="6888" max="6888" width="8.7109375" style="111" customWidth="1"/>
    <col min="6889" max="6889" width="17.7109375" style="111" customWidth="1"/>
    <col min="6890" max="6898" width="8.85546875" style="111"/>
    <col min="6899" max="6899" width="21.5703125" style="111" customWidth="1"/>
    <col min="6900" max="6906" width="8.85546875" style="111"/>
    <col min="6907" max="6907" width="10" style="111" customWidth="1"/>
    <col min="6908" max="7134" width="8.85546875" style="111"/>
    <col min="7135" max="7135" width="23.7109375" style="111" customWidth="1"/>
    <col min="7136" max="7136" width="10.5703125" style="111" customWidth="1"/>
    <col min="7137" max="7142" width="8.5703125" style="111" customWidth="1"/>
    <col min="7143" max="7143" width="10.7109375" style="111" customWidth="1"/>
    <col min="7144" max="7144" width="8.7109375" style="111" customWidth="1"/>
    <col min="7145" max="7145" width="17.7109375" style="111" customWidth="1"/>
    <col min="7146" max="7154" width="8.85546875" style="111"/>
    <col min="7155" max="7155" width="21.5703125" style="111" customWidth="1"/>
    <col min="7156" max="7162" width="8.85546875" style="111"/>
    <col min="7163" max="7163" width="10" style="111" customWidth="1"/>
    <col min="7164" max="7390" width="8.85546875" style="111"/>
    <col min="7391" max="7391" width="23.7109375" style="111" customWidth="1"/>
    <col min="7392" max="7392" width="10.5703125" style="111" customWidth="1"/>
    <col min="7393" max="7398" width="8.5703125" style="111" customWidth="1"/>
    <col min="7399" max="7399" width="10.7109375" style="111" customWidth="1"/>
    <col min="7400" max="7400" width="8.7109375" style="111" customWidth="1"/>
    <col min="7401" max="7401" width="17.7109375" style="111" customWidth="1"/>
    <col min="7402" max="7410" width="8.85546875" style="111"/>
    <col min="7411" max="7411" width="21.5703125" style="111" customWidth="1"/>
    <col min="7412" max="7418" width="8.85546875" style="111"/>
    <col min="7419" max="7419" width="10" style="111" customWidth="1"/>
    <col min="7420" max="7646" width="8.85546875" style="111"/>
    <col min="7647" max="7647" width="23.7109375" style="111" customWidth="1"/>
    <col min="7648" max="7648" width="10.5703125" style="111" customWidth="1"/>
    <col min="7649" max="7654" width="8.5703125" style="111" customWidth="1"/>
    <col min="7655" max="7655" width="10.7109375" style="111" customWidth="1"/>
    <col min="7656" max="7656" width="8.7109375" style="111" customWidth="1"/>
    <col min="7657" max="7657" width="17.7109375" style="111" customWidth="1"/>
    <col min="7658" max="7666" width="8.85546875" style="111"/>
    <col min="7667" max="7667" width="21.5703125" style="111" customWidth="1"/>
    <col min="7668" max="7674" width="8.85546875" style="111"/>
    <col min="7675" max="7675" width="10" style="111" customWidth="1"/>
    <col min="7676" max="7902" width="8.85546875" style="111"/>
    <col min="7903" max="7903" width="23.7109375" style="111" customWidth="1"/>
    <col min="7904" max="7904" width="10.5703125" style="111" customWidth="1"/>
    <col min="7905" max="7910" width="8.5703125" style="111" customWidth="1"/>
    <col min="7911" max="7911" width="10.7109375" style="111" customWidth="1"/>
    <col min="7912" max="7912" width="8.7109375" style="111" customWidth="1"/>
    <col min="7913" max="7913" width="17.7109375" style="111" customWidth="1"/>
    <col min="7914" max="7922" width="8.85546875" style="111"/>
    <col min="7923" max="7923" width="21.5703125" style="111" customWidth="1"/>
    <col min="7924" max="7930" width="8.85546875" style="111"/>
    <col min="7931" max="7931" width="10" style="111" customWidth="1"/>
    <col min="7932" max="8158" width="8.85546875" style="111"/>
    <col min="8159" max="8159" width="23.7109375" style="111" customWidth="1"/>
    <col min="8160" max="8160" width="10.5703125" style="111" customWidth="1"/>
    <col min="8161" max="8166" width="8.5703125" style="111" customWidth="1"/>
    <col min="8167" max="8167" width="10.7109375" style="111" customWidth="1"/>
    <col min="8168" max="8168" width="8.7109375" style="111" customWidth="1"/>
    <col min="8169" max="8169" width="17.7109375" style="111" customWidth="1"/>
    <col min="8170" max="8178" width="8.85546875" style="111"/>
    <col min="8179" max="8179" width="21.5703125" style="111" customWidth="1"/>
    <col min="8180" max="8186" width="8.85546875" style="111"/>
    <col min="8187" max="8187" width="10" style="111" customWidth="1"/>
    <col min="8188" max="8414" width="8.85546875" style="111"/>
    <col min="8415" max="8415" width="23.7109375" style="111" customWidth="1"/>
    <col min="8416" max="8416" width="10.5703125" style="111" customWidth="1"/>
    <col min="8417" max="8422" width="8.5703125" style="111" customWidth="1"/>
    <col min="8423" max="8423" width="10.7109375" style="111" customWidth="1"/>
    <col min="8424" max="8424" width="8.7109375" style="111" customWidth="1"/>
    <col min="8425" max="8425" width="17.7109375" style="111" customWidth="1"/>
    <col min="8426" max="8434" width="8.85546875" style="111"/>
    <col min="8435" max="8435" width="21.5703125" style="111" customWidth="1"/>
    <col min="8436" max="8442" width="8.85546875" style="111"/>
    <col min="8443" max="8443" width="10" style="111" customWidth="1"/>
    <col min="8444" max="8670" width="8.85546875" style="111"/>
    <col min="8671" max="8671" width="23.7109375" style="111" customWidth="1"/>
    <col min="8672" max="8672" width="10.5703125" style="111" customWidth="1"/>
    <col min="8673" max="8678" width="8.5703125" style="111" customWidth="1"/>
    <col min="8679" max="8679" width="10.7109375" style="111" customWidth="1"/>
    <col min="8680" max="8680" width="8.7109375" style="111" customWidth="1"/>
    <col min="8681" max="8681" width="17.7109375" style="111" customWidth="1"/>
    <col min="8682" max="8690" width="8.85546875" style="111"/>
    <col min="8691" max="8691" width="21.5703125" style="111" customWidth="1"/>
    <col min="8692" max="8698" width="8.85546875" style="111"/>
    <col min="8699" max="8699" width="10" style="111" customWidth="1"/>
    <col min="8700" max="8926" width="8.85546875" style="111"/>
    <col min="8927" max="8927" width="23.7109375" style="111" customWidth="1"/>
    <col min="8928" max="8928" width="10.5703125" style="111" customWidth="1"/>
    <col min="8929" max="8934" width="8.5703125" style="111" customWidth="1"/>
    <col min="8935" max="8935" width="10.7109375" style="111" customWidth="1"/>
    <col min="8936" max="8936" width="8.7109375" style="111" customWidth="1"/>
    <col min="8937" max="8937" width="17.7109375" style="111" customWidth="1"/>
    <col min="8938" max="8946" width="8.85546875" style="111"/>
    <col min="8947" max="8947" width="21.5703125" style="111" customWidth="1"/>
    <col min="8948" max="8954" width="8.85546875" style="111"/>
    <col min="8955" max="8955" width="10" style="111" customWidth="1"/>
    <col min="8956" max="9182" width="8.85546875" style="111"/>
    <col min="9183" max="9183" width="23.7109375" style="111" customWidth="1"/>
    <col min="9184" max="9184" width="10.5703125" style="111" customWidth="1"/>
    <col min="9185" max="9190" width="8.5703125" style="111" customWidth="1"/>
    <col min="9191" max="9191" width="10.7109375" style="111" customWidth="1"/>
    <col min="9192" max="9192" width="8.7109375" style="111" customWidth="1"/>
    <col min="9193" max="9193" width="17.7109375" style="111" customWidth="1"/>
    <col min="9194" max="9202" width="8.85546875" style="111"/>
    <col min="9203" max="9203" width="21.5703125" style="111" customWidth="1"/>
    <col min="9204" max="9210" width="8.85546875" style="111"/>
    <col min="9211" max="9211" width="10" style="111" customWidth="1"/>
    <col min="9212" max="9438" width="8.85546875" style="111"/>
    <col min="9439" max="9439" width="23.7109375" style="111" customWidth="1"/>
    <col min="9440" max="9440" width="10.5703125" style="111" customWidth="1"/>
    <col min="9441" max="9446" width="8.5703125" style="111" customWidth="1"/>
    <col min="9447" max="9447" width="10.7109375" style="111" customWidth="1"/>
    <col min="9448" max="9448" width="8.7109375" style="111" customWidth="1"/>
    <col min="9449" max="9449" width="17.7109375" style="111" customWidth="1"/>
    <col min="9450" max="9458" width="8.85546875" style="111"/>
    <col min="9459" max="9459" width="21.5703125" style="111" customWidth="1"/>
    <col min="9460" max="9466" width="8.85546875" style="111"/>
    <col min="9467" max="9467" width="10" style="111" customWidth="1"/>
    <col min="9468" max="9694" width="8.85546875" style="111"/>
    <col min="9695" max="9695" width="23.7109375" style="111" customWidth="1"/>
    <col min="9696" max="9696" width="10.5703125" style="111" customWidth="1"/>
    <col min="9697" max="9702" width="8.5703125" style="111" customWidth="1"/>
    <col min="9703" max="9703" width="10.7109375" style="111" customWidth="1"/>
    <col min="9704" max="9704" width="8.7109375" style="111" customWidth="1"/>
    <col min="9705" max="9705" width="17.7109375" style="111" customWidth="1"/>
    <col min="9706" max="9714" width="8.85546875" style="111"/>
    <col min="9715" max="9715" width="21.5703125" style="111" customWidth="1"/>
    <col min="9716" max="9722" width="8.85546875" style="111"/>
    <col min="9723" max="9723" width="10" style="111" customWidth="1"/>
    <col min="9724" max="9950" width="8.85546875" style="111"/>
    <col min="9951" max="9951" width="23.7109375" style="111" customWidth="1"/>
    <col min="9952" max="9952" width="10.5703125" style="111" customWidth="1"/>
    <col min="9953" max="9958" width="8.5703125" style="111" customWidth="1"/>
    <col min="9959" max="9959" width="10.7109375" style="111" customWidth="1"/>
    <col min="9960" max="9960" width="8.7109375" style="111" customWidth="1"/>
    <col min="9961" max="9961" width="17.7109375" style="111" customWidth="1"/>
    <col min="9962" max="9970" width="8.85546875" style="111"/>
    <col min="9971" max="9971" width="21.5703125" style="111" customWidth="1"/>
    <col min="9972" max="9978" width="8.85546875" style="111"/>
    <col min="9979" max="9979" width="10" style="111" customWidth="1"/>
    <col min="9980" max="10206" width="8.85546875" style="111"/>
    <col min="10207" max="10207" width="23.7109375" style="111" customWidth="1"/>
    <col min="10208" max="10208" width="10.5703125" style="111" customWidth="1"/>
    <col min="10209" max="10214" width="8.5703125" style="111" customWidth="1"/>
    <col min="10215" max="10215" width="10.7109375" style="111" customWidth="1"/>
    <col min="10216" max="10216" width="8.7109375" style="111" customWidth="1"/>
    <col min="10217" max="10217" width="17.7109375" style="111" customWidth="1"/>
    <col min="10218" max="10226" width="8.85546875" style="111"/>
    <col min="10227" max="10227" width="21.5703125" style="111" customWidth="1"/>
    <col min="10228" max="10234" width="8.85546875" style="111"/>
    <col min="10235" max="10235" width="10" style="111" customWidth="1"/>
    <col min="10236" max="10462" width="8.85546875" style="111"/>
    <col min="10463" max="10463" width="23.7109375" style="111" customWidth="1"/>
    <col min="10464" max="10464" width="10.5703125" style="111" customWidth="1"/>
    <col min="10465" max="10470" width="8.5703125" style="111" customWidth="1"/>
    <col min="10471" max="10471" width="10.7109375" style="111" customWidth="1"/>
    <col min="10472" max="10472" width="8.7109375" style="111" customWidth="1"/>
    <col min="10473" max="10473" width="17.7109375" style="111" customWidth="1"/>
    <col min="10474" max="10482" width="8.85546875" style="111"/>
    <col min="10483" max="10483" width="21.5703125" style="111" customWidth="1"/>
    <col min="10484" max="10490" width="8.85546875" style="111"/>
    <col min="10491" max="10491" width="10" style="111" customWidth="1"/>
    <col min="10492" max="10718" width="8.85546875" style="111"/>
    <col min="10719" max="10719" width="23.7109375" style="111" customWidth="1"/>
    <col min="10720" max="10720" width="10.5703125" style="111" customWidth="1"/>
    <col min="10721" max="10726" width="8.5703125" style="111" customWidth="1"/>
    <col min="10727" max="10727" width="10.7109375" style="111" customWidth="1"/>
    <col min="10728" max="10728" width="8.7109375" style="111" customWidth="1"/>
    <col min="10729" max="10729" width="17.7109375" style="111" customWidth="1"/>
    <col min="10730" max="10738" width="8.85546875" style="111"/>
    <col min="10739" max="10739" width="21.5703125" style="111" customWidth="1"/>
    <col min="10740" max="10746" width="8.85546875" style="111"/>
    <col min="10747" max="10747" width="10" style="111" customWidth="1"/>
    <col min="10748" max="10974" width="8.85546875" style="111"/>
    <col min="10975" max="10975" width="23.7109375" style="111" customWidth="1"/>
    <col min="10976" max="10976" width="10.5703125" style="111" customWidth="1"/>
    <col min="10977" max="10982" width="8.5703125" style="111" customWidth="1"/>
    <col min="10983" max="10983" width="10.7109375" style="111" customWidth="1"/>
    <col min="10984" max="10984" width="8.7109375" style="111" customWidth="1"/>
    <col min="10985" max="10985" width="17.7109375" style="111" customWidth="1"/>
    <col min="10986" max="10994" width="8.85546875" style="111"/>
    <col min="10995" max="10995" width="21.5703125" style="111" customWidth="1"/>
    <col min="10996" max="11002" width="8.85546875" style="111"/>
    <col min="11003" max="11003" width="10" style="111" customWidth="1"/>
    <col min="11004" max="11230" width="8.85546875" style="111"/>
    <col min="11231" max="11231" width="23.7109375" style="111" customWidth="1"/>
    <col min="11232" max="11232" width="10.5703125" style="111" customWidth="1"/>
    <col min="11233" max="11238" width="8.5703125" style="111" customWidth="1"/>
    <col min="11239" max="11239" width="10.7109375" style="111" customWidth="1"/>
    <col min="11240" max="11240" width="8.7109375" style="111" customWidth="1"/>
    <col min="11241" max="11241" width="17.7109375" style="111" customWidth="1"/>
    <col min="11242" max="11250" width="8.85546875" style="111"/>
    <col min="11251" max="11251" width="21.5703125" style="111" customWidth="1"/>
    <col min="11252" max="11258" width="8.85546875" style="111"/>
    <col min="11259" max="11259" width="10" style="111" customWidth="1"/>
    <col min="11260" max="11486" width="8.85546875" style="111"/>
    <col min="11487" max="11487" width="23.7109375" style="111" customWidth="1"/>
    <col min="11488" max="11488" width="10.5703125" style="111" customWidth="1"/>
    <col min="11489" max="11494" width="8.5703125" style="111" customWidth="1"/>
    <col min="11495" max="11495" width="10.7109375" style="111" customWidth="1"/>
    <col min="11496" max="11496" width="8.7109375" style="111" customWidth="1"/>
    <col min="11497" max="11497" width="17.7109375" style="111" customWidth="1"/>
    <col min="11498" max="11506" width="8.85546875" style="111"/>
    <col min="11507" max="11507" width="21.5703125" style="111" customWidth="1"/>
    <col min="11508" max="11514" width="8.85546875" style="111"/>
    <col min="11515" max="11515" width="10" style="111" customWidth="1"/>
    <col min="11516" max="11742" width="8.85546875" style="111"/>
    <col min="11743" max="11743" width="23.7109375" style="111" customWidth="1"/>
    <col min="11744" max="11744" width="10.5703125" style="111" customWidth="1"/>
    <col min="11745" max="11750" width="8.5703125" style="111" customWidth="1"/>
    <col min="11751" max="11751" width="10.7109375" style="111" customWidth="1"/>
    <col min="11752" max="11752" width="8.7109375" style="111" customWidth="1"/>
    <col min="11753" max="11753" width="17.7109375" style="111" customWidth="1"/>
    <col min="11754" max="11762" width="8.85546875" style="111"/>
    <col min="11763" max="11763" width="21.5703125" style="111" customWidth="1"/>
    <col min="11764" max="11770" width="8.85546875" style="111"/>
    <col min="11771" max="11771" width="10" style="111" customWidth="1"/>
    <col min="11772" max="11998" width="8.85546875" style="111"/>
    <col min="11999" max="11999" width="23.7109375" style="111" customWidth="1"/>
    <col min="12000" max="12000" width="10.5703125" style="111" customWidth="1"/>
    <col min="12001" max="12006" width="8.5703125" style="111" customWidth="1"/>
    <col min="12007" max="12007" width="10.7109375" style="111" customWidth="1"/>
    <col min="12008" max="12008" width="8.7109375" style="111" customWidth="1"/>
    <col min="12009" max="12009" width="17.7109375" style="111" customWidth="1"/>
    <col min="12010" max="12018" width="8.85546875" style="111"/>
    <col min="12019" max="12019" width="21.5703125" style="111" customWidth="1"/>
    <col min="12020" max="12026" width="8.85546875" style="111"/>
    <col min="12027" max="12027" width="10" style="111" customWidth="1"/>
    <col min="12028" max="12254" width="8.85546875" style="111"/>
    <col min="12255" max="12255" width="23.7109375" style="111" customWidth="1"/>
    <col min="12256" max="12256" width="10.5703125" style="111" customWidth="1"/>
    <col min="12257" max="12262" width="8.5703125" style="111" customWidth="1"/>
    <col min="12263" max="12263" width="10.7109375" style="111" customWidth="1"/>
    <col min="12264" max="12264" width="8.7109375" style="111" customWidth="1"/>
    <col min="12265" max="12265" width="17.7109375" style="111" customWidth="1"/>
    <col min="12266" max="12274" width="8.85546875" style="111"/>
    <col min="12275" max="12275" width="21.5703125" style="111" customWidth="1"/>
    <col min="12276" max="12282" width="8.85546875" style="111"/>
    <col min="12283" max="12283" width="10" style="111" customWidth="1"/>
    <col min="12284" max="12510" width="8.85546875" style="111"/>
    <col min="12511" max="12511" width="23.7109375" style="111" customWidth="1"/>
    <col min="12512" max="12512" width="10.5703125" style="111" customWidth="1"/>
    <col min="12513" max="12518" width="8.5703125" style="111" customWidth="1"/>
    <col min="12519" max="12519" width="10.7109375" style="111" customWidth="1"/>
    <col min="12520" max="12520" width="8.7109375" style="111" customWidth="1"/>
    <col min="12521" max="12521" width="17.7109375" style="111" customWidth="1"/>
    <col min="12522" max="12530" width="8.85546875" style="111"/>
    <col min="12531" max="12531" width="21.5703125" style="111" customWidth="1"/>
    <col min="12532" max="12538" width="8.85546875" style="111"/>
    <col min="12539" max="12539" width="10" style="111" customWidth="1"/>
    <col min="12540" max="12766" width="8.85546875" style="111"/>
    <col min="12767" max="12767" width="23.7109375" style="111" customWidth="1"/>
    <col min="12768" max="12768" width="10.5703125" style="111" customWidth="1"/>
    <col min="12769" max="12774" width="8.5703125" style="111" customWidth="1"/>
    <col min="12775" max="12775" width="10.7109375" style="111" customWidth="1"/>
    <col min="12776" max="12776" width="8.7109375" style="111" customWidth="1"/>
    <col min="12777" max="12777" width="17.7109375" style="111" customWidth="1"/>
    <col min="12778" max="12786" width="8.85546875" style="111"/>
    <col min="12787" max="12787" width="21.5703125" style="111" customWidth="1"/>
    <col min="12788" max="12794" width="8.85546875" style="111"/>
    <col min="12795" max="12795" width="10" style="111" customWidth="1"/>
    <col min="12796" max="13022" width="8.85546875" style="111"/>
    <col min="13023" max="13023" width="23.7109375" style="111" customWidth="1"/>
    <col min="13024" max="13024" width="10.5703125" style="111" customWidth="1"/>
    <col min="13025" max="13030" width="8.5703125" style="111" customWidth="1"/>
    <col min="13031" max="13031" width="10.7109375" style="111" customWidth="1"/>
    <col min="13032" max="13032" width="8.7109375" style="111" customWidth="1"/>
    <col min="13033" max="13033" width="17.7109375" style="111" customWidth="1"/>
    <col min="13034" max="13042" width="8.85546875" style="111"/>
    <col min="13043" max="13043" width="21.5703125" style="111" customWidth="1"/>
    <col min="13044" max="13050" width="8.85546875" style="111"/>
    <col min="13051" max="13051" width="10" style="111" customWidth="1"/>
    <col min="13052" max="13278" width="8.85546875" style="111"/>
    <col min="13279" max="13279" width="23.7109375" style="111" customWidth="1"/>
    <col min="13280" max="13280" width="10.5703125" style="111" customWidth="1"/>
    <col min="13281" max="13286" width="8.5703125" style="111" customWidth="1"/>
    <col min="13287" max="13287" width="10.7109375" style="111" customWidth="1"/>
    <col min="13288" max="13288" width="8.7109375" style="111" customWidth="1"/>
    <col min="13289" max="13289" width="17.7109375" style="111" customWidth="1"/>
    <col min="13290" max="13298" width="8.85546875" style="111"/>
    <col min="13299" max="13299" width="21.5703125" style="111" customWidth="1"/>
    <col min="13300" max="13306" width="8.85546875" style="111"/>
    <col min="13307" max="13307" width="10" style="111" customWidth="1"/>
    <col min="13308" max="13534" width="8.85546875" style="111"/>
    <col min="13535" max="13535" width="23.7109375" style="111" customWidth="1"/>
    <col min="13536" max="13536" width="10.5703125" style="111" customWidth="1"/>
    <col min="13537" max="13542" width="8.5703125" style="111" customWidth="1"/>
    <col min="13543" max="13543" width="10.7109375" style="111" customWidth="1"/>
    <col min="13544" max="13544" width="8.7109375" style="111" customWidth="1"/>
    <col min="13545" max="13545" width="17.7109375" style="111" customWidth="1"/>
    <col min="13546" max="13554" width="8.85546875" style="111"/>
    <col min="13555" max="13555" width="21.5703125" style="111" customWidth="1"/>
    <col min="13556" max="13562" width="8.85546875" style="111"/>
    <col min="13563" max="13563" width="10" style="111" customWidth="1"/>
    <col min="13564" max="13790" width="8.85546875" style="111"/>
    <col min="13791" max="13791" width="23.7109375" style="111" customWidth="1"/>
    <col min="13792" max="13792" width="10.5703125" style="111" customWidth="1"/>
    <col min="13793" max="13798" width="8.5703125" style="111" customWidth="1"/>
    <col min="13799" max="13799" width="10.7109375" style="111" customWidth="1"/>
    <col min="13800" max="13800" width="8.7109375" style="111" customWidth="1"/>
    <col min="13801" max="13801" width="17.7109375" style="111" customWidth="1"/>
    <col min="13802" max="13810" width="8.85546875" style="111"/>
    <col min="13811" max="13811" width="21.5703125" style="111" customWidth="1"/>
    <col min="13812" max="13818" width="8.85546875" style="111"/>
    <col min="13819" max="13819" width="10" style="111" customWidth="1"/>
    <col min="13820" max="14046" width="8.85546875" style="111"/>
    <col min="14047" max="14047" width="23.7109375" style="111" customWidth="1"/>
    <col min="14048" max="14048" width="10.5703125" style="111" customWidth="1"/>
    <col min="14049" max="14054" width="8.5703125" style="111" customWidth="1"/>
    <col min="14055" max="14055" width="10.7109375" style="111" customWidth="1"/>
    <col min="14056" max="14056" width="8.7109375" style="111" customWidth="1"/>
    <col min="14057" max="14057" width="17.7109375" style="111" customWidth="1"/>
    <col min="14058" max="14066" width="8.85546875" style="111"/>
    <col min="14067" max="14067" width="21.5703125" style="111" customWidth="1"/>
    <col min="14068" max="14074" width="8.85546875" style="111"/>
    <col min="14075" max="14075" width="10" style="111" customWidth="1"/>
    <col min="14076" max="14302" width="8.85546875" style="111"/>
    <col min="14303" max="14303" width="23.7109375" style="111" customWidth="1"/>
    <col min="14304" max="14304" width="10.5703125" style="111" customWidth="1"/>
    <col min="14305" max="14310" width="8.5703125" style="111" customWidth="1"/>
    <col min="14311" max="14311" width="10.7109375" style="111" customWidth="1"/>
    <col min="14312" max="14312" width="8.7109375" style="111" customWidth="1"/>
    <col min="14313" max="14313" width="17.7109375" style="111" customWidth="1"/>
    <col min="14314" max="14322" width="8.85546875" style="111"/>
    <col min="14323" max="14323" width="21.5703125" style="111" customWidth="1"/>
    <col min="14324" max="14330" width="8.85546875" style="111"/>
    <col min="14331" max="14331" width="10" style="111" customWidth="1"/>
    <col min="14332" max="14558" width="8.85546875" style="111"/>
    <col min="14559" max="14559" width="23.7109375" style="111" customWidth="1"/>
    <col min="14560" max="14560" width="10.5703125" style="111" customWidth="1"/>
    <col min="14561" max="14566" width="8.5703125" style="111" customWidth="1"/>
    <col min="14567" max="14567" width="10.7109375" style="111" customWidth="1"/>
    <col min="14568" max="14568" width="8.7109375" style="111" customWidth="1"/>
    <col min="14569" max="14569" width="17.7109375" style="111" customWidth="1"/>
    <col min="14570" max="14578" width="8.85546875" style="111"/>
    <col min="14579" max="14579" width="21.5703125" style="111" customWidth="1"/>
    <col min="14580" max="14586" width="8.85546875" style="111"/>
    <col min="14587" max="14587" width="10" style="111" customWidth="1"/>
    <col min="14588" max="14814" width="8.85546875" style="111"/>
    <col min="14815" max="14815" width="23.7109375" style="111" customWidth="1"/>
    <col min="14816" max="14816" width="10.5703125" style="111" customWidth="1"/>
    <col min="14817" max="14822" width="8.5703125" style="111" customWidth="1"/>
    <col min="14823" max="14823" width="10.7109375" style="111" customWidth="1"/>
    <col min="14824" max="14824" width="8.7109375" style="111" customWidth="1"/>
    <col min="14825" max="14825" width="17.7109375" style="111" customWidth="1"/>
    <col min="14826" max="14834" width="8.85546875" style="111"/>
    <col min="14835" max="14835" width="21.5703125" style="111" customWidth="1"/>
    <col min="14836" max="14842" width="8.85546875" style="111"/>
    <col min="14843" max="14843" width="10" style="111" customWidth="1"/>
    <col min="14844" max="15070" width="8.85546875" style="111"/>
    <col min="15071" max="15071" width="23.7109375" style="111" customWidth="1"/>
    <col min="15072" max="15072" width="10.5703125" style="111" customWidth="1"/>
    <col min="15073" max="15078" width="8.5703125" style="111" customWidth="1"/>
    <col min="15079" max="15079" width="10.7109375" style="111" customWidth="1"/>
    <col min="15080" max="15080" width="8.7109375" style="111" customWidth="1"/>
    <col min="15081" max="15081" width="17.7109375" style="111" customWidth="1"/>
    <col min="15082" max="15090" width="8.85546875" style="111"/>
    <col min="15091" max="15091" width="21.5703125" style="111" customWidth="1"/>
    <col min="15092" max="15098" width="8.85546875" style="111"/>
    <col min="15099" max="15099" width="10" style="111" customWidth="1"/>
    <col min="15100" max="15326" width="8.85546875" style="111"/>
    <col min="15327" max="15327" width="23.7109375" style="111" customWidth="1"/>
    <col min="15328" max="15328" width="10.5703125" style="111" customWidth="1"/>
    <col min="15329" max="15334" width="8.5703125" style="111" customWidth="1"/>
    <col min="15335" max="15335" width="10.7109375" style="111" customWidth="1"/>
    <col min="15336" max="15336" width="8.7109375" style="111" customWidth="1"/>
    <col min="15337" max="15337" width="17.7109375" style="111" customWidth="1"/>
    <col min="15338" max="15346" width="8.85546875" style="111"/>
    <col min="15347" max="15347" width="21.5703125" style="111" customWidth="1"/>
    <col min="15348" max="15354" width="8.85546875" style="111"/>
    <col min="15355" max="15355" width="10" style="111" customWidth="1"/>
    <col min="15356" max="15582" width="8.85546875" style="111"/>
    <col min="15583" max="15583" width="23.7109375" style="111" customWidth="1"/>
    <col min="15584" max="15584" width="10.5703125" style="111" customWidth="1"/>
    <col min="15585" max="15590" width="8.5703125" style="111" customWidth="1"/>
    <col min="15591" max="15591" width="10.7109375" style="111" customWidth="1"/>
    <col min="15592" max="15592" width="8.7109375" style="111" customWidth="1"/>
    <col min="15593" max="15593" width="17.7109375" style="111" customWidth="1"/>
    <col min="15594" max="15602" width="8.85546875" style="111"/>
    <col min="15603" max="15603" width="21.5703125" style="111" customWidth="1"/>
    <col min="15604" max="15610" width="8.85546875" style="111"/>
    <col min="15611" max="15611" width="10" style="111" customWidth="1"/>
    <col min="15612" max="15838" width="8.85546875" style="111"/>
    <col min="15839" max="15839" width="23.7109375" style="111" customWidth="1"/>
    <col min="15840" max="15840" width="10.5703125" style="111" customWidth="1"/>
    <col min="15841" max="15846" width="8.5703125" style="111" customWidth="1"/>
    <col min="15847" max="15847" width="10.7109375" style="111" customWidth="1"/>
    <col min="15848" max="15848" width="8.7109375" style="111" customWidth="1"/>
    <col min="15849" max="15849" width="17.7109375" style="111" customWidth="1"/>
    <col min="15850" max="15858" width="8.85546875" style="111"/>
    <col min="15859" max="15859" width="21.5703125" style="111" customWidth="1"/>
    <col min="15860" max="15866" width="8.85546875" style="111"/>
    <col min="15867" max="15867" width="10" style="111" customWidth="1"/>
    <col min="15868" max="16094" width="8.85546875" style="111"/>
    <col min="16095" max="16095" width="23.7109375" style="111" customWidth="1"/>
    <col min="16096" max="16096" width="10.5703125" style="111" customWidth="1"/>
    <col min="16097" max="16102" width="8.5703125" style="111" customWidth="1"/>
    <col min="16103" max="16103" width="10.7109375" style="111" customWidth="1"/>
    <col min="16104" max="16104" width="8.7109375" style="111" customWidth="1"/>
    <col min="16105" max="16105" width="17.7109375" style="111" customWidth="1"/>
    <col min="16106" max="16114" width="8.85546875" style="111"/>
    <col min="16115" max="16115" width="21.5703125" style="111" customWidth="1"/>
    <col min="16116" max="16122" width="8.85546875" style="111"/>
    <col min="16123" max="16123" width="10" style="111" customWidth="1"/>
    <col min="16124" max="16351" width="8.85546875" style="111"/>
    <col min="16352" max="16384" width="9.28515625" style="111" customWidth="1"/>
  </cols>
  <sheetData>
    <row r="1" spans="1:19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</row>
    <row r="2" spans="1:19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</row>
    <row r="3" spans="1:19" ht="12.75" x14ac:dyDescent="0.2">
      <c r="A3" s="382" t="s">
        <v>48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</row>
    <row r="4" spans="1:19" ht="12.75" x14ac:dyDescent="0.2">
      <c r="A4" s="382" t="s">
        <v>9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</row>
    <row r="5" spans="1:19" ht="12" x14ac:dyDescent="0.2">
      <c r="A5" s="383" t="str">
        <f>'Kto6 CSR, CR, Coeffcnt,YrInput'!A5:O5</f>
        <v>SY 2022-2023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</row>
    <row r="6" spans="1:19" ht="15" x14ac:dyDescent="0.2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</row>
    <row r="7" spans="1:19" x14ac:dyDescent="0.2">
      <c r="A7" s="152"/>
      <c r="B7" s="153"/>
      <c r="C7" s="9"/>
      <c r="D7" s="9"/>
      <c r="E7" s="9"/>
      <c r="F7" s="9"/>
      <c r="G7" s="9"/>
      <c r="H7" s="9"/>
      <c r="I7" s="9"/>
      <c r="J7" s="9"/>
      <c r="K7" s="155"/>
    </row>
    <row r="8" spans="1:19" ht="13.5" thickBot="1" x14ac:dyDescent="0.25">
      <c r="A8" s="25" t="s">
        <v>10</v>
      </c>
      <c r="B8" s="162"/>
      <c r="C8" s="8"/>
      <c r="D8" s="8"/>
      <c r="E8" s="8"/>
      <c r="F8" s="8"/>
      <c r="G8" s="8"/>
      <c r="H8" s="8"/>
      <c r="I8" s="8"/>
      <c r="J8" s="8"/>
      <c r="K8" s="155"/>
    </row>
    <row r="9" spans="1:19" ht="12" thickBot="1" x14ac:dyDescent="0.25">
      <c r="L9" s="30"/>
      <c r="M9" s="30"/>
      <c r="N9" s="30"/>
      <c r="O9" s="30"/>
      <c r="P9" s="30"/>
      <c r="Q9" s="30"/>
      <c r="R9" s="30"/>
      <c r="S9" s="30"/>
    </row>
    <row r="10" spans="1:19" ht="10.35" customHeight="1" x14ac:dyDescent="0.25">
      <c r="A10" s="31" t="s">
        <v>30</v>
      </c>
      <c r="B10" s="372" t="s">
        <v>11</v>
      </c>
      <c r="C10" s="392" t="s">
        <v>50</v>
      </c>
      <c r="D10" s="374"/>
      <c r="E10" s="374"/>
      <c r="F10" s="374"/>
      <c r="G10" s="374"/>
      <c r="H10" s="374"/>
      <c r="I10" s="393"/>
      <c r="J10" s="168" t="s">
        <v>49</v>
      </c>
      <c r="K10" s="172" t="s">
        <v>31</v>
      </c>
      <c r="L10" s="375"/>
      <c r="M10" s="375"/>
      <c r="N10" s="375"/>
      <c r="O10" s="375"/>
      <c r="P10" s="375"/>
      <c r="Q10" s="375"/>
      <c r="R10" s="194"/>
      <c r="S10" s="179"/>
    </row>
    <row r="11" spans="1:19" ht="10.9" customHeight="1" thickBot="1" x14ac:dyDescent="0.3">
      <c r="A11" s="112"/>
      <c r="B11" s="373"/>
      <c r="C11" s="189" t="s">
        <v>18</v>
      </c>
      <c r="D11" s="189" t="s">
        <v>19</v>
      </c>
      <c r="E11" s="189" t="s">
        <v>20</v>
      </c>
      <c r="F11" s="189" t="s">
        <v>21</v>
      </c>
      <c r="G11" s="189" t="s">
        <v>22</v>
      </c>
      <c r="H11" s="189" t="s">
        <v>23</v>
      </c>
      <c r="I11" s="189" t="s">
        <v>24</v>
      </c>
      <c r="J11" s="189" t="s">
        <v>25</v>
      </c>
      <c r="K11" s="190" t="s">
        <v>32</v>
      </c>
      <c r="L11" s="115"/>
      <c r="M11" s="115"/>
      <c r="N11" s="115"/>
      <c r="O11" s="115"/>
      <c r="P11" s="115"/>
      <c r="Q11" s="115"/>
      <c r="R11" s="115"/>
      <c r="S11" s="179"/>
    </row>
    <row r="12" spans="1:19" x14ac:dyDescent="0.2">
      <c r="A12" s="74" t="s">
        <v>33</v>
      </c>
      <c r="B12" s="75" t="s">
        <v>29</v>
      </c>
      <c r="C12" s="120">
        <v>2.0895926377046962E-2</v>
      </c>
      <c r="D12" s="120">
        <v>1.9914815241164958E-2</v>
      </c>
      <c r="E12" s="120">
        <v>1.520051746442432E-2</v>
      </c>
      <c r="F12" s="120">
        <v>1.3413295494096544E-2</v>
      </c>
      <c r="G12" s="120">
        <v>1.0975141304944301E-2</v>
      </c>
      <c r="H12" s="120">
        <v>1.0429145232894088E-2</v>
      </c>
      <c r="I12" s="120">
        <v>8.5955794163001878E-3</v>
      </c>
      <c r="J12" s="195">
        <v>1.432264864019234E-2</v>
      </c>
      <c r="K12" s="192">
        <v>0.57777777777777783</v>
      </c>
      <c r="L12" s="181"/>
      <c r="M12" s="181"/>
      <c r="N12" s="181"/>
      <c r="O12" s="181"/>
      <c r="P12" s="181"/>
      <c r="Q12" s="181"/>
      <c r="R12" s="181"/>
      <c r="S12" s="171"/>
    </row>
    <row r="13" spans="1:19" x14ac:dyDescent="0.2">
      <c r="A13" s="3"/>
      <c r="B13" s="82" t="s">
        <v>1</v>
      </c>
      <c r="C13" s="129">
        <v>2.4659685863874344E-2</v>
      </c>
      <c r="D13" s="129">
        <v>2.3812166962699822E-2</v>
      </c>
      <c r="E13" s="129">
        <v>1.8973526613309453E-2</v>
      </c>
      <c r="F13" s="129">
        <v>1.6434108527131782E-2</v>
      </c>
      <c r="G13" s="129">
        <v>1.4638069705093834E-2</v>
      </c>
      <c r="H13" s="129">
        <v>1.3579178592824336E-2</v>
      </c>
      <c r="I13" s="129">
        <v>1.2867852747006825E-2</v>
      </c>
      <c r="J13" s="180">
        <v>1.7999999999999999E-2</v>
      </c>
      <c r="K13" s="55"/>
      <c r="L13" s="181"/>
      <c r="M13" s="181"/>
      <c r="N13" s="181"/>
      <c r="O13" s="181"/>
      <c r="P13" s="181"/>
      <c r="Q13" s="181"/>
      <c r="R13" s="181"/>
      <c r="S13" s="171"/>
    </row>
    <row r="14" spans="1:19" x14ac:dyDescent="0.2">
      <c r="A14" s="58"/>
      <c r="B14" s="85" t="s">
        <v>0</v>
      </c>
      <c r="C14" s="134">
        <v>1.6867469879518072E-2</v>
      </c>
      <c r="D14" s="134">
        <v>1.5718383934974899E-2</v>
      </c>
      <c r="E14" s="134">
        <v>1.1025085165685971E-2</v>
      </c>
      <c r="F14" s="134">
        <v>1.0166101883228709E-2</v>
      </c>
      <c r="G14" s="134">
        <v>7.1364351539671836E-3</v>
      </c>
      <c r="H14" s="134">
        <v>6.8867430196871025E-3</v>
      </c>
      <c r="I14" s="134">
        <v>4.1413905739617358E-3</v>
      </c>
      <c r="J14" s="182">
        <v>1.04E-2</v>
      </c>
      <c r="K14" s="61"/>
      <c r="L14" s="181"/>
      <c r="M14" s="181"/>
      <c r="N14" s="181"/>
      <c r="O14" s="181"/>
      <c r="P14" s="181"/>
      <c r="Q14" s="181"/>
      <c r="R14" s="181"/>
      <c r="S14" s="171"/>
    </row>
    <row r="15" spans="1:19" ht="10.15" customHeight="1" x14ac:dyDescent="0.2">
      <c r="A15" s="74" t="s">
        <v>34</v>
      </c>
      <c r="B15" s="75" t="s">
        <v>29</v>
      </c>
      <c r="C15" s="120">
        <v>1.5913048699933947E-2</v>
      </c>
      <c r="D15" s="120">
        <v>2.6978417266187049E-2</v>
      </c>
      <c r="E15" s="120">
        <v>2.7422757165901476E-2</v>
      </c>
      <c r="F15" s="120">
        <v>2.0413808364682453E-2</v>
      </c>
      <c r="G15" s="120">
        <v>1.6955118803168086E-2</v>
      </c>
      <c r="H15" s="120">
        <v>1.5132408575031526E-2</v>
      </c>
      <c r="I15" s="120">
        <v>1.1824324324324325E-2</v>
      </c>
      <c r="J15" s="195">
        <v>1.936213685032051E-2</v>
      </c>
      <c r="K15" s="192">
        <v>0.51383399209486169</v>
      </c>
      <c r="L15" s="181"/>
      <c r="M15" s="181"/>
      <c r="N15" s="181"/>
      <c r="O15" s="181"/>
      <c r="P15" s="181"/>
      <c r="Q15" s="181"/>
      <c r="R15" s="181"/>
      <c r="S15" s="171"/>
    </row>
    <row r="16" spans="1:19" ht="10.15" customHeight="1" x14ac:dyDescent="0.2">
      <c r="A16" s="3"/>
      <c r="B16" s="82" t="s">
        <v>1</v>
      </c>
      <c r="C16" s="129">
        <v>1.6828849456210646E-2</v>
      </c>
      <c r="D16" s="129">
        <v>3.3859528711965223E-2</v>
      </c>
      <c r="E16" s="129">
        <v>3.5896840148698886E-2</v>
      </c>
      <c r="F16" s="129">
        <v>2.8164454516024603E-2</v>
      </c>
      <c r="G16" s="129">
        <v>2.2644098810612991E-2</v>
      </c>
      <c r="H16" s="129">
        <v>2.0868584320360969E-2</v>
      </c>
      <c r="I16" s="129">
        <v>1.7165277096615989E-2</v>
      </c>
      <c r="J16" s="180">
        <v>2.53E-2</v>
      </c>
      <c r="K16" s="55"/>
      <c r="L16" s="181"/>
      <c r="M16" s="181"/>
      <c r="N16" s="181"/>
      <c r="O16" s="181"/>
      <c r="P16" s="181"/>
      <c r="Q16" s="181"/>
      <c r="R16" s="181"/>
      <c r="S16" s="171"/>
    </row>
    <row r="17" spans="1:19" x14ac:dyDescent="0.2">
      <c r="A17" s="58"/>
      <c r="B17" s="85" t="s">
        <v>0</v>
      </c>
      <c r="C17" s="134">
        <v>1.4902753220510229E-2</v>
      </c>
      <c r="D17" s="134">
        <v>1.9400352733686066E-2</v>
      </c>
      <c r="E17" s="134">
        <v>1.7709720372836218E-2</v>
      </c>
      <c r="F17" s="134">
        <v>1.2260188443637189E-2</v>
      </c>
      <c r="G17" s="134">
        <v>1.0962534634381399E-2</v>
      </c>
      <c r="H17" s="134">
        <v>8.7650649553920809E-3</v>
      </c>
      <c r="I17" s="134">
        <v>6.2595809913132345E-3</v>
      </c>
      <c r="J17" s="182">
        <v>1.2999999999999999E-2</v>
      </c>
      <c r="K17" s="61"/>
      <c r="L17" s="181"/>
      <c r="M17" s="181"/>
      <c r="N17" s="181"/>
      <c r="O17" s="181"/>
      <c r="P17" s="181"/>
      <c r="Q17" s="181"/>
      <c r="R17" s="181"/>
      <c r="S17" s="171"/>
    </row>
    <row r="18" spans="1:19" x14ac:dyDescent="0.2">
      <c r="A18" s="74" t="s">
        <v>35</v>
      </c>
      <c r="B18" s="75" t="s">
        <v>29</v>
      </c>
      <c r="C18" s="120">
        <v>6.2364425162689807E-3</v>
      </c>
      <c r="D18" s="120">
        <v>1.0428100987925357E-2</v>
      </c>
      <c r="E18" s="120">
        <v>8.9946032380571663E-3</v>
      </c>
      <c r="F18" s="120">
        <v>7.787370915862536E-3</v>
      </c>
      <c r="G18" s="120">
        <v>7.3581560283687945E-3</v>
      </c>
      <c r="H18" s="120">
        <v>7.7991713380453328E-3</v>
      </c>
      <c r="I18" s="120">
        <v>3.4240060871219328E-3</v>
      </c>
      <c r="J18" s="195">
        <v>7.4238647447707811E-3</v>
      </c>
      <c r="K18" s="192">
        <v>0.51546391752577314</v>
      </c>
      <c r="L18" s="181"/>
      <c r="M18" s="181"/>
      <c r="N18" s="181"/>
      <c r="O18" s="181"/>
      <c r="P18" s="181"/>
      <c r="Q18" s="181"/>
      <c r="R18" s="181"/>
      <c r="S18" s="171"/>
    </row>
    <row r="19" spans="1:19" x14ac:dyDescent="0.2">
      <c r="A19" s="3"/>
      <c r="B19" s="82" t="s">
        <v>1</v>
      </c>
      <c r="C19" s="129">
        <v>8.4136722173531985E-3</v>
      </c>
      <c r="D19" s="129">
        <v>1.4099400775467043E-2</v>
      </c>
      <c r="E19" s="129">
        <v>1.0550113036925395E-2</v>
      </c>
      <c r="F19" s="129">
        <v>1.0819949281487743E-2</v>
      </c>
      <c r="G19" s="129">
        <v>8.8934496322900635E-3</v>
      </c>
      <c r="H19" s="129">
        <v>9.7470410768159665E-3</v>
      </c>
      <c r="I19" s="129">
        <v>4.9705449189985269E-3</v>
      </c>
      <c r="J19" s="180">
        <v>9.7000000000000003E-3</v>
      </c>
      <c r="K19" s="55"/>
      <c r="L19" s="181"/>
      <c r="M19" s="181"/>
      <c r="N19" s="181"/>
      <c r="O19" s="181"/>
      <c r="P19" s="181"/>
      <c r="Q19" s="181"/>
      <c r="R19" s="181"/>
      <c r="S19" s="171"/>
    </row>
    <row r="20" spans="1:19" x14ac:dyDescent="0.2">
      <c r="A20" s="58"/>
      <c r="B20" s="85" t="s">
        <v>0</v>
      </c>
      <c r="C20" s="134">
        <v>3.918641537600299E-3</v>
      </c>
      <c r="D20" s="134">
        <v>6.4663370102700643E-3</v>
      </c>
      <c r="E20" s="134">
        <v>7.2371221796509152E-3</v>
      </c>
      <c r="F20" s="134">
        <v>4.7465672147821662E-3</v>
      </c>
      <c r="G20" s="134">
        <v>5.7058715258604823E-3</v>
      </c>
      <c r="H20" s="134">
        <v>5.6453682319733125E-3</v>
      </c>
      <c r="I20" s="134">
        <v>1.7709563164108619E-3</v>
      </c>
      <c r="J20" s="182">
        <v>5.0000000000000001E-3</v>
      </c>
      <c r="K20" s="61"/>
      <c r="L20" s="181"/>
      <c r="M20" s="181"/>
      <c r="N20" s="181"/>
      <c r="O20" s="181"/>
      <c r="P20" s="181"/>
      <c r="Q20" s="181"/>
      <c r="R20" s="181"/>
      <c r="S20" s="171"/>
    </row>
    <row r="21" spans="1:19" x14ac:dyDescent="0.2">
      <c r="A21" s="74" t="s">
        <v>36</v>
      </c>
      <c r="B21" s="75" t="s">
        <v>29</v>
      </c>
      <c r="C21" s="120">
        <v>1.4599265071010031E-2</v>
      </c>
      <c r="D21" s="120">
        <v>2.0473384600019975E-2</v>
      </c>
      <c r="E21" s="120">
        <v>1.613400472716062E-2</v>
      </c>
      <c r="F21" s="120">
        <v>1.5175946125391256E-2</v>
      </c>
      <c r="G21" s="120">
        <v>1.0446894950667441E-2</v>
      </c>
      <c r="H21" s="120">
        <v>1.1484627347768872E-2</v>
      </c>
      <c r="I21" s="120">
        <v>8.4114139693356044E-3</v>
      </c>
      <c r="J21" s="195">
        <v>1.3908978011542113E-2</v>
      </c>
      <c r="K21" s="192">
        <v>0.53333333333333333</v>
      </c>
      <c r="L21" s="181"/>
      <c r="M21" s="181"/>
      <c r="N21" s="181"/>
      <c r="O21" s="181"/>
      <c r="P21" s="181"/>
      <c r="Q21" s="181"/>
      <c r="R21" s="181"/>
      <c r="S21" s="171"/>
    </row>
    <row r="22" spans="1:19" x14ac:dyDescent="0.2">
      <c r="A22" s="3"/>
      <c r="B22" s="82" t="s">
        <v>1</v>
      </c>
      <c r="C22" s="129">
        <v>1.7694063926940638E-2</v>
      </c>
      <c r="D22" s="129">
        <v>2.518746394924053E-2</v>
      </c>
      <c r="E22" s="129">
        <v>1.95160031225605E-2</v>
      </c>
      <c r="F22" s="129">
        <v>1.9192467861669383E-2</v>
      </c>
      <c r="G22" s="129">
        <v>1.6058945777441904E-2</v>
      </c>
      <c r="H22" s="129">
        <v>1.5758980301274622E-2</v>
      </c>
      <c r="I22" s="129">
        <v>1.1351692243010301E-2</v>
      </c>
      <c r="J22" s="180">
        <v>1.7999999999999999E-2</v>
      </c>
      <c r="K22" s="55"/>
      <c r="L22" s="181"/>
      <c r="M22" s="181"/>
      <c r="N22" s="181"/>
      <c r="O22" s="181"/>
      <c r="P22" s="181"/>
      <c r="Q22" s="181"/>
      <c r="R22" s="181"/>
      <c r="S22" s="171"/>
    </row>
    <row r="23" spans="1:19" x14ac:dyDescent="0.2">
      <c r="A23" s="58"/>
      <c r="B23" s="85" t="s">
        <v>0</v>
      </c>
      <c r="C23" s="134">
        <v>1.1219613546644504E-2</v>
      </c>
      <c r="D23" s="134">
        <v>1.5378221113881962E-2</v>
      </c>
      <c r="E23" s="134">
        <v>1.2372476665943131E-2</v>
      </c>
      <c r="F23" s="134">
        <v>1.0756972111553785E-2</v>
      </c>
      <c r="G23" s="134">
        <v>4.5589692765113975E-3</v>
      </c>
      <c r="H23" s="134">
        <v>6.923837784371909E-3</v>
      </c>
      <c r="I23" s="134">
        <v>5.3937432578209281E-3</v>
      </c>
      <c r="J23" s="182">
        <v>9.5999999999999992E-3</v>
      </c>
      <c r="K23" s="61"/>
      <c r="L23" s="181"/>
      <c r="M23" s="181"/>
      <c r="N23" s="181"/>
      <c r="O23" s="181"/>
      <c r="P23" s="181"/>
      <c r="Q23" s="181"/>
      <c r="R23" s="181"/>
      <c r="S23" s="171"/>
    </row>
    <row r="24" spans="1:19" x14ac:dyDescent="0.2">
      <c r="A24" s="74" t="s">
        <v>37</v>
      </c>
      <c r="B24" s="75" t="s">
        <v>29</v>
      </c>
      <c r="C24" s="120">
        <v>8.6266870738834003E-3</v>
      </c>
      <c r="D24" s="120">
        <v>3.1638574191765682E-2</v>
      </c>
      <c r="E24" s="120">
        <v>2.9498525073746312E-2</v>
      </c>
      <c r="F24" s="120">
        <v>2.2658610271903322E-2</v>
      </c>
      <c r="G24" s="120">
        <v>2.0043931905546403E-2</v>
      </c>
      <c r="H24" s="120">
        <v>1.8382951033024241E-2</v>
      </c>
      <c r="I24" s="120">
        <v>1.6522774635308126E-2</v>
      </c>
      <c r="J24" s="195">
        <v>2.1095484826054774E-2</v>
      </c>
      <c r="K24" s="192">
        <v>0.49462365591397844</v>
      </c>
      <c r="L24" s="181"/>
      <c r="M24" s="181"/>
      <c r="N24" s="181"/>
      <c r="O24" s="181"/>
      <c r="P24" s="181"/>
      <c r="Q24" s="181"/>
      <c r="R24" s="181"/>
      <c r="S24" s="171"/>
    </row>
    <row r="25" spans="1:19" x14ac:dyDescent="0.2">
      <c r="A25" s="3"/>
      <c r="B25" s="82" t="s">
        <v>1</v>
      </c>
      <c r="C25" s="129">
        <v>9.8509052183173591E-3</v>
      </c>
      <c r="D25" s="129">
        <v>3.669970533083311E-2</v>
      </c>
      <c r="E25" s="129">
        <v>3.8321678321678321E-2</v>
      </c>
      <c r="F25" s="129">
        <v>3.0878859857482184E-2</v>
      </c>
      <c r="G25" s="129">
        <v>2.9052402932392071E-2</v>
      </c>
      <c r="H25" s="129">
        <v>2.5608994378513428E-2</v>
      </c>
      <c r="I25" s="129">
        <v>2.4962852897473999E-2</v>
      </c>
      <c r="J25" s="180">
        <v>2.7900000000000001E-2</v>
      </c>
      <c r="K25" s="55"/>
      <c r="L25" s="181"/>
      <c r="M25" s="181"/>
      <c r="N25" s="181"/>
      <c r="O25" s="181"/>
      <c r="P25" s="181"/>
      <c r="Q25" s="181"/>
      <c r="R25" s="181"/>
      <c r="S25" s="171"/>
    </row>
    <row r="26" spans="1:19" x14ac:dyDescent="0.2">
      <c r="A26" s="58"/>
      <c r="B26" s="85" t="s">
        <v>0</v>
      </c>
      <c r="C26" s="134">
        <v>7.2865053920139903E-3</v>
      </c>
      <c r="D26" s="134">
        <v>2.6248216833095576E-2</v>
      </c>
      <c r="E26" s="134">
        <v>1.9656786271450857E-2</v>
      </c>
      <c r="F26" s="134">
        <v>1.3741769252791297E-2</v>
      </c>
      <c r="G26" s="134">
        <v>1.0830324909747292E-2</v>
      </c>
      <c r="H26" s="134">
        <v>1.0526315789473684E-2</v>
      </c>
      <c r="I26" s="134">
        <v>8.0524903071875938E-3</v>
      </c>
      <c r="J26" s="182">
        <v>1.38E-2</v>
      </c>
      <c r="K26" s="61"/>
      <c r="L26" s="181"/>
      <c r="M26" s="181"/>
      <c r="N26" s="181"/>
      <c r="O26" s="181"/>
      <c r="P26" s="181"/>
      <c r="Q26" s="181"/>
      <c r="R26" s="181"/>
      <c r="S26" s="171"/>
    </row>
    <row r="27" spans="1:19" x14ac:dyDescent="0.2">
      <c r="A27" s="74" t="s">
        <v>38</v>
      </c>
      <c r="B27" s="75" t="s">
        <v>29</v>
      </c>
      <c r="C27" s="120">
        <v>2.0450917797286514E-2</v>
      </c>
      <c r="D27" s="120">
        <v>4.6751968503937008E-2</v>
      </c>
      <c r="E27" s="120">
        <v>3.9444556248742199E-2</v>
      </c>
      <c r="F27" s="120">
        <v>3.4250874204249979E-2</v>
      </c>
      <c r="G27" s="120">
        <v>2.7830188679245284E-2</v>
      </c>
      <c r="H27" s="120">
        <v>2.3968656372436045E-2</v>
      </c>
      <c r="I27" s="120">
        <v>1.5907447577729574E-2</v>
      </c>
      <c r="J27" s="195">
        <v>3.0056667710795341E-2</v>
      </c>
      <c r="K27" s="192">
        <v>0.48250000000000004</v>
      </c>
      <c r="L27" s="183"/>
      <c r="M27" s="183"/>
      <c r="N27" s="183"/>
      <c r="O27" s="183"/>
      <c r="P27" s="183"/>
      <c r="Q27" s="183"/>
      <c r="R27" s="183"/>
      <c r="S27" s="184"/>
    </row>
    <row r="28" spans="1:19" ht="12" x14ac:dyDescent="0.2">
      <c r="A28" s="127"/>
      <c r="B28" s="82" t="s">
        <v>1</v>
      </c>
      <c r="C28" s="129">
        <v>2.2753346080305926E-2</v>
      </c>
      <c r="D28" s="129">
        <v>5.7946394865987162E-2</v>
      </c>
      <c r="E28" s="129">
        <v>5.2503736920777276E-2</v>
      </c>
      <c r="F28" s="129">
        <v>4.5587981350371266E-2</v>
      </c>
      <c r="G28" s="129">
        <v>3.9692701664532648E-2</v>
      </c>
      <c r="H28" s="129">
        <v>3.5064358632933869E-2</v>
      </c>
      <c r="I28" s="129">
        <v>2.348178137651822E-2</v>
      </c>
      <c r="J28" s="180">
        <v>0.04</v>
      </c>
      <c r="K28" s="129"/>
      <c r="L28" s="183"/>
      <c r="M28" s="183"/>
      <c r="N28" s="183"/>
      <c r="O28" s="183"/>
      <c r="P28" s="183"/>
      <c r="Q28" s="183"/>
      <c r="R28" s="183"/>
      <c r="S28" s="184"/>
    </row>
    <row r="29" spans="1:19" x14ac:dyDescent="0.2">
      <c r="A29" s="58"/>
      <c r="B29" s="85" t="s">
        <v>0</v>
      </c>
      <c r="C29" s="134">
        <v>1.7939090529828953E-2</v>
      </c>
      <c r="D29" s="134">
        <v>3.455368161250514E-2</v>
      </c>
      <c r="E29" s="134">
        <v>2.4204099433057132E-2</v>
      </c>
      <c r="F29" s="134">
        <v>2.2006713912719134E-2</v>
      </c>
      <c r="G29" s="134">
        <v>1.5195791934541203E-2</v>
      </c>
      <c r="H29" s="134">
        <v>1.1984659635666348E-2</v>
      </c>
      <c r="I29" s="134">
        <v>8.0151866694790127E-3</v>
      </c>
      <c r="J29" s="182">
        <v>1.9300000000000001E-2</v>
      </c>
      <c r="K29" s="134"/>
      <c r="L29" s="183"/>
      <c r="M29" s="183"/>
      <c r="N29" s="183"/>
      <c r="O29" s="183"/>
      <c r="P29" s="183"/>
      <c r="Q29" s="183"/>
      <c r="R29" s="183"/>
      <c r="S29" s="184"/>
    </row>
    <row r="30" spans="1:19" x14ac:dyDescent="0.2">
      <c r="A30" s="74" t="s">
        <v>39</v>
      </c>
      <c r="B30" s="75" t="s">
        <v>29</v>
      </c>
      <c r="C30" s="120">
        <v>7.6960076960076963E-3</v>
      </c>
      <c r="D30" s="120">
        <v>1.3995609220636663E-2</v>
      </c>
      <c r="E30" s="120">
        <v>1.3686662783925451E-2</v>
      </c>
      <c r="F30" s="120">
        <v>2.0408163265306121E-2</v>
      </c>
      <c r="G30" s="120">
        <v>1.3919960228685061E-2</v>
      </c>
      <c r="H30" s="120">
        <v>1.2966476913345983E-2</v>
      </c>
      <c r="I30" s="120">
        <v>5.7045065601825443E-3</v>
      </c>
      <c r="J30" s="195">
        <v>1.2666048810627124E-2</v>
      </c>
      <c r="K30" s="192">
        <v>0.54320987654320996</v>
      </c>
      <c r="L30" s="181"/>
      <c r="M30" s="181"/>
      <c r="N30" s="181"/>
      <c r="O30" s="181"/>
      <c r="P30" s="181"/>
      <c r="Q30" s="181"/>
      <c r="R30" s="181"/>
      <c r="S30" s="171"/>
    </row>
    <row r="31" spans="1:19" x14ac:dyDescent="0.2">
      <c r="A31" s="3"/>
      <c r="B31" s="82" t="s">
        <v>1</v>
      </c>
      <c r="C31" s="129">
        <v>8.3371931449745251E-3</v>
      </c>
      <c r="D31" s="129">
        <v>1.6129032258064516E-2</v>
      </c>
      <c r="E31" s="129">
        <v>1.8092105263157895E-2</v>
      </c>
      <c r="F31" s="129">
        <v>2.5740650801359885E-2</v>
      </c>
      <c r="G31" s="129">
        <v>1.8544935805991442E-2</v>
      </c>
      <c r="H31" s="129">
        <v>2.0535158680771624E-2</v>
      </c>
      <c r="I31" s="129">
        <v>6.2535531552018195E-3</v>
      </c>
      <c r="J31" s="180">
        <v>1.6199999999999999E-2</v>
      </c>
      <c r="K31" s="129"/>
      <c r="L31" s="181"/>
      <c r="M31" s="181"/>
      <c r="N31" s="181"/>
      <c r="O31" s="181"/>
      <c r="P31" s="181"/>
      <c r="Q31" s="181"/>
      <c r="R31" s="181"/>
      <c r="S31" s="171"/>
    </row>
    <row r="32" spans="1:19" x14ac:dyDescent="0.2">
      <c r="A32" s="58"/>
      <c r="B32" s="85" t="s">
        <v>0</v>
      </c>
      <c r="C32" s="134">
        <v>7.0035017508754379E-3</v>
      </c>
      <c r="D32" s="134">
        <v>1.1614401858304297E-2</v>
      </c>
      <c r="E32" s="134">
        <v>8.6956521739130436E-3</v>
      </c>
      <c r="F32" s="134">
        <v>1.4659685863874346E-2</v>
      </c>
      <c r="G32" s="134">
        <v>8.8541666666666664E-3</v>
      </c>
      <c r="H32" s="134">
        <v>5.144694533762058E-3</v>
      </c>
      <c r="I32" s="134">
        <v>5.1516886090440753E-3</v>
      </c>
      <c r="J32" s="182">
        <v>8.8000000000000005E-3</v>
      </c>
      <c r="K32" s="134"/>
      <c r="L32" s="181"/>
      <c r="M32" s="181"/>
      <c r="N32" s="181"/>
      <c r="O32" s="181"/>
      <c r="P32" s="181"/>
      <c r="Q32" s="181"/>
      <c r="R32" s="181"/>
      <c r="S32" s="171"/>
    </row>
    <row r="33" spans="1:19" ht="10.5" customHeight="1" x14ac:dyDescent="0.2">
      <c r="A33" s="185" t="s">
        <v>40</v>
      </c>
      <c r="B33" s="75" t="s">
        <v>29</v>
      </c>
      <c r="C33" s="120">
        <v>1.4152850788515973E-2</v>
      </c>
      <c r="D33" s="120">
        <v>3.7450199203187248E-2</v>
      </c>
      <c r="E33" s="120">
        <v>3.8678485092667206E-2</v>
      </c>
      <c r="F33" s="120">
        <v>4.0242976461655276E-2</v>
      </c>
      <c r="G33" s="120">
        <v>1.9490851233094669E-2</v>
      </c>
      <c r="H33" s="120">
        <v>1.8719211822660099E-2</v>
      </c>
      <c r="I33" s="120">
        <v>1.5204170286707211E-2</v>
      </c>
      <c r="J33" s="195">
        <v>2.673354971968132E-2</v>
      </c>
      <c r="K33" s="192">
        <v>0.47353760445682452</v>
      </c>
      <c r="L33" s="181"/>
      <c r="M33" s="181"/>
      <c r="N33" s="181"/>
      <c r="O33" s="181"/>
      <c r="P33" s="181"/>
      <c r="Q33" s="181"/>
      <c r="R33" s="181"/>
      <c r="S33" s="171"/>
    </row>
    <row r="34" spans="1:19" x14ac:dyDescent="0.2">
      <c r="A34" s="186"/>
      <c r="B34" s="82" t="s">
        <v>1</v>
      </c>
      <c r="C34" s="129">
        <v>1.2568735271013355E-2</v>
      </c>
      <c r="D34" s="129">
        <v>4.3964232488822655E-2</v>
      </c>
      <c r="E34" s="129">
        <v>5.3929121725731895E-2</v>
      </c>
      <c r="F34" s="129">
        <v>5.6005895357406042E-2</v>
      </c>
      <c r="G34" s="129">
        <v>2.4883359253499222E-2</v>
      </c>
      <c r="H34" s="129">
        <v>3.1914893617021274E-2</v>
      </c>
      <c r="I34" s="129">
        <v>2.4200518582541054E-2</v>
      </c>
      <c r="J34" s="180">
        <v>3.5900000000000001E-2</v>
      </c>
      <c r="K34" s="129"/>
      <c r="L34" s="181"/>
      <c r="M34" s="181"/>
      <c r="N34" s="181"/>
      <c r="O34" s="181"/>
      <c r="P34" s="181"/>
      <c r="Q34" s="181"/>
      <c r="R34" s="181"/>
      <c r="S34" s="171"/>
    </row>
    <row r="35" spans="1:19" x14ac:dyDescent="0.2">
      <c r="A35" s="58"/>
      <c r="B35" s="85" t="s">
        <v>0</v>
      </c>
      <c r="C35" s="134">
        <v>1.5833333333333335E-2</v>
      </c>
      <c r="D35" s="134">
        <v>2.9965753424657533E-2</v>
      </c>
      <c r="E35" s="134">
        <v>2.1959459459459461E-2</v>
      </c>
      <c r="F35" s="134">
        <v>2.3492560689115115E-2</v>
      </c>
      <c r="G35" s="134">
        <v>1.3843648208469055E-2</v>
      </c>
      <c r="H35" s="134">
        <v>5.0200803212851405E-3</v>
      </c>
      <c r="I35" s="134">
        <v>6.1135371179039302E-3</v>
      </c>
      <c r="J35" s="182">
        <v>1.7000000000000001E-2</v>
      </c>
      <c r="K35" s="134"/>
      <c r="L35" s="181"/>
      <c r="M35" s="181"/>
      <c r="N35" s="181"/>
      <c r="O35" s="181"/>
      <c r="P35" s="181"/>
      <c r="Q35" s="181"/>
      <c r="R35" s="181"/>
      <c r="S35" s="171"/>
    </row>
    <row r="36" spans="1:19" x14ac:dyDescent="0.2">
      <c r="A36" s="74" t="s">
        <v>41</v>
      </c>
      <c r="B36" s="75" t="s">
        <v>29</v>
      </c>
      <c r="C36" s="120">
        <v>2.6702670267026704E-2</v>
      </c>
      <c r="D36" s="120">
        <v>5.1222351571594875E-2</v>
      </c>
      <c r="E36" s="120">
        <v>5.4513481828839389E-2</v>
      </c>
      <c r="F36" s="120">
        <v>4.7757255936675465E-2</v>
      </c>
      <c r="G36" s="120">
        <v>4.085603112840467E-2</v>
      </c>
      <c r="H36" s="120">
        <v>3.3619210977701541E-2</v>
      </c>
      <c r="I36" s="120">
        <v>2.6721156868909149E-2</v>
      </c>
      <c r="J36" s="195">
        <v>4.0650750052820622E-2</v>
      </c>
      <c r="K36" s="192">
        <v>0.47601476014760147</v>
      </c>
      <c r="L36" s="183"/>
      <c r="M36" s="183"/>
      <c r="N36" s="183"/>
      <c r="O36" s="183"/>
      <c r="P36" s="183"/>
      <c r="Q36" s="183"/>
      <c r="R36" s="183"/>
      <c r="S36" s="184"/>
    </row>
    <row r="37" spans="1:19" ht="12" x14ac:dyDescent="0.2">
      <c r="A37" s="127"/>
      <c r="B37" s="82" t="s">
        <v>1</v>
      </c>
      <c r="C37" s="129">
        <v>3.0320366132723112E-2</v>
      </c>
      <c r="D37" s="129">
        <v>6.5410199556541024E-2</v>
      </c>
      <c r="E37" s="129">
        <v>7.2685973878478138E-2</v>
      </c>
      <c r="F37" s="129">
        <v>6.2563580874872834E-2</v>
      </c>
      <c r="G37" s="129">
        <v>5.9905412506568577E-2</v>
      </c>
      <c r="H37" s="129">
        <v>5.128205128205128E-2</v>
      </c>
      <c r="I37" s="129">
        <v>3.3674082982561637E-2</v>
      </c>
      <c r="J37" s="180">
        <v>5.4199999999999998E-2</v>
      </c>
      <c r="K37" s="129"/>
      <c r="L37" s="183"/>
      <c r="M37" s="183"/>
      <c r="N37" s="183"/>
      <c r="O37" s="183"/>
      <c r="P37" s="183"/>
      <c r="Q37" s="183"/>
      <c r="R37" s="183"/>
      <c r="S37" s="184"/>
    </row>
    <row r="38" spans="1:19" x14ac:dyDescent="0.2">
      <c r="A38" s="58"/>
      <c r="B38" s="85" t="s">
        <v>0</v>
      </c>
      <c r="C38" s="134">
        <v>2.2712933753943218E-2</v>
      </c>
      <c r="D38" s="134">
        <v>3.5539215686274508E-2</v>
      </c>
      <c r="E38" s="134">
        <v>3.5130224106602062E-2</v>
      </c>
      <c r="F38" s="134">
        <v>3.1798245614035089E-2</v>
      </c>
      <c r="G38" s="134">
        <v>1.9469026548672566E-2</v>
      </c>
      <c r="H38" s="134">
        <v>1.3284132841328414E-2</v>
      </c>
      <c r="I38" s="134">
        <v>1.9104084321475624E-2</v>
      </c>
      <c r="J38" s="182">
        <v>2.58E-2</v>
      </c>
      <c r="K38" s="134"/>
      <c r="L38" s="183"/>
      <c r="M38" s="183"/>
      <c r="N38" s="183"/>
      <c r="O38" s="183"/>
      <c r="P38" s="183"/>
      <c r="Q38" s="183"/>
      <c r="R38" s="183"/>
      <c r="S38" s="184"/>
    </row>
    <row r="39" spans="1:19" x14ac:dyDescent="0.2">
      <c r="A39" s="74" t="s">
        <v>42</v>
      </c>
      <c r="B39" s="75" t="s">
        <v>29</v>
      </c>
      <c r="C39" s="120">
        <v>8.175559380378658E-3</v>
      </c>
      <c r="D39" s="120">
        <v>1.3234269793359647E-2</v>
      </c>
      <c r="E39" s="120">
        <v>9.2977734279422568E-3</v>
      </c>
      <c r="F39" s="120">
        <v>6.3816209317166563E-3</v>
      </c>
      <c r="G39" s="120">
        <v>6.1224489795918364E-3</v>
      </c>
      <c r="H39" s="120">
        <v>8.4376701143168212E-3</v>
      </c>
      <c r="I39" s="120">
        <v>5.3024825259098581E-3</v>
      </c>
      <c r="J39" s="195">
        <v>8.1064851881505195E-3</v>
      </c>
      <c r="K39" s="192">
        <v>0.57843137254901955</v>
      </c>
      <c r="L39" s="181"/>
      <c r="M39" s="181"/>
      <c r="N39" s="181"/>
      <c r="O39" s="181"/>
      <c r="P39" s="181"/>
      <c r="Q39" s="181"/>
      <c r="R39" s="181"/>
      <c r="S39" s="171"/>
    </row>
    <row r="40" spans="1:19" x14ac:dyDescent="0.2">
      <c r="A40" s="3"/>
      <c r="B40" s="82" t="s">
        <v>1</v>
      </c>
      <c r="C40" s="129">
        <v>7.8350515463917522E-3</v>
      </c>
      <c r="D40" s="129">
        <v>1.5461573442473852E-2</v>
      </c>
      <c r="E40" s="129">
        <v>1.1131725417439703E-2</v>
      </c>
      <c r="F40" s="129">
        <v>7.8057241977450131E-3</v>
      </c>
      <c r="G40" s="129">
        <v>8.8144557073600704E-3</v>
      </c>
      <c r="H40" s="129">
        <v>1.3426423200859291E-2</v>
      </c>
      <c r="I40" s="129">
        <v>7.9588014981273412E-3</v>
      </c>
      <c r="J40" s="180">
        <v>1.0200000000000001E-2</v>
      </c>
      <c r="K40" s="55"/>
      <c r="L40" s="181"/>
      <c r="M40" s="181"/>
      <c r="N40" s="181"/>
      <c r="O40" s="181"/>
      <c r="P40" s="181"/>
      <c r="Q40" s="181"/>
      <c r="R40" s="181"/>
      <c r="S40" s="171"/>
    </row>
    <row r="41" spans="1:19" x14ac:dyDescent="0.2">
      <c r="A41" s="58"/>
      <c r="B41" s="85" t="s">
        <v>0</v>
      </c>
      <c r="C41" s="134">
        <v>8.5470085470085479E-3</v>
      </c>
      <c r="D41" s="134">
        <v>1.0910815939278937E-2</v>
      </c>
      <c r="E41" s="134">
        <v>7.2501294665976174E-3</v>
      </c>
      <c r="F41" s="134">
        <v>5.0104384133611689E-3</v>
      </c>
      <c r="G41" s="134">
        <v>3.269500233535731E-3</v>
      </c>
      <c r="H41" s="134">
        <v>3.3112582781456954E-3</v>
      </c>
      <c r="I41" s="134">
        <v>2.4838549428713363E-3</v>
      </c>
      <c r="J41" s="182">
        <v>5.8999999999999999E-3</v>
      </c>
      <c r="K41" s="61"/>
      <c r="L41" s="181"/>
      <c r="M41" s="181"/>
      <c r="N41" s="181"/>
      <c r="O41" s="181"/>
      <c r="P41" s="181"/>
      <c r="Q41" s="181"/>
      <c r="R41" s="181"/>
      <c r="S41" s="171"/>
    </row>
    <row r="42" spans="1:19" x14ac:dyDescent="0.2">
      <c r="A42" s="74" t="s">
        <v>43</v>
      </c>
      <c r="B42" s="75" t="s">
        <v>29</v>
      </c>
      <c r="C42" s="120">
        <v>1.7808683853459972E-2</v>
      </c>
      <c r="D42" s="120">
        <v>2.2486058643640942E-2</v>
      </c>
      <c r="E42" s="120">
        <v>1.7540654120226568E-2</v>
      </c>
      <c r="F42" s="120">
        <v>1.5844198712658856E-2</v>
      </c>
      <c r="G42" s="120">
        <v>1.2416107382550336E-2</v>
      </c>
      <c r="H42" s="120">
        <v>1.094224924012158E-2</v>
      </c>
      <c r="I42" s="120">
        <v>9.1965989935797327E-3</v>
      </c>
      <c r="J42" s="195">
        <v>1.5209988649262202E-2</v>
      </c>
      <c r="K42" s="192">
        <v>0.60106382978723394</v>
      </c>
      <c r="L42" s="181"/>
      <c r="M42" s="181"/>
      <c r="N42" s="181"/>
      <c r="O42" s="181"/>
      <c r="P42" s="181"/>
      <c r="Q42" s="181"/>
      <c r="R42" s="181"/>
      <c r="S42" s="171"/>
    </row>
    <row r="43" spans="1:19" x14ac:dyDescent="0.2">
      <c r="A43" s="3"/>
      <c r="B43" s="82" t="s">
        <v>1</v>
      </c>
      <c r="C43" s="129">
        <v>2.1760633036597428E-2</v>
      </c>
      <c r="D43" s="129">
        <v>2.4896265560165973E-2</v>
      </c>
      <c r="E43" s="129">
        <v>2.2291884360849879E-2</v>
      </c>
      <c r="F43" s="129">
        <v>2.014294996751137E-2</v>
      </c>
      <c r="G43" s="129">
        <v>1.6916070266753416E-2</v>
      </c>
      <c r="H43" s="129">
        <v>1.3969732246798603E-2</v>
      </c>
      <c r="I43" s="129">
        <v>1.1513714866237725E-2</v>
      </c>
      <c r="J43" s="180">
        <v>1.8800000000000001E-2</v>
      </c>
      <c r="K43" s="55"/>
      <c r="L43" s="181"/>
      <c r="M43" s="181"/>
      <c r="N43" s="181"/>
      <c r="O43" s="181"/>
      <c r="P43" s="181"/>
      <c r="Q43" s="181"/>
      <c r="R43" s="181"/>
      <c r="S43" s="171"/>
    </row>
    <row r="44" spans="1:19" x14ac:dyDescent="0.2">
      <c r="A44" s="58"/>
      <c r="B44" s="85" t="s">
        <v>0</v>
      </c>
      <c r="C44" s="134">
        <v>1.3622074746769124E-2</v>
      </c>
      <c r="D44" s="134">
        <v>1.987251593550806E-2</v>
      </c>
      <c r="E44" s="134">
        <v>1.2298232129131437E-2</v>
      </c>
      <c r="F44" s="134">
        <v>1.1405568601140557E-2</v>
      </c>
      <c r="G44" s="134">
        <v>7.6230076230076231E-3</v>
      </c>
      <c r="H44" s="134">
        <v>7.6335877862595417E-3</v>
      </c>
      <c r="I44" s="134">
        <v>6.7615658362989326E-3</v>
      </c>
      <c r="J44" s="182">
        <v>1.1299999999999999E-2</v>
      </c>
      <c r="K44" s="61"/>
      <c r="L44" s="181"/>
      <c r="M44" s="181"/>
      <c r="N44" s="181"/>
      <c r="O44" s="181"/>
      <c r="P44" s="181"/>
      <c r="Q44" s="181"/>
      <c r="R44" s="181"/>
      <c r="S44" s="171"/>
    </row>
    <row r="45" spans="1:19" s="140" customFormat="1" x14ac:dyDescent="0.2">
      <c r="A45" s="88" t="s">
        <v>3</v>
      </c>
      <c r="B45" s="89" t="s">
        <v>29</v>
      </c>
      <c r="C45" s="91">
        <v>1.6176078257003113E-2</v>
      </c>
      <c r="D45" s="91">
        <v>2.4426194988418616E-2</v>
      </c>
      <c r="E45" s="91">
        <v>2.143676580736302E-2</v>
      </c>
      <c r="F45" s="91">
        <v>1.8428586034147838E-2</v>
      </c>
      <c r="G45" s="91">
        <v>1.4749158575481506E-2</v>
      </c>
      <c r="H45" s="91">
        <v>1.3815869910747035E-2</v>
      </c>
      <c r="I45" s="91">
        <v>1.0215802952696595E-2</v>
      </c>
      <c r="J45" s="91">
        <v>1.7121521300137763E-2</v>
      </c>
      <c r="K45" s="193">
        <v>0.52702702702702697</v>
      </c>
      <c r="L45" s="181"/>
      <c r="M45" s="181"/>
      <c r="N45" s="181"/>
      <c r="O45" s="181"/>
      <c r="P45" s="181"/>
      <c r="Q45" s="181"/>
      <c r="R45" s="181"/>
      <c r="S45" s="171"/>
    </row>
    <row r="46" spans="1:19" s="140" customFormat="1" x14ac:dyDescent="0.2">
      <c r="A46" s="96"/>
      <c r="B46" s="97" t="s">
        <v>1</v>
      </c>
      <c r="C46" s="99">
        <v>1.8606641561109208E-2</v>
      </c>
      <c r="D46" s="99">
        <v>2.9811871953258365E-2</v>
      </c>
      <c r="E46" s="99">
        <v>2.7644230769230768E-2</v>
      </c>
      <c r="F46" s="99">
        <v>2.4204897269912751E-2</v>
      </c>
      <c r="G46" s="99">
        <v>2.0387866732968673E-2</v>
      </c>
      <c r="H46" s="99">
        <v>1.9304691316074499E-2</v>
      </c>
      <c r="I46" s="99">
        <v>1.4706967818128138E-2</v>
      </c>
      <c r="J46" s="99">
        <v>2.2200000000000001E-2</v>
      </c>
      <c r="K46" s="177"/>
      <c r="L46" s="181"/>
      <c r="M46" s="181"/>
      <c r="N46" s="181"/>
      <c r="O46" s="181"/>
      <c r="P46" s="181"/>
      <c r="Q46" s="181"/>
      <c r="R46" s="181"/>
      <c r="S46" s="171"/>
    </row>
    <row r="47" spans="1:19" s="140" customFormat="1" ht="12" thickBot="1" x14ac:dyDescent="0.25">
      <c r="A47" s="103"/>
      <c r="B47" s="104" t="s">
        <v>0</v>
      </c>
      <c r="C47" s="106">
        <v>1.3548028872848417E-2</v>
      </c>
      <c r="D47" s="106">
        <v>1.8586367452866192E-2</v>
      </c>
      <c r="E47" s="106">
        <v>1.4478473325423798E-2</v>
      </c>
      <c r="F47" s="106">
        <v>1.23045058011971E-2</v>
      </c>
      <c r="G47" s="106">
        <v>8.7895757443955131E-3</v>
      </c>
      <c r="H47" s="106">
        <v>7.7888158201576416E-3</v>
      </c>
      <c r="I47" s="106">
        <v>5.5367579206398029E-3</v>
      </c>
      <c r="J47" s="106">
        <v>1.17E-2</v>
      </c>
      <c r="K47" s="178"/>
      <c r="L47" s="181"/>
      <c r="M47" s="181"/>
      <c r="N47" s="181"/>
      <c r="O47" s="181"/>
      <c r="P47" s="181"/>
      <c r="Q47" s="181"/>
      <c r="R47" s="181"/>
      <c r="S47" s="171"/>
    </row>
  </sheetData>
  <sheetProtection algorithmName="SHA-512" hashValue="7zRh57/twV0Gg1r+A1ewhbQZFli9mG7F/wCneGo6N/0HT+ar52iY4q43eVe1jgxJHvJCTVk7z7Qgz4SjPo30AQ==" saltValue="3sttpbwLfy/OCaFAPYURjw==" spinCount="100000" sheet="1" objects="1" scenarios="1"/>
  <mergeCells count="9">
    <mergeCell ref="B10:B11"/>
    <mergeCell ref="C10:I10"/>
    <mergeCell ref="L10:Q10"/>
    <mergeCell ref="A6:K6"/>
    <mergeCell ref="A1:K1"/>
    <mergeCell ref="A2:K2"/>
    <mergeCell ref="A3:K3"/>
    <mergeCell ref="A4:K4"/>
    <mergeCell ref="A5:K5"/>
  </mergeCells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pageSetUpPr fitToPage="1"/>
  </sheetPr>
  <dimension ref="A1:X48"/>
  <sheetViews>
    <sheetView showGridLines="0" zoomScaleNormal="100" workbookViewId="0">
      <pane xSplit="2" ySplit="8" topLeftCell="C9" activePane="bottomRight" state="frozen"/>
      <selection activeCell="A6" sqref="A6:O6"/>
      <selection pane="topRight" activeCell="A6" sqref="A6:O6"/>
      <selection pane="bottomLeft" activeCell="A6" sqref="A6:O6"/>
      <selection pane="bottomRight" activeCell="N30" sqref="N30"/>
    </sheetView>
  </sheetViews>
  <sheetFormatPr defaultRowHeight="11.25" x14ac:dyDescent="0.2"/>
  <cols>
    <col min="1" max="1" width="46.42578125" style="110" customWidth="1"/>
    <col min="2" max="2" width="10.42578125" style="111" customWidth="1"/>
    <col min="3" max="4" width="6.5703125" style="14" customWidth="1"/>
    <col min="5" max="5" width="7" style="14" bestFit="1" customWidth="1"/>
    <col min="6" max="6" width="7.42578125" style="14" bestFit="1" customWidth="1"/>
    <col min="7" max="7" width="7.5703125" style="14" bestFit="1" customWidth="1"/>
    <col min="8" max="8" width="7.42578125" style="14" bestFit="1" customWidth="1"/>
    <col min="9" max="9" width="7.5703125" style="14" bestFit="1" customWidth="1"/>
    <col min="10" max="10" width="10.42578125" style="27" customWidth="1"/>
    <col min="11" max="11" width="9.5703125" style="155" customWidth="1"/>
    <col min="12" max="19" width="8.85546875" style="30"/>
    <col min="20" max="20" width="9.28515625" style="30" customWidth="1"/>
    <col min="21" max="24" width="8.85546875" style="30"/>
    <col min="25" max="208" width="8.85546875" style="111"/>
    <col min="209" max="209" width="23.7109375" style="111" customWidth="1"/>
    <col min="210" max="210" width="10.5703125" style="111" customWidth="1"/>
    <col min="211" max="211" width="6.5703125" style="111" customWidth="1"/>
    <col min="212" max="212" width="7" style="111" bestFit="1" customWidth="1"/>
    <col min="213" max="213" width="7.42578125" style="111" bestFit="1" customWidth="1"/>
    <col min="214" max="214" width="7.5703125" style="111" bestFit="1" customWidth="1"/>
    <col min="215" max="215" width="7.42578125" style="111" bestFit="1" customWidth="1"/>
    <col min="216" max="216" width="7.5703125" style="111" bestFit="1" customWidth="1"/>
    <col min="217" max="217" width="10.42578125" style="111" bestFit="1" customWidth="1"/>
    <col min="218" max="218" width="10.28515625" style="111" bestFit="1" customWidth="1"/>
    <col min="219" max="219" width="23.7109375" style="111" customWidth="1"/>
    <col min="220" max="220" width="10.5703125" style="111" customWidth="1"/>
    <col min="221" max="221" width="6.5703125" style="111" customWidth="1"/>
    <col min="222" max="222" width="7" style="111" customWidth="1"/>
    <col min="223" max="223" width="7.42578125" style="111" customWidth="1"/>
    <col min="224" max="224" width="7.5703125" style="111" customWidth="1"/>
    <col min="225" max="225" width="7.42578125" style="111" customWidth="1"/>
    <col min="226" max="226" width="7.5703125" style="111" customWidth="1"/>
    <col min="227" max="227" width="10.42578125" style="111" customWidth="1"/>
    <col min="228" max="228" width="10.28515625" style="111" customWidth="1"/>
    <col min="229" max="229" width="14.7109375" style="111" customWidth="1"/>
    <col min="230" max="230" width="10.5703125" style="111" customWidth="1"/>
    <col min="231" max="231" width="6.5703125" style="111" customWidth="1"/>
    <col min="232" max="232" width="7" style="111" customWidth="1"/>
    <col min="233" max="233" width="7.42578125" style="111" customWidth="1"/>
    <col min="234" max="234" width="7.5703125" style="111" customWidth="1"/>
    <col min="235" max="235" width="7.42578125" style="111" customWidth="1"/>
    <col min="236" max="236" width="7.5703125" style="111" customWidth="1"/>
    <col min="237" max="237" width="10.42578125" style="111" customWidth="1"/>
    <col min="238" max="238" width="10.28515625" style="111" customWidth="1"/>
    <col min="239" max="239" width="8.85546875" style="111"/>
    <col min="240" max="258" width="9.28515625" style="111" customWidth="1"/>
    <col min="259" max="464" width="8.85546875" style="111"/>
    <col min="465" max="465" width="23.7109375" style="111" customWidth="1"/>
    <col min="466" max="466" width="10.5703125" style="111" customWidth="1"/>
    <col min="467" max="467" width="6.5703125" style="111" customWidth="1"/>
    <col min="468" max="468" width="7" style="111" bestFit="1" customWidth="1"/>
    <col min="469" max="469" width="7.42578125" style="111" bestFit="1" customWidth="1"/>
    <col min="470" max="470" width="7.5703125" style="111" bestFit="1" customWidth="1"/>
    <col min="471" max="471" width="7.42578125" style="111" bestFit="1" customWidth="1"/>
    <col min="472" max="472" width="7.5703125" style="111" bestFit="1" customWidth="1"/>
    <col min="473" max="473" width="10.42578125" style="111" bestFit="1" customWidth="1"/>
    <col min="474" max="474" width="10.28515625" style="111" bestFit="1" customWidth="1"/>
    <col min="475" max="475" width="23.7109375" style="111" customWidth="1"/>
    <col min="476" max="476" width="10.5703125" style="111" customWidth="1"/>
    <col min="477" max="477" width="6.5703125" style="111" customWidth="1"/>
    <col min="478" max="478" width="7" style="111" customWidth="1"/>
    <col min="479" max="479" width="7.42578125" style="111" customWidth="1"/>
    <col min="480" max="480" width="7.5703125" style="111" customWidth="1"/>
    <col min="481" max="481" width="7.42578125" style="111" customWidth="1"/>
    <col min="482" max="482" width="7.5703125" style="111" customWidth="1"/>
    <col min="483" max="483" width="10.42578125" style="111" customWidth="1"/>
    <col min="484" max="484" width="10.28515625" style="111" customWidth="1"/>
    <col min="485" max="485" width="14.7109375" style="111" customWidth="1"/>
    <col min="486" max="486" width="10.5703125" style="111" customWidth="1"/>
    <col min="487" max="487" width="6.5703125" style="111" customWidth="1"/>
    <col min="488" max="488" width="7" style="111" customWidth="1"/>
    <col min="489" max="489" width="7.42578125" style="111" customWidth="1"/>
    <col min="490" max="490" width="7.5703125" style="111" customWidth="1"/>
    <col min="491" max="491" width="7.42578125" style="111" customWidth="1"/>
    <col min="492" max="492" width="7.5703125" style="111" customWidth="1"/>
    <col min="493" max="493" width="10.42578125" style="111" customWidth="1"/>
    <col min="494" max="494" width="10.28515625" style="111" customWidth="1"/>
    <col min="495" max="495" width="8.85546875" style="111"/>
    <col min="496" max="514" width="9.28515625" style="111" customWidth="1"/>
    <col min="515" max="720" width="8.85546875" style="111"/>
    <col min="721" max="721" width="23.7109375" style="111" customWidth="1"/>
    <col min="722" max="722" width="10.5703125" style="111" customWidth="1"/>
    <col min="723" max="723" width="6.5703125" style="111" customWidth="1"/>
    <col min="724" max="724" width="7" style="111" bestFit="1" customWidth="1"/>
    <col min="725" max="725" width="7.42578125" style="111" bestFit="1" customWidth="1"/>
    <col min="726" max="726" width="7.5703125" style="111" bestFit="1" customWidth="1"/>
    <col min="727" max="727" width="7.42578125" style="111" bestFit="1" customWidth="1"/>
    <col min="728" max="728" width="7.5703125" style="111" bestFit="1" customWidth="1"/>
    <col min="729" max="729" width="10.42578125" style="111" bestFit="1" customWidth="1"/>
    <col min="730" max="730" width="10.28515625" style="111" bestFit="1" customWidth="1"/>
    <col min="731" max="731" width="23.7109375" style="111" customWidth="1"/>
    <col min="732" max="732" width="10.5703125" style="111" customWidth="1"/>
    <col min="733" max="733" width="6.5703125" style="111" customWidth="1"/>
    <col min="734" max="734" width="7" style="111" customWidth="1"/>
    <col min="735" max="735" width="7.42578125" style="111" customWidth="1"/>
    <col min="736" max="736" width="7.5703125" style="111" customWidth="1"/>
    <col min="737" max="737" width="7.42578125" style="111" customWidth="1"/>
    <col min="738" max="738" width="7.5703125" style="111" customWidth="1"/>
    <col min="739" max="739" width="10.42578125" style="111" customWidth="1"/>
    <col min="740" max="740" width="10.28515625" style="111" customWidth="1"/>
    <col min="741" max="741" width="14.7109375" style="111" customWidth="1"/>
    <col min="742" max="742" width="10.5703125" style="111" customWidth="1"/>
    <col min="743" max="743" width="6.5703125" style="111" customWidth="1"/>
    <col min="744" max="744" width="7" style="111" customWidth="1"/>
    <col min="745" max="745" width="7.42578125" style="111" customWidth="1"/>
    <col min="746" max="746" width="7.5703125" style="111" customWidth="1"/>
    <col min="747" max="747" width="7.42578125" style="111" customWidth="1"/>
    <col min="748" max="748" width="7.5703125" style="111" customWidth="1"/>
    <col min="749" max="749" width="10.42578125" style="111" customWidth="1"/>
    <col min="750" max="750" width="10.28515625" style="111" customWidth="1"/>
    <col min="751" max="751" width="8.85546875" style="111"/>
    <col min="752" max="770" width="9.28515625" style="111" customWidth="1"/>
    <col min="771" max="976" width="8.85546875" style="111"/>
    <col min="977" max="977" width="23.7109375" style="111" customWidth="1"/>
    <col min="978" max="978" width="10.5703125" style="111" customWidth="1"/>
    <col min="979" max="979" width="6.5703125" style="111" customWidth="1"/>
    <col min="980" max="980" width="7" style="111" bestFit="1" customWidth="1"/>
    <col min="981" max="981" width="7.42578125" style="111" bestFit="1" customWidth="1"/>
    <col min="982" max="982" width="7.5703125" style="111" bestFit="1" customWidth="1"/>
    <col min="983" max="983" width="7.42578125" style="111" bestFit="1" customWidth="1"/>
    <col min="984" max="984" width="7.5703125" style="111" bestFit="1" customWidth="1"/>
    <col min="985" max="985" width="10.42578125" style="111" bestFit="1" customWidth="1"/>
    <col min="986" max="986" width="10.28515625" style="111" bestFit="1" customWidth="1"/>
    <col min="987" max="987" width="23.7109375" style="111" customWidth="1"/>
    <col min="988" max="988" width="10.5703125" style="111" customWidth="1"/>
    <col min="989" max="989" width="6.5703125" style="111" customWidth="1"/>
    <col min="990" max="990" width="7" style="111" customWidth="1"/>
    <col min="991" max="991" width="7.42578125" style="111" customWidth="1"/>
    <col min="992" max="992" width="7.5703125" style="111" customWidth="1"/>
    <col min="993" max="993" width="7.42578125" style="111" customWidth="1"/>
    <col min="994" max="994" width="7.5703125" style="111" customWidth="1"/>
    <col min="995" max="995" width="10.42578125" style="111" customWidth="1"/>
    <col min="996" max="996" width="10.28515625" style="111" customWidth="1"/>
    <col min="997" max="997" width="14.7109375" style="111" customWidth="1"/>
    <col min="998" max="998" width="10.5703125" style="111" customWidth="1"/>
    <col min="999" max="999" width="6.5703125" style="111" customWidth="1"/>
    <col min="1000" max="1000" width="7" style="111" customWidth="1"/>
    <col min="1001" max="1001" width="7.42578125" style="111" customWidth="1"/>
    <col min="1002" max="1002" width="7.5703125" style="111" customWidth="1"/>
    <col min="1003" max="1003" width="7.42578125" style="111" customWidth="1"/>
    <col min="1004" max="1004" width="7.5703125" style="111" customWidth="1"/>
    <col min="1005" max="1005" width="10.42578125" style="111" customWidth="1"/>
    <col min="1006" max="1006" width="10.28515625" style="111" customWidth="1"/>
    <col min="1007" max="1007" width="8.85546875" style="111"/>
    <col min="1008" max="1026" width="9.28515625" style="111" customWidth="1"/>
    <col min="1027" max="1232" width="8.85546875" style="111"/>
    <col min="1233" max="1233" width="23.7109375" style="111" customWidth="1"/>
    <col min="1234" max="1234" width="10.5703125" style="111" customWidth="1"/>
    <col min="1235" max="1235" width="6.5703125" style="111" customWidth="1"/>
    <col min="1236" max="1236" width="7" style="111" bestFit="1" customWidth="1"/>
    <col min="1237" max="1237" width="7.42578125" style="111" bestFit="1" customWidth="1"/>
    <col min="1238" max="1238" width="7.5703125" style="111" bestFit="1" customWidth="1"/>
    <col min="1239" max="1239" width="7.42578125" style="111" bestFit="1" customWidth="1"/>
    <col min="1240" max="1240" width="7.5703125" style="111" bestFit="1" customWidth="1"/>
    <col min="1241" max="1241" width="10.42578125" style="111" bestFit="1" customWidth="1"/>
    <col min="1242" max="1242" width="10.28515625" style="111" bestFit="1" customWidth="1"/>
    <col min="1243" max="1243" width="23.7109375" style="111" customWidth="1"/>
    <col min="1244" max="1244" width="10.5703125" style="111" customWidth="1"/>
    <col min="1245" max="1245" width="6.5703125" style="111" customWidth="1"/>
    <col min="1246" max="1246" width="7" style="111" customWidth="1"/>
    <col min="1247" max="1247" width="7.42578125" style="111" customWidth="1"/>
    <col min="1248" max="1248" width="7.5703125" style="111" customWidth="1"/>
    <col min="1249" max="1249" width="7.42578125" style="111" customWidth="1"/>
    <col min="1250" max="1250" width="7.5703125" style="111" customWidth="1"/>
    <col min="1251" max="1251" width="10.42578125" style="111" customWidth="1"/>
    <col min="1252" max="1252" width="10.28515625" style="111" customWidth="1"/>
    <col min="1253" max="1253" width="14.7109375" style="111" customWidth="1"/>
    <col min="1254" max="1254" width="10.5703125" style="111" customWidth="1"/>
    <col min="1255" max="1255" width="6.5703125" style="111" customWidth="1"/>
    <col min="1256" max="1256" width="7" style="111" customWidth="1"/>
    <col min="1257" max="1257" width="7.42578125" style="111" customWidth="1"/>
    <col min="1258" max="1258" width="7.5703125" style="111" customWidth="1"/>
    <col min="1259" max="1259" width="7.42578125" style="111" customWidth="1"/>
    <col min="1260" max="1260" width="7.5703125" style="111" customWidth="1"/>
    <col min="1261" max="1261" width="10.42578125" style="111" customWidth="1"/>
    <col min="1262" max="1262" width="10.28515625" style="111" customWidth="1"/>
    <col min="1263" max="1263" width="8.85546875" style="111"/>
    <col min="1264" max="1282" width="9.28515625" style="111" customWidth="1"/>
    <col min="1283" max="1488" width="8.85546875" style="111"/>
    <col min="1489" max="1489" width="23.7109375" style="111" customWidth="1"/>
    <col min="1490" max="1490" width="10.5703125" style="111" customWidth="1"/>
    <col min="1491" max="1491" width="6.5703125" style="111" customWidth="1"/>
    <col min="1492" max="1492" width="7" style="111" bestFit="1" customWidth="1"/>
    <col min="1493" max="1493" width="7.42578125" style="111" bestFit="1" customWidth="1"/>
    <col min="1494" max="1494" width="7.5703125" style="111" bestFit="1" customWidth="1"/>
    <col min="1495" max="1495" width="7.42578125" style="111" bestFit="1" customWidth="1"/>
    <col min="1496" max="1496" width="7.5703125" style="111" bestFit="1" customWidth="1"/>
    <col min="1497" max="1497" width="10.42578125" style="111" bestFit="1" customWidth="1"/>
    <col min="1498" max="1498" width="10.28515625" style="111" bestFit="1" customWidth="1"/>
    <col min="1499" max="1499" width="23.7109375" style="111" customWidth="1"/>
    <col min="1500" max="1500" width="10.5703125" style="111" customWidth="1"/>
    <col min="1501" max="1501" width="6.5703125" style="111" customWidth="1"/>
    <col min="1502" max="1502" width="7" style="111" customWidth="1"/>
    <col min="1503" max="1503" width="7.42578125" style="111" customWidth="1"/>
    <col min="1504" max="1504" width="7.5703125" style="111" customWidth="1"/>
    <col min="1505" max="1505" width="7.42578125" style="111" customWidth="1"/>
    <col min="1506" max="1506" width="7.5703125" style="111" customWidth="1"/>
    <col min="1507" max="1507" width="10.42578125" style="111" customWidth="1"/>
    <col min="1508" max="1508" width="10.28515625" style="111" customWidth="1"/>
    <col min="1509" max="1509" width="14.7109375" style="111" customWidth="1"/>
    <col min="1510" max="1510" width="10.5703125" style="111" customWidth="1"/>
    <col min="1511" max="1511" width="6.5703125" style="111" customWidth="1"/>
    <col min="1512" max="1512" width="7" style="111" customWidth="1"/>
    <col min="1513" max="1513" width="7.42578125" style="111" customWidth="1"/>
    <col min="1514" max="1514" width="7.5703125" style="111" customWidth="1"/>
    <col min="1515" max="1515" width="7.42578125" style="111" customWidth="1"/>
    <col min="1516" max="1516" width="7.5703125" style="111" customWidth="1"/>
    <col min="1517" max="1517" width="10.42578125" style="111" customWidth="1"/>
    <col min="1518" max="1518" width="10.28515625" style="111" customWidth="1"/>
    <col min="1519" max="1519" width="8.85546875" style="111"/>
    <col min="1520" max="1538" width="9.28515625" style="111" customWidth="1"/>
    <col min="1539" max="1744" width="8.85546875" style="111"/>
    <col min="1745" max="1745" width="23.7109375" style="111" customWidth="1"/>
    <col min="1746" max="1746" width="10.5703125" style="111" customWidth="1"/>
    <col min="1747" max="1747" width="6.5703125" style="111" customWidth="1"/>
    <col min="1748" max="1748" width="7" style="111" bestFit="1" customWidth="1"/>
    <col min="1749" max="1749" width="7.42578125" style="111" bestFit="1" customWidth="1"/>
    <col min="1750" max="1750" width="7.5703125" style="111" bestFit="1" customWidth="1"/>
    <col min="1751" max="1751" width="7.42578125" style="111" bestFit="1" customWidth="1"/>
    <col min="1752" max="1752" width="7.5703125" style="111" bestFit="1" customWidth="1"/>
    <col min="1753" max="1753" width="10.42578125" style="111" bestFit="1" customWidth="1"/>
    <col min="1754" max="1754" width="10.28515625" style="111" bestFit="1" customWidth="1"/>
    <col min="1755" max="1755" width="23.7109375" style="111" customWidth="1"/>
    <col min="1756" max="1756" width="10.5703125" style="111" customWidth="1"/>
    <col min="1757" max="1757" width="6.5703125" style="111" customWidth="1"/>
    <col min="1758" max="1758" width="7" style="111" customWidth="1"/>
    <col min="1759" max="1759" width="7.42578125" style="111" customWidth="1"/>
    <col min="1760" max="1760" width="7.5703125" style="111" customWidth="1"/>
    <col min="1761" max="1761" width="7.42578125" style="111" customWidth="1"/>
    <col min="1762" max="1762" width="7.5703125" style="111" customWidth="1"/>
    <col min="1763" max="1763" width="10.42578125" style="111" customWidth="1"/>
    <col min="1764" max="1764" width="10.28515625" style="111" customWidth="1"/>
    <col min="1765" max="1765" width="14.7109375" style="111" customWidth="1"/>
    <col min="1766" max="1766" width="10.5703125" style="111" customWidth="1"/>
    <col min="1767" max="1767" width="6.5703125" style="111" customWidth="1"/>
    <col min="1768" max="1768" width="7" style="111" customWidth="1"/>
    <col min="1769" max="1769" width="7.42578125" style="111" customWidth="1"/>
    <col min="1770" max="1770" width="7.5703125" style="111" customWidth="1"/>
    <col min="1771" max="1771" width="7.42578125" style="111" customWidth="1"/>
    <col min="1772" max="1772" width="7.5703125" style="111" customWidth="1"/>
    <col min="1773" max="1773" width="10.42578125" style="111" customWidth="1"/>
    <col min="1774" max="1774" width="10.28515625" style="111" customWidth="1"/>
    <col min="1775" max="1775" width="8.85546875" style="111"/>
    <col min="1776" max="1794" width="9.28515625" style="111" customWidth="1"/>
    <col min="1795" max="2000" width="8.85546875" style="111"/>
    <col min="2001" max="2001" width="23.7109375" style="111" customWidth="1"/>
    <col min="2002" max="2002" width="10.5703125" style="111" customWidth="1"/>
    <col min="2003" max="2003" width="6.5703125" style="111" customWidth="1"/>
    <col min="2004" max="2004" width="7" style="111" bestFit="1" customWidth="1"/>
    <col min="2005" max="2005" width="7.42578125" style="111" bestFit="1" customWidth="1"/>
    <col min="2006" max="2006" width="7.5703125" style="111" bestFit="1" customWidth="1"/>
    <col min="2007" max="2007" width="7.42578125" style="111" bestFit="1" customWidth="1"/>
    <col min="2008" max="2008" width="7.5703125" style="111" bestFit="1" customWidth="1"/>
    <col min="2009" max="2009" width="10.42578125" style="111" bestFit="1" customWidth="1"/>
    <col min="2010" max="2010" width="10.28515625" style="111" bestFit="1" customWidth="1"/>
    <col min="2011" max="2011" width="23.7109375" style="111" customWidth="1"/>
    <col min="2012" max="2012" width="10.5703125" style="111" customWidth="1"/>
    <col min="2013" max="2013" width="6.5703125" style="111" customWidth="1"/>
    <col min="2014" max="2014" width="7" style="111" customWidth="1"/>
    <col min="2015" max="2015" width="7.42578125" style="111" customWidth="1"/>
    <col min="2016" max="2016" width="7.5703125" style="111" customWidth="1"/>
    <col min="2017" max="2017" width="7.42578125" style="111" customWidth="1"/>
    <col min="2018" max="2018" width="7.5703125" style="111" customWidth="1"/>
    <col min="2019" max="2019" width="10.42578125" style="111" customWidth="1"/>
    <col min="2020" max="2020" width="10.28515625" style="111" customWidth="1"/>
    <col min="2021" max="2021" width="14.7109375" style="111" customWidth="1"/>
    <col min="2022" max="2022" width="10.5703125" style="111" customWidth="1"/>
    <col min="2023" max="2023" width="6.5703125" style="111" customWidth="1"/>
    <col min="2024" max="2024" width="7" style="111" customWidth="1"/>
    <col min="2025" max="2025" width="7.42578125" style="111" customWidth="1"/>
    <col min="2026" max="2026" width="7.5703125" style="111" customWidth="1"/>
    <col min="2027" max="2027" width="7.42578125" style="111" customWidth="1"/>
    <col min="2028" max="2028" width="7.5703125" style="111" customWidth="1"/>
    <col min="2029" max="2029" width="10.42578125" style="111" customWidth="1"/>
    <col min="2030" max="2030" width="10.28515625" style="111" customWidth="1"/>
    <col min="2031" max="2031" width="8.85546875" style="111"/>
    <col min="2032" max="2050" width="9.28515625" style="111" customWidth="1"/>
    <col min="2051" max="2256" width="8.85546875" style="111"/>
    <col min="2257" max="2257" width="23.7109375" style="111" customWidth="1"/>
    <col min="2258" max="2258" width="10.5703125" style="111" customWidth="1"/>
    <col min="2259" max="2259" width="6.5703125" style="111" customWidth="1"/>
    <col min="2260" max="2260" width="7" style="111" bestFit="1" customWidth="1"/>
    <col min="2261" max="2261" width="7.42578125" style="111" bestFit="1" customWidth="1"/>
    <col min="2262" max="2262" width="7.5703125" style="111" bestFit="1" customWidth="1"/>
    <col min="2263" max="2263" width="7.42578125" style="111" bestFit="1" customWidth="1"/>
    <col min="2264" max="2264" width="7.5703125" style="111" bestFit="1" customWidth="1"/>
    <col min="2265" max="2265" width="10.42578125" style="111" bestFit="1" customWidth="1"/>
    <col min="2266" max="2266" width="10.28515625" style="111" bestFit="1" customWidth="1"/>
    <col min="2267" max="2267" width="23.7109375" style="111" customWidth="1"/>
    <col min="2268" max="2268" width="10.5703125" style="111" customWidth="1"/>
    <col min="2269" max="2269" width="6.5703125" style="111" customWidth="1"/>
    <col min="2270" max="2270" width="7" style="111" customWidth="1"/>
    <col min="2271" max="2271" width="7.42578125" style="111" customWidth="1"/>
    <col min="2272" max="2272" width="7.5703125" style="111" customWidth="1"/>
    <col min="2273" max="2273" width="7.42578125" style="111" customWidth="1"/>
    <col min="2274" max="2274" width="7.5703125" style="111" customWidth="1"/>
    <col min="2275" max="2275" width="10.42578125" style="111" customWidth="1"/>
    <col min="2276" max="2276" width="10.28515625" style="111" customWidth="1"/>
    <col min="2277" max="2277" width="14.7109375" style="111" customWidth="1"/>
    <col min="2278" max="2278" width="10.5703125" style="111" customWidth="1"/>
    <col min="2279" max="2279" width="6.5703125" style="111" customWidth="1"/>
    <col min="2280" max="2280" width="7" style="111" customWidth="1"/>
    <col min="2281" max="2281" width="7.42578125" style="111" customWidth="1"/>
    <col min="2282" max="2282" width="7.5703125" style="111" customWidth="1"/>
    <col min="2283" max="2283" width="7.42578125" style="111" customWidth="1"/>
    <col min="2284" max="2284" width="7.5703125" style="111" customWidth="1"/>
    <col min="2285" max="2285" width="10.42578125" style="111" customWidth="1"/>
    <col min="2286" max="2286" width="10.28515625" style="111" customWidth="1"/>
    <col min="2287" max="2287" width="8.85546875" style="111"/>
    <col min="2288" max="2306" width="9.28515625" style="111" customWidth="1"/>
    <col min="2307" max="2512" width="8.85546875" style="111"/>
    <col min="2513" max="2513" width="23.7109375" style="111" customWidth="1"/>
    <col min="2514" max="2514" width="10.5703125" style="111" customWidth="1"/>
    <col min="2515" max="2515" width="6.5703125" style="111" customWidth="1"/>
    <col min="2516" max="2516" width="7" style="111" bestFit="1" customWidth="1"/>
    <col min="2517" max="2517" width="7.42578125" style="111" bestFit="1" customWidth="1"/>
    <col min="2518" max="2518" width="7.5703125" style="111" bestFit="1" customWidth="1"/>
    <col min="2519" max="2519" width="7.42578125" style="111" bestFit="1" customWidth="1"/>
    <col min="2520" max="2520" width="7.5703125" style="111" bestFit="1" customWidth="1"/>
    <col min="2521" max="2521" width="10.42578125" style="111" bestFit="1" customWidth="1"/>
    <col min="2522" max="2522" width="10.28515625" style="111" bestFit="1" customWidth="1"/>
    <col min="2523" max="2523" width="23.7109375" style="111" customWidth="1"/>
    <col min="2524" max="2524" width="10.5703125" style="111" customWidth="1"/>
    <col min="2525" max="2525" width="6.5703125" style="111" customWidth="1"/>
    <col min="2526" max="2526" width="7" style="111" customWidth="1"/>
    <col min="2527" max="2527" width="7.42578125" style="111" customWidth="1"/>
    <col min="2528" max="2528" width="7.5703125" style="111" customWidth="1"/>
    <col min="2529" max="2529" width="7.42578125" style="111" customWidth="1"/>
    <col min="2530" max="2530" width="7.5703125" style="111" customWidth="1"/>
    <col min="2531" max="2531" width="10.42578125" style="111" customWidth="1"/>
    <col min="2532" max="2532" width="10.28515625" style="111" customWidth="1"/>
    <col min="2533" max="2533" width="14.7109375" style="111" customWidth="1"/>
    <col min="2534" max="2534" width="10.5703125" style="111" customWidth="1"/>
    <col min="2535" max="2535" width="6.5703125" style="111" customWidth="1"/>
    <col min="2536" max="2536" width="7" style="111" customWidth="1"/>
    <col min="2537" max="2537" width="7.42578125" style="111" customWidth="1"/>
    <col min="2538" max="2538" width="7.5703125" style="111" customWidth="1"/>
    <col min="2539" max="2539" width="7.42578125" style="111" customWidth="1"/>
    <col min="2540" max="2540" width="7.5703125" style="111" customWidth="1"/>
    <col min="2541" max="2541" width="10.42578125" style="111" customWidth="1"/>
    <col min="2542" max="2542" width="10.28515625" style="111" customWidth="1"/>
    <col min="2543" max="2543" width="8.85546875" style="111"/>
    <col min="2544" max="2562" width="9.28515625" style="111" customWidth="1"/>
    <col min="2563" max="2768" width="8.85546875" style="111"/>
    <col min="2769" max="2769" width="23.7109375" style="111" customWidth="1"/>
    <col min="2770" max="2770" width="10.5703125" style="111" customWidth="1"/>
    <col min="2771" max="2771" width="6.5703125" style="111" customWidth="1"/>
    <col min="2772" max="2772" width="7" style="111" bestFit="1" customWidth="1"/>
    <col min="2773" max="2773" width="7.42578125" style="111" bestFit="1" customWidth="1"/>
    <col min="2774" max="2774" width="7.5703125" style="111" bestFit="1" customWidth="1"/>
    <col min="2775" max="2775" width="7.42578125" style="111" bestFit="1" customWidth="1"/>
    <col min="2776" max="2776" width="7.5703125" style="111" bestFit="1" customWidth="1"/>
    <col min="2777" max="2777" width="10.42578125" style="111" bestFit="1" customWidth="1"/>
    <col min="2778" max="2778" width="10.28515625" style="111" bestFit="1" customWidth="1"/>
    <col min="2779" max="2779" width="23.7109375" style="111" customWidth="1"/>
    <col min="2780" max="2780" width="10.5703125" style="111" customWidth="1"/>
    <col min="2781" max="2781" width="6.5703125" style="111" customWidth="1"/>
    <col min="2782" max="2782" width="7" style="111" customWidth="1"/>
    <col min="2783" max="2783" width="7.42578125" style="111" customWidth="1"/>
    <col min="2784" max="2784" width="7.5703125" style="111" customWidth="1"/>
    <col min="2785" max="2785" width="7.42578125" style="111" customWidth="1"/>
    <col min="2786" max="2786" width="7.5703125" style="111" customWidth="1"/>
    <col min="2787" max="2787" width="10.42578125" style="111" customWidth="1"/>
    <col min="2788" max="2788" width="10.28515625" style="111" customWidth="1"/>
    <col min="2789" max="2789" width="14.7109375" style="111" customWidth="1"/>
    <col min="2790" max="2790" width="10.5703125" style="111" customWidth="1"/>
    <col min="2791" max="2791" width="6.5703125" style="111" customWidth="1"/>
    <col min="2792" max="2792" width="7" style="111" customWidth="1"/>
    <col min="2793" max="2793" width="7.42578125" style="111" customWidth="1"/>
    <col min="2794" max="2794" width="7.5703125" style="111" customWidth="1"/>
    <col min="2795" max="2795" width="7.42578125" style="111" customWidth="1"/>
    <col min="2796" max="2796" width="7.5703125" style="111" customWidth="1"/>
    <col min="2797" max="2797" width="10.42578125" style="111" customWidth="1"/>
    <col min="2798" max="2798" width="10.28515625" style="111" customWidth="1"/>
    <col min="2799" max="2799" width="8.85546875" style="111"/>
    <col min="2800" max="2818" width="9.28515625" style="111" customWidth="1"/>
    <col min="2819" max="3024" width="8.85546875" style="111"/>
    <col min="3025" max="3025" width="23.7109375" style="111" customWidth="1"/>
    <col min="3026" max="3026" width="10.5703125" style="111" customWidth="1"/>
    <col min="3027" max="3027" width="6.5703125" style="111" customWidth="1"/>
    <col min="3028" max="3028" width="7" style="111" bestFit="1" customWidth="1"/>
    <col min="3029" max="3029" width="7.42578125" style="111" bestFit="1" customWidth="1"/>
    <col min="3030" max="3030" width="7.5703125" style="111" bestFit="1" customWidth="1"/>
    <col min="3031" max="3031" width="7.42578125" style="111" bestFit="1" customWidth="1"/>
    <col min="3032" max="3032" width="7.5703125" style="111" bestFit="1" customWidth="1"/>
    <col min="3033" max="3033" width="10.42578125" style="111" bestFit="1" customWidth="1"/>
    <col min="3034" max="3034" width="10.28515625" style="111" bestFit="1" customWidth="1"/>
    <col min="3035" max="3035" width="23.7109375" style="111" customWidth="1"/>
    <col min="3036" max="3036" width="10.5703125" style="111" customWidth="1"/>
    <col min="3037" max="3037" width="6.5703125" style="111" customWidth="1"/>
    <col min="3038" max="3038" width="7" style="111" customWidth="1"/>
    <col min="3039" max="3039" width="7.42578125" style="111" customWidth="1"/>
    <col min="3040" max="3040" width="7.5703125" style="111" customWidth="1"/>
    <col min="3041" max="3041" width="7.42578125" style="111" customWidth="1"/>
    <col min="3042" max="3042" width="7.5703125" style="111" customWidth="1"/>
    <col min="3043" max="3043" width="10.42578125" style="111" customWidth="1"/>
    <col min="3044" max="3044" width="10.28515625" style="111" customWidth="1"/>
    <col min="3045" max="3045" width="14.7109375" style="111" customWidth="1"/>
    <col min="3046" max="3046" width="10.5703125" style="111" customWidth="1"/>
    <col min="3047" max="3047" width="6.5703125" style="111" customWidth="1"/>
    <col min="3048" max="3048" width="7" style="111" customWidth="1"/>
    <col min="3049" max="3049" width="7.42578125" style="111" customWidth="1"/>
    <col min="3050" max="3050" width="7.5703125" style="111" customWidth="1"/>
    <col min="3051" max="3051" width="7.42578125" style="111" customWidth="1"/>
    <col min="3052" max="3052" width="7.5703125" style="111" customWidth="1"/>
    <col min="3053" max="3053" width="10.42578125" style="111" customWidth="1"/>
    <col min="3054" max="3054" width="10.28515625" style="111" customWidth="1"/>
    <col min="3055" max="3055" width="8.85546875" style="111"/>
    <col min="3056" max="3074" width="9.28515625" style="111" customWidth="1"/>
    <col min="3075" max="3280" width="8.85546875" style="111"/>
    <col min="3281" max="3281" width="23.7109375" style="111" customWidth="1"/>
    <col min="3282" max="3282" width="10.5703125" style="111" customWidth="1"/>
    <col min="3283" max="3283" width="6.5703125" style="111" customWidth="1"/>
    <col min="3284" max="3284" width="7" style="111" bestFit="1" customWidth="1"/>
    <col min="3285" max="3285" width="7.42578125" style="111" bestFit="1" customWidth="1"/>
    <col min="3286" max="3286" width="7.5703125" style="111" bestFit="1" customWidth="1"/>
    <col min="3287" max="3287" width="7.42578125" style="111" bestFit="1" customWidth="1"/>
    <col min="3288" max="3288" width="7.5703125" style="111" bestFit="1" customWidth="1"/>
    <col min="3289" max="3289" width="10.42578125" style="111" bestFit="1" customWidth="1"/>
    <col min="3290" max="3290" width="10.28515625" style="111" bestFit="1" customWidth="1"/>
    <col min="3291" max="3291" width="23.7109375" style="111" customWidth="1"/>
    <col min="3292" max="3292" width="10.5703125" style="111" customWidth="1"/>
    <col min="3293" max="3293" width="6.5703125" style="111" customWidth="1"/>
    <col min="3294" max="3294" width="7" style="111" customWidth="1"/>
    <col min="3295" max="3295" width="7.42578125" style="111" customWidth="1"/>
    <col min="3296" max="3296" width="7.5703125" style="111" customWidth="1"/>
    <col min="3297" max="3297" width="7.42578125" style="111" customWidth="1"/>
    <col min="3298" max="3298" width="7.5703125" style="111" customWidth="1"/>
    <col min="3299" max="3299" width="10.42578125" style="111" customWidth="1"/>
    <col min="3300" max="3300" width="10.28515625" style="111" customWidth="1"/>
    <col min="3301" max="3301" width="14.7109375" style="111" customWidth="1"/>
    <col min="3302" max="3302" width="10.5703125" style="111" customWidth="1"/>
    <col min="3303" max="3303" width="6.5703125" style="111" customWidth="1"/>
    <col min="3304" max="3304" width="7" style="111" customWidth="1"/>
    <col min="3305" max="3305" width="7.42578125" style="111" customWidth="1"/>
    <col min="3306" max="3306" width="7.5703125" style="111" customWidth="1"/>
    <col min="3307" max="3307" width="7.42578125" style="111" customWidth="1"/>
    <col min="3308" max="3308" width="7.5703125" style="111" customWidth="1"/>
    <col min="3309" max="3309" width="10.42578125" style="111" customWidth="1"/>
    <col min="3310" max="3310" width="10.28515625" style="111" customWidth="1"/>
    <col min="3311" max="3311" width="8.85546875" style="111"/>
    <col min="3312" max="3330" width="9.28515625" style="111" customWidth="1"/>
    <col min="3331" max="3536" width="8.85546875" style="111"/>
    <col min="3537" max="3537" width="23.7109375" style="111" customWidth="1"/>
    <col min="3538" max="3538" width="10.5703125" style="111" customWidth="1"/>
    <col min="3539" max="3539" width="6.5703125" style="111" customWidth="1"/>
    <col min="3540" max="3540" width="7" style="111" bestFit="1" customWidth="1"/>
    <col min="3541" max="3541" width="7.42578125" style="111" bestFit="1" customWidth="1"/>
    <col min="3542" max="3542" width="7.5703125" style="111" bestFit="1" customWidth="1"/>
    <col min="3543" max="3543" width="7.42578125" style="111" bestFit="1" customWidth="1"/>
    <col min="3544" max="3544" width="7.5703125" style="111" bestFit="1" customWidth="1"/>
    <col min="3545" max="3545" width="10.42578125" style="111" bestFit="1" customWidth="1"/>
    <col min="3546" max="3546" width="10.28515625" style="111" bestFit="1" customWidth="1"/>
    <col min="3547" max="3547" width="23.7109375" style="111" customWidth="1"/>
    <col min="3548" max="3548" width="10.5703125" style="111" customWidth="1"/>
    <col min="3549" max="3549" width="6.5703125" style="111" customWidth="1"/>
    <col min="3550" max="3550" width="7" style="111" customWidth="1"/>
    <col min="3551" max="3551" width="7.42578125" style="111" customWidth="1"/>
    <col min="3552" max="3552" width="7.5703125" style="111" customWidth="1"/>
    <col min="3553" max="3553" width="7.42578125" style="111" customWidth="1"/>
    <col min="3554" max="3554" width="7.5703125" style="111" customWidth="1"/>
    <col min="3555" max="3555" width="10.42578125" style="111" customWidth="1"/>
    <col min="3556" max="3556" width="10.28515625" style="111" customWidth="1"/>
    <col min="3557" max="3557" width="14.7109375" style="111" customWidth="1"/>
    <col min="3558" max="3558" width="10.5703125" style="111" customWidth="1"/>
    <col min="3559" max="3559" width="6.5703125" style="111" customWidth="1"/>
    <col min="3560" max="3560" width="7" style="111" customWidth="1"/>
    <col min="3561" max="3561" width="7.42578125" style="111" customWidth="1"/>
    <col min="3562" max="3562" width="7.5703125" style="111" customWidth="1"/>
    <col min="3563" max="3563" width="7.42578125" style="111" customWidth="1"/>
    <col min="3564" max="3564" width="7.5703125" style="111" customWidth="1"/>
    <col min="3565" max="3565" width="10.42578125" style="111" customWidth="1"/>
    <col min="3566" max="3566" width="10.28515625" style="111" customWidth="1"/>
    <col min="3567" max="3567" width="8.85546875" style="111"/>
    <col min="3568" max="3586" width="9.28515625" style="111" customWidth="1"/>
    <col min="3587" max="3792" width="8.85546875" style="111"/>
    <col min="3793" max="3793" width="23.7109375" style="111" customWidth="1"/>
    <col min="3794" max="3794" width="10.5703125" style="111" customWidth="1"/>
    <col min="3795" max="3795" width="6.5703125" style="111" customWidth="1"/>
    <col min="3796" max="3796" width="7" style="111" bestFit="1" customWidth="1"/>
    <col min="3797" max="3797" width="7.42578125" style="111" bestFit="1" customWidth="1"/>
    <col min="3798" max="3798" width="7.5703125" style="111" bestFit="1" customWidth="1"/>
    <col min="3799" max="3799" width="7.42578125" style="111" bestFit="1" customWidth="1"/>
    <col min="3800" max="3800" width="7.5703125" style="111" bestFit="1" customWidth="1"/>
    <col min="3801" max="3801" width="10.42578125" style="111" bestFit="1" customWidth="1"/>
    <col min="3802" max="3802" width="10.28515625" style="111" bestFit="1" customWidth="1"/>
    <col min="3803" max="3803" width="23.7109375" style="111" customWidth="1"/>
    <col min="3804" max="3804" width="10.5703125" style="111" customWidth="1"/>
    <col min="3805" max="3805" width="6.5703125" style="111" customWidth="1"/>
    <col min="3806" max="3806" width="7" style="111" customWidth="1"/>
    <col min="3807" max="3807" width="7.42578125" style="111" customWidth="1"/>
    <col min="3808" max="3808" width="7.5703125" style="111" customWidth="1"/>
    <col min="3809" max="3809" width="7.42578125" style="111" customWidth="1"/>
    <col min="3810" max="3810" width="7.5703125" style="111" customWidth="1"/>
    <col min="3811" max="3811" width="10.42578125" style="111" customWidth="1"/>
    <col min="3812" max="3812" width="10.28515625" style="111" customWidth="1"/>
    <col min="3813" max="3813" width="14.7109375" style="111" customWidth="1"/>
    <col min="3814" max="3814" width="10.5703125" style="111" customWidth="1"/>
    <col min="3815" max="3815" width="6.5703125" style="111" customWidth="1"/>
    <col min="3816" max="3816" width="7" style="111" customWidth="1"/>
    <col min="3817" max="3817" width="7.42578125" style="111" customWidth="1"/>
    <col min="3818" max="3818" width="7.5703125" style="111" customWidth="1"/>
    <col min="3819" max="3819" width="7.42578125" style="111" customWidth="1"/>
    <col min="3820" max="3820" width="7.5703125" style="111" customWidth="1"/>
    <col min="3821" max="3821" width="10.42578125" style="111" customWidth="1"/>
    <col min="3822" max="3822" width="10.28515625" style="111" customWidth="1"/>
    <col min="3823" max="3823" width="8.85546875" style="111"/>
    <col min="3824" max="3842" width="9.28515625" style="111" customWidth="1"/>
    <col min="3843" max="4048" width="8.85546875" style="111"/>
    <col min="4049" max="4049" width="23.7109375" style="111" customWidth="1"/>
    <col min="4050" max="4050" width="10.5703125" style="111" customWidth="1"/>
    <col min="4051" max="4051" width="6.5703125" style="111" customWidth="1"/>
    <col min="4052" max="4052" width="7" style="111" bestFit="1" customWidth="1"/>
    <col min="4053" max="4053" width="7.42578125" style="111" bestFit="1" customWidth="1"/>
    <col min="4054" max="4054" width="7.5703125" style="111" bestFit="1" customWidth="1"/>
    <col min="4055" max="4055" width="7.42578125" style="111" bestFit="1" customWidth="1"/>
    <col min="4056" max="4056" width="7.5703125" style="111" bestFit="1" customWidth="1"/>
    <col min="4057" max="4057" width="10.42578125" style="111" bestFit="1" customWidth="1"/>
    <col min="4058" max="4058" width="10.28515625" style="111" bestFit="1" customWidth="1"/>
    <col min="4059" max="4059" width="23.7109375" style="111" customWidth="1"/>
    <col min="4060" max="4060" width="10.5703125" style="111" customWidth="1"/>
    <col min="4061" max="4061" width="6.5703125" style="111" customWidth="1"/>
    <col min="4062" max="4062" width="7" style="111" customWidth="1"/>
    <col min="4063" max="4063" width="7.42578125" style="111" customWidth="1"/>
    <col min="4064" max="4064" width="7.5703125" style="111" customWidth="1"/>
    <col min="4065" max="4065" width="7.42578125" style="111" customWidth="1"/>
    <col min="4066" max="4066" width="7.5703125" style="111" customWidth="1"/>
    <col min="4067" max="4067" width="10.42578125" style="111" customWidth="1"/>
    <col min="4068" max="4068" width="10.28515625" style="111" customWidth="1"/>
    <col min="4069" max="4069" width="14.7109375" style="111" customWidth="1"/>
    <col min="4070" max="4070" width="10.5703125" style="111" customWidth="1"/>
    <col min="4071" max="4071" width="6.5703125" style="111" customWidth="1"/>
    <col min="4072" max="4072" width="7" style="111" customWidth="1"/>
    <col min="4073" max="4073" width="7.42578125" style="111" customWidth="1"/>
    <col min="4074" max="4074" width="7.5703125" style="111" customWidth="1"/>
    <col min="4075" max="4075" width="7.42578125" style="111" customWidth="1"/>
    <col min="4076" max="4076" width="7.5703125" style="111" customWidth="1"/>
    <col min="4077" max="4077" width="10.42578125" style="111" customWidth="1"/>
    <col min="4078" max="4078" width="10.28515625" style="111" customWidth="1"/>
    <col min="4079" max="4079" width="8.85546875" style="111"/>
    <col min="4080" max="4098" width="9.28515625" style="111" customWidth="1"/>
    <col min="4099" max="4304" width="8.85546875" style="111"/>
    <col min="4305" max="4305" width="23.7109375" style="111" customWidth="1"/>
    <col min="4306" max="4306" width="10.5703125" style="111" customWidth="1"/>
    <col min="4307" max="4307" width="6.5703125" style="111" customWidth="1"/>
    <col min="4308" max="4308" width="7" style="111" bestFit="1" customWidth="1"/>
    <col min="4309" max="4309" width="7.42578125" style="111" bestFit="1" customWidth="1"/>
    <col min="4310" max="4310" width="7.5703125" style="111" bestFit="1" customWidth="1"/>
    <col min="4311" max="4311" width="7.42578125" style="111" bestFit="1" customWidth="1"/>
    <col min="4312" max="4312" width="7.5703125" style="111" bestFit="1" customWidth="1"/>
    <col min="4313" max="4313" width="10.42578125" style="111" bestFit="1" customWidth="1"/>
    <col min="4314" max="4314" width="10.28515625" style="111" bestFit="1" customWidth="1"/>
    <col min="4315" max="4315" width="23.7109375" style="111" customWidth="1"/>
    <col min="4316" max="4316" width="10.5703125" style="111" customWidth="1"/>
    <col min="4317" max="4317" width="6.5703125" style="111" customWidth="1"/>
    <col min="4318" max="4318" width="7" style="111" customWidth="1"/>
    <col min="4319" max="4319" width="7.42578125" style="111" customWidth="1"/>
    <col min="4320" max="4320" width="7.5703125" style="111" customWidth="1"/>
    <col min="4321" max="4321" width="7.42578125" style="111" customWidth="1"/>
    <col min="4322" max="4322" width="7.5703125" style="111" customWidth="1"/>
    <col min="4323" max="4323" width="10.42578125" style="111" customWidth="1"/>
    <col min="4324" max="4324" width="10.28515625" style="111" customWidth="1"/>
    <col min="4325" max="4325" width="14.7109375" style="111" customWidth="1"/>
    <col min="4326" max="4326" width="10.5703125" style="111" customWidth="1"/>
    <col min="4327" max="4327" width="6.5703125" style="111" customWidth="1"/>
    <col min="4328" max="4328" width="7" style="111" customWidth="1"/>
    <col min="4329" max="4329" width="7.42578125" style="111" customWidth="1"/>
    <col min="4330" max="4330" width="7.5703125" style="111" customWidth="1"/>
    <col min="4331" max="4331" width="7.42578125" style="111" customWidth="1"/>
    <col min="4332" max="4332" width="7.5703125" style="111" customWidth="1"/>
    <col min="4333" max="4333" width="10.42578125" style="111" customWidth="1"/>
    <col min="4334" max="4334" width="10.28515625" style="111" customWidth="1"/>
    <col min="4335" max="4335" width="8.85546875" style="111"/>
    <col min="4336" max="4354" width="9.28515625" style="111" customWidth="1"/>
    <col min="4355" max="4560" width="8.85546875" style="111"/>
    <col min="4561" max="4561" width="23.7109375" style="111" customWidth="1"/>
    <col min="4562" max="4562" width="10.5703125" style="111" customWidth="1"/>
    <col min="4563" max="4563" width="6.5703125" style="111" customWidth="1"/>
    <col min="4564" max="4564" width="7" style="111" bestFit="1" customWidth="1"/>
    <col min="4565" max="4565" width="7.42578125" style="111" bestFit="1" customWidth="1"/>
    <col min="4566" max="4566" width="7.5703125" style="111" bestFit="1" customWidth="1"/>
    <col min="4567" max="4567" width="7.42578125" style="111" bestFit="1" customWidth="1"/>
    <col min="4568" max="4568" width="7.5703125" style="111" bestFit="1" customWidth="1"/>
    <col min="4569" max="4569" width="10.42578125" style="111" bestFit="1" customWidth="1"/>
    <col min="4570" max="4570" width="10.28515625" style="111" bestFit="1" customWidth="1"/>
    <col min="4571" max="4571" width="23.7109375" style="111" customWidth="1"/>
    <col min="4572" max="4572" width="10.5703125" style="111" customWidth="1"/>
    <col min="4573" max="4573" width="6.5703125" style="111" customWidth="1"/>
    <col min="4574" max="4574" width="7" style="111" customWidth="1"/>
    <col min="4575" max="4575" width="7.42578125" style="111" customWidth="1"/>
    <col min="4576" max="4576" width="7.5703125" style="111" customWidth="1"/>
    <col min="4577" max="4577" width="7.42578125" style="111" customWidth="1"/>
    <col min="4578" max="4578" width="7.5703125" style="111" customWidth="1"/>
    <col min="4579" max="4579" width="10.42578125" style="111" customWidth="1"/>
    <col min="4580" max="4580" width="10.28515625" style="111" customWidth="1"/>
    <col min="4581" max="4581" width="14.7109375" style="111" customWidth="1"/>
    <col min="4582" max="4582" width="10.5703125" style="111" customWidth="1"/>
    <col min="4583" max="4583" width="6.5703125" style="111" customWidth="1"/>
    <col min="4584" max="4584" width="7" style="111" customWidth="1"/>
    <col min="4585" max="4585" width="7.42578125" style="111" customWidth="1"/>
    <col min="4586" max="4586" width="7.5703125" style="111" customWidth="1"/>
    <col min="4587" max="4587" width="7.42578125" style="111" customWidth="1"/>
    <col min="4588" max="4588" width="7.5703125" style="111" customWidth="1"/>
    <col min="4589" max="4589" width="10.42578125" style="111" customWidth="1"/>
    <col min="4590" max="4590" width="10.28515625" style="111" customWidth="1"/>
    <col min="4591" max="4591" width="8.85546875" style="111"/>
    <col min="4592" max="4610" width="9.28515625" style="111" customWidth="1"/>
    <col min="4611" max="4816" width="8.85546875" style="111"/>
    <col min="4817" max="4817" width="23.7109375" style="111" customWidth="1"/>
    <col min="4818" max="4818" width="10.5703125" style="111" customWidth="1"/>
    <col min="4819" max="4819" width="6.5703125" style="111" customWidth="1"/>
    <col min="4820" max="4820" width="7" style="111" bestFit="1" customWidth="1"/>
    <col min="4821" max="4821" width="7.42578125" style="111" bestFit="1" customWidth="1"/>
    <col min="4822" max="4822" width="7.5703125" style="111" bestFit="1" customWidth="1"/>
    <col min="4823" max="4823" width="7.42578125" style="111" bestFit="1" customWidth="1"/>
    <col min="4824" max="4824" width="7.5703125" style="111" bestFit="1" customWidth="1"/>
    <col min="4825" max="4825" width="10.42578125" style="111" bestFit="1" customWidth="1"/>
    <col min="4826" max="4826" width="10.28515625" style="111" bestFit="1" customWidth="1"/>
    <col min="4827" max="4827" width="23.7109375" style="111" customWidth="1"/>
    <col min="4828" max="4828" width="10.5703125" style="111" customWidth="1"/>
    <col min="4829" max="4829" width="6.5703125" style="111" customWidth="1"/>
    <col min="4830" max="4830" width="7" style="111" customWidth="1"/>
    <col min="4831" max="4831" width="7.42578125" style="111" customWidth="1"/>
    <col min="4832" max="4832" width="7.5703125" style="111" customWidth="1"/>
    <col min="4833" max="4833" width="7.42578125" style="111" customWidth="1"/>
    <col min="4834" max="4834" width="7.5703125" style="111" customWidth="1"/>
    <col min="4835" max="4835" width="10.42578125" style="111" customWidth="1"/>
    <col min="4836" max="4836" width="10.28515625" style="111" customWidth="1"/>
    <col min="4837" max="4837" width="14.7109375" style="111" customWidth="1"/>
    <col min="4838" max="4838" width="10.5703125" style="111" customWidth="1"/>
    <col min="4839" max="4839" width="6.5703125" style="111" customWidth="1"/>
    <col min="4840" max="4840" width="7" style="111" customWidth="1"/>
    <col min="4841" max="4841" width="7.42578125" style="111" customWidth="1"/>
    <col min="4842" max="4842" width="7.5703125" style="111" customWidth="1"/>
    <col min="4843" max="4843" width="7.42578125" style="111" customWidth="1"/>
    <col min="4844" max="4844" width="7.5703125" style="111" customWidth="1"/>
    <col min="4845" max="4845" width="10.42578125" style="111" customWidth="1"/>
    <col min="4846" max="4846" width="10.28515625" style="111" customWidth="1"/>
    <col min="4847" max="4847" width="8.85546875" style="111"/>
    <col min="4848" max="4866" width="9.28515625" style="111" customWidth="1"/>
    <col min="4867" max="5072" width="8.85546875" style="111"/>
    <col min="5073" max="5073" width="23.7109375" style="111" customWidth="1"/>
    <col min="5074" max="5074" width="10.5703125" style="111" customWidth="1"/>
    <col min="5075" max="5075" width="6.5703125" style="111" customWidth="1"/>
    <col min="5076" max="5076" width="7" style="111" bestFit="1" customWidth="1"/>
    <col min="5077" max="5077" width="7.42578125" style="111" bestFit="1" customWidth="1"/>
    <col min="5078" max="5078" width="7.5703125" style="111" bestFit="1" customWidth="1"/>
    <col min="5079" max="5079" width="7.42578125" style="111" bestFit="1" customWidth="1"/>
    <col min="5080" max="5080" width="7.5703125" style="111" bestFit="1" customWidth="1"/>
    <col min="5081" max="5081" width="10.42578125" style="111" bestFit="1" customWidth="1"/>
    <col min="5082" max="5082" width="10.28515625" style="111" bestFit="1" customWidth="1"/>
    <col min="5083" max="5083" width="23.7109375" style="111" customWidth="1"/>
    <col min="5084" max="5084" width="10.5703125" style="111" customWidth="1"/>
    <col min="5085" max="5085" width="6.5703125" style="111" customWidth="1"/>
    <col min="5086" max="5086" width="7" style="111" customWidth="1"/>
    <col min="5087" max="5087" width="7.42578125" style="111" customWidth="1"/>
    <col min="5088" max="5088" width="7.5703125" style="111" customWidth="1"/>
    <col min="5089" max="5089" width="7.42578125" style="111" customWidth="1"/>
    <col min="5090" max="5090" width="7.5703125" style="111" customWidth="1"/>
    <col min="5091" max="5091" width="10.42578125" style="111" customWidth="1"/>
    <col min="5092" max="5092" width="10.28515625" style="111" customWidth="1"/>
    <col min="5093" max="5093" width="14.7109375" style="111" customWidth="1"/>
    <col min="5094" max="5094" width="10.5703125" style="111" customWidth="1"/>
    <col min="5095" max="5095" width="6.5703125" style="111" customWidth="1"/>
    <col min="5096" max="5096" width="7" style="111" customWidth="1"/>
    <col min="5097" max="5097" width="7.42578125" style="111" customWidth="1"/>
    <col min="5098" max="5098" width="7.5703125" style="111" customWidth="1"/>
    <col min="5099" max="5099" width="7.42578125" style="111" customWidth="1"/>
    <col min="5100" max="5100" width="7.5703125" style="111" customWidth="1"/>
    <col min="5101" max="5101" width="10.42578125" style="111" customWidth="1"/>
    <col min="5102" max="5102" width="10.28515625" style="111" customWidth="1"/>
    <col min="5103" max="5103" width="8.85546875" style="111"/>
    <col min="5104" max="5122" width="9.28515625" style="111" customWidth="1"/>
    <col min="5123" max="5328" width="8.85546875" style="111"/>
    <col min="5329" max="5329" width="23.7109375" style="111" customWidth="1"/>
    <col min="5330" max="5330" width="10.5703125" style="111" customWidth="1"/>
    <col min="5331" max="5331" width="6.5703125" style="111" customWidth="1"/>
    <col min="5332" max="5332" width="7" style="111" bestFit="1" customWidth="1"/>
    <col min="5333" max="5333" width="7.42578125" style="111" bestFit="1" customWidth="1"/>
    <col min="5334" max="5334" width="7.5703125" style="111" bestFit="1" customWidth="1"/>
    <col min="5335" max="5335" width="7.42578125" style="111" bestFit="1" customWidth="1"/>
    <col min="5336" max="5336" width="7.5703125" style="111" bestFit="1" customWidth="1"/>
    <col min="5337" max="5337" width="10.42578125" style="111" bestFit="1" customWidth="1"/>
    <col min="5338" max="5338" width="10.28515625" style="111" bestFit="1" customWidth="1"/>
    <col min="5339" max="5339" width="23.7109375" style="111" customWidth="1"/>
    <col min="5340" max="5340" width="10.5703125" style="111" customWidth="1"/>
    <col min="5341" max="5341" width="6.5703125" style="111" customWidth="1"/>
    <col min="5342" max="5342" width="7" style="111" customWidth="1"/>
    <col min="5343" max="5343" width="7.42578125" style="111" customWidth="1"/>
    <col min="5344" max="5344" width="7.5703125" style="111" customWidth="1"/>
    <col min="5345" max="5345" width="7.42578125" style="111" customWidth="1"/>
    <col min="5346" max="5346" width="7.5703125" style="111" customWidth="1"/>
    <col min="5347" max="5347" width="10.42578125" style="111" customWidth="1"/>
    <col min="5348" max="5348" width="10.28515625" style="111" customWidth="1"/>
    <col min="5349" max="5349" width="14.7109375" style="111" customWidth="1"/>
    <col min="5350" max="5350" width="10.5703125" style="111" customWidth="1"/>
    <col min="5351" max="5351" width="6.5703125" style="111" customWidth="1"/>
    <col min="5352" max="5352" width="7" style="111" customWidth="1"/>
    <col min="5353" max="5353" width="7.42578125" style="111" customWidth="1"/>
    <col min="5354" max="5354" width="7.5703125" style="111" customWidth="1"/>
    <col min="5355" max="5355" width="7.42578125" style="111" customWidth="1"/>
    <col min="5356" max="5356" width="7.5703125" style="111" customWidth="1"/>
    <col min="5357" max="5357" width="10.42578125" style="111" customWidth="1"/>
    <col min="5358" max="5358" width="10.28515625" style="111" customWidth="1"/>
    <col min="5359" max="5359" width="8.85546875" style="111"/>
    <col min="5360" max="5378" width="9.28515625" style="111" customWidth="1"/>
    <col min="5379" max="5584" width="8.85546875" style="111"/>
    <col min="5585" max="5585" width="23.7109375" style="111" customWidth="1"/>
    <col min="5586" max="5586" width="10.5703125" style="111" customWidth="1"/>
    <col min="5587" max="5587" width="6.5703125" style="111" customWidth="1"/>
    <col min="5588" max="5588" width="7" style="111" bestFit="1" customWidth="1"/>
    <col min="5589" max="5589" width="7.42578125" style="111" bestFit="1" customWidth="1"/>
    <col min="5590" max="5590" width="7.5703125" style="111" bestFit="1" customWidth="1"/>
    <col min="5591" max="5591" width="7.42578125" style="111" bestFit="1" customWidth="1"/>
    <col min="5592" max="5592" width="7.5703125" style="111" bestFit="1" customWidth="1"/>
    <col min="5593" max="5593" width="10.42578125" style="111" bestFit="1" customWidth="1"/>
    <col min="5594" max="5594" width="10.28515625" style="111" bestFit="1" customWidth="1"/>
    <col min="5595" max="5595" width="23.7109375" style="111" customWidth="1"/>
    <col min="5596" max="5596" width="10.5703125" style="111" customWidth="1"/>
    <col min="5597" max="5597" width="6.5703125" style="111" customWidth="1"/>
    <col min="5598" max="5598" width="7" style="111" customWidth="1"/>
    <col min="5599" max="5599" width="7.42578125" style="111" customWidth="1"/>
    <col min="5600" max="5600" width="7.5703125" style="111" customWidth="1"/>
    <col min="5601" max="5601" width="7.42578125" style="111" customWidth="1"/>
    <col min="5602" max="5602" width="7.5703125" style="111" customWidth="1"/>
    <col min="5603" max="5603" width="10.42578125" style="111" customWidth="1"/>
    <col min="5604" max="5604" width="10.28515625" style="111" customWidth="1"/>
    <col min="5605" max="5605" width="14.7109375" style="111" customWidth="1"/>
    <col min="5606" max="5606" width="10.5703125" style="111" customWidth="1"/>
    <col min="5607" max="5607" width="6.5703125" style="111" customWidth="1"/>
    <col min="5608" max="5608" width="7" style="111" customWidth="1"/>
    <col min="5609" max="5609" width="7.42578125" style="111" customWidth="1"/>
    <col min="5610" max="5610" width="7.5703125" style="111" customWidth="1"/>
    <col min="5611" max="5611" width="7.42578125" style="111" customWidth="1"/>
    <col min="5612" max="5612" width="7.5703125" style="111" customWidth="1"/>
    <col min="5613" max="5613" width="10.42578125" style="111" customWidth="1"/>
    <col min="5614" max="5614" width="10.28515625" style="111" customWidth="1"/>
    <col min="5615" max="5615" width="8.85546875" style="111"/>
    <col min="5616" max="5634" width="9.28515625" style="111" customWidth="1"/>
    <col min="5635" max="5840" width="8.85546875" style="111"/>
    <col min="5841" max="5841" width="23.7109375" style="111" customWidth="1"/>
    <col min="5842" max="5842" width="10.5703125" style="111" customWidth="1"/>
    <col min="5843" max="5843" width="6.5703125" style="111" customWidth="1"/>
    <col min="5844" max="5844" width="7" style="111" bestFit="1" customWidth="1"/>
    <col min="5845" max="5845" width="7.42578125" style="111" bestFit="1" customWidth="1"/>
    <col min="5846" max="5846" width="7.5703125" style="111" bestFit="1" customWidth="1"/>
    <col min="5847" max="5847" width="7.42578125" style="111" bestFit="1" customWidth="1"/>
    <col min="5848" max="5848" width="7.5703125" style="111" bestFit="1" customWidth="1"/>
    <col min="5849" max="5849" width="10.42578125" style="111" bestFit="1" customWidth="1"/>
    <col min="5850" max="5850" width="10.28515625" style="111" bestFit="1" customWidth="1"/>
    <col min="5851" max="5851" width="23.7109375" style="111" customWidth="1"/>
    <col min="5852" max="5852" width="10.5703125" style="111" customWidth="1"/>
    <col min="5853" max="5853" width="6.5703125" style="111" customWidth="1"/>
    <col min="5854" max="5854" width="7" style="111" customWidth="1"/>
    <col min="5855" max="5855" width="7.42578125" style="111" customWidth="1"/>
    <col min="5856" max="5856" width="7.5703125" style="111" customWidth="1"/>
    <col min="5857" max="5857" width="7.42578125" style="111" customWidth="1"/>
    <col min="5858" max="5858" width="7.5703125" style="111" customWidth="1"/>
    <col min="5859" max="5859" width="10.42578125" style="111" customWidth="1"/>
    <col min="5860" max="5860" width="10.28515625" style="111" customWidth="1"/>
    <col min="5861" max="5861" width="14.7109375" style="111" customWidth="1"/>
    <col min="5862" max="5862" width="10.5703125" style="111" customWidth="1"/>
    <col min="5863" max="5863" width="6.5703125" style="111" customWidth="1"/>
    <col min="5864" max="5864" width="7" style="111" customWidth="1"/>
    <col min="5865" max="5865" width="7.42578125" style="111" customWidth="1"/>
    <col min="5866" max="5866" width="7.5703125" style="111" customWidth="1"/>
    <col min="5867" max="5867" width="7.42578125" style="111" customWidth="1"/>
    <col min="5868" max="5868" width="7.5703125" style="111" customWidth="1"/>
    <col min="5869" max="5869" width="10.42578125" style="111" customWidth="1"/>
    <col min="5870" max="5870" width="10.28515625" style="111" customWidth="1"/>
    <col min="5871" max="5871" width="8.85546875" style="111"/>
    <col min="5872" max="5890" width="9.28515625" style="111" customWidth="1"/>
    <col min="5891" max="6096" width="8.85546875" style="111"/>
    <col min="6097" max="6097" width="23.7109375" style="111" customWidth="1"/>
    <col min="6098" max="6098" width="10.5703125" style="111" customWidth="1"/>
    <col min="6099" max="6099" width="6.5703125" style="111" customWidth="1"/>
    <col min="6100" max="6100" width="7" style="111" bestFit="1" customWidth="1"/>
    <col min="6101" max="6101" width="7.42578125" style="111" bestFit="1" customWidth="1"/>
    <col min="6102" max="6102" width="7.5703125" style="111" bestFit="1" customWidth="1"/>
    <col min="6103" max="6103" width="7.42578125" style="111" bestFit="1" customWidth="1"/>
    <col min="6104" max="6104" width="7.5703125" style="111" bestFit="1" customWidth="1"/>
    <col min="6105" max="6105" width="10.42578125" style="111" bestFit="1" customWidth="1"/>
    <col min="6106" max="6106" width="10.28515625" style="111" bestFit="1" customWidth="1"/>
    <col min="6107" max="6107" width="23.7109375" style="111" customWidth="1"/>
    <col min="6108" max="6108" width="10.5703125" style="111" customWidth="1"/>
    <col min="6109" max="6109" width="6.5703125" style="111" customWidth="1"/>
    <col min="6110" max="6110" width="7" style="111" customWidth="1"/>
    <col min="6111" max="6111" width="7.42578125" style="111" customWidth="1"/>
    <col min="6112" max="6112" width="7.5703125" style="111" customWidth="1"/>
    <col min="6113" max="6113" width="7.42578125" style="111" customWidth="1"/>
    <col min="6114" max="6114" width="7.5703125" style="111" customWidth="1"/>
    <col min="6115" max="6115" width="10.42578125" style="111" customWidth="1"/>
    <col min="6116" max="6116" width="10.28515625" style="111" customWidth="1"/>
    <col min="6117" max="6117" width="14.7109375" style="111" customWidth="1"/>
    <col min="6118" max="6118" width="10.5703125" style="111" customWidth="1"/>
    <col min="6119" max="6119" width="6.5703125" style="111" customWidth="1"/>
    <col min="6120" max="6120" width="7" style="111" customWidth="1"/>
    <col min="6121" max="6121" width="7.42578125" style="111" customWidth="1"/>
    <col min="6122" max="6122" width="7.5703125" style="111" customWidth="1"/>
    <col min="6123" max="6123" width="7.42578125" style="111" customWidth="1"/>
    <col min="6124" max="6124" width="7.5703125" style="111" customWidth="1"/>
    <col min="6125" max="6125" width="10.42578125" style="111" customWidth="1"/>
    <col min="6126" max="6126" width="10.28515625" style="111" customWidth="1"/>
    <col min="6127" max="6127" width="8.85546875" style="111"/>
    <col min="6128" max="6146" width="9.28515625" style="111" customWidth="1"/>
    <col min="6147" max="6352" width="8.85546875" style="111"/>
    <col min="6353" max="6353" width="23.7109375" style="111" customWidth="1"/>
    <col min="6354" max="6354" width="10.5703125" style="111" customWidth="1"/>
    <col min="6355" max="6355" width="6.5703125" style="111" customWidth="1"/>
    <col min="6356" max="6356" width="7" style="111" bestFit="1" customWidth="1"/>
    <col min="6357" max="6357" width="7.42578125" style="111" bestFit="1" customWidth="1"/>
    <col min="6358" max="6358" width="7.5703125" style="111" bestFit="1" customWidth="1"/>
    <col min="6359" max="6359" width="7.42578125" style="111" bestFit="1" customWidth="1"/>
    <col min="6360" max="6360" width="7.5703125" style="111" bestFit="1" customWidth="1"/>
    <col min="6361" max="6361" width="10.42578125" style="111" bestFit="1" customWidth="1"/>
    <col min="6362" max="6362" width="10.28515625" style="111" bestFit="1" customWidth="1"/>
    <col min="6363" max="6363" width="23.7109375" style="111" customWidth="1"/>
    <col min="6364" max="6364" width="10.5703125" style="111" customWidth="1"/>
    <col min="6365" max="6365" width="6.5703125" style="111" customWidth="1"/>
    <col min="6366" max="6366" width="7" style="111" customWidth="1"/>
    <col min="6367" max="6367" width="7.42578125" style="111" customWidth="1"/>
    <col min="6368" max="6368" width="7.5703125" style="111" customWidth="1"/>
    <col min="6369" max="6369" width="7.42578125" style="111" customWidth="1"/>
    <col min="6370" max="6370" width="7.5703125" style="111" customWidth="1"/>
    <col min="6371" max="6371" width="10.42578125" style="111" customWidth="1"/>
    <col min="6372" max="6372" width="10.28515625" style="111" customWidth="1"/>
    <col min="6373" max="6373" width="14.7109375" style="111" customWidth="1"/>
    <col min="6374" max="6374" width="10.5703125" style="111" customWidth="1"/>
    <col min="6375" max="6375" width="6.5703125" style="111" customWidth="1"/>
    <col min="6376" max="6376" width="7" style="111" customWidth="1"/>
    <col min="6377" max="6377" width="7.42578125" style="111" customWidth="1"/>
    <col min="6378" max="6378" width="7.5703125" style="111" customWidth="1"/>
    <col min="6379" max="6379" width="7.42578125" style="111" customWidth="1"/>
    <col min="6380" max="6380" width="7.5703125" style="111" customWidth="1"/>
    <col min="6381" max="6381" width="10.42578125" style="111" customWidth="1"/>
    <col min="6382" max="6382" width="10.28515625" style="111" customWidth="1"/>
    <col min="6383" max="6383" width="8.85546875" style="111"/>
    <col min="6384" max="6402" width="9.28515625" style="111" customWidth="1"/>
    <col min="6403" max="6608" width="8.85546875" style="111"/>
    <col min="6609" max="6609" width="23.7109375" style="111" customWidth="1"/>
    <col min="6610" max="6610" width="10.5703125" style="111" customWidth="1"/>
    <col min="6611" max="6611" width="6.5703125" style="111" customWidth="1"/>
    <col min="6612" max="6612" width="7" style="111" bestFit="1" customWidth="1"/>
    <col min="6613" max="6613" width="7.42578125" style="111" bestFit="1" customWidth="1"/>
    <col min="6614" max="6614" width="7.5703125" style="111" bestFit="1" customWidth="1"/>
    <col min="6615" max="6615" width="7.42578125" style="111" bestFit="1" customWidth="1"/>
    <col min="6616" max="6616" width="7.5703125" style="111" bestFit="1" customWidth="1"/>
    <col min="6617" max="6617" width="10.42578125" style="111" bestFit="1" customWidth="1"/>
    <col min="6618" max="6618" width="10.28515625" style="111" bestFit="1" customWidth="1"/>
    <col min="6619" max="6619" width="23.7109375" style="111" customWidth="1"/>
    <col min="6620" max="6620" width="10.5703125" style="111" customWidth="1"/>
    <col min="6621" max="6621" width="6.5703125" style="111" customWidth="1"/>
    <col min="6622" max="6622" width="7" style="111" customWidth="1"/>
    <col min="6623" max="6623" width="7.42578125" style="111" customWidth="1"/>
    <col min="6624" max="6624" width="7.5703125" style="111" customWidth="1"/>
    <col min="6625" max="6625" width="7.42578125" style="111" customWidth="1"/>
    <col min="6626" max="6626" width="7.5703125" style="111" customWidth="1"/>
    <col min="6627" max="6627" width="10.42578125" style="111" customWidth="1"/>
    <col min="6628" max="6628" width="10.28515625" style="111" customWidth="1"/>
    <col min="6629" max="6629" width="14.7109375" style="111" customWidth="1"/>
    <col min="6630" max="6630" width="10.5703125" style="111" customWidth="1"/>
    <col min="6631" max="6631" width="6.5703125" style="111" customWidth="1"/>
    <col min="6632" max="6632" width="7" style="111" customWidth="1"/>
    <col min="6633" max="6633" width="7.42578125" style="111" customWidth="1"/>
    <col min="6634" max="6634" width="7.5703125" style="111" customWidth="1"/>
    <col min="6635" max="6635" width="7.42578125" style="111" customWidth="1"/>
    <col min="6636" max="6636" width="7.5703125" style="111" customWidth="1"/>
    <col min="6637" max="6637" width="10.42578125" style="111" customWidth="1"/>
    <col min="6638" max="6638" width="10.28515625" style="111" customWidth="1"/>
    <col min="6639" max="6639" width="8.85546875" style="111"/>
    <col min="6640" max="6658" width="9.28515625" style="111" customWidth="1"/>
    <col min="6659" max="6864" width="8.85546875" style="111"/>
    <col min="6865" max="6865" width="23.7109375" style="111" customWidth="1"/>
    <col min="6866" max="6866" width="10.5703125" style="111" customWidth="1"/>
    <col min="6867" max="6867" width="6.5703125" style="111" customWidth="1"/>
    <col min="6868" max="6868" width="7" style="111" bestFit="1" customWidth="1"/>
    <col min="6869" max="6869" width="7.42578125" style="111" bestFit="1" customWidth="1"/>
    <col min="6870" max="6870" width="7.5703125" style="111" bestFit="1" customWidth="1"/>
    <col min="6871" max="6871" width="7.42578125" style="111" bestFit="1" customWidth="1"/>
    <col min="6872" max="6872" width="7.5703125" style="111" bestFit="1" customWidth="1"/>
    <col min="6873" max="6873" width="10.42578125" style="111" bestFit="1" customWidth="1"/>
    <col min="6874" max="6874" width="10.28515625" style="111" bestFit="1" customWidth="1"/>
    <col min="6875" max="6875" width="23.7109375" style="111" customWidth="1"/>
    <col min="6876" max="6876" width="10.5703125" style="111" customWidth="1"/>
    <col min="6877" max="6877" width="6.5703125" style="111" customWidth="1"/>
    <col min="6878" max="6878" width="7" style="111" customWidth="1"/>
    <col min="6879" max="6879" width="7.42578125" style="111" customWidth="1"/>
    <col min="6880" max="6880" width="7.5703125" style="111" customWidth="1"/>
    <col min="6881" max="6881" width="7.42578125" style="111" customWidth="1"/>
    <col min="6882" max="6882" width="7.5703125" style="111" customWidth="1"/>
    <col min="6883" max="6883" width="10.42578125" style="111" customWidth="1"/>
    <col min="6884" max="6884" width="10.28515625" style="111" customWidth="1"/>
    <col min="6885" max="6885" width="14.7109375" style="111" customWidth="1"/>
    <col min="6886" max="6886" width="10.5703125" style="111" customWidth="1"/>
    <col min="6887" max="6887" width="6.5703125" style="111" customWidth="1"/>
    <col min="6888" max="6888" width="7" style="111" customWidth="1"/>
    <col min="6889" max="6889" width="7.42578125" style="111" customWidth="1"/>
    <col min="6890" max="6890" width="7.5703125" style="111" customWidth="1"/>
    <col min="6891" max="6891" width="7.42578125" style="111" customWidth="1"/>
    <col min="6892" max="6892" width="7.5703125" style="111" customWidth="1"/>
    <col min="6893" max="6893" width="10.42578125" style="111" customWidth="1"/>
    <col min="6894" max="6894" width="10.28515625" style="111" customWidth="1"/>
    <col min="6895" max="6895" width="8.85546875" style="111"/>
    <col min="6896" max="6914" width="9.28515625" style="111" customWidth="1"/>
    <col min="6915" max="7120" width="8.85546875" style="111"/>
    <col min="7121" max="7121" width="23.7109375" style="111" customWidth="1"/>
    <col min="7122" max="7122" width="10.5703125" style="111" customWidth="1"/>
    <col min="7123" max="7123" width="6.5703125" style="111" customWidth="1"/>
    <col min="7124" max="7124" width="7" style="111" bestFit="1" customWidth="1"/>
    <col min="7125" max="7125" width="7.42578125" style="111" bestFit="1" customWidth="1"/>
    <col min="7126" max="7126" width="7.5703125" style="111" bestFit="1" customWidth="1"/>
    <col min="7127" max="7127" width="7.42578125" style="111" bestFit="1" customWidth="1"/>
    <col min="7128" max="7128" width="7.5703125" style="111" bestFit="1" customWidth="1"/>
    <col min="7129" max="7129" width="10.42578125" style="111" bestFit="1" customWidth="1"/>
    <col min="7130" max="7130" width="10.28515625" style="111" bestFit="1" customWidth="1"/>
    <col min="7131" max="7131" width="23.7109375" style="111" customWidth="1"/>
    <col min="7132" max="7132" width="10.5703125" style="111" customWidth="1"/>
    <col min="7133" max="7133" width="6.5703125" style="111" customWidth="1"/>
    <col min="7134" max="7134" width="7" style="111" customWidth="1"/>
    <col min="7135" max="7135" width="7.42578125" style="111" customWidth="1"/>
    <col min="7136" max="7136" width="7.5703125" style="111" customWidth="1"/>
    <col min="7137" max="7137" width="7.42578125" style="111" customWidth="1"/>
    <col min="7138" max="7138" width="7.5703125" style="111" customWidth="1"/>
    <col min="7139" max="7139" width="10.42578125" style="111" customWidth="1"/>
    <col min="7140" max="7140" width="10.28515625" style="111" customWidth="1"/>
    <col min="7141" max="7141" width="14.7109375" style="111" customWidth="1"/>
    <col min="7142" max="7142" width="10.5703125" style="111" customWidth="1"/>
    <col min="7143" max="7143" width="6.5703125" style="111" customWidth="1"/>
    <col min="7144" max="7144" width="7" style="111" customWidth="1"/>
    <col min="7145" max="7145" width="7.42578125" style="111" customWidth="1"/>
    <col min="7146" max="7146" width="7.5703125" style="111" customWidth="1"/>
    <col min="7147" max="7147" width="7.42578125" style="111" customWidth="1"/>
    <col min="7148" max="7148" width="7.5703125" style="111" customWidth="1"/>
    <col min="7149" max="7149" width="10.42578125" style="111" customWidth="1"/>
    <col min="7150" max="7150" width="10.28515625" style="111" customWidth="1"/>
    <col min="7151" max="7151" width="8.85546875" style="111"/>
    <col min="7152" max="7170" width="9.28515625" style="111" customWidth="1"/>
    <col min="7171" max="7376" width="8.85546875" style="111"/>
    <col min="7377" max="7377" width="23.7109375" style="111" customWidth="1"/>
    <col min="7378" max="7378" width="10.5703125" style="111" customWidth="1"/>
    <col min="7379" max="7379" width="6.5703125" style="111" customWidth="1"/>
    <col min="7380" max="7380" width="7" style="111" bestFit="1" customWidth="1"/>
    <col min="7381" max="7381" width="7.42578125" style="111" bestFit="1" customWidth="1"/>
    <col min="7382" max="7382" width="7.5703125" style="111" bestFit="1" customWidth="1"/>
    <col min="7383" max="7383" width="7.42578125" style="111" bestFit="1" customWidth="1"/>
    <col min="7384" max="7384" width="7.5703125" style="111" bestFit="1" customWidth="1"/>
    <col min="7385" max="7385" width="10.42578125" style="111" bestFit="1" customWidth="1"/>
    <col min="7386" max="7386" width="10.28515625" style="111" bestFit="1" customWidth="1"/>
    <col min="7387" max="7387" width="23.7109375" style="111" customWidth="1"/>
    <col min="7388" max="7388" width="10.5703125" style="111" customWidth="1"/>
    <col min="7389" max="7389" width="6.5703125" style="111" customWidth="1"/>
    <col min="7390" max="7390" width="7" style="111" customWidth="1"/>
    <col min="7391" max="7391" width="7.42578125" style="111" customWidth="1"/>
    <col min="7392" max="7392" width="7.5703125" style="111" customWidth="1"/>
    <col min="7393" max="7393" width="7.42578125" style="111" customWidth="1"/>
    <col min="7394" max="7394" width="7.5703125" style="111" customWidth="1"/>
    <col min="7395" max="7395" width="10.42578125" style="111" customWidth="1"/>
    <col min="7396" max="7396" width="10.28515625" style="111" customWidth="1"/>
    <col min="7397" max="7397" width="14.7109375" style="111" customWidth="1"/>
    <col min="7398" max="7398" width="10.5703125" style="111" customWidth="1"/>
    <col min="7399" max="7399" width="6.5703125" style="111" customWidth="1"/>
    <col min="7400" max="7400" width="7" style="111" customWidth="1"/>
    <col min="7401" max="7401" width="7.42578125" style="111" customWidth="1"/>
    <col min="7402" max="7402" width="7.5703125" style="111" customWidth="1"/>
    <col min="7403" max="7403" width="7.42578125" style="111" customWidth="1"/>
    <col min="7404" max="7404" width="7.5703125" style="111" customWidth="1"/>
    <col min="7405" max="7405" width="10.42578125" style="111" customWidth="1"/>
    <col min="7406" max="7406" width="10.28515625" style="111" customWidth="1"/>
    <col min="7407" max="7407" width="8.85546875" style="111"/>
    <col min="7408" max="7426" width="9.28515625" style="111" customWidth="1"/>
    <col min="7427" max="7632" width="8.85546875" style="111"/>
    <col min="7633" max="7633" width="23.7109375" style="111" customWidth="1"/>
    <col min="7634" max="7634" width="10.5703125" style="111" customWidth="1"/>
    <col min="7635" max="7635" width="6.5703125" style="111" customWidth="1"/>
    <col min="7636" max="7636" width="7" style="111" bestFit="1" customWidth="1"/>
    <col min="7637" max="7637" width="7.42578125" style="111" bestFit="1" customWidth="1"/>
    <col min="7638" max="7638" width="7.5703125" style="111" bestFit="1" customWidth="1"/>
    <col min="7639" max="7639" width="7.42578125" style="111" bestFit="1" customWidth="1"/>
    <col min="7640" max="7640" width="7.5703125" style="111" bestFit="1" customWidth="1"/>
    <col min="7641" max="7641" width="10.42578125" style="111" bestFit="1" customWidth="1"/>
    <col min="7642" max="7642" width="10.28515625" style="111" bestFit="1" customWidth="1"/>
    <col min="7643" max="7643" width="23.7109375" style="111" customWidth="1"/>
    <col min="7644" max="7644" width="10.5703125" style="111" customWidth="1"/>
    <col min="7645" max="7645" width="6.5703125" style="111" customWidth="1"/>
    <col min="7646" max="7646" width="7" style="111" customWidth="1"/>
    <col min="7647" max="7647" width="7.42578125" style="111" customWidth="1"/>
    <col min="7648" max="7648" width="7.5703125" style="111" customWidth="1"/>
    <col min="7649" max="7649" width="7.42578125" style="111" customWidth="1"/>
    <col min="7650" max="7650" width="7.5703125" style="111" customWidth="1"/>
    <col min="7651" max="7651" width="10.42578125" style="111" customWidth="1"/>
    <col min="7652" max="7652" width="10.28515625" style="111" customWidth="1"/>
    <col min="7653" max="7653" width="14.7109375" style="111" customWidth="1"/>
    <col min="7654" max="7654" width="10.5703125" style="111" customWidth="1"/>
    <col min="7655" max="7655" width="6.5703125" style="111" customWidth="1"/>
    <col min="7656" max="7656" width="7" style="111" customWidth="1"/>
    <col min="7657" max="7657" width="7.42578125" style="111" customWidth="1"/>
    <col min="7658" max="7658" width="7.5703125" style="111" customWidth="1"/>
    <col min="7659" max="7659" width="7.42578125" style="111" customWidth="1"/>
    <col min="7660" max="7660" width="7.5703125" style="111" customWidth="1"/>
    <col min="7661" max="7661" width="10.42578125" style="111" customWidth="1"/>
    <col min="7662" max="7662" width="10.28515625" style="111" customWidth="1"/>
    <col min="7663" max="7663" width="8.85546875" style="111"/>
    <col min="7664" max="7682" width="9.28515625" style="111" customWidth="1"/>
    <col min="7683" max="7888" width="8.85546875" style="111"/>
    <col min="7889" max="7889" width="23.7109375" style="111" customWidth="1"/>
    <col min="7890" max="7890" width="10.5703125" style="111" customWidth="1"/>
    <col min="7891" max="7891" width="6.5703125" style="111" customWidth="1"/>
    <col min="7892" max="7892" width="7" style="111" bestFit="1" customWidth="1"/>
    <col min="7893" max="7893" width="7.42578125" style="111" bestFit="1" customWidth="1"/>
    <col min="7894" max="7894" width="7.5703125" style="111" bestFit="1" customWidth="1"/>
    <col min="7895" max="7895" width="7.42578125" style="111" bestFit="1" customWidth="1"/>
    <col min="7896" max="7896" width="7.5703125" style="111" bestFit="1" customWidth="1"/>
    <col min="7897" max="7897" width="10.42578125" style="111" bestFit="1" customWidth="1"/>
    <col min="7898" max="7898" width="10.28515625" style="111" bestFit="1" customWidth="1"/>
    <col min="7899" max="7899" width="23.7109375" style="111" customWidth="1"/>
    <col min="7900" max="7900" width="10.5703125" style="111" customWidth="1"/>
    <col min="7901" max="7901" width="6.5703125" style="111" customWidth="1"/>
    <col min="7902" max="7902" width="7" style="111" customWidth="1"/>
    <col min="7903" max="7903" width="7.42578125" style="111" customWidth="1"/>
    <col min="7904" max="7904" width="7.5703125" style="111" customWidth="1"/>
    <col min="7905" max="7905" width="7.42578125" style="111" customWidth="1"/>
    <col min="7906" max="7906" width="7.5703125" style="111" customWidth="1"/>
    <col min="7907" max="7907" width="10.42578125" style="111" customWidth="1"/>
    <col min="7908" max="7908" width="10.28515625" style="111" customWidth="1"/>
    <col min="7909" max="7909" width="14.7109375" style="111" customWidth="1"/>
    <col min="7910" max="7910" width="10.5703125" style="111" customWidth="1"/>
    <col min="7911" max="7911" width="6.5703125" style="111" customWidth="1"/>
    <col min="7912" max="7912" width="7" style="111" customWidth="1"/>
    <col min="7913" max="7913" width="7.42578125" style="111" customWidth="1"/>
    <col min="7914" max="7914" width="7.5703125" style="111" customWidth="1"/>
    <col min="7915" max="7915" width="7.42578125" style="111" customWidth="1"/>
    <col min="7916" max="7916" width="7.5703125" style="111" customWidth="1"/>
    <col min="7917" max="7917" width="10.42578125" style="111" customWidth="1"/>
    <col min="7918" max="7918" width="10.28515625" style="111" customWidth="1"/>
    <col min="7919" max="7919" width="8.85546875" style="111"/>
    <col min="7920" max="7938" width="9.28515625" style="111" customWidth="1"/>
    <col min="7939" max="8144" width="8.85546875" style="111"/>
    <col min="8145" max="8145" width="23.7109375" style="111" customWidth="1"/>
    <col min="8146" max="8146" width="10.5703125" style="111" customWidth="1"/>
    <col min="8147" max="8147" width="6.5703125" style="111" customWidth="1"/>
    <col min="8148" max="8148" width="7" style="111" bestFit="1" customWidth="1"/>
    <col min="8149" max="8149" width="7.42578125" style="111" bestFit="1" customWidth="1"/>
    <col min="8150" max="8150" width="7.5703125" style="111" bestFit="1" customWidth="1"/>
    <col min="8151" max="8151" width="7.42578125" style="111" bestFit="1" customWidth="1"/>
    <col min="8152" max="8152" width="7.5703125" style="111" bestFit="1" customWidth="1"/>
    <col min="8153" max="8153" width="10.42578125" style="111" bestFit="1" customWidth="1"/>
    <col min="8154" max="8154" width="10.28515625" style="111" bestFit="1" customWidth="1"/>
    <col min="8155" max="8155" width="23.7109375" style="111" customWidth="1"/>
    <col min="8156" max="8156" width="10.5703125" style="111" customWidth="1"/>
    <col min="8157" max="8157" width="6.5703125" style="111" customWidth="1"/>
    <col min="8158" max="8158" width="7" style="111" customWidth="1"/>
    <col min="8159" max="8159" width="7.42578125" style="111" customWidth="1"/>
    <col min="8160" max="8160" width="7.5703125" style="111" customWidth="1"/>
    <col min="8161" max="8161" width="7.42578125" style="111" customWidth="1"/>
    <col min="8162" max="8162" width="7.5703125" style="111" customWidth="1"/>
    <col min="8163" max="8163" width="10.42578125" style="111" customWidth="1"/>
    <col min="8164" max="8164" width="10.28515625" style="111" customWidth="1"/>
    <col min="8165" max="8165" width="14.7109375" style="111" customWidth="1"/>
    <col min="8166" max="8166" width="10.5703125" style="111" customWidth="1"/>
    <col min="8167" max="8167" width="6.5703125" style="111" customWidth="1"/>
    <col min="8168" max="8168" width="7" style="111" customWidth="1"/>
    <col min="8169" max="8169" width="7.42578125" style="111" customWidth="1"/>
    <col min="8170" max="8170" width="7.5703125" style="111" customWidth="1"/>
    <col min="8171" max="8171" width="7.42578125" style="111" customWidth="1"/>
    <col min="8172" max="8172" width="7.5703125" style="111" customWidth="1"/>
    <col min="8173" max="8173" width="10.42578125" style="111" customWidth="1"/>
    <col min="8174" max="8174" width="10.28515625" style="111" customWidth="1"/>
    <col min="8175" max="8175" width="8.85546875" style="111"/>
    <col min="8176" max="8194" width="9.28515625" style="111" customWidth="1"/>
    <col min="8195" max="8400" width="8.85546875" style="111"/>
    <col min="8401" max="8401" width="23.7109375" style="111" customWidth="1"/>
    <col min="8402" max="8402" width="10.5703125" style="111" customWidth="1"/>
    <col min="8403" max="8403" width="6.5703125" style="111" customWidth="1"/>
    <col min="8404" max="8404" width="7" style="111" bestFit="1" customWidth="1"/>
    <col min="8405" max="8405" width="7.42578125" style="111" bestFit="1" customWidth="1"/>
    <col min="8406" max="8406" width="7.5703125" style="111" bestFit="1" customWidth="1"/>
    <col min="8407" max="8407" width="7.42578125" style="111" bestFit="1" customWidth="1"/>
    <col min="8408" max="8408" width="7.5703125" style="111" bestFit="1" customWidth="1"/>
    <col min="8409" max="8409" width="10.42578125" style="111" bestFit="1" customWidth="1"/>
    <col min="8410" max="8410" width="10.28515625" style="111" bestFit="1" customWidth="1"/>
    <col min="8411" max="8411" width="23.7109375" style="111" customWidth="1"/>
    <col min="8412" max="8412" width="10.5703125" style="111" customWidth="1"/>
    <col min="8413" max="8413" width="6.5703125" style="111" customWidth="1"/>
    <col min="8414" max="8414" width="7" style="111" customWidth="1"/>
    <col min="8415" max="8415" width="7.42578125" style="111" customWidth="1"/>
    <col min="8416" max="8416" width="7.5703125" style="111" customWidth="1"/>
    <col min="8417" max="8417" width="7.42578125" style="111" customWidth="1"/>
    <col min="8418" max="8418" width="7.5703125" style="111" customWidth="1"/>
    <col min="8419" max="8419" width="10.42578125" style="111" customWidth="1"/>
    <col min="8420" max="8420" width="10.28515625" style="111" customWidth="1"/>
    <col min="8421" max="8421" width="14.7109375" style="111" customWidth="1"/>
    <col min="8422" max="8422" width="10.5703125" style="111" customWidth="1"/>
    <col min="8423" max="8423" width="6.5703125" style="111" customWidth="1"/>
    <col min="8424" max="8424" width="7" style="111" customWidth="1"/>
    <col min="8425" max="8425" width="7.42578125" style="111" customWidth="1"/>
    <col min="8426" max="8426" width="7.5703125" style="111" customWidth="1"/>
    <col min="8427" max="8427" width="7.42578125" style="111" customWidth="1"/>
    <col min="8428" max="8428" width="7.5703125" style="111" customWidth="1"/>
    <col min="8429" max="8429" width="10.42578125" style="111" customWidth="1"/>
    <col min="8430" max="8430" width="10.28515625" style="111" customWidth="1"/>
    <col min="8431" max="8431" width="8.85546875" style="111"/>
    <col min="8432" max="8450" width="9.28515625" style="111" customWidth="1"/>
    <col min="8451" max="8656" width="8.85546875" style="111"/>
    <col min="8657" max="8657" width="23.7109375" style="111" customWidth="1"/>
    <col min="8658" max="8658" width="10.5703125" style="111" customWidth="1"/>
    <col min="8659" max="8659" width="6.5703125" style="111" customWidth="1"/>
    <col min="8660" max="8660" width="7" style="111" bestFit="1" customWidth="1"/>
    <col min="8661" max="8661" width="7.42578125" style="111" bestFit="1" customWidth="1"/>
    <col min="8662" max="8662" width="7.5703125" style="111" bestFit="1" customWidth="1"/>
    <col min="8663" max="8663" width="7.42578125" style="111" bestFit="1" customWidth="1"/>
    <col min="8664" max="8664" width="7.5703125" style="111" bestFit="1" customWidth="1"/>
    <col min="8665" max="8665" width="10.42578125" style="111" bestFit="1" customWidth="1"/>
    <col min="8666" max="8666" width="10.28515625" style="111" bestFit="1" customWidth="1"/>
    <col min="8667" max="8667" width="23.7109375" style="111" customWidth="1"/>
    <col min="8668" max="8668" width="10.5703125" style="111" customWidth="1"/>
    <col min="8669" max="8669" width="6.5703125" style="111" customWidth="1"/>
    <col min="8670" max="8670" width="7" style="111" customWidth="1"/>
    <col min="8671" max="8671" width="7.42578125" style="111" customWidth="1"/>
    <col min="8672" max="8672" width="7.5703125" style="111" customWidth="1"/>
    <col min="8673" max="8673" width="7.42578125" style="111" customWidth="1"/>
    <col min="8674" max="8674" width="7.5703125" style="111" customWidth="1"/>
    <col min="8675" max="8675" width="10.42578125" style="111" customWidth="1"/>
    <col min="8676" max="8676" width="10.28515625" style="111" customWidth="1"/>
    <col min="8677" max="8677" width="14.7109375" style="111" customWidth="1"/>
    <col min="8678" max="8678" width="10.5703125" style="111" customWidth="1"/>
    <col min="8679" max="8679" width="6.5703125" style="111" customWidth="1"/>
    <col min="8680" max="8680" width="7" style="111" customWidth="1"/>
    <col min="8681" max="8681" width="7.42578125" style="111" customWidth="1"/>
    <col min="8682" max="8682" width="7.5703125" style="111" customWidth="1"/>
    <col min="8683" max="8683" width="7.42578125" style="111" customWidth="1"/>
    <col min="8684" max="8684" width="7.5703125" style="111" customWidth="1"/>
    <col min="8685" max="8685" width="10.42578125" style="111" customWidth="1"/>
    <col min="8686" max="8686" width="10.28515625" style="111" customWidth="1"/>
    <col min="8687" max="8687" width="8.85546875" style="111"/>
    <col min="8688" max="8706" width="9.28515625" style="111" customWidth="1"/>
    <col min="8707" max="8912" width="8.85546875" style="111"/>
    <col min="8913" max="8913" width="23.7109375" style="111" customWidth="1"/>
    <col min="8914" max="8914" width="10.5703125" style="111" customWidth="1"/>
    <col min="8915" max="8915" width="6.5703125" style="111" customWidth="1"/>
    <col min="8916" max="8916" width="7" style="111" bestFit="1" customWidth="1"/>
    <col min="8917" max="8917" width="7.42578125" style="111" bestFit="1" customWidth="1"/>
    <col min="8918" max="8918" width="7.5703125" style="111" bestFit="1" customWidth="1"/>
    <col min="8919" max="8919" width="7.42578125" style="111" bestFit="1" customWidth="1"/>
    <col min="8920" max="8920" width="7.5703125" style="111" bestFit="1" customWidth="1"/>
    <col min="8921" max="8921" width="10.42578125" style="111" bestFit="1" customWidth="1"/>
    <col min="8922" max="8922" width="10.28515625" style="111" bestFit="1" customWidth="1"/>
    <col min="8923" max="8923" width="23.7109375" style="111" customWidth="1"/>
    <col min="8924" max="8924" width="10.5703125" style="111" customWidth="1"/>
    <col min="8925" max="8925" width="6.5703125" style="111" customWidth="1"/>
    <col min="8926" max="8926" width="7" style="111" customWidth="1"/>
    <col min="8927" max="8927" width="7.42578125" style="111" customWidth="1"/>
    <col min="8928" max="8928" width="7.5703125" style="111" customWidth="1"/>
    <col min="8929" max="8929" width="7.42578125" style="111" customWidth="1"/>
    <col min="8930" max="8930" width="7.5703125" style="111" customWidth="1"/>
    <col min="8931" max="8931" width="10.42578125" style="111" customWidth="1"/>
    <col min="8932" max="8932" width="10.28515625" style="111" customWidth="1"/>
    <col min="8933" max="8933" width="14.7109375" style="111" customWidth="1"/>
    <col min="8934" max="8934" width="10.5703125" style="111" customWidth="1"/>
    <col min="8935" max="8935" width="6.5703125" style="111" customWidth="1"/>
    <col min="8936" max="8936" width="7" style="111" customWidth="1"/>
    <col min="8937" max="8937" width="7.42578125" style="111" customWidth="1"/>
    <col min="8938" max="8938" width="7.5703125" style="111" customWidth="1"/>
    <col min="8939" max="8939" width="7.42578125" style="111" customWidth="1"/>
    <col min="8940" max="8940" width="7.5703125" style="111" customWidth="1"/>
    <col min="8941" max="8941" width="10.42578125" style="111" customWidth="1"/>
    <col min="8942" max="8942" width="10.28515625" style="111" customWidth="1"/>
    <col min="8943" max="8943" width="8.85546875" style="111"/>
    <col min="8944" max="8962" width="9.28515625" style="111" customWidth="1"/>
    <col min="8963" max="9168" width="8.85546875" style="111"/>
    <col min="9169" max="9169" width="23.7109375" style="111" customWidth="1"/>
    <col min="9170" max="9170" width="10.5703125" style="111" customWidth="1"/>
    <col min="9171" max="9171" width="6.5703125" style="111" customWidth="1"/>
    <col min="9172" max="9172" width="7" style="111" bestFit="1" customWidth="1"/>
    <col min="9173" max="9173" width="7.42578125" style="111" bestFit="1" customWidth="1"/>
    <col min="9174" max="9174" width="7.5703125" style="111" bestFit="1" customWidth="1"/>
    <col min="9175" max="9175" width="7.42578125" style="111" bestFit="1" customWidth="1"/>
    <col min="9176" max="9176" width="7.5703125" style="111" bestFit="1" customWidth="1"/>
    <col min="9177" max="9177" width="10.42578125" style="111" bestFit="1" customWidth="1"/>
    <col min="9178" max="9178" width="10.28515625" style="111" bestFit="1" customWidth="1"/>
    <col min="9179" max="9179" width="23.7109375" style="111" customWidth="1"/>
    <col min="9180" max="9180" width="10.5703125" style="111" customWidth="1"/>
    <col min="9181" max="9181" width="6.5703125" style="111" customWidth="1"/>
    <col min="9182" max="9182" width="7" style="111" customWidth="1"/>
    <col min="9183" max="9183" width="7.42578125" style="111" customWidth="1"/>
    <col min="9184" max="9184" width="7.5703125" style="111" customWidth="1"/>
    <col min="9185" max="9185" width="7.42578125" style="111" customWidth="1"/>
    <col min="9186" max="9186" width="7.5703125" style="111" customWidth="1"/>
    <col min="9187" max="9187" width="10.42578125" style="111" customWidth="1"/>
    <col min="9188" max="9188" width="10.28515625" style="111" customWidth="1"/>
    <col min="9189" max="9189" width="14.7109375" style="111" customWidth="1"/>
    <col min="9190" max="9190" width="10.5703125" style="111" customWidth="1"/>
    <col min="9191" max="9191" width="6.5703125" style="111" customWidth="1"/>
    <col min="9192" max="9192" width="7" style="111" customWidth="1"/>
    <col min="9193" max="9193" width="7.42578125" style="111" customWidth="1"/>
    <col min="9194" max="9194" width="7.5703125" style="111" customWidth="1"/>
    <col min="9195" max="9195" width="7.42578125" style="111" customWidth="1"/>
    <col min="9196" max="9196" width="7.5703125" style="111" customWidth="1"/>
    <col min="9197" max="9197" width="10.42578125" style="111" customWidth="1"/>
    <col min="9198" max="9198" width="10.28515625" style="111" customWidth="1"/>
    <col min="9199" max="9199" width="8.85546875" style="111"/>
    <col min="9200" max="9218" width="9.28515625" style="111" customWidth="1"/>
    <col min="9219" max="9424" width="8.85546875" style="111"/>
    <col min="9425" max="9425" width="23.7109375" style="111" customWidth="1"/>
    <col min="9426" max="9426" width="10.5703125" style="111" customWidth="1"/>
    <col min="9427" max="9427" width="6.5703125" style="111" customWidth="1"/>
    <col min="9428" max="9428" width="7" style="111" bestFit="1" customWidth="1"/>
    <col min="9429" max="9429" width="7.42578125" style="111" bestFit="1" customWidth="1"/>
    <col min="9430" max="9430" width="7.5703125" style="111" bestFit="1" customWidth="1"/>
    <col min="9431" max="9431" width="7.42578125" style="111" bestFit="1" customWidth="1"/>
    <col min="9432" max="9432" width="7.5703125" style="111" bestFit="1" customWidth="1"/>
    <col min="9433" max="9433" width="10.42578125" style="111" bestFit="1" customWidth="1"/>
    <col min="9434" max="9434" width="10.28515625" style="111" bestFit="1" customWidth="1"/>
    <col min="9435" max="9435" width="23.7109375" style="111" customWidth="1"/>
    <col min="9436" max="9436" width="10.5703125" style="111" customWidth="1"/>
    <col min="9437" max="9437" width="6.5703125" style="111" customWidth="1"/>
    <col min="9438" max="9438" width="7" style="111" customWidth="1"/>
    <col min="9439" max="9439" width="7.42578125" style="111" customWidth="1"/>
    <col min="9440" max="9440" width="7.5703125" style="111" customWidth="1"/>
    <col min="9441" max="9441" width="7.42578125" style="111" customWidth="1"/>
    <col min="9442" max="9442" width="7.5703125" style="111" customWidth="1"/>
    <col min="9443" max="9443" width="10.42578125" style="111" customWidth="1"/>
    <col min="9444" max="9444" width="10.28515625" style="111" customWidth="1"/>
    <col min="9445" max="9445" width="14.7109375" style="111" customWidth="1"/>
    <col min="9446" max="9446" width="10.5703125" style="111" customWidth="1"/>
    <col min="9447" max="9447" width="6.5703125" style="111" customWidth="1"/>
    <col min="9448" max="9448" width="7" style="111" customWidth="1"/>
    <col min="9449" max="9449" width="7.42578125" style="111" customWidth="1"/>
    <col min="9450" max="9450" width="7.5703125" style="111" customWidth="1"/>
    <col min="9451" max="9451" width="7.42578125" style="111" customWidth="1"/>
    <col min="9452" max="9452" width="7.5703125" style="111" customWidth="1"/>
    <col min="9453" max="9453" width="10.42578125" style="111" customWidth="1"/>
    <col min="9454" max="9454" width="10.28515625" style="111" customWidth="1"/>
    <col min="9455" max="9455" width="8.85546875" style="111"/>
    <col min="9456" max="9474" width="9.28515625" style="111" customWidth="1"/>
    <col min="9475" max="9680" width="8.85546875" style="111"/>
    <col min="9681" max="9681" width="23.7109375" style="111" customWidth="1"/>
    <col min="9682" max="9682" width="10.5703125" style="111" customWidth="1"/>
    <col min="9683" max="9683" width="6.5703125" style="111" customWidth="1"/>
    <col min="9684" max="9684" width="7" style="111" bestFit="1" customWidth="1"/>
    <col min="9685" max="9685" width="7.42578125" style="111" bestFit="1" customWidth="1"/>
    <col min="9686" max="9686" width="7.5703125" style="111" bestFit="1" customWidth="1"/>
    <col min="9687" max="9687" width="7.42578125" style="111" bestFit="1" customWidth="1"/>
    <col min="9688" max="9688" width="7.5703125" style="111" bestFit="1" customWidth="1"/>
    <col min="9689" max="9689" width="10.42578125" style="111" bestFit="1" customWidth="1"/>
    <col min="9690" max="9690" width="10.28515625" style="111" bestFit="1" customWidth="1"/>
    <col min="9691" max="9691" width="23.7109375" style="111" customWidth="1"/>
    <col min="9692" max="9692" width="10.5703125" style="111" customWidth="1"/>
    <col min="9693" max="9693" width="6.5703125" style="111" customWidth="1"/>
    <col min="9694" max="9694" width="7" style="111" customWidth="1"/>
    <col min="9695" max="9695" width="7.42578125" style="111" customWidth="1"/>
    <col min="9696" max="9696" width="7.5703125" style="111" customWidth="1"/>
    <col min="9697" max="9697" width="7.42578125" style="111" customWidth="1"/>
    <col min="9698" max="9698" width="7.5703125" style="111" customWidth="1"/>
    <col min="9699" max="9699" width="10.42578125" style="111" customWidth="1"/>
    <col min="9700" max="9700" width="10.28515625" style="111" customWidth="1"/>
    <col min="9701" max="9701" width="14.7109375" style="111" customWidth="1"/>
    <col min="9702" max="9702" width="10.5703125" style="111" customWidth="1"/>
    <col min="9703" max="9703" width="6.5703125" style="111" customWidth="1"/>
    <col min="9704" max="9704" width="7" style="111" customWidth="1"/>
    <col min="9705" max="9705" width="7.42578125" style="111" customWidth="1"/>
    <col min="9706" max="9706" width="7.5703125" style="111" customWidth="1"/>
    <col min="9707" max="9707" width="7.42578125" style="111" customWidth="1"/>
    <col min="9708" max="9708" width="7.5703125" style="111" customWidth="1"/>
    <col min="9709" max="9709" width="10.42578125" style="111" customWidth="1"/>
    <col min="9710" max="9710" width="10.28515625" style="111" customWidth="1"/>
    <col min="9711" max="9711" width="8.85546875" style="111"/>
    <col min="9712" max="9730" width="9.28515625" style="111" customWidth="1"/>
    <col min="9731" max="9936" width="8.85546875" style="111"/>
    <col min="9937" max="9937" width="23.7109375" style="111" customWidth="1"/>
    <col min="9938" max="9938" width="10.5703125" style="111" customWidth="1"/>
    <col min="9939" max="9939" width="6.5703125" style="111" customWidth="1"/>
    <col min="9940" max="9940" width="7" style="111" bestFit="1" customWidth="1"/>
    <col min="9941" max="9941" width="7.42578125" style="111" bestFit="1" customWidth="1"/>
    <col min="9942" max="9942" width="7.5703125" style="111" bestFit="1" customWidth="1"/>
    <col min="9943" max="9943" width="7.42578125" style="111" bestFit="1" customWidth="1"/>
    <col min="9944" max="9944" width="7.5703125" style="111" bestFit="1" customWidth="1"/>
    <col min="9945" max="9945" width="10.42578125" style="111" bestFit="1" customWidth="1"/>
    <col min="9946" max="9946" width="10.28515625" style="111" bestFit="1" customWidth="1"/>
    <col min="9947" max="9947" width="23.7109375" style="111" customWidth="1"/>
    <col min="9948" max="9948" width="10.5703125" style="111" customWidth="1"/>
    <col min="9949" max="9949" width="6.5703125" style="111" customWidth="1"/>
    <col min="9950" max="9950" width="7" style="111" customWidth="1"/>
    <col min="9951" max="9951" width="7.42578125" style="111" customWidth="1"/>
    <col min="9952" max="9952" width="7.5703125" style="111" customWidth="1"/>
    <col min="9953" max="9953" width="7.42578125" style="111" customWidth="1"/>
    <col min="9954" max="9954" width="7.5703125" style="111" customWidth="1"/>
    <col min="9955" max="9955" width="10.42578125" style="111" customWidth="1"/>
    <col min="9956" max="9956" width="10.28515625" style="111" customWidth="1"/>
    <col min="9957" max="9957" width="14.7109375" style="111" customWidth="1"/>
    <col min="9958" max="9958" width="10.5703125" style="111" customWidth="1"/>
    <col min="9959" max="9959" width="6.5703125" style="111" customWidth="1"/>
    <col min="9960" max="9960" width="7" style="111" customWidth="1"/>
    <col min="9961" max="9961" width="7.42578125" style="111" customWidth="1"/>
    <col min="9962" max="9962" width="7.5703125" style="111" customWidth="1"/>
    <col min="9963" max="9963" width="7.42578125" style="111" customWidth="1"/>
    <col min="9964" max="9964" width="7.5703125" style="111" customWidth="1"/>
    <col min="9965" max="9965" width="10.42578125" style="111" customWidth="1"/>
    <col min="9966" max="9966" width="10.28515625" style="111" customWidth="1"/>
    <col min="9967" max="9967" width="8.85546875" style="111"/>
    <col min="9968" max="9986" width="9.28515625" style="111" customWidth="1"/>
    <col min="9987" max="10192" width="8.85546875" style="111"/>
    <col min="10193" max="10193" width="23.7109375" style="111" customWidth="1"/>
    <col min="10194" max="10194" width="10.5703125" style="111" customWidth="1"/>
    <col min="10195" max="10195" width="6.5703125" style="111" customWidth="1"/>
    <col min="10196" max="10196" width="7" style="111" bestFit="1" customWidth="1"/>
    <col min="10197" max="10197" width="7.42578125" style="111" bestFit="1" customWidth="1"/>
    <col min="10198" max="10198" width="7.5703125" style="111" bestFit="1" customWidth="1"/>
    <col min="10199" max="10199" width="7.42578125" style="111" bestFit="1" customWidth="1"/>
    <col min="10200" max="10200" width="7.5703125" style="111" bestFit="1" customWidth="1"/>
    <col min="10201" max="10201" width="10.42578125" style="111" bestFit="1" customWidth="1"/>
    <col min="10202" max="10202" width="10.28515625" style="111" bestFit="1" customWidth="1"/>
    <col min="10203" max="10203" width="23.7109375" style="111" customWidth="1"/>
    <col min="10204" max="10204" width="10.5703125" style="111" customWidth="1"/>
    <col min="10205" max="10205" width="6.5703125" style="111" customWidth="1"/>
    <col min="10206" max="10206" width="7" style="111" customWidth="1"/>
    <col min="10207" max="10207" width="7.42578125" style="111" customWidth="1"/>
    <col min="10208" max="10208" width="7.5703125" style="111" customWidth="1"/>
    <col min="10209" max="10209" width="7.42578125" style="111" customWidth="1"/>
    <col min="10210" max="10210" width="7.5703125" style="111" customWidth="1"/>
    <col min="10211" max="10211" width="10.42578125" style="111" customWidth="1"/>
    <col min="10212" max="10212" width="10.28515625" style="111" customWidth="1"/>
    <col min="10213" max="10213" width="14.7109375" style="111" customWidth="1"/>
    <col min="10214" max="10214" width="10.5703125" style="111" customWidth="1"/>
    <col min="10215" max="10215" width="6.5703125" style="111" customWidth="1"/>
    <col min="10216" max="10216" width="7" style="111" customWidth="1"/>
    <col min="10217" max="10217" width="7.42578125" style="111" customWidth="1"/>
    <col min="10218" max="10218" width="7.5703125" style="111" customWidth="1"/>
    <col min="10219" max="10219" width="7.42578125" style="111" customWidth="1"/>
    <col min="10220" max="10220" width="7.5703125" style="111" customWidth="1"/>
    <col min="10221" max="10221" width="10.42578125" style="111" customWidth="1"/>
    <col min="10222" max="10222" width="10.28515625" style="111" customWidth="1"/>
    <col min="10223" max="10223" width="8.85546875" style="111"/>
    <col min="10224" max="10242" width="9.28515625" style="111" customWidth="1"/>
    <col min="10243" max="10448" width="8.85546875" style="111"/>
    <col min="10449" max="10449" width="23.7109375" style="111" customWidth="1"/>
    <col min="10450" max="10450" width="10.5703125" style="111" customWidth="1"/>
    <col min="10451" max="10451" width="6.5703125" style="111" customWidth="1"/>
    <col min="10452" max="10452" width="7" style="111" bestFit="1" customWidth="1"/>
    <col min="10453" max="10453" width="7.42578125" style="111" bestFit="1" customWidth="1"/>
    <col min="10454" max="10454" width="7.5703125" style="111" bestFit="1" customWidth="1"/>
    <col min="10455" max="10455" width="7.42578125" style="111" bestFit="1" customWidth="1"/>
    <col min="10456" max="10456" width="7.5703125" style="111" bestFit="1" customWidth="1"/>
    <col min="10457" max="10457" width="10.42578125" style="111" bestFit="1" customWidth="1"/>
    <col min="10458" max="10458" width="10.28515625" style="111" bestFit="1" customWidth="1"/>
    <col min="10459" max="10459" width="23.7109375" style="111" customWidth="1"/>
    <col min="10460" max="10460" width="10.5703125" style="111" customWidth="1"/>
    <col min="10461" max="10461" width="6.5703125" style="111" customWidth="1"/>
    <col min="10462" max="10462" width="7" style="111" customWidth="1"/>
    <col min="10463" max="10463" width="7.42578125" style="111" customWidth="1"/>
    <col min="10464" max="10464" width="7.5703125" style="111" customWidth="1"/>
    <col min="10465" max="10465" width="7.42578125" style="111" customWidth="1"/>
    <col min="10466" max="10466" width="7.5703125" style="111" customWidth="1"/>
    <col min="10467" max="10467" width="10.42578125" style="111" customWidth="1"/>
    <col min="10468" max="10468" width="10.28515625" style="111" customWidth="1"/>
    <col min="10469" max="10469" width="14.7109375" style="111" customWidth="1"/>
    <col min="10470" max="10470" width="10.5703125" style="111" customWidth="1"/>
    <col min="10471" max="10471" width="6.5703125" style="111" customWidth="1"/>
    <col min="10472" max="10472" width="7" style="111" customWidth="1"/>
    <col min="10473" max="10473" width="7.42578125" style="111" customWidth="1"/>
    <col min="10474" max="10474" width="7.5703125" style="111" customWidth="1"/>
    <col min="10475" max="10475" width="7.42578125" style="111" customWidth="1"/>
    <col min="10476" max="10476" width="7.5703125" style="111" customWidth="1"/>
    <col min="10477" max="10477" width="10.42578125" style="111" customWidth="1"/>
    <col min="10478" max="10478" width="10.28515625" style="111" customWidth="1"/>
    <col min="10479" max="10479" width="8.85546875" style="111"/>
    <col min="10480" max="10498" width="9.28515625" style="111" customWidth="1"/>
    <col min="10499" max="10704" width="8.85546875" style="111"/>
    <col min="10705" max="10705" width="23.7109375" style="111" customWidth="1"/>
    <col min="10706" max="10706" width="10.5703125" style="111" customWidth="1"/>
    <col min="10707" max="10707" width="6.5703125" style="111" customWidth="1"/>
    <col min="10708" max="10708" width="7" style="111" bestFit="1" customWidth="1"/>
    <col min="10709" max="10709" width="7.42578125" style="111" bestFit="1" customWidth="1"/>
    <col min="10710" max="10710" width="7.5703125" style="111" bestFit="1" customWidth="1"/>
    <col min="10711" max="10711" width="7.42578125" style="111" bestFit="1" customWidth="1"/>
    <col min="10712" max="10712" width="7.5703125" style="111" bestFit="1" customWidth="1"/>
    <col min="10713" max="10713" width="10.42578125" style="111" bestFit="1" customWidth="1"/>
    <col min="10714" max="10714" width="10.28515625" style="111" bestFit="1" customWidth="1"/>
    <col min="10715" max="10715" width="23.7109375" style="111" customWidth="1"/>
    <col min="10716" max="10716" width="10.5703125" style="111" customWidth="1"/>
    <col min="10717" max="10717" width="6.5703125" style="111" customWidth="1"/>
    <col min="10718" max="10718" width="7" style="111" customWidth="1"/>
    <col min="10719" max="10719" width="7.42578125" style="111" customWidth="1"/>
    <col min="10720" max="10720" width="7.5703125" style="111" customWidth="1"/>
    <col min="10721" max="10721" width="7.42578125" style="111" customWidth="1"/>
    <col min="10722" max="10722" width="7.5703125" style="111" customWidth="1"/>
    <col min="10723" max="10723" width="10.42578125" style="111" customWidth="1"/>
    <col min="10724" max="10724" width="10.28515625" style="111" customWidth="1"/>
    <col min="10725" max="10725" width="14.7109375" style="111" customWidth="1"/>
    <col min="10726" max="10726" width="10.5703125" style="111" customWidth="1"/>
    <col min="10727" max="10727" width="6.5703125" style="111" customWidth="1"/>
    <col min="10728" max="10728" width="7" style="111" customWidth="1"/>
    <col min="10729" max="10729" width="7.42578125" style="111" customWidth="1"/>
    <col min="10730" max="10730" width="7.5703125" style="111" customWidth="1"/>
    <col min="10731" max="10731" width="7.42578125" style="111" customWidth="1"/>
    <col min="10732" max="10732" width="7.5703125" style="111" customWidth="1"/>
    <col min="10733" max="10733" width="10.42578125" style="111" customWidth="1"/>
    <col min="10734" max="10734" width="10.28515625" style="111" customWidth="1"/>
    <col min="10735" max="10735" width="8.85546875" style="111"/>
    <col min="10736" max="10754" width="9.28515625" style="111" customWidth="1"/>
    <col min="10755" max="10960" width="8.85546875" style="111"/>
    <col min="10961" max="10961" width="23.7109375" style="111" customWidth="1"/>
    <col min="10962" max="10962" width="10.5703125" style="111" customWidth="1"/>
    <col min="10963" max="10963" width="6.5703125" style="111" customWidth="1"/>
    <col min="10964" max="10964" width="7" style="111" bestFit="1" customWidth="1"/>
    <col min="10965" max="10965" width="7.42578125" style="111" bestFit="1" customWidth="1"/>
    <col min="10966" max="10966" width="7.5703125" style="111" bestFit="1" customWidth="1"/>
    <col min="10967" max="10967" width="7.42578125" style="111" bestFit="1" customWidth="1"/>
    <col min="10968" max="10968" width="7.5703125" style="111" bestFit="1" customWidth="1"/>
    <col min="10969" max="10969" width="10.42578125" style="111" bestFit="1" customWidth="1"/>
    <col min="10970" max="10970" width="10.28515625" style="111" bestFit="1" customWidth="1"/>
    <col min="10971" max="10971" width="23.7109375" style="111" customWidth="1"/>
    <col min="10972" max="10972" width="10.5703125" style="111" customWidth="1"/>
    <col min="10973" max="10973" width="6.5703125" style="111" customWidth="1"/>
    <col min="10974" max="10974" width="7" style="111" customWidth="1"/>
    <col min="10975" max="10975" width="7.42578125" style="111" customWidth="1"/>
    <col min="10976" max="10976" width="7.5703125" style="111" customWidth="1"/>
    <col min="10977" max="10977" width="7.42578125" style="111" customWidth="1"/>
    <col min="10978" max="10978" width="7.5703125" style="111" customWidth="1"/>
    <col min="10979" max="10979" width="10.42578125" style="111" customWidth="1"/>
    <col min="10980" max="10980" width="10.28515625" style="111" customWidth="1"/>
    <col min="10981" max="10981" width="14.7109375" style="111" customWidth="1"/>
    <col min="10982" max="10982" width="10.5703125" style="111" customWidth="1"/>
    <col min="10983" max="10983" width="6.5703125" style="111" customWidth="1"/>
    <col min="10984" max="10984" width="7" style="111" customWidth="1"/>
    <col min="10985" max="10985" width="7.42578125" style="111" customWidth="1"/>
    <col min="10986" max="10986" width="7.5703125" style="111" customWidth="1"/>
    <col min="10987" max="10987" width="7.42578125" style="111" customWidth="1"/>
    <col min="10988" max="10988" width="7.5703125" style="111" customWidth="1"/>
    <col min="10989" max="10989" width="10.42578125" style="111" customWidth="1"/>
    <col min="10990" max="10990" width="10.28515625" style="111" customWidth="1"/>
    <col min="10991" max="10991" width="8.85546875" style="111"/>
    <col min="10992" max="11010" width="9.28515625" style="111" customWidth="1"/>
    <col min="11011" max="11216" width="8.85546875" style="111"/>
    <col min="11217" max="11217" width="23.7109375" style="111" customWidth="1"/>
    <col min="11218" max="11218" width="10.5703125" style="111" customWidth="1"/>
    <col min="11219" max="11219" width="6.5703125" style="111" customWidth="1"/>
    <col min="11220" max="11220" width="7" style="111" bestFit="1" customWidth="1"/>
    <col min="11221" max="11221" width="7.42578125" style="111" bestFit="1" customWidth="1"/>
    <col min="11222" max="11222" width="7.5703125" style="111" bestFit="1" customWidth="1"/>
    <col min="11223" max="11223" width="7.42578125" style="111" bestFit="1" customWidth="1"/>
    <col min="11224" max="11224" width="7.5703125" style="111" bestFit="1" customWidth="1"/>
    <col min="11225" max="11225" width="10.42578125" style="111" bestFit="1" customWidth="1"/>
    <col min="11226" max="11226" width="10.28515625" style="111" bestFit="1" customWidth="1"/>
    <col min="11227" max="11227" width="23.7109375" style="111" customWidth="1"/>
    <col min="11228" max="11228" width="10.5703125" style="111" customWidth="1"/>
    <col min="11229" max="11229" width="6.5703125" style="111" customWidth="1"/>
    <col min="11230" max="11230" width="7" style="111" customWidth="1"/>
    <col min="11231" max="11231" width="7.42578125" style="111" customWidth="1"/>
    <col min="11232" max="11232" width="7.5703125" style="111" customWidth="1"/>
    <col min="11233" max="11233" width="7.42578125" style="111" customWidth="1"/>
    <col min="11234" max="11234" width="7.5703125" style="111" customWidth="1"/>
    <col min="11235" max="11235" width="10.42578125" style="111" customWidth="1"/>
    <col min="11236" max="11236" width="10.28515625" style="111" customWidth="1"/>
    <col min="11237" max="11237" width="14.7109375" style="111" customWidth="1"/>
    <col min="11238" max="11238" width="10.5703125" style="111" customWidth="1"/>
    <col min="11239" max="11239" width="6.5703125" style="111" customWidth="1"/>
    <col min="11240" max="11240" width="7" style="111" customWidth="1"/>
    <col min="11241" max="11241" width="7.42578125" style="111" customWidth="1"/>
    <col min="11242" max="11242" width="7.5703125" style="111" customWidth="1"/>
    <col min="11243" max="11243" width="7.42578125" style="111" customWidth="1"/>
    <col min="11244" max="11244" width="7.5703125" style="111" customWidth="1"/>
    <col min="11245" max="11245" width="10.42578125" style="111" customWidth="1"/>
    <col min="11246" max="11246" width="10.28515625" style="111" customWidth="1"/>
    <col min="11247" max="11247" width="8.85546875" style="111"/>
    <col min="11248" max="11266" width="9.28515625" style="111" customWidth="1"/>
    <col min="11267" max="11472" width="8.85546875" style="111"/>
    <col min="11473" max="11473" width="23.7109375" style="111" customWidth="1"/>
    <col min="11474" max="11474" width="10.5703125" style="111" customWidth="1"/>
    <col min="11475" max="11475" width="6.5703125" style="111" customWidth="1"/>
    <col min="11476" max="11476" width="7" style="111" bestFit="1" customWidth="1"/>
    <col min="11477" max="11477" width="7.42578125" style="111" bestFit="1" customWidth="1"/>
    <col min="11478" max="11478" width="7.5703125" style="111" bestFit="1" customWidth="1"/>
    <col min="11479" max="11479" width="7.42578125" style="111" bestFit="1" customWidth="1"/>
    <col min="11480" max="11480" width="7.5703125" style="111" bestFit="1" customWidth="1"/>
    <col min="11481" max="11481" width="10.42578125" style="111" bestFit="1" customWidth="1"/>
    <col min="11482" max="11482" width="10.28515625" style="111" bestFit="1" customWidth="1"/>
    <col min="11483" max="11483" width="23.7109375" style="111" customWidth="1"/>
    <col min="11484" max="11484" width="10.5703125" style="111" customWidth="1"/>
    <col min="11485" max="11485" width="6.5703125" style="111" customWidth="1"/>
    <col min="11486" max="11486" width="7" style="111" customWidth="1"/>
    <col min="11487" max="11487" width="7.42578125" style="111" customWidth="1"/>
    <col min="11488" max="11488" width="7.5703125" style="111" customWidth="1"/>
    <col min="11489" max="11489" width="7.42578125" style="111" customWidth="1"/>
    <col min="11490" max="11490" width="7.5703125" style="111" customWidth="1"/>
    <col min="11491" max="11491" width="10.42578125" style="111" customWidth="1"/>
    <col min="11492" max="11492" width="10.28515625" style="111" customWidth="1"/>
    <col min="11493" max="11493" width="14.7109375" style="111" customWidth="1"/>
    <col min="11494" max="11494" width="10.5703125" style="111" customWidth="1"/>
    <col min="11495" max="11495" width="6.5703125" style="111" customWidth="1"/>
    <col min="11496" max="11496" width="7" style="111" customWidth="1"/>
    <col min="11497" max="11497" width="7.42578125" style="111" customWidth="1"/>
    <col min="11498" max="11498" width="7.5703125" style="111" customWidth="1"/>
    <col min="11499" max="11499" width="7.42578125" style="111" customWidth="1"/>
    <col min="11500" max="11500" width="7.5703125" style="111" customWidth="1"/>
    <col min="11501" max="11501" width="10.42578125" style="111" customWidth="1"/>
    <col min="11502" max="11502" width="10.28515625" style="111" customWidth="1"/>
    <col min="11503" max="11503" width="8.85546875" style="111"/>
    <col min="11504" max="11522" width="9.28515625" style="111" customWidth="1"/>
    <col min="11523" max="11728" width="8.85546875" style="111"/>
    <col min="11729" max="11729" width="23.7109375" style="111" customWidth="1"/>
    <col min="11730" max="11730" width="10.5703125" style="111" customWidth="1"/>
    <col min="11731" max="11731" width="6.5703125" style="111" customWidth="1"/>
    <col min="11732" max="11732" width="7" style="111" bestFit="1" customWidth="1"/>
    <col min="11733" max="11733" width="7.42578125" style="111" bestFit="1" customWidth="1"/>
    <col min="11734" max="11734" width="7.5703125" style="111" bestFit="1" customWidth="1"/>
    <col min="11735" max="11735" width="7.42578125" style="111" bestFit="1" customWidth="1"/>
    <col min="11736" max="11736" width="7.5703125" style="111" bestFit="1" customWidth="1"/>
    <col min="11737" max="11737" width="10.42578125" style="111" bestFit="1" customWidth="1"/>
    <col min="11738" max="11738" width="10.28515625" style="111" bestFit="1" customWidth="1"/>
    <col min="11739" max="11739" width="23.7109375" style="111" customWidth="1"/>
    <col min="11740" max="11740" width="10.5703125" style="111" customWidth="1"/>
    <col min="11741" max="11741" width="6.5703125" style="111" customWidth="1"/>
    <col min="11742" max="11742" width="7" style="111" customWidth="1"/>
    <col min="11743" max="11743" width="7.42578125" style="111" customWidth="1"/>
    <col min="11744" max="11744" width="7.5703125" style="111" customWidth="1"/>
    <col min="11745" max="11745" width="7.42578125" style="111" customWidth="1"/>
    <col min="11746" max="11746" width="7.5703125" style="111" customWidth="1"/>
    <col min="11747" max="11747" width="10.42578125" style="111" customWidth="1"/>
    <col min="11748" max="11748" width="10.28515625" style="111" customWidth="1"/>
    <col min="11749" max="11749" width="14.7109375" style="111" customWidth="1"/>
    <col min="11750" max="11750" width="10.5703125" style="111" customWidth="1"/>
    <col min="11751" max="11751" width="6.5703125" style="111" customWidth="1"/>
    <col min="11752" max="11752" width="7" style="111" customWidth="1"/>
    <col min="11753" max="11753" width="7.42578125" style="111" customWidth="1"/>
    <col min="11754" max="11754" width="7.5703125" style="111" customWidth="1"/>
    <col min="11755" max="11755" width="7.42578125" style="111" customWidth="1"/>
    <col min="11756" max="11756" width="7.5703125" style="111" customWidth="1"/>
    <col min="11757" max="11757" width="10.42578125" style="111" customWidth="1"/>
    <col min="11758" max="11758" width="10.28515625" style="111" customWidth="1"/>
    <col min="11759" max="11759" width="8.85546875" style="111"/>
    <col min="11760" max="11778" width="9.28515625" style="111" customWidth="1"/>
    <col min="11779" max="11984" width="8.85546875" style="111"/>
    <col min="11985" max="11985" width="23.7109375" style="111" customWidth="1"/>
    <col min="11986" max="11986" width="10.5703125" style="111" customWidth="1"/>
    <col min="11987" max="11987" width="6.5703125" style="111" customWidth="1"/>
    <col min="11988" max="11988" width="7" style="111" bestFit="1" customWidth="1"/>
    <col min="11989" max="11989" width="7.42578125" style="111" bestFit="1" customWidth="1"/>
    <col min="11990" max="11990" width="7.5703125" style="111" bestFit="1" customWidth="1"/>
    <col min="11991" max="11991" width="7.42578125" style="111" bestFit="1" customWidth="1"/>
    <col min="11992" max="11992" width="7.5703125" style="111" bestFit="1" customWidth="1"/>
    <col min="11993" max="11993" width="10.42578125" style="111" bestFit="1" customWidth="1"/>
    <col min="11994" max="11994" width="10.28515625" style="111" bestFit="1" customWidth="1"/>
    <col min="11995" max="11995" width="23.7109375" style="111" customWidth="1"/>
    <col min="11996" max="11996" width="10.5703125" style="111" customWidth="1"/>
    <col min="11997" max="11997" width="6.5703125" style="111" customWidth="1"/>
    <col min="11998" max="11998" width="7" style="111" customWidth="1"/>
    <col min="11999" max="11999" width="7.42578125" style="111" customWidth="1"/>
    <col min="12000" max="12000" width="7.5703125" style="111" customWidth="1"/>
    <col min="12001" max="12001" width="7.42578125" style="111" customWidth="1"/>
    <col min="12002" max="12002" width="7.5703125" style="111" customWidth="1"/>
    <col min="12003" max="12003" width="10.42578125" style="111" customWidth="1"/>
    <col min="12004" max="12004" width="10.28515625" style="111" customWidth="1"/>
    <col min="12005" max="12005" width="14.7109375" style="111" customWidth="1"/>
    <col min="12006" max="12006" width="10.5703125" style="111" customWidth="1"/>
    <col min="12007" max="12007" width="6.5703125" style="111" customWidth="1"/>
    <col min="12008" max="12008" width="7" style="111" customWidth="1"/>
    <col min="12009" max="12009" width="7.42578125" style="111" customWidth="1"/>
    <col min="12010" max="12010" width="7.5703125" style="111" customWidth="1"/>
    <col min="12011" max="12011" width="7.42578125" style="111" customWidth="1"/>
    <col min="12012" max="12012" width="7.5703125" style="111" customWidth="1"/>
    <col min="12013" max="12013" width="10.42578125" style="111" customWidth="1"/>
    <col min="12014" max="12014" width="10.28515625" style="111" customWidth="1"/>
    <col min="12015" max="12015" width="8.85546875" style="111"/>
    <col min="12016" max="12034" width="9.28515625" style="111" customWidth="1"/>
    <col min="12035" max="12240" width="8.85546875" style="111"/>
    <col min="12241" max="12241" width="23.7109375" style="111" customWidth="1"/>
    <col min="12242" max="12242" width="10.5703125" style="111" customWidth="1"/>
    <col min="12243" max="12243" width="6.5703125" style="111" customWidth="1"/>
    <col min="12244" max="12244" width="7" style="111" bestFit="1" customWidth="1"/>
    <col min="12245" max="12245" width="7.42578125" style="111" bestFit="1" customWidth="1"/>
    <col min="12246" max="12246" width="7.5703125" style="111" bestFit="1" customWidth="1"/>
    <col min="12247" max="12247" width="7.42578125" style="111" bestFit="1" customWidth="1"/>
    <col min="12248" max="12248" width="7.5703125" style="111" bestFit="1" customWidth="1"/>
    <col min="12249" max="12249" width="10.42578125" style="111" bestFit="1" customWidth="1"/>
    <col min="12250" max="12250" width="10.28515625" style="111" bestFit="1" customWidth="1"/>
    <col min="12251" max="12251" width="23.7109375" style="111" customWidth="1"/>
    <col min="12252" max="12252" width="10.5703125" style="111" customWidth="1"/>
    <col min="12253" max="12253" width="6.5703125" style="111" customWidth="1"/>
    <col min="12254" max="12254" width="7" style="111" customWidth="1"/>
    <col min="12255" max="12255" width="7.42578125" style="111" customWidth="1"/>
    <col min="12256" max="12256" width="7.5703125" style="111" customWidth="1"/>
    <col min="12257" max="12257" width="7.42578125" style="111" customWidth="1"/>
    <col min="12258" max="12258" width="7.5703125" style="111" customWidth="1"/>
    <col min="12259" max="12259" width="10.42578125" style="111" customWidth="1"/>
    <col min="12260" max="12260" width="10.28515625" style="111" customWidth="1"/>
    <col min="12261" max="12261" width="14.7109375" style="111" customWidth="1"/>
    <col min="12262" max="12262" width="10.5703125" style="111" customWidth="1"/>
    <col min="12263" max="12263" width="6.5703125" style="111" customWidth="1"/>
    <col min="12264" max="12264" width="7" style="111" customWidth="1"/>
    <col min="12265" max="12265" width="7.42578125" style="111" customWidth="1"/>
    <col min="12266" max="12266" width="7.5703125" style="111" customWidth="1"/>
    <col min="12267" max="12267" width="7.42578125" style="111" customWidth="1"/>
    <col min="12268" max="12268" width="7.5703125" style="111" customWidth="1"/>
    <col min="12269" max="12269" width="10.42578125" style="111" customWidth="1"/>
    <col min="12270" max="12270" width="10.28515625" style="111" customWidth="1"/>
    <col min="12271" max="12271" width="8.85546875" style="111"/>
    <col min="12272" max="12290" width="9.28515625" style="111" customWidth="1"/>
    <col min="12291" max="12496" width="8.85546875" style="111"/>
    <col min="12497" max="12497" width="23.7109375" style="111" customWidth="1"/>
    <col min="12498" max="12498" width="10.5703125" style="111" customWidth="1"/>
    <col min="12499" max="12499" width="6.5703125" style="111" customWidth="1"/>
    <col min="12500" max="12500" width="7" style="111" bestFit="1" customWidth="1"/>
    <col min="12501" max="12501" width="7.42578125" style="111" bestFit="1" customWidth="1"/>
    <col min="12502" max="12502" width="7.5703125" style="111" bestFit="1" customWidth="1"/>
    <col min="12503" max="12503" width="7.42578125" style="111" bestFit="1" customWidth="1"/>
    <col min="12504" max="12504" width="7.5703125" style="111" bestFit="1" customWidth="1"/>
    <col min="12505" max="12505" width="10.42578125" style="111" bestFit="1" customWidth="1"/>
    <col min="12506" max="12506" width="10.28515625" style="111" bestFit="1" customWidth="1"/>
    <col min="12507" max="12507" width="23.7109375" style="111" customWidth="1"/>
    <col min="12508" max="12508" width="10.5703125" style="111" customWidth="1"/>
    <col min="12509" max="12509" width="6.5703125" style="111" customWidth="1"/>
    <col min="12510" max="12510" width="7" style="111" customWidth="1"/>
    <col min="12511" max="12511" width="7.42578125" style="111" customWidth="1"/>
    <col min="12512" max="12512" width="7.5703125" style="111" customWidth="1"/>
    <col min="12513" max="12513" width="7.42578125" style="111" customWidth="1"/>
    <col min="12514" max="12514" width="7.5703125" style="111" customWidth="1"/>
    <col min="12515" max="12515" width="10.42578125" style="111" customWidth="1"/>
    <col min="12516" max="12516" width="10.28515625" style="111" customWidth="1"/>
    <col min="12517" max="12517" width="14.7109375" style="111" customWidth="1"/>
    <col min="12518" max="12518" width="10.5703125" style="111" customWidth="1"/>
    <col min="12519" max="12519" width="6.5703125" style="111" customWidth="1"/>
    <col min="12520" max="12520" width="7" style="111" customWidth="1"/>
    <col min="12521" max="12521" width="7.42578125" style="111" customWidth="1"/>
    <col min="12522" max="12522" width="7.5703125" style="111" customWidth="1"/>
    <col min="12523" max="12523" width="7.42578125" style="111" customWidth="1"/>
    <col min="12524" max="12524" width="7.5703125" style="111" customWidth="1"/>
    <col min="12525" max="12525" width="10.42578125" style="111" customWidth="1"/>
    <col min="12526" max="12526" width="10.28515625" style="111" customWidth="1"/>
    <col min="12527" max="12527" width="8.85546875" style="111"/>
    <col min="12528" max="12546" width="9.28515625" style="111" customWidth="1"/>
    <col min="12547" max="12752" width="8.85546875" style="111"/>
    <col min="12753" max="12753" width="23.7109375" style="111" customWidth="1"/>
    <col min="12754" max="12754" width="10.5703125" style="111" customWidth="1"/>
    <col min="12755" max="12755" width="6.5703125" style="111" customWidth="1"/>
    <col min="12756" max="12756" width="7" style="111" bestFit="1" customWidth="1"/>
    <col min="12757" max="12757" width="7.42578125" style="111" bestFit="1" customWidth="1"/>
    <col min="12758" max="12758" width="7.5703125" style="111" bestFit="1" customWidth="1"/>
    <col min="12759" max="12759" width="7.42578125" style="111" bestFit="1" customWidth="1"/>
    <col min="12760" max="12760" width="7.5703125" style="111" bestFit="1" customWidth="1"/>
    <col min="12761" max="12761" width="10.42578125" style="111" bestFit="1" customWidth="1"/>
    <col min="12762" max="12762" width="10.28515625" style="111" bestFit="1" customWidth="1"/>
    <col min="12763" max="12763" width="23.7109375" style="111" customWidth="1"/>
    <col min="12764" max="12764" width="10.5703125" style="111" customWidth="1"/>
    <col min="12765" max="12765" width="6.5703125" style="111" customWidth="1"/>
    <col min="12766" max="12766" width="7" style="111" customWidth="1"/>
    <col min="12767" max="12767" width="7.42578125" style="111" customWidth="1"/>
    <col min="12768" max="12768" width="7.5703125" style="111" customWidth="1"/>
    <col min="12769" max="12769" width="7.42578125" style="111" customWidth="1"/>
    <col min="12770" max="12770" width="7.5703125" style="111" customWidth="1"/>
    <col min="12771" max="12771" width="10.42578125" style="111" customWidth="1"/>
    <col min="12772" max="12772" width="10.28515625" style="111" customWidth="1"/>
    <col min="12773" max="12773" width="14.7109375" style="111" customWidth="1"/>
    <col min="12774" max="12774" width="10.5703125" style="111" customWidth="1"/>
    <col min="12775" max="12775" width="6.5703125" style="111" customWidth="1"/>
    <col min="12776" max="12776" width="7" style="111" customWidth="1"/>
    <col min="12777" max="12777" width="7.42578125" style="111" customWidth="1"/>
    <col min="12778" max="12778" width="7.5703125" style="111" customWidth="1"/>
    <col min="12779" max="12779" width="7.42578125" style="111" customWidth="1"/>
    <col min="12780" max="12780" width="7.5703125" style="111" customWidth="1"/>
    <col min="12781" max="12781" width="10.42578125" style="111" customWidth="1"/>
    <col min="12782" max="12782" width="10.28515625" style="111" customWidth="1"/>
    <col min="12783" max="12783" width="8.85546875" style="111"/>
    <col min="12784" max="12802" width="9.28515625" style="111" customWidth="1"/>
    <col min="12803" max="13008" width="8.85546875" style="111"/>
    <col min="13009" max="13009" width="23.7109375" style="111" customWidth="1"/>
    <col min="13010" max="13010" width="10.5703125" style="111" customWidth="1"/>
    <col min="13011" max="13011" width="6.5703125" style="111" customWidth="1"/>
    <col min="13012" max="13012" width="7" style="111" bestFit="1" customWidth="1"/>
    <col min="13013" max="13013" width="7.42578125" style="111" bestFit="1" customWidth="1"/>
    <col min="13014" max="13014" width="7.5703125" style="111" bestFit="1" customWidth="1"/>
    <col min="13015" max="13015" width="7.42578125" style="111" bestFit="1" customWidth="1"/>
    <col min="13016" max="13016" width="7.5703125" style="111" bestFit="1" customWidth="1"/>
    <col min="13017" max="13017" width="10.42578125" style="111" bestFit="1" customWidth="1"/>
    <col min="13018" max="13018" width="10.28515625" style="111" bestFit="1" customWidth="1"/>
    <col min="13019" max="13019" width="23.7109375" style="111" customWidth="1"/>
    <col min="13020" max="13020" width="10.5703125" style="111" customWidth="1"/>
    <col min="13021" max="13021" width="6.5703125" style="111" customWidth="1"/>
    <col min="13022" max="13022" width="7" style="111" customWidth="1"/>
    <col min="13023" max="13023" width="7.42578125" style="111" customWidth="1"/>
    <col min="13024" max="13024" width="7.5703125" style="111" customWidth="1"/>
    <col min="13025" max="13025" width="7.42578125" style="111" customWidth="1"/>
    <col min="13026" max="13026" width="7.5703125" style="111" customWidth="1"/>
    <col min="13027" max="13027" width="10.42578125" style="111" customWidth="1"/>
    <col min="13028" max="13028" width="10.28515625" style="111" customWidth="1"/>
    <col min="13029" max="13029" width="14.7109375" style="111" customWidth="1"/>
    <col min="13030" max="13030" width="10.5703125" style="111" customWidth="1"/>
    <col min="13031" max="13031" width="6.5703125" style="111" customWidth="1"/>
    <col min="13032" max="13032" width="7" style="111" customWidth="1"/>
    <col min="13033" max="13033" width="7.42578125" style="111" customWidth="1"/>
    <col min="13034" max="13034" width="7.5703125" style="111" customWidth="1"/>
    <col min="13035" max="13035" width="7.42578125" style="111" customWidth="1"/>
    <col min="13036" max="13036" width="7.5703125" style="111" customWidth="1"/>
    <col min="13037" max="13037" width="10.42578125" style="111" customWidth="1"/>
    <col min="13038" max="13038" width="10.28515625" style="111" customWidth="1"/>
    <col min="13039" max="13039" width="8.85546875" style="111"/>
    <col min="13040" max="13058" width="9.28515625" style="111" customWidth="1"/>
    <col min="13059" max="13264" width="8.85546875" style="111"/>
    <col min="13265" max="13265" width="23.7109375" style="111" customWidth="1"/>
    <col min="13266" max="13266" width="10.5703125" style="111" customWidth="1"/>
    <col min="13267" max="13267" width="6.5703125" style="111" customWidth="1"/>
    <col min="13268" max="13268" width="7" style="111" bestFit="1" customWidth="1"/>
    <col min="13269" max="13269" width="7.42578125" style="111" bestFit="1" customWidth="1"/>
    <col min="13270" max="13270" width="7.5703125" style="111" bestFit="1" customWidth="1"/>
    <col min="13271" max="13271" width="7.42578125" style="111" bestFit="1" customWidth="1"/>
    <col min="13272" max="13272" width="7.5703125" style="111" bestFit="1" customWidth="1"/>
    <col min="13273" max="13273" width="10.42578125" style="111" bestFit="1" customWidth="1"/>
    <col min="13274" max="13274" width="10.28515625" style="111" bestFit="1" customWidth="1"/>
    <col min="13275" max="13275" width="23.7109375" style="111" customWidth="1"/>
    <col min="13276" max="13276" width="10.5703125" style="111" customWidth="1"/>
    <col min="13277" max="13277" width="6.5703125" style="111" customWidth="1"/>
    <col min="13278" max="13278" width="7" style="111" customWidth="1"/>
    <col min="13279" max="13279" width="7.42578125" style="111" customWidth="1"/>
    <col min="13280" max="13280" width="7.5703125" style="111" customWidth="1"/>
    <col min="13281" max="13281" width="7.42578125" style="111" customWidth="1"/>
    <col min="13282" max="13282" width="7.5703125" style="111" customWidth="1"/>
    <col min="13283" max="13283" width="10.42578125" style="111" customWidth="1"/>
    <col min="13284" max="13284" width="10.28515625" style="111" customWidth="1"/>
    <col min="13285" max="13285" width="14.7109375" style="111" customWidth="1"/>
    <col min="13286" max="13286" width="10.5703125" style="111" customWidth="1"/>
    <col min="13287" max="13287" width="6.5703125" style="111" customWidth="1"/>
    <col min="13288" max="13288" width="7" style="111" customWidth="1"/>
    <col min="13289" max="13289" width="7.42578125" style="111" customWidth="1"/>
    <col min="13290" max="13290" width="7.5703125" style="111" customWidth="1"/>
    <col min="13291" max="13291" width="7.42578125" style="111" customWidth="1"/>
    <col min="13292" max="13292" width="7.5703125" style="111" customWidth="1"/>
    <col min="13293" max="13293" width="10.42578125" style="111" customWidth="1"/>
    <col min="13294" max="13294" width="10.28515625" style="111" customWidth="1"/>
    <col min="13295" max="13295" width="8.85546875" style="111"/>
    <col min="13296" max="13314" width="9.28515625" style="111" customWidth="1"/>
    <col min="13315" max="13520" width="8.85546875" style="111"/>
    <col min="13521" max="13521" width="23.7109375" style="111" customWidth="1"/>
    <col min="13522" max="13522" width="10.5703125" style="111" customWidth="1"/>
    <col min="13523" max="13523" width="6.5703125" style="111" customWidth="1"/>
    <col min="13524" max="13524" width="7" style="111" bestFit="1" customWidth="1"/>
    <col min="13525" max="13525" width="7.42578125" style="111" bestFit="1" customWidth="1"/>
    <col min="13526" max="13526" width="7.5703125" style="111" bestFit="1" customWidth="1"/>
    <col min="13527" max="13527" width="7.42578125" style="111" bestFit="1" customWidth="1"/>
    <col min="13528" max="13528" width="7.5703125" style="111" bestFit="1" customWidth="1"/>
    <col min="13529" max="13529" width="10.42578125" style="111" bestFit="1" customWidth="1"/>
    <col min="13530" max="13530" width="10.28515625" style="111" bestFit="1" customWidth="1"/>
    <col min="13531" max="13531" width="23.7109375" style="111" customWidth="1"/>
    <col min="13532" max="13532" width="10.5703125" style="111" customWidth="1"/>
    <col min="13533" max="13533" width="6.5703125" style="111" customWidth="1"/>
    <col min="13534" max="13534" width="7" style="111" customWidth="1"/>
    <col min="13535" max="13535" width="7.42578125" style="111" customWidth="1"/>
    <col min="13536" max="13536" width="7.5703125" style="111" customWidth="1"/>
    <col min="13537" max="13537" width="7.42578125" style="111" customWidth="1"/>
    <col min="13538" max="13538" width="7.5703125" style="111" customWidth="1"/>
    <col min="13539" max="13539" width="10.42578125" style="111" customWidth="1"/>
    <col min="13540" max="13540" width="10.28515625" style="111" customWidth="1"/>
    <col min="13541" max="13541" width="14.7109375" style="111" customWidth="1"/>
    <col min="13542" max="13542" width="10.5703125" style="111" customWidth="1"/>
    <col min="13543" max="13543" width="6.5703125" style="111" customWidth="1"/>
    <col min="13544" max="13544" width="7" style="111" customWidth="1"/>
    <col min="13545" max="13545" width="7.42578125" style="111" customWidth="1"/>
    <col min="13546" max="13546" width="7.5703125" style="111" customWidth="1"/>
    <col min="13547" max="13547" width="7.42578125" style="111" customWidth="1"/>
    <col min="13548" max="13548" width="7.5703125" style="111" customWidth="1"/>
    <col min="13549" max="13549" width="10.42578125" style="111" customWidth="1"/>
    <col min="13550" max="13550" width="10.28515625" style="111" customWidth="1"/>
    <col min="13551" max="13551" width="8.85546875" style="111"/>
    <col min="13552" max="13570" width="9.28515625" style="111" customWidth="1"/>
    <col min="13571" max="13776" width="8.85546875" style="111"/>
    <col min="13777" max="13777" width="23.7109375" style="111" customWidth="1"/>
    <col min="13778" max="13778" width="10.5703125" style="111" customWidth="1"/>
    <col min="13779" max="13779" width="6.5703125" style="111" customWidth="1"/>
    <col min="13780" max="13780" width="7" style="111" bestFit="1" customWidth="1"/>
    <col min="13781" max="13781" width="7.42578125" style="111" bestFit="1" customWidth="1"/>
    <col min="13782" max="13782" width="7.5703125" style="111" bestFit="1" customWidth="1"/>
    <col min="13783" max="13783" width="7.42578125" style="111" bestFit="1" customWidth="1"/>
    <col min="13784" max="13784" width="7.5703125" style="111" bestFit="1" customWidth="1"/>
    <col min="13785" max="13785" width="10.42578125" style="111" bestFit="1" customWidth="1"/>
    <col min="13786" max="13786" width="10.28515625" style="111" bestFit="1" customWidth="1"/>
    <col min="13787" max="13787" width="23.7109375" style="111" customWidth="1"/>
    <col min="13788" max="13788" width="10.5703125" style="111" customWidth="1"/>
    <col min="13789" max="13789" width="6.5703125" style="111" customWidth="1"/>
    <col min="13790" max="13790" width="7" style="111" customWidth="1"/>
    <col min="13791" max="13791" width="7.42578125" style="111" customWidth="1"/>
    <col min="13792" max="13792" width="7.5703125" style="111" customWidth="1"/>
    <col min="13793" max="13793" width="7.42578125" style="111" customWidth="1"/>
    <col min="13794" max="13794" width="7.5703125" style="111" customWidth="1"/>
    <col min="13795" max="13795" width="10.42578125" style="111" customWidth="1"/>
    <col min="13796" max="13796" width="10.28515625" style="111" customWidth="1"/>
    <col min="13797" max="13797" width="14.7109375" style="111" customWidth="1"/>
    <col min="13798" max="13798" width="10.5703125" style="111" customWidth="1"/>
    <col min="13799" max="13799" width="6.5703125" style="111" customWidth="1"/>
    <col min="13800" max="13800" width="7" style="111" customWidth="1"/>
    <col min="13801" max="13801" width="7.42578125" style="111" customWidth="1"/>
    <col min="13802" max="13802" width="7.5703125" style="111" customWidth="1"/>
    <col min="13803" max="13803" width="7.42578125" style="111" customWidth="1"/>
    <col min="13804" max="13804" width="7.5703125" style="111" customWidth="1"/>
    <col min="13805" max="13805" width="10.42578125" style="111" customWidth="1"/>
    <col min="13806" max="13806" width="10.28515625" style="111" customWidth="1"/>
    <col min="13807" max="13807" width="8.85546875" style="111"/>
    <col min="13808" max="13826" width="9.28515625" style="111" customWidth="1"/>
    <col min="13827" max="14032" width="8.85546875" style="111"/>
    <col min="14033" max="14033" width="23.7109375" style="111" customWidth="1"/>
    <col min="14034" max="14034" width="10.5703125" style="111" customWidth="1"/>
    <col min="14035" max="14035" width="6.5703125" style="111" customWidth="1"/>
    <col min="14036" max="14036" width="7" style="111" bestFit="1" customWidth="1"/>
    <col min="14037" max="14037" width="7.42578125" style="111" bestFit="1" customWidth="1"/>
    <col min="14038" max="14038" width="7.5703125" style="111" bestFit="1" customWidth="1"/>
    <col min="14039" max="14039" width="7.42578125" style="111" bestFit="1" customWidth="1"/>
    <col min="14040" max="14040" width="7.5703125" style="111" bestFit="1" customWidth="1"/>
    <col min="14041" max="14041" width="10.42578125" style="111" bestFit="1" customWidth="1"/>
    <col min="14042" max="14042" width="10.28515625" style="111" bestFit="1" customWidth="1"/>
    <col min="14043" max="14043" width="23.7109375" style="111" customWidth="1"/>
    <col min="14044" max="14044" width="10.5703125" style="111" customWidth="1"/>
    <col min="14045" max="14045" width="6.5703125" style="111" customWidth="1"/>
    <col min="14046" max="14046" width="7" style="111" customWidth="1"/>
    <col min="14047" max="14047" width="7.42578125" style="111" customWidth="1"/>
    <col min="14048" max="14048" width="7.5703125" style="111" customWidth="1"/>
    <col min="14049" max="14049" width="7.42578125" style="111" customWidth="1"/>
    <col min="14050" max="14050" width="7.5703125" style="111" customWidth="1"/>
    <col min="14051" max="14051" width="10.42578125" style="111" customWidth="1"/>
    <col min="14052" max="14052" width="10.28515625" style="111" customWidth="1"/>
    <col min="14053" max="14053" width="14.7109375" style="111" customWidth="1"/>
    <col min="14054" max="14054" width="10.5703125" style="111" customWidth="1"/>
    <col min="14055" max="14055" width="6.5703125" style="111" customWidth="1"/>
    <col min="14056" max="14056" width="7" style="111" customWidth="1"/>
    <col min="14057" max="14057" width="7.42578125" style="111" customWidth="1"/>
    <col min="14058" max="14058" width="7.5703125" style="111" customWidth="1"/>
    <col min="14059" max="14059" width="7.42578125" style="111" customWidth="1"/>
    <col min="14060" max="14060" width="7.5703125" style="111" customWidth="1"/>
    <col min="14061" max="14061" width="10.42578125" style="111" customWidth="1"/>
    <col min="14062" max="14062" width="10.28515625" style="111" customWidth="1"/>
    <col min="14063" max="14063" width="8.85546875" style="111"/>
    <col min="14064" max="14082" width="9.28515625" style="111" customWidth="1"/>
    <col min="14083" max="14288" width="8.85546875" style="111"/>
    <col min="14289" max="14289" width="23.7109375" style="111" customWidth="1"/>
    <col min="14290" max="14290" width="10.5703125" style="111" customWidth="1"/>
    <col min="14291" max="14291" width="6.5703125" style="111" customWidth="1"/>
    <col min="14292" max="14292" width="7" style="111" bestFit="1" customWidth="1"/>
    <col min="14293" max="14293" width="7.42578125" style="111" bestFit="1" customWidth="1"/>
    <col min="14294" max="14294" width="7.5703125" style="111" bestFit="1" customWidth="1"/>
    <col min="14295" max="14295" width="7.42578125" style="111" bestFit="1" customWidth="1"/>
    <col min="14296" max="14296" width="7.5703125" style="111" bestFit="1" customWidth="1"/>
    <col min="14297" max="14297" width="10.42578125" style="111" bestFit="1" customWidth="1"/>
    <col min="14298" max="14298" width="10.28515625" style="111" bestFit="1" customWidth="1"/>
    <col min="14299" max="14299" width="23.7109375" style="111" customWidth="1"/>
    <col min="14300" max="14300" width="10.5703125" style="111" customWidth="1"/>
    <col min="14301" max="14301" width="6.5703125" style="111" customWidth="1"/>
    <col min="14302" max="14302" width="7" style="111" customWidth="1"/>
    <col min="14303" max="14303" width="7.42578125" style="111" customWidth="1"/>
    <col min="14304" max="14304" width="7.5703125" style="111" customWidth="1"/>
    <col min="14305" max="14305" width="7.42578125" style="111" customWidth="1"/>
    <col min="14306" max="14306" width="7.5703125" style="111" customWidth="1"/>
    <col min="14307" max="14307" width="10.42578125" style="111" customWidth="1"/>
    <col min="14308" max="14308" width="10.28515625" style="111" customWidth="1"/>
    <col min="14309" max="14309" width="14.7109375" style="111" customWidth="1"/>
    <col min="14310" max="14310" width="10.5703125" style="111" customWidth="1"/>
    <col min="14311" max="14311" width="6.5703125" style="111" customWidth="1"/>
    <col min="14312" max="14312" width="7" style="111" customWidth="1"/>
    <col min="14313" max="14313" width="7.42578125" style="111" customWidth="1"/>
    <col min="14314" max="14314" width="7.5703125" style="111" customWidth="1"/>
    <col min="14315" max="14315" width="7.42578125" style="111" customWidth="1"/>
    <col min="14316" max="14316" width="7.5703125" style="111" customWidth="1"/>
    <col min="14317" max="14317" width="10.42578125" style="111" customWidth="1"/>
    <col min="14318" max="14318" width="10.28515625" style="111" customWidth="1"/>
    <col min="14319" max="14319" width="8.85546875" style="111"/>
    <col min="14320" max="14338" width="9.28515625" style="111" customWidth="1"/>
    <col min="14339" max="14544" width="8.85546875" style="111"/>
    <col min="14545" max="14545" width="23.7109375" style="111" customWidth="1"/>
    <col min="14546" max="14546" width="10.5703125" style="111" customWidth="1"/>
    <col min="14547" max="14547" width="6.5703125" style="111" customWidth="1"/>
    <col min="14548" max="14548" width="7" style="111" bestFit="1" customWidth="1"/>
    <col min="14549" max="14549" width="7.42578125" style="111" bestFit="1" customWidth="1"/>
    <col min="14550" max="14550" width="7.5703125" style="111" bestFit="1" customWidth="1"/>
    <col min="14551" max="14551" width="7.42578125" style="111" bestFit="1" customWidth="1"/>
    <col min="14552" max="14552" width="7.5703125" style="111" bestFit="1" customWidth="1"/>
    <col min="14553" max="14553" width="10.42578125" style="111" bestFit="1" customWidth="1"/>
    <col min="14554" max="14554" width="10.28515625" style="111" bestFit="1" customWidth="1"/>
    <col min="14555" max="14555" width="23.7109375" style="111" customWidth="1"/>
    <col min="14556" max="14556" width="10.5703125" style="111" customWidth="1"/>
    <col min="14557" max="14557" width="6.5703125" style="111" customWidth="1"/>
    <col min="14558" max="14558" width="7" style="111" customWidth="1"/>
    <col min="14559" max="14559" width="7.42578125" style="111" customWidth="1"/>
    <col min="14560" max="14560" width="7.5703125" style="111" customWidth="1"/>
    <col min="14561" max="14561" width="7.42578125" style="111" customWidth="1"/>
    <col min="14562" max="14562" width="7.5703125" style="111" customWidth="1"/>
    <col min="14563" max="14563" width="10.42578125" style="111" customWidth="1"/>
    <col min="14564" max="14564" width="10.28515625" style="111" customWidth="1"/>
    <col min="14565" max="14565" width="14.7109375" style="111" customWidth="1"/>
    <col min="14566" max="14566" width="10.5703125" style="111" customWidth="1"/>
    <col min="14567" max="14567" width="6.5703125" style="111" customWidth="1"/>
    <col min="14568" max="14568" width="7" style="111" customWidth="1"/>
    <col min="14569" max="14569" width="7.42578125" style="111" customWidth="1"/>
    <col min="14570" max="14570" width="7.5703125" style="111" customWidth="1"/>
    <col min="14571" max="14571" width="7.42578125" style="111" customWidth="1"/>
    <col min="14572" max="14572" width="7.5703125" style="111" customWidth="1"/>
    <col min="14573" max="14573" width="10.42578125" style="111" customWidth="1"/>
    <col min="14574" max="14574" width="10.28515625" style="111" customWidth="1"/>
    <col min="14575" max="14575" width="8.85546875" style="111"/>
    <col min="14576" max="14594" width="9.28515625" style="111" customWidth="1"/>
    <col min="14595" max="14800" width="8.85546875" style="111"/>
    <col min="14801" max="14801" width="23.7109375" style="111" customWidth="1"/>
    <col min="14802" max="14802" width="10.5703125" style="111" customWidth="1"/>
    <col min="14803" max="14803" width="6.5703125" style="111" customWidth="1"/>
    <col min="14804" max="14804" width="7" style="111" bestFit="1" customWidth="1"/>
    <col min="14805" max="14805" width="7.42578125" style="111" bestFit="1" customWidth="1"/>
    <col min="14806" max="14806" width="7.5703125" style="111" bestFit="1" customWidth="1"/>
    <col min="14807" max="14807" width="7.42578125" style="111" bestFit="1" customWidth="1"/>
    <col min="14808" max="14808" width="7.5703125" style="111" bestFit="1" customWidth="1"/>
    <col min="14809" max="14809" width="10.42578125" style="111" bestFit="1" customWidth="1"/>
    <col min="14810" max="14810" width="10.28515625" style="111" bestFit="1" customWidth="1"/>
    <col min="14811" max="14811" width="23.7109375" style="111" customWidth="1"/>
    <col min="14812" max="14812" width="10.5703125" style="111" customWidth="1"/>
    <col min="14813" max="14813" width="6.5703125" style="111" customWidth="1"/>
    <col min="14814" max="14814" width="7" style="111" customWidth="1"/>
    <col min="14815" max="14815" width="7.42578125" style="111" customWidth="1"/>
    <col min="14816" max="14816" width="7.5703125" style="111" customWidth="1"/>
    <col min="14817" max="14817" width="7.42578125" style="111" customWidth="1"/>
    <col min="14818" max="14818" width="7.5703125" style="111" customWidth="1"/>
    <col min="14819" max="14819" width="10.42578125" style="111" customWidth="1"/>
    <col min="14820" max="14820" width="10.28515625" style="111" customWidth="1"/>
    <col min="14821" max="14821" width="14.7109375" style="111" customWidth="1"/>
    <col min="14822" max="14822" width="10.5703125" style="111" customWidth="1"/>
    <col min="14823" max="14823" width="6.5703125" style="111" customWidth="1"/>
    <col min="14824" max="14824" width="7" style="111" customWidth="1"/>
    <col min="14825" max="14825" width="7.42578125" style="111" customWidth="1"/>
    <col min="14826" max="14826" width="7.5703125" style="111" customWidth="1"/>
    <col min="14827" max="14827" width="7.42578125" style="111" customWidth="1"/>
    <col min="14828" max="14828" width="7.5703125" style="111" customWidth="1"/>
    <col min="14829" max="14829" width="10.42578125" style="111" customWidth="1"/>
    <col min="14830" max="14830" width="10.28515625" style="111" customWidth="1"/>
    <col min="14831" max="14831" width="8.85546875" style="111"/>
    <col min="14832" max="14850" width="9.28515625" style="111" customWidth="1"/>
    <col min="14851" max="15056" width="8.85546875" style="111"/>
    <col min="15057" max="15057" width="23.7109375" style="111" customWidth="1"/>
    <col min="15058" max="15058" width="10.5703125" style="111" customWidth="1"/>
    <col min="15059" max="15059" width="6.5703125" style="111" customWidth="1"/>
    <col min="15060" max="15060" width="7" style="111" bestFit="1" customWidth="1"/>
    <col min="15061" max="15061" width="7.42578125" style="111" bestFit="1" customWidth="1"/>
    <col min="15062" max="15062" width="7.5703125" style="111" bestFit="1" customWidth="1"/>
    <col min="15063" max="15063" width="7.42578125" style="111" bestFit="1" customWidth="1"/>
    <col min="15064" max="15064" width="7.5703125" style="111" bestFit="1" customWidth="1"/>
    <col min="15065" max="15065" width="10.42578125" style="111" bestFit="1" customWidth="1"/>
    <col min="15066" max="15066" width="10.28515625" style="111" bestFit="1" customWidth="1"/>
    <col min="15067" max="15067" width="23.7109375" style="111" customWidth="1"/>
    <col min="15068" max="15068" width="10.5703125" style="111" customWidth="1"/>
    <col min="15069" max="15069" width="6.5703125" style="111" customWidth="1"/>
    <col min="15070" max="15070" width="7" style="111" customWidth="1"/>
    <col min="15071" max="15071" width="7.42578125" style="111" customWidth="1"/>
    <col min="15072" max="15072" width="7.5703125" style="111" customWidth="1"/>
    <col min="15073" max="15073" width="7.42578125" style="111" customWidth="1"/>
    <col min="15074" max="15074" width="7.5703125" style="111" customWidth="1"/>
    <col min="15075" max="15075" width="10.42578125" style="111" customWidth="1"/>
    <col min="15076" max="15076" width="10.28515625" style="111" customWidth="1"/>
    <col min="15077" max="15077" width="14.7109375" style="111" customWidth="1"/>
    <col min="15078" max="15078" width="10.5703125" style="111" customWidth="1"/>
    <col min="15079" max="15079" width="6.5703125" style="111" customWidth="1"/>
    <col min="15080" max="15080" width="7" style="111" customWidth="1"/>
    <col min="15081" max="15081" width="7.42578125" style="111" customWidth="1"/>
    <col min="15082" max="15082" width="7.5703125" style="111" customWidth="1"/>
    <col min="15083" max="15083" width="7.42578125" style="111" customWidth="1"/>
    <col min="15084" max="15084" width="7.5703125" style="111" customWidth="1"/>
    <col min="15085" max="15085" width="10.42578125" style="111" customWidth="1"/>
    <col min="15086" max="15086" width="10.28515625" style="111" customWidth="1"/>
    <col min="15087" max="15087" width="8.85546875" style="111"/>
    <col min="15088" max="15106" width="9.28515625" style="111" customWidth="1"/>
    <col min="15107" max="15312" width="8.85546875" style="111"/>
    <col min="15313" max="15313" width="23.7109375" style="111" customWidth="1"/>
    <col min="15314" max="15314" width="10.5703125" style="111" customWidth="1"/>
    <col min="15315" max="15315" width="6.5703125" style="111" customWidth="1"/>
    <col min="15316" max="15316" width="7" style="111" bestFit="1" customWidth="1"/>
    <col min="15317" max="15317" width="7.42578125" style="111" bestFit="1" customWidth="1"/>
    <col min="15318" max="15318" width="7.5703125" style="111" bestFit="1" customWidth="1"/>
    <col min="15319" max="15319" width="7.42578125" style="111" bestFit="1" customWidth="1"/>
    <col min="15320" max="15320" width="7.5703125" style="111" bestFit="1" customWidth="1"/>
    <col min="15321" max="15321" width="10.42578125" style="111" bestFit="1" customWidth="1"/>
    <col min="15322" max="15322" width="10.28515625" style="111" bestFit="1" customWidth="1"/>
    <col min="15323" max="15323" width="23.7109375" style="111" customWidth="1"/>
    <col min="15324" max="15324" width="10.5703125" style="111" customWidth="1"/>
    <col min="15325" max="15325" width="6.5703125" style="111" customWidth="1"/>
    <col min="15326" max="15326" width="7" style="111" customWidth="1"/>
    <col min="15327" max="15327" width="7.42578125" style="111" customWidth="1"/>
    <col min="15328" max="15328" width="7.5703125" style="111" customWidth="1"/>
    <col min="15329" max="15329" width="7.42578125" style="111" customWidth="1"/>
    <col min="15330" max="15330" width="7.5703125" style="111" customWidth="1"/>
    <col min="15331" max="15331" width="10.42578125" style="111" customWidth="1"/>
    <col min="15332" max="15332" width="10.28515625" style="111" customWidth="1"/>
    <col min="15333" max="15333" width="14.7109375" style="111" customWidth="1"/>
    <col min="15334" max="15334" width="10.5703125" style="111" customWidth="1"/>
    <col min="15335" max="15335" width="6.5703125" style="111" customWidth="1"/>
    <col min="15336" max="15336" width="7" style="111" customWidth="1"/>
    <col min="15337" max="15337" width="7.42578125" style="111" customWidth="1"/>
    <col min="15338" max="15338" width="7.5703125" style="111" customWidth="1"/>
    <col min="15339" max="15339" width="7.42578125" style="111" customWidth="1"/>
    <col min="15340" max="15340" width="7.5703125" style="111" customWidth="1"/>
    <col min="15341" max="15341" width="10.42578125" style="111" customWidth="1"/>
    <col min="15342" max="15342" width="10.28515625" style="111" customWidth="1"/>
    <col min="15343" max="15343" width="8.85546875" style="111"/>
    <col min="15344" max="15362" width="9.28515625" style="111" customWidth="1"/>
    <col min="15363" max="15568" width="8.85546875" style="111"/>
    <col min="15569" max="15569" width="23.7109375" style="111" customWidth="1"/>
    <col min="15570" max="15570" width="10.5703125" style="111" customWidth="1"/>
    <col min="15571" max="15571" width="6.5703125" style="111" customWidth="1"/>
    <col min="15572" max="15572" width="7" style="111" bestFit="1" customWidth="1"/>
    <col min="15573" max="15573" width="7.42578125" style="111" bestFit="1" customWidth="1"/>
    <col min="15574" max="15574" width="7.5703125" style="111" bestFit="1" customWidth="1"/>
    <col min="15575" max="15575" width="7.42578125" style="111" bestFit="1" customWidth="1"/>
    <col min="15576" max="15576" width="7.5703125" style="111" bestFit="1" customWidth="1"/>
    <col min="15577" max="15577" width="10.42578125" style="111" bestFit="1" customWidth="1"/>
    <col min="15578" max="15578" width="10.28515625" style="111" bestFit="1" customWidth="1"/>
    <col min="15579" max="15579" width="23.7109375" style="111" customWidth="1"/>
    <col min="15580" max="15580" width="10.5703125" style="111" customWidth="1"/>
    <col min="15581" max="15581" width="6.5703125" style="111" customWidth="1"/>
    <col min="15582" max="15582" width="7" style="111" customWidth="1"/>
    <col min="15583" max="15583" width="7.42578125" style="111" customWidth="1"/>
    <col min="15584" max="15584" width="7.5703125" style="111" customWidth="1"/>
    <col min="15585" max="15585" width="7.42578125" style="111" customWidth="1"/>
    <col min="15586" max="15586" width="7.5703125" style="111" customWidth="1"/>
    <col min="15587" max="15587" width="10.42578125" style="111" customWidth="1"/>
    <col min="15588" max="15588" width="10.28515625" style="111" customWidth="1"/>
    <col min="15589" max="15589" width="14.7109375" style="111" customWidth="1"/>
    <col min="15590" max="15590" width="10.5703125" style="111" customWidth="1"/>
    <col min="15591" max="15591" width="6.5703125" style="111" customWidth="1"/>
    <col min="15592" max="15592" width="7" style="111" customWidth="1"/>
    <col min="15593" max="15593" width="7.42578125" style="111" customWidth="1"/>
    <col min="15594" max="15594" width="7.5703125" style="111" customWidth="1"/>
    <col min="15595" max="15595" width="7.42578125" style="111" customWidth="1"/>
    <col min="15596" max="15596" width="7.5703125" style="111" customWidth="1"/>
    <col min="15597" max="15597" width="10.42578125" style="111" customWidth="1"/>
    <col min="15598" max="15598" width="10.28515625" style="111" customWidth="1"/>
    <col min="15599" max="15599" width="8.85546875" style="111"/>
    <col min="15600" max="15618" width="9.28515625" style="111" customWidth="1"/>
    <col min="15619" max="15824" width="8.85546875" style="111"/>
    <col min="15825" max="15825" width="23.7109375" style="111" customWidth="1"/>
    <col min="15826" max="15826" width="10.5703125" style="111" customWidth="1"/>
    <col min="15827" max="15827" width="6.5703125" style="111" customWidth="1"/>
    <col min="15828" max="15828" width="7" style="111" bestFit="1" customWidth="1"/>
    <col min="15829" max="15829" width="7.42578125" style="111" bestFit="1" customWidth="1"/>
    <col min="15830" max="15830" width="7.5703125" style="111" bestFit="1" customWidth="1"/>
    <col min="15831" max="15831" width="7.42578125" style="111" bestFit="1" customWidth="1"/>
    <col min="15832" max="15832" width="7.5703125" style="111" bestFit="1" customWidth="1"/>
    <col min="15833" max="15833" width="10.42578125" style="111" bestFit="1" customWidth="1"/>
    <col min="15834" max="15834" width="10.28515625" style="111" bestFit="1" customWidth="1"/>
    <col min="15835" max="15835" width="23.7109375" style="111" customWidth="1"/>
    <col min="15836" max="15836" width="10.5703125" style="111" customWidth="1"/>
    <col min="15837" max="15837" width="6.5703125" style="111" customWidth="1"/>
    <col min="15838" max="15838" width="7" style="111" customWidth="1"/>
    <col min="15839" max="15839" width="7.42578125" style="111" customWidth="1"/>
    <col min="15840" max="15840" width="7.5703125" style="111" customWidth="1"/>
    <col min="15841" max="15841" width="7.42578125" style="111" customWidth="1"/>
    <col min="15842" max="15842" width="7.5703125" style="111" customWidth="1"/>
    <col min="15843" max="15843" width="10.42578125" style="111" customWidth="1"/>
    <col min="15844" max="15844" width="10.28515625" style="111" customWidth="1"/>
    <col min="15845" max="15845" width="14.7109375" style="111" customWidth="1"/>
    <col min="15846" max="15846" width="10.5703125" style="111" customWidth="1"/>
    <col min="15847" max="15847" width="6.5703125" style="111" customWidth="1"/>
    <col min="15848" max="15848" width="7" style="111" customWidth="1"/>
    <col min="15849" max="15849" width="7.42578125" style="111" customWidth="1"/>
    <col min="15850" max="15850" width="7.5703125" style="111" customWidth="1"/>
    <col min="15851" max="15851" width="7.42578125" style="111" customWidth="1"/>
    <col min="15852" max="15852" width="7.5703125" style="111" customWidth="1"/>
    <col min="15853" max="15853" width="10.42578125" style="111" customWidth="1"/>
    <col min="15854" max="15854" width="10.28515625" style="111" customWidth="1"/>
    <col min="15855" max="15855" width="8.85546875" style="111"/>
    <col min="15856" max="15874" width="9.28515625" style="111" customWidth="1"/>
    <col min="15875" max="16080" width="8.85546875" style="111"/>
    <col min="16081" max="16081" width="23.7109375" style="111" customWidth="1"/>
    <col min="16082" max="16082" width="10.5703125" style="111" customWidth="1"/>
    <col min="16083" max="16083" width="6.5703125" style="111" customWidth="1"/>
    <col min="16084" max="16084" width="7" style="111" bestFit="1" customWidth="1"/>
    <col min="16085" max="16085" width="7.42578125" style="111" bestFit="1" customWidth="1"/>
    <col min="16086" max="16086" width="7.5703125" style="111" bestFit="1" customWidth="1"/>
    <col min="16087" max="16087" width="7.42578125" style="111" bestFit="1" customWidth="1"/>
    <col min="16088" max="16088" width="7.5703125" style="111" bestFit="1" customWidth="1"/>
    <col min="16089" max="16089" width="10.42578125" style="111" bestFit="1" customWidth="1"/>
    <col min="16090" max="16090" width="10.28515625" style="111" bestFit="1" customWidth="1"/>
    <col min="16091" max="16091" width="23.7109375" style="111" customWidth="1"/>
    <col min="16092" max="16092" width="10.5703125" style="111" customWidth="1"/>
    <col min="16093" max="16093" width="6.5703125" style="111" customWidth="1"/>
    <col min="16094" max="16094" width="7" style="111" customWidth="1"/>
    <col min="16095" max="16095" width="7.42578125" style="111" customWidth="1"/>
    <col min="16096" max="16096" width="7.5703125" style="111" customWidth="1"/>
    <col min="16097" max="16097" width="7.42578125" style="111" customWidth="1"/>
    <col min="16098" max="16098" width="7.5703125" style="111" customWidth="1"/>
    <col min="16099" max="16099" width="10.42578125" style="111" customWidth="1"/>
    <col min="16100" max="16100" width="10.28515625" style="111" customWidth="1"/>
    <col min="16101" max="16101" width="14.7109375" style="111" customWidth="1"/>
    <col min="16102" max="16102" width="10.5703125" style="111" customWidth="1"/>
    <col min="16103" max="16103" width="6.5703125" style="111" customWidth="1"/>
    <col min="16104" max="16104" width="7" style="111" customWidth="1"/>
    <col min="16105" max="16105" width="7.42578125" style="111" customWidth="1"/>
    <col min="16106" max="16106" width="7.5703125" style="111" customWidth="1"/>
    <col min="16107" max="16107" width="7.42578125" style="111" customWidth="1"/>
    <col min="16108" max="16108" width="7.5703125" style="111" customWidth="1"/>
    <col min="16109" max="16109" width="10.42578125" style="111" customWidth="1"/>
    <col min="16110" max="16110" width="10.28515625" style="111" customWidth="1"/>
    <col min="16111" max="16111" width="8.85546875" style="111"/>
    <col min="16112" max="16130" width="9.28515625" style="111" customWidth="1"/>
    <col min="16131" max="16354" width="8.85546875" style="111"/>
    <col min="16355" max="16384" width="9.28515625" style="111" customWidth="1"/>
  </cols>
  <sheetData>
    <row r="1" spans="1:20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</row>
    <row r="2" spans="1:20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</row>
    <row r="3" spans="1:20" ht="12.75" x14ac:dyDescent="0.2">
      <c r="A3" s="382" t="s">
        <v>51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</row>
    <row r="4" spans="1:20" ht="12.75" x14ac:dyDescent="0.2">
      <c r="A4" s="382" t="s">
        <v>9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</row>
    <row r="5" spans="1:20" ht="12" x14ac:dyDescent="0.2">
      <c r="A5" s="383" t="str">
        <f>'Kto6 CSR, CR, Coeffcnt,YrInput'!A5:O5</f>
        <v>SY 2022-2023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</row>
    <row r="6" spans="1:20" ht="15" x14ac:dyDescent="0.2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</row>
    <row r="7" spans="1:20" x14ac:dyDescent="0.2">
      <c r="A7" s="152"/>
      <c r="B7" s="153"/>
      <c r="C7" s="9"/>
      <c r="D7" s="9"/>
      <c r="E7" s="9"/>
      <c r="F7" s="9"/>
      <c r="G7" s="9"/>
      <c r="H7" s="9"/>
      <c r="I7" s="9"/>
      <c r="J7" s="196"/>
    </row>
    <row r="8" spans="1:20" ht="13.5" thickBot="1" x14ac:dyDescent="0.25">
      <c r="A8" s="25" t="s">
        <v>10</v>
      </c>
      <c r="B8" s="162"/>
      <c r="C8" s="8"/>
      <c r="D8" s="8"/>
      <c r="E8" s="8"/>
      <c r="F8" s="8"/>
      <c r="G8" s="8"/>
      <c r="H8" s="8"/>
      <c r="I8" s="8"/>
      <c r="J8" s="8"/>
    </row>
    <row r="9" spans="1:20" ht="13.5" thickBot="1" x14ac:dyDescent="0.25">
      <c r="L9" s="29"/>
    </row>
    <row r="10" spans="1:20" ht="10.35" customHeight="1" x14ac:dyDescent="0.25">
      <c r="A10" s="31" t="s">
        <v>30</v>
      </c>
      <c r="B10" s="372" t="s">
        <v>11</v>
      </c>
      <c r="C10" s="392" t="s">
        <v>54</v>
      </c>
      <c r="D10" s="374"/>
      <c r="E10" s="374"/>
      <c r="F10" s="374"/>
      <c r="G10" s="374"/>
      <c r="H10" s="374"/>
      <c r="I10" s="393"/>
      <c r="J10" s="168" t="s">
        <v>52</v>
      </c>
      <c r="K10" s="172" t="s">
        <v>31</v>
      </c>
      <c r="L10" s="375"/>
      <c r="M10" s="375"/>
      <c r="N10" s="375"/>
      <c r="O10" s="375"/>
      <c r="P10" s="375"/>
      <c r="Q10" s="375"/>
      <c r="R10" s="375"/>
      <c r="S10" s="115"/>
      <c r="T10" s="179"/>
    </row>
    <row r="11" spans="1:20" ht="13.9" customHeight="1" thickBot="1" x14ac:dyDescent="0.3">
      <c r="A11" s="112"/>
      <c r="B11" s="373"/>
      <c r="C11" s="189" t="s">
        <v>18</v>
      </c>
      <c r="D11" s="189" t="s">
        <v>19</v>
      </c>
      <c r="E11" s="189" t="s">
        <v>20</v>
      </c>
      <c r="F11" s="189" t="s">
        <v>21</v>
      </c>
      <c r="G11" s="189" t="s">
        <v>22</v>
      </c>
      <c r="H11" s="189" t="s">
        <v>23</v>
      </c>
      <c r="I11" s="189" t="s">
        <v>24</v>
      </c>
      <c r="J11" s="189" t="s">
        <v>53</v>
      </c>
      <c r="K11" s="190" t="s">
        <v>32</v>
      </c>
      <c r="L11" s="115"/>
      <c r="M11" s="115"/>
      <c r="N11" s="115"/>
      <c r="O11" s="115"/>
      <c r="P11" s="115"/>
      <c r="Q11" s="115"/>
      <c r="R11" s="115"/>
      <c r="S11" s="115"/>
      <c r="T11" s="179"/>
    </row>
    <row r="12" spans="1:20" x14ac:dyDescent="0.2">
      <c r="A12" s="74" t="s">
        <v>33</v>
      </c>
      <c r="B12" s="75" t="s">
        <v>29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191">
        <v>0</v>
      </c>
      <c r="K12" s="199" t="e">
        <v>#DIV/0!</v>
      </c>
      <c r="L12" s="181"/>
      <c r="M12" s="181"/>
      <c r="N12" s="181"/>
      <c r="O12" s="181"/>
      <c r="P12" s="181"/>
      <c r="Q12" s="181"/>
      <c r="R12" s="181"/>
      <c r="S12" s="181"/>
      <c r="T12" s="171"/>
    </row>
    <row r="13" spans="1:20" x14ac:dyDescent="0.2">
      <c r="A13" s="3"/>
      <c r="B13" s="82" t="s">
        <v>1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71">
        <v>0</v>
      </c>
      <c r="K13" s="200"/>
      <c r="L13" s="181"/>
      <c r="M13" s="181"/>
      <c r="N13" s="181"/>
      <c r="O13" s="181"/>
      <c r="P13" s="181"/>
      <c r="Q13" s="181"/>
      <c r="R13" s="181"/>
      <c r="S13" s="181"/>
      <c r="T13" s="171"/>
    </row>
    <row r="14" spans="1:20" x14ac:dyDescent="0.2">
      <c r="A14" s="58"/>
      <c r="B14" s="85" t="s">
        <v>0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175">
        <v>0</v>
      </c>
      <c r="K14" s="201"/>
      <c r="L14" s="181"/>
      <c r="M14" s="181"/>
      <c r="N14" s="181"/>
      <c r="O14" s="181"/>
      <c r="P14" s="181"/>
      <c r="Q14" s="181"/>
      <c r="R14" s="181"/>
      <c r="S14" s="181"/>
      <c r="T14" s="171"/>
    </row>
    <row r="15" spans="1:20" ht="10.15" customHeight="1" x14ac:dyDescent="0.2">
      <c r="A15" s="74" t="s">
        <v>34</v>
      </c>
      <c r="B15" s="75" t="s">
        <v>29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6.2309917661894643E-3</v>
      </c>
      <c r="I15" s="77">
        <v>6.8818818818816574E-4</v>
      </c>
      <c r="J15" s="191">
        <v>1E-3</v>
      </c>
      <c r="K15" s="199">
        <v>0.16666666666666666</v>
      </c>
      <c r="L15" s="181"/>
      <c r="M15" s="181"/>
      <c r="N15" s="181"/>
      <c r="O15" s="181"/>
      <c r="P15" s="181"/>
      <c r="Q15" s="181"/>
      <c r="R15" s="181"/>
      <c r="S15" s="181"/>
      <c r="T15" s="171"/>
    </row>
    <row r="16" spans="1:20" ht="10.15" customHeight="1" x14ac:dyDescent="0.2">
      <c r="A16" s="3"/>
      <c r="B16" s="82" t="s">
        <v>1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1.0152284263959421E-2</v>
      </c>
      <c r="I16" s="55">
        <v>2.6974006866110622E-3</v>
      </c>
      <c r="J16" s="71">
        <v>1.8E-3</v>
      </c>
      <c r="K16" s="200"/>
      <c r="L16" s="181"/>
      <c r="M16" s="181"/>
      <c r="N16" s="181"/>
      <c r="O16" s="181"/>
      <c r="P16" s="181"/>
      <c r="Q16" s="181"/>
      <c r="R16" s="181"/>
      <c r="S16" s="181"/>
      <c r="T16" s="171"/>
    </row>
    <row r="17" spans="1:20" x14ac:dyDescent="0.2">
      <c r="A17" s="58"/>
      <c r="B17" s="85" t="s">
        <v>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1.8782282047268284E-3</v>
      </c>
      <c r="I17" s="61">
        <v>0</v>
      </c>
      <c r="J17" s="175">
        <v>2.9999999999999997E-4</v>
      </c>
      <c r="K17" s="201"/>
      <c r="L17" s="181"/>
      <c r="M17" s="181"/>
      <c r="N17" s="181"/>
      <c r="O17" s="181"/>
      <c r="P17" s="181"/>
      <c r="Q17" s="181"/>
      <c r="R17" s="181"/>
      <c r="S17" s="181"/>
      <c r="T17" s="171"/>
    </row>
    <row r="18" spans="1:20" x14ac:dyDescent="0.2">
      <c r="A18" s="74" t="s">
        <v>35</v>
      </c>
      <c r="B18" s="75" t="s">
        <v>29</v>
      </c>
      <c r="C18" s="77">
        <v>2.8018799710773923E-3</v>
      </c>
      <c r="D18" s="77">
        <v>1.6465422612513825E-3</v>
      </c>
      <c r="E18" s="77">
        <v>0</v>
      </c>
      <c r="F18" s="77">
        <v>6.6023362112747064E-3</v>
      </c>
      <c r="G18" s="77">
        <v>3.9007092198581894E-3</v>
      </c>
      <c r="H18" s="77">
        <v>2.924689251767032E-3</v>
      </c>
      <c r="I18" s="77">
        <v>0</v>
      </c>
      <c r="J18" s="191">
        <v>2.5999999999999999E-3</v>
      </c>
      <c r="K18" s="199">
        <v>0.47368421052631576</v>
      </c>
      <c r="L18" s="181"/>
      <c r="M18" s="181"/>
      <c r="N18" s="181"/>
      <c r="O18" s="181"/>
      <c r="P18" s="181"/>
      <c r="Q18" s="181"/>
      <c r="R18" s="181"/>
      <c r="S18" s="181"/>
      <c r="T18" s="171"/>
    </row>
    <row r="19" spans="1:20" x14ac:dyDescent="0.2">
      <c r="A19" s="3"/>
      <c r="B19" s="82" t="s">
        <v>1</v>
      </c>
      <c r="C19" s="55">
        <v>5.6091148115687828E-3</v>
      </c>
      <c r="D19" s="55">
        <v>3.1723651744801629E-3</v>
      </c>
      <c r="E19" s="55">
        <v>0</v>
      </c>
      <c r="F19" s="55">
        <v>5.5790363482670635E-3</v>
      </c>
      <c r="G19" s="55">
        <v>7.5252266119376632E-3</v>
      </c>
      <c r="H19" s="55">
        <v>4.6414481318171052E-3</v>
      </c>
      <c r="I19" s="55">
        <v>0</v>
      </c>
      <c r="J19" s="71">
        <v>3.8E-3</v>
      </c>
      <c r="K19" s="200"/>
      <c r="L19" s="181"/>
      <c r="M19" s="181"/>
      <c r="N19" s="181"/>
      <c r="O19" s="181"/>
      <c r="P19" s="181"/>
      <c r="Q19" s="181"/>
      <c r="R19" s="181"/>
      <c r="S19" s="181"/>
      <c r="T19" s="171"/>
    </row>
    <row r="20" spans="1:20" x14ac:dyDescent="0.2">
      <c r="A20" s="58"/>
      <c r="B20" s="85" t="s">
        <v>0</v>
      </c>
      <c r="C20" s="61">
        <v>0</v>
      </c>
      <c r="D20" s="61">
        <v>0</v>
      </c>
      <c r="E20" s="61">
        <v>3.8314176245211051E-3</v>
      </c>
      <c r="F20" s="61">
        <v>7.6284115951855691E-3</v>
      </c>
      <c r="G20" s="61">
        <v>0</v>
      </c>
      <c r="H20" s="61">
        <v>1.0264305876315216E-3</v>
      </c>
      <c r="I20" s="61">
        <v>0</v>
      </c>
      <c r="J20" s="175">
        <v>1.8E-3</v>
      </c>
      <c r="K20" s="201"/>
      <c r="L20" s="181"/>
      <c r="M20" s="181"/>
      <c r="N20" s="181"/>
      <c r="O20" s="181"/>
      <c r="P20" s="181"/>
      <c r="Q20" s="181"/>
      <c r="R20" s="181"/>
      <c r="S20" s="181"/>
      <c r="T20" s="171"/>
    </row>
    <row r="21" spans="1:20" x14ac:dyDescent="0.2">
      <c r="A21" s="74" t="s">
        <v>36</v>
      </c>
      <c r="B21" s="75" t="s">
        <v>29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191">
        <v>0</v>
      </c>
      <c r="K21" s="199" t="e">
        <v>#DIV/0!</v>
      </c>
      <c r="L21" s="181"/>
      <c r="M21" s="181"/>
      <c r="N21" s="181"/>
      <c r="O21" s="181"/>
      <c r="P21" s="181"/>
      <c r="Q21" s="181"/>
      <c r="R21" s="181"/>
      <c r="S21" s="181"/>
      <c r="T21" s="171"/>
    </row>
    <row r="22" spans="1:20" x14ac:dyDescent="0.2">
      <c r="A22" s="3"/>
      <c r="B22" s="82" t="s">
        <v>1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2.1021652301878024E-4</v>
      </c>
      <c r="J22" s="71">
        <v>0</v>
      </c>
      <c r="K22" s="200"/>
      <c r="L22" s="181"/>
      <c r="M22" s="181"/>
      <c r="N22" s="181"/>
      <c r="O22" s="181"/>
      <c r="P22" s="181"/>
      <c r="Q22" s="181"/>
      <c r="R22" s="181"/>
      <c r="S22" s="181"/>
      <c r="T22" s="171"/>
    </row>
    <row r="23" spans="1:20" x14ac:dyDescent="0.2">
      <c r="A23" s="58"/>
      <c r="B23" s="85" t="s">
        <v>0</v>
      </c>
      <c r="C23" s="61">
        <v>0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175">
        <v>0</v>
      </c>
      <c r="K23" s="201"/>
      <c r="L23" s="181"/>
      <c r="M23" s="181"/>
      <c r="N23" s="181"/>
      <c r="O23" s="181"/>
      <c r="P23" s="181"/>
      <c r="Q23" s="181"/>
      <c r="R23" s="181"/>
      <c r="S23" s="181"/>
      <c r="T23" s="171"/>
    </row>
    <row r="24" spans="1:20" x14ac:dyDescent="0.2">
      <c r="A24" s="74" t="s">
        <v>37</v>
      </c>
      <c r="B24" s="75" t="s">
        <v>29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2.6354319180087904E-2</v>
      </c>
      <c r="I24" s="77">
        <v>0</v>
      </c>
      <c r="J24" s="191">
        <v>3.8E-3</v>
      </c>
      <c r="K24" s="199">
        <v>0.65217391304347827</v>
      </c>
      <c r="L24" s="181"/>
      <c r="M24" s="181"/>
      <c r="N24" s="181"/>
      <c r="O24" s="181"/>
      <c r="P24" s="181"/>
      <c r="Q24" s="181"/>
      <c r="R24" s="181"/>
      <c r="S24" s="181"/>
      <c r="T24" s="171"/>
    </row>
    <row r="25" spans="1:20" x14ac:dyDescent="0.2">
      <c r="A25" s="3"/>
      <c r="B25" s="82" t="s">
        <v>1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3.2479700187382887E-2</v>
      </c>
      <c r="I25" s="55">
        <v>0</v>
      </c>
      <c r="J25" s="71">
        <v>4.5999999999999999E-3</v>
      </c>
      <c r="K25" s="200"/>
      <c r="L25" s="181"/>
      <c r="M25" s="181"/>
      <c r="N25" s="181"/>
      <c r="O25" s="181"/>
      <c r="P25" s="181"/>
      <c r="Q25" s="181"/>
      <c r="R25" s="181"/>
      <c r="S25" s="181"/>
      <c r="T25" s="171"/>
    </row>
    <row r="26" spans="1:20" x14ac:dyDescent="0.2">
      <c r="A26" s="58"/>
      <c r="B26" s="85" t="s">
        <v>0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1.9694397283531395E-2</v>
      </c>
      <c r="I26" s="61">
        <v>1.4912019087384154E-3</v>
      </c>
      <c r="J26" s="175">
        <v>3.0000000000000001E-3</v>
      </c>
      <c r="K26" s="201"/>
      <c r="L26" s="181"/>
      <c r="M26" s="181"/>
      <c r="N26" s="181"/>
      <c r="O26" s="181"/>
      <c r="P26" s="181"/>
      <c r="Q26" s="181"/>
      <c r="R26" s="181"/>
      <c r="S26" s="181"/>
      <c r="T26" s="171"/>
    </row>
    <row r="27" spans="1:20" x14ac:dyDescent="0.2">
      <c r="A27" s="74" t="s">
        <v>38</v>
      </c>
      <c r="B27" s="75" t="s">
        <v>29</v>
      </c>
      <c r="C27" s="120">
        <v>0</v>
      </c>
      <c r="D27" s="120">
        <v>0</v>
      </c>
      <c r="E27" s="120">
        <v>0</v>
      </c>
      <c r="F27" s="120">
        <v>0</v>
      </c>
      <c r="G27" s="120">
        <v>0</v>
      </c>
      <c r="H27" s="120">
        <v>1.7169854805254681E-2</v>
      </c>
      <c r="I27" s="120">
        <v>9.1932651585580061E-3</v>
      </c>
      <c r="J27" s="195">
        <v>3.8E-3</v>
      </c>
      <c r="K27" s="199">
        <v>0.10294117647058824</v>
      </c>
      <c r="L27" s="183"/>
      <c r="M27" s="183"/>
      <c r="N27" s="183"/>
      <c r="O27" s="183"/>
      <c r="P27" s="183"/>
      <c r="Q27" s="183"/>
      <c r="R27" s="183"/>
      <c r="S27" s="183"/>
      <c r="T27" s="184"/>
    </row>
    <row r="28" spans="1:20" ht="12" x14ac:dyDescent="0.2">
      <c r="A28" s="127"/>
      <c r="B28" s="82" t="s">
        <v>1</v>
      </c>
      <c r="C28" s="129">
        <v>0</v>
      </c>
      <c r="D28" s="129">
        <v>0</v>
      </c>
      <c r="E28" s="129">
        <v>0</v>
      </c>
      <c r="F28" s="129">
        <v>0</v>
      </c>
      <c r="G28" s="129">
        <v>0</v>
      </c>
      <c r="H28" s="129">
        <v>2.885042166000884E-2</v>
      </c>
      <c r="I28" s="129">
        <v>1.8421052631578894E-2</v>
      </c>
      <c r="J28" s="180">
        <v>6.7999999999999996E-3</v>
      </c>
      <c r="K28" s="202"/>
      <c r="L28" s="183"/>
      <c r="M28" s="183"/>
      <c r="N28" s="183"/>
      <c r="O28" s="183"/>
      <c r="P28" s="183"/>
      <c r="Q28" s="183"/>
      <c r="R28" s="183"/>
      <c r="S28" s="183"/>
      <c r="T28" s="184"/>
    </row>
    <row r="29" spans="1:20" x14ac:dyDescent="0.2">
      <c r="A29" s="58"/>
      <c r="B29" s="85" t="s">
        <v>0</v>
      </c>
      <c r="C29" s="134">
        <v>0</v>
      </c>
      <c r="D29" s="134">
        <v>0</v>
      </c>
      <c r="E29" s="134">
        <v>0</v>
      </c>
      <c r="F29" s="134">
        <v>0</v>
      </c>
      <c r="G29" s="134">
        <v>0</v>
      </c>
      <c r="H29" s="134">
        <v>4.5541706615532807E-3</v>
      </c>
      <c r="I29" s="134">
        <v>0</v>
      </c>
      <c r="J29" s="182">
        <v>6.9999999999999999E-4</v>
      </c>
      <c r="K29" s="208"/>
      <c r="L29" s="183"/>
      <c r="M29" s="183"/>
      <c r="N29" s="183"/>
      <c r="O29" s="183"/>
      <c r="P29" s="183"/>
      <c r="Q29" s="183"/>
      <c r="R29" s="183"/>
      <c r="S29" s="183"/>
      <c r="T29" s="184"/>
    </row>
    <row r="30" spans="1:20" x14ac:dyDescent="0.2">
      <c r="A30" s="74" t="s">
        <v>39</v>
      </c>
      <c r="B30" s="75" t="s">
        <v>29</v>
      </c>
      <c r="C30" s="120">
        <v>0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95">
        <v>0</v>
      </c>
      <c r="K30" s="199" t="e">
        <v>#DIV/0!</v>
      </c>
      <c r="L30" s="181"/>
      <c r="M30" s="181"/>
      <c r="N30" s="181"/>
      <c r="O30" s="181"/>
      <c r="P30" s="181"/>
      <c r="Q30" s="181"/>
      <c r="R30" s="181"/>
      <c r="S30" s="181"/>
      <c r="T30" s="171"/>
    </row>
    <row r="31" spans="1:20" x14ac:dyDescent="0.2">
      <c r="A31" s="3"/>
      <c r="B31" s="82" t="s">
        <v>1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J31" s="180">
        <v>0</v>
      </c>
      <c r="K31" s="202"/>
      <c r="L31" s="181"/>
      <c r="M31" s="181"/>
      <c r="N31" s="181"/>
      <c r="O31" s="181"/>
      <c r="P31" s="181"/>
      <c r="Q31" s="181"/>
      <c r="R31" s="181"/>
      <c r="S31" s="181"/>
      <c r="T31" s="171"/>
    </row>
    <row r="32" spans="1:20" x14ac:dyDescent="0.2">
      <c r="A32" s="58"/>
      <c r="B32" s="85" t="s">
        <v>0</v>
      </c>
      <c r="C32" s="134">
        <v>0</v>
      </c>
      <c r="D32" s="134">
        <v>0</v>
      </c>
      <c r="E32" s="134">
        <v>0</v>
      </c>
      <c r="F32" s="134">
        <v>0</v>
      </c>
      <c r="G32" s="134">
        <v>0</v>
      </c>
      <c r="H32" s="134">
        <v>0</v>
      </c>
      <c r="I32" s="134">
        <v>0</v>
      </c>
      <c r="J32" s="182">
        <v>0</v>
      </c>
      <c r="K32" s="208"/>
      <c r="L32" s="181"/>
      <c r="M32" s="181"/>
      <c r="N32" s="181"/>
      <c r="O32" s="181"/>
      <c r="P32" s="181"/>
      <c r="Q32" s="181"/>
      <c r="R32" s="181"/>
      <c r="S32" s="181"/>
      <c r="T32" s="171"/>
    </row>
    <row r="33" spans="1:24" ht="10.5" customHeight="1" x14ac:dyDescent="0.2">
      <c r="A33" s="185" t="s">
        <v>40</v>
      </c>
      <c r="B33" s="75" t="s">
        <v>29</v>
      </c>
      <c r="C33" s="120">
        <v>0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1.0425716768027837E-2</v>
      </c>
      <c r="J33" s="195">
        <v>1.5E-3</v>
      </c>
      <c r="K33" s="199">
        <v>0.5</v>
      </c>
      <c r="L33" s="181"/>
      <c r="M33" s="181"/>
      <c r="N33" s="181"/>
      <c r="O33" s="181"/>
      <c r="P33" s="181"/>
      <c r="Q33" s="181"/>
      <c r="R33" s="181"/>
      <c r="S33" s="181"/>
      <c r="T33" s="171"/>
    </row>
    <row r="34" spans="1:24" x14ac:dyDescent="0.2">
      <c r="A34" s="186"/>
      <c r="B34" s="82" t="s">
        <v>1</v>
      </c>
      <c r="C34" s="129">
        <v>0</v>
      </c>
      <c r="D34" s="129">
        <v>0</v>
      </c>
      <c r="E34" s="129">
        <v>0</v>
      </c>
      <c r="F34" s="129">
        <v>0</v>
      </c>
      <c r="G34" s="129">
        <v>0</v>
      </c>
      <c r="H34" s="129">
        <v>0</v>
      </c>
      <c r="I34" s="129">
        <v>1.3828867761452091E-2</v>
      </c>
      <c r="J34" s="180">
        <v>2E-3</v>
      </c>
      <c r="K34" s="202"/>
      <c r="L34" s="181"/>
      <c r="M34" s="181"/>
      <c r="N34" s="181"/>
      <c r="O34" s="181"/>
      <c r="P34" s="181"/>
      <c r="Q34" s="181"/>
      <c r="R34" s="181"/>
      <c r="S34" s="181"/>
      <c r="T34" s="171"/>
    </row>
    <row r="35" spans="1:24" x14ac:dyDescent="0.2">
      <c r="A35" s="58"/>
      <c r="B35" s="85" t="s">
        <v>0</v>
      </c>
      <c r="C35" s="134">
        <v>0</v>
      </c>
      <c r="D35" s="134">
        <v>0</v>
      </c>
      <c r="E35" s="134">
        <v>0</v>
      </c>
      <c r="F35" s="134">
        <v>0</v>
      </c>
      <c r="G35" s="134">
        <v>0</v>
      </c>
      <c r="H35" s="134">
        <v>0</v>
      </c>
      <c r="I35" s="134">
        <v>6.9868995633187714E-3</v>
      </c>
      <c r="J35" s="182">
        <v>1E-3</v>
      </c>
      <c r="K35" s="208"/>
      <c r="L35" s="181"/>
      <c r="M35" s="181"/>
      <c r="N35" s="181"/>
      <c r="O35" s="181"/>
      <c r="P35" s="181"/>
      <c r="Q35" s="181"/>
      <c r="R35" s="181"/>
      <c r="S35" s="181"/>
      <c r="T35" s="171"/>
    </row>
    <row r="36" spans="1:24" x14ac:dyDescent="0.2">
      <c r="A36" s="74" t="s">
        <v>41</v>
      </c>
      <c r="B36" s="75" t="s">
        <v>29</v>
      </c>
      <c r="C36" s="120">
        <v>0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8.8022634391700105E-3</v>
      </c>
      <c r="J36" s="195">
        <v>1.2999999999999999E-3</v>
      </c>
      <c r="K36" s="199">
        <v>0.12121212121212122</v>
      </c>
      <c r="L36" s="183"/>
      <c r="M36" s="183"/>
      <c r="N36" s="183"/>
      <c r="O36" s="183"/>
      <c r="P36" s="183"/>
      <c r="Q36" s="183"/>
      <c r="R36" s="183"/>
      <c r="S36" s="183"/>
      <c r="T36" s="184"/>
    </row>
    <row r="37" spans="1:24" ht="12" x14ac:dyDescent="0.2">
      <c r="A37" s="127"/>
      <c r="B37" s="82" t="s">
        <v>1</v>
      </c>
      <c r="C37" s="129">
        <v>0</v>
      </c>
      <c r="D37" s="129">
        <v>0</v>
      </c>
      <c r="E37" s="129">
        <v>0</v>
      </c>
      <c r="F37" s="129">
        <v>0</v>
      </c>
      <c r="G37" s="129">
        <v>0</v>
      </c>
      <c r="H37" s="129">
        <v>8.9743589743589425E-3</v>
      </c>
      <c r="I37" s="129">
        <v>1.4431749849669329E-2</v>
      </c>
      <c r="J37" s="180">
        <v>3.3E-3</v>
      </c>
      <c r="K37" s="202"/>
      <c r="L37" s="183"/>
      <c r="M37" s="183"/>
      <c r="N37" s="183"/>
      <c r="O37" s="183"/>
      <c r="P37" s="183"/>
      <c r="Q37" s="183"/>
      <c r="R37" s="183"/>
      <c r="S37" s="183"/>
      <c r="T37" s="184"/>
    </row>
    <row r="38" spans="1:24" x14ac:dyDescent="0.2">
      <c r="A38" s="58"/>
      <c r="B38" s="85" t="s">
        <v>0</v>
      </c>
      <c r="C38" s="134">
        <v>0</v>
      </c>
      <c r="D38" s="134">
        <v>0</v>
      </c>
      <c r="E38" s="134">
        <v>0</v>
      </c>
      <c r="F38" s="134">
        <v>0</v>
      </c>
      <c r="G38" s="134">
        <v>0</v>
      </c>
      <c r="H38" s="134">
        <v>0</v>
      </c>
      <c r="I38" s="134">
        <v>2.6350461133070047E-3</v>
      </c>
      <c r="J38" s="182">
        <v>4.0000000000000002E-4</v>
      </c>
      <c r="K38" s="208"/>
      <c r="L38" s="183"/>
      <c r="M38" s="183"/>
      <c r="N38" s="183"/>
      <c r="O38" s="183"/>
      <c r="P38" s="183"/>
      <c r="Q38" s="183"/>
      <c r="R38" s="183"/>
      <c r="S38" s="183"/>
      <c r="T38" s="184"/>
    </row>
    <row r="39" spans="1:24" x14ac:dyDescent="0.2">
      <c r="A39" s="74" t="s">
        <v>42</v>
      </c>
      <c r="B39" s="75" t="s">
        <v>29</v>
      </c>
      <c r="C39" s="120">
        <v>0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95">
        <v>0</v>
      </c>
      <c r="K39" s="199" t="e">
        <v>#DIV/0!</v>
      </c>
      <c r="L39" s="181"/>
      <c r="M39" s="181"/>
      <c r="N39" s="181"/>
      <c r="O39" s="181"/>
      <c r="P39" s="181"/>
      <c r="Q39" s="181"/>
      <c r="R39" s="181"/>
      <c r="S39" s="181"/>
      <c r="T39" s="171"/>
    </row>
    <row r="40" spans="1:24" x14ac:dyDescent="0.2">
      <c r="A40" s="3"/>
      <c r="B40" s="82" t="s">
        <v>1</v>
      </c>
      <c r="C40" s="129">
        <v>0</v>
      </c>
      <c r="D40" s="129">
        <v>0</v>
      </c>
      <c r="E40" s="129">
        <v>0</v>
      </c>
      <c r="F40" s="129">
        <v>0</v>
      </c>
      <c r="G40" s="129">
        <v>0</v>
      </c>
      <c r="H40" s="129">
        <v>0</v>
      </c>
      <c r="I40" s="129">
        <v>0</v>
      </c>
      <c r="J40" s="180">
        <v>0</v>
      </c>
      <c r="K40" s="202"/>
      <c r="L40" s="181"/>
      <c r="M40" s="181"/>
      <c r="N40" s="181"/>
      <c r="O40" s="181"/>
      <c r="P40" s="181"/>
      <c r="Q40" s="181"/>
      <c r="R40" s="181"/>
      <c r="S40" s="181"/>
      <c r="T40" s="171"/>
    </row>
    <row r="41" spans="1:24" x14ac:dyDescent="0.2">
      <c r="A41" s="58"/>
      <c r="B41" s="85" t="s">
        <v>0</v>
      </c>
      <c r="C41" s="134">
        <v>0</v>
      </c>
      <c r="D41" s="134">
        <v>0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82">
        <v>0</v>
      </c>
      <c r="K41" s="208"/>
      <c r="L41" s="181"/>
      <c r="M41" s="181"/>
      <c r="N41" s="181"/>
      <c r="O41" s="181"/>
      <c r="P41" s="181"/>
      <c r="Q41" s="181"/>
      <c r="R41" s="181"/>
      <c r="S41" s="181"/>
      <c r="T41" s="171"/>
    </row>
    <row r="42" spans="1:24" x14ac:dyDescent="0.2">
      <c r="A42" s="74" t="s">
        <v>43</v>
      </c>
      <c r="B42" s="75" t="s">
        <v>29</v>
      </c>
      <c r="C42" s="120">
        <v>0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95">
        <v>0</v>
      </c>
      <c r="K42" s="199">
        <v>0</v>
      </c>
      <c r="L42" s="181"/>
      <c r="M42" s="181"/>
      <c r="N42" s="181"/>
      <c r="O42" s="181"/>
      <c r="P42" s="181"/>
      <c r="Q42" s="181"/>
      <c r="R42" s="181"/>
      <c r="S42" s="181"/>
      <c r="T42" s="171"/>
    </row>
    <row r="43" spans="1:24" x14ac:dyDescent="0.2">
      <c r="A43" s="3"/>
      <c r="B43" s="82" t="s">
        <v>1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3.8804811796655514E-4</v>
      </c>
      <c r="I43" s="55">
        <v>0</v>
      </c>
      <c r="J43" s="71">
        <v>1E-4</v>
      </c>
      <c r="K43" s="200"/>
      <c r="L43" s="181"/>
      <c r="M43" s="181"/>
      <c r="N43" s="181"/>
      <c r="O43" s="181"/>
      <c r="P43" s="181"/>
      <c r="Q43" s="181"/>
      <c r="R43" s="181"/>
      <c r="S43" s="181"/>
      <c r="T43" s="171"/>
    </row>
    <row r="44" spans="1:24" x14ac:dyDescent="0.2">
      <c r="A44" s="58"/>
      <c r="B44" s="85" t="s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175">
        <v>0</v>
      </c>
      <c r="K44" s="201"/>
      <c r="L44" s="181"/>
      <c r="M44" s="181"/>
      <c r="N44" s="181"/>
      <c r="O44" s="181"/>
      <c r="P44" s="181"/>
      <c r="Q44" s="181"/>
      <c r="R44" s="181"/>
      <c r="S44" s="181"/>
      <c r="T44" s="171"/>
    </row>
    <row r="45" spans="1:24" s="140" customFormat="1" x14ac:dyDescent="0.2">
      <c r="A45" s="88" t="s">
        <v>3</v>
      </c>
      <c r="B45" s="89" t="s">
        <v>29</v>
      </c>
      <c r="C45" s="91">
        <v>0</v>
      </c>
      <c r="D45" s="91">
        <v>0</v>
      </c>
      <c r="E45" s="91">
        <v>0</v>
      </c>
      <c r="F45" s="91">
        <v>0</v>
      </c>
      <c r="G45" s="91">
        <v>0</v>
      </c>
      <c r="H45" s="91">
        <v>0</v>
      </c>
      <c r="I45" s="91">
        <v>0</v>
      </c>
      <c r="J45" s="91">
        <v>0</v>
      </c>
      <c r="K45" s="204" t="e">
        <v>#DIV/0!</v>
      </c>
      <c r="L45" s="181"/>
      <c r="M45" s="181"/>
      <c r="N45" s="181"/>
      <c r="O45" s="181"/>
      <c r="P45" s="181"/>
      <c r="Q45" s="181"/>
      <c r="R45" s="181"/>
      <c r="S45" s="181"/>
      <c r="T45" s="171"/>
      <c r="U45" s="203"/>
      <c r="V45" s="203"/>
      <c r="W45" s="203"/>
      <c r="X45" s="203"/>
    </row>
    <row r="46" spans="1:24" s="140" customFormat="1" x14ac:dyDescent="0.2">
      <c r="A46" s="96"/>
      <c r="B46" s="97" t="s">
        <v>1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205"/>
      <c r="L46" s="181"/>
      <c r="M46" s="181"/>
      <c r="N46" s="181"/>
      <c r="O46" s="181"/>
      <c r="P46" s="181"/>
      <c r="Q46" s="181"/>
      <c r="R46" s="181"/>
      <c r="S46" s="181"/>
      <c r="T46" s="171"/>
      <c r="U46" s="203"/>
      <c r="V46" s="203"/>
      <c r="W46" s="203"/>
      <c r="X46" s="203"/>
    </row>
    <row r="47" spans="1:24" s="140" customFormat="1" ht="12" thickBot="1" x14ac:dyDescent="0.25">
      <c r="A47" s="103"/>
      <c r="B47" s="104" t="s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7"/>
      <c r="L47" s="181"/>
      <c r="M47" s="181"/>
      <c r="N47" s="181"/>
      <c r="O47" s="181"/>
      <c r="P47" s="181"/>
      <c r="Q47" s="181"/>
      <c r="R47" s="181"/>
      <c r="S47" s="181"/>
      <c r="T47" s="171"/>
      <c r="U47" s="203"/>
      <c r="V47" s="203"/>
      <c r="W47" s="203"/>
      <c r="X47" s="203"/>
    </row>
    <row r="48" spans="1:24" x14ac:dyDescent="0.2">
      <c r="T48" s="184"/>
    </row>
  </sheetData>
  <sheetProtection algorithmName="SHA-512" hashValue="9PPe3g1SKuf3AWMoSx/ivd6rkdERrVJxnMo7YAYpSjl7RL1hv6B60TTcJkjI6okH66lBlbDgF1pOHUnyDOBZbA==" saltValue="0997NBpbOtxRYD+P9YA1CA==" spinCount="100000" sheet="1" objects="1" scenarios="1"/>
  <mergeCells count="9">
    <mergeCell ref="L10:R10"/>
    <mergeCell ref="B10:B11"/>
    <mergeCell ref="C10:I10"/>
    <mergeCell ref="A6:K6"/>
    <mergeCell ref="A1:K1"/>
    <mergeCell ref="A2:K2"/>
    <mergeCell ref="A3:K3"/>
    <mergeCell ref="A4:K4"/>
    <mergeCell ref="A5:K5"/>
  </mergeCells>
  <conditionalFormatting sqref="C1:K3">
    <cfRule type="cellIs" dxfId="16" priority="13" operator="lessThan">
      <formula>0</formula>
    </cfRule>
  </conditionalFormatting>
  <conditionalFormatting sqref="C5:K1048576">
    <cfRule type="cellIs" dxfId="15" priority="1" operator="lessThan">
      <formula>0</formula>
    </cfRule>
  </conditionalFormatting>
  <conditionalFormatting sqref="L10:T11">
    <cfRule type="cellIs" dxfId="14" priority="9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pageSetUpPr fitToPage="1"/>
  </sheetPr>
  <dimension ref="A1:AA48"/>
  <sheetViews>
    <sheetView showGridLines="0" zoomScaleNormal="100" workbookViewId="0">
      <pane xSplit="1" ySplit="8" topLeftCell="B9" activePane="bottomRight" state="frozen"/>
      <selection activeCell="A35" sqref="A35"/>
      <selection pane="topRight" activeCell="A35" sqref="A35"/>
      <selection pane="bottomLeft" activeCell="A35" sqref="A35"/>
      <selection pane="bottomRight" activeCell="C6" sqref="C6"/>
    </sheetView>
  </sheetViews>
  <sheetFormatPr defaultColWidth="9.140625" defaultRowHeight="11.25" x14ac:dyDescent="0.2"/>
  <cols>
    <col min="1" max="1" width="40.140625" style="139" customWidth="1"/>
    <col min="2" max="2" width="9.140625" style="1" bestFit="1" customWidth="1"/>
    <col min="3" max="8" width="9.28515625" style="27" customWidth="1"/>
    <col min="9" max="9" width="8.85546875" style="27" bestFit="1" customWidth="1"/>
    <col min="10" max="10" width="9.28515625" style="27" bestFit="1" customWidth="1"/>
    <col min="11" max="11" width="10.28515625" style="28" customWidth="1"/>
    <col min="12" max="12" width="5.42578125" style="28" bestFit="1" customWidth="1"/>
    <col min="13" max="13" width="8.85546875" style="28" bestFit="1" customWidth="1"/>
    <col min="14" max="14" width="8.28515625" style="7" bestFit="1" customWidth="1"/>
    <col min="15" max="15" width="2.7109375" style="1" customWidth="1"/>
    <col min="16" max="27" width="1.7109375" style="1" bestFit="1" customWidth="1"/>
    <col min="28" max="16384" width="9.140625" style="1"/>
  </cols>
  <sheetData>
    <row r="1" spans="1:27" x14ac:dyDescent="0.2">
      <c r="A1" s="377" t="s">
        <v>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</row>
    <row r="2" spans="1:27" x14ac:dyDescent="0.2">
      <c r="A2" s="377" t="s">
        <v>7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</row>
    <row r="3" spans="1:27" ht="12.75" x14ac:dyDescent="0.2">
      <c r="A3" s="378" t="s">
        <v>8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</row>
    <row r="4" spans="1:27" ht="12.75" x14ac:dyDescent="0.2">
      <c r="A4" s="378" t="s">
        <v>55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</row>
    <row r="5" spans="1:27" ht="12.75" x14ac:dyDescent="0.2">
      <c r="A5" s="379" t="s">
        <v>6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</row>
    <row r="6" spans="1:27" ht="12.75" x14ac:dyDescent="0.2">
      <c r="A6" s="20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27" ht="12.75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3"/>
      <c r="M7" s="23"/>
      <c r="N7" s="23"/>
    </row>
    <row r="8" spans="1:27" ht="13.5" thickBot="1" x14ac:dyDescent="0.25">
      <c r="A8" s="25" t="s">
        <v>10</v>
      </c>
      <c r="B8" s="162"/>
      <c r="H8" s="24"/>
    </row>
    <row r="9" spans="1:27" ht="13.5" thickBot="1" x14ac:dyDescent="0.25">
      <c r="A9" s="110"/>
      <c r="B9" s="111"/>
      <c r="P9" s="29"/>
    </row>
    <row r="10" spans="1:27" ht="11.45" customHeight="1" x14ac:dyDescent="0.25">
      <c r="A10" s="31" t="s">
        <v>30</v>
      </c>
      <c r="B10" s="372" t="s">
        <v>11</v>
      </c>
      <c r="C10" s="394" t="s">
        <v>12</v>
      </c>
      <c r="D10" s="374"/>
      <c r="E10" s="374"/>
      <c r="F10" s="374"/>
      <c r="G10" s="374"/>
      <c r="H10" s="32" t="s">
        <v>13</v>
      </c>
      <c r="I10" s="72" t="s">
        <v>14</v>
      </c>
      <c r="J10" s="72" t="s">
        <v>15</v>
      </c>
      <c r="K10" s="113" t="s">
        <v>16</v>
      </c>
      <c r="L10" s="35" t="s">
        <v>17</v>
      </c>
      <c r="M10" s="36" t="s">
        <v>17</v>
      </c>
      <c r="N10" s="37" t="s">
        <v>17</v>
      </c>
      <c r="P10" s="375"/>
      <c r="Q10" s="375"/>
      <c r="R10" s="375"/>
      <c r="S10" s="375"/>
      <c r="T10" s="375"/>
      <c r="U10" s="375"/>
      <c r="V10" s="218"/>
      <c r="W10" s="218"/>
      <c r="X10" s="219"/>
      <c r="Y10" s="220"/>
      <c r="Z10" s="220"/>
      <c r="AA10" s="220"/>
    </row>
    <row r="11" spans="1:27" ht="16.899999999999999" customHeight="1" thickBot="1" x14ac:dyDescent="0.3">
      <c r="A11" s="112"/>
      <c r="B11" s="373"/>
      <c r="C11" s="39" t="s">
        <v>19</v>
      </c>
      <c r="D11" s="39" t="s">
        <v>20</v>
      </c>
      <c r="E11" s="39" t="s">
        <v>21</v>
      </c>
      <c r="F11" s="39" t="s">
        <v>22</v>
      </c>
      <c r="G11" s="39" t="s">
        <v>23</v>
      </c>
      <c r="H11" s="39" t="s">
        <v>24</v>
      </c>
      <c r="I11" s="73" t="s">
        <v>25</v>
      </c>
      <c r="J11" s="73" t="s">
        <v>26</v>
      </c>
      <c r="K11" s="114" t="s">
        <v>27</v>
      </c>
      <c r="L11" s="44" t="s">
        <v>28</v>
      </c>
      <c r="M11" s="45" t="s">
        <v>14</v>
      </c>
      <c r="N11" s="46" t="s">
        <v>15</v>
      </c>
      <c r="P11" s="115"/>
      <c r="Q11" s="115"/>
      <c r="R11" s="115"/>
      <c r="S11" s="115"/>
      <c r="T11" s="115"/>
      <c r="U11" s="115"/>
      <c r="V11" s="218"/>
      <c r="W11" s="218"/>
      <c r="X11" s="219"/>
      <c r="Y11" s="220"/>
      <c r="Z11" s="220"/>
      <c r="AA11" s="220"/>
    </row>
    <row r="12" spans="1:27" x14ac:dyDescent="0.2">
      <c r="A12" s="74" t="s">
        <v>33</v>
      </c>
      <c r="B12" s="75" t="s">
        <v>2</v>
      </c>
      <c r="C12" s="221">
        <v>1</v>
      </c>
      <c r="D12" s="222">
        <v>0.99999999999875766</v>
      </c>
      <c r="E12" s="222">
        <v>0.99999999993521416</v>
      </c>
      <c r="F12" s="222">
        <v>0.99999999977512333</v>
      </c>
      <c r="G12" s="222">
        <v>0.99999999945063933</v>
      </c>
      <c r="H12" s="223">
        <v>0.99999999897853753</v>
      </c>
      <c r="I12" s="221">
        <v>0.9999999989648215</v>
      </c>
      <c r="J12" s="222">
        <v>0.98689788299329428</v>
      </c>
      <c r="K12" s="224">
        <v>6.0796563691086254</v>
      </c>
      <c r="L12" s="81">
        <f>H14/H13</f>
        <v>1.0000000033854803</v>
      </c>
      <c r="M12" s="51">
        <f>I14/I13</f>
        <v>1.0000000034738814</v>
      </c>
      <c r="N12" s="52">
        <f>J14/J13</f>
        <v>1.0076673115991335</v>
      </c>
      <c r="P12" s="53"/>
      <c r="Q12" s="53"/>
      <c r="R12" s="53"/>
      <c r="S12" s="53"/>
      <c r="T12" s="53"/>
      <c r="U12" s="53"/>
      <c r="V12" s="53"/>
      <c r="W12" s="53"/>
      <c r="X12" s="118"/>
      <c r="Y12" s="118"/>
      <c r="Z12" s="118"/>
      <c r="AA12" s="118"/>
    </row>
    <row r="13" spans="1:27" x14ac:dyDescent="0.2">
      <c r="A13" s="3"/>
      <c r="B13" s="82" t="s">
        <v>1</v>
      </c>
      <c r="C13" s="131">
        <v>1</v>
      </c>
      <c r="D13" s="180">
        <v>0.99999999999565903</v>
      </c>
      <c r="E13" s="180">
        <v>0.99999999980784515</v>
      </c>
      <c r="F13" s="180">
        <v>0.99999999928116234</v>
      </c>
      <c r="G13" s="180">
        <v>0.99999999822051044</v>
      </c>
      <c r="H13" s="130">
        <v>0.99999999643061821</v>
      </c>
      <c r="I13" s="131">
        <v>0.99999999634144077</v>
      </c>
      <c r="J13" s="180">
        <v>0.98326814475397339</v>
      </c>
      <c r="K13" s="214">
        <v>6.1020994446039731</v>
      </c>
      <c r="L13" s="84"/>
      <c r="M13" s="56"/>
      <c r="N13" s="57"/>
      <c r="P13" s="53"/>
      <c r="Q13" s="53"/>
      <c r="R13" s="53"/>
      <c r="S13" s="53"/>
      <c r="T13" s="53"/>
      <c r="U13" s="53"/>
      <c r="V13" s="53"/>
      <c r="W13" s="53"/>
      <c r="X13" s="118"/>
      <c r="Y13" s="118"/>
      <c r="Z13" s="118"/>
      <c r="AA13" s="118"/>
    </row>
    <row r="14" spans="1:27" x14ac:dyDescent="0.2">
      <c r="A14" s="58"/>
      <c r="B14" s="85" t="s">
        <v>0</v>
      </c>
      <c r="C14" s="136">
        <v>1</v>
      </c>
      <c r="D14" s="182">
        <v>0.99999999999976286</v>
      </c>
      <c r="E14" s="182">
        <v>0.99999999998457989</v>
      </c>
      <c r="F14" s="182">
        <v>0.99999999995354139</v>
      </c>
      <c r="G14" s="182">
        <v>0.99999999988897381</v>
      </c>
      <c r="H14" s="135">
        <v>0.99999999981609855</v>
      </c>
      <c r="I14" s="136">
        <v>0.99999999981532206</v>
      </c>
      <c r="J14" s="182">
        <v>0.99080716800530388</v>
      </c>
      <c r="K14" s="225">
        <v>6.0556687453919205</v>
      </c>
      <c r="L14" s="215"/>
      <c r="M14" s="62"/>
      <c r="N14" s="63"/>
      <c r="P14" s="53"/>
      <c r="Q14" s="53"/>
      <c r="R14" s="53"/>
      <c r="S14" s="53"/>
      <c r="T14" s="53"/>
      <c r="U14" s="53"/>
      <c r="V14" s="53"/>
      <c r="W14" s="53"/>
      <c r="X14" s="118"/>
      <c r="Y14" s="118"/>
      <c r="Z14" s="118"/>
      <c r="AA14" s="118"/>
    </row>
    <row r="15" spans="1:27" ht="10.5" customHeight="1" x14ac:dyDescent="0.2">
      <c r="A15" s="74" t="s">
        <v>34</v>
      </c>
      <c r="B15" s="75" t="s">
        <v>2</v>
      </c>
      <c r="C15" s="131">
        <v>1</v>
      </c>
      <c r="D15" s="180">
        <v>0.99999999998959799</v>
      </c>
      <c r="E15" s="180">
        <v>0.99999999954904795</v>
      </c>
      <c r="F15" s="180">
        <v>0.99999999714699084</v>
      </c>
      <c r="G15" s="180">
        <v>0.99999999305848541</v>
      </c>
      <c r="H15" s="130">
        <v>0.9936732566674471</v>
      </c>
      <c r="I15" s="131">
        <v>0.99298123963221574</v>
      </c>
      <c r="J15" s="180">
        <v>0.97431699160184082</v>
      </c>
      <c r="K15" s="214">
        <v>6.1581600769741351</v>
      </c>
      <c r="L15" s="84">
        <f t="shared" ref="L15:N15" si="0">H17/H16</f>
        <v>1.0085626736212798</v>
      </c>
      <c r="M15" s="56">
        <f t="shared" si="0"/>
        <v>1.0113383043782516</v>
      </c>
      <c r="N15" s="57">
        <f t="shared" si="0"/>
        <v>1.0243431911611047</v>
      </c>
      <c r="P15" s="53"/>
      <c r="Q15" s="53"/>
      <c r="R15" s="53"/>
      <c r="S15" s="53"/>
      <c r="T15" s="53"/>
      <c r="U15" s="53"/>
      <c r="V15" s="53"/>
      <c r="W15" s="53"/>
      <c r="X15" s="118"/>
      <c r="Y15" s="118"/>
      <c r="Z15" s="118"/>
      <c r="AA15" s="118"/>
    </row>
    <row r="16" spans="1:27" x14ac:dyDescent="0.2">
      <c r="A16" s="3"/>
      <c r="B16" s="82" t="s">
        <v>1</v>
      </c>
      <c r="C16" s="131">
        <v>1</v>
      </c>
      <c r="D16" s="180">
        <v>0.99999999994897704</v>
      </c>
      <c r="E16" s="180">
        <v>0.99999999810645668</v>
      </c>
      <c r="F16" s="180">
        <v>0.99999998713318949</v>
      </c>
      <c r="G16" s="180">
        <v>0.9999999661234914</v>
      </c>
      <c r="H16" s="130">
        <v>0.98963127271718643</v>
      </c>
      <c r="I16" s="131">
        <v>0.9869152171758151</v>
      </c>
      <c r="J16" s="180">
        <v>0.96242823741227479</v>
      </c>
      <c r="K16" s="214">
        <v>6.2342310488857615</v>
      </c>
      <c r="L16" s="84"/>
      <c r="M16" s="56"/>
      <c r="N16" s="57"/>
      <c r="P16" s="53"/>
      <c r="Q16" s="53"/>
      <c r="R16" s="53"/>
      <c r="S16" s="53"/>
      <c r="T16" s="53"/>
      <c r="U16" s="53"/>
      <c r="V16" s="53"/>
      <c r="W16" s="53"/>
      <c r="X16" s="118"/>
      <c r="Y16" s="118"/>
      <c r="Z16" s="118"/>
      <c r="AA16" s="118"/>
    </row>
    <row r="17" spans="1:27" x14ac:dyDescent="0.2">
      <c r="A17" s="58"/>
      <c r="B17" s="85" t="s">
        <v>0</v>
      </c>
      <c r="C17" s="136">
        <v>1</v>
      </c>
      <c r="D17" s="182">
        <v>0.99999999999896572</v>
      </c>
      <c r="E17" s="182">
        <v>0.99999999994259725</v>
      </c>
      <c r="F17" s="182">
        <v>0.99999999971194942</v>
      </c>
      <c r="G17" s="182">
        <v>0.99999999938615214</v>
      </c>
      <c r="H17" s="135">
        <v>0.99810516231087554</v>
      </c>
      <c r="I17" s="136">
        <v>0.99810516230368274</v>
      </c>
      <c r="J17" s="182">
        <v>0.98585681197444697</v>
      </c>
      <c r="K17" s="225">
        <v>6.0860765246256854</v>
      </c>
      <c r="L17" s="215"/>
      <c r="M17" s="62"/>
      <c r="N17" s="63"/>
      <c r="P17" s="53"/>
      <c r="Q17" s="53"/>
      <c r="R17" s="53"/>
      <c r="S17" s="53"/>
      <c r="T17" s="53"/>
      <c r="U17" s="53"/>
      <c r="V17" s="53"/>
      <c r="W17" s="53"/>
      <c r="X17" s="118"/>
      <c r="Y17" s="118"/>
      <c r="Z17" s="118"/>
      <c r="AA17" s="118"/>
    </row>
    <row r="18" spans="1:27" x14ac:dyDescent="0.2">
      <c r="A18" s="74" t="s">
        <v>35</v>
      </c>
      <c r="B18" s="75" t="s">
        <v>2</v>
      </c>
      <c r="C18" s="131">
        <v>1</v>
      </c>
      <c r="D18" s="180">
        <v>0.99833610648917137</v>
      </c>
      <c r="E18" s="180">
        <v>0.99833610648785875</v>
      </c>
      <c r="F18" s="180">
        <v>0.9916930237066709</v>
      </c>
      <c r="G18" s="180">
        <v>0.98779604298356494</v>
      </c>
      <c r="H18" s="130">
        <v>0.9848843376047719</v>
      </c>
      <c r="I18" s="131">
        <v>0.98488433760454897</v>
      </c>
      <c r="J18" s="180">
        <v>0.98373997166287142</v>
      </c>
      <c r="K18" s="214">
        <v>6.0991727212810725</v>
      </c>
      <c r="L18" s="84">
        <f t="shared" ref="L18:N18" si="1">H20/H19</f>
        <v>1.0086420292758962</v>
      </c>
      <c r="M18" s="56">
        <f t="shared" si="1"/>
        <v>1.0086420292773997</v>
      </c>
      <c r="N18" s="64">
        <f t="shared" si="1"/>
        <v>1.0110760735967632</v>
      </c>
      <c r="P18" s="53"/>
      <c r="Q18" s="53"/>
      <c r="R18" s="53"/>
      <c r="S18" s="53"/>
      <c r="T18" s="53"/>
      <c r="U18" s="53"/>
      <c r="V18" s="53"/>
      <c r="W18" s="53"/>
      <c r="X18" s="118"/>
      <c r="Y18" s="118"/>
      <c r="Z18" s="118"/>
      <c r="AA18" s="118"/>
    </row>
    <row r="19" spans="1:27" x14ac:dyDescent="0.2">
      <c r="A19" s="3"/>
      <c r="B19" s="82" t="s">
        <v>1</v>
      </c>
      <c r="C19" s="131">
        <v>1</v>
      </c>
      <c r="D19" s="180">
        <v>0.99678226671422632</v>
      </c>
      <c r="E19" s="180">
        <v>0.99678226670630632</v>
      </c>
      <c r="F19" s="180">
        <v>0.9911603533729284</v>
      </c>
      <c r="G19" s="180">
        <v>0.98363471819510184</v>
      </c>
      <c r="H19" s="130">
        <v>0.97902429055849749</v>
      </c>
      <c r="I19" s="131">
        <v>0.97902429055702556</v>
      </c>
      <c r="J19" s="180">
        <v>0.97793507372142019</v>
      </c>
      <c r="K19" s="214">
        <v>6.1353766331006874</v>
      </c>
      <c r="L19" s="84"/>
      <c r="M19" s="56"/>
      <c r="N19" s="57"/>
      <c r="P19" s="53"/>
      <c r="Q19" s="53"/>
      <c r="R19" s="53"/>
      <c r="S19" s="53"/>
      <c r="T19" s="53"/>
      <c r="U19" s="53"/>
      <c r="V19" s="53"/>
      <c r="W19" s="53"/>
      <c r="X19" s="118"/>
      <c r="Y19" s="118"/>
      <c r="Z19" s="118"/>
      <c r="AA19" s="118"/>
    </row>
    <row r="20" spans="1:27" x14ac:dyDescent="0.2">
      <c r="A20" s="58"/>
      <c r="B20" s="85" t="s">
        <v>0</v>
      </c>
      <c r="C20" s="136">
        <v>1</v>
      </c>
      <c r="D20" s="182">
        <v>0.99999999999999944</v>
      </c>
      <c r="E20" s="182">
        <v>0.99614065180095157</v>
      </c>
      <c r="F20" s="182">
        <v>0.98850543985496941</v>
      </c>
      <c r="G20" s="182">
        <v>0.98850543985404382</v>
      </c>
      <c r="H20" s="135">
        <v>0.98748504713931751</v>
      </c>
      <c r="I20" s="136">
        <v>0.98748504713930474</v>
      </c>
      <c r="J20" s="182">
        <v>0.98876675457081475</v>
      </c>
      <c r="K20" s="225">
        <v>6.068165188871431</v>
      </c>
      <c r="L20" s="215"/>
      <c r="M20" s="62"/>
      <c r="N20" s="63"/>
      <c r="P20" s="53"/>
      <c r="Q20" s="53"/>
      <c r="R20" s="53"/>
      <c r="S20" s="53"/>
      <c r="T20" s="53"/>
      <c r="U20" s="53"/>
      <c r="V20" s="53"/>
      <c r="W20" s="53"/>
      <c r="X20" s="118"/>
      <c r="Y20" s="118"/>
      <c r="Z20" s="118"/>
      <c r="AA20" s="118"/>
    </row>
    <row r="21" spans="1:27" x14ac:dyDescent="0.2">
      <c r="A21" s="74" t="s">
        <v>36</v>
      </c>
      <c r="B21" s="75" t="s">
        <v>2</v>
      </c>
      <c r="C21" s="131">
        <v>1</v>
      </c>
      <c r="D21" s="180">
        <v>0.99999999999849232</v>
      </c>
      <c r="E21" s="180">
        <v>0.99999999992306499</v>
      </c>
      <c r="F21" s="180">
        <v>0.99999999971491382</v>
      </c>
      <c r="G21" s="180">
        <v>0.99999999922413729</v>
      </c>
      <c r="H21" s="130">
        <v>0.99999999865842859</v>
      </c>
      <c r="I21" s="131">
        <v>0.99999999864077493</v>
      </c>
      <c r="J21" s="180">
        <v>0.98629579787140143</v>
      </c>
      <c r="K21" s="214">
        <v>6.0833677005914941</v>
      </c>
      <c r="L21" s="84">
        <f t="shared" ref="L21:N21" si="2">H23/H22</f>
        <v>1.0000000054294578</v>
      </c>
      <c r="M21" s="56">
        <f t="shared" si="2"/>
        <v>1.0002126809999987</v>
      </c>
      <c r="N21" s="64">
        <f t="shared" si="2"/>
        <v>1.0089877282506674</v>
      </c>
      <c r="P21" s="53"/>
      <c r="Q21" s="53"/>
      <c r="R21" s="53"/>
      <c r="S21" s="53"/>
      <c r="T21" s="53"/>
      <c r="U21" s="53"/>
      <c r="V21" s="53"/>
      <c r="W21" s="53"/>
      <c r="X21" s="118"/>
      <c r="Y21" s="118"/>
      <c r="Z21" s="118"/>
      <c r="AA21" s="118"/>
    </row>
    <row r="22" spans="1:27" x14ac:dyDescent="0.2">
      <c r="A22" s="3"/>
      <c r="B22" s="82" t="s">
        <v>1</v>
      </c>
      <c r="C22" s="131">
        <v>1</v>
      </c>
      <c r="D22" s="180">
        <v>0.99999999999356881</v>
      </c>
      <c r="E22" s="180">
        <v>0.99999999973156894</v>
      </c>
      <c r="F22" s="180">
        <v>0.99999999903969772</v>
      </c>
      <c r="G22" s="180">
        <v>0.99999999726606148</v>
      </c>
      <c r="H22" s="130">
        <v>0.9999999943918082</v>
      </c>
      <c r="I22" s="131">
        <v>0.99978736404373991</v>
      </c>
      <c r="J22" s="180">
        <v>0.98192852052706636</v>
      </c>
      <c r="K22" s="214">
        <v>6.1104244092832749</v>
      </c>
      <c r="L22" s="84"/>
      <c r="M22" s="56"/>
      <c r="N22" s="57"/>
      <c r="P22" s="53"/>
      <c r="Q22" s="53"/>
      <c r="R22" s="53"/>
      <c r="S22" s="53"/>
      <c r="T22" s="53"/>
      <c r="U22" s="53"/>
      <c r="V22" s="53"/>
      <c r="W22" s="53"/>
      <c r="X22" s="118"/>
      <c r="Y22" s="118"/>
      <c r="Z22" s="118"/>
      <c r="AA22" s="118"/>
    </row>
    <row r="23" spans="1:27" x14ac:dyDescent="0.2">
      <c r="A23" s="58"/>
      <c r="B23" s="85" t="s">
        <v>0</v>
      </c>
      <c r="C23" s="136">
        <v>1</v>
      </c>
      <c r="D23" s="182">
        <v>0.9999999999997965</v>
      </c>
      <c r="E23" s="182">
        <v>0.99999999998629041</v>
      </c>
      <c r="F23" s="182">
        <v>0.99999999994683608</v>
      </c>
      <c r="G23" s="182">
        <v>0.99999999986658383</v>
      </c>
      <c r="H23" s="135">
        <v>0.99999999982126586</v>
      </c>
      <c r="I23" s="136">
        <v>0.99999999982011079</v>
      </c>
      <c r="J23" s="182">
        <v>0.99075382723114347</v>
      </c>
      <c r="K23" s="225">
        <v>6.0559947739673943</v>
      </c>
      <c r="L23" s="215"/>
      <c r="M23" s="62"/>
      <c r="N23" s="63"/>
      <c r="P23" s="53"/>
      <c r="Q23" s="53"/>
      <c r="R23" s="53"/>
      <c r="S23" s="53"/>
      <c r="T23" s="53"/>
      <c r="U23" s="53"/>
      <c r="V23" s="53"/>
      <c r="W23" s="53"/>
      <c r="X23" s="118"/>
      <c r="Y23" s="118"/>
      <c r="Z23" s="118"/>
      <c r="AA23" s="118"/>
    </row>
    <row r="24" spans="1:27" x14ac:dyDescent="0.2">
      <c r="A24" s="74" t="s">
        <v>37</v>
      </c>
      <c r="B24" s="75" t="s">
        <v>2</v>
      </c>
      <c r="C24" s="131">
        <v>1</v>
      </c>
      <c r="D24" s="180">
        <v>0.99999999996826638</v>
      </c>
      <c r="E24" s="180">
        <v>0.99999999886150048</v>
      </c>
      <c r="F24" s="180">
        <v>0.99999999422342689</v>
      </c>
      <c r="G24" s="180">
        <v>0.99999998619177688</v>
      </c>
      <c r="H24" s="130">
        <v>0.9731521117208709</v>
      </c>
      <c r="I24" s="131">
        <v>0.9731521109859812</v>
      </c>
      <c r="J24" s="180">
        <v>0.95486113584243382</v>
      </c>
      <c r="K24" s="214">
        <v>6.2836362008874227</v>
      </c>
      <c r="L24" s="84">
        <f t="shared" ref="L24:N24" si="3">H26/H25</f>
        <v>1.013892623561357</v>
      </c>
      <c r="M24" s="56">
        <f t="shared" si="3"/>
        <v>1.0123684377939899</v>
      </c>
      <c r="N24" s="64">
        <f t="shared" si="3"/>
        <v>1.0268518529827479</v>
      </c>
      <c r="P24" s="53"/>
      <c r="Q24" s="53"/>
      <c r="R24" s="53"/>
      <c r="S24" s="53"/>
      <c r="T24" s="53"/>
      <c r="U24" s="53"/>
      <c r="V24" s="53"/>
      <c r="W24" s="53"/>
      <c r="X24" s="118"/>
      <c r="Y24" s="118"/>
      <c r="Z24" s="118"/>
      <c r="AA24" s="118"/>
    </row>
    <row r="25" spans="1:27" x14ac:dyDescent="0.2">
      <c r="A25" s="3"/>
      <c r="B25" s="82" t="s">
        <v>1</v>
      </c>
      <c r="C25" s="131">
        <v>1</v>
      </c>
      <c r="D25" s="180">
        <v>0.99999999991033195</v>
      </c>
      <c r="E25" s="180">
        <v>0.99999999692538166</v>
      </c>
      <c r="F25" s="180">
        <v>0.99999998004513346</v>
      </c>
      <c r="G25" s="180">
        <v>0.99999994558932503</v>
      </c>
      <c r="H25" s="130">
        <v>0.96666655009736613</v>
      </c>
      <c r="I25" s="131">
        <v>0.96666654396837426</v>
      </c>
      <c r="J25" s="180">
        <v>0.94195161408964956</v>
      </c>
      <c r="K25" s="214">
        <v>6.3697539345465302</v>
      </c>
      <c r="L25" s="84"/>
      <c r="M25" s="56"/>
      <c r="N25" s="57"/>
      <c r="P25" s="53"/>
      <c r="Q25" s="53"/>
      <c r="R25" s="53"/>
      <c r="S25" s="53"/>
      <c r="T25" s="53"/>
      <c r="U25" s="53"/>
      <c r="V25" s="53"/>
      <c r="W25" s="53"/>
      <c r="X25" s="118"/>
      <c r="Y25" s="118"/>
      <c r="Z25" s="118"/>
      <c r="AA25" s="118"/>
    </row>
    <row r="26" spans="1:27" x14ac:dyDescent="0.2">
      <c r="A26" s="58"/>
      <c r="B26" s="85" t="s">
        <v>0</v>
      </c>
      <c r="C26" s="136">
        <v>1</v>
      </c>
      <c r="D26" s="182">
        <v>0.99999999999141598</v>
      </c>
      <c r="E26" s="182">
        <v>0.99999999965758657</v>
      </c>
      <c r="F26" s="182">
        <v>0.99999999887703772</v>
      </c>
      <c r="G26" s="182">
        <v>0.99999999787687155</v>
      </c>
      <c r="H26" s="135">
        <v>0.98009608458722453</v>
      </c>
      <c r="I26" s="136">
        <v>0.97862269898497833</v>
      </c>
      <c r="J26" s="182">
        <v>0.96724476034804696</v>
      </c>
      <c r="K26" s="225">
        <v>6.2031868726184669</v>
      </c>
      <c r="L26" s="215"/>
      <c r="M26" s="62"/>
      <c r="N26" s="63"/>
      <c r="P26" s="53"/>
      <c r="Q26" s="53"/>
      <c r="R26" s="53"/>
      <c r="S26" s="53"/>
      <c r="T26" s="53"/>
      <c r="U26" s="53"/>
      <c r="V26" s="53"/>
      <c r="W26" s="53"/>
      <c r="X26" s="118"/>
      <c r="Y26" s="118"/>
      <c r="Z26" s="118"/>
      <c r="AA26" s="118"/>
    </row>
    <row r="27" spans="1:27" x14ac:dyDescent="0.2">
      <c r="A27" s="74" t="s">
        <v>38</v>
      </c>
      <c r="B27" s="75" t="s">
        <v>2</v>
      </c>
      <c r="C27" s="131">
        <v>1</v>
      </c>
      <c r="D27" s="180">
        <v>0.99999999997700073</v>
      </c>
      <c r="E27" s="180">
        <v>0.99999999913895532</v>
      </c>
      <c r="F27" s="180">
        <v>0.99999999553070518</v>
      </c>
      <c r="G27" s="180">
        <v>0.99999998805850476</v>
      </c>
      <c r="H27" s="130">
        <v>0.9811032625737548</v>
      </c>
      <c r="I27" s="131">
        <v>0.96807659053368411</v>
      </c>
      <c r="J27" s="180">
        <v>0.94956847504258646</v>
      </c>
      <c r="K27" s="214">
        <v>6.3186596414028084</v>
      </c>
      <c r="L27" s="226">
        <f t="shared" ref="L27:N27" si="4">H29/H28</f>
        <v>1.0260699314916588</v>
      </c>
      <c r="M27" s="66">
        <f t="shared" si="4"/>
        <v>1.04579791259815</v>
      </c>
      <c r="N27" s="124">
        <f t="shared" si="4"/>
        <v>1.0666137599110836</v>
      </c>
      <c r="P27" s="227"/>
      <c r="Q27" s="227"/>
      <c r="R27" s="227"/>
      <c r="S27" s="227"/>
      <c r="T27" s="227"/>
      <c r="U27" s="227"/>
      <c r="V27" s="227"/>
      <c r="W27" s="227"/>
      <c r="X27" s="228"/>
      <c r="Y27" s="228"/>
      <c r="Z27" s="228"/>
      <c r="AA27" s="228"/>
    </row>
    <row r="28" spans="1:27" ht="12" x14ac:dyDescent="0.2">
      <c r="A28" s="127"/>
      <c r="B28" s="82" t="s">
        <v>1</v>
      </c>
      <c r="C28" s="131">
        <v>1</v>
      </c>
      <c r="D28" s="180">
        <v>0.99999999780626103</v>
      </c>
      <c r="E28" s="180">
        <v>0.99999995407343745</v>
      </c>
      <c r="F28" s="180">
        <v>0.99999979328859978</v>
      </c>
      <c r="G28" s="180">
        <v>0.99999945358353015</v>
      </c>
      <c r="H28" s="130">
        <v>0.97010012405334112</v>
      </c>
      <c r="I28" s="131">
        <v>0.95180010948803406</v>
      </c>
      <c r="J28" s="180">
        <v>0.91581076067423828</v>
      </c>
      <c r="K28" s="214">
        <v>6.5515718504799825</v>
      </c>
      <c r="L28" s="226"/>
      <c r="M28" s="66"/>
      <c r="N28" s="132"/>
      <c r="P28" s="227"/>
      <c r="Q28" s="227"/>
      <c r="R28" s="227"/>
      <c r="S28" s="227"/>
      <c r="T28" s="227"/>
      <c r="U28" s="227"/>
      <c r="V28" s="227"/>
      <c r="W28" s="227"/>
      <c r="X28" s="228"/>
      <c r="Y28" s="228"/>
      <c r="Z28" s="228"/>
      <c r="AA28" s="228"/>
    </row>
    <row r="29" spans="1:27" x14ac:dyDescent="0.2">
      <c r="A29" s="58"/>
      <c r="B29" s="85" t="s">
        <v>0</v>
      </c>
      <c r="C29" s="136">
        <v>1</v>
      </c>
      <c r="D29" s="182">
        <v>0.99999999994118871</v>
      </c>
      <c r="E29" s="182">
        <v>0.99999999821594843</v>
      </c>
      <c r="F29" s="182">
        <v>0.9999999947586703</v>
      </c>
      <c r="G29" s="182">
        <v>0.99999998796485667</v>
      </c>
      <c r="H29" s="135">
        <v>0.99539056782746149</v>
      </c>
      <c r="I29" s="136">
        <v>0.99539056771327672</v>
      </c>
      <c r="J29" s="182">
        <v>0.9768163588097788</v>
      </c>
      <c r="K29" s="225">
        <v>6.1424032735393777</v>
      </c>
      <c r="L29" s="229"/>
      <c r="M29" s="137"/>
      <c r="N29" s="138"/>
      <c r="P29" s="227"/>
      <c r="Q29" s="227"/>
      <c r="R29" s="227"/>
      <c r="S29" s="227"/>
      <c r="T29" s="227"/>
      <c r="U29" s="227"/>
      <c r="V29" s="227"/>
      <c r="W29" s="227"/>
      <c r="X29" s="228"/>
      <c r="Y29" s="228"/>
      <c r="Z29" s="228"/>
      <c r="AA29" s="228"/>
    </row>
    <row r="30" spans="1:27" x14ac:dyDescent="0.2">
      <c r="A30" s="74" t="s">
        <v>39</v>
      </c>
      <c r="B30" s="75" t="s">
        <v>2</v>
      </c>
      <c r="C30" s="131">
        <v>1</v>
      </c>
      <c r="D30" s="180">
        <v>0.99999999999999989</v>
      </c>
      <c r="E30" s="180">
        <v>0.99999999999997236</v>
      </c>
      <c r="F30" s="180">
        <v>0.99999999999990141</v>
      </c>
      <c r="G30" s="180">
        <v>0.99999999999904321</v>
      </c>
      <c r="H30" s="130">
        <v>0.999999999998051</v>
      </c>
      <c r="I30" s="131">
        <v>0.99999999999804567</v>
      </c>
      <c r="J30" s="180">
        <v>0.9956736556643998</v>
      </c>
      <c r="K30" s="214">
        <v>6.0260708575203594</v>
      </c>
      <c r="L30" s="226">
        <f t="shared" ref="L30:N30" si="5">H32/H31</f>
        <v>1.0000000050811129</v>
      </c>
      <c r="M30" s="66">
        <f t="shared" si="5"/>
        <v>1.0000000051442359</v>
      </c>
      <c r="N30" s="124">
        <f t="shared" si="5"/>
        <v>1.0087056702235051</v>
      </c>
      <c r="P30" s="53"/>
      <c r="Q30" s="53"/>
      <c r="R30" s="53"/>
      <c r="S30" s="53"/>
      <c r="T30" s="53"/>
      <c r="U30" s="53"/>
      <c r="V30" s="53"/>
      <c r="W30" s="53"/>
      <c r="X30" s="118"/>
      <c r="Y30" s="118"/>
      <c r="Z30" s="118"/>
      <c r="AA30" s="118"/>
    </row>
    <row r="31" spans="1:27" x14ac:dyDescent="0.2">
      <c r="A31" s="3"/>
      <c r="B31" s="82" t="s">
        <v>1</v>
      </c>
      <c r="C31" s="131">
        <v>1</v>
      </c>
      <c r="D31" s="180">
        <v>0.99999999999971612</v>
      </c>
      <c r="E31" s="180">
        <v>0.99999999997952949</v>
      </c>
      <c r="F31" s="180">
        <v>0.99999999977625709</v>
      </c>
      <c r="G31" s="180">
        <v>0.9999999979112173</v>
      </c>
      <c r="H31" s="130">
        <v>0.99999999475463053</v>
      </c>
      <c r="I31" s="131">
        <v>0.99999999469070755</v>
      </c>
      <c r="J31" s="180">
        <v>0.982415803727686</v>
      </c>
      <c r="K31" s="214">
        <v>6.1073936079138331</v>
      </c>
      <c r="L31" s="226"/>
      <c r="M31" s="66"/>
      <c r="N31" s="132"/>
      <c r="P31" s="53"/>
      <c r="Q31" s="53"/>
      <c r="R31" s="53"/>
      <c r="S31" s="53"/>
      <c r="T31" s="53"/>
      <c r="U31" s="53"/>
      <c r="V31" s="53"/>
      <c r="W31" s="53"/>
      <c r="X31" s="118"/>
      <c r="Y31" s="118"/>
      <c r="Z31" s="118"/>
      <c r="AA31" s="118"/>
    </row>
    <row r="32" spans="1:27" x14ac:dyDescent="0.2">
      <c r="A32" s="58"/>
      <c r="B32" s="85" t="s">
        <v>0</v>
      </c>
      <c r="C32" s="136">
        <v>1</v>
      </c>
      <c r="D32" s="182">
        <v>0.99999999999997147</v>
      </c>
      <c r="E32" s="182">
        <v>0.99999999999749367</v>
      </c>
      <c r="F32" s="182">
        <v>0.99999999999053357</v>
      </c>
      <c r="G32" s="182">
        <v>0.99999999991874899</v>
      </c>
      <c r="H32" s="135">
        <v>0.99999999983574328</v>
      </c>
      <c r="I32" s="136">
        <v>0.99999999983494336</v>
      </c>
      <c r="J32" s="182">
        <v>0.99096839173729889</v>
      </c>
      <c r="K32" s="225">
        <v>6.054683529795744</v>
      </c>
      <c r="L32" s="229"/>
      <c r="M32" s="137"/>
      <c r="N32" s="138"/>
      <c r="P32" s="53"/>
      <c r="Q32" s="53"/>
      <c r="R32" s="53"/>
      <c r="S32" s="53"/>
      <c r="T32" s="53"/>
      <c r="U32" s="53"/>
      <c r="V32" s="53"/>
      <c r="W32" s="53"/>
      <c r="X32" s="118"/>
      <c r="Y32" s="118"/>
      <c r="Z32" s="118"/>
      <c r="AA32" s="118"/>
    </row>
    <row r="33" spans="1:27" ht="10.5" customHeight="1" x14ac:dyDescent="0.2">
      <c r="A33" s="74" t="s">
        <v>40</v>
      </c>
      <c r="B33" s="75" t="s">
        <v>2</v>
      </c>
      <c r="C33" s="131">
        <v>1</v>
      </c>
      <c r="D33" s="180">
        <v>0.99999999989668131</v>
      </c>
      <c r="E33" s="180">
        <v>0.99999999655016503</v>
      </c>
      <c r="F33" s="180">
        <v>0.99999997660588713</v>
      </c>
      <c r="G33" s="180">
        <v>0.99999990959505736</v>
      </c>
      <c r="H33" s="130">
        <v>0.99999986048045086</v>
      </c>
      <c r="I33" s="131">
        <v>0.98941318145681878</v>
      </c>
      <c r="J33" s="180">
        <v>0.96130066946429804</v>
      </c>
      <c r="K33" s="214">
        <v>6.2415435571719797</v>
      </c>
      <c r="L33" s="226">
        <f t="shared" ref="L33:N33" si="6">H35/H34</f>
        <v>1.0000007320378688</v>
      </c>
      <c r="M33" s="66">
        <f t="shared" si="6"/>
        <v>1.0072453881931411</v>
      </c>
      <c r="N33" s="124">
        <f t="shared" si="6"/>
        <v>1.030841980800649</v>
      </c>
      <c r="P33" s="53"/>
      <c r="Q33" s="53"/>
      <c r="R33" s="53"/>
      <c r="S33" s="53"/>
      <c r="T33" s="53"/>
      <c r="U33" s="53"/>
      <c r="V33" s="53"/>
      <c r="W33" s="53"/>
      <c r="X33" s="118"/>
      <c r="Y33" s="118"/>
      <c r="Z33" s="118"/>
      <c r="AA33" s="118"/>
    </row>
    <row r="34" spans="1:27" x14ac:dyDescent="0.2">
      <c r="A34" s="3"/>
      <c r="B34" s="82" t="s">
        <v>1</v>
      </c>
      <c r="C34" s="131">
        <v>1</v>
      </c>
      <c r="D34" s="180">
        <v>0.99999999968253461</v>
      </c>
      <c r="E34" s="180">
        <v>0.9999999879296918</v>
      </c>
      <c r="F34" s="180">
        <v>0.99999988114883132</v>
      </c>
      <c r="G34" s="180">
        <v>0.99999950917662983</v>
      </c>
      <c r="H34" s="130">
        <v>0.99999925616843066</v>
      </c>
      <c r="I34" s="131">
        <v>0.98582740901434429</v>
      </c>
      <c r="J34" s="180">
        <v>0.94706077645649112</v>
      </c>
      <c r="K34" s="214">
        <v>6.3353906625185274</v>
      </c>
      <c r="L34" s="226"/>
      <c r="M34" s="66"/>
      <c r="N34" s="132"/>
      <c r="P34" s="53"/>
      <c r="Q34" s="53"/>
      <c r="R34" s="53"/>
      <c r="S34" s="53"/>
      <c r="T34" s="53"/>
      <c r="U34" s="53"/>
      <c r="V34" s="53"/>
      <c r="W34" s="53"/>
      <c r="X34" s="118"/>
      <c r="Y34" s="118"/>
      <c r="Z34" s="118"/>
      <c r="AA34" s="118"/>
    </row>
    <row r="35" spans="1:27" x14ac:dyDescent="0.2">
      <c r="A35" s="58"/>
      <c r="B35" s="85" t="s">
        <v>0</v>
      </c>
      <c r="C35" s="136">
        <v>1</v>
      </c>
      <c r="D35" s="182">
        <v>0.99999999997830402</v>
      </c>
      <c r="E35" s="182">
        <v>0.99999999924022942</v>
      </c>
      <c r="F35" s="182">
        <v>0.99999999753212765</v>
      </c>
      <c r="G35" s="182">
        <v>0.99999999265355255</v>
      </c>
      <c r="H35" s="135">
        <v>0.99999998820575486</v>
      </c>
      <c r="I35" s="136">
        <v>0.99297011128409163</v>
      </c>
      <c r="J35" s="182">
        <v>0.97627000674101005</v>
      </c>
      <c r="K35" s="225">
        <v>6.1458407598009011</v>
      </c>
      <c r="L35" s="229"/>
      <c r="M35" s="137"/>
      <c r="N35" s="138"/>
      <c r="P35" s="53"/>
      <c r="Q35" s="53"/>
      <c r="R35" s="53"/>
      <c r="S35" s="53"/>
      <c r="T35" s="53"/>
      <c r="U35" s="53"/>
      <c r="V35" s="53"/>
      <c r="W35" s="53"/>
      <c r="X35" s="118"/>
      <c r="Y35" s="118"/>
      <c r="Z35" s="118"/>
      <c r="AA35" s="118"/>
    </row>
    <row r="36" spans="1:27" x14ac:dyDescent="0.2">
      <c r="A36" s="74" t="s">
        <v>41</v>
      </c>
      <c r="B36" s="75" t="s">
        <v>2</v>
      </c>
      <c r="C36" s="131">
        <v>1</v>
      </c>
      <c r="D36" s="180">
        <v>0.9999999990748405</v>
      </c>
      <c r="E36" s="180">
        <v>0.99999997492889414</v>
      </c>
      <c r="F36" s="180">
        <v>0.99999983818201277</v>
      </c>
      <c r="G36" s="180">
        <v>0.99999951353890471</v>
      </c>
      <c r="H36" s="130">
        <v>0.99999897106132396</v>
      </c>
      <c r="I36" s="131">
        <v>0.99095501351210469</v>
      </c>
      <c r="J36" s="180">
        <v>0.9487917045110712</v>
      </c>
      <c r="K36" s="214">
        <v>6.3238326931746363</v>
      </c>
      <c r="L36" s="226">
        <f t="shared" ref="L36:N36" si="7">H38/H37</f>
        <v>1.009555518405501</v>
      </c>
      <c r="M36" s="66">
        <f t="shared" si="7"/>
        <v>1.0221086196397757</v>
      </c>
      <c r="N36" s="124">
        <f t="shared" si="7"/>
        <v>1.0551397177686277</v>
      </c>
      <c r="P36" s="227"/>
      <c r="Q36" s="227"/>
      <c r="R36" s="227"/>
      <c r="S36" s="227"/>
      <c r="T36" s="227"/>
      <c r="U36" s="227"/>
      <c r="V36" s="227"/>
      <c r="W36" s="227"/>
      <c r="X36" s="228"/>
      <c r="Y36" s="228"/>
      <c r="Z36" s="228"/>
      <c r="AA36" s="228"/>
    </row>
    <row r="37" spans="1:27" ht="12" x14ac:dyDescent="0.2">
      <c r="A37" s="127"/>
      <c r="B37" s="82" t="s">
        <v>1</v>
      </c>
      <c r="C37" s="131">
        <v>1</v>
      </c>
      <c r="D37" s="180">
        <v>0.99999999487707125</v>
      </c>
      <c r="E37" s="180">
        <v>0.99999987475164587</v>
      </c>
      <c r="F37" s="180">
        <v>0.999999179699123</v>
      </c>
      <c r="G37" s="180">
        <v>0.99999754242038852</v>
      </c>
      <c r="H37" s="130">
        <v>0.99053485526011897</v>
      </c>
      <c r="I37" s="131">
        <v>0.97574126869966793</v>
      </c>
      <c r="J37" s="180">
        <v>0.92081034598003242</v>
      </c>
      <c r="K37" s="214">
        <v>6.5159997671552112</v>
      </c>
      <c r="L37" s="226"/>
      <c r="M37" s="66"/>
      <c r="N37" s="132"/>
      <c r="P37" s="227"/>
      <c r="Q37" s="227"/>
      <c r="R37" s="227"/>
      <c r="S37" s="227"/>
      <c r="T37" s="227"/>
      <c r="U37" s="227"/>
      <c r="V37" s="227"/>
      <c r="W37" s="227"/>
      <c r="X37" s="228"/>
      <c r="Y37" s="228"/>
      <c r="Z37" s="228"/>
      <c r="AA37" s="228"/>
    </row>
    <row r="38" spans="1:27" x14ac:dyDescent="0.2">
      <c r="A38" s="58"/>
      <c r="B38" s="85" t="s">
        <v>0</v>
      </c>
      <c r="C38" s="136">
        <v>1</v>
      </c>
      <c r="D38" s="182">
        <v>0.99999999992839317</v>
      </c>
      <c r="E38" s="182">
        <v>0.99999999759171188</v>
      </c>
      <c r="F38" s="182">
        <v>0.99999998586226257</v>
      </c>
      <c r="G38" s="182">
        <v>0.99999995718067114</v>
      </c>
      <c r="H38" s="135">
        <v>0.99999992930084736</v>
      </c>
      <c r="I38" s="136">
        <v>0.99731356127618109</v>
      </c>
      <c r="J38" s="182">
        <v>0.97158356857580386</v>
      </c>
      <c r="K38" s="225">
        <v>6.1754852532089464</v>
      </c>
      <c r="L38" s="229"/>
      <c r="M38" s="137"/>
      <c r="N38" s="138"/>
      <c r="P38" s="227"/>
      <c r="Q38" s="227"/>
      <c r="R38" s="227"/>
      <c r="S38" s="227"/>
      <c r="T38" s="227"/>
      <c r="U38" s="227"/>
      <c r="V38" s="227"/>
      <c r="W38" s="227"/>
      <c r="X38" s="228"/>
      <c r="Y38" s="228"/>
      <c r="Z38" s="228"/>
      <c r="AA38" s="228"/>
    </row>
    <row r="39" spans="1:27" x14ac:dyDescent="0.2">
      <c r="A39" s="74" t="s">
        <v>42</v>
      </c>
      <c r="B39" s="75" t="s">
        <v>2</v>
      </c>
      <c r="C39" s="131">
        <v>1</v>
      </c>
      <c r="D39" s="180">
        <v>0.99999999999999822</v>
      </c>
      <c r="E39" s="180">
        <v>0.99999999999975464</v>
      </c>
      <c r="F39" s="180">
        <v>0.99999999999917633</v>
      </c>
      <c r="G39" s="180">
        <v>0.99999999999850886</v>
      </c>
      <c r="H39" s="130">
        <v>0.99999999999696476</v>
      </c>
      <c r="I39" s="131">
        <v>0.99999999999691713</v>
      </c>
      <c r="J39" s="180">
        <v>0.99449236448840472</v>
      </c>
      <c r="K39" s="214">
        <v>6.0332288253279565</v>
      </c>
      <c r="L39" s="84">
        <f t="shared" ref="L39:N39" si="8">H41/H40</f>
        <v>1.0000000001556424</v>
      </c>
      <c r="M39" s="56">
        <f t="shared" si="8"/>
        <v>1.0000000001606624</v>
      </c>
      <c r="N39" s="64">
        <f t="shared" si="8"/>
        <v>1.0054522925114608</v>
      </c>
      <c r="P39" s="53"/>
      <c r="Q39" s="53"/>
      <c r="R39" s="53"/>
      <c r="S39" s="53"/>
      <c r="T39" s="53"/>
      <c r="U39" s="53"/>
      <c r="V39" s="53"/>
      <c r="W39" s="53"/>
      <c r="X39" s="118"/>
      <c r="Y39" s="118"/>
      <c r="Z39" s="118"/>
      <c r="AA39" s="118"/>
    </row>
    <row r="40" spans="1:27" x14ac:dyDescent="0.2">
      <c r="A40" s="3"/>
      <c r="B40" s="82" t="s">
        <v>1</v>
      </c>
      <c r="C40" s="131">
        <v>1</v>
      </c>
      <c r="D40" s="180">
        <v>0.99999999999978872</v>
      </c>
      <c r="E40" s="180">
        <v>0.99999999998600664</v>
      </c>
      <c r="F40" s="180">
        <v>0.99999999995627742</v>
      </c>
      <c r="G40" s="180">
        <v>0.99999999991807698</v>
      </c>
      <c r="H40" s="130">
        <v>0.99999999983285071</v>
      </c>
      <c r="I40" s="131">
        <v>0.99999999982780963</v>
      </c>
      <c r="J40" s="180">
        <v>0.98922516236764324</v>
      </c>
      <c r="K40" s="214">
        <v>6.0653531958683784</v>
      </c>
      <c r="L40" s="84"/>
      <c r="M40" s="56"/>
      <c r="N40" s="57"/>
      <c r="P40" s="53"/>
      <c r="Q40" s="53"/>
      <c r="R40" s="53"/>
      <c r="S40" s="53"/>
      <c r="T40" s="53"/>
      <c r="U40" s="53"/>
      <c r="V40" s="53"/>
      <c r="W40" s="53"/>
      <c r="X40" s="118"/>
      <c r="Y40" s="118"/>
      <c r="Z40" s="118"/>
      <c r="AA40" s="118"/>
    </row>
    <row r="41" spans="1:27" x14ac:dyDescent="0.2">
      <c r="A41" s="58"/>
      <c r="B41" s="85" t="s">
        <v>0</v>
      </c>
      <c r="C41" s="136">
        <v>1</v>
      </c>
      <c r="D41" s="182">
        <v>0.99999999999998157</v>
      </c>
      <c r="E41" s="182">
        <v>0.99999999999829092</v>
      </c>
      <c r="F41" s="182">
        <v>0.99999999999527434</v>
      </c>
      <c r="G41" s="182">
        <v>0.99999999999169142</v>
      </c>
      <c r="H41" s="135">
        <v>0.99999999998849309</v>
      </c>
      <c r="I41" s="136">
        <v>0.999999999988472</v>
      </c>
      <c r="J41" s="182">
        <v>0.99461870731256896</v>
      </c>
      <c r="K41" s="225">
        <v>6.0324624460481209</v>
      </c>
      <c r="L41" s="215"/>
      <c r="M41" s="62"/>
      <c r="N41" s="63"/>
      <c r="P41" s="53"/>
      <c r="Q41" s="53"/>
      <c r="R41" s="53"/>
      <c r="S41" s="53"/>
      <c r="T41" s="53"/>
      <c r="U41" s="53"/>
      <c r="V41" s="53"/>
      <c r="W41" s="53"/>
      <c r="X41" s="118"/>
      <c r="Y41" s="118"/>
      <c r="Z41" s="118"/>
      <c r="AA41" s="118"/>
    </row>
    <row r="42" spans="1:27" x14ac:dyDescent="0.2">
      <c r="A42" s="74" t="s">
        <v>43</v>
      </c>
      <c r="B42" s="75" t="s">
        <v>2</v>
      </c>
      <c r="C42" s="131">
        <v>1</v>
      </c>
      <c r="D42" s="180">
        <v>0.99999999999998934</v>
      </c>
      <c r="E42" s="180">
        <v>0.99999999999894318</v>
      </c>
      <c r="F42" s="180">
        <v>0.99999999999713318</v>
      </c>
      <c r="G42" s="180">
        <v>0.99999999999308609</v>
      </c>
      <c r="H42" s="130">
        <v>0.99999999998819555</v>
      </c>
      <c r="I42" s="131">
        <v>0.9975592747440527</v>
      </c>
      <c r="J42" s="180">
        <v>0.9913148346007562</v>
      </c>
      <c r="K42" s="214">
        <v>6.0525675502641398</v>
      </c>
      <c r="L42" s="84">
        <f t="shared" ref="L42:N42" si="9">H44/H43</f>
        <v>1.0003937076989073</v>
      </c>
      <c r="M42" s="56">
        <f t="shared" si="9"/>
        <v>1.0003937078198044</v>
      </c>
      <c r="N42" s="64">
        <f t="shared" si="9"/>
        <v>1.0078257170463609</v>
      </c>
      <c r="P42" s="53"/>
      <c r="Q42" s="53"/>
      <c r="R42" s="53"/>
      <c r="S42" s="53"/>
      <c r="T42" s="53"/>
      <c r="U42" s="53"/>
      <c r="V42" s="53"/>
      <c r="W42" s="53"/>
      <c r="X42" s="118"/>
      <c r="Y42" s="118"/>
      <c r="Z42" s="118"/>
      <c r="AA42" s="118"/>
    </row>
    <row r="43" spans="1:27" x14ac:dyDescent="0.2">
      <c r="A43" s="3"/>
      <c r="B43" s="82" t="s">
        <v>1</v>
      </c>
      <c r="C43" s="131">
        <v>1</v>
      </c>
      <c r="D43" s="180">
        <v>0.99999999999407152</v>
      </c>
      <c r="E43" s="180">
        <v>0.99999999974040144</v>
      </c>
      <c r="F43" s="180">
        <v>0.99999999875145751</v>
      </c>
      <c r="G43" s="180">
        <v>0.99999999639428827</v>
      </c>
      <c r="H43" s="130">
        <v>0.99960644673420396</v>
      </c>
      <c r="I43" s="131">
        <v>0.99960644660947473</v>
      </c>
      <c r="J43" s="180">
        <v>0.98136715588432699</v>
      </c>
      <c r="K43" s="214">
        <v>6.1139197129470828</v>
      </c>
      <c r="L43" s="84"/>
      <c r="M43" s="56"/>
      <c r="N43" s="57"/>
      <c r="P43" s="53"/>
      <c r="Q43" s="53"/>
      <c r="R43" s="53"/>
      <c r="S43" s="53"/>
      <c r="T43" s="53"/>
      <c r="U43" s="53"/>
      <c r="V43" s="53"/>
      <c r="W43" s="53"/>
      <c r="X43" s="118"/>
      <c r="Y43" s="118"/>
      <c r="Z43" s="118"/>
      <c r="AA43" s="118"/>
    </row>
    <row r="44" spans="1:27" x14ac:dyDescent="0.2">
      <c r="A44" s="58"/>
      <c r="B44" s="85" t="s">
        <v>0</v>
      </c>
      <c r="C44" s="136">
        <v>1</v>
      </c>
      <c r="D44" s="182">
        <v>0.99999999999877609</v>
      </c>
      <c r="E44" s="182">
        <v>0.9999999999372714</v>
      </c>
      <c r="F44" s="182">
        <v>0.999999999843869</v>
      </c>
      <c r="G44" s="182">
        <v>0.99999999966661834</v>
      </c>
      <c r="H44" s="135">
        <v>0.99999999948816065</v>
      </c>
      <c r="I44" s="136">
        <v>0.99999999948423168</v>
      </c>
      <c r="J44" s="182">
        <v>0.98904705756486977</v>
      </c>
      <c r="K44" s="225">
        <v>6.0664454275538562</v>
      </c>
      <c r="L44" s="215"/>
      <c r="M44" s="62"/>
      <c r="N44" s="63"/>
      <c r="P44" s="53"/>
      <c r="Q44" s="53"/>
      <c r="R44" s="53"/>
      <c r="S44" s="53"/>
      <c r="T44" s="53"/>
      <c r="U44" s="53"/>
      <c r="V44" s="53"/>
      <c r="W44" s="53"/>
      <c r="X44" s="118"/>
      <c r="Y44" s="118"/>
      <c r="Z44" s="118"/>
      <c r="AA44" s="118"/>
    </row>
    <row r="45" spans="1:27" x14ac:dyDescent="0.2">
      <c r="A45" s="88" t="s">
        <v>3</v>
      </c>
      <c r="B45" s="89" t="s">
        <v>2</v>
      </c>
      <c r="C45" s="98">
        <v>1</v>
      </c>
      <c r="D45" s="99">
        <v>0.99999999999481204</v>
      </c>
      <c r="E45" s="99">
        <v>0.99999999977031129</v>
      </c>
      <c r="F45" s="99">
        <v>0.99999999894887581</v>
      </c>
      <c r="G45" s="99">
        <v>0.99999999721926758</v>
      </c>
      <c r="H45" s="100">
        <v>0.99999999471737777</v>
      </c>
      <c r="I45" s="98">
        <v>0.99999999463889011</v>
      </c>
      <c r="J45" s="99">
        <v>0.9827978677118907</v>
      </c>
      <c r="K45" s="101">
        <v>6.105019350488571</v>
      </c>
      <c r="L45" s="216">
        <f t="shared" ref="L45:N45" si="10">H47/H46</f>
        <v>1.0000000227221788</v>
      </c>
      <c r="M45" s="101">
        <f t="shared" si="10"/>
        <v>1.0000000233080344</v>
      </c>
      <c r="N45" s="95">
        <f t="shared" si="10"/>
        <v>1.0117023891485664</v>
      </c>
      <c r="P45" s="53"/>
      <c r="Q45" s="53"/>
      <c r="R45" s="53"/>
      <c r="S45" s="53"/>
      <c r="T45" s="53"/>
      <c r="U45" s="53"/>
      <c r="V45" s="53"/>
      <c r="W45" s="53"/>
      <c r="X45" s="118"/>
      <c r="Y45" s="118"/>
      <c r="Z45" s="118"/>
      <c r="AA45" s="118"/>
    </row>
    <row r="46" spans="1:27" x14ac:dyDescent="0.2">
      <c r="A46" s="96"/>
      <c r="B46" s="97" t="s">
        <v>1</v>
      </c>
      <c r="C46" s="98">
        <v>1</v>
      </c>
      <c r="D46" s="99">
        <v>0.99999999997907218</v>
      </c>
      <c r="E46" s="99">
        <v>0.99999999921054383</v>
      </c>
      <c r="F46" s="99">
        <v>0.99999999595772815</v>
      </c>
      <c r="G46" s="99">
        <v>0.99999998859982031</v>
      </c>
      <c r="H46" s="100">
        <v>0.99999997666626839</v>
      </c>
      <c r="I46" s="98">
        <v>0.99999997607704927</v>
      </c>
      <c r="J46" s="99">
        <v>0.97729629117710226</v>
      </c>
      <c r="K46" s="101">
        <v>6.1393868514259005</v>
      </c>
      <c r="L46" s="216"/>
      <c r="M46" s="101"/>
      <c r="N46" s="102"/>
      <c r="P46" s="53"/>
      <c r="Q46" s="53"/>
      <c r="R46" s="53"/>
      <c r="S46" s="53"/>
      <c r="T46" s="53"/>
      <c r="U46" s="53"/>
      <c r="V46" s="53"/>
      <c r="W46" s="53"/>
      <c r="X46" s="118"/>
      <c r="Y46" s="118"/>
      <c r="Z46" s="118"/>
      <c r="AA46" s="118"/>
    </row>
    <row r="47" spans="1:27" ht="12" thickBot="1" x14ac:dyDescent="0.25">
      <c r="A47" s="103"/>
      <c r="B47" s="104" t="s">
        <v>0</v>
      </c>
      <c r="C47" s="105">
        <v>1</v>
      </c>
      <c r="D47" s="106">
        <v>0.99999999999923372</v>
      </c>
      <c r="E47" s="106">
        <v>0.99999999995717093</v>
      </c>
      <c r="F47" s="106">
        <v>0.99999999984541754</v>
      </c>
      <c r="G47" s="106">
        <v>0.9999999996330351</v>
      </c>
      <c r="H47" s="107">
        <v>0.99999999938844675</v>
      </c>
      <c r="I47" s="105">
        <v>0.9999999993850831</v>
      </c>
      <c r="J47" s="106">
        <v>0.98873299268990744</v>
      </c>
      <c r="K47" s="108">
        <v>6.0683723961477609</v>
      </c>
      <c r="L47" s="217"/>
      <c r="M47" s="108"/>
      <c r="N47" s="109"/>
      <c r="P47" s="53"/>
      <c r="Q47" s="53"/>
      <c r="R47" s="53"/>
      <c r="S47" s="53"/>
      <c r="T47" s="53"/>
      <c r="U47" s="53"/>
      <c r="V47" s="53"/>
      <c r="W47" s="53"/>
      <c r="X47" s="118"/>
      <c r="Y47" s="118"/>
      <c r="Z47" s="118"/>
      <c r="AA47" s="118"/>
    </row>
    <row r="48" spans="1:27" x14ac:dyDescent="0.2">
      <c r="A48" s="110"/>
      <c r="B48" s="111"/>
    </row>
  </sheetData>
  <sheetProtection algorithmName="SHA-512" hashValue="7sBQE6z9HwfABNgWdxBVS0LAMMZVBQgcCJdgoT7sVUwaYvdDEbcFhywTw/6yLrKOzu6BdKR0vyeLoygWaem3aQ==" saltValue="gVme8twCoIzg/UzzjMu3pw==" spinCount="100000" sheet="1" objects="1" scenarios="1"/>
  <mergeCells count="8">
    <mergeCell ref="B10:B11"/>
    <mergeCell ref="C10:G10"/>
    <mergeCell ref="P10:U10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HM48"/>
  <sheetViews>
    <sheetView showGridLines="0" zoomScaleNormal="100" workbookViewId="0">
      <pane xSplit="2" ySplit="8" topLeftCell="C9" activePane="bottomRight" state="frozen"/>
      <selection activeCell="A35" sqref="A35"/>
      <selection pane="topRight" activeCell="A35" sqref="A35"/>
      <selection pane="bottomLeft" activeCell="A35" sqref="A35"/>
      <selection pane="bottomRight" activeCell="B49" sqref="B49:HM848"/>
    </sheetView>
  </sheetViews>
  <sheetFormatPr defaultRowHeight="11.25" x14ac:dyDescent="0.2"/>
  <cols>
    <col min="1" max="1" width="37.28515625" style="110" customWidth="1"/>
    <col min="2" max="2" width="9.28515625" style="111" customWidth="1"/>
    <col min="3" max="5" width="6.5703125" style="27" bestFit="1" customWidth="1"/>
    <col min="6" max="6" width="6.7109375" style="27" bestFit="1" customWidth="1"/>
    <col min="7" max="7" width="6.5703125" style="27" bestFit="1" customWidth="1"/>
    <col min="8" max="8" width="8.28515625" style="27" customWidth="1"/>
    <col min="9" max="9" width="11.140625" style="27" customWidth="1"/>
    <col min="10" max="10" width="9.28515625" style="231" customWidth="1"/>
    <col min="11" max="18" width="1.7109375" style="111" bestFit="1" customWidth="1"/>
    <col min="19" max="227" width="8.85546875" style="111"/>
    <col min="228" max="228" width="19.140625" style="111" customWidth="1"/>
    <col min="229" max="229" width="10.7109375" style="111" customWidth="1"/>
    <col min="230" max="234" width="8.7109375" style="111" customWidth="1"/>
    <col min="235" max="235" width="9.85546875" style="111" customWidth="1"/>
    <col min="236" max="236" width="12.28515625" style="111" customWidth="1"/>
    <col min="237" max="237" width="8.85546875" style="111" customWidth="1"/>
    <col min="238" max="238" width="15.7109375" style="111" customWidth="1"/>
    <col min="239" max="247" width="8.85546875" style="111"/>
    <col min="248" max="248" width="14.5703125" style="111" customWidth="1"/>
    <col min="249" max="483" width="8.85546875" style="111"/>
    <col min="484" max="484" width="19.140625" style="111" customWidth="1"/>
    <col min="485" max="485" width="10.7109375" style="111" customWidth="1"/>
    <col min="486" max="490" width="8.7109375" style="111" customWidth="1"/>
    <col min="491" max="491" width="9.85546875" style="111" customWidth="1"/>
    <col min="492" max="492" width="12.28515625" style="111" customWidth="1"/>
    <col min="493" max="493" width="8.85546875" style="111" customWidth="1"/>
    <col min="494" max="494" width="15.7109375" style="111" customWidth="1"/>
    <col min="495" max="503" width="8.85546875" style="111"/>
    <col min="504" max="504" width="14.5703125" style="111" customWidth="1"/>
    <col min="505" max="739" width="8.85546875" style="111"/>
    <col min="740" max="740" width="19.140625" style="111" customWidth="1"/>
    <col min="741" max="741" width="10.7109375" style="111" customWidth="1"/>
    <col min="742" max="746" width="8.7109375" style="111" customWidth="1"/>
    <col min="747" max="747" width="9.85546875" style="111" customWidth="1"/>
    <col min="748" max="748" width="12.28515625" style="111" customWidth="1"/>
    <col min="749" max="749" width="8.85546875" style="111" customWidth="1"/>
    <col min="750" max="750" width="15.7109375" style="111" customWidth="1"/>
    <col min="751" max="759" width="8.85546875" style="111"/>
    <col min="760" max="760" width="14.5703125" style="111" customWidth="1"/>
    <col min="761" max="995" width="8.85546875" style="111"/>
    <col min="996" max="996" width="19.140625" style="111" customWidth="1"/>
    <col min="997" max="997" width="10.7109375" style="111" customWidth="1"/>
    <col min="998" max="1002" width="8.7109375" style="111" customWidth="1"/>
    <col min="1003" max="1003" width="9.85546875" style="111" customWidth="1"/>
    <col min="1004" max="1004" width="12.28515625" style="111" customWidth="1"/>
    <col min="1005" max="1005" width="8.85546875" style="111" customWidth="1"/>
    <col min="1006" max="1006" width="15.7109375" style="111" customWidth="1"/>
    <col min="1007" max="1015" width="8.85546875" style="111"/>
    <col min="1016" max="1016" width="14.5703125" style="111" customWidth="1"/>
    <col min="1017" max="1251" width="8.85546875" style="111"/>
    <col min="1252" max="1252" width="19.140625" style="111" customWidth="1"/>
    <col min="1253" max="1253" width="10.7109375" style="111" customWidth="1"/>
    <col min="1254" max="1258" width="8.7109375" style="111" customWidth="1"/>
    <col min="1259" max="1259" width="9.85546875" style="111" customWidth="1"/>
    <col min="1260" max="1260" width="12.28515625" style="111" customWidth="1"/>
    <col min="1261" max="1261" width="8.85546875" style="111" customWidth="1"/>
    <col min="1262" max="1262" width="15.7109375" style="111" customWidth="1"/>
    <col min="1263" max="1271" width="8.85546875" style="111"/>
    <col min="1272" max="1272" width="14.5703125" style="111" customWidth="1"/>
    <col min="1273" max="1507" width="8.85546875" style="111"/>
    <col min="1508" max="1508" width="19.140625" style="111" customWidth="1"/>
    <col min="1509" max="1509" width="10.7109375" style="111" customWidth="1"/>
    <col min="1510" max="1514" width="8.7109375" style="111" customWidth="1"/>
    <col min="1515" max="1515" width="9.85546875" style="111" customWidth="1"/>
    <col min="1516" max="1516" width="12.28515625" style="111" customWidth="1"/>
    <col min="1517" max="1517" width="8.85546875" style="111" customWidth="1"/>
    <col min="1518" max="1518" width="15.7109375" style="111" customWidth="1"/>
    <col min="1519" max="1527" width="8.85546875" style="111"/>
    <col min="1528" max="1528" width="14.5703125" style="111" customWidth="1"/>
    <col min="1529" max="1763" width="8.85546875" style="111"/>
    <col min="1764" max="1764" width="19.140625" style="111" customWidth="1"/>
    <col min="1765" max="1765" width="10.7109375" style="111" customWidth="1"/>
    <col min="1766" max="1770" width="8.7109375" style="111" customWidth="1"/>
    <col min="1771" max="1771" width="9.85546875" style="111" customWidth="1"/>
    <col min="1772" max="1772" width="12.28515625" style="111" customWidth="1"/>
    <col min="1773" max="1773" width="8.85546875" style="111" customWidth="1"/>
    <col min="1774" max="1774" width="15.7109375" style="111" customWidth="1"/>
    <col min="1775" max="1783" width="8.85546875" style="111"/>
    <col min="1784" max="1784" width="14.5703125" style="111" customWidth="1"/>
    <col min="1785" max="2019" width="8.85546875" style="111"/>
    <col min="2020" max="2020" width="19.140625" style="111" customWidth="1"/>
    <col min="2021" max="2021" width="10.7109375" style="111" customWidth="1"/>
    <col min="2022" max="2026" width="8.7109375" style="111" customWidth="1"/>
    <col min="2027" max="2027" width="9.85546875" style="111" customWidth="1"/>
    <col min="2028" max="2028" width="12.28515625" style="111" customWidth="1"/>
    <col min="2029" max="2029" width="8.85546875" style="111" customWidth="1"/>
    <col min="2030" max="2030" width="15.7109375" style="111" customWidth="1"/>
    <col min="2031" max="2039" width="8.85546875" style="111"/>
    <col min="2040" max="2040" width="14.5703125" style="111" customWidth="1"/>
    <col min="2041" max="2275" width="8.85546875" style="111"/>
    <col min="2276" max="2276" width="19.140625" style="111" customWidth="1"/>
    <col min="2277" max="2277" width="10.7109375" style="111" customWidth="1"/>
    <col min="2278" max="2282" width="8.7109375" style="111" customWidth="1"/>
    <col min="2283" max="2283" width="9.85546875" style="111" customWidth="1"/>
    <col min="2284" max="2284" width="12.28515625" style="111" customWidth="1"/>
    <col min="2285" max="2285" width="8.85546875" style="111" customWidth="1"/>
    <col min="2286" max="2286" width="15.7109375" style="111" customWidth="1"/>
    <col min="2287" max="2295" width="8.85546875" style="111"/>
    <col min="2296" max="2296" width="14.5703125" style="111" customWidth="1"/>
    <col min="2297" max="2531" width="8.85546875" style="111"/>
    <col min="2532" max="2532" width="19.140625" style="111" customWidth="1"/>
    <col min="2533" max="2533" width="10.7109375" style="111" customWidth="1"/>
    <col min="2534" max="2538" width="8.7109375" style="111" customWidth="1"/>
    <col min="2539" max="2539" width="9.85546875" style="111" customWidth="1"/>
    <col min="2540" max="2540" width="12.28515625" style="111" customWidth="1"/>
    <col min="2541" max="2541" width="8.85546875" style="111" customWidth="1"/>
    <col min="2542" max="2542" width="15.7109375" style="111" customWidth="1"/>
    <col min="2543" max="2551" width="8.85546875" style="111"/>
    <col min="2552" max="2552" width="14.5703125" style="111" customWidth="1"/>
    <col min="2553" max="2787" width="8.85546875" style="111"/>
    <col min="2788" max="2788" width="19.140625" style="111" customWidth="1"/>
    <col min="2789" max="2789" width="10.7109375" style="111" customWidth="1"/>
    <col min="2790" max="2794" width="8.7109375" style="111" customWidth="1"/>
    <col min="2795" max="2795" width="9.85546875" style="111" customWidth="1"/>
    <col min="2796" max="2796" width="12.28515625" style="111" customWidth="1"/>
    <col min="2797" max="2797" width="8.85546875" style="111" customWidth="1"/>
    <col min="2798" max="2798" width="15.7109375" style="111" customWidth="1"/>
    <col min="2799" max="2807" width="8.85546875" style="111"/>
    <col min="2808" max="2808" width="14.5703125" style="111" customWidth="1"/>
    <col min="2809" max="3043" width="8.85546875" style="111"/>
    <col min="3044" max="3044" width="19.140625" style="111" customWidth="1"/>
    <col min="3045" max="3045" width="10.7109375" style="111" customWidth="1"/>
    <col min="3046" max="3050" width="8.7109375" style="111" customWidth="1"/>
    <col min="3051" max="3051" width="9.85546875" style="111" customWidth="1"/>
    <col min="3052" max="3052" width="12.28515625" style="111" customWidth="1"/>
    <col min="3053" max="3053" width="8.85546875" style="111" customWidth="1"/>
    <col min="3054" max="3054" width="15.7109375" style="111" customWidth="1"/>
    <col min="3055" max="3063" width="8.85546875" style="111"/>
    <col min="3064" max="3064" width="14.5703125" style="111" customWidth="1"/>
    <col min="3065" max="3299" width="8.85546875" style="111"/>
    <col min="3300" max="3300" width="19.140625" style="111" customWidth="1"/>
    <col min="3301" max="3301" width="10.7109375" style="111" customWidth="1"/>
    <col min="3302" max="3306" width="8.7109375" style="111" customWidth="1"/>
    <col min="3307" max="3307" width="9.85546875" style="111" customWidth="1"/>
    <col min="3308" max="3308" width="12.28515625" style="111" customWidth="1"/>
    <col min="3309" max="3309" width="8.85546875" style="111" customWidth="1"/>
    <col min="3310" max="3310" width="15.7109375" style="111" customWidth="1"/>
    <col min="3311" max="3319" width="8.85546875" style="111"/>
    <col min="3320" max="3320" width="14.5703125" style="111" customWidth="1"/>
    <col min="3321" max="3555" width="8.85546875" style="111"/>
    <col min="3556" max="3556" width="19.140625" style="111" customWidth="1"/>
    <col min="3557" max="3557" width="10.7109375" style="111" customWidth="1"/>
    <col min="3558" max="3562" width="8.7109375" style="111" customWidth="1"/>
    <col min="3563" max="3563" width="9.85546875" style="111" customWidth="1"/>
    <col min="3564" max="3564" width="12.28515625" style="111" customWidth="1"/>
    <col min="3565" max="3565" width="8.85546875" style="111" customWidth="1"/>
    <col min="3566" max="3566" width="15.7109375" style="111" customWidth="1"/>
    <col min="3567" max="3575" width="8.85546875" style="111"/>
    <col min="3576" max="3576" width="14.5703125" style="111" customWidth="1"/>
    <col min="3577" max="3811" width="8.85546875" style="111"/>
    <col min="3812" max="3812" width="19.140625" style="111" customWidth="1"/>
    <col min="3813" max="3813" width="10.7109375" style="111" customWidth="1"/>
    <col min="3814" max="3818" width="8.7109375" style="111" customWidth="1"/>
    <col min="3819" max="3819" width="9.85546875" style="111" customWidth="1"/>
    <col min="3820" max="3820" width="12.28515625" style="111" customWidth="1"/>
    <col min="3821" max="3821" width="8.85546875" style="111" customWidth="1"/>
    <col min="3822" max="3822" width="15.7109375" style="111" customWidth="1"/>
    <col min="3823" max="3831" width="8.85546875" style="111"/>
    <col min="3832" max="3832" width="14.5703125" style="111" customWidth="1"/>
    <col min="3833" max="4067" width="8.85546875" style="111"/>
    <col min="4068" max="4068" width="19.140625" style="111" customWidth="1"/>
    <col min="4069" max="4069" width="10.7109375" style="111" customWidth="1"/>
    <col min="4070" max="4074" width="8.7109375" style="111" customWidth="1"/>
    <col min="4075" max="4075" width="9.85546875" style="111" customWidth="1"/>
    <col min="4076" max="4076" width="12.28515625" style="111" customWidth="1"/>
    <col min="4077" max="4077" width="8.85546875" style="111" customWidth="1"/>
    <col min="4078" max="4078" width="15.7109375" style="111" customWidth="1"/>
    <col min="4079" max="4087" width="8.85546875" style="111"/>
    <col min="4088" max="4088" width="14.5703125" style="111" customWidth="1"/>
    <col min="4089" max="4323" width="8.85546875" style="111"/>
    <col min="4324" max="4324" width="19.140625" style="111" customWidth="1"/>
    <col min="4325" max="4325" width="10.7109375" style="111" customWidth="1"/>
    <col min="4326" max="4330" width="8.7109375" style="111" customWidth="1"/>
    <col min="4331" max="4331" width="9.85546875" style="111" customWidth="1"/>
    <col min="4332" max="4332" width="12.28515625" style="111" customWidth="1"/>
    <col min="4333" max="4333" width="8.85546875" style="111" customWidth="1"/>
    <col min="4334" max="4334" width="15.7109375" style="111" customWidth="1"/>
    <col min="4335" max="4343" width="8.85546875" style="111"/>
    <col min="4344" max="4344" width="14.5703125" style="111" customWidth="1"/>
    <col min="4345" max="4579" width="8.85546875" style="111"/>
    <col min="4580" max="4580" width="19.140625" style="111" customWidth="1"/>
    <col min="4581" max="4581" width="10.7109375" style="111" customWidth="1"/>
    <col min="4582" max="4586" width="8.7109375" style="111" customWidth="1"/>
    <col min="4587" max="4587" width="9.85546875" style="111" customWidth="1"/>
    <col min="4588" max="4588" width="12.28515625" style="111" customWidth="1"/>
    <col min="4589" max="4589" width="8.85546875" style="111" customWidth="1"/>
    <col min="4590" max="4590" width="15.7109375" style="111" customWidth="1"/>
    <col min="4591" max="4599" width="8.85546875" style="111"/>
    <col min="4600" max="4600" width="14.5703125" style="111" customWidth="1"/>
    <col min="4601" max="4835" width="8.85546875" style="111"/>
    <col min="4836" max="4836" width="19.140625" style="111" customWidth="1"/>
    <col min="4837" max="4837" width="10.7109375" style="111" customWidth="1"/>
    <col min="4838" max="4842" width="8.7109375" style="111" customWidth="1"/>
    <col min="4843" max="4843" width="9.85546875" style="111" customWidth="1"/>
    <col min="4844" max="4844" width="12.28515625" style="111" customWidth="1"/>
    <col min="4845" max="4845" width="8.85546875" style="111" customWidth="1"/>
    <col min="4846" max="4846" width="15.7109375" style="111" customWidth="1"/>
    <col min="4847" max="4855" width="8.85546875" style="111"/>
    <col min="4856" max="4856" width="14.5703125" style="111" customWidth="1"/>
    <col min="4857" max="5091" width="8.85546875" style="111"/>
    <col min="5092" max="5092" width="19.140625" style="111" customWidth="1"/>
    <col min="5093" max="5093" width="10.7109375" style="111" customWidth="1"/>
    <col min="5094" max="5098" width="8.7109375" style="111" customWidth="1"/>
    <col min="5099" max="5099" width="9.85546875" style="111" customWidth="1"/>
    <col min="5100" max="5100" width="12.28515625" style="111" customWidth="1"/>
    <col min="5101" max="5101" width="8.85546875" style="111" customWidth="1"/>
    <col min="5102" max="5102" width="15.7109375" style="111" customWidth="1"/>
    <col min="5103" max="5111" width="8.85546875" style="111"/>
    <col min="5112" max="5112" width="14.5703125" style="111" customWidth="1"/>
    <col min="5113" max="5347" width="8.85546875" style="111"/>
    <col min="5348" max="5348" width="19.140625" style="111" customWidth="1"/>
    <col min="5349" max="5349" width="10.7109375" style="111" customWidth="1"/>
    <col min="5350" max="5354" width="8.7109375" style="111" customWidth="1"/>
    <col min="5355" max="5355" width="9.85546875" style="111" customWidth="1"/>
    <col min="5356" max="5356" width="12.28515625" style="111" customWidth="1"/>
    <col min="5357" max="5357" width="8.85546875" style="111" customWidth="1"/>
    <col min="5358" max="5358" width="15.7109375" style="111" customWidth="1"/>
    <col min="5359" max="5367" width="8.85546875" style="111"/>
    <col min="5368" max="5368" width="14.5703125" style="111" customWidth="1"/>
    <col min="5369" max="5603" width="8.85546875" style="111"/>
    <col min="5604" max="5604" width="19.140625" style="111" customWidth="1"/>
    <col min="5605" max="5605" width="10.7109375" style="111" customWidth="1"/>
    <col min="5606" max="5610" width="8.7109375" style="111" customWidth="1"/>
    <col min="5611" max="5611" width="9.85546875" style="111" customWidth="1"/>
    <col min="5612" max="5612" width="12.28515625" style="111" customWidth="1"/>
    <col min="5613" max="5613" width="8.85546875" style="111" customWidth="1"/>
    <col min="5614" max="5614" width="15.7109375" style="111" customWidth="1"/>
    <col min="5615" max="5623" width="8.85546875" style="111"/>
    <col min="5624" max="5624" width="14.5703125" style="111" customWidth="1"/>
    <col min="5625" max="5859" width="8.85546875" style="111"/>
    <col min="5860" max="5860" width="19.140625" style="111" customWidth="1"/>
    <col min="5861" max="5861" width="10.7109375" style="111" customWidth="1"/>
    <col min="5862" max="5866" width="8.7109375" style="111" customWidth="1"/>
    <col min="5867" max="5867" width="9.85546875" style="111" customWidth="1"/>
    <col min="5868" max="5868" width="12.28515625" style="111" customWidth="1"/>
    <col min="5869" max="5869" width="8.85546875" style="111" customWidth="1"/>
    <col min="5870" max="5870" width="15.7109375" style="111" customWidth="1"/>
    <col min="5871" max="5879" width="8.85546875" style="111"/>
    <col min="5880" max="5880" width="14.5703125" style="111" customWidth="1"/>
    <col min="5881" max="6115" width="8.85546875" style="111"/>
    <col min="6116" max="6116" width="19.140625" style="111" customWidth="1"/>
    <col min="6117" max="6117" width="10.7109375" style="111" customWidth="1"/>
    <col min="6118" max="6122" width="8.7109375" style="111" customWidth="1"/>
    <col min="6123" max="6123" width="9.85546875" style="111" customWidth="1"/>
    <col min="6124" max="6124" width="12.28515625" style="111" customWidth="1"/>
    <col min="6125" max="6125" width="8.85546875" style="111" customWidth="1"/>
    <col min="6126" max="6126" width="15.7109375" style="111" customWidth="1"/>
    <col min="6127" max="6135" width="8.85546875" style="111"/>
    <col min="6136" max="6136" width="14.5703125" style="111" customWidth="1"/>
    <col min="6137" max="6371" width="8.85546875" style="111"/>
    <col min="6372" max="6372" width="19.140625" style="111" customWidth="1"/>
    <col min="6373" max="6373" width="10.7109375" style="111" customWidth="1"/>
    <col min="6374" max="6378" width="8.7109375" style="111" customWidth="1"/>
    <col min="6379" max="6379" width="9.85546875" style="111" customWidth="1"/>
    <col min="6380" max="6380" width="12.28515625" style="111" customWidth="1"/>
    <col min="6381" max="6381" width="8.85546875" style="111" customWidth="1"/>
    <col min="6382" max="6382" width="15.7109375" style="111" customWidth="1"/>
    <col min="6383" max="6391" width="8.85546875" style="111"/>
    <col min="6392" max="6392" width="14.5703125" style="111" customWidth="1"/>
    <col min="6393" max="6627" width="8.85546875" style="111"/>
    <col min="6628" max="6628" width="19.140625" style="111" customWidth="1"/>
    <col min="6629" max="6629" width="10.7109375" style="111" customWidth="1"/>
    <col min="6630" max="6634" width="8.7109375" style="111" customWidth="1"/>
    <col min="6635" max="6635" width="9.85546875" style="111" customWidth="1"/>
    <col min="6636" max="6636" width="12.28515625" style="111" customWidth="1"/>
    <col min="6637" max="6637" width="8.85546875" style="111" customWidth="1"/>
    <col min="6638" max="6638" width="15.7109375" style="111" customWidth="1"/>
    <col min="6639" max="6647" width="8.85546875" style="111"/>
    <col min="6648" max="6648" width="14.5703125" style="111" customWidth="1"/>
    <col min="6649" max="6883" width="8.85546875" style="111"/>
    <col min="6884" max="6884" width="19.140625" style="111" customWidth="1"/>
    <col min="6885" max="6885" width="10.7109375" style="111" customWidth="1"/>
    <col min="6886" max="6890" width="8.7109375" style="111" customWidth="1"/>
    <col min="6891" max="6891" width="9.85546875" style="111" customWidth="1"/>
    <col min="6892" max="6892" width="12.28515625" style="111" customWidth="1"/>
    <col min="6893" max="6893" width="8.85546875" style="111" customWidth="1"/>
    <col min="6894" max="6894" width="15.7109375" style="111" customWidth="1"/>
    <col min="6895" max="6903" width="8.85546875" style="111"/>
    <col min="6904" max="6904" width="14.5703125" style="111" customWidth="1"/>
    <col min="6905" max="7139" width="8.85546875" style="111"/>
    <col min="7140" max="7140" width="19.140625" style="111" customWidth="1"/>
    <col min="7141" max="7141" width="10.7109375" style="111" customWidth="1"/>
    <col min="7142" max="7146" width="8.7109375" style="111" customWidth="1"/>
    <col min="7147" max="7147" width="9.85546875" style="111" customWidth="1"/>
    <col min="7148" max="7148" width="12.28515625" style="111" customWidth="1"/>
    <col min="7149" max="7149" width="8.85546875" style="111" customWidth="1"/>
    <col min="7150" max="7150" width="15.7109375" style="111" customWidth="1"/>
    <col min="7151" max="7159" width="8.85546875" style="111"/>
    <col min="7160" max="7160" width="14.5703125" style="111" customWidth="1"/>
    <col min="7161" max="7395" width="8.85546875" style="111"/>
    <col min="7396" max="7396" width="19.140625" style="111" customWidth="1"/>
    <col min="7397" max="7397" width="10.7109375" style="111" customWidth="1"/>
    <col min="7398" max="7402" width="8.7109375" style="111" customWidth="1"/>
    <col min="7403" max="7403" width="9.85546875" style="111" customWidth="1"/>
    <col min="7404" max="7404" width="12.28515625" style="111" customWidth="1"/>
    <col min="7405" max="7405" width="8.85546875" style="111" customWidth="1"/>
    <col min="7406" max="7406" width="15.7109375" style="111" customWidth="1"/>
    <col min="7407" max="7415" width="8.85546875" style="111"/>
    <col min="7416" max="7416" width="14.5703125" style="111" customWidth="1"/>
    <col min="7417" max="7651" width="8.85546875" style="111"/>
    <col min="7652" max="7652" width="19.140625" style="111" customWidth="1"/>
    <col min="7653" max="7653" width="10.7109375" style="111" customWidth="1"/>
    <col min="7654" max="7658" width="8.7109375" style="111" customWidth="1"/>
    <col min="7659" max="7659" width="9.85546875" style="111" customWidth="1"/>
    <col min="7660" max="7660" width="12.28515625" style="111" customWidth="1"/>
    <col min="7661" max="7661" width="8.85546875" style="111" customWidth="1"/>
    <col min="7662" max="7662" width="15.7109375" style="111" customWidth="1"/>
    <col min="7663" max="7671" width="8.85546875" style="111"/>
    <col min="7672" max="7672" width="14.5703125" style="111" customWidth="1"/>
    <col min="7673" max="7907" width="8.85546875" style="111"/>
    <col min="7908" max="7908" width="19.140625" style="111" customWidth="1"/>
    <col min="7909" max="7909" width="10.7109375" style="111" customWidth="1"/>
    <col min="7910" max="7914" width="8.7109375" style="111" customWidth="1"/>
    <col min="7915" max="7915" width="9.85546875" style="111" customWidth="1"/>
    <col min="7916" max="7916" width="12.28515625" style="111" customWidth="1"/>
    <col min="7917" max="7917" width="8.85546875" style="111" customWidth="1"/>
    <col min="7918" max="7918" width="15.7109375" style="111" customWidth="1"/>
    <col min="7919" max="7927" width="8.85546875" style="111"/>
    <col min="7928" max="7928" width="14.5703125" style="111" customWidth="1"/>
    <col min="7929" max="8163" width="8.85546875" style="111"/>
    <col min="8164" max="8164" width="19.140625" style="111" customWidth="1"/>
    <col min="8165" max="8165" width="10.7109375" style="111" customWidth="1"/>
    <col min="8166" max="8170" width="8.7109375" style="111" customWidth="1"/>
    <col min="8171" max="8171" width="9.85546875" style="111" customWidth="1"/>
    <col min="8172" max="8172" width="12.28515625" style="111" customWidth="1"/>
    <col min="8173" max="8173" width="8.85546875" style="111" customWidth="1"/>
    <col min="8174" max="8174" width="15.7109375" style="111" customWidth="1"/>
    <col min="8175" max="8183" width="8.85546875" style="111"/>
    <col min="8184" max="8184" width="14.5703125" style="111" customWidth="1"/>
    <col min="8185" max="8419" width="8.85546875" style="111"/>
    <col min="8420" max="8420" width="19.140625" style="111" customWidth="1"/>
    <col min="8421" max="8421" width="10.7109375" style="111" customWidth="1"/>
    <col min="8422" max="8426" width="8.7109375" style="111" customWidth="1"/>
    <col min="8427" max="8427" width="9.85546875" style="111" customWidth="1"/>
    <col min="8428" max="8428" width="12.28515625" style="111" customWidth="1"/>
    <col min="8429" max="8429" width="8.85546875" style="111" customWidth="1"/>
    <col min="8430" max="8430" width="15.7109375" style="111" customWidth="1"/>
    <col min="8431" max="8439" width="8.85546875" style="111"/>
    <col min="8440" max="8440" width="14.5703125" style="111" customWidth="1"/>
    <col min="8441" max="8675" width="8.85546875" style="111"/>
    <col min="8676" max="8676" width="19.140625" style="111" customWidth="1"/>
    <col min="8677" max="8677" width="10.7109375" style="111" customWidth="1"/>
    <col min="8678" max="8682" width="8.7109375" style="111" customWidth="1"/>
    <col min="8683" max="8683" width="9.85546875" style="111" customWidth="1"/>
    <col min="8684" max="8684" width="12.28515625" style="111" customWidth="1"/>
    <col min="8685" max="8685" width="8.85546875" style="111" customWidth="1"/>
    <col min="8686" max="8686" width="15.7109375" style="111" customWidth="1"/>
    <col min="8687" max="8695" width="8.85546875" style="111"/>
    <col min="8696" max="8696" width="14.5703125" style="111" customWidth="1"/>
    <col min="8697" max="8931" width="8.85546875" style="111"/>
    <col min="8932" max="8932" width="19.140625" style="111" customWidth="1"/>
    <col min="8933" max="8933" width="10.7109375" style="111" customWidth="1"/>
    <col min="8934" max="8938" width="8.7109375" style="111" customWidth="1"/>
    <col min="8939" max="8939" width="9.85546875" style="111" customWidth="1"/>
    <col min="8940" max="8940" width="12.28515625" style="111" customWidth="1"/>
    <col min="8941" max="8941" width="8.85546875" style="111" customWidth="1"/>
    <col min="8942" max="8942" width="15.7109375" style="111" customWidth="1"/>
    <col min="8943" max="8951" width="8.85546875" style="111"/>
    <col min="8952" max="8952" width="14.5703125" style="111" customWidth="1"/>
    <col min="8953" max="9187" width="8.85546875" style="111"/>
    <col min="9188" max="9188" width="19.140625" style="111" customWidth="1"/>
    <col min="9189" max="9189" width="10.7109375" style="111" customWidth="1"/>
    <col min="9190" max="9194" width="8.7109375" style="111" customWidth="1"/>
    <col min="9195" max="9195" width="9.85546875" style="111" customWidth="1"/>
    <col min="9196" max="9196" width="12.28515625" style="111" customWidth="1"/>
    <col min="9197" max="9197" width="8.85546875" style="111" customWidth="1"/>
    <col min="9198" max="9198" width="15.7109375" style="111" customWidth="1"/>
    <col min="9199" max="9207" width="8.85546875" style="111"/>
    <col min="9208" max="9208" width="14.5703125" style="111" customWidth="1"/>
    <col min="9209" max="9443" width="8.85546875" style="111"/>
    <col min="9444" max="9444" width="19.140625" style="111" customWidth="1"/>
    <col min="9445" max="9445" width="10.7109375" style="111" customWidth="1"/>
    <col min="9446" max="9450" width="8.7109375" style="111" customWidth="1"/>
    <col min="9451" max="9451" width="9.85546875" style="111" customWidth="1"/>
    <col min="9452" max="9452" width="12.28515625" style="111" customWidth="1"/>
    <col min="9453" max="9453" width="8.85546875" style="111" customWidth="1"/>
    <col min="9454" max="9454" width="15.7109375" style="111" customWidth="1"/>
    <col min="9455" max="9463" width="8.85546875" style="111"/>
    <col min="9464" max="9464" width="14.5703125" style="111" customWidth="1"/>
    <col min="9465" max="9699" width="8.85546875" style="111"/>
    <col min="9700" max="9700" width="19.140625" style="111" customWidth="1"/>
    <col min="9701" max="9701" width="10.7109375" style="111" customWidth="1"/>
    <col min="9702" max="9706" width="8.7109375" style="111" customWidth="1"/>
    <col min="9707" max="9707" width="9.85546875" style="111" customWidth="1"/>
    <col min="9708" max="9708" width="12.28515625" style="111" customWidth="1"/>
    <col min="9709" max="9709" width="8.85546875" style="111" customWidth="1"/>
    <col min="9710" max="9710" width="15.7109375" style="111" customWidth="1"/>
    <col min="9711" max="9719" width="8.85546875" style="111"/>
    <col min="9720" max="9720" width="14.5703125" style="111" customWidth="1"/>
    <col min="9721" max="9955" width="8.85546875" style="111"/>
    <col min="9956" max="9956" width="19.140625" style="111" customWidth="1"/>
    <col min="9957" max="9957" width="10.7109375" style="111" customWidth="1"/>
    <col min="9958" max="9962" width="8.7109375" style="111" customWidth="1"/>
    <col min="9963" max="9963" width="9.85546875" style="111" customWidth="1"/>
    <col min="9964" max="9964" width="12.28515625" style="111" customWidth="1"/>
    <col min="9965" max="9965" width="8.85546875" style="111" customWidth="1"/>
    <col min="9966" max="9966" width="15.7109375" style="111" customWidth="1"/>
    <col min="9967" max="9975" width="8.85546875" style="111"/>
    <col min="9976" max="9976" width="14.5703125" style="111" customWidth="1"/>
    <col min="9977" max="10211" width="8.85546875" style="111"/>
    <col min="10212" max="10212" width="19.140625" style="111" customWidth="1"/>
    <col min="10213" max="10213" width="10.7109375" style="111" customWidth="1"/>
    <col min="10214" max="10218" width="8.7109375" style="111" customWidth="1"/>
    <col min="10219" max="10219" width="9.85546875" style="111" customWidth="1"/>
    <col min="10220" max="10220" width="12.28515625" style="111" customWidth="1"/>
    <col min="10221" max="10221" width="8.85546875" style="111" customWidth="1"/>
    <col min="10222" max="10222" width="15.7109375" style="111" customWidth="1"/>
    <col min="10223" max="10231" width="8.85546875" style="111"/>
    <col min="10232" max="10232" width="14.5703125" style="111" customWidth="1"/>
    <col min="10233" max="10467" width="8.85546875" style="111"/>
    <col min="10468" max="10468" width="19.140625" style="111" customWidth="1"/>
    <col min="10469" max="10469" width="10.7109375" style="111" customWidth="1"/>
    <col min="10470" max="10474" width="8.7109375" style="111" customWidth="1"/>
    <col min="10475" max="10475" width="9.85546875" style="111" customWidth="1"/>
    <col min="10476" max="10476" width="12.28515625" style="111" customWidth="1"/>
    <col min="10477" max="10477" width="8.85546875" style="111" customWidth="1"/>
    <col min="10478" max="10478" width="15.7109375" style="111" customWidth="1"/>
    <col min="10479" max="10487" width="8.85546875" style="111"/>
    <col min="10488" max="10488" width="14.5703125" style="111" customWidth="1"/>
    <col min="10489" max="10723" width="8.85546875" style="111"/>
    <col min="10724" max="10724" width="19.140625" style="111" customWidth="1"/>
    <col min="10725" max="10725" width="10.7109375" style="111" customWidth="1"/>
    <col min="10726" max="10730" width="8.7109375" style="111" customWidth="1"/>
    <col min="10731" max="10731" width="9.85546875" style="111" customWidth="1"/>
    <col min="10732" max="10732" width="12.28515625" style="111" customWidth="1"/>
    <col min="10733" max="10733" width="8.85546875" style="111" customWidth="1"/>
    <col min="10734" max="10734" width="15.7109375" style="111" customWidth="1"/>
    <col min="10735" max="10743" width="8.85546875" style="111"/>
    <col min="10744" max="10744" width="14.5703125" style="111" customWidth="1"/>
    <col min="10745" max="10979" width="8.85546875" style="111"/>
    <col min="10980" max="10980" width="19.140625" style="111" customWidth="1"/>
    <col min="10981" max="10981" width="10.7109375" style="111" customWidth="1"/>
    <col min="10982" max="10986" width="8.7109375" style="111" customWidth="1"/>
    <col min="10987" max="10987" width="9.85546875" style="111" customWidth="1"/>
    <col min="10988" max="10988" width="12.28515625" style="111" customWidth="1"/>
    <col min="10989" max="10989" width="8.85546875" style="111" customWidth="1"/>
    <col min="10990" max="10990" width="15.7109375" style="111" customWidth="1"/>
    <col min="10991" max="10999" width="8.85546875" style="111"/>
    <col min="11000" max="11000" width="14.5703125" style="111" customWidth="1"/>
    <col min="11001" max="11235" width="8.85546875" style="111"/>
    <col min="11236" max="11236" width="19.140625" style="111" customWidth="1"/>
    <col min="11237" max="11237" width="10.7109375" style="111" customWidth="1"/>
    <col min="11238" max="11242" width="8.7109375" style="111" customWidth="1"/>
    <col min="11243" max="11243" width="9.85546875" style="111" customWidth="1"/>
    <col min="11244" max="11244" width="12.28515625" style="111" customWidth="1"/>
    <col min="11245" max="11245" width="8.85546875" style="111" customWidth="1"/>
    <col min="11246" max="11246" width="15.7109375" style="111" customWidth="1"/>
    <col min="11247" max="11255" width="8.85546875" style="111"/>
    <col min="11256" max="11256" width="14.5703125" style="111" customWidth="1"/>
    <col min="11257" max="11491" width="8.85546875" style="111"/>
    <col min="11492" max="11492" width="19.140625" style="111" customWidth="1"/>
    <col min="11493" max="11493" width="10.7109375" style="111" customWidth="1"/>
    <col min="11494" max="11498" width="8.7109375" style="111" customWidth="1"/>
    <col min="11499" max="11499" width="9.85546875" style="111" customWidth="1"/>
    <col min="11500" max="11500" width="12.28515625" style="111" customWidth="1"/>
    <col min="11501" max="11501" width="8.85546875" style="111" customWidth="1"/>
    <col min="11502" max="11502" width="15.7109375" style="111" customWidth="1"/>
    <col min="11503" max="11511" width="8.85546875" style="111"/>
    <col min="11512" max="11512" width="14.5703125" style="111" customWidth="1"/>
    <col min="11513" max="11747" width="8.85546875" style="111"/>
    <col min="11748" max="11748" width="19.140625" style="111" customWidth="1"/>
    <col min="11749" max="11749" width="10.7109375" style="111" customWidth="1"/>
    <col min="11750" max="11754" width="8.7109375" style="111" customWidth="1"/>
    <col min="11755" max="11755" width="9.85546875" style="111" customWidth="1"/>
    <col min="11756" max="11756" width="12.28515625" style="111" customWidth="1"/>
    <col min="11757" max="11757" width="8.85546875" style="111" customWidth="1"/>
    <col min="11758" max="11758" width="15.7109375" style="111" customWidth="1"/>
    <col min="11759" max="11767" width="8.85546875" style="111"/>
    <col min="11768" max="11768" width="14.5703125" style="111" customWidth="1"/>
    <col min="11769" max="12003" width="8.85546875" style="111"/>
    <col min="12004" max="12004" width="19.140625" style="111" customWidth="1"/>
    <col min="12005" max="12005" width="10.7109375" style="111" customWidth="1"/>
    <col min="12006" max="12010" width="8.7109375" style="111" customWidth="1"/>
    <col min="12011" max="12011" width="9.85546875" style="111" customWidth="1"/>
    <col min="12012" max="12012" width="12.28515625" style="111" customWidth="1"/>
    <col min="12013" max="12013" width="8.85546875" style="111" customWidth="1"/>
    <col min="12014" max="12014" width="15.7109375" style="111" customWidth="1"/>
    <col min="12015" max="12023" width="8.85546875" style="111"/>
    <col min="12024" max="12024" width="14.5703125" style="111" customWidth="1"/>
    <col min="12025" max="12259" width="8.85546875" style="111"/>
    <col min="12260" max="12260" width="19.140625" style="111" customWidth="1"/>
    <col min="12261" max="12261" width="10.7109375" style="111" customWidth="1"/>
    <col min="12262" max="12266" width="8.7109375" style="111" customWidth="1"/>
    <col min="12267" max="12267" width="9.85546875" style="111" customWidth="1"/>
    <col min="12268" max="12268" width="12.28515625" style="111" customWidth="1"/>
    <col min="12269" max="12269" width="8.85546875" style="111" customWidth="1"/>
    <col min="12270" max="12270" width="15.7109375" style="111" customWidth="1"/>
    <col min="12271" max="12279" width="8.85546875" style="111"/>
    <col min="12280" max="12280" width="14.5703125" style="111" customWidth="1"/>
    <col min="12281" max="12515" width="8.85546875" style="111"/>
    <col min="12516" max="12516" width="19.140625" style="111" customWidth="1"/>
    <col min="12517" max="12517" width="10.7109375" style="111" customWidth="1"/>
    <col min="12518" max="12522" width="8.7109375" style="111" customWidth="1"/>
    <col min="12523" max="12523" width="9.85546875" style="111" customWidth="1"/>
    <col min="12524" max="12524" width="12.28515625" style="111" customWidth="1"/>
    <col min="12525" max="12525" width="8.85546875" style="111" customWidth="1"/>
    <col min="12526" max="12526" width="15.7109375" style="111" customWidth="1"/>
    <col min="12527" max="12535" width="8.85546875" style="111"/>
    <col min="12536" max="12536" width="14.5703125" style="111" customWidth="1"/>
    <col min="12537" max="12771" width="8.85546875" style="111"/>
    <col min="12772" max="12772" width="19.140625" style="111" customWidth="1"/>
    <col min="12773" max="12773" width="10.7109375" style="111" customWidth="1"/>
    <col min="12774" max="12778" width="8.7109375" style="111" customWidth="1"/>
    <col min="12779" max="12779" width="9.85546875" style="111" customWidth="1"/>
    <col min="12780" max="12780" width="12.28515625" style="111" customWidth="1"/>
    <col min="12781" max="12781" width="8.85546875" style="111" customWidth="1"/>
    <col min="12782" max="12782" width="15.7109375" style="111" customWidth="1"/>
    <col min="12783" max="12791" width="8.85546875" style="111"/>
    <col min="12792" max="12792" width="14.5703125" style="111" customWidth="1"/>
    <col min="12793" max="13027" width="8.85546875" style="111"/>
    <col min="13028" max="13028" width="19.140625" style="111" customWidth="1"/>
    <col min="13029" max="13029" width="10.7109375" style="111" customWidth="1"/>
    <col min="13030" max="13034" width="8.7109375" style="111" customWidth="1"/>
    <col min="13035" max="13035" width="9.85546875" style="111" customWidth="1"/>
    <col min="13036" max="13036" width="12.28515625" style="111" customWidth="1"/>
    <col min="13037" max="13037" width="8.85546875" style="111" customWidth="1"/>
    <col min="13038" max="13038" width="15.7109375" style="111" customWidth="1"/>
    <col min="13039" max="13047" width="8.85546875" style="111"/>
    <col min="13048" max="13048" width="14.5703125" style="111" customWidth="1"/>
    <col min="13049" max="13283" width="8.85546875" style="111"/>
    <col min="13284" max="13284" width="19.140625" style="111" customWidth="1"/>
    <col min="13285" max="13285" width="10.7109375" style="111" customWidth="1"/>
    <col min="13286" max="13290" width="8.7109375" style="111" customWidth="1"/>
    <col min="13291" max="13291" width="9.85546875" style="111" customWidth="1"/>
    <col min="13292" max="13292" width="12.28515625" style="111" customWidth="1"/>
    <col min="13293" max="13293" width="8.85546875" style="111" customWidth="1"/>
    <col min="13294" max="13294" width="15.7109375" style="111" customWidth="1"/>
    <col min="13295" max="13303" width="8.85546875" style="111"/>
    <col min="13304" max="13304" width="14.5703125" style="111" customWidth="1"/>
    <col min="13305" max="13539" width="8.85546875" style="111"/>
    <col min="13540" max="13540" width="19.140625" style="111" customWidth="1"/>
    <col min="13541" max="13541" width="10.7109375" style="111" customWidth="1"/>
    <col min="13542" max="13546" width="8.7109375" style="111" customWidth="1"/>
    <col min="13547" max="13547" width="9.85546875" style="111" customWidth="1"/>
    <col min="13548" max="13548" width="12.28515625" style="111" customWidth="1"/>
    <col min="13549" max="13549" width="8.85546875" style="111" customWidth="1"/>
    <col min="13550" max="13550" width="15.7109375" style="111" customWidth="1"/>
    <col min="13551" max="13559" width="8.85546875" style="111"/>
    <col min="13560" max="13560" width="14.5703125" style="111" customWidth="1"/>
    <col min="13561" max="13795" width="8.85546875" style="111"/>
    <col min="13796" max="13796" width="19.140625" style="111" customWidth="1"/>
    <col min="13797" max="13797" width="10.7109375" style="111" customWidth="1"/>
    <col min="13798" max="13802" width="8.7109375" style="111" customWidth="1"/>
    <col min="13803" max="13803" width="9.85546875" style="111" customWidth="1"/>
    <col min="13804" max="13804" width="12.28515625" style="111" customWidth="1"/>
    <col min="13805" max="13805" width="8.85546875" style="111" customWidth="1"/>
    <col min="13806" max="13806" width="15.7109375" style="111" customWidth="1"/>
    <col min="13807" max="13815" width="8.85546875" style="111"/>
    <col min="13816" max="13816" width="14.5703125" style="111" customWidth="1"/>
    <col min="13817" max="14051" width="8.85546875" style="111"/>
    <col min="14052" max="14052" width="19.140625" style="111" customWidth="1"/>
    <col min="14053" max="14053" width="10.7109375" style="111" customWidth="1"/>
    <col min="14054" max="14058" width="8.7109375" style="111" customWidth="1"/>
    <col min="14059" max="14059" width="9.85546875" style="111" customWidth="1"/>
    <col min="14060" max="14060" width="12.28515625" style="111" customWidth="1"/>
    <col min="14061" max="14061" width="8.85546875" style="111" customWidth="1"/>
    <col min="14062" max="14062" width="15.7109375" style="111" customWidth="1"/>
    <col min="14063" max="14071" width="8.85546875" style="111"/>
    <col min="14072" max="14072" width="14.5703125" style="111" customWidth="1"/>
    <col min="14073" max="14307" width="8.85546875" style="111"/>
    <col min="14308" max="14308" width="19.140625" style="111" customWidth="1"/>
    <col min="14309" max="14309" width="10.7109375" style="111" customWidth="1"/>
    <col min="14310" max="14314" width="8.7109375" style="111" customWidth="1"/>
    <col min="14315" max="14315" width="9.85546875" style="111" customWidth="1"/>
    <col min="14316" max="14316" width="12.28515625" style="111" customWidth="1"/>
    <col min="14317" max="14317" width="8.85546875" style="111" customWidth="1"/>
    <col min="14318" max="14318" width="15.7109375" style="111" customWidth="1"/>
    <col min="14319" max="14327" width="8.85546875" style="111"/>
    <col min="14328" max="14328" width="14.5703125" style="111" customWidth="1"/>
    <col min="14329" max="14563" width="8.85546875" style="111"/>
    <col min="14564" max="14564" width="19.140625" style="111" customWidth="1"/>
    <col min="14565" max="14565" width="10.7109375" style="111" customWidth="1"/>
    <col min="14566" max="14570" width="8.7109375" style="111" customWidth="1"/>
    <col min="14571" max="14571" width="9.85546875" style="111" customWidth="1"/>
    <col min="14572" max="14572" width="12.28515625" style="111" customWidth="1"/>
    <col min="14573" max="14573" width="8.85546875" style="111" customWidth="1"/>
    <col min="14574" max="14574" width="15.7109375" style="111" customWidth="1"/>
    <col min="14575" max="14583" width="8.85546875" style="111"/>
    <col min="14584" max="14584" width="14.5703125" style="111" customWidth="1"/>
    <col min="14585" max="14819" width="8.85546875" style="111"/>
    <col min="14820" max="14820" width="19.140625" style="111" customWidth="1"/>
    <col min="14821" max="14821" width="10.7109375" style="111" customWidth="1"/>
    <col min="14822" max="14826" width="8.7109375" style="111" customWidth="1"/>
    <col min="14827" max="14827" width="9.85546875" style="111" customWidth="1"/>
    <col min="14828" max="14828" width="12.28515625" style="111" customWidth="1"/>
    <col min="14829" max="14829" width="8.85546875" style="111" customWidth="1"/>
    <col min="14830" max="14830" width="15.7109375" style="111" customWidth="1"/>
    <col min="14831" max="14839" width="8.85546875" style="111"/>
    <col min="14840" max="14840" width="14.5703125" style="111" customWidth="1"/>
    <col min="14841" max="15075" width="8.85546875" style="111"/>
    <col min="15076" max="15076" width="19.140625" style="111" customWidth="1"/>
    <col min="15077" max="15077" width="10.7109375" style="111" customWidth="1"/>
    <col min="15078" max="15082" width="8.7109375" style="111" customWidth="1"/>
    <col min="15083" max="15083" width="9.85546875" style="111" customWidth="1"/>
    <col min="15084" max="15084" width="12.28515625" style="111" customWidth="1"/>
    <col min="15085" max="15085" width="8.85546875" style="111" customWidth="1"/>
    <col min="15086" max="15086" width="15.7109375" style="111" customWidth="1"/>
    <col min="15087" max="15095" width="8.85546875" style="111"/>
    <col min="15096" max="15096" width="14.5703125" style="111" customWidth="1"/>
    <col min="15097" max="15331" width="8.85546875" style="111"/>
    <col min="15332" max="15332" width="19.140625" style="111" customWidth="1"/>
    <col min="15333" max="15333" width="10.7109375" style="111" customWidth="1"/>
    <col min="15334" max="15338" width="8.7109375" style="111" customWidth="1"/>
    <col min="15339" max="15339" width="9.85546875" style="111" customWidth="1"/>
    <col min="15340" max="15340" width="12.28515625" style="111" customWidth="1"/>
    <col min="15341" max="15341" width="8.85546875" style="111" customWidth="1"/>
    <col min="15342" max="15342" width="15.7109375" style="111" customWidth="1"/>
    <col min="15343" max="15351" width="8.85546875" style="111"/>
    <col min="15352" max="15352" width="14.5703125" style="111" customWidth="1"/>
    <col min="15353" max="15587" width="8.85546875" style="111"/>
    <col min="15588" max="15588" width="19.140625" style="111" customWidth="1"/>
    <col min="15589" max="15589" width="10.7109375" style="111" customWidth="1"/>
    <col min="15590" max="15594" width="8.7109375" style="111" customWidth="1"/>
    <col min="15595" max="15595" width="9.85546875" style="111" customWidth="1"/>
    <col min="15596" max="15596" width="12.28515625" style="111" customWidth="1"/>
    <col min="15597" max="15597" width="8.85546875" style="111" customWidth="1"/>
    <col min="15598" max="15598" width="15.7109375" style="111" customWidth="1"/>
    <col min="15599" max="15607" width="8.85546875" style="111"/>
    <col min="15608" max="15608" width="14.5703125" style="111" customWidth="1"/>
    <col min="15609" max="15843" width="8.85546875" style="111"/>
    <col min="15844" max="15844" width="19.140625" style="111" customWidth="1"/>
    <col min="15845" max="15845" width="10.7109375" style="111" customWidth="1"/>
    <col min="15846" max="15850" width="8.7109375" style="111" customWidth="1"/>
    <col min="15851" max="15851" width="9.85546875" style="111" customWidth="1"/>
    <col min="15852" max="15852" width="12.28515625" style="111" customWidth="1"/>
    <col min="15853" max="15853" width="8.85546875" style="111" customWidth="1"/>
    <col min="15854" max="15854" width="15.7109375" style="111" customWidth="1"/>
    <col min="15855" max="15863" width="8.85546875" style="111"/>
    <col min="15864" max="15864" width="14.5703125" style="111" customWidth="1"/>
    <col min="15865" max="16099" width="8.85546875" style="111"/>
    <col min="16100" max="16100" width="19.140625" style="111" customWidth="1"/>
    <col min="16101" max="16101" width="10.7109375" style="111" customWidth="1"/>
    <col min="16102" max="16106" width="8.7109375" style="111" customWidth="1"/>
    <col min="16107" max="16107" width="9.85546875" style="111" customWidth="1"/>
    <col min="16108" max="16108" width="12.28515625" style="111" customWidth="1"/>
    <col min="16109" max="16109" width="8.85546875" style="111" customWidth="1"/>
    <col min="16110" max="16110" width="15.7109375" style="111" customWidth="1"/>
    <col min="16111" max="16119" width="8.85546875" style="111"/>
    <col min="16120" max="16120" width="14.5703125" style="111" customWidth="1"/>
    <col min="16121" max="16355" width="8.85546875" style="111"/>
    <col min="16356" max="16384" width="9.140625" style="111" customWidth="1"/>
  </cols>
  <sheetData>
    <row r="1" spans="1:221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1"/>
      <c r="CO1" s="391"/>
      <c r="CP1" s="391"/>
      <c r="CQ1" s="391"/>
      <c r="CR1" s="391"/>
      <c r="CS1" s="391"/>
      <c r="CT1" s="391"/>
      <c r="CU1" s="391"/>
      <c r="CV1" s="391"/>
      <c r="CW1" s="391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1"/>
      <c r="GU1" s="391"/>
      <c r="GV1" s="391"/>
      <c r="GW1" s="391"/>
      <c r="GX1" s="391"/>
      <c r="GY1" s="391"/>
      <c r="GZ1" s="391"/>
      <c r="HA1" s="391"/>
      <c r="HB1" s="391"/>
      <c r="HC1" s="391"/>
      <c r="HD1" s="389"/>
      <c r="HE1" s="389"/>
      <c r="HF1" s="389"/>
      <c r="HG1" s="389"/>
      <c r="HH1" s="389"/>
      <c r="HI1" s="389"/>
      <c r="HJ1" s="389"/>
      <c r="HK1" s="389"/>
      <c r="HL1" s="389"/>
      <c r="HM1" s="389"/>
    </row>
    <row r="2" spans="1:221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1"/>
      <c r="CO2" s="391"/>
      <c r="CP2" s="391"/>
      <c r="CQ2" s="391"/>
      <c r="CR2" s="391"/>
      <c r="CS2" s="391"/>
      <c r="CT2" s="391"/>
      <c r="CU2" s="391"/>
      <c r="CV2" s="391"/>
      <c r="CW2" s="391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GJ2" s="390"/>
      <c r="GK2" s="390"/>
      <c r="GL2" s="390"/>
      <c r="GM2" s="390"/>
      <c r="GN2" s="390"/>
      <c r="GO2" s="390"/>
      <c r="GP2" s="390"/>
      <c r="GQ2" s="390"/>
      <c r="GR2" s="390"/>
      <c r="GS2" s="390"/>
      <c r="GT2" s="391"/>
      <c r="GU2" s="391"/>
      <c r="GV2" s="391"/>
      <c r="GW2" s="391"/>
      <c r="GX2" s="391"/>
      <c r="GY2" s="391"/>
      <c r="GZ2" s="391"/>
      <c r="HA2" s="391"/>
      <c r="HB2" s="391"/>
      <c r="HC2" s="391"/>
      <c r="HD2" s="389"/>
      <c r="HE2" s="389"/>
      <c r="HF2" s="389"/>
      <c r="HG2" s="389"/>
      <c r="HH2" s="389"/>
      <c r="HI2" s="389"/>
      <c r="HJ2" s="389"/>
      <c r="HK2" s="389"/>
      <c r="HL2" s="389"/>
      <c r="HM2" s="389"/>
    </row>
    <row r="3" spans="1:221" ht="12.75" x14ac:dyDescent="0.2">
      <c r="A3" s="382" t="s">
        <v>44</v>
      </c>
      <c r="B3" s="382"/>
      <c r="C3" s="382"/>
      <c r="D3" s="382"/>
      <c r="E3" s="382"/>
      <c r="F3" s="382"/>
      <c r="G3" s="382"/>
      <c r="H3" s="382"/>
      <c r="I3" s="382"/>
      <c r="J3" s="382"/>
      <c r="CD3" s="387"/>
      <c r="CE3" s="387"/>
      <c r="CF3" s="387"/>
      <c r="CG3" s="387"/>
      <c r="CH3" s="387"/>
      <c r="CI3" s="387"/>
      <c r="CJ3" s="387"/>
      <c r="CK3" s="387"/>
      <c r="CL3" s="387"/>
      <c r="CM3" s="387"/>
      <c r="CN3" s="388"/>
      <c r="CO3" s="388"/>
      <c r="CP3" s="388"/>
      <c r="CQ3" s="388"/>
      <c r="CR3" s="388"/>
      <c r="CS3" s="388"/>
      <c r="CT3" s="388"/>
      <c r="CU3" s="388"/>
      <c r="CV3" s="388"/>
      <c r="CW3" s="388"/>
      <c r="CX3" s="381"/>
      <c r="CY3" s="381"/>
      <c r="CZ3" s="381"/>
      <c r="DA3" s="381"/>
      <c r="DB3" s="381"/>
      <c r="DC3" s="381"/>
      <c r="DD3" s="381"/>
      <c r="DE3" s="381"/>
      <c r="DF3" s="381"/>
      <c r="DG3" s="381"/>
      <c r="GJ3" s="387"/>
      <c r="GK3" s="387"/>
      <c r="GL3" s="387"/>
      <c r="GM3" s="387"/>
      <c r="GN3" s="387"/>
      <c r="GO3" s="387"/>
      <c r="GP3" s="387"/>
      <c r="GQ3" s="387"/>
      <c r="GR3" s="387"/>
      <c r="GS3" s="387"/>
      <c r="GT3" s="388"/>
      <c r="GU3" s="388"/>
      <c r="GV3" s="388"/>
      <c r="GW3" s="388"/>
      <c r="GX3" s="388"/>
      <c r="GY3" s="388"/>
      <c r="GZ3" s="388"/>
      <c r="HA3" s="388"/>
      <c r="HB3" s="388"/>
      <c r="HC3" s="388"/>
      <c r="HD3" s="381"/>
      <c r="HE3" s="381"/>
      <c r="HF3" s="381"/>
      <c r="HG3" s="381"/>
      <c r="HH3" s="381"/>
      <c r="HI3" s="381"/>
      <c r="HJ3" s="381"/>
      <c r="HK3" s="381"/>
      <c r="HL3" s="381"/>
      <c r="HM3" s="381"/>
    </row>
    <row r="4" spans="1:221" ht="12.75" x14ac:dyDescent="0.2">
      <c r="A4" s="382" t="s">
        <v>55</v>
      </c>
      <c r="B4" s="382"/>
      <c r="C4" s="382"/>
      <c r="D4" s="382"/>
      <c r="E4" s="382"/>
      <c r="F4" s="382"/>
      <c r="G4" s="382"/>
      <c r="H4" s="382"/>
      <c r="I4" s="382"/>
      <c r="J4" s="382"/>
      <c r="CD4" s="384"/>
      <c r="CE4" s="384"/>
      <c r="CF4" s="384"/>
      <c r="CG4" s="384"/>
      <c r="CH4" s="384"/>
      <c r="CI4" s="384"/>
      <c r="CJ4" s="384"/>
      <c r="CK4" s="384"/>
      <c r="CL4" s="384"/>
      <c r="CM4" s="384"/>
      <c r="CN4" s="385"/>
      <c r="CO4" s="385"/>
      <c r="CP4" s="385"/>
      <c r="CQ4" s="385"/>
      <c r="CR4" s="385"/>
      <c r="CS4" s="385"/>
      <c r="CT4" s="385"/>
      <c r="CU4" s="385"/>
      <c r="CV4" s="385"/>
      <c r="CW4" s="385"/>
      <c r="CX4" s="386"/>
      <c r="CY4" s="386"/>
      <c r="CZ4" s="386"/>
      <c r="DA4" s="386"/>
      <c r="DB4" s="386"/>
      <c r="DC4" s="386"/>
      <c r="DD4" s="386"/>
      <c r="DE4" s="386"/>
      <c r="DF4" s="386"/>
      <c r="DG4" s="386"/>
      <c r="GJ4" s="384"/>
      <c r="GK4" s="384"/>
      <c r="GL4" s="384"/>
      <c r="GM4" s="384"/>
      <c r="GN4" s="384"/>
      <c r="GO4" s="384"/>
      <c r="GP4" s="384"/>
      <c r="GQ4" s="384"/>
      <c r="GR4" s="384"/>
      <c r="GS4" s="384"/>
      <c r="GT4" s="385"/>
      <c r="GU4" s="385"/>
      <c r="GV4" s="385"/>
      <c r="GW4" s="385"/>
      <c r="GX4" s="385"/>
      <c r="GY4" s="385"/>
      <c r="GZ4" s="385"/>
      <c r="HA4" s="385"/>
      <c r="HB4" s="385"/>
      <c r="HC4" s="385"/>
      <c r="HD4" s="386"/>
      <c r="HE4" s="386"/>
      <c r="HF4" s="386"/>
      <c r="HG4" s="386"/>
      <c r="HH4" s="386"/>
      <c r="HI4" s="386"/>
      <c r="HJ4" s="386"/>
      <c r="HK4" s="386"/>
      <c r="HL4" s="386"/>
      <c r="HM4" s="386"/>
    </row>
    <row r="5" spans="1:221" ht="12.75" x14ac:dyDescent="0.2">
      <c r="A5" s="395" t="str">
        <f>'G1to6 SchoolLeaver'!A5</f>
        <v>SY 2022 - 2023</v>
      </c>
      <c r="B5" s="395"/>
      <c r="C5" s="395"/>
      <c r="D5" s="395"/>
      <c r="E5" s="395"/>
      <c r="F5" s="395"/>
      <c r="G5" s="395"/>
      <c r="H5" s="395"/>
      <c r="I5" s="395"/>
      <c r="J5" s="395"/>
      <c r="CD5" s="144"/>
      <c r="CE5" s="144"/>
      <c r="CF5" s="11"/>
      <c r="CG5" s="11"/>
      <c r="CH5" s="11"/>
      <c r="CI5" s="11"/>
      <c r="CJ5" s="11"/>
      <c r="CK5" s="11"/>
      <c r="CL5" s="11"/>
      <c r="CM5" s="147"/>
      <c r="CN5" s="145"/>
      <c r="CO5" s="145"/>
      <c r="CP5" s="148"/>
      <c r="CQ5" s="148"/>
      <c r="CR5" s="148"/>
      <c r="CS5" s="148"/>
      <c r="CT5" s="148"/>
      <c r="CU5" s="148"/>
      <c r="CV5" s="148"/>
      <c r="CW5" s="149"/>
      <c r="CX5" s="146"/>
      <c r="CY5" s="146"/>
      <c r="CZ5" s="150"/>
      <c r="DA5" s="150"/>
      <c r="DB5" s="150"/>
      <c r="DC5" s="150"/>
      <c r="DD5" s="150"/>
      <c r="DE5" s="150"/>
      <c r="DF5" s="150"/>
      <c r="DG5" s="151"/>
      <c r="GJ5" s="144"/>
      <c r="GK5" s="144"/>
      <c r="GL5" s="11"/>
      <c r="GM5" s="11"/>
      <c r="GN5" s="11"/>
      <c r="GO5" s="11"/>
      <c r="GP5" s="11"/>
      <c r="GQ5" s="11"/>
      <c r="GR5" s="11"/>
      <c r="GS5" s="147"/>
      <c r="GT5" s="145"/>
      <c r="GU5" s="145"/>
      <c r="GV5" s="148"/>
      <c r="GW5" s="148"/>
      <c r="GX5" s="148"/>
      <c r="GY5" s="148"/>
      <c r="GZ5" s="148"/>
      <c r="HA5" s="148"/>
      <c r="HB5" s="148"/>
      <c r="HC5" s="149"/>
      <c r="HD5" s="146"/>
      <c r="HE5" s="146"/>
      <c r="HF5" s="150"/>
      <c r="HG5" s="150"/>
      <c r="HH5" s="150"/>
      <c r="HI5" s="150"/>
      <c r="HJ5" s="150"/>
      <c r="HK5" s="150"/>
      <c r="HL5" s="150"/>
      <c r="HM5" s="151"/>
    </row>
    <row r="6" spans="1:221" ht="12.75" x14ac:dyDescent="0.2">
      <c r="A6" s="230"/>
      <c r="B6" s="230"/>
      <c r="C6" s="230"/>
      <c r="D6" s="230"/>
      <c r="E6" s="230"/>
      <c r="F6" s="230"/>
      <c r="G6" s="230"/>
      <c r="H6" s="230"/>
      <c r="I6" s="230"/>
      <c r="J6" s="230"/>
      <c r="CD6" s="144"/>
      <c r="CE6" s="144"/>
      <c r="CF6" s="11"/>
      <c r="CG6" s="11"/>
      <c r="CH6" s="11"/>
      <c r="CI6" s="11"/>
      <c r="CJ6" s="11"/>
      <c r="CK6" s="11"/>
      <c r="CL6" s="11"/>
      <c r="CM6" s="147"/>
      <c r="CN6" s="145"/>
      <c r="CO6" s="145"/>
      <c r="CP6" s="148"/>
      <c r="CQ6" s="148"/>
      <c r="CR6" s="148"/>
      <c r="CS6" s="148"/>
      <c r="CT6" s="148"/>
      <c r="CU6" s="148"/>
      <c r="CV6" s="148"/>
      <c r="CW6" s="149"/>
      <c r="CX6" s="146"/>
      <c r="CY6" s="146"/>
      <c r="CZ6" s="150"/>
      <c r="DA6" s="150"/>
      <c r="DB6" s="150"/>
      <c r="DC6" s="150"/>
      <c r="DD6" s="150"/>
      <c r="DE6" s="150"/>
      <c r="DF6" s="150"/>
      <c r="DG6" s="151"/>
      <c r="GJ6" s="144"/>
      <c r="GK6" s="144"/>
      <c r="GL6" s="11"/>
      <c r="GM6" s="11"/>
      <c r="GN6" s="11"/>
      <c r="GO6" s="11"/>
      <c r="GP6" s="11"/>
      <c r="GQ6" s="11"/>
      <c r="GR6" s="11"/>
      <c r="GS6" s="147"/>
      <c r="GT6" s="145"/>
      <c r="GU6" s="145"/>
      <c r="GV6" s="148"/>
      <c r="GW6" s="148"/>
      <c r="GX6" s="148"/>
      <c r="GY6" s="148"/>
      <c r="GZ6" s="148"/>
      <c r="HA6" s="148"/>
      <c r="HB6" s="148"/>
      <c r="HC6" s="149"/>
      <c r="HD6" s="146"/>
      <c r="HE6" s="146"/>
      <c r="HF6" s="150"/>
      <c r="HG6" s="150"/>
      <c r="HH6" s="150"/>
      <c r="HI6" s="150"/>
      <c r="HJ6" s="150"/>
      <c r="HK6" s="150"/>
      <c r="HL6" s="150"/>
      <c r="HM6" s="151"/>
    </row>
    <row r="7" spans="1:221" x14ac:dyDescent="0.2">
      <c r="A7" s="152"/>
      <c r="B7" s="153"/>
      <c r="C7" s="154"/>
      <c r="D7" s="154"/>
      <c r="E7" s="154"/>
      <c r="F7" s="154"/>
      <c r="G7" s="154"/>
      <c r="H7" s="154"/>
      <c r="I7" s="154"/>
      <c r="J7" s="147"/>
      <c r="CD7" s="152"/>
      <c r="CE7" s="153"/>
      <c r="CF7" s="154"/>
      <c r="CG7" s="154"/>
      <c r="CH7" s="154"/>
      <c r="CI7" s="154"/>
      <c r="CJ7" s="154"/>
      <c r="CK7" s="154"/>
      <c r="CL7" s="154"/>
      <c r="CM7" s="147"/>
      <c r="CN7" s="156"/>
      <c r="CO7" s="157"/>
      <c r="CP7" s="158"/>
      <c r="CQ7" s="158"/>
      <c r="CR7" s="158"/>
      <c r="CS7" s="158"/>
      <c r="CT7" s="158"/>
      <c r="CU7" s="158"/>
      <c r="CV7" s="158"/>
      <c r="CW7" s="149"/>
      <c r="CX7" s="159"/>
      <c r="CY7" s="160"/>
      <c r="CZ7" s="161"/>
      <c r="DA7" s="161"/>
      <c r="DB7" s="161"/>
      <c r="DC7" s="161"/>
      <c r="DD7" s="161"/>
      <c r="DE7" s="161"/>
      <c r="DF7" s="161"/>
      <c r="DG7" s="151"/>
      <c r="GJ7" s="152"/>
      <c r="GK7" s="153"/>
      <c r="GL7" s="154"/>
      <c r="GM7" s="154"/>
      <c r="GN7" s="154"/>
      <c r="GO7" s="154"/>
      <c r="GP7" s="154"/>
      <c r="GQ7" s="154"/>
      <c r="GR7" s="154"/>
      <c r="GS7" s="147"/>
      <c r="GT7" s="156"/>
      <c r="GU7" s="157"/>
      <c r="GV7" s="158"/>
      <c r="GW7" s="158"/>
      <c r="GX7" s="158"/>
      <c r="GY7" s="158"/>
      <c r="GZ7" s="158"/>
      <c r="HA7" s="158"/>
      <c r="HB7" s="158"/>
      <c r="HC7" s="149"/>
      <c r="HD7" s="159"/>
      <c r="HE7" s="160"/>
      <c r="HF7" s="161"/>
      <c r="HG7" s="161"/>
      <c r="HH7" s="161"/>
      <c r="HI7" s="161"/>
      <c r="HJ7" s="161"/>
      <c r="HK7" s="161"/>
      <c r="HL7" s="161"/>
      <c r="HM7" s="151"/>
    </row>
    <row r="8" spans="1:221" ht="13.5" thickBot="1" x14ac:dyDescent="0.25">
      <c r="A8" s="25" t="s">
        <v>10</v>
      </c>
      <c r="B8" s="162"/>
      <c r="J8" s="147"/>
      <c r="CD8" s="153"/>
      <c r="CE8" s="153"/>
      <c r="CF8" s="27"/>
      <c r="CG8" s="27"/>
      <c r="CH8" s="27"/>
      <c r="CI8" s="27"/>
      <c r="CJ8" s="27"/>
      <c r="CK8" s="27"/>
      <c r="CL8" s="27"/>
      <c r="CM8" s="147"/>
      <c r="CN8" s="157"/>
      <c r="CO8" s="157"/>
      <c r="CP8" s="163"/>
      <c r="CQ8" s="163"/>
      <c r="CR8" s="163"/>
      <c r="CS8" s="163"/>
      <c r="CT8" s="163"/>
      <c r="CU8" s="163"/>
      <c r="CV8" s="163"/>
      <c r="CW8" s="149"/>
      <c r="CX8" s="160"/>
      <c r="CY8" s="160"/>
      <c r="CZ8" s="164"/>
      <c r="DA8" s="164"/>
      <c r="DB8" s="164"/>
      <c r="DC8" s="164"/>
      <c r="DD8" s="164"/>
      <c r="DE8" s="164"/>
      <c r="DF8" s="164"/>
      <c r="DG8" s="151"/>
      <c r="GJ8" s="153"/>
      <c r="GK8" s="153"/>
      <c r="GL8" s="27"/>
      <c r="GM8" s="27"/>
      <c r="GN8" s="27"/>
      <c r="GO8" s="27"/>
      <c r="GP8" s="27"/>
      <c r="GQ8" s="27"/>
      <c r="GR8" s="27"/>
      <c r="GS8" s="147"/>
      <c r="GT8" s="157"/>
      <c r="GU8" s="157"/>
      <c r="GV8" s="163"/>
      <c r="GW8" s="163"/>
      <c r="GX8" s="163"/>
      <c r="GY8" s="163"/>
      <c r="GZ8" s="163"/>
      <c r="HA8" s="163"/>
      <c r="HB8" s="163"/>
      <c r="HC8" s="149"/>
      <c r="HD8" s="160"/>
      <c r="HE8" s="160"/>
      <c r="HF8" s="164"/>
      <c r="HG8" s="164"/>
      <c r="HH8" s="164"/>
      <c r="HI8" s="164"/>
      <c r="HJ8" s="164"/>
      <c r="HK8" s="164"/>
      <c r="HL8" s="164"/>
      <c r="HM8" s="151"/>
    </row>
    <row r="9" spans="1:221" ht="15.75" thickBot="1" x14ac:dyDescent="0.3">
      <c r="J9" s="147"/>
      <c r="K9" s="245"/>
    </row>
    <row r="10" spans="1:221" x14ac:dyDescent="0.2">
      <c r="A10" s="31" t="s">
        <v>30</v>
      </c>
      <c r="B10" s="372" t="s">
        <v>11</v>
      </c>
      <c r="C10" s="168" t="s">
        <v>19</v>
      </c>
      <c r="D10" s="166" t="s">
        <v>20</v>
      </c>
      <c r="E10" s="166" t="s">
        <v>21</v>
      </c>
      <c r="F10" s="166" t="s">
        <v>22</v>
      </c>
      <c r="G10" s="166" t="s">
        <v>23</v>
      </c>
      <c r="H10" s="166" t="s">
        <v>56</v>
      </c>
      <c r="I10" s="168" t="s">
        <v>46</v>
      </c>
      <c r="J10" s="232" t="s">
        <v>31</v>
      </c>
      <c r="K10" s="115"/>
      <c r="L10" s="115"/>
      <c r="M10" s="115"/>
      <c r="N10" s="115"/>
      <c r="O10" s="115"/>
      <c r="P10" s="115"/>
      <c r="Q10" s="115"/>
      <c r="R10" s="246"/>
    </row>
    <row r="11" spans="1:221" ht="12" thickBot="1" x14ac:dyDescent="0.25">
      <c r="A11" s="112"/>
      <c r="B11" s="373"/>
      <c r="C11" s="38"/>
      <c r="D11" s="39"/>
      <c r="E11" s="39"/>
      <c r="F11" s="39"/>
      <c r="G11" s="39"/>
      <c r="H11" s="39" t="s">
        <v>25</v>
      </c>
      <c r="I11" s="39" t="s">
        <v>25</v>
      </c>
      <c r="J11" s="233" t="s">
        <v>32</v>
      </c>
      <c r="K11" s="115"/>
      <c r="L11" s="115"/>
      <c r="M11" s="115"/>
      <c r="N11" s="115"/>
      <c r="O11" s="115"/>
      <c r="P11" s="115"/>
      <c r="Q11" s="115"/>
      <c r="R11" s="246"/>
    </row>
    <row r="12" spans="1:221" x14ac:dyDescent="0.2">
      <c r="A12" s="74" t="s">
        <v>33</v>
      </c>
      <c r="B12" s="75" t="s">
        <v>2</v>
      </c>
      <c r="C12" s="221">
        <v>0.98008518475883499</v>
      </c>
      <c r="D12" s="222">
        <v>0.9847994825355757</v>
      </c>
      <c r="E12" s="222">
        <v>0.98658670450590347</v>
      </c>
      <c r="F12" s="222">
        <v>0.98902485869505574</v>
      </c>
      <c r="G12" s="222">
        <v>0.98957085476710593</v>
      </c>
      <c r="H12" s="223">
        <v>0.99140442058369982</v>
      </c>
      <c r="I12" s="221">
        <v>0.98685647975062751</v>
      </c>
      <c r="J12" s="234">
        <v>1.0077298616761596</v>
      </c>
      <c r="K12" s="181"/>
      <c r="L12" s="181"/>
      <c r="M12" s="181"/>
      <c r="N12" s="181"/>
      <c r="O12" s="181"/>
      <c r="P12" s="181"/>
      <c r="Q12" s="181"/>
      <c r="R12" s="171"/>
    </row>
    <row r="13" spans="1:221" x14ac:dyDescent="0.2">
      <c r="A13" s="3"/>
      <c r="B13" s="82" t="s">
        <v>1</v>
      </c>
      <c r="C13" s="131">
        <v>0.97618783303730017</v>
      </c>
      <c r="D13" s="180">
        <v>0.98102647338669058</v>
      </c>
      <c r="E13" s="180">
        <v>0.98356589147286821</v>
      </c>
      <c r="F13" s="180">
        <v>0.98536193029490615</v>
      </c>
      <c r="G13" s="180">
        <v>0.98642082140717569</v>
      </c>
      <c r="H13" s="130">
        <v>0.98713214725299314</v>
      </c>
      <c r="I13" s="131">
        <v>0.98319999999999996</v>
      </c>
      <c r="J13" s="235"/>
      <c r="K13" s="181"/>
      <c r="L13" s="181"/>
      <c r="M13" s="181"/>
      <c r="N13" s="181"/>
      <c r="O13" s="181"/>
      <c r="P13" s="181"/>
      <c r="Q13" s="181"/>
      <c r="R13" s="171"/>
    </row>
    <row r="14" spans="1:221" ht="12" thickBot="1" x14ac:dyDescent="0.25">
      <c r="A14" s="58"/>
      <c r="B14" s="85" t="s">
        <v>0</v>
      </c>
      <c r="C14" s="136">
        <v>0.98428161606502507</v>
      </c>
      <c r="D14" s="182">
        <v>0.98897491483431399</v>
      </c>
      <c r="E14" s="182">
        <v>0.98983389811677125</v>
      </c>
      <c r="F14" s="182">
        <v>0.99286356484603278</v>
      </c>
      <c r="G14" s="182">
        <v>0.99311325698031294</v>
      </c>
      <c r="H14" s="135">
        <v>0.99585860942603821</v>
      </c>
      <c r="I14" s="136">
        <v>0.99080000000000001</v>
      </c>
      <c r="J14" s="236"/>
      <c r="K14" s="181"/>
      <c r="L14" s="181"/>
      <c r="M14" s="181"/>
      <c r="N14" s="181"/>
      <c r="O14" s="181"/>
      <c r="P14" s="181"/>
      <c r="Q14" s="181"/>
      <c r="R14" s="171"/>
    </row>
    <row r="15" spans="1:221" ht="10.15" customHeight="1" x14ac:dyDescent="0.2">
      <c r="A15" s="74" t="s">
        <v>34</v>
      </c>
      <c r="B15" s="75" t="s">
        <v>2</v>
      </c>
      <c r="C15" s="221">
        <v>0.9730215827338129</v>
      </c>
      <c r="D15" s="222">
        <v>0.97257724283409852</v>
      </c>
      <c r="E15" s="222">
        <v>0.97958619163531757</v>
      </c>
      <c r="F15" s="222">
        <v>0.98304488119683187</v>
      </c>
      <c r="G15" s="222">
        <v>0.97863659965877903</v>
      </c>
      <c r="H15" s="223">
        <v>0.98748748748748749</v>
      </c>
      <c r="I15" s="221">
        <v>0.97884805717571677</v>
      </c>
      <c r="J15" s="234">
        <v>1.0163714991762769</v>
      </c>
      <c r="K15" s="181"/>
      <c r="L15" s="181"/>
      <c r="M15" s="181"/>
      <c r="N15" s="181"/>
      <c r="O15" s="181"/>
      <c r="P15" s="181"/>
      <c r="Q15" s="181"/>
      <c r="R15" s="171"/>
    </row>
    <row r="16" spans="1:221" ht="10.15" customHeight="1" x14ac:dyDescent="0.2">
      <c r="A16" s="3"/>
      <c r="B16" s="82" t="s">
        <v>1</v>
      </c>
      <c r="C16" s="131">
        <v>0.96614047128803482</v>
      </c>
      <c r="D16" s="180">
        <v>0.96410315985130113</v>
      </c>
      <c r="E16" s="180">
        <v>0.97183554548397544</v>
      </c>
      <c r="F16" s="180">
        <v>0.97735590118938698</v>
      </c>
      <c r="G16" s="180">
        <v>0.9689791314156796</v>
      </c>
      <c r="H16" s="130">
        <v>0.98013732221677297</v>
      </c>
      <c r="I16" s="131">
        <v>0.97120000000000006</v>
      </c>
      <c r="J16" s="235"/>
      <c r="K16" s="181"/>
      <c r="L16" s="181"/>
      <c r="M16" s="181"/>
      <c r="N16" s="181"/>
      <c r="O16" s="181"/>
      <c r="P16" s="181"/>
      <c r="Q16" s="181"/>
      <c r="R16" s="171"/>
    </row>
    <row r="17" spans="1:18" ht="12" thickBot="1" x14ac:dyDescent="0.25">
      <c r="A17" s="58"/>
      <c r="B17" s="85" t="s">
        <v>0</v>
      </c>
      <c r="C17" s="136">
        <v>0.98059964726631388</v>
      </c>
      <c r="D17" s="182">
        <v>0.98229027962716375</v>
      </c>
      <c r="E17" s="182">
        <v>0.98773981155636281</v>
      </c>
      <c r="F17" s="182">
        <v>0.98903746536561865</v>
      </c>
      <c r="G17" s="182">
        <v>0.98935670683988108</v>
      </c>
      <c r="H17" s="135">
        <v>0.99374041900868681</v>
      </c>
      <c r="I17" s="136">
        <v>0.98710000000000009</v>
      </c>
      <c r="J17" s="236"/>
      <c r="K17" s="181"/>
      <c r="L17" s="181"/>
      <c r="M17" s="181"/>
      <c r="N17" s="181"/>
      <c r="O17" s="181"/>
      <c r="P17" s="181"/>
      <c r="Q17" s="181"/>
      <c r="R17" s="171"/>
    </row>
    <row r="18" spans="1:18" x14ac:dyDescent="0.2">
      <c r="A18" s="74" t="s">
        <v>35</v>
      </c>
      <c r="B18" s="75" t="s">
        <v>2</v>
      </c>
      <c r="C18" s="221">
        <v>0.98792535675082327</v>
      </c>
      <c r="D18" s="222">
        <v>0.99100539676194288</v>
      </c>
      <c r="E18" s="222">
        <v>0.98561029287286273</v>
      </c>
      <c r="F18" s="222">
        <v>0.98874113475177305</v>
      </c>
      <c r="G18" s="222">
        <v>0.98927613941018766</v>
      </c>
      <c r="H18" s="223">
        <v>0.9965759939128781</v>
      </c>
      <c r="I18" s="221">
        <v>0.9898667771545131</v>
      </c>
      <c r="J18" s="234">
        <v>1.0061828501925805</v>
      </c>
      <c r="K18" s="181"/>
      <c r="L18" s="181"/>
      <c r="M18" s="181"/>
      <c r="N18" s="181"/>
      <c r="O18" s="181"/>
      <c r="P18" s="181"/>
      <c r="Q18" s="181"/>
      <c r="R18" s="171"/>
    </row>
    <row r="19" spans="1:18" x14ac:dyDescent="0.2">
      <c r="A19" s="3"/>
      <c r="B19" s="82" t="s">
        <v>1</v>
      </c>
      <c r="C19" s="131">
        <v>0.98272823405005283</v>
      </c>
      <c r="D19" s="180">
        <v>0.98944988696307457</v>
      </c>
      <c r="E19" s="180">
        <v>0.98360101437024516</v>
      </c>
      <c r="F19" s="180">
        <v>0.98358132375577223</v>
      </c>
      <c r="G19" s="180">
        <v>0.98561151079136688</v>
      </c>
      <c r="H19" s="130">
        <v>0.99502945508100149</v>
      </c>
      <c r="I19" s="131">
        <v>0.98660000000000003</v>
      </c>
      <c r="J19" s="235"/>
      <c r="K19" s="181"/>
      <c r="L19" s="181"/>
      <c r="M19" s="181"/>
      <c r="N19" s="181"/>
      <c r="O19" s="181"/>
      <c r="P19" s="181"/>
      <c r="Q19" s="181"/>
      <c r="R19" s="171"/>
    </row>
    <row r="20" spans="1:18" ht="12" thickBot="1" x14ac:dyDescent="0.25">
      <c r="A20" s="58"/>
      <c r="B20" s="85" t="s">
        <v>0</v>
      </c>
      <c r="C20" s="136">
        <v>0.99353366298972989</v>
      </c>
      <c r="D20" s="182">
        <v>0.988931460195828</v>
      </c>
      <c r="E20" s="182">
        <v>0.98762502119003226</v>
      </c>
      <c r="F20" s="182">
        <v>0.99429412847413956</v>
      </c>
      <c r="G20" s="182">
        <v>0.99332820118039522</v>
      </c>
      <c r="H20" s="135">
        <v>0.99822904368358911</v>
      </c>
      <c r="I20" s="136">
        <v>0.99270000000000003</v>
      </c>
      <c r="J20" s="236"/>
      <c r="K20" s="181"/>
      <c r="L20" s="181"/>
      <c r="M20" s="181"/>
      <c r="N20" s="181"/>
      <c r="O20" s="181"/>
      <c r="P20" s="181"/>
      <c r="Q20" s="181"/>
      <c r="R20" s="171"/>
    </row>
    <row r="21" spans="1:18" x14ac:dyDescent="0.2">
      <c r="A21" s="74" t="s">
        <v>36</v>
      </c>
      <c r="B21" s="75" t="s">
        <v>2</v>
      </c>
      <c r="C21" s="221">
        <v>0.97952661539997998</v>
      </c>
      <c r="D21" s="222">
        <v>0.98386599527283936</v>
      </c>
      <c r="E21" s="222">
        <v>0.9848240538746087</v>
      </c>
      <c r="F21" s="222">
        <v>0.98955310504933258</v>
      </c>
      <c r="G21" s="222">
        <v>0.98851537265223111</v>
      </c>
      <c r="H21" s="223">
        <v>0.99158858603066435</v>
      </c>
      <c r="I21" s="221">
        <v>0.98621008633685081</v>
      </c>
      <c r="J21" s="234">
        <v>1.0088594704684317</v>
      </c>
      <c r="K21" s="181"/>
      <c r="L21" s="181"/>
      <c r="M21" s="181"/>
      <c r="N21" s="181"/>
      <c r="O21" s="181"/>
      <c r="P21" s="181"/>
      <c r="Q21" s="181"/>
      <c r="R21" s="171"/>
    </row>
    <row r="22" spans="1:18" x14ac:dyDescent="0.2">
      <c r="A22" s="3"/>
      <c r="B22" s="82" t="s">
        <v>1</v>
      </c>
      <c r="C22" s="131">
        <v>0.97481253605075946</v>
      </c>
      <c r="D22" s="180">
        <v>0.98048399687743948</v>
      </c>
      <c r="E22" s="180">
        <v>0.98080753213833061</v>
      </c>
      <c r="F22" s="180">
        <v>0.98394105422255806</v>
      </c>
      <c r="G22" s="180">
        <v>0.98424101969872535</v>
      </c>
      <c r="H22" s="130">
        <v>0.98843809123397097</v>
      </c>
      <c r="I22" s="131">
        <v>0.98199999999999998</v>
      </c>
      <c r="J22" s="235"/>
      <c r="K22" s="181"/>
      <c r="L22" s="181"/>
      <c r="M22" s="181"/>
      <c r="N22" s="181"/>
      <c r="O22" s="181"/>
      <c r="P22" s="181"/>
      <c r="Q22" s="181"/>
      <c r="R22" s="171"/>
    </row>
    <row r="23" spans="1:18" ht="12" thickBot="1" x14ac:dyDescent="0.25">
      <c r="A23" s="58"/>
      <c r="B23" s="85" t="s">
        <v>0</v>
      </c>
      <c r="C23" s="136">
        <v>0.98462177888611802</v>
      </c>
      <c r="D23" s="182">
        <v>0.9876275233340569</v>
      </c>
      <c r="E23" s="182">
        <v>0.9892430278884462</v>
      </c>
      <c r="F23" s="182">
        <v>0.99544103072348855</v>
      </c>
      <c r="G23" s="182">
        <v>0.99307616221562811</v>
      </c>
      <c r="H23" s="135">
        <v>0.99460625674217906</v>
      </c>
      <c r="I23" s="136">
        <v>0.99070000000000003</v>
      </c>
      <c r="J23" s="236"/>
      <c r="K23" s="181"/>
      <c r="L23" s="181"/>
      <c r="M23" s="181"/>
      <c r="N23" s="181"/>
      <c r="O23" s="181"/>
      <c r="P23" s="181"/>
      <c r="Q23" s="181"/>
      <c r="R23" s="171"/>
    </row>
    <row r="24" spans="1:18" x14ac:dyDescent="0.2">
      <c r="A24" s="74" t="s">
        <v>37</v>
      </c>
      <c r="B24" s="75" t="s">
        <v>2</v>
      </c>
      <c r="C24" s="221">
        <v>0.96836142580823437</v>
      </c>
      <c r="D24" s="222">
        <v>0.97050147492625372</v>
      </c>
      <c r="E24" s="222">
        <v>0.9773413897280967</v>
      </c>
      <c r="F24" s="222">
        <v>0.97995606809445357</v>
      </c>
      <c r="G24" s="222">
        <v>0.95526272978688787</v>
      </c>
      <c r="H24" s="223">
        <v>0.98347722536469184</v>
      </c>
      <c r="I24" s="221">
        <v>0.97234250283480905</v>
      </c>
      <c r="J24" s="234">
        <v>1.0187856772184742</v>
      </c>
      <c r="K24" s="181"/>
      <c r="L24" s="181"/>
      <c r="M24" s="181"/>
      <c r="N24" s="181"/>
      <c r="O24" s="181"/>
      <c r="P24" s="181"/>
      <c r="Q24" s="181"/>
      <c r="R24" s="171"/>
    </row>
    <row r="25" spans="1:18" x14ac:dyDescent="0.2">
      <c r="A25" s="3"/>
      <c r="B25" s="82" t="s">
        <v>1</v>
      </c>
      <c r="C25" s="131">
        <v>0.96330029466916689</v>
      </c>
      <c r="D25" s="180">
        <v>0.96167832167832168</v>
      </c>
      <c r="E25" s="180">
        <v>0.96912114014251782</v>
      </c>
      <c r="F25" s="180">
        <v>0.97094759706760791</v>
      </c>
      <c r="G25" s="180">
        <v>0.94191130543410373</v>
      </c>
      <c r="H25" s="130">
        <v>0.97503714710252598</v>
      </c>
      <c r="I25" s="131">
        <v>0.96350000000000002</v>
      </c>
      <c r="J25" s="235"/>
      <c r="K25" s="181"/>
      <c r="L25" s="181"/>
      <c r="M25" s="181"/>
      <c r="N25" s="181"/>
      <c r="O25" s="181"/>
      <c r="P25" s="181"/>
      <c r="Q25" s="181"/>
      <c r="R25" s="171"/>
    </row>
    <row r="26" spans="1:18" ht="12" thickBot="1" x14ac:dyDescent="0.25">
      <c r="A26" s="58"/>
      <c r="B26" s="85" t="s">
        <v>0</v>
      </c>
      <c r="C26" s="136">
        <v>0.97375178316690447</v>
      </c>
      <c r="D26" s="182">
        <v>0.98034321372854916</v>
      </c>
      <c r="E26" s="182">
        <v>0.98625823074720875</v>
      </c>
      <c r="F26" s="182">
        <v>0.98916967509025266</v>
      </c>
      <c r="G26" s="182">
        <v>0.96977928692699489</v>
      </c>
      <c r="H26" s="135">
        <v>0.99045630778407401</v>
      </c>
      <c r="I26" s="136">
        <v>0.98160000000000003</v>
      </c>
      <c r="J26" s="236"/>
      <c r="K26" s="181"/>
      <c r="L26" s="181"/>
      <c r="M26" s="181"/>
      <c r="N26" s="181"/>
      <c r="O26" s="181"/>
      <c r="P26" s="181"/>
      <c r="Q26" s="181"/>
      <c r="R26" s="171"/>
    </row>
    <row r="27" spans="1:18" x14ac:dyDescent="0.2">
      <c r="A27" s="74" t="s">
        <v>38</v>
      </c>
      <c r="B27" s="75" t="s">
        <v>2</v>
      </c>
      <c r="C27" s="221">
        <v>0.9697834645669291</v>
      </c>
      <c r="D27" s="222">
        <v>0.97172469309720266</v>
      </c>
      <c r="E27" s="222">
        <v>0.97632923876983768</v>
      </c>
      <c r="F27" s="222">
        <v>0.97952830188679241</v>
      </c>
      <c r="G27" s="222">
        <v>0.96324037796727358</v>
      </c>
      <c r="H27" s="223">
        <v>0.97489928726371244</v>
      </c>
      <c r="I27" s="221">
        <v>0.97239473509383823</v>
      </c>
      <c r="J27" s="234">
        <v>1.0320235963341409</v>
      </c>
      <c r="K27" s="247"/>
      <c r="L27" s="247"/>
      <c r="M27" s="247"/>
      <c r="N27" s="247"/>
      <c r="O27" s="247"/>
      <c r="P27" s="247"/>
      <c r="Q27" s="247"/>
      <c r="R27" s="248"/>
    </row>
    <row r="28" spans="1:18" ht="12" x14ac:dyDescent="0.2">
      <c r="A28" s="127"/>
      <c r="B28" s="82" t="s">
        <v>1</v>
      </c>
      <c r="C28" s="131">
        <v>0.94205360513401282</v>
      </c>
      <c r="D28" s="180">
        <v>0.94749626307922274</v>
      </c>
      <c r="E28" s="180">
        <v>0.95441201864962877</v>
      </c>
      <c r="F28" s="180">
        <v>0.96030729833546735</v>
      </c>
      <c r="G28" s="180">
        <v>0.93608521970705727</v>
      </c>
      <c r="H28" s="130">
        <v>0.95809716599190287</v>
      </c>
      <c r="I28" s="131">
        <v>0.94930000000000003</v>
      </c>
      <c r="J28" s="235"/>
      <c r="K28" s="247"/>
      <c r="L28" s="247"/>
      <c r="M28" s="247"/>
      <c r="N28" s="247"/>
      <c r="O28" s="247"/>
      <c r="P28" s="247"/>
      <c r="Q28" s="247"/>
      <c r="R28" s="248"/>
    </row>
    <row r="29" spans="1:18" ht="12" thickBot="1" x14ac:dyDescent="0.25">
      <c r="A29" s="58"/>
      <c r="B29" s="85" t="s">
        <v>0</v>
      </c>
      <c r="C29" s="136">
        <v>0.96544631838749484</v>
      </c>
      <c r="D29" s="182">
        <v>0.97579590056694288</v>
      </c>
      <c r="E29" s="182">
        <v>0.97799328608728087</v>
      </c>
      <c r="F29" s="182">
        <v>0.98480420806545876</v>
      </c>
      <c r="G29" s="182">
        <v>0.98346116970278041</v>
      </c>
      <c r="H29" s="135">
        <v>0.99198481333052102</v>
      </c>
      <c r="I29" s="136">
        <v>0.97970000000000002</v>
      </c>
      <c r="J29" s="236"/>
      <c r="K29" s="247"/>
      <c r="L29" s="247"/>
      <c r="M29" s="247"/>
      <c r="N29" s="247"/>
      <c r="O29" s="247"/>
      <c r="P29" s="247"/>
      <c r="Q29" s="247"/>
      <c r="R29" s="248"/>
    </row>
    <row r="30" spans="1:18" x14ac:dyDescent="0.2">
      <c r="A30" s="74" t="s">
        <v>39</v>
      </c>
      <c r="B30" s="75" t="s">
        <v>2</v>
      </c>
      <c r="C30" s="221">
        <v>0.9945115257958288</v>
      </c>
      <c r="D30" s="222">
        <v>0.99592312172393704</v>
      </c>
      <c r="E30" s="222">
        <v>0.99294532627865961</v>
      </c>
      <c r="F30" s="222">
        <v>0.99577429778772064</v>
      </c>
      <c r="G30" s="222">
        <v>0.99746995572422514</v>
      </c>
      <c r="H30" s="223">
        <v>0.99743297204791781</v>
      </c>
      <c r="I30" s="221">
        <v>0.9955837703560585</v>
      </c>
      <c r="J30" s="234">
        <v>1.0086531609487936</v>
      </c>
      <c r="K30" s="181"/>
      <c r="L30" s="181"/>
      <c r="M30" s="181"/>
      <c r="N30" s="181"/>
      <c r="O30" s="181"/>
      <c r="P30" s="181"/>
      <c r="Q30" s="181"/>
      <c r="R30" s="171"/>
    </row>
    <row r="31" spans="1:18" x14ac:dyDescent="0.2">
      <c r="A31" s="3"/>
      <c r="B31" s="82" t="s">
        <v>1</v>
      </c>
      <c r="C31" s="131">
        <v>0.9838709677419355</v>
      </c>
      <c r="D31" s="180">
        <v>0.98190789473684215</v>
      </c>
      <c r="E31" s="180">
        <v>0.9742593491986401</v>
      </c>
      <c r="F31" s="180">
        <v>0.98145506419400852</v>
      </c>
      <c r="G31" s="180">
        <v>0.9794648413192284</v>
      </c>
      <c r="H31" s="130">
        <v>0.99374644684479818</v>
      </c>
      <c r="I31" s="131">
        <v>0.98229999999999995</v>
      </c>
      <c r="J31" s="235"/>
      <c r="K31" s="181"/>
      <c r="L31" s="181"/>
      <c r="M31" s="181"/>
      <c r="N31" s="181"/>
      <c r="O31" s="181"/>
      <c r="P31" s="181"/>
      <c r="Q31" s="181"/>
      <c r="R31" s="171"/>
    </row>
    <row r="32" spans="1:18" ht="12" thickBot="1" x14ac:dyDescent="0.25">
      <c r="A32" s="58"/>
      <c r="B32" s="85" t="s">
        <v>0</v>
      </c>
      <c r="C32" s="136">
        <v>0.98838559814169569</v>
      </c>
      <c r="D32" s="182">
        <v>0.99130434782608701</v>
      </c>
      <c r="E32" s="182">
        <v>0.98534031413612566</v>
      </c>
      <c r="F32" s="182">
        <v>0.99114583333333328</v>
      </c>
      <c r="G32" s="182">
        <v>0.9948553054662379</v>
      </c>
      <c r="H32" s="135">
        <v>0.99484831139095597</v>
      </c>
      <c r="I32" s="136">
        <v>0.99080000000000001</v>
      </c>
      <c r="J32" s="236"/>
      <c r="K32" s="181"/>
      <c r="L32" s="181"/>
      <c r="M32" s="181"/>
      <c r="N32" s="181"/>
      <c r="O32" s="181"/>
      <c r="P32" s="181"/>
      <c r="Q32" s="181"/>
      <c r="R32" s="171"/>
    </row>
    <row r="33" spans="1:18" ht="10.15" customHeight="1" x14ac:dyDescent="0.2">
      <c r="A33" s="74" t="s">
        <v>40</v>
      </c>
      <c r="B33" s="75" t="s">
        <v>2</v>
      </c>
      <c r="C33" s="221">
        <v>0.96254980079681274</v>
      </c>
      <c r="D33" s="222">
        <v>0.96132151490733275</v>
      </c>
      <c r="E33" s="222">
        <v>0.95975702353834469</v>
      </c>
      <c r="F33" s="222">
        <v>0.98050914876690531</v>
      </c>
      <c r="G33" s="222">
        <v>0.98128078817733988</v>
      </c>
      <c r="H33" s="223">
        <v>0.97437011294526499</v>
      </c>
      <c r="I33" s="221">
        <v>0.96941663902708675</v>
      </c>
      <c r="J33" s="234">
        <v>1.0249530173313846</v>
      </c>
      <c r="K33" s="181"/>
      <c r="L33" s="181"/>
      <c r="M33" s="181"/>
      <c r="N33" s="181"/>
      <c r="O33" s="181"/>
      <c r="P33" s="181"/>
      <c r="Q33" s="181"/>
      <c r="R33" s="171"/>
    </row>
    <row r="34" spans="1:18" ht="10.15" customHeight="1" x14ac:dyDescent="0.2">
      <c r="A34" s="3"/>
      <c r="B34" s="82" t="s">
        <v>1</v>
      </c>
      <c r="C34" s="131">
        <v>0.95603576751117736</v>
      </c>
      <c r="D34" s="180">
        <v>0.94607087827426806</v>
      </c>
      <c r="E34" s="180">
        <v>0.94399410464259392</v>
      </c>
      <c r="F34" s="180">
        <v>0.97511664074650073</v>
      </c>
      <c r="G34" s="180">
        <v>0.96808510638297873</v>
      </c>
      <c r="H34" s="130">
        <v>0.96197061365600689</v>
      </c>
      <c r="I34" s="131">
        <v>0.95779999999999998</v>
      </c>
      <c r="J34" s="235"/>
      <c r="K34" s="181"/>
      <c r="L34" s="181"/>
      <c r="M34" s="181"/>
      <c r="N34" s="181"/>
      <c r="O34" s="181"/>
      <c r="P34" s="181"/>
      <c r="Q34" s="181"/>
      <c r="R34" s="171"/>
    </row>
    <row r="35" spans="1:18" ht="12" thickBot="1" x14ac:dyDescent="0.25">
      <c r="A35" s="58"/>
      <c r="B35" s="85" t="s">
        <v>0</v>
      </c>
      <c r="C35" s="136">
        <v>0.97003424657534243</v>
      </c>
      <c r="D35" s="182">
        <v>0.97804054054054057</v>
      </c>
      <c r="E35" s="182">
        <v>0.97650743931088491</v>
      </c>
      <c r="F35" s="182">
        <v>0.98615635179153094</v>
      </c>
      <c r="G35" s="182">
        <v>0.99497991967871491</v>
      </c>
      <c r="H35" s="135">
        <v>0.98689956331877726</v>
      </c>
      <c r="I35" s="136">
        <v>0.98170000000000002</v>
      </c>
      <c r="J35" s="236"/>
      <c r="K35" s="181"/>
      <c r="L35" s="181"/>
      <c r="M35" s="181"/>
      <c r="N35" s="181"/>
      <c r="O35" s="181"/>
      <c r="P35" s="181"/>
      <c r="Q35" s="181"/>
      <c r="R35" s="171"/>
    </row>
    <row r="36" spans="1:18" x14ac:dyDescent="0.2">
      <c r="A36" s="74" t="s">
        <v>41</v>
      </c>
      <c r="B36" s="75" t="s">
        <v>2</v>
      </c>
      <c r="C36" s="221">
        <v>0.94877764842840517</v>
      </c>
      <c r="D36" s="222">
        <v>0.94548651817116058</v>
      </c>
      <c r="E36" s="222">
        <v>0.95224274406332454</v>
      </c>
      <c r="F36" s="222">
        <v>0.95914396887159536</v>
      </c>
      <c r="G36" s="222">
        <v>0.9663807890222984</v>
      </c>
      <c r="H36" s="223">
        <v>0.9644765796919208</v>
      </c>
      <c r="I36" s="221">
        <v>0.95556275821365344</v>
      </c>
      <c r="J36" s="234">
        <v>1.0376332622601281</v>
      </c>
      <c r="K36" s="247"/>
      <c r="L36" s="247"/>
      <c r="M36" s="247"/>
      <c r="N36" s="247"/>
      <c r="O36" s="247"/>
      <c r="P36" s="247"/>
      <c r="Q36" s="247"/>
      <c r="R36" s="248"/>
    </row>
    <row r="37" spans="1:18" ht="12" x14ac:dyDescent="0.2">
      <c r="A37" s="127"/>
      <c r="B37" s="82" t="s">
        <v>1</v>
      </c>
      <c r="C37" s="131">
        <v>0.93458980044345896</v>
      </c>
      <c r="D37" s="180">
        <v>0.92731402612152181</v>
      </c>
      <c r="E37" s="180">
        <v>0.93743641912512721</v>
      </c>
      <c r="F37" s="180">
        <v>0.94009458749343144</v>
      </c>
      <c r="G37" s="180">
        <v>0.93974358974358974</v>
      </c>
      <c r="H37" s="130">
        <v>0.95189416716776909</v>
      </c>
      <c r="I37" s="131">
        <v>0.93799999999999994</v>
      </c>
      <c r="J37" s="235"/>
      <c r="K37" s="247"/>
      <c r="L37" s="247"/>
      <c r="M37" s="247"/>
      <c r="N37" s="247"/>
      <c r="O37" s="247"/>
      <c r="P37" s="247"/>
      <c r="Q37" s="247"/>
      <c r="R37" s="248"/>
    </row>
    <row r="38" spans="1:18" ht="12" thickBot="1" x14ac:dyDescent="0.25">
      <c r="A38" s="58"/>
      <c r="B38" s="85" t="s">
        <v>0</v>
      </c>
      <c r="C38" s="136">
        <v>0.96446078431372551</v>
      </c>
      <c r="D38" s="182">
        <v>0.96486977589339795</v>
      </c>
      <c r="E38" s="182">
        <v>0.9682017543859649</v>
      </c>
      <c r="F38" s="182">
        <v>0.98053097345132745</v>
      </c>
      <c r="G38" s="182">
        <v>0.98671586715867154</v>
      </c>
      <c r="H38" s="135">
        <v>0.97826086956521741</v>
      </c>
      <c r="I38" s="136">
        <v>0.97330000000000005</v>
      </c>
      <c r="J38" s="236"/>
      <c r="K38" s="247"/>
      <c r="L38" s="247"/>
      <c r="M38" s="247"/>
      <c r="N38" s="247"/>
      <c r="O38" s="247"/>
      <c r="P38" s="247"/>
      <c r="Q38" s="247"/>
      <c r="R38" s="248"/>
    </row>
    <row r="39" spans="1:18" x14ac:dyDescent="0.2">
      <c r="A39" s="74" t="s">
        <v>42</v>
      </c>
      <c r="B39" s="75" t="s">
        <v>2</v>
      </c>
      <c r="C39" s="221">
        <v>0.99210587415834683</v>
      </c>
      <c r="D39" s="222">
        <v>0.99412772204551014</v>
      </c>
      <c r="E39" s="222">
        <v>0.99617102744096997</v>
      </c>
      <c r="F39" s="222">
        <v>0.99546485260770978</v>
      </c>
      <c r="G39" s="222">
        <v>0.99319542732716382</v>
      </c>
      <c r="H39" s="223">
        <v>0.99590262713906963</v>
      </c>
      <c r="I39" s="221">
        <v>0.99455148452305753</v>
      </c>
      <c r="J39" s="234">
        <v>1.0053573233599515</v>
      </c>
      <c r="K39" s="181"/>
      <c r="L39" s="181"/>
      <c r="M39" s="181"/>
      <c r="N39" s="181"/>
      <c r="O39" s="181"/>
      <c r="P39" s="181"/>
      <c r="Q39" s="181"/>
      <c r="R39" s="171"/>
    </row>
    <row r="40" spans="1:18" x14ac:dyDescent="0.2">
      <c r="A40" s="3"/>
      <c r="B40" s="82" t="s">
        <v>1</v>
      </c>
      <c r="C40" s="131">
        <v>0.9845384265575261</v>
      </c>
      <c r="D40" s="180">
        <v>0.98886827458256032</v>
      </c>
      <c r="E40" s="180">
        <v>0.99219427580225494</v>
      </c>
      <c r="F40" s="180">
        <v>0.99118554429263994</v>
      </c>
      <c r="G40" s="180">
        <v>0.98657357679914071</v>
      </c>
      <c r="H40" s="130">
        <v>0.99204119850187267</v>
      </c>
      <c r="I40" s="131">
        <v>0.98929999999999996</v>
      </c>
      <c r="J40" s="235"/>
      <c r="K40" s="181"/>
      <c r="L40" s="181"/>
      <c r="M40" s="181"/>
      <c r="N40" s="181"/>
      <c r="O40" s="181"/>
      <c r="P40" s="181"/>
      <c r="Q40" s="181"/>
      <c r="R40" s="171"/>
    </row>
    <row r="41" spans="1:18" ht="12" thickBot="1" x14ac:dyDescent="0.25">
      <c r="A41" s="58"/>
      <c r="B41" s="85" t="s">
        <v>0</v>
      </c>
      <c r="C41" s="136">
        <v>0.9890891840607211</v>
      </c>
      <c r="D41" s="182">
        <v>0.99274987053340236</v>
      </c>
      <c r="E41" s="182">
        <v>0.99498956158663887</v>
      </c>
      <c r="F41" s="182">
        <v>0.99673049976646422</v>
      </c>
      <c r="G41" s="182">
        <v>0.99668874172185429</v>
      </c>
      <c r="H41" s="135">
        <v>0.99751614505712871</v>
      </c>
      <c r="I41" s="136">
        <v>0.99460000000000004</v>
      </c>
      <c r="J41" s="236"/>
      <c r="K41" s="181"/>
      <c r="L41" s="181"/>
      <c r="M41" s="181"/>
      <c r="N41" s="181"/>
      <c r="O41" s="181"/>
      <c r="P41" s="181"/>
      <c r="Q41" s="181"/>
      <c r="R41" s="171"/>
    </row>
    <row r="42" spans="1:18" x14ac:dyDescent="0.2">
      <c r="A42" s="74" t="s">
        <v>43</v>
      </c>
      <c r="B42" s="75" t="s">
        <v>2</v>
      </c>
      <c r="C42" s="221">
        <v>0.98992624572764887</v>
      </c>
      <c r="D42" s="222">
        <v>0.99342225470491508</v>
      </c>
      <c r="E42" s="222">
        <v>0.99356329427298229</v>
      </c>
      <c r="F42" s="222">
        <v>0.99530201342281877</v>
      </c>
      <c r="G42" s="222">
        <v>0.99493414387031409</v>
      </c>
      <c r="H42" s="223">
        <v>0.99288564983515526</v>
      </c>
      <c r="I42" s="221">
        <v>0.99334796290260452</v>
      </c>
      <c r="J42" s="234">
        <v>1.0076405867970659</v>
      </c>
      <c r="K42" s="181"/>
      <c r="L42" s="181"/>
      <c r="M42" s="181"/>
      <c r="N42" s="181"/>
      <c r="O42" s="181"/>
      <c r="P42" s="181"/>
      <c r="Q42" s="181"/>
      <c r="R42" s="171"/>
    </row>
    <row r="43" spans="1:18" x14ac:dyDescent="0.2">
      <c r="A43" s="3"/>
      <c r="B43" s="82" t="s">
        <v>1</v>
      </c>
      <c r="C43" s="131">
        <v>0.975103734439834</v>
      </c>
      <c r="D43" s="180">
        <v>0.97770811563915017</v>
      </c>
      <c r="E43" s="180">
        <v>0.97985705003248857</v>
      </c>
      <c r="F43" s="180">
        <v>0.98308392973324654</v>
      </c>
      <c r="G43" s="180">
        <v>0.9856422196352348</v>
      </c>
      <c r="H43" s="130">
        <v>0.98848628513376224</v>
      </c>
      <c r="I43" s="131">
        <v>0.98160000000000003</v>
      </c>
      <c r="J43" s="235"/>
      <c r="K43" s="181"/>
      <c r="L43" s="181"/>
      <c r="M43" s="181"/>
      <c r="N43" s="181"/>
      <c r="O43" s="181"/>
      <c r="P43" s="181"/>
      <c r="Q43" s="181"/>
      <c r="R43" s="171"/>
    </row>
    <row r="44" spans="1:18" ht="12" thickBot="1" x14ac:dyDescent="0.25">
      <c r="A44" s="58"/>
      <c r="B44" s="85" t="s">
        <v>0</v>
      </c>
      <c r="C44" s="136">
        <v>0.98012748406449191</v>
      </c>
      <c r="D44" s="182">
        <v>0.98770176787086861</v>
      </c>
      <c r="E44" s="182">
        <v>0.9885944313988595</v>
      </c>
      <c r="F44" s="182">
        <v>0.9923769923769924</v>
      </c>
      <c r="G44" s="182">
        <v>0.99236641221374045</v>
      </c>
      <c r="H44" s="135">
        <v>0.99323843416370106</v>
      </c>
      <c r="I44" s="136">
        <v>0.98909999999999998</v>
      </c>
      <c r="J44" s="236"/>
      <c r="K44" s="181"/>
      <c r="L44" s="181"/>
      <c r="M44" s="181"/>
      <c r="N44" s="181"/>
      <c r="O44" s="181"/>
      <c r="P44" s="181"/>
      <c r="Q44" s="181"/>
      <c r="R44" s="171"/>
    </row>
    <row r="45" spans="1:18" x14ac:dyDescent="0.2">
      <c r="A45" s="88" t="s">
        <v>3</v>
      </c>
      <c r="B45" s="89" t="s">
        <v>2</v>
      </c>
      <c r="C45" s="237">
        <v>0.97557380501158142</v>
      </c>
      <c r="D45" s="238">
        <v>0.97856323419263702</v>
      </c>
      <c r="E45" s="238">
        <v>0.98157141396585212</v>
      </c>
      <c r="F45" s="238">
        <v>0.98525084142451846</v>
      </c>
      <c r="G45" s="238">
        <v>0.98618413008925299</v>
      </c>
      <c r="H45" s="239">
        <v>0.98978419704730336</v>
      </c>
      <c r="I45" s="237">
        <v>0.98271281361658103</v>
      </c>
      <c r="J45" s="240">
        <v>1.0117683176422432</v>
      </c>
      <c r="K45" s="181"/>
      <c r="L45" s="181"/>
      <c r="M45" s="181"/>
      <c r="N45" s="181"/>
      <c r="O45" s="181"/>
      <c r="P45" s="181"/>
      <c r="Q45" s="181"/>
      <c r="R45" s="171"/>
    </row>
    <row r="46" spans="1:18" x14ac:dyDescent="0.2">
      <c r="A46" s="96"/>
      <c r="B46" s="97" t="s">
        <v>1</v>
      </c>
      <c r="C46" s="98">
        <v>0.97018812804674159</v>
      </c>
      <c r="D46" s="99">
        <v>0.97235576923076927</v>
      </c>
      <c r="E46" s="99">
        <v>0.97579510273008729</v>
      </c>
      <c r="F46" s="99">
        <v>0.97961213326703134</v>
      </c>
      <c r="G46" s="99">
        <v>0.98069530868392552</v>
      </c>
      <c r="H46" s="100">
        <v>0.98529303218187181</v>
      </c>
      <c r="I46" s="98">
        <v>0.97719999999999996</v>
      </c>
      <c r="J46" s="241"/>
      <c r="K46" s="181"/>
      <c r="L46" s="181"/>
      <c r="M46" s="181"/>
      <c r="N46" s="181"/>
      <c r="O46" s="181"/>
      <c r="P46" s="181"/>
      <c r="Q46" s="181"/>
      <c r="R46" s="171"/>
    </row>
    <row r="47" spans="1:18" ht="12" thickBot="1" x14ac:dyDescent="0.25">
      <c r="A47" s="103"/>
      <c r="B47" s="104" t="s">
        <v>0</v>
      </c>
      <c r="C47" s="242">
        <v>0.98141363254713376</v>
      </c>
      <c r="D47" s="206">
        <v>0.98552152667457615</v>
      </c>
      <c r="E47" s="206">
        <v>0.98769549419880287</v>
      </c>
      <c r="F47" s="206">
        <v>0.99121042425560446</v>
      </c>
      <c r="G47" s="206">
        <v>0.99221118417984233</v>
      </c>
      <c r="H47" s="243">
        <v>0.99446324207936021</v>
      </c>
      <c r="I47" s="242">
        <v>0.98870000000000002</v>
      </c>
      <c r="J47" s="244"/>
      <c r="K47" s="181"/>
      <c r="L47" s="181"/>
      <c r="M47" s="181"/>
      <c r="N47" s="181"/>
      <c r="O47" s="181"/>
      <c r="P47" s="181"/>
      <c r="Q47" s="181"/>
      <c r="R47" s="171"/>
    </row>
    <row r="48" spans="1:18" x14ac:dyDescent="0.2">
      <c r="J48" s="147"/>
    </row>
  </sheetData>
  <sheetProtection algorithmName="SHA-512" hashValue="uiVKBIfpSsNdsLYmIo13W9t66gqjdn5tylxZ4k6nJk9Va81eM0ojdA8iBa7b19vC4NEL31HJYYCcgDgcZYzjLQ==" saltValue="QGY+rCQhAdksWXu+eko5pQ==" spinCount="100000" sheet="1" objects="1" scenarios="1"/>
  <mergeCells count="30"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  <mergeCell ref="B10:B11"/>
    <mergeCell ref="A5:J5"/>
    <mergeCell ref="HD3:HM3"/>
    <mergeCell ref="A4:J4"/>
    <mergeCell ref="CD4:CM4"/>
    <mergeCell ref="CN4:CW4"/>
    <mergeCell ref="CX4:DG4"/>
    <mergeCell ref="GJ4:GS4"/>
    <mergeCell ref="GT4:HC4"/>
    <mergeCell ref="HD4:HM4"/>
    <mergeCell ref="A3:J3"/>
    <mergeCell ref="CD3:CM3"/>
    <mergeCell ref="CN3:CW3"/>
    <mergeCell ref="CX3:DG3"/>
    <mergeCell ref="GJ3:GS3"/>
    <mergeCell ref="GT3:HC3"/>
  </mergeCells>
  <conditionalFormatting sqref="C5:J6">
    <cfRule type="cellIs" dxfId="13" priority="13" operator="lessThan">
      <formula>0</formula>
    </cfRule>
  </conditionalFormatting>
  <conditionalFormatting sqref="J9:J48">
    <cfRule type="cellIs" dxfId="12" priority="4" operator="lessThan">
      <formula>0</formula>
    </cfRule>
  </conditionalFormatting>
  <conditionalFormatting sqref="R10:R11">
    <cfRule type="cellIs" dxfId="11" priority="16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pageSetUpPr fitToPage="1"/>
  </sheetPr>
  <dimension ref="A1:N48"/>
  <sheetViews>
    <sheetView showGridLines="0" zoomScaleNormal="100" workbookViewId="0">
      <pane xSplit="2" ySplit="8" topLeftCell="C9" activePane="bottomRight" state="frozen"/>
      <selection activeCell="A35" sqref="A35"/>
      <selection pane="topRight" activeCell="A35" sqref="A35"/>
      <selection pane="bottomLeft" activeCell="A35" sqref="A35"/>
      <selection pane="bottomRight" activeCell="B49" sqref="B49:N848"/>
    </sheetView>
  </sheetViews>
  <sheetFormatPr defaultRowHeight="11.25" x14ac:dyDescent="0.2"/>
  <cols>
    <col min="1" max="1" width="42" style="110" customWidth="1"/>
    <col min="2" max="2" width="9.28515625" style="111" customWidth="1"/>
    <col min="3" max="3" width="5.7109375" style="27" bestFit="1" customWidth="1"/>
    <col min="4" max="4" width="6.140625" style="27" bestFit="1" customWidth="1"/>
    <col min="5" max="5" width="6.42578125" style="27" bestFit="1" customWidth="1"/>
    <col min="6" max="6" width="6.7109375" style="27" bestFit="1" customWidth="1"/>
    <col min="7" max="7" width="6.28515625" style="27" bestFit="1" customWidth="1"/>
    <col min="8" max="8" width="6.7109375" style="27" bestFit="1" customWidth="1"/>
    <col min="9" max="9" width="11.85546875" style="27" customWidth="1"/>
    <col min="10" max="10" width="10.140625" style="231" bestFit="1" customWidth="1"/>
    <col min="11" max="14" width="1.7109375" style="111" bestFit="1" customWidth="1"/>
    <col min="15" max="219" width="8.85546875" style="111"/>
    <col min="220" max="220" width="23.85546875" style="111" customWidth="1"/>
    <col min="221" max="221" width="10.7109375" style="111" customWidth="1"/>
    <col min="222" max="227" width="8.7109375" style="111" customWidth="1"/>
    <col min="228" max="228" width="10.85546875" style="111" customWidth="1"/>
    <col min="229" max="229" width="8.85546875" style="111" customWidth="1"/>
    <col min="230" max="230" width="17.85546875" style="111" customWidth="1"/>
    <col min="231" max="239" width="8.85546875" style="111"/>
    <col min="240" max="240" width="21.7109375" style="111" customWidth="1"/>
    <col min="241" max="247" width="8.85546875" style="111"/>
    <col min="248" max="248" width="10" style="111" customWidth="1"/>
    <col min="249" max="475" width="8.85546875" style="111"/>
    <col min="476" max="476" width="23.85546875" style="111" customWidth="1"/>
    <col min="477" max="477" width="10.7109375" style="111" customWidth="1"/>
    <col min="478" max="483" width="8.7109375" style="111" customWidth="1"/>
    <col min="484" max="484" width="10.85546875" style="111" customWidth="1"/>
    <col min="485" max="485" width="8.85546875" style="111" customWidth="1"/>
    <col min="486" max="486" width="17.85546875" style="111" customWidth="1"/>
    <col min="487" max="495" width="8.85546875" style="111"/>
    <col min="496" max="496" width="21.7109375" style="111" customWidth="1"/>
    <col min="497" max="503" width="8.85546875" style="111"/>
    <col min="504" max="504" width="10" style="111" customWidth="1"/>
    <col min="505" max="731" width="8.85546875" style="111"/>
    <col min="732" max="732" width="23.85546875" style="111" customWidth="1"/>
    <col min="733" max="733" width="10.7109375" style="111" customWidth="1"/>
    <col min="734" max="739" width="8.7109375" style="111" customWidth="1"/>
    <col min="740" max="740" width="10.85546875" style="111" customWidth="1"/>
    <col min="741" max="741" width="8.85546875" style="111" customWidth="1"/>
    <col min="742" max="742" width="17.85546875" style="111" customWidth="1"/>
    <col min="743" max="751" width="8.85546875" style="111"/>
    <col min="752" max="752" width="21.7109375" style="111" customWidth="1"/>
    <col min="753" max="759" width="8.85546875" style="111"/>
    <col min="760" max="760" width="10" style="111" customWidth="1"/>
    <col min="761" max="987" width="8.85546875" style="111"/>
    <col min="988" max="988" width="23.85546875" style="111" customWidth="1"/>
    <col min="989" max="989" width="10.7109375" style="111" customWidth="1"/>
    <col min="990" max="995" width="8.7109375" style="111" customWidth="1"/>
    <col min="996" max="996" width="10.85546875" style="111" customWidth="1"/>
    <col min="997" max="997" width="8.85546875" style="111" customWidth="1"/>
    <col min="998" max="998" width="17.85546875" style="111" customWidth="1"/>
    <col min="999" max="1007" width="8.85546875" style="111"/>
    <col min="1008" max="1008" width="21.7109375" style="111" customWidth="1"/>
    <col min="1009" max="1015" width="8.85546875" style="111"/>
    <col min="1016" max="1016" width="10" style="111" customWidth="1"/>
    <col min="1017" max="1243" width="8.85546875" style="111"/>
    <col min="1244" max="1244" width="23.85546875" style="111" customWidth="1"/>
    <col min="1245" max="1245" width="10.7109375" style="111" customWidth="1"/>
    <col min="1246" max="1251" width="8.7109375" style="111" customWidth="1"/>
    <col min="1252" max="1252" width="10.85546875" style="111" customWidth="1"/>
    <col min="1253" max="1253" width="8.85546875" style="111" customWidth="1"/>
    <col min="1254" max="1254" width="17.85546875" style="111" customWidth="1"/>
    <col min="1255" max="1263" width="8.85546875" style="111"/>
    <col min="1264" max="1264" width="21.7109375" style="111" customWidth="1"/>
    <col min="1265" max="1271" width="8.85546875" style="111"/>
    <col min="1272" max="1272" width="10" style="111" customWidth="1"/>
    <col min="1273" max="1499" width="8.85546875" style="111"/>
    <col min="1500" max="1500" width="23.85546875" style="111" customWidth="1"/>
    <col min="1501" max="1501" width="10.7109375" style="111" customWidth="1"/>
    <col min="1502" max="1507" width="8.7109375" style="111" customWidth="1"/>
    <col min="1508" max="1508" width="10.85546875" style="111" customWidth="1"/>
    <col min="1509" max="1509" width="8.85546875" style="111" customWidth="1"/>
    <col min="1510" max="1510" width="17.85546875" style="111" customWidth="1"/>
    <col min="1511" max="1519" width="8.85546875" style="111"/>
    <col min="1520" max="1520" width="21.7109375" style="111" customWidth="1"/>
    <col min="1521" max="1527" width="8.85546875" style="111"/>
    <col min="1528" max="1528" width="10" style="111" customWidth="1"/>
    <col min="1529" max="1755" width="8.85546875" style="111"/>
    <col min="1756" max="1756" width="23.85546875" style="111" customWidth="1"/>
    <col min="1757" max="1757" width="10.7109375" style="111" customWidth="1"/>
    <col min="1758" max="1763" width="8.7109375" style="111" customWidth="1"/>
    <col min="1764" max="1764" width="10.85546875" style="111" customWidth="1"/>
    <col min="1765" max="1765" width="8.85546875" style="111" customWidth="1"/>
    <col min="1766" max="1766" width="17.85546875" style="111" customWidth="1"/>
    <col min="1767" max="1775" width="8.85546875" style="111"/>
    <col min="1776" max="1776" width="21.7109375" style="111" customWidth="1"/>
    <col min="1777" max="1783" width="8.85546875" style="111"/>
    <col min="1784" max="1784" width="10" style="111" customWidth="1"/>
    <col min="1785" max="2011" width="8.85546875" style="111"/>
    <col min="2012" max="2012" width="23.85546875" style="111" customWidth="1"/>
    <col min="2013" max="2013" width="10.7109375" style="111" customWidth="1"/>
    <col min="2014" max="2019" width="8.7109375" style="111" customWidth="1"/>
    <col min="2020" max="2020" width="10.85546875" style="111" customWidth="1"/>
    <col min="2021" max="2021" width="8.85546875" style="111" customWidth="1"/>
    <col min="2022" max="2022" width="17.85546875" style="111" customWidth="1"/>
    <col min="2023" max="2031" width="8.85546875" style="111"/>
    <col min="2032" max="2032" width="21.7109375" style="111" customWidth="1"/>
    <col min="2033" max="2039" width="8.85546875" style="111"/>
    <col min="2040" max="2040" width="10" style="111" customWidth="1"/>
    <col min="2041" max="2267" width="8.85546875" style="111"/>
    <col min="2268" max="2268" width="23.85546875" style="111" customWidth="1"/>
    <col min="2269" max="2269" width="10.7109375" style="111" customWidth="1"/>
    <col min="2270" max="2275" width="8.7109375" style="111" customWidth="1"/>
    <col min="2276" max="2276" width="10.85546875" style="111" customWidth="1"/>
    <col min="2277" max="2277" width="8.85546875" style="111" customWidth="1"/>
    <col min="2278" max="2278" width="17.85546875" style="111" customWidth="1"/>
    <col min="2279" max="2287" width="8.85546875" style="111"/>
    <col min="2288" max="2288" width="21.7109375" style="111" customWidth="1"/>
    <col min="2289" max="2295" width="8.85546875" style="111"/>
    <col min="2296" max="2296" width="10" style="111" customWidth="1"/>
    <col min="2297" max="2523" width="8.85546875" style="111"/>
    <col min="2524" max="2524" width="23.85546875" style="111" customWidth="1"/>
    <col min="2525" max="2525" width="10.7109375" style="111" customWidth="1"/>
    <col min="2526" max="2531" width="8.7109375" style="111" customWidth="1"/>
    <col min="2532" max="2532" width="10.85546875" style="111" customWidth="1"/>
    <col min="2533" max="2533" width="8.85546875" style="111" customWidth="1"/>
    <col min="2534" max="2534" width="17.85546875" style="111" customWidth="1"/>
    <col min="2535" max="2543" width="8.85546875" style="111"/>
    <col min="2544" max="2544" width="21.7109375" style="111" customWidth="1"/>
    <col min="2545" max="2551" width="8.85546875" style="111"/>
    <col min="2552" max="2552" width="10" style="111" customWidth="1"/>
    <col min="2553" max="2779" width="8.85546875" style="111"/>
    <col min="2780" max="2780" width="23.85546875" style="111" customWidth="1"/>
    <col min="2781" max="2781" width="10.7109375" style="111" customWidth="1"/>
    <col min="2782" max="2787" width="8.7109375" style="111" customWidth="1"/>
    <col min="2788" max="2788" width="10.85546875" style="111" customWidth="1"/>
    <col min="2789" max="2789" width="8.85546875" style="111" customWidth="1"/>
    <col min="2790" max="2790" width="17.85546875" style="111" customWidth="1"/>
    <col min="2791" max="2799" width="8.85546875" style="111"/>
    <col min="2800" max="2800" width="21.7109375" style="111" customWidth="1"/>
    <col min="2801" max="2807" width="8.85546875" style="111"/>
    <col min="2808" max="2808" width="10" style="111" customWidth="1"/>
    <col min="2809" max="3035" width="8.85546875" style="111"/>
    <col min="3036" max="3036" width="23.85546875" style="111" customWidth="1"/>
    <col min="3037" max="3037" width="10.7109375" style="111" customWidth="1"/>
    <col min="3038" max="3043" width="8.7109375" style="111" customWidth="1"/>
    <col min="3044" max="3044" width="10.85546875" style="111" customWidth="1"/>
    <col min="3045" max="3045" width="8.85546875" style="111" customWidth="1"/>
    <col min="3046" max="3046" width="17.85546875" style="111" customWidth="1"/>
    <col min="3047" max="3055" width="8.85546875" style="111"/>
    <col min="3056" max="3056" width="21.7109375" style="111" customWidth="1"/>
    <col min="3057" max="3063" width="8.85546875" style="111"/>
    <col min="3064" max="3064" width="10" style="111" customWidth="1"/>
    <col min="3065" max="3291" width="8.85546875" style="111"/>
    <col min="3292" max="3292" width="23.85546875" style="111" customWidth="1"/>
    <col min="3293" max="3293" width="10.7109375" style="111" customWidth="1"/>
    <col min="3294" max="3299" width="8.7109375" style="111" customWidth="1"/>
    <col min="3300" max="3300" width="10.85546875" style="111" customWidth="1"/>
    <col min="3301" max="3301" width="8.85546875" style="111" customWidth="1"/>
    <col min="3302" max="3302" width="17.85546875" style="111" customWidth="1"/>
    <col min="3303" max="3311" width="8.85546875" style="111"/>
    <col min="3312" max="3312" width="21.7109375" style="111" customWidth="1"/>
    <col min="3313" max="3319" width="8.85546875" style="111"/>
    <col min="3320" max="3320" width="10" style="111" customWidth="1"/>
    <col min="3321" max="3547" width="8.85546875" style="111"/>
    <col min="3548" max="3548" width="23.85546875" style="111" customWidth="1"/>
    <col min="3549" max="3549" width="10.7109375" style="111" customWidth="1"/>
    <col min="3550" max="3555" width="8.7109375" style="111" customWidth="1"/>
    <col min="3556" max="3556" width="10.85546875" style="111" customWidth="1"/>
    <col min="3557" max="3557" width="8.85546875" style="111" customWidth="1"/>
    <col min="3558" max="3558" width="17.85546875" style="111" customWidth="1"/>
    <col min="3559" max="3567" width="8.85546875" style="111"/>
    <col min="3568" max="3568" width="21.7109375" style="111" customWidth="1"/>
    <col min="3569" max="3575" width="8.85546875" style="111"/>
    <col min="3576" max="3576" width="10" style="111" customWidth="1"/>
    <col min="3577" max="3803" width="8.85546875" style="111"/>
    <col min="3804" max="3804" width="23.85546875" style="111" customWidth="1"/>
    <col min="3805" max="3805" width="10.7109375" style="111" customWidth="1"/>
    <col min="3806" max="3811" width="8.7109375" style="111" customWidth="1"/>
    <col min="3812" max="3812" width="10.85546875" style="111" customWidth="1"/>
    <col min="3813" max="3813" width="8.85546875" style="111" customWidth="1"/>
    <col min="3814" max="3814" width="17.85546875" style="111" customWidth="1"/>
    <col min="3815" max="3823" width="8.85546875" style="111"/>
    <col min="3824" max="3824" width="21.7109375" style="111" customWidth="1"/>
    <col min="3825" max="3831" width="8.85546875" style="111"/>
    <col min="3832" max="3832" width="10" style="111" customWidth="1"/>
    <col min="3833" max="4059" width="8.85546875" style="111"/>
    <col min="4060" max="4060" width="23.85546875" style="111" customWidth="1"/>
    <col min="4061" max="4061" width="10.7109375" style="111" customWidth="1"/>
    <col min="4062" max="4067" width="8.7109375" style="111" customWidth="1"/>
    <col min="4068" max="4068" width="10.85546875" style="111" customWidth="1"/>
    <col min="4069" max="4069" width="8.85546875" style="111" customWidth="1"/>
    <col min="4070" max="4070" width="17.85546875" style="111" customWidth="1"/>
    <col min="4071" max="4079" width="8.85546875" style="111"/>
    <col min="4080" max="4080" width="21.7109375" style="111" customWidth="1"/>
    <col min="4081" max="4087" width="8.85546875" style="111"/>
    <col min="4088" max="4088" width="10" style="111" customWidth="1"/>
    <col min="4089" max="4315" width="8.85546875" style="111"/>
    <col min="4316" max="4316" width="23.85546875" style="111" customWidth="1"/>
    <col min="4317" max="4317" width="10.7109375" style="111" customWidth="1"/>
    <col min="4318" max="4323" width="8.7109375" style="111" customWidth="1"/>
    <col min="4324" max="4324" width="10.85546875" style="111" customWidth="1"/>
    <col min="4325" max="4325" width="8.85546875" style="111" customWidth="1"/>
    <col min="4326" max="4326" width="17.85546875" style="111" customWidth="1"/>
    <col min="4327" max="4335" width="8.85546875" style="111"/>
    <col min="4336" max="4336" width="21.7109375" style="111" customWidth="1"/>
    <col min="4337" max="4343" width="8.85546875" style="111"/>
    <col min="4344" max="4344" width="10" style="111" customWidth="1"/>
    <col min="4345" max="4571" width="8.85546875" style="111"/>
    <col min="4572" max="4572" width="23.85546875" style="111" customWidth="1"/>
    <col min="4573" max="4573" width="10.7109375" style="111" customWidth="1"/>
    <col min="4574" max="4579" width="8.7109375" style="111" customWidth="1"/>
    <col min="4580" max="4580" width="10.85546875" style="111" customWidth="1"/>
    <col min="4581" max="4581" width="8.85546875" style="111" customWidth="1"/>
    <col min="4582" max="4582" width="17.85546875" style="111" customWidth="1"/>
    <col min="4583" max="4591" width="8.85546875" style="111"/>
    <col min="4592" max="4592" width="21.7109375" style="111" customWidth="1"/>
    <col min="4593" max="4599" width="8.85546875" style="111"/>
    <col min="4600" max="4600" width="10" style="111" customWidth="1"/>
    <col min="4601" max="4827" width="8.85546875" style="111"/>
    <col min="4828" max="4828" width="23.85546875" style="111" customWidth="1"/>
    <col min="4829" max="4829" width="10.7109375" style="111" customWidth="1"/>
    <col min="4830" max="4835" width="8.7109375" style="111" customWidth="1"/>
    <col min="4836" max="4836" width="10.85546875" style="111" customWidth="1"/>
    <col min="4837" max="4837" width="8.85546875" style="111" customWidth="1"/>
    <col min="4838" max="4838" width="17.85546875" style="111" customWidth="1"/>
    <col min="4839" max="4847" width="8.85546875" style="111"/>
    <col min="4848" max="4848" width="21.7109375" style="111" customWidth="1"/>
    <col min="4849" max="4855" width="8.85546875" style="111"/>
    <col min="4856" max="4856" width="10" style="111" customWidth="1"/>
    <col min="4857" max="5083" width="8.85546875" style="111"/>
    <col min="5084" max="5084" width="23.85546875" style="111" customWidth="1"/>
    <col min="5085" max="5085" width="10.7109375" style="111" customWidth="1"/>
    <col min="5086" max="5091" width="8.7109375" style="111" customWidth="1"/>
    <col min="5092" max="5092" width="10.85546875" style="111" customWidth="1"/>
    <col min="5093" max="5093" width="8.85546875" style="111" customWidth="1"/>
    <col min="5094" max="5094" width="17.85546875" style="111" customWidth="1"/>
    <col min="5095" max="5103" width="8.85546875" style="111"/>
    <col min="5104" max="5104" width="21.7109375" style="111" customWidth="1"/>
    <col min="5105" max="5111" width="8.85546875" style="111"/>
    <col min="5112" max="5112" width="10" style="111" customWidth="1"/>
    <col min="5113" max="5339" width="8.85546875" style="111"/>
    <col min="5340" max="5340" width="23.85546875" style="111" customWidth="1"/>
    <col min="5341" max="5341" width="10.7109375" style="111" customWidth="1"/>
    <col min="5342" max="5347" width="8.7109375" style="111" customWidth="1"/>
    <col min="5348" max="5348" width="10.85546875" style="111" customWidth="1"/>
    <col min="5349" max="5349" width="8.85546875" style="111" customWidth="1"/>
    <col min="5350" max="5350" width="17.85546875" style="111" customWidth="1"/>
    <col min="5351" max="5359" width="8.85546875" style="111"/>
    <col min="5360" max="5360" width="21.7109375" style="111" customWidth="1"/>
    <col min="5361" max="5367" width="8.85546875" style="111"/>
    <col min="5368" max="5368" width="10" style="111" customWidth="1"/>
    <col min="5369" max="5595" width="8.85546875" style="111"/>
    <col min="5596" max="5596" width="23.85546875" style="111" customWidth="1"/>
    <col min="5597" max="5597" width="10.7109375" style="111" customWidth="1"/>
    <col min="5598" max="5603" width="8.7109375" style="111" customWidth="1"/>
    <col min="5604" max="5604" width="10.85546875" style="111" customWidth="1"/>
    <col min="5605" max="5605" width="8.85546875" style="111" customWidth="1"/>
    <col min="5606" max="5606" width="17.85546875" style="111" customWidth="1"/>
    <col min="5607" max="5615" width="8.85546875" style="111"/>
    <col min="5616" max="5616" width="21.7109375" style="111" customWidth="1"/>
    <col min="5617" max="5623" width="8.85546875" style="111"/>
    <col min="5624" max="5624" width="10" style="111" customWidth="1"/>
    <col min="5625" max="5851" width="8.85546875" style="111"/>
    <col min="5852" max="5852" width="23.85546875" style="111" customWidth="1"/>
    <col min="5853" max="5853" width="10.7109375" style="111" customWidth="1"/>
    <col min="5854" max="5859" width="8.7109375" style="111" customWidth="1"/>
    <col min="5860" max="5860" width="10.85546875" style="111" customWidth="1"/>
    <col min="5861" max="5861" width="8.85546875" style="111" customWidth="1"/>
    <col min="5862" max="5862" width="17.85546875" style="111" customWidth="1"/>
    <col min="5863" max="5871" width="8.85546875" style="111"/>
    <col min="5872" max="5872" width="21.7109375" style="111" customWidth="1"/>
    <col min="5873" max="5879" width="8.85546875" style="111"/>
    <col min="5880" max="5880" width="10" style="111" customWidth="1"/>
    <col min="5881" max="6107" width="8.85546875" style="111"/>
    <col min="6108" max="6108" width="23.85546875" style="111" customWidth="1"/>
    <col min="6109" max="6109" width="10.7109375" style="111" customWidth="1"/>
    <col min="6110" max="6115" width="8.7109375" style="111" customWidth="1"/>
    <col min="6116" max="6116" width="10.85546875" style="111" customWidth="1"/>
    <col min="6117" max="6117" width="8.85546875" style="111" customWidth="1"/>
    <col min="6118" max="6118" width="17.85546875" style="111" customWidth="1"/>
    <col min="6119" max="6127" width="8.85546875" style="111"/>
    <col min="6128" max="6128" width="21.7109375" style="111" customWidth="1"/>
    <col min="6129" max="6135" width="8.85546875" style="111"/>
    <col min="6136" max="6136" width="10" style="111" customWidth="1"/>
    <col min="6137" max="6363" width="8.85546875" style="111"/>
    <col min="6364" max="6364" width="23.85546875" style="111" customWidth="1"/>
    <col min="6365" max="6365" width="10.7109375" style="111" customWidth="1"/>
    <col min="6366" max="6371" width="8.7109375" style="111" customWidth="1"/>
    <col min="6372" max="6372" width="10.85546875" style="111" customWidth="1"/>
    <col min="6373" max="6373" width="8.85546875" style="111" customWidth="1"/>
    <col min="6374" max="6374" width="17.85546875" style="111" customWidth="1"/>
    <col min="6375" max="6383" width="8.85546875" style="111"/>
    <col min="6384" max="6384" width="21.7109375" style="111" customWidth="1"/>
    <col min="6385" max="6391" width="8.85546875" style="111"/>
    <col min="6392" max="6392" width="10" style="111" customWidth="1"/>
    <col min="6393" max="6619" width="8.85546875" style="111"/>
    <col min="6620" max="6620" width="23.85546875" style="111" customWidth="1"/>
    <col min="6621" max="6621" width="10.7109375" style="111" customWidth="1"/>
    <col min="6622" max="6627" width="8.7109375" style="111" customWidth="1"/>
    <col min="6628" max="6628" width="10.85546875" style="111" customWidth="1"/>
    <col min="6629" max="6629" width="8.85546875" style="111" customWidth="1"/>
    <col min="6630" max="6630" width="17.85546875" style="111" customWidth="1"/>
    <col min="6631" max="6639" width="8.85546875" style="111"/>
    <col min="6640" max="6640" width="21.7109375" style="111" customWidth="1"/>
    <col min="6641" max="6647" width="8.85546875" style="111"/>
    <col min="6648" max="6648" width="10" style="111" customWidth="1"/>
    <col min="6649" max="6875" width="8.85546875" style="111"/>
    <col min="6876" max="6876" width="23.85546875" style="111" customWidth="1"/>
    <col min="6877" max="6877" width="10.7109375" style="111" customWidth="1"/>
    <col min="6878" max="6883" width="8.7109375" style="111" customWidth="1"/>
    <col min="6884" max="6884" width="10.85546875" style="111" customWidth="1"/>
    <col min="6885" max="6885" width="8.85546875" style="111" customWidth="1"/>
    <col min="6886" max="6886" width="17.85546875" style="111" customWidth="1"/>
    <col min="6887" max="6895" width="8.85546875" style="111"/>
    <col min="6896" max="6896" width="21.7109375" style="111" customWidth="1"/>
    <col min="6897" max="6903" width="8.85546875" style="111"/>
    <col min="6904" max="6904" width="10" style="111" customWidth="1"/>
    <col min="6905" max="7131" width="8.85546875" style="111"/>
    <col min="7132" max="7132" width="23.85546875" style="111" customWidth="1"/>
    <col min="7133" max="7133" width="10.7109375" style="111" customWidth="1"/>
    <col min="7134" max="7139" width="8.7109375" style="111" customWidth="1"/>
    <col min="7140" max="7140" width="10.85546875" style="111" customWidth="1"/>
    <col min="7141" max="7141" width="8.85546875" style="111" customWidth="1"/>
    <col min="7142" max="7142" width="17.85546875" style="111" customWidth="1"/>
    <col min="7143" max="7151" width="8.85546875" style="111"/>
    <col min="7152" max="7152" width="21.7109375" style="111" customWidth="1"/>
    <col min="7153" max="7159" width="8.85546875" style="111"/>
    <col min="7160" max="7160" width="10" style="111" customWidth="1"/>
    <col min="7161" max="7387" width="8.85546875" style="111"/>
    <col min="7388" max="7388" width="23.85546875" style="111" customWidth="1"/>
    <col min="7389" max="7389" width="10.7109375" style="111" customWidth="1"/>
    <col min="7390" max="7395" width="8.7109375" style="111" customWidth="1"/>
    <col min="7396" max="7396" width="10.85546875" style="111" customWidth="1"/>
    <col min="7397" max="7397" width="8.85546875" style="111" customWidth="1"/>
    <col min="7398" max="7398" width="17.85546875" style="111" customWidth="1"/>
    <col min="7399" max="7407" width="8.85546875" style="111"/>
    <col min="7408" max="7408" width="21.7109375" style="111" customWidth="1"/>
    <col min="7409" max="7415" width="8.85546875" style="111"/>
    <col min="7416" max="7416" width="10" style="111" customWidth="1"/>
    <col min="7417" max="7643" width="8.85546875" style="111"/>
    <col min="7644" max="7644" width="23.85546875" style="111" customWidth="1"/>
    <col min="7645" max="7645" width="10.7109375" style="111" customWidth="1"/>
    <col min="7646" max="7651" width="8.7109375" style="111" customWidth="1"/>
    <col min="7652" max="7652" width="10.85546875" style="111" customWidth="1"/>
    <col min="7653" max="7653" width="8.85546875" style="111" customWidth="1"/>
    <col min="7654" max="7654" width="17.85546875" style="111" customWidth="1"/>
    <col min="7655" max="7663" width="8.85546875" style="111"/>
    <col min="7664" max="7664" width="21.7109375" style="111" customWidth="1"/>
    <col min="7665" max="7671" width="8.85546875" style="111"/>
    <col min="7672" max="7672" width="10" style="111" customWidth="1"/>
    <col min="7673" max="7899" width="8.85546875" style="111"/>
    <col min="7900" max="7900" width="23.85546875" style="111" customWidth="1"/>
    <col min="7901" max="7901" width="10.7109375" style="111" customWidth="1"/>
    <col min="7902" max="7907" width="8.7109375" style="111" customWidth="1"/>
    <col min="7908" max="7908" width="10.85546875" style="111" customWidth="1"/>
    <col min="7909" max="7909" width="8.85546875" style="111" customWidth="1"/>
    <col min="7910" max="7910" width="17.85546875" style="111" customWidth="1"/>
    <col min="7911" max="7919" width="8.85546875" style="111"/>
    <col min="7920" max="7920" width="21.7109375" style="111" customWidth="1"/>
    <col min="7921" max="7927" width="8.85546875" style="111"/>
    <col min="7928" max="7928" width="10" style="111" customWidth="1"/>
    <col min="7929" max="8155" width="8.85546875" style="111"/>
    <col min="8156" max="8156" width="23.85546875" style="111" customWidth="1"/>
    <col min="8157" max="8157" width="10.7109375" style="111" customWidth="1"/>
    <col min="8158" max="8163" width="8.7109375" style="111" customWidth="1"/>
    <col min="8164" max="8164" width="10.85546875" style="111" customWidth="1"/>
    <col min="8165" max="8165" width="8.85546875" style="111" customWidth="1"/>
    <col min="8166" max="8166" width="17.85546875" style="111" customWidth="1"/>
    <col min="8167" max="8175" width="8.85546875" style="111"/>
    <col min="8176" max="8176" width="21.7109375" style="111" customWidth="1"/>
    <col min="8177" max="8183" width="8.85546875" style="111"/>
    <col min="8184" max="8184" width="10" style="111" customWidth="1"/>
    <col min="8185" max="8411" width="8.85546875" style="111"/>
    <col min="8412" max="8412" width="23.85546875" style="111" customWidth="1"/>
    <col min="8413" max="8413" width="10.7109375" style="111" customWidth="1"/>
    <col min="8414" max="8419" width="8.7109375" style="111" customWidth="1"/>
    <col min="8420" max="8420" width="10.85546875" style="111" customWidth="1"/>
    <col min="8421" max="8421" width="8.85546875" style="111" customWidth="1"/>
    <col min="8422" max="8422" width="17.85546875" style="111" customWidth="1"/>
    <col min="8423" max="8431" width="8.85546875" style="111"/>
    <col min="8432" max="8432" width="21.7109375" style="111" customWidth="1"/>
    <col min="8433" max="8439" width="8.85546875" style="111"/>
    <col min="8440" max="8440" width="10" style="111" customWidth="1"/>
    <col min="8441" max="8667" width="8.85546875" style="111"/>
    <col min="8668" max="8668" width="23.85546875" style="111" customWidth="1"/>
    <col min="8669" max="8669" width="10.7109375" style="111" customWidth="1"/>
    <col min="8670" max="8675" width="8.7109375" style="111" customWidth="1"/>
    <col min="8676" max="8676" width="10.85546875" style="111" customWidth="1"/>
    <col min="8677" max="8677" width="8.85546875" style="111" customWidth="1"/>
    <col min="8678" max="8678" width="17.85546875" style="111" customWidth="1"/>
    <col min="8679" max="8687" width="8.85546875" style="111"/>
    <col min="8688" max="8688" width="21.7109375" style="111" customWidth="1"/>
    <col min="8689" max="8695" width="8.85546875" style="111"/>
    <col min="8696" max="8696" width="10" style="111" customWidth="1"/>
    <col min="8697" max="8923" width="8.85546875" style="111"/>
    <col min="8924" max="8924" width="23.85546875" style="111" customWidth="1"/>
    <col min="8925" max="8925" width="10.7109375" style="111" customWidth="1"/>
    <col min="8926" max="8931" width="8.7109375" style="111" customWidth="1"/>
    <col min="8932" max="8932" width="10.85546875" style="111" customWidth="1"/>
    <col min="8933" max="8933" width="8.85546875" style="111" customWidth="1"/>
    <col min="8934" max="8934" width="17.85546875" style="111" customWidth="1"/>
    <col min="8935" max="8943" width="8.85546875" style="111"/>
    <col min="8944" max="8944" width="21.7109375" style="111" customWidth="1"/>
    <col min="8945" max="8951" width="8.85546875" style="111"/>
    <col min="8952" max="8952" width="10" style="111" customWidth="1"/>
    <col min="8953" max="9179" width="8.85546875" style="111"/>
    <col min="9180" max="9180" width="23.85546875" style="111" customWidth="1"/>
    <col min="9181" max="9181" width="10.7109375" style="111" customWidth="1"/>
    <col min="9182" max="9187" width="8.7109375" style="111" customWidth="1"/>
    <col min="9188" max="9188" width="10.85546875" style="111" customWidth="1"/>
    <col min="9189" max="9189" width="8.85546875" style="111" customWidth="1"/>
    <col min="9190" max="9190" width="17.85546875" style="111" customWidth="1"/>
    <col min="9191" max="9199" width="8.85546875" style="111"/>
    <col min="9200" max="9200" width="21.7109375" style="111" customWidth="1"/>
    <col min="9201" max="9207" width="8.85546875" style="111"/>
    <col min="9208" max="9208" width="10" style="111" customWidth="1"/>
    <col min="9209" max="9435" width="8.85546875" style="111"/>
    <col min="9436" max="9436" width="23.85546875" style="111" customWidth="1"/>
    <col min="9437" max="9437" width="10.7109375" style="111" customWidth="1"/>
    <col min="9438" max="9443" width="8.7109375" style="111" customWidth="1"/>
    <col min="9444" max="9444" width="10.85546875" style="111" customWidth="1"/>
    <col min="9445" max="9445" width="8.85546875" style="111" customWidth="1"/>
    <col min="9446" max="9446" width="17.85546875" style="111" customWidth="1"/>
    <col min="9447" max="9455" width="8.85546875" style="111"/>
    <col min="9456" max="9456" width="21.7109375" style="111" customWidth="1"/>
    <col min="9457" max="9463" width="8.85546875" style="111"/>
    <col min="9464" max="9464" width="10" style="111" customWidth="1"/>
    <col min="9465" max="9691" width="8.85546875" style="111"/>
    <col min="9692" max="9692" width="23.85546875" style="111" customWidth="1"/>
    <col min="9693" max="9693" width="10.7109375" style="111" customWidth="1"/>
    <col min="9694" max="9699" width="8.7109375" style="111" customWidth="1"/>
    <col min="9700" max="9700" width="10.85546875" style="111" customWidth="1"/>
    <col min="9701" max="9701" width="8.85546875" style="111" customWidth="1"/>
    <col min="9702" max="9702" width="17.85546875" style="111" customWidth="1"/>
    <col min="9703" max="9711" width="8.85546875" style="111"/>
    <col min="9712" max="9712" width="21.7109375" style="111" customWidth="1"/>
    <col min="9713" max="9719" width="8.85546875" style="111"/>
    <col min="9720" max="9720" width="10" style="111" customWidth="1"/>
    <col min="9721" max="9947" width="8.85546875" style="111"/>
    <col min="9948" max="9948" width="23.85546875" style="111" customWidth="1"/>
    <col min="9949" max="9949" width="10.7109375" style="111" customWidth="1"/>
    <col min="9950" max="9955" width="8.7109375" style="111" customWidth="1"/>
    <col min="9956" max="9956" width="10.85546875" style="111" customWidth="1"/>
    <col min="9957" max="9957" width="8.85546875" style="111" customWidth="1"/>
    <col min="9958" max="9958" width="17.85546875" style="111" customWidth="1"/>
    <col min="9959" max="9967" width="8.85546875" style="111"/>
    <col min="9968" max="9968" width="21.7109375" style="111" customWidth="1"/>
    <col min="9969" max="9975" width="8.85546875" style="111"/>
    <col min="9976" max="9976" width="10" style="111" customWidth="1"/>
    <col min="9977" max="10203" width="8.85546875" style="111"/>
    <col min="10204" max="10204" width="23.85546875" style="111" customWidth="1"/>
    <col min="10205" max="10205" width="10.7109375" style="111" customWidth="1"/>
    <col min="10206" max="10211" width="8.7109375" style="111" customWidth="1"/>
    <col min="10212" max="10212" width="10.85546875" style="111" customWidth="1"/>
    <col min="10213" max="10213" width="8.85546875" style="111" customWidth="1"/>
    <col min="10214" max="10214" width="17.85546875" style="111" customWidth="1"/>
    <col min="10215" max="10223" width="8.85546875" style="111"/>
    <col min="10224" max="10224" width="21.7109375" style="111" customWidth="1"/>
    <col min="10225" max="10231" width="8.85546875" style="111"/>
    <col min="10232" max="10232" width="10" style="111" customWidth="1"/>
    <col min="10233" max="10459" width="8.85546875" style="111"/>
    <col min="10460" max="10460" width="23.85546875" style="111" customWidth="1"/>
    <col min="10461" max="10461" width="10.7109375" style="111" customWidth="1"/>
    <col min="10462" max="10467" width="8.7109375" style="111" customWidth="1"/>
    <col min="10468" max="10468" width="10.85546875" style="111" customWidth="1"/>
    <col min="10469" max="10469" width="8.85546875" style="111" customWidth="1"/>
    <col min="10470" max="10470" width="17.85546875" style="111" customWidth="1"/>
    <col min="10471" max="10479" width="8.85546875" style="111"/>
    <col min="10480" max="10480" width="21.7109375" style="111" customWidth="1"/>
    <col min="10481" max="10487" width="8.85546875" style="111"/>
    <col min="10488" max="10488" width="10" style="111" customWidth="1"/>
    <col min="10489" max="10715" width="8.85546875" style="111"/>
    <col min="10716" max="10716" width="23.85546875" style="111" customWidth="1"/>
    <col min="10717" max="10717" width="10.7109375" style="111" customWidth="1"/>
    <col min="10718" max="10723" width="8.7109375" style="111" customWidth="1"/>
    <col min="10724" max="10724" width="10.85546875" style="111" customWidth="1"/>
    <col min="10725" max="10725" width="8.85546875" style="111" customWidth="1"/>
    <col min="10726" max="10726" width="17.85546875" style="111" customWidth="1"/>
    <col min="10727" max="10735" width="8.85546875" style="111"/>
    <col min="10736" max="10736" width="21.7109375" style="111" customWidth="1"/>
    <col min="10737" max="10743" width="8.85546875" style="111"/>
    <col min="10744" max="10744" width="10" style="111" customWidth="1"/>
    <col min="10745" max="10971" width="8.85546875" style="111"/>
    <col min="10972" max="10972" width="23.85546875" style="111" customWidth="1"/>
    <col min="10973" max="10973" width="10.7109375" style="111" customWidth="1"/>
    <col min="10974" max="10979" width="8.7109375" style="111" customWidth="1"/>
    <col min="10980" max="10980" width="10.85546875" style="111" customWidth="1"/>
    <col min="10981" max="10981" width="8.85546875" style="111" customWidth="1"/>
    <col min="10982" max="10982" width="17.85546875" style="111" customWidth="1"/>
    <col min="10983" max="10991" width="8.85546875" style="111"/>
    <col min="10992" max="10992" width="21.7109375" style="111" customWidth="1"/>
    <col min="10993" max="10999" width="8.85546875" style="111"/>
    <col min="11000" max="11000" width="10" style="111" customWidth="1"/>
    <col min="11001" max="11227" width="8.85546875" style="111"/>
    <col min="11228" max="11228" width="23.85546875" style="111" customWidth="1"/>
    <col min="11229" max="11229" width="10.7109375" style="111" customWidth="1"/>
    <col min="11230" max="11235" width="8.7109375" style="111" customWidth="1"/>
    <col min="11236" max="11236" width="10.85546875" style="111" customWidth="1"/>
    <col min="11237" max="11237" width="8.85546875" style="111" customWidth="1"/>
    <col min="11238" max="11238" width="17.85546875" style="111" customWidth="1"/>
    <col min="11239" max="11247" width="8.85546875" style="111"/>
    <col min="11248" max="11248" width="21.7109375" style="111" customWidth="1"/>
    <col min="11249" max="11255" width="8.85546875" style="111"/>
    <col min="11256" max="11256" width="10" style="111" customWidth="1"/>
    <col min="11257" max="11483" width="8.85546875" style="111"/>
    <col min="11484" max="11484" width="23.85546875" style="111" customWidth="1"/>
    <col min="11485" max="11485" width="10.7109375" style="111" customWidth="1"/>
    <col min="11486" max="11491" width="8.7109375" style="111" customWidth="1"/>
    <col min="11492" max="11492" width="10.85546875" style="111" customWidth="1"/>
    <col min="11493" max="11493" width="8.85546875" style="111" customWidth="1"/>
    <col min="11494" max="11494" width="17.85546875" style="111" customWidth="1"/>
    <col min="11495" max="11503" width="8.85546875" style="111"/>
    <col min="11504" max="11504" width="21.7109375" style="111" customWidth="1"/>
    <col min="11505" max="11511" width="8.85546875" style="111"/>
    <col min="11512" max="11512" width="10" style="111" customWidth="1"/>
    <col min="11513" max="11739" width="8.85546875" style="111"/>
    <col min="11740" max="11740" width="23.85546875" style="111" customWidth="1"/>
    <col min="11741" max="11741" width="10.7109375" style="111" customWidth="1"/>
    <col min="11742" max="11747" width="8.7109375" style="111" customWidth="1"/>
    <col min="11748" max="11748" width="10.85546875" style="111" customWidth="1"/>
    <col min="11749" max="11749" width="8.85546875" style="111" customWidth="1"/>
    <col min="11750" max="11750" width="17.85546875" style="111" customWidth="1"/>
    <col min="11751" max="11759" width="8.85546875" style="111"/>
    <col min="11760" max="11760" width="21.7109375" style="111" customWidth="1"/>
    <col min="11761" max="11767" width="8.85546875" style="111"/>
    <col min="11768" max="11768" width="10" style="111" customWidth="1"/>
    <col min="11769" max="11995" width="8.85546875" style="111"/>
    <col min="11996" max="11996" width="23.85546875" style="111" customWidth="1"/>
    <col min="11997" max="11997" width="10.7109375" style="111" customWidth="1"/>
    <col min="11998" max="12003" width="8.7109375" style="111" customWidth="1"/>
    <col min="12004" max="12004" width="10.85546875" style="111" customWidth="1"/>
    <col min="12005" max="12005" width="8.85546875" style="111" customWidth="1"/>
    <col min="12006" max="12006" width="17.85546875" style="111" customWidth="1"/>
    <col min="12007" max="12015" width="8.85546875" style="111"/>
    <col min="12016" max="12016" width="21.7109375" style="111" customWidth="1"/>
    <col min="12017" max="12023" width="8.85546875" style="111"/>
    <col min="12024" max="12024" width="10" style="111" customWidth="1"/>
    <col min="12025" max="12251" width="8.85546875" style="111"/>
    <col min="12252" max="12252" width="23.85546875" style="111" customWidth="1"/>
    <col min="12253" max="12253" width="10.7109375" style="111" customWidth="1"/>
    <col min="12254" max="12259" width="8.7109375" style="111" customWidth="1"/>
    <col min="12260" max="12260" width="10.85546875" style="111" customWidth="1"/>
    <col min="12261" max="12261" width="8.85546875" style="111" customWidth="1"/>
    <col min="12262" max="12262" width="17.85546875" style="111" customWidth="1"/>
    <col min="12263" max="12271" width="8.85546875" style="111"/>
    <col min="12272" max="12272" width="21.7109375" style="111" customWidth="1"/>
    <col min="12273" max="12279" width="8.85546875" style="111"/>
    <col min="12280" max="12280" width="10" style="111" customWidth="1"/>
    <col min="12281" max="12507" width="8.85546875" style="111"/>
    <col min="12508" max="12508" width="23.85546875" style="111" customWidth="1"/>
    <col min="12509" max="12509" width="10.7109375" style="111" customWidth="1"/>
    <col min="12510" max="12515" width="8.7109375" style="111" customWidth="1"/>
    <col min="12516" max="12516" width="10.85546875" style="111" customWidth="1"/>
    <col min="12517" max="12517" width="8.85546875" style="111" customWidth="1"/>
    <col min="12518" max="12518" width="17.85546875" style="111" customWidth="1"/>
    <col min="12519" max="12527" width="8.85546875" style="111"/>
    <col min="12528" max="12528" width="21.7109375" style="111" customWidth="1"/>
    <col min="12529" max="12535" width="8.85546875" style="111"/>
    <col min="12536" max="12536" width="10" style="111" customWidth="1"/>
    <col min="12537" max="12763" width="8.85546875" style="111"/>
    <col min="12764" max="12764" width="23.85546875" style="111" customWidth="1"/>
    <col min="12765" max="12765" width="10.7109375" style="111" customWidth="1"/>
    <col min="12766" max="12771" width="8.7109375" style="111" customWidth="1"/>
    <col min="12772" max="12772" width="10.85546875" style="111" customWidth="1"/>
    <col min="12773" max="12773" width="8.85546875" style="111" customWidth="1"/>
    <col min="12774" max="12774" width="17.85546875" style="111" customWidth="1"/>
    <col min="12775" max="12783" width="8.85546875" style="111"/>
    <col min="12784" max="12784" width="21.7109375" style="111" customWidth="1"/>
    <col min="12785" max="12791" width="8.85546875" style="111"/>
    <col min="12792" max="12792" width="10" style="111" customWidth="1"/>
    <col min="12793" max="13019" width="8.85546875" style="111"/>
    <col min="13020" max="13020" width="23.85546875" style="111" customWidth="1"/>
    <col min="13021" max="13021" width="10.7109375" style="111" customWidth="1"/>
    <col min="13022" max="13027" width="8.7109375" style="111" customWidth="1"/>
    <col min="13028" max="13028" width="10.85546875" style="111" customWidth="1"/>
    <col min="13029" max="13029" width="8.85546875" style="111" customWidth="1"/>
    <col min="13030" max="13030" width="17.85546875" style="111" customWidth="1"/>
    <col min="13031" max="13039" width="8.85546875" style="111"/>
    <col min="13040" max="13040" width="21.7109375" style="111" customWidth="1"/>
    <col min="13041" max="13047" width="8.85546875" style="111"/>
    <col min="13048" max="13048" width="10" style="111" customWidth="1"/>
    <col min="13049" max="13275" width="8.85546875" style="111"/>
    <col min="13276" max="13276" width="23.85546875" style="111" customWidth="1"/>
    <col min="13277" max="13277" width="10.7109375" style="111" customWidth="1"/>
    <col min="13278" max="13283" width="8.7109375" style="111" customWidth="1"/>
    <col min="13284" max="13284" width="10.85546875" style="111" customWidth="1"/>
    <col min="13285" max="13285" width="8.85546875" style="111" customWidth="1"/>
    <col min="13286" max="13286" width="17.85546875" style="111" customWidth="1"/>
    <col min="13287" max="13295" width="8.85546875" style="111"/>
    <col min="13296" max="13296" width="21.7109375" style="111" customWidth="1"/>
    <col min="13297" max="13303" width="8.85546875" style="111"/>
    <col min="13304" max="13304" width="10" style="111" customWidth="1"/>
    <col min="13305" max="13531" width="8.85546875" style="111"/>
    <col min="13532" max="13532" width="23.85546875" style="111" customWidth="1"/>
    <col min="13533" max="13533" width="10.7109375" style="111" customWidth="1"/>
    <col min="13534" max="13539" width="8.7109375" style="111" customWidth="1"/>
    <col min="13540" max="13540" width="10.85546875" style="111" customWidth="1"/>
    <col min="13541" max="13541" width="8.85546875" style="111" customWidth="1"/>
    <col min="13542" max="13542" width="17.85546875" style="111" customWidth="1"/>
    <col min="13543" max="13551" width="8.85546875" style="111"/>
    <col min="13552" max="13552" width="21.7109375" style="111" customWidth="1"/>
    <col min="13553" max="13559" width="8.85546875" style="111"/>
    <col min="13560" max="13560" width="10" style="111" customWidth="1"/>
    <col min="13561" max="13787" width="8.85546875" style="111"/>
    <col min="13788" max="13788" width="23.85546875" style="111" customWidth="1"/>
    <col min="13789" max="13789" width="10.7109375" style="111" customWidth="1"/>
    <col min="13790" max="13795" width="8.7109375" style="111" customWidth="1"/>
    <col min="13796" max="13796" width="10.85546875" style="111" customWidth="1"/>
    <col min="13797" max="13797" width="8.85546875" style="111" customWidth="1"/>
    <col min="13798" max="13798" width="17.85546875" style="111" customWidth="1"/>
    <col min="13799" max="13807" width="8.85546875" style="111"/>
    <col min="13808" max="13808" width="21.7109375" style="111" customWidth="1"/>
    <col min="13809" max="13815" width="8.85546875" style="111"/>
    <col min="13816" max="13816" width="10" style="111" customWidth="1"/>
    <col min="13817" max="14043" width="8.85546875" style="111"/>
    <col min="14044" max="14044" width="23.85546875" style="111" customWidth="1"/>
    <col min="14045" max="14045" width="10.7109375" style="111" customWidth="1"/>
    <col min="14046" max="14051" width="8.7109375" style="111" customWidth="1"/>
    <col min="14052" max="14052" width="10.85546875" style="111" customWidth="1"/>
    <col min="14053" max="14053" width="8.85546875" style="111" customWidth="1"/>
    <col min="14054" max="14054" width="17.85546875" style="111" customWidth="1"/>
    <col min="14055" max="14063" width="8.85546875" style="111"/>
    <col min="14064" max="14064" width="21.7109375" style="111" customWidth="1"/>
    <col min="14065" max="14071" width="8.85546875" style="111"/>
    <col min="14072" max="14072" width="10" style="111" customWidth="1"/>
    <col min="14073" max="14299" width="8.85546875" style="111"/>
    <col min="14300" max="14300" width="23.85546875" style="111" customWidth="1"/>
    <col min="14301" max="14301" width="10.7109375" style="111" customWidth="1"/>
    <col min="14302" max="14307" width="8.7109375" style="111" customWidth="1"/>
    <col min="14308" max="14308" width="10.85546875" style="111" customWidth="1"/>
    <col min="14309" max="14309" width="8.85546875" style="111" customWidth="1"/>
    <col min="14310" max="14310" width="17.85546875" style="111" customWidth="1"/>
    <col min="14311" max="14319" width="8.85546875" style="111"/>
    <col min="14320" max="14320" width="21.7109375" style="111" customWidth="1"/>
    <col min="14321" max="14327" width="8.85546875" style="111"/>
    <col min="14328" max="14328" width="10" style="111" customWidth="1"/>
    <col min="14329" max="14555" width="8.85546875" style="111"/>
    <col min="14556" max="14556" width="23.85546875" style="111" customWidth="1"/>
    <col min="14557" max="14557" width="10.7109375" style="111" customWidth="1"/>
    <col min="14558" max="14563" width="8.7109375" style="111" customWidth="1"/>
    <col min="14564" max="14564" width="10.85546875" style="111" customWidth="1"/>
    <col min="14565" max="14565" width="8.85546875" style="111" customWidth="1"/>
    <col min="14566" max="14566" width="17.85546875" style="111" customWidth="1"/>
    <col min="14567" max="14575" width="8.85546875" style="111"/>
    <col min="14576" max="14576" width="21.7109375" style="111" customWidth="1"/>
    <col min="14577" max="14583" width="8.85546875" style="111"/>
    <col min="14584" max="14584" width="10" style="111" customWidth="1"/>
    <col min="14585" max="14811" width="8.85546875" style="111"/>
    <col min="14812" max="14812" width="23.85546875" style="111" customWidth="1"/>
    <col min="14813" max="14813" width="10.7109375" style="111" customWidth="1"/>
    <col min="14814" max="14819" width="8.7109375" style="111" customWidth="1"/>
    <col min="14820" max="14820" width="10.85546875" style="111" customWidth="1"/>
    <col min="14821" max="14821" width="8.85546875" style="111" customWidth="1"/>
    <col min="14822" max="14822" width="17.85546875" style="111" customWidth="1"/>
    <col min="14823" max="14831" width="8.85546875" style="111"/>
    <col min="14832" max="14832" width="21.7109375" style="111" customWidth="1"/>
    <col min="14833" max="14839" width="8.85546875" style="111"/>
    <col min="14840" max="14840" width="10" style="111" customWidth="1"/>
    <col min="14841" max="15067" width="8.85546875" style="111"/>
    <col min="15068" max="15068" width="23.85546875" style="111" customWidth="1"/>
    <col min="15069" max="15069" width="10.7109375" style="111" customWidth="1"/>
    <col min="15070" max="15075" width="8.7109375" style="111" customWidth="1"/>
    <col min="15076" max="15076" width="10.85546875" style="111" customWidth="1"/>
    <col min="15077" max="15077" width="8.85546875" style="111" customWidth="1"/>
    <col min="15078" max="15078" width="17.85546875" style="111" customWidth="1"/>
    <col min="15079" max="15087" width="8.85546875" style="111"/>
    <col min="15088" max="15088" width="21.7109375" style="111" customWidth="1"/>
    <col min="15089" max="15095" width="8.85546875" style="111"/>
    <col min="15096" max="15096" width="10" style="111" customWidth="1"/>
    <col min="15097" max="15323" width="8.85546875" style="111"/>
    <col min="15324" max="15324" width="23.85546875" style="111" customWidth="1"/>
    <col min="15325" max="15325" width="10.7109375" style="111" customWidth="1"/>
    <col min="15326" max="15331" width="8.7109375" style="111" customWidth="1"/>
    <col min="15332" max="15332" width="10.85546875" style="111" customWidth="1"/>
    <col min="15333" max="15333" width="8.85546875" style="111" customWidth="1"/>
    <col min="15334" max="15334" width="17.85546875" style="111" customWidth="1"/>
    <col min="15335" max="15343" width="8.85546875" style="111"/>
    <col min="15344" max="15344" width="21.7109375" style="111" customWidth="1"/>
    <col min="15345" max="15351" width="8.85546875" style="111"/>
    <col min="15352" max="15352" width="10" style="111" customWidth="1"/>
    <col min="15353" max="15579" width="8.85546875" style="111"/>
    <col min="15580" max="15580" width="23.85546875" style="111" customWidth="1"/>
    <col min="15581" max="15581" width="10.7109375" style="111" customWidth="1"/>
    <col min="15582" max="15587" width="8.7109375" style="111" customWidth="1"/>
    <col min="15588" max="15588" width="10.85546875" style="111" customWidth="1"/>
    <col min="15589" max="15589" width="8.85546875" style="111" customWidth="1"/>
    <col min="15590" max="15590" width="17.85546875" style="111" customWidth="1"/>
    <col min="15591" max="15599" width="8.85546875" style="111"/>
    <col min="15600" max="15600" width="21.7109375" style="111" customWidth="1"/>
    <col min="15601" max="15607" width="8.85546875" style="111"/>
    <col min="15608" max="15608" width="10" style="111" customWidth="1"/>
    <col min="15609" max="15835" width="8.85546875" style="111"/>
    <col min="15836" max="15836" width="23.85546875" style="111" customWidth="1"/>
    <col min="15837" max="15837" width="10.7109375" style="111" customWidth="1"/>
    <col min="15838" max="15843" width="8.7109375" style="111" customWidth="1"/>
    <col min="15844" max="15844" width="10.85546875" style="111" customWidth="1"/>
    <col min="15845" max="15845" width="8.85546875" style="111" customWidth="1"/>
    <col min="15846" max="15846" width="17.85546875" style="111" customWidth="1"/>
    <col min="15847" max="15855" width="8.85546875" style="111"/>
    <col min="15856" max="15856" width="21.7109375" style="111" customWidth="1"/>
    <col min="15857" max="15863" width="8.85546875" style="111"/>
    <col min="15864" max="15864" width="10" style="111" customWidth="1"/>
    <col min="15865" max="16091" width="8.85546875" style="111"/>
    <col min="16092" max="16092" width="23.85546875" style="111" customWidth="1"/>
    <col min="16093" max="16093" width="10.7109375" style="111" customWidth="1"/>
    <col min="16094" max="16099" width="8.7109375" style="111" customWidth="1"/>
    <col min="16100" max="16100" width="10.85546875" style="111" customWidth="1"/>
    <col min="16101" max="16101" width="8.85546875" style="111" customWidth="1"/>
    <col min="16102" max="16102" width="17.85546875" style="111" customWidth="1"/>
    <col min="16103" max="16111" width="8.85546875" style="111"/>
    <col min="16112" max="16112" width="21.7109375" style="111" customWidth="1"/>
    <col min="16113" max="16119" width="8.85546875" style="111"/>
    <col min="16120" max="16120" width="10" style="111" customWidth="1"/>
    <col min="16121" max="16351" width="8.85546875" style="111"/>
    <col min="16352" max="16384" width="9.140625" style="111" customWidth="1"/>
  </cols>
  <sheetData>
    <row r="1" spans="1:14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</row>
    <row r="2" spans="1:14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</row>
    <row r="3" spans="1:14" ht="12.75" x14ac:dyDescent="0.2">
      <c r="A3" s="382" t="s">
        <v>48</v>
      </c>
      <c r="B3" s="382"/>
      <c r="C3" s="382"/>
      <c r="D3" s="382"/>
      <c r="E3" s="382"/>
      <c r="F3" s="382"/>
      <c r="G3" s="382"/>
      <c r="H3" s="382"/>
      <c r="I3" s="382"/>
      <c r="J3" s="382"/>
    </row>
    <row r="4" spans="1:14" ht="12.75" x14ac:dyDescent="0.2">
      <c r="A4" s="382" t="s">
        <v>55</v>
      </c>
      <c r="B4" s="382"/>
      <c r="C4" s="382"/>
      <c r="D4" s="382"/>
      <c r="E4" s="382"/>
      <c r="F4" s="382"/>
      <c r="G4" s="382"/>
      <c r="H4" s="382"/>
      <c r="I4" s="382"/>
      <c r="J4" s="382"/>
    </row>
    <row r="5" spans="1:14" ht="12.75" x14ac:dyDescent="0.2">
      <c r="A5" s="395" t="str">
        <f>'G1to6 SchoolLeaver'!A5</f>
        <v>SY 2022 - 2023</v>
      </c>
      <c r="B5" s="395"/>
      <c r="C5" s="395"/>
      <c r="D5" s="395"/>
      <c r="E5" s="395"/>
      <c r="F5" s="395"/>
      <c r="G5" s="395"/>
      <c r="H5" s="395"/>
      <c r="I5" s="395"/>
      <c r="J5" s="395"/>
    </row>
    <row r="6" spans="1:14" ht="12.75" x14ac:dyDescent="0.2">
      <c r="A6" s="230"/>
      <c r="B6" s="230"/>
      <c r="C6" s="230"/>
      <c r="D6" s="230"/>
      <c r="E6" s="230"/>
      <c r="F6" s="230"/>
      <c r="G6" s="230"/>
      <c r="H6" s="230"/>
      <c r="I6" s="230"/>
      <c r="J6" s="230"/>
    </row>
    <row r="7" spans="1:14" x14ac:dyDescent="0.2">
      <c r="A7" s="152"/>
      <c r="B7" s="153"/>
      <c r="C7" s="9"/>
      <c r="D7" s="9"/>
      <c r="E7" s="9"/>
      <c r="F7" s="9"/>
      <c r="G7" s="9"/>
      <c r="H7" s="9"/>
      <c r="I7" s="9"/>
      <c r="J7" s="147"/>
    </row>
    <row r="8" spans="1:14" ht="13.5" thickBot="1" x14ac:dyDescent="0.25">
      <c r="A8" s="25" t="s">
        <v>10</v>
      </c>
      <c r="B8" s="162"/>
      <c r="C8" s="8"/>
      <c r="D8" s="8"/>
      <c r="E8" s="8"/>
      <c r="F8" s="8"/>
      <c r="G8" s="8"/>
      <c r="H8" s="8"/>
      <c r="I8" s="8"/>
      <c r="J8" s="147"/>
    </row>
    <row r="9" spans="1:14" ht="12" thickBot="1" x14ac:dyDescent="0.25">
      <c r="J9" s="147"/>
    </row>
    <row r="10" spans="1:14" x14ac:dyDescent="0.2">
      <c r="A10" s="31" t="s">
        <v>30</v>
      </c>
      <c r="B10" s="372" t="s">
        <v>11</v>
      </c>
      <c r="C10" s="168" t="s">
        <v>19</v>
      </c>
      <c r="D10" s="166" t="s">
        <v>20</v>
      </c>
      <c r="E10" s="166" t="s">
        <v>21</v>
      </c>
      <c r="F10" s="166" t="s">
        <v>22</v>
      </c>
      <c r="G10" s="166" t="s">
        <v>23</v>
      </c>
      <c r="H10" s="166" t="s">
        <v>24</v>
      </c>
      <c r="I10" s="168" t="s">
        <v>49</v>
      </c>
      <c r="J10" s="232" t="s">
        <v>31</v>
      </c>
      <c r="K10" s="115"/>
      <c r="L10" s="115"/>
      <c r="M10" s="115"/>
      <c r="N10" s="246"/>
    </row>
    <row r="11" spans="1:14" ht="12" thickBot="1" x14ac:dyDescent="0.25">
      <c r="A11" s="112"/>
      <c r="B11" s="373"/>
      <c r="C11" s="38"/>
      <c r="D11" s="39"/>
      <c r="E11" s="39"/>
      <c r="F11" s="39"/>
      <c r="G11" s="39"/>
      <c r="H11" s="39"/>
      <c r="I11" s="39" t="s">
        <v>25</v>
      </c>
      <c r="J11" s="233" t="s">
        <v>32</v>
      </c>
      <c r="K11" s="115"/>
      <c r="L11" s="115"/>
      <c r="M11" s="115"/>
      <c r="N11" s="246"/>
    </row>
    <row r="12" spans="1:14" x14ac:dyDescent="0.2">
      <c r="A12" s="74" t="s">
        <v>33</v>
      </c>
      <c r="B12" s="75" t="s">
        <v>2</v>
      </c>
      <c r="C12" s="221">
        <v>1.9914815241164958E-2</v>
      </c>
      <c r="D12" s="222">
        <v>1.520051746442432E-2</v>
      </c>
      <c r="E12" s="222">
        <v>1.3413295494096544E-2</v>
      </c>
      <c r="F12" s="222">
        <v>1.0975141304944301E-2</v>
      </c>
      <c r="G12" s="222">
        <v>1.0429145232894088E-2</v>
      </c>
      <c r="H12" s="223">
        <v>8.5955794163001878E-3</v>
      </c>
      <c r="I12" s="221">
        <v>1.3143520249372442E-2</v>
      </c>
      <c r="J12" s="234">
        <v>0.54761904761904767</v>
      </c>
      <c r="K12" s="181"/>
      <c r="L12" s="181"/>
      <c r="M12" s="181"/>
      <c r="N12" s="171"/>
    </row>
    <row r="13" spans="1:14" x14ac:dyDescent="0.2">
      <c r="A13" s="3"/>
      <c r="B13" s="82" t="s">
        <v>1</v>
      </c>
      <c r="C13" s="131">
        <v>2.3812166962699822E-2</v>
      </c>
      <c r="D13" s="180">
        <v>1.8973526613309453E-2</v>
      </c>
      <c r="E13" s="180">
        <v>1.6434108527131782E-2</v>
      </c>
      <c r="F13" s="180">
        <v>1.4638069705093834E-2</v>
      </c>
      <c r="G13" s="180">
        <v>1.3579178592824336E-2</v>
      </c>
      <c r="H13" s="130">
        <v>1.2867852747006825E-2</v>
      </c>
      <c r="I13" s="131">
        <v>1.6799999999999999E-2</v>
      </c>
      <c r="J13" s="235"/>
      <c r="K13" s="181"/>
      <c r="L13" s="181"/>
      <c r="M13" s="181"/>
      <c r="N13" s="171"/>
    </row>
    <row r="14" spans="1:14" ht="12" thickBot="1" x14ac:dyDescent="0.25">
      <c r="A14" s="58"/>
      <c r="B14" s="85" t="s">
        <v>0</v>
      </c>
      <c r="C14" s="136">
        <v>1.5718383934974899E-2</v>
      </c>
      <c r="D14" s="182">
        <v>1.1025085165685971E-2</v>
      </c>
      <c r="E14" s="182">
        <v>1.0166101883228709E-2</v>
      </c>
      <c r="F14" s="182">
        <v>7.1364351539671836E-3</v>
      </c>
      <c r="G14" s="182">
        <v>6.8867430196871025E-3</v>
      </c>
      <c r="H14" s="135">
        <v>4.1413905739617358E-3</v>
      </c>
      <c r="I14" s="136">
        <v>9.1999999999999998E-3</v>
      </c>
      <c r="J14" s="236"/>
      <c r="K14" s="181"/>
      <c r="L14" s="181"/>
      <c r="M14" s="181"/>
      <c r="N14" s="171"/>
    </row>
    <row r="15" spans="1:14" ht="10.15" customHeight="1" x14ac:dyDescent="0.2">
      <c r="A15" s="74" t="s">
        <v>34</v>
      </c>
      <c r="B15" s="75" t="s">
        <v>2</v>
      </c>
      <c r="C15" s="221">
        <v>2.6978417266187049E-2</v>
      </c>
      <c r="D15" s="222">
        <v>2.7422757165901476E-2</v>
      </c>
      <c r="E15" s="222">
        <v>2.0413808364682453E-2</v>
      </c>
      <c r="F15" s="222">
        <v>1.6955118803168086E-2</v>
      </c>
      <c r="G15" s="222">
        <v>1.5132408575031526E-2</v>
      </c>
      <c r="H15" s="223">
        <v>1.1824324324324325E-2</v>
      </c>
      <c r="I15" s="221">
        <v>1.995194282428325E-2</v>
      </c>
      <c r="J15" s="234">
        <v>0.47191011235955055</v>
      </c>
      <c r="K15" s="181"/>
      <c r="L15" s="181"/>
      <c r="M15" s="181"/>
      <c r="N15" s="171"/>
    </row>
    <row r="16" spans="1:14" ht="10.15" customHeight="1" x14ac:dyDescent="0.2">
      <c r="A16" s="3"/>
      <c r="B16" s="82" t="s">
        <v>1</v>
      </c>
      <c r="C16" s="131">
        <v>3.3859528711965223E-2</v>
      </c>
      <c r="D16" s="180">
        <v>3.5896840148698886E-2</v>
      </c>
      <c r="E16" s="180">
        <v>2.8164454516024603E-2</v>
      </c>
      <c r="F16" s="180">
        <v>2.2644098810612991E-2</v>
      </c>
      <c r="G16" s="180">
        <v>2.0868584320360969E-2</v>
      </c>
      <c r="H16" s="130">
        <v>1.7165277096615989E-2</v>
      </c>
      <c r="I16" s="131">
        <v>2.6700000000000002E-2</v>
      </c>
      <c r="J16" s="235"/>
      <c r="K16" s="181"/>
      <c r="L16" s="181"/>
      <c r="M16" s="181"/>
      <c r="N16" s="171"/>
    </row>
    <row r="17" spans="1:14" ht="12" thickBot="1" x14ac:dyDescent="0.25">
      <c r="A17" s="58"/>
      <c r="B17" s="85" t="s">
        <v>0</v>
      </c>
      <c r="C17" s="136">
        <v>1.9400352733686066E-2</v>
      </c>
      <c r="D17" s="182">
        <v>1.7709720372836218E-2</v>
      </c>
      <c r="E17" s="182">
        <v>1.2260188443637189E-2</v>
      </c>
      <c r="F17" s="182">
        <v>1.0962534634381399E-2</v>
      </c>
      <c r="G17" s="182">
        <v>8.7650649553920809E-3</v>
      </c>
      <c r="H17" s="135">
        <v>6.2595809913132345E-3</v>
      </c>
      <c r="I17" s="136">
        <v>1.26E-2</v>
      </c>
      <c r="J17" s="236"/>
      <c r="K17" s="181"/>
      <c r="L17" s="181"/>
      <c r="M17" s="181"/>
      <c r="N17" s="171"/>
    </row>
    <row r="18" spans="1:14" x14ac:dyDescent="0.2">
      <c r="A18" s="74" t="s">
        <v>35</v>
      </c>
      <c r="B18" s="75" t="s">
        <v>2</v>
      </c>
      <c r="C18" s="221">
        <v>1.0428100987925357E-2</v>
      </c>
      <c r="D18" s="222">
        <v>8.9946032380571663E-3</v>
      </c>
      <c r="E18" s="222">
        <v>7.787370915862536E-3</v>
      </c>
      <c r="F18" s="222">
        <v>7.3581560283687945E-3</v>
      </c>
      <c r="G18" s="222">
        <v>7.7991713380453328E-3</v>
      </c>
      <c r="H18" s="223">
        <v>3.4240060871219328E-3</v>
      </c>
      <c r="I18" s="221">
        <v>7.6332228454869967E-3</v>
      </c>
      <c r="J18" s="234">
        <v>0.52525252525252519</v>
      </c>
      <c r="K18" s="181"/>
      <c r="L18" s="181"/>
      <c r="M18" s="181"/>
      <c r="N18" s="171"/>
    </row>
    <row r="19" spans="1:14" x14ac:dyDescent="0.2">
      <c r="A19" s="3"/>
      <c r="B19" s="82" t="s">
        <v>1</v>
      </c>
      <c r="C19" s="131">
        <v>1.4099400775467043E-2</v>
      </c>
      <c r="D19" s="180">
        <v>1.0550113036925395E-2</v>
      </c>
      <c r="E19" s="180">
        <v>1.0819949281487743E-2</v>
      </c>
      <c r="F19" s="180">
        <v>8.8934496322900635E-3</v>
      </c>
      <c r="G19" s="180">
        <v>9.7470410768159665E-3</v>
      </c>
      <c r="H19" s="130">
        <v>4.9705449189985269E-3</v>
      </c>
      <c r="I19" s="131">
        <v>9.9000000000000008E-3</v>
      </c>
      <c r="J19" s="235"/>
      <c r="K19" s="181"/>
      <c r="L19" s="181"/>
      <c r="M19" s="181"/>
      <c r="N19" s="171"/>
    </row>
    <row r="20" spans="1:14" ht="12" thickBot="1" x14ac:dyDescent="0.25">
      <c r="A20" s="58"/>
      <c r="B20" s="85" t="s">
        <v>0</v>
      </c>
      <c r="C20" s="136">
        <v>6.4663370102700643E-3</v>
      </c>
      <c r="D20" s="182">
        <v>7.2371221796509152E-3</v>
      </c>
      <c r="E20" s="182">
        <v>4.7465672147821662E-3</v>
      </c>
      <c r="F20" s="182">
        <v>5.7058715258604823E-3</v>
      </c>
      <c r="G20" s="182">
        <v>5.6453682319733125E-3</v>
      </c>
      <c r="H20" s="135">
        <v>1.7709563164108619E-3</v>
      </c>
      <c r="I20" s="136">
        <v>5.1999999999999998E-3</v>
      </c>
      <c r="J20" s="236"/>
      <c r="K20" s="181"/>
      <c r="L20" s="181"/>
      <c r="M20" s="181"/>
      <c r="N20" s="171"/>
    </row>
    <row r="21" spans="1:14" x14ac:dyDescent="0.2">
      <c r="A21" s="74" t="s">
        <v>36</v>
      </c>
      <c r="B21" s="75" t="s">
        <v>2</v>
      </c>
      <c r="C21" s="221">
        <v>2.0473384600019975E-2</v>
      </c>
      <c r="D21" s="222">
        <v>1.613400472716062E-2</v>
      </c>
      <c r="E21" s="222">
        <v>1.5175946125391256E-2</v>
      </c>
      <c r="F21" s="222">
        <v>1.0446894950667441E-2</v>
      </c>
      <c r="G21" s="222">
        <v>1.1484627347768872E-2</v>
      </c>
      <c r="H21" s="223">
        <v>8.4114139693356044E-3</v>
      </c>
      <c r="I21" s="221">
        <v>1.378991366314924E-2</v>
      </c>
      <c r="J21" s="234">
        <v>0.51666666666666672</v>
      </c>
      <c r="K21" s="181"/>
      <c r="L21" s="181"/>
      <c r="M21" s="181"/>
      <c r="N21" s="171"/>
    </row>
    <row r="22" spans="1:14" x14ac:dyDescent="0.2">
      <c r="A22" s="3"/>
      <c r="B22" s="82" t="s">
        <v>1</v>
      </c>
      <c r="C22" s="131">
        <v>2.518746394924053E-2</v>
      </c>
      <c r="D22" s="180">
        <v>1.95160031225605E-2</v>
      </c>
      <c r="E22" s="180">
        <v>1.9192467861669383E-2</v>
      </c>
      <c r="F22" s="180">
        <v>1.6058945777441904E-2</v>
      </c>
      <c r="G22" s="180">
        <v>1.5758980301274622E-2</v>
      </c>
      <c r="H22" s="130">
        <v>1.1351692243010301E-2</v>
      </c>
      <c r="I22" s="131">
        <v>1.7999999999999999E-2</v>
      </c>
      <c r="J22" s="235"/>
      <c r="K22" s="181"/>
      <c r="L22" s="181"/>
      <c r="M22" s="181"/>
      <c r="N22" s="171"/>
    </row>
    <row r="23" spans="1:14" ht="12" thickBot="1" x14ac:dyDescent="0.25">
      <c r="A23" s="58"/>
      <c r="B23" s="85" t="s">
        <v>0</v>
      </c>
      <c r="C23" s="136">
        <v>1.5378221113881962E-2</v>
      </c>
      <c r="D23" s="182">
        <v>1.2372476665943131E-2</v>
      </c>
      <c r="E23" s="182">
        <v>1.0756972111553785E-2</v>
      </c>
      <c r="F23" s="182">
        <v>4.5589692765113975E-3</v>
      </c>
      <c r="G23" s="182">
        <v>6.923837784371909E-3</v>
      </c>
      <c r="H23" s="135">
        <v>5.3937432578209281E-3</v>
      </c>
      <c r="I23" s="136">
        <v>9.2999999999999992E-3</v>
      </c>
      <c r="J23" s="236"/>
      <c r="K23" s="181"/>
      <c r="L23" s="181"/>
      <c r="M23" s="181"/>
      <c r="N23" s="171"/>
    </row>
    <row r="24" spans="1:14" x14ac:dyDescent="0.2">
      <c r="A24" s="74" t="s">
        <v>37</v>
      </c>
      <c r="B24" s="75" t="s">
        <v>2</v>
      </c>
      <c r="C24" s="221">
        <v>3.1638574191765682E-2</v>
      </c>
      <c r="D24" s="222">
        <v>2.9498525073746312E-2</v>
      </c>
      <c r="E24" s="222">
        <v>2.2658610271903322E-2</v>
      </c>
      <c r="F24" s="222">
        <v>2.0043931905546403E-2</v>
      </c>
      <c r="G24" s="222">
        <v>1.8382951033024241E-2</v>
      </c>
      <c r="H24" s="223">
        <v>1.6522774635308126E-2</v>
      </c>
      <c r="I24" s="221">
        <v>2.3257497165190957E-2</v>
      </c>
      <c r="J24" s="234">
        <v>0.47909967845659163</v>
      </c>
      <c r="K24" s="181"/>
      <c r="L24" s="181"/>
      <c r="M24" s="181"/>
      <c r="N24" s="171"/>
    </row>
    <row r="25" spans="1:14" x14ac:dyDescent="0.2">
      <c r="A25" s="3"/>
      <c r="B25" s="82" t="s">
        <v>1</v>
      </c>
      <c r="C25" s="131">
        <v>3.669970533083311E-2</v>
      </c>
      <c r="D25" s="180">
        <v>3.8321678321678321E-2</v>
      </c>
      <c r="E25" s="180">
        <v>3.0878859857482184E-2</v>
      </c>
      <c r="F25" s="180">
        <v>2.9052402932392071E-2</v>
      </c>
      <c r="G25" s="180">
        <v>2.5608994378513428E-2</v>
      </c>
      <c r="H25" s="130">
        <v>2.4962852897473999E-2</v>
      </c>
      <c r="I25" s="131">
        <v>3.1099999999999999E-2</v>
      </c>
      <c r="J25" s="235"/>
      <c r="K25" s="181"/>
      <c r="L25" s="181"/>
      <c r="M25" s="181"/>
      <c r="N25" s="171"/>
    </row>
    <row r="26" spans="1:14" ht="12" thickBot="1" x14ac:dyDescent="0.25">
      <c r="A26" s="58"/>
      <c r="B26" s="85" t="s">
        <v>0</v>
      </c>
      <c r="C26" s="136">
        <v>2.6248216833095576E-2</v>
      </c>
      <c r="D26" s="182">
        <v>1.9656786271450857E-2</v>
      </c>
      <c r="E26" s="182">
        <v>1.3741769252791297E-2</v>
      </c>
      <c r="F26" s="182">
        <v>1.0830324909747292E-2</v>
      </c>
      <c r="G26" s="182">
        <v>1.0526315789473684E-2</v>
      </c>
      <c r="H26" s="135">
        <v>8.0524903071875938E-3</v>
      </c>
      <c r="I26" s="136">
        <v>1.49E-2</v>
      </c>
      <c r="J26" s="236"/>
      <c r="K26" s="181"/>
      <c r="L26" s="181"/>
      <c r="M26" s="181"/>
      <c r="N26" s="171"/>
    </row>
    <row r="27" spans="1:14" x14ac:dyDescent="0.2">
      <c r="A27" s="74" t="s">
        <v>38</v>
      </c>
      <c r="B27" s="75" t="s">
        <v>2</v>
      </c>
      <c r="C27" s="221">
        <v>3.0216535433070867E-2</v>
      </c>
      <c r="D27" s="222">
        <v>2.8275306902797344E-2</v>
      </c>
      <c r="E27" s="222">
        <v>2.3670761230162287E-2</v>
      </c>
      <c r="F27" s="222">
        <v>2.0471698113207547E-2</v>
      </c>
      <c r="G27" s="222">
        <v>1.8206960129061995E-2</v>
      </c>
      <c r="H27" s="223">
        <v>1.1982233240367731E-2</v>
      </c>
      <c r="I27" s="221">
        <v>2.2305264906161769E-2</v>
      </c>
      <c r="J27" s="234">
        <v>0.45560747663551404</v>
      </c>
      <c r="K27" s="247"/>
      <c r="L27" s="247"/>
      <c r="M27" s="247"/>
      <c r="N27" s="248"/>
    </row>
    <row r="28" spans="1:14" ht="12" x14ac:dyDescent="0.2">
      <c r="A28" s="127"/>
      <c r="B28" s="82" t="s">
        <v>1</v>
      </c>
      <c r="C28" s="131">
        <v>5.7946394865987162E-2</v>
      </c>
      <c r="D28" s="180">
        <v>5.2503736920777276E-2</v>
      </c>
      <c r="E28" s="180">
        <v>4.5587981350371266E-2</v>
      </c>
      <c r="F28" s="180">
        <v>3.9692701664532648E-2</v>
      </c>
      <c r="G28" s="180">
        <v>3.5064358632933869E-2</v>
      </c>
      <c r="H28" s="130">
        <v>2.348178137651822E-2</v>
      </c>
      <c r="I28" s="131">
        <v>4.2799999999999998E-2</v>
      </c>
      <c r="J28" s="235"/>
      <c r="K28" s="247"/>
      <c r="L28" s="247"/>
      <c r="M28" s="247"/>
      <c r="N28" s="248"/>
    </row>
    <row r="29" spans="1:14" ht="12" thickBot="1" x14ac:dyDescent="0.25">
      <c r="A29" s="58"/>
      <c r="B29" s="85" t="s">
        <v>0</v>
      </c>
      <c r="C29" s="136">
        <v>3.455368161250514E-2</v>
      </c>
      <c r="D29" s="182">
        <v>2.4204099433057132E-2</v>
      </c>
      <c r="E29" s="182">
        <v>2.2006713912719134E-2</v>
      </c>
      <c r="F29" s="182">
        <v>1.5195791934541203E-2</v>
      </c>
      <c r="G29" s="182">
        <v>1.1984659635666348E-2</v>
      </c>
      <c r="H29" s="135">
        <v>8.0151866694790127E-3</v>
      </c>
      <c r="I29" s="136">
        <v>1.95E-2</v>
      </c>
      <c r="J29" s="236"/>
      <c r="K29" s="247"/>
      <c r="L29" s="247"/>
      <c r="M29" s="247"/>
      <c r="N29" s="248"/>
    </row>
    <row r="30" spans="1:14" x14ac:dyDescent="0.2">
      <c r="A30" s="74" t="s">
        <v>39</v>
      </c>
      <c r="B30" s="75" t="s">
        <v>2</v>
      </c>
      <c r="C30" s="221">
        <v>5.4884742041712408E-3</v>
      </c>
      <c r="D30" s="222">
        <v>4.0768782760629008E-3</v>
      </c>
      <c r="E30" s="222">
        <v>7.0546737213403876E-3</v>
      </c>
      <c r="F30" s="222">
        <v>4.2257022122793933E-3</v>
      </c>
      <c r="G30" s="222">
        <v>2.5300442757748261E-3</v>
      </c>
      <c r="H30" s="223">
        <v>2.5670279520821448E-3</v>
      </c>
      <c r="I30" s="221">
        <v>4.416229643941485E-3</v>
      </c>
      <c r="J30" s="234">
        <v>0.51977401129943501</v>
      </c>
      <c r="K30" s="181"/>
      <c r="L30" s="181"/>
      <c r="M30" s="181"/>
      <c r="N30" s="171"/>
    </row>
    <row r="31" spans="1:14" x14ac:dyDescent="0.2">
      <c r="A31" s="3"/>
      <c r="B31" s="82" t="s">
        <v>1</v>
      </c>
      <c r="C31" s="131">
        <v>1.6129032258064516E-2</v>
      </c>
      <c r="D31" s="180">
        <v>1.8092105263157895E-2</v>
      </c>
      <c r="E31" s="180">
        <v>2.5740650801359885E-2</v>
      </c>
      <c r="F31" s="180">
        <v>1.8544935805991442E-2</v>
      </c>
      <c r="G31" s="180">
        <v>2.0535158680771624E-2</v>
      </c>
      <c r="H31" s="130">
        <v>6.2535531552018195E-3</v>
      </c>
      <c r="I31" s="131">
        <v>1.77E-2</v>
      </c>
      <c r="J31" s="235"/>
      <c r="K31" s="181"/>
      <c r="L31" s="181"/>
      <c r="M31" s="181"/>
      <c r="N31" s="171"/>
    </row>
    <row r="32" spans="1:14" ht="12" thickBot="1" x14ac:dyDescent="0.25">
      <c r="A32" s="58"/>
      <c r="B32" s="85" t="s">
        <v>0</v>
      </c>
      <c r="C32" s="136">
        <v>1.1614401858304297E-2</v>
      </c>
      <c r="D32" s="182">
        <v>8.6956521739130436E-3</v>
      </c>
      <c r="E32" s="182">
        <v>1.4659685863874346E-2</v>
      </c>
      <c r="F32" s="182">
        <v>8.8541666666666664E-3</v>
      </c>
      <c r="G32" s="182">
        <v>5.144694533762058E-3</v>
      </c>
      <c r="H32" s="135">
        <v>5.1516886090440753E-3</v>
      </c>
      <c r="I32" s="136">
        <v>9.1999999999999998E-3</v>
      </c>
      <c r="J32" s="236"/>
      <c r="K32" s="181"/>
      <c r="L32" s="181"/>
      <c r="M32" s="181"/>
      <c r="N32" s="171"/>
    </row>
    <row r="33" spans="1:14" ht="10.15" customHeight="1" x14ac:dyDescent="0.2">
      <c r="A33" s="74" t="s">
        <v>40</v>
      </c>
      <c r="B33" s="75" t="s">
        <v>2</v>
      </c>
      <c r="C33" s="221">
        <v>3.7450199203187248E-2</v>
      </c>
      <c r="D33" s="222">
        <v>3.8678485092667206E-2</v>
      </c>
      <c r="E33" s="222">
        <v>4.0242976461655276E-2</v>
      </c>
      <c r="F33" s="222">
        <v>1.9490851233094669E-2</v>
      </c>
      <c r="G33" s="222">
        <v>1.8719211822660099E-2</v>
      </c>
      <c r="H33" s="223">
        <v>1.5204170286707211E-2</v>
      </c>
      <c r="I33" s="221">
        <v>2.8883360972913212E-2</v>
      </c>
      <c r="J33" s="234">
        <v>0.4285714285714286</v>
      </c>
      <c r="K33" s="181"/>
      <c r="L33" s="181"/>
      <c r="M33" s="181"/>
      <c r="N33" s="171"/>
    </row>
    <row r="34" spans="1:14" ht="10.15" customHeight="1" x14ac:dyDescent="0.2">
      <c r="A34" s="3"/>
      <c r="B34" s="82" t="s">
        <v>1</v>
      </c>
      <c r="C34" s="131">
        <v>4.3964232488822655E-2</v>
      </c>
      <c r="D34" s="180">
        <v>5.3929121725731895E-2</v>
      </c>
      <c r="E34" s="180">
        <v>5.6005895357406042E-2</v>
      </c>
      <c r="F34" s="180">
        <v>2.4883359253499222E-2</v>
      </c>
      <c r="G34" s="180">
        <v>3.1914893617021274E-2</v>
      </c>
      <c r="H34" s="130">
        <v>2.4200518582541054E-2</v>
      </c>
      <c r="I34" s="131">
        <v>3.9899999999999998E-2</v>
      </c>
      <c r="J34" s="235"/>
      <c r="K34" s="181"/>
      <c r="L34" s="181"/>
      <c r="M34" s="181"/>
      <c r="N34" s="171"/>
    </row>
    <row r="35" spans="1:14" ht="12" thickBot="1" x14ac:dyDescent="0.25">
      <c r="A35" s="58"/>
      <c r="B35" s="85" t="s">
        <v>0</v>
      </c>
      <c r="C35" s="136">
        <v>2.9965753424657533E-2</v>
      </c>
      <c r="D35" s="182">
        <v>2.1959459459459461E-2</v>
      </c>
      <c r="E35" s="182">
        <v>2.3492560689115115E-2</v>
      </c>
      <c r="F35" s="182">
        <v>1.3843648208469055E-2</v>
      </c>
      <c r="G35" s="182">
        <v>5.0200803212851405E-3</v>
      </c>
      <c r="H35" s="135">
        <v>6.1135371179039302E-3</v>
      </c>
      <c r="I35" s="136">
        <v>1.7100000000000001E-2</v>
      </c>
      <c r="J35" s="236"/>
      <c r="K35" s="181"/>
      <c r="L35" s="181"/>
      <c r="M35" s="181"/>
      <c r="N35" s="171"/>
    </row>
    <row r="36" spans="1:14" x14ac:dyDescent="0.2">
      <c r="A36" s="74" t="s">
        <v>41</v>
      </c>
      <c r="B36" s="75" t="s">
        <v>2</v>
      </c>
      <c r="C36" s="221">
        <v>5.1222351571594875E-2</v>
      </c>
      <c r="D36" s="222">
        <v>5.4513481828839389E-2</v>
      </c>
      <c r="E36" s="222">
        <v>4.7757255936675465E-2</v>
      </c>
      <c r="F36" s="222">
        <v>4.085603112840467E-2</v>
      </c>
      <c r="G36" s="222">
        <v>3.3619210977701541E-2</v>
      </c>
      <c r="H36" s="223">
        <v>2.6721156868909149E-2</v>
      </c>
      <c r="I36" s="221">
        <v>4.2937241786346649E-2</v>
      </c>
      <c r="J36" s="234">
        <v>0.45266781411359724</v>
      </c>
      <c r="K36" s="247"/>
      <c r="L36" s="247"/>
      <c r="M36" s="247"/>
      <c r="N36" s="248"/>
    </row>
    <row r="37" spans="1:14" ht="12" x14ac:dyDescent="0.2">
      <c r="A37" s="127"/>
      <c r="B37" s="82" t="s">
        <v>1</v>
      </c>
      <c r="C37" s="131">
        <v>6.5410199556541024E-2</v>
      </c>
      <c r="D37" s="180">
        <v>7.2685973878478138E-2</v>
      </c>
      <c r="E37" s="180">
        <v>6.2563580874872834E-2</v>
      </c>
      <c r="F37" s="180">
        <v>5.9905412506568577E-2</v>
      </c>
      <c r="G37" s="180">
        <v>5.128205128205128E-2</v>
      </c>
      <c r="H37" s="130">
        <v>3.3674082982561637E-2</v>
      </c>
      <c r="I37" s="131">
        <v>5.8099999999999999E-2</v>
      </c>
      <c r="J37" s="235"/>
      <c r="K37" s="247"/>
      <c r="L37" s="247"/>
      <c r="M37" s="247"/>
      <c r="N37" s="248"/>
    </row>
    <row r="38" spans="1:14" ht="12" thickBot="1" x14ac:dyDescent="0.25">
      <c r="A38" s="58"/>
      <c r="B38" s="85" t="s">
        <v>0</v>
      </c>
      <c r="C38" s="136">
        <v>3.5539215686274508E-2</v>
      </c>
      <c r="D38" s="182">
        <v>3.5130224106602062E-2</v>
      </c>
      <c r="E38" s="182">
        <v>3.1798245614035089E-2</v>
      </c>
      <c r="F38" s="182">
        <v>1.9469026548672566E-2</v>
      </c>
      <c r="G38" s="182">
        <v>1.3284132841328414E-2</v>
      </c>
      <c r="H38" s="135">
        <v>1.9104084321475624E-2</v>
      </c>
      <c r="I38" s="136">
        <v>2.63E-2</v>
      </c>
      <c r="J38" s="236"/>
      <c r="K38" s="247"/>
      <c r="L38" s="247"/>
      <c r="M38" s="247"/>
      <c r="N38" s="248"/>
    </row>
    <row r="39" spans="1:14" x14ac:dyDescent="0.2">
      <c r="A39" s="74" t="s">
        <v>42</v>
      </c>
      <c r="B39" s="75" t="s">
        <v>2</v>
      </c>
      <c r="C39" s="221">
        <v>7.8941258416531223E-3</v>
      </c>
      <c r="D39" s="222">
        <v>5.8722779544898461E-3</v>
      </c>
      <c r="E39" s="222">
        <v>3.8289725590299937E-3</v>
      </c>
      <c r="F39" s="222">
        <v>4.5351473922902496E-3</v>
      </c>
      <c r="G39" s="222">
        <v>6.8045726728361462E-3</v>
      </c>
      <c r="H39" s="223">
        <v>4.0973728609303445E-3</v>
      </c>
      <c r="I39" s="221">
        <v>5.4485154769425143E-3</v>
      </c>
      <c r="J39" s="234">
        <v>0.50467289719626174</v>
      </c>
      <c r="K39" s="181"/>
      <c r="L39" s="181"/>
      <c r="M39" s="181"/>
      <c r="N39" s="171"/>
    </row>
    <row r="40" spans="1:14" x14ac:dyDescent="0.2">
      <c r="A40" s="3"/>
      <c r="B40" s="82" t="s">
        <v>1</v>
      </c>
      <c r="C40" s="131">
        <v>1.5461573442473852E-2</v>
      </c>
      <c r="D40" s="180">
        <v>1.1131725417439703E-2</v>
      </c>
      <c r="E40" s="180">
        <v>7.8057241977450131E-3</v>
      </c>
      <c r="F40" s="180">
        <v>8.8144557073600704E-3</v>
      </c>
      <c r="G40" s="180">
        <v>1.3426423200859291E-2</v>
      </c>
      <c r="H40" s="130">
        <v>7.9588014981273412E-3</v>
      </c>
      <c r="I40" s="131">
        <v>1.0699999999999999E-2</v>
      </c>
      <c r="J40" s="235"/>
      <c r="K40" s="181"/>
      <c r="L40" s="181"/>
      <c r="M40" s="181"/>
      <c r="N40" s="171"/>
    </row>
    <row r="41" spans="1:14" ht="12" thickBot="1" x14ac:dyDescent="0.25">
      <c r="A41" s="58"/>
      <c r="B41" s="85" t="s">
        <v>0</v>
      </c>
      <c r="C41" s="136">
        <v>1.0910815939278937E-2</v>
      </c>
      <c r="D41" s="182">
        <v>7.2501294665976174E-3</v>
      </c>
      <c r="E41" s="182">
        <v>5.0104384133611689E-3</v>
      </c>
      <c r="F41" s="182">
        <v>3.269500233535731E-3</v>
      </c>
      <c r="G41" s="182">
        <v>3.3112582781456954E-3</v>
      </c>
      <c r="H41" s="135">
        <v>2.4838549428713363E-3</v>
      </c>
      <c r="I41" s="136">
        <v>5.4000000000000003E-3</v>
      </c>
      <c r="J41" s="236"/>
      <c r="K41" s="181"/>
      <c r="L41" s="181"/>
      <c r="M41" s="181"/>
      <c r="N41" s="171"/>
    </row>
    <row r="42" spans="1:14" x14ac:dyDescent="0.2">
      <c r="A42" s="74" t="s">
        <v>43</v>
      </c>
      <c r="B42" s="75" t="s">
        <v>2</v>
      </c>
      <c r="C42" s="221">
        <v>1.0073754272351142E-2</v>
      </c>
      <c r="D42" s="222">
        <v>6.5777452950849628E-3</v>
      </c>
      <c r="E42" s="222">
        <v>6.4367057270176596E-3</v>
      </c>
      <c r="F42" s="222">
        <v>4.6979865771812077E-3</v>
      </c>
      <c r="G42" s="222">
        <v>5.065856129685917E-3</v>
      </c>
      <c r="H42" s="223">
        <v>4.6850598646538261E-3</v>
      </c>
      <c r="I42" s="221">
        <v>6.2520370973954782E-3</v>
      </c>
      <c r="J42" s="234">
        <v>0.59562841530054644</v>
      </c>
      <c r="K42" s="181"/>
      <c r="L42" s="181"/>
      <c r="M42" s="181"/>
      <c r="N42" s="171"/>
    </row>
    <row r="43" spans="1:14" x14ac:dyDescent="0.2">
      <c r="A43" s="3"/>
      <c r="B43" s="82" t="s">
        <v>1</v>
      </c>
      <c r="C43" s="131">
        <v>2.4896265560165973E-2</v>
      </c>
      <c r="D43" s="180">
        <v>2.2291884360849879E-2</v>
      </c>
      <c r="E43" s="180">
        <v>2.014294996751137E-2</v>
      </c>
      <c r="F43" s="180">
        <v>1.6916070266753416E-2</v>
      </c>
      <c r="G43" s="180">
        <v>1.3969732246798603E-2</v>
      </c>
      <c r="H43" s="130">
        <v>1.1513714866237725E-2</v>
      </c>
      <c r="I43" s="131">
        <v>1.83E-2</v>
      </c>
      <c r="J43" s="235"/>
      <c r="K43" s="181"/>
      <c r="L43" s="181"/>
      <c r="M43" s="181"/>
      <c r="N43" s="171"/>
    </row>
    <row r="44" spans="1:14" ht="12" thickBot="1" x14ac:dyDescent="0.25">
      <c r="A44" s="58"/>
      <c r="B44" s="85" t="s">
        <v>0</v>
      </c>
      <c r="C44" s="136">
        <v>1.987251593550806E-2</v>
      </c>
      <c r="D44" s="182">
        <v>1.2298232129131437E-2</v>
      </c>
      <c r="E44" s="182">
        <v>1.1405568601140557E-2</v>
      </c>
      <c r="F44" s="182">
        <v>7.6230076230076231E-3</v>
      </c>
      <c r="G44" s="182">
        <v>7.6335877862595417E-3</v>
      </c>
      <c r="H44" s="135">
        <v>6.7615658362989326E-3</v>
      </c>
      <c r="I44" s="136">
        <v>1.09E-2</v>
      </c>
      <c r="J44" s="236"/>
      <c r="K44" s="181"/>
      <c r="L44" s="181"/>
      <c r="M44" s="181"/>
      <c r="N44" s="171"/>
    </row>
    <row r="45" spans="1:14" x14ac:dyDescent="0.2">
      <c r="A45" s="88" t="s">
        <v>3</v>
      </c>
      <c r="B45" s="89" t="s">
        <v>2</v>
      </c>
      <c r="C45" s="237">
        <v>2.4426194988418616E-2</v>
      </c>
      <c r="D45" s="238">
        <v>2.143676580736302E-2</v>
      </c>
      <c r="E45" s="238">
        <v>1.8428586034147838E-2</v>
      </c>
      <c r="F45" s="238">
        <v>1.4749158575481506E-2</v>
      </c>
      <c r="G45" s="238">
        <v>1.3815869910747035E-2</v>
      </c>
      <c r="H45" s="239">
        <v>1.0215802952696595E-2</v>
      </c>
      <c r="I45" s="237">
        <v>1.7287186383419011E-2</v>
      </c>
      <c r="J45" s="240">
        <v>0.49561403508771923</v>
      </c>
      <c r="K45" s="181"/>
      <c r="L45" s="181"/>
      <c r="M45" s="181"/>
      <c r="N45" s="171"/>
    </row>
    <row r="46" spans="1:14" x14ac:dyDescent="0.2">
      <c r="A46" s="96"/>
      <c r="B46" s="97" t="s">
        <v>1</v>
      </c>
      <c r="C46" s="98">
        <v>2.9811871953258365E-2</v>
      </c>
      <c r="D46" s="99">
        <v>2.7644230769230768E-2</v>
      </c>
      <c r="E46" s="99">
        <v>2.4204897269912751E-2</v>
      </c>
      <c r="F46" s="99">
        <v>2.0387866732968673E-2</v>
      </c>
      <c r="G46" s="99">
        <v>1.9304691316074499E-2</v>
      </c>
      <c r="H46" s="100">
        <v>1.4706967818128138E-2</v>
      </c>
      <c r="I46" s="98">
        <v>2.2800000000000001E-2</v>
      </c>
      <c r="J46" s="241"/>
      <c r="K46" s="181"/>
      <c r="L46" s="181"/>
      <c r="M46" s="181"/>
      <c r="N46" s="171"/>
    </row>
    <row r="47" spans="1:14" ht="12" thickBot="1" x14ac:dyDescent="0.25">
      <c r="A47" s="103"/>
      <c r="B47" s="104" t="s">
        <v>0</v>
      </c>
      <c r="C47" s="242">
        <v>1.8586367452866192E-2</v>
      </c>
      <c r="D47" s="206">
        <v>1.4478473325423798E-2</v>
      </c>
      <c r="E47" s="206">
        <v>1.23045058011971E-2</v>
      </c>
      <c r="F47" s="206">
        <v>8.7895757443955131E-3</v>
      </c>
      <c r="G47" s="206">
        <v>7.7888158201576416E-3</v>
      </c>
      <c r="H47" s="243">
        <v>5.5367579206398029E-3</v>
      </c>
      <c r="I47" s="242">
        <v>1.1299999999999999E-2</v>
      </c>
      <c r="J47" s="244"/>
      <c r="K47" s="181"/>
      <c r="L47" s="181"/>
      <c r="M47" s="181"/>
      <c r="N47" s="171"/>
    </row>
    <row r="48" spans="1:14" x14ac:dyDescent="0.2">
      <c r="J48" s="147"/>
    </row>
  </sheetData>
  <sheetProtection algorithmName="SHA-512" hashValue="VrgB3bGzXM/y+yp33o31mJDf7WRlyKDRRMemsw9SJ0L1pC3nQpj1GgOgdAgx6NgY4HHObS1bWSTkEPbKfuJhrQ==" saltValue="RbGpdytySIWczLgU0roqRA==" spinCount="100000" sheet="1" objects="1" scenarios="1"/>
  <mergeCells count="6">
    <mergeCell ref="B10:B11"/>
    <mergeCell ref="A1:J1"/>
    <mergeCell ref="A2:J2"/>
    <mergeCell ref="A3:J3"/>
    <mergeCell ref="A4:J4"/>
    <mergeCell ref="A5:J5"/>
  </mergeCells>
  <conditionalFormatting sqref="C5:J6 J9:J48">
    <cfRule type="cellIs" dxfId="10" priority="11" operator="lessThan">
      <formula>0</formula>
    </cfRule>
  </conditionalFormatting>
  <conditionalFormatting sqref="N10:N11">
    <cfRule type="cellIs" dxfId="9" priority="14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pageSetUpPr fitToPage="1"/>
  </sheetPr>
  <dimension ref="A1:P47"/>
  <sheetViews>
    <sheetView showGridLines="0" zoomScaleNormal="100" workbookViewId="0">
      <pane xSplit="2" ySplit="8" topLeftCell="C9" activePane="bottomRight" state="frozen"/>
      <selection activeCell="A35" sqref="A35"/>
      <selection pane="topRight" activeCell="A35" sqref="A35"/>
      <selection pane="bottomLeft" activeCell="A35" sqref="A35"/>
      <selection pane="bottomRight" activeCell="B49" sqref="B49:P848"/>
    </sheetView>
  </sheetViews>
  <sheetFormatPr defaultRowHeight="11.25" x14ac:dyDescent="0.2"/>
  <cols>
    <col min="1" max="1" width="42" style="110" customWidth="1"/>
    <col min="2" max="2" width="10.42578125" style="111" bestFit="1" customWidth="1"/>
    <col min="3" max="3" width="6.5703125" style="27" customWidth="1"/>
    <col min="4" max="4" width="7" style="27" bestFit="1" customWidth="1"/>
    <col min="5" max="5" width="7.42578125" style="27" bestFit="1" customWidth="1"/>
    <col min="6" max="6" width="7.7109375" style="27" bestFit="1" customWidth="1"/>
    <col min="7" max="7" width="7.28515625" style="27" bestFit="1" customWidth="1"/>
    <col min="8" max="8" width="7.7109375" style="27" bestFit="1" customWidth="1"/>
    <col min="9" max="9" width="10.28515625" style="27" bestFit="1" customWidth="1"/>
    <col min="10" max="10" width="10.140625" style="147" bestFit="1" customWidth="1"/>
    <col min="11" max="15" width="1.7109375" style="111" bestFit="1" customWidth="1"/>
    <col min="16" max="16" width="5.7109375" style="111" bestFit="1" customWidth="1"/>
    <col min="17" max="206" width="8.85546875" style="111"/>
    <col min="207" max="207" width="23.85546875" style="111" customWidth="1"/>
    <col min="208" max="208" width="10.7109375" style="111" customWidth="1"/>
    <col min="209" max="209" width="6.5703125" style="111" customWidth="1"/>
    <col min="210" max="210" width="7" style="111" bestFit="1" customWidth="1"/>
    <col min="211" max="211" width="7.42578125" style="111" bestFit="1" customWidth="1"/>
    <col min="212" max="212" width="7.7109375" style="111" bestFit="1" customWidth="1"/>
    <col min="213" max="213" width="7.28515625" style="111" bestFit="1" customWidth="1"/>
    <col min="214" max="214" width="7.7109375" style="111" bestFit="1" customWidth="1"/>
    <col min="215" max="215" width="10.28515625" style="111" bestFit="1" customWidth="1"/>
    <col min="216" max="216" width="10.140625" style="111" bestFit="1" customWidth="1"/>
    <col min="217" max="217" width="23.85546875" style="111" customWidth="1"/>
    <col min="218" max="218" width="10.7109375" style="111" customWidth="1"/>
    <col min="219" max="219" width="6.5703125" style="111" customWidth="1"/>
    <col min="220" max="220" width="7" style="111" customWidth="1"/>
    <col min="221" max="221" width="7.42578125" style="111" customWidth="1"/>
    <col min="222" max="222" width="7.7109375" style="111" customWidth="1"/>
    <col min="223" max="223" width="7.28515625" style="111" customWidth="1"/>
    <col min="224" max="224" width="7.7109375" style="111" customWidth="1"/>
    <col min="225" max="225" width="10.28515625" style="111" customWidth="1"/>
    <col min="226" max="226" width="10.140625" style="111" customWidth="1"/>
    <col min="227" max="227" width="14.85546875" style="111" customWidth="1"/>
    <col min="228" max="228" width="10.7109375" style="111" customWidth="1"/>
    <col min="229" max="229" width="6.5703125" style="111" customWidth="1"/>
    <col min="230" max="230" width="7" style="111" customWidth="1"/>
    <col min="231" max="231" width="7.42578125" style="111" customWidth="1"/>
    <col min="232" max="232" width="7.7109375" style="111" customWidth="1"/>
    <col min="233" max="233" width="7.28515625" style="111" customWidth="1"/>
    <col min="234" max="234" width="7.7109375" style="111" customWidth="1"/>
    <col min="235" max="235" width="10.28515625" style="111" customWidth="1"/>
    <col min="236" max="236" width="10.140625" style="111" customWidth="1"/>
    <col min="237" max="237" width="8.85546875" style="111"/>
    <col min="238" max="256" width="9.140625" style="111" customWidth="1"/>
    <col min="257" max="462" width="8.85546875" style="111"/>
    <col min="463" max="463" width="23.85546875" style="111" customWidth="1"/>
    <col min="464" max="464" width="10.7109375" style="111" customWidth="1"/>
    <col min="465" max="465" width="6.5703125" style="111" customWidth="1"/>
    <col min="466" max="466" width="7" style="111" bestFit="1" customWidth="1"/>
    <col min="467" max="467" width="7.42578125" style="111" bestFit="1" customWidth="1"/>
    <col min="468" max="468" width="7.7109375" style="111" bestFit="1" customWidth="1"/>
    <col min="469" max="469" width="7.28515625" style="111" bestFit="1" customWidth="1"/>
    <col min="470" max="470" width="7.7109375" style="111" bestFit="1" customWidth="1"/>
    <col min="471" max="471" width="10.28515625" style="111" bestFit="1" customWidth="1"/>
    <col min="472" max="472" width="10.140625" style="111" bestFit="1" customWidth="1"/>
    <col min="473" max="473" width="23.85546875" style="111" customWidth="1"/>
    <col min="474" max="474" width="10.7109375" style="111" customWidth="1"/>
    <col min="475" max="475" width="6.5703125" style="111" customWidth="1"/>
    <col min="476" max="476" width="7" style="111" customWidth="1"/>
    <col min="477" max="477" width="7.42578125" style="111" customWidth="1"/>
    <col min="478" max="478" width="7.7109375" style="111" customWidth="1"/>
    <col min="479" max="479" width="7.28515625" style="111" customWidth="1"/>
    <col min="480" max="480" width="7.7109375" style="111" customWidth="1"/>
    <col min="481" max="481" width="10.28515625" style="111" customWidth="1"/>
    <col min="482" max="482" width="10.140625" style="111" customWidth="1"/>
    <col min="483" max="483" width="14.85546875" style="111" customWidth="1"/>
    <col min="484" max="484" width="10.7109375" style="111" customWidth="1"/>
    <col min="485" max="485" width="6.5703125" style="111" customWidth="1"/>
    <col min="486" max="486" width="7" style="111" customWidth="1"/>
    <col min="487" max="487" width="7.42578125" style="111" customWidth="1"/>
    <col min="488" max="488" width="7.7109375" style="111" customWidth="1"/>
    <col min="489" max="489" width="7.28515625" style="111" customWidth="1"/>
    <col min="490" max="490" width="7.7109375" style="111" customWidth="1"/>
    <col min="491" max="491" width="10.28515625" style="111" customWidth="1"/>
    <col min="492" max="492" width="10.140625" style="111" customWidth="1"/>
    <col min="493" max="493" width="8.85546875" style="111"/>
    <col min="494" max="512" width="9.140625" style="111" customWidth="1"/>
    <col min="513" max="718" width="8.85546875" style="111"/>
    <col min="719" max="719" width="23.85546875" style="111" customWidth="1"/>
    <col min="720" max="720" width="10.7109375" style="111" customWidth="1"/>
    <col min="721" max="721" width="6.5703125" style="111" customWidth="1"/>
    <col min="722" max="722" width="7" style="111" bestFit="1" customWidth="1"/>
    <col min="723" max="723" width="7.42578125" style="111" bestFit="1" customWidth="1"/>
    <col min="724" max="724" width="7.7109375" style="111" bestFit="1" customWidth="1"/>
    <col min="725" max="725" width="7.28515625" style="111" bestFit="1" customWidth="1"/>
    <col min="726" max="726" width="7.7109375" style="111" bestFit="1" customWidth="1"/>
    <col min="727" max="727" width="10.28515625" style="111" bestFit="1" customWidth="1"/>
    <col min="728" max="728" width="10.140625" style="111" bestFit="1" customWidth="1"/>
    <col min="729" max="729" width="23.85546875" style="111" customWidth="1"/>
    <col min="730" max="730" width="10.7109375" style="111" customWidth="1"/>
    <col min="731" max="731" width="6.5703125" style="111" customWidth="1"/>
    <col min="732" max="732" width="7" style="111" customWidth="1"/>
    <col min="733" max="733" width="7.42578125" style="111" customWidth="1"/>
    <col min="734" max="734" width="7.7109375" style="111" customWidth="1"/>
    <col min="735" max="735" width="7.28515625" style="111" customWidth="1"/>
    <col min="736" max="736" width="7.7109375" style="111" customWidth="1"/>
    <col min="737" max="737" width="10.28515625" style="111" customWidth="1"/>
    <col min="738" max="738" width="10.140625" style="111" customWidth="1"/>
    <col min="739" max="739" width="14.85546875" style="111" customWidth="1"/>
    <col min="740" max="740" width="10.7109375" style="111" customWidth="1"/>
    <col min="741" max="741" width="6.5703125" style="111" customWidth="1"/>
    <col min="742" max="742" width="7" style="111" customWidth="1"/>
    <col min="743" max="743" width="7.42578125" style="111" customWidth="1"/>
    <col min="744" max="744" width="7.7109375" style="111" customWidth="1"/>
    <col min="745" max="745" width="7.28515625" style="111" customWidth="1"/>
    <col min="746" max="746" width="7.7109375" style="111" customWidth="1"/>
    <col min="747" max="747" width="10.28515625" style="111" customWidth="1"/>
    <col min="748" max="748" width="10.140625" style="111" customWidth="1"/>
    <col min="749" max="749" width="8.85546875" style="111"/>
    <col min="750" max="768" width="9.140625" style="111" customWidth="1"/>
    <col min="769" max="974" width="8.85546875" style="111"/>
    <col min="975" max="975" width="23.85546875" style="111" customWidth="1"/>
    <col min="976" max="976" width="10.7109375" style="111" customWidth="1"/>
    <col min="977" max="977" width="6.5703125" style="111" customWidth="1"/>
    <col min="978" max="978" width="7" style="111" bestFit="1" customWidth="1"/>
    <col min="979" max="979" width="7.42578125" style="111" bestFit="1" customWidth="1"/>
    <col min="980" max="980" width="7.7109375" style="111" bestFit="1" customWidth="1"/>
    <col min="981" max="981" width="7.28515625" style="111" bestFit="1" customWidth="1"/>
    <col min="982" max="982" width="7.7109375" style="111" bestFit="1" customWidth="1"/>
    <col min="983" max="983" width="10.28515625" style="111" bestFit="1" customWidth="1"/>
    <col min="984" max="984" width="10.140625" style="111" bestFit="1" customWidth="1"/>
    <col min="985" max="985" width="23.85546875" style="111" customWidth="1"/>
    <col min="986" max="986" width="10.7109375" style="111" customWidth="1"/>
    <col min="987" max="987" width="6.5703125" style="111" customWidth="1"/>
    <col min="988" max="988" width="7" style="111" customWidth="1"/>
    <col min="989" max="989" width="7.42578125" style="111" customWidth="1"/>
    <col min="990" max="990" width="7.7109375" style="111" customWidth="1"/>
    <col min="991" max="991" width="7.28515625" style="111" customWidth="1"/>
    <col min="992" max="992" width="7.7109375" style="111" customWidth="1"/>
    <col min="993" max="993" width="10.28515625" style="111" customWidth="1"/>
    <col min="994" max="994" width="10.140625" style="111" customWidth="1"/>
    <col min="995" max="995" width="14.85546875" style="111" customWidth="1"/>
    <col min="996" max="996" width="10.7109375" style="111" customWidth="1"/>
    <col min="997" max="997" width="6.5703125" style="111" customWidth="1"/>
    <col min="998" max="998" width="7" style="111" customWidth="1"/>
    <col min="999" max="999" width="7.42578125" style="111" customWidth="1"/>
    <col min="1000" max="1000" width="7.7109375" style="111" customWidth="1"/>
    <col min="1001" max="1001" width="7.28515625" style="111" customWidth="1"/>
    <col min="1002" max="1002" width="7.7109375" style="111" customWidth="1"/>
    <col min="1003" max="1003" width="10.28515625" style="111" customWidth="1"/>
    <col min="1004" max="1004" width="10.140625" style="111" customWidth="1"/>
    <col min="1005" max="1005" width="8.85546875" style="111"/>
    <col min="1006" max="1024" width="9.140625" style="111" customWidth="1"/>
    <col min="1025" max="1230" width="8.85546875" style="111"/>
    <col min="1231" max="1231" width="23.85546875" style="111" customWidth="1"/>
    <col min="1232" max="1232" width="10.7109375" style="111" customWidth="1"/>
    <col min="1233" max="1233" width="6.5703125" style="111" customWidth="1"/>
    <col min="1234" max="1234" width="7" style="111" bestFit="1" customWidth="1"/>
    <col min="1235" max="1235" width="7.42578125" style="111" bestFit="1" customWidth="1"/>
    <col min="1236" max="1236" width="7.7109375" style="111" bestFit="1" customWidth="1"/>
    <col min="1237" max="1237" width="7.28515625" style="111" bestFit="1" customWidth="1"/>
    <col min="1238" max="1238" width="7.7109375" style="111" bestFit="1" customWidth="1"/>
    <col min="1239" max="1239" width="10.28515625" style="111" bestFit="1" customWidth="1"/>
    <col min="1240" max="1240" width="10.140625" style="111" bestFit="1" customWidth="1"/>
    <col min="1241" max="1241" width="23.85546875" style="111" customWidth="1"/>
    <col min="1242" max="1242" width="10.7109375" style="111" customWidth="1"/>
    <col min="1243" max="1243" width="6.5703125" style="111" customWidth="1"/>
    <col min="1244" max="1244" width="7" style="111" customWidth="1"/>
    <col min="1245" max="1245" width="7.42578125" style="111" customWidth="1"/>
    <col min="1246" max="1246" width="7.7109375" style="111" customWidth="1"/>
    <col min="1247" max="1247" width="7.28515625" style="111" customWidth="1"/>
    <col min="1248" max="1248" width="7.7109375" style="111" customWidth="1"/>
    <col min="1249" max="1249" width="10.28515625" style="111" customWidth="1"/>
    <col min="1250" max="1250" width="10.140625" style="111" customWidth="1"/>
    <col min="1251" max="1251" width="14.85546875" style="111" customWidth="1"/>
    <col min="1252" max="1252" width="10.7109375" style="111" customWidth="1"/>
    <col min="1253" max="1253" width="6.5703125" style="111" customWidth="1"/>
    <col min="1254" max="1254" width="7" style="111" customWidth="1"/>
    <col min="1255" max="1255" width="7.42578125" style="111" customWidth="1"/>
    <col min="1256" max="1256" width="7.7109375" style="111" customWidth="1"/>
    <col min="1257" max="1257" width="7.28515625" style="111" customWidth="1"/>
    <col min="1258" max="1258" width="7.7109375" style="111" customWidth="1"/>
    <col min="1259" max="1259" width="10.28515625" style="111" customWidth="1"/>
    <col min="1260" max="1260" width="10.140625" style="111" customWidth="1"/>
    <col min="1261" max="1261" width="8.85546875" style="111"/>
    <col min="1262" max="1280" width="9.140625" style="111" customWidth="1"/>
    <col min="1281" max="1486" width="8.85546875" style="111"/>
    <col min="1487" max="1487" width="23.85546875" style="111" customWidth="1"/>
    <col min="1488" max="1488" width="10.7109375" style="111" customWidth="1"/>
    <col min="1489" max="1489" width="6.5703125" style="111" customWidth="1"/>
    <col min="1490" max="1490" width="7" style="111" bestFit="1" customWidth="1"/>
    <col min="1491" max="1491" width="7.42578125" style="111" bestFit="1" customWidth="1"/>
    <col min="1492" max="1492" width="7.7109375" style="111" bestFit="1" customWidth="1"/>
    <col min="1493" max="1493" width="7.28515625" style="111" bestFit="1" customWidth="1"/>
    <col min="1494" max="1494" width="7.7109375" style="111" bestFit="1" customWidth="1"/>
    <col min="1495" max="1495" width="10.28515625" style="111" bestFit="1" customWidth="1"/>
    <col min="1496" max="1496" width="10.140625" style="111" bestFit="1" customWidth="1"/>
    <col min="1497" max="1497" width="23.85546875" style="111" customWidth="1"/>
    <col min="1498" max="1498" width="10.7109375" style="111" customWidth="1"/>
    <col min="1499" max="1499" width="6.5703125" style="111" customWidth="1"/>
    <col min="1500" max="1500" width="7" style="111" customWidth="1"/>
    <col min="1501" max="1501" width="7.42578125" style="111" customWidth="1"/>
    <col min="1502" max="1502" width="7.7109375" style="111" customWidth="1"/>
    <col min="1503" max="1503" width="7.28515625" style="111" customWidth="1"/>
    <col min="1504" max="1504" width="7.7109375" style="111" customWidth="1"/>
    <col min="1505" max="1505" width="10.28515625" style="111" customWidth="1"/>
    <col min="1506" max="1506" width="10.140625" style="111" customWidth="1"/>
    <col min="1507" max="1507" width="14.85546875" style="111" customWidth="1"/>
    <col min="1508" max="1508" width="10.7109375" style="111" customWidth="1"/>
    <col min="1509" max="1509" width="6.5703125" style="111" customWidth="1"/>
    <col min="1510" max="1510" width="7" style="111" customWidth="1"/>
    <col min="1511" max="1511" width="7.42578125" style="111" customWidth="1"/>
    <col min="1512" max="1512" width="7.7109375" style="111" customWidth="1"/>
    <col min="1513" max="1513" width="7.28515625" style="111" customWidth="1"/>
    <col min="1514" max="1514" width="7.7109375" style="111" customWidth="1"/>
    <col min="1515" max="1515" width="10.28515625" style="111" customWidth="1"/>
    <col min="1516" max="1516" width="10.140625" style="111" customWidth="1"/>
    <col min="1517" max="1517" width="8.85546875" style="111"/>
    <col min="1518" max="1536" width="9.140625" style="111" customWidth="1"/>
    <col min="1537" max="1742" width="8.85546875" style="111"/>
    <col min="1743" max="1743" width="23.85546875" style="111" customWidth="1"/>
    <col min="1744" max="1744" width="10.7109375" style="111" customWidth="1"/>
    <col min="1745" max="1745" width="6.5703125" style="111" customWidth="1"/>
    <col min="1746" max="1746" width="7" style="111" bestFit="1" customWidth="1"/>
    <col min="1747" max="1747" width="7.42578125" style="111" bestFit="1" customWidth="1"/>
    <col min="1748" max="1748" width="7.7109375" style="111" bestFit="1" customWidth="1"/>
    <col min="1749" max="1749" width="7.28515625" style="111" bestFit="1" customWidth="1"/>
    <col min="1750" max="1750" width="7.7109375" style="111" bestFit="1" customWidth="1"/>
    <col min="1751" max="1751" width="10.28515625" style="111" bestFit="1" customWidth="1"/>
    <col min="1752" max="1752" width="10.140625" style="111" bestFit="1" customWidth="1"/>
    <col min="1753" max="1753" width="23.85546875" style="111" customWidth="1"/>
    <col min="1754" max="1754" width="10.7109375" style="111" customWidth="1"/>
    <col min="1755" max="1755" width="6.5703125" style="111" customWidth="1"/>
    <col min="1756" max="1756" width="7" style="111" customWidth="1"/>
    <col min="1757" max="1757" width="7.42578125" style="111" customWidth="1"/>
    <col min="1758" max="1758" width="7.7109375" style="111" customWidth="1"/>
    <col min="1759" max="1759" width="7.28515625" style="111" customWidth="1"/>
    <col min="1760" max="1760" width="7.7109375" style="111" customWidth="1"/>
    <col min="1761" max="1761" width="10.28515625" style="111" customWidth="1"/>
    <col min="1762" max="1762" width="10.140625" style="111" customWidth="1"/>
    <col min="1763" max="1763" width="14.85546875" style="111" customWidth="1"/>
    <col min="1764" max="1764" width="10.7109375" style="111" customWidth="1"/>
    <col min="1765" max="1765" width="6.5703125" style="111" customWidth="1"/>
    <col min="1766" max="1766" width="7" style="111" customWidth="1"/>
    <col min="1767" max="1767" width="7.42578125" style="111" customWidth="1"/>
    <col min="1768" max="1768" width="7.7109375" style="111" customWidth="1"/>
    <col min="1769" max="1769" width="7.28515625" style="111" customWidth="1"/>
    <col min="1770" max="1770" width="7.7109375" style="111" customWidth="1"/>
    <col min="1771" max="1771" width="10.28515625" style="111" customWidth="1"/>
    <col min="1772" max="1772" width="10.140625" style="111" customWidth="1"/>
    <col min="1773" max="1773" width="8.85546875" style="111"/>
    <col min="1774" max="1792" width="9.140625" style="111" customWidth="1"/>
    <col min="1793" max="1998" width="8.85546875" style="111"/>
    <col min="1999" max="1999" width="23.85546875" style="111" customWidth="1"/>
    <col min="2000" max="2000" width="10.7109375" style="111" customWidth="1"/>
    <col min="2001" max="2001" width="6.5703125" style="111" customWidth="1"/>
    <col min="2002" max="2002" width="7" style="111" bestFit="1" customWidth="1"/>
    <col min="2003" max="2003" width="7.42578125" style="111" bestFit="1" customWidth="1"/>
    <col min="2004" max="2004" width="7.7109375" style="111" bestFit="1" customWidth="1"/>
    <col min="2005" max="2005" width="7.28515625" style="111" bestFit="1" customWidth="1"/>
    <col min="2006" max="2006" width="7.7109375" style="111" bestFit="1" customWidth="1"/>
    <col min="2007" max="2007" width="10.28515625" style="111" bestFit="1" customWidth="1"/>
    <col min="2008" max="2008" width="10.140625" style="111" bestFit="1" customWidth="1"/>
    <col min="2009" max="2009" width="23.85546875" style="111" customWidth="1"/>
    <col min="2010" max="2010" width="10.7109375" style="111" customWidth="1"/>
    <col min="2011" max="2011" width="6.5703125" style="111" customWidth="1"/>
    <col min="2012" max="2012" width="7" style="111" customWidth="1"/>
    <col min="2013" max="2013" width="7.42578125" style="111" customWidth="1"/>
    <col min="2014" max="2014" width="7.7109375" style="111" customWidth="1"/>
    <col min="2015" max="2015" width="7.28515625" style="111" customWidth="1"/>
    <col min="2016" max="2016" width="7.7109375" style="111" customWidth="1"/>
    <col min="2017" max="2017" width="10.28515625" style="111" customWidth="1"/>
    <col min="2018" max="2018" width="10.140625" style="111" customWidth="1"/>
    <col min="2019" max="2019" width="14.85546875" style="111" customWidth="1"/>
    <col min="2020" max="2020" width="10.7109375" style="111" customWidth="1"/>
    <col min="2021" max="2021" width="6.5703125" style="111" customWidth="1"/>
    <col min="2022" max="2022" width="7" style="111" customWidth="1"/>
    <col min="2023" max="2023" width="7.42578125" style="111" customWidth="1"/>
    <col min="2024" max="2024" width="7.7109375" style="111" customWidth="1"/>
    <col min="2025" max="2025" width="7.28515625" style="111" customWidth="1"/>
    <col min="2026" max="2026" width="7.7109375" style="111" customWidth="1"/>
    <col min="2027" max="2027" width="10.28515625" style="111" customWidth="1"/>
    <col min="2028" max="2028" width="10.140625" style="111" customWidth="1"/>
    <col min="2029" max="2029" width="8.85546875" style="111"/>
    <col min="2030" max="2048" width="9.140625" style="111" customWidth="1"/>
    <col min="2049" max="2254" width="8.85546875" style="111"/>
    <col min="2255" max="2255" width="23.85546875" style="111" customWidth="1"/>
    <col min="2256" max="2256" width="10.7109375" style="111" customWidth="1"/>
    <col min="2257" max="2257" width="6.5703125" style="111" customWidth="1"/>
    <col min="2258" max="2258" width="7" style="111" bestFit="1" customWidth="1"/>
    <col min="2259" max="2259" width="7.42578125" style="111" bestFit="1" customWidth="1"/>
    <col min="2260" max="2260" width="7.7109375" style="111" bestFit="1" customWidth="1"/>
    <col min="2261" max="2261" width="7.28515625" style="111" bestFit="1" customWidth="1"/>
    <col min="2262" max="2262" width="7.7109375" style="111" bestFit="1" customWidth="1"/>
    <col min="2263" max="2263" width="10.28515625" style="111" bestFit="1" customWidth="1"/>
    <col min="2264" max="2264" width="10.140625" style="111" bestFit="1" customWidth="1"/>
    <col min="2265" max="2265" width="23.85546875" style="111" customWidth="1"/>
    <col min="2266" max="2266" width="10.7109375" style="111" customWidth="1"/>
    <col min="2267" max="2267" width="6.5703125" style="111" customWidth="1"/>
    <col min="2268" max="2268" width="7" style="111" customWidth="1"/>
    <col min="2269" max="2269" width="7.42578125" style="111" customWidth="1"/>
    <col min="2270" max="2270" width="7.7109375" style="111" customWidth="1"/>
    <col min="2271" max="2271" width="7.28515625" style="111" customWidth="1"/>
    <col min="2272" max="2272" width="7.7109375" style="111" customWidth="1"/>
    <col min="2273" max="2273" width="10.28515625" style="111" customWidth="1"/>
    <col min="2274" max="2274" width="10.140625" style="111" customWidth="1"/>
    <col min="2275" max="2275" width="14.85546875" style="111" customWidth="1"/>
    <col min="2276" max="2276" width="10.7109375" style="111" customWidth="1"/>
    <col min="2277" max="2277" width="6.5703125" style="111" customWidth="1"/>
    <col min="2278" max="2278" width="7" style="111" customWidth="1"/>
    <col min="2279" max="2279" width="7.42578125" style="111" customWidth="1"/>
    <col min="2280" max="2280" width="7.7109375" style="111" customWidth="1"/>
    <col min="2281" max="2281" width="7.28515625" style="111" customWidth="1"/>
    <col min="2282" max="2282" width="7.7109375" style="111" customWidth="1"/>
    <col min="2283" max="2283" width="10.28515625" style="111" customWidth="1"/>
    <col min="2284" max="2284" width="10.140625" style="111" customWidth="1"/>
    <col min="2285" max="2285" width="8.85546875" style="111"/>
    <col min="2286" max="2304" width="9.140625" style="111" customWidth="1"/>
    <col min="2305" max="2510" width="8.85546875" style="111"/>
    <col min="2511" max="2511" width="23.85546875" style="111" customWidth="1"/>
    <col min="2512" max="2512" width="10.7109375" style="111" customWidth="1"/>
    <col min="2513" max="2513" width="6.5703125" style="111" customWidth="1"/>
    <col min="2514" max="2514" width="7" style="111" bestFit="1" customWidth="1"/>
    <col min="2515" max="2515" width="7.42578125" style="111" bestFit="1" customWidth="1"/>
    <col min="2516" max="2516" width="7.7109375" style="111" bestFit="1" customWidth="1"/>
    <col min="2517" max="2517" width="7.28515625" style="111" bestFit="1" customWidth="1"/>
    <col min="2518" max="2518" width="7.7109375" style="111" bestFit="1" customWidth="1"/>
    <col min="2519" max="2519" width="10.28515625" style="111" bestFit="1" customWidth="1"/>
    <col min="2520" max="2520" width="10.140625" style="111" bestFit="1" customWidth="1"/>
    <col min="2521" max="2521" width="23.85546875" style="111" customWidth="1"/>
    <col min="2522" max="2522" width="10.7109375" style="111" customWidth="1"/>
    <col min="2523" max="2523" width="6.5703125" style="111" customWidth="1"/>
    <col min="2524" max="2524" width="7" style="111" customWidth="1"/>
    <col min="2525" max="2525" width="7.42578125" style="111" customWidth="1"/>
    <col min="2526" max="2526" width="7.7109375" style="111" customWidth="1"/>
    <col min="2527" max="2527" width="7.28515625" style="111" customWidth="1"/>
    <col min="2528" max="2528" width="7.7109375" style="111" customWidth="1"/>
    <col min="2529" max="2529" width="10.28515625" style="111" customWidth="1"/>
    <col min="2530" max="2530" width="10.140625" style="111" customWidth="1"/>
    <col min="2531" max="2531" width="14.85546875" style="111" customWidth="1"/>
    <col min="2532" max="2532" width="10.7109375" style="111" customWidth="1"/>
    <col min="2533" max="2533" width="6.5703125" style="111" customWidth="1"/>
    <col min="2534" max="2534" width="7" style="111" customWidth="1"/>
    <col min="2535" max="2535" width="7.42578125" style="111" customWidth="1"/>
    <col min="2536" max="2536" width="7.7109375" style="111" customWidth="1"/>
    <col min="2537" max="2537" width="7.28515625" style="111" customWidth="1"/>
    <col min="2538" max="2538" width="7.7109375" style="111" customWidth="1"/>
    <col min="2539" max="2539" width="10.28515625" style="111" customWidth="1"/>
    <col min="2540" max="2540" width="10.140625" style="111" customWidth="1"/>
    <col min="2541" max="2541" width="8.85546875" style="111"/>
    <col min="2542" max="2560" width="9.140625" style="111" customWidth="1"/>
    <col min="2561" max="2766" width="8.85546875" style="111"/>
    <col min="2767" max="2767" width="23.85546875" style="111" customWidth="1"/>
    <col min="2768" max="2768" width="10.7109375" style="111" customWidth="1"/>
    <col min="2769" max="2769" width="6.5703125" style="111" customWidth="1"/>
    <col min="2770" max="2770" width="7" style="111" bestFit="1" customWidth="1"/>
    <col min="2771" max="2771" width="7.42578125" style="111" bestFit="1" customWidth="1"/>
    <col min="2772" max="2772" width="7.7109375" style="111" bestFit="1" customWidth="1"/>
    <col min="2773" max="2773" width="7.28515625" style="111" bestFit="1" customWidth="1"/>
    <col min="2774" max="2774" width="7.7109375" style="111" bestFit="1" customWidth="1"/>
    <col min="2775" max="2775" width="10.28515625" style="111" bestFit="1" customWidth="1"/>
    <col min="2776" max="2776" width="10.140625" style="111" bestFit="1" customWidth="1"/>
    <col min="2777" max="2777" width="23.85546875" style="111" customWidth="1"/>
    <col min="2778" max="2778" width="10.7109375" style="111" customWidth="1"/>
    <col min="2779" max="2779" width="6.5703125" style="111" customWidth="1"/>
    <col min="2780" max="2780" width="7" style="111" customWidth="1"/>
    <col min="2781" max="2781" width="7.42578125" style="111" customWidth="1"/>
    <col min="2782" max="2782" width="7.7109375" style="111" customWidth="1"/>
    <col min="2783" max="2783" width="7.28515625" style="111" customWidth="1"/>
    <col min="2784" max="2784" width="7.7109375" style="111" customWidth="1"/>
    <col min="2785" max="2785" width="10.28515625" style="111" customWidth="1"/>
    <col min="2786" max="2786" width="10.140625" style="111" customWidth="1"/>
    <col min="2787" max="2787" width="14.85546875" style="111" customWidth="1"/>
    <col min="2788" max="2788" width="10.7109375" style="111" customWidth="1"/>
    <col min="2789" max="2789" width="6.5703125" style="111" customWidth="1"/>
    <col min="2790" max="2790" width="7" style="111" customWidth="1"/>
    <col min="2791" max="2791" width="7.42578125" style="111" customWidth="1"/>
    <col min="2792" max="2792" width="7.7109375" style="111" customWidth="1"/>
    <col min="2793" max="2793" width="7.28515625" style="111" customWidth="1"/>
    <col min="2794" max="2794" width="7.7109375" style="111" customWidth="1"/>
    <col min="2795" max="2795" width="10.28515625" style="111" customWidth="1"/>
    <col min="2796" max="2796" width="10.140625" style="111" customWidth="1"/>
    <col min="2797" max="2797" width="8.85546875" style="111"/>
    <col min="2798" max="2816" width="9.140625" style="111" customWidth="1"/>
    <col min="2817" max="3022" width="8.85546875" style="111"/>
    <col min="3023" max="3023" width="23.85546875" style="111" customWidth="1"/>
    <col min="3024" max="3024" width="10.7109375" style="111" customWidth="1"/>
    <col min="3025" max="3025" width="6.5703125" style="111" customWidth="1"/>
    <col min="3026" max="3026" width="7" style="111" bestFit="1" customWidth="1"/>
    <col min="3027" max="3027" width="7.42578125" style="111" bestFit="1" customWidth="1"/>
    <col min="3028" max="3028" width="7.7109375" style="111" bestFit="1" customWidth="1"/>
    <col min="3029" max="3029" width="7.28515625" style="111" bestFit="1" customWidth="1"/>
    <col min="3030" max="3030" width="7.7109375" style="111" bestFit="1" customWidth="1"/>
    <col min="3031" max="3031" width="10.28515625" style="111" bestFit="1" customWidth="1"/>
    <col min="3032" max="3032" width="10.140625" style="111" bestFit="1" customWidth="1"/>
    <col min="3033" max="3033" width="23.85546875" style="111" customWidth="1"/>
    <col min="3034" max="3034" width="10.7109375" style="111" customWidth="1"/>
    <col min="3035" max="3035" width="6.5703125" style="111" customWidth="1"/>
    <col min="3036" max="3036" width="7" style="111" customWidth="1"/>
    <col min="3037" max="3037" width="7.42578125" style="111" customWidth="1"/>
    <col min="3038" max="3038" width="7.7109375" style="111" customWidth="1"/>
    <col min="3039" max="3039" width="7.28515625" style="111" customWidth="1"/>
    <col min="3040" max="3040" width="7.7109375" style="111" customWidth="1"/>
    <col min="3041" max="3041" width="10.28515625" style="111" customWidth="1"/>
    <col min="3042" max="3042" width="10.140625" style="111" customWidth="1"/>
    <col min="3043" max="3043" width="14.85546875" style="111" customWidth="1"/>
    <col min="3044" max="3044" width="10.7109375" style="111" customWidth="1"/>
    <col min="3045" max="3045" width="6.5703125" style="111" customWidth="1"/>
    <col min="3046" max="3046" width="7" style="111" customWidth="1"/>
    <col min="3047" max="3047" width="7.42578125" style="111" customWidth="1"/>
    <col min="3048" max="3048" width="7.7109375" style="111" customWidth="1"/>
    <col min="3049" max="3049" width="7.28515625" style="111" customWidth="1"/>
    <col min="3050" max="3050" width="7.7109375" style="111" customWidth="1"/>
    <col min="3051" max="3051" width="10.28515625" style="111" customWidth="1"/>
    <col min="3052" max="3052" width="10.140625" style="111" customWidth="1"/>
    <col min="3053" max="3053" width="8.85546875" style="111"/>
    <col min="3054" max="3072" width="9.140625" style="111" customWidth="1"/>
    <col min="3073" max="3278" width="8.85546875" style="111"/>
    <col min="3279" max="3279" width="23.85546875" style="111" customWidth="1"/>
    <col min="3280" max="3280" width="10.7109375" style="111" customWidth="1"/>
    <col min="3281" max="3281" width="6.5703125" style="111" customWidth="1"/>
    <col min="3282" max="3282" width="7" style="111" bestFit="1" customWidth="1"/>
    <col min="3283" max="3283" width="7.42578125" style="111" bestFit="1" customWidth="1"/>
    <col min="3284" max="3284" width="7.7109375" style="111" bestFit="1" customWidth="1"/>
    <col min="3285" max="3285" width="7.28515625" style="111" bestFit="1" customWidth="1"/>
    <col min="3286" max="3286" width="7.7109375" style="111" bestFit="1" customWidth="1"/>
    <col min="3287" max="3287" width="10.28515625" style="111" bestFit="1" customWidth="1"/>
    <col min="3288" max="3288" width="10.140625" style="111" bestFit="1" customWidth="1"/>
    <col min="3289" max="3289" width="23.85546875" style="111" customWidth="1"/>
    <col min="3290" max="3290" width="10.7109375" style="111" customWidth="1"/>
    <col min="3291" max="3291" width="6.5703125" style="111" customWidth="1"/>
    <col min="3292" max="3292" width="7" style="111" customWidth="1"/>
    <col min="3293" max="3293" width="7.42578125" style="111" customWidth="1"/>
    <col min="3294" max="3294" width="7.7109375" style="111" customWidth="1"/>
    <col min="3295" max="3295" width="7.28515625" style="111" customWidth="1"/>
    <col min="3296" max="3296" width="7.7109375" style="111" customWidth="1"/>
    <col min="3297" max="3297" width="10.28515625" style="111" customWidth="1"/>
    <col min="3298" max="3298" width="10.140625" style="111" customWidth="1"/>
    <col min="3299" max="3299" width="14.85546875" style="111" customWidth="1"/>
    <col min="3300" max="3300" width="10.7109375" style="111" customWidth="1"/>
    <col min="3301" max="3301" width="6.5703125" style="111" customWidth="1"/>
    <col min="3302" max="3302" width="7" style="111" customWidth="1"/>
    <col min="3303" max="3303" width="7.42578125" style="111" customWidth="1"/>
    <col min="3304" max="3304" width="7.7109375" style="111" customWidth="1"/>
    <col min="3305" max="3305" width="7.28515625" style="111" customWidth="1"/>
    <col min="3306" max="3306" width="7.7109375" style="111" customWidth="1"/>
    <col min="3307" max="3307" width="10.28515625" style="111" customWidth="1"/>
    <col min="3308" max="3308" width="10.140625" style="111" customWidth="1"/>
    <col min="3309" max="3309" width="8.85546875" style="111"/>
    <col min="3310" max="3328" width="9.140625" style="111" customWidth="1"/>
    <col min="3329" max="3534" width="8.85546875" style="111"/>
    <col min="3535" max="3535" width="23.85546875" style="111" customWidth="1"/>
    <col min="3536" max="3536" width="10.7109375" style="111" customWidth="1"/>
    <col min="3537" max="3537" width="6.5703125" style="111" customWidth="1"/>
    <col min="3538" max="3538" width="7" style="111" bestFit="1" customWidth="1"/>
    <col min="3539" max="3539" width="7.42578125" style="111" bestFit="1" customWidth="1"/>
    <col min="3540" max="3540" width="7.7109375" style="111" bestFit="1" customWidth="1"/>
    <col min="3541" max="3541" width="7.28515625" style="111" bestFit="1" customWidth="1"/>
    <col min="3542" max="3542" width="7.7109375" style="111" bestFit="1" customWidth="1"/>
    <col min="3543" max="3543" width="10.28515625" style="111" bestFit="1" customWidth="1"/>
    <col min="3544" max="3544" width="10.140625" style="111" bestFit="1" customWidth="1"/>
    <col min="3545" max="3545" width="23.85546875" style="111" customWidth="1"/>
    <col min="3546" max="3546" width="10.7109375" style="111" customWidth="1"/>
    <col min="3547" max="3547" width="6.5703125" style="111" customWidth="1"/>
    <col min="3548" max="3548" width="7" style="111" customWidth="1"/>
    <col min="3549" max="3549" width="7.42578125" style="111" customWidth="1"/>
    <col min="3550" max="3550" width="7.7109375" style="111" customWidth="1"/>
    <col min="3551" max="3551" width="7.28515625" style="111" customWidth="1"/>
    <col min="3552" max="3552" width="7.7109375" style="111" customWidth="1"/>
    <col min="3553" max="3553" width="10.28515625" style="111" customWidth="1"/>
    <col min="3554" max="3554" width="10.140625" style="111" customWidth="1"/>
    <col min="3555" max="3555" width="14.85546875" style="111" customWidth="1"/>
    <col min="3556" max="3556" width="10.7109375" style="111" customWidth="1"/>
    <col min="3557" max="3557" width="6.5703125" style="111" customWidth="1"/>
    <col min="3558" max="3558" width="7" style="111" customWidth="1"/>
    <col min="3559" max="3559" width="7.42578125" style="111" customWidth="1"/>
    <col min="3560" max="3560" width="7.7109375" style="111" customWidth="1"/>
    <col min="3561" max="3561" width="7.28515625" style="111" customWidth="1"/>
    <col min="3562" max="3562" width="7.7109375" style="111" customWidth="1"/>
    <col min="3563" max="3563" width="10.28515625" style="111" customWidth="1"/>
    <col min="3564" max="3564" width="10.140625" style="111" customWidth="1"/>
    <col min="3565" max="3565" width="8.85546875" style="111"/>
    <col min="3566" max="3584" width="9.140625" style="111" customWidth="1"/>
    <col min="3585" max="3790" width="8.85546875" style="111"/>
    <col min="3791" max="3791" width="23.85546875" style="111" customWidth="1"/>
    <col min="3792" max="3792" width="10.7109375" style="111" customWidth="1"/>
    <col min="3793" max="3793" width="6.5703125" style="111" customWidth="1"/>
    <col min="3794" max="3794" width="7" style="111" bestFit="1" customWidth="1"/>
    <col min="3795" max="3795" width="7.42578125" style="111" bestFit="1" customWidth="1"/>
    <col min="3796" max="3796" width="7.7109375" style="111" bestFit="1" customWidth="1"/>
    <col min="3797" max="3797" width="7.28515625" style="111" bestFit="1" customWidth="1"/>
    <col min="3798" max="3798" width="7.7109375" style="111" bestFit="1" customWidth="1"/>
    <col min="3799" max="3799" width="10.28515625" style="111" bestFit="1" customWidth="1"/>
    <col min="3800" max="3800" width="10.140625" style="111" bestFit="1" customWidth="1"/>
    <col min="3801" max="3801" width="23.85546875" style="111" customWidth="1"/>
    <col min="3802" max="3802" width="10.7109375" style="111" customWidth="1"/>
    <col min="3803" max="3803" width="6.5703125" style="111" customWidth="1"/>
    <col min="3804" max="3804" width="7" style="111" customWidth="1"/>
    <col min="3805" max="3805" width="7.42578125" style="111" customWidth="1"/>
    <col min="3806" max="3806" width="7.7109375" style="111" customWidth="1"/>
    <col min="3807" max="3807" width="7.28515625" style="111" customWidth="1"/>
    <col min="3808" max="3808" width="7.7109375" style="111" customWidth="1"/>
    <col min="3809" max="3809" width="10.28515625" style="111" customWidth="1"/>
    <col min="3810" max="3810" width="10.140625" style="111" customWidth="1"/>
    <col min="3811" max="3811" width="14.85546875" style="111" customWidth="1"/>
    <col min="3812" max="3812" width="10.7109375" style="111" customWidth="1"/>
    <col min="3813" max="3813" width="6.5703125" style="111" customWidth="1"/>
    <col min="3814" max="3814" width="7" style="111" customWidth="1"/>
    <col min="3815" max="3815" width="7.42578125" style="111" customWidth="1"/>
    <col min="3816" max="3816" width="7.7109375" style="111" customWidth="1"/>
    <col min="3817" max="3817" width="7.28515625" style="111" customWidth="1"/>
    <col min="3818" max="3818" width="7.7109375" style="111" customWidth="1"/>
    <col min="3819" max="3819" width="10.28515625" style="111" customWidth="1"/>
    <col min="3820" max="3820" width="10.140625" style="111" customWidth="1"/>
    <col min="3821" max="3821" width="8.85546875" style="111"/>
    <col min="3822" max="3840" width="9.140625" style="111" customWidth="1"/>
    <col min="3841" max="4046" width="8.85546875" style="111"/>
    <col min="4047" max="4047" width="23.85546875" style="111" customWidth="1"/>
    <col min="4048" max="4048" width="10.7109375" style="111" customWidth="1"/>
    <col min="4049" max="4049" width="6.5703125" style="111" customWidth="1"/>
    <col min="4050" max="4050" width="7" style="111" bestFit="1" customWidth="1"/>
    <col min="4051" max="4051" width="7.42578125" style="111" bestFit="1" customWidth="1"/>
    <col min="4052" max="4052" width="7.7109375" style="111" bestFit="1" customWidth="1"/>
    <col min="4053" max="4053" width="7.28515625" style="111" bestFit="1" customWidth="1"/>
    <col min="4054" max="4054" width="7.7109375" style="111" bestFit="1" customWidth="1"/>
    <col min="4055" max="4055" width="10.28515625" style="111" bestFit="1" customWidth="1"/>
    <col min="4056" max="4056" width="10.140625" style="111" bestFit="1" customWidth="1"/>
    <col min="4057" max="4057" width="23.85546875" style="111" customWidth="1"/>
    <col min="4058" max="4058" width="10.7109375" style="111" customWidth="1"/>
    <col min="4059" max="4059" width="6.5703125" style="111" customWidth="1"/>
    <col min="4060" max="4060" width="7" style="111" customWidth="1"/>
    <col min="4061" max="4061" width="7.42578125" style="111" customWidth="1"/>
    <col min="4062" max="4062" width="7.7109375" style="111" customWidth="1"/>
    <col min="4063" max="4063" width="7.28515625" style="111" customWidth="1"/>
    <col min="4064" max="4064" width="7.7109375" style="111" customWidth="1"/>
    <col min="4065" max="4065" width="10.28515625" style="111" customWidth="1"/>
    <col min="4066" max="4066" width="10.140625" style="111" customWidth="1"/>
    <col min="4067" max="4067" width="14.85546875" style="111" customWidth="1"/>
    <col min="4068" max="4068" width="10.7109375" style="111" customWidth="1"/>
    <col min="4069" max="4069" width="6.5703125" style="111" customWidth="1"/>
    <col min="4070" max="4070" width="7" style="111" customWidth="1"/>
    <col min="4071" max="4071" width="7.42578125" style="111" customWidth="1"/>
    <col min="4072" max="4072" width="7.7109375" style="111" customWidth="1"/>
    <col min="4073" max="4073" width="7.28515625" style="111" customWidth="1"/>
    <col min="4074" max="4074" width="7.7109375" style="111" customWidth="1"/>
    <col min="4075" max="4075" width="10.28515625" style="111" customWidth="1"/>
    <col min="4076" max="4076" width="10.140625" style="111" customWidth="1"/>
    <col min="4077" max="4077" width="8.85546875" style="111"/>
    <col min="4078" max="4096" width="9.140625" style="111" customWidth="1"/>
    <col min="4097" max="4302" width="8.85546875" style="111"/>
    <col min="4303" max="4303" width="23.85546875" style="111" customWidth="1"/>
    <col min="4304" max="4304" width="10.7109375" style="111" customWidth="1"/>
    <col min="4305" max="4305" width="6.5703125" style="111" customWidth="1"/>
    <col min="4306" max="4306" width="7" style="111" bestFit="1" customWidth="1"/>
    <col min="4307" max="4307" width="7.42578125" style="111" bestFit="1" customWidth="1"/>
    <col min="4308" max="4308" width="7.7109375" style="111" bestFit="1" customWidth="1"/>
    <col min="4309" max="4309" width="7.28515625" style="111" bestFit="1" customWidth="1"/>
    <col min="4310" max="4310" width="7.7109375" style="111" bestFit="1" customWidth="1"/>
    <col min="4311" max="4311" width="10.28515625" style="111" bestFit="1" customWidth="1"/>
    <col min="4312" max="4312" width="10.140625" style="111" bestFit="1" customWidth="1"/>
    <col min="4313" max="4313" width="23.85546875" style="111" customWidth="1"/>
    <col min="4314" max="4314" width="10.7109375" style="111" customWidth="1"/>
    <col min="4315" max="4315" width="6.5703125" style="111" customWidth="1"/>
    <col min="4316" max="4316" width="7" style="111" customWidth="1"/>
    <col min="4317" max="4317" width="7.42578125" style="111" customWidth="1"/>
    <col min="4318" max="4318" width="7.7109375" style="111" customWidth="1"/>
    <col min="4319" max="4319" width="7.28515625" style="111" customWidth="1"/>
    <col min="4320" max="4320" width="7.7109375" style="111" customWidth="1"/>
    <col min="4321" max="4321" width="10.28515625" style="111" customWidth="1"/>
    <col min="4322" max="4322" width="10.140625" style="111" customWidth="1"/>
    <col min="4323" max="4323" width="14.85546875" style="111" customWidth="1"/>
    <col min="4324" max="4324" width="10.7109375" style="111" customWidth="1"/>
    <col min="4325" max="4325" width="6.5703125" style="111" customWidth="1"/>
    <col min="4326" max="4326" width="7" style="111" customWidth="1"/>
    <col min="4327" max="4327" width="7.42578125" style="111" customWidth="1"/>
    <col min="4328" max="4328" width="7.7109375" style="111" customWidth="1"/>
    <col min="4329" max="4329" width="7.28515625" style="111" customWidth="1"/>
    <col min="4330" max="4330" width="7.7109375" style="111" customWidth="1"/>
    <col min="4331" max="4331" width="10.28515625" style="111" customWidth="1"/>
    <col min="4332" max="4332" width="10.140625" style="111" customWidth="1"/>
    <col min="4333" max="4333" width="8.85546875" style="111"/>
    <col min="4334" max="4352" width="9.140625" style="111" customWidth="1"/>
    <col min="4353" max="4558" width="8.85546875" style="111"/>
    <col min="4559" max="4559" width="23.85546875" style="111" customWidth="1"/>
    <col min="4560" max="4560" width="10.7109375" style="111" customWidth="1"/>
    <col min="4561" max="4561" width="6.5703125" style="111" customWidth="1"/>
    <col min="4562" max="4562" width="7" style="111" bestFit="1" customWidth="1"/>
    <col min="4563" max="4563" width="7.42578125" style="111" bestFit="1" customWidth="1"/>
    <col min="4564" max="4564" width="7.7109375" style="111" bestFit="1" customWidth="1"/>
    <col min="4565" max="4565" width="7.28515625" style="111" bestFit="1" customWidth="1"/>
    <col min="4566" max="4566" width="7.7109375" style="111" bestFit="1" customWidth="1"/>
    <col min="4567" max="4567" width="10.28515625" style="111" bestFit="1" customWidth="1"/>
    <col min="4568" max="4568" width="10.140625" style="111" bestFit="1" customWidth="1"/>
    <col min="4569" max="4569" width="23.85546875" style="111" customWidth="1"/>
    <col min="4570" max="4570" width="10.7109375" style="111" customWidth="1"/>
    <col min="4571" max="4571" width="6.5703125" style="111" customWidth="1"/>
    <col min="4572" max="4572" width="7" style="111" customWidth="1"/>
    <col min="4573" max="4573" width="7.42578125" style="111" customWidth="1"/>
    <col min="4574" max="4574" width="7.7109375" style="111" customWidth="1"/>
    <col min="4575" max="4575" width="7.28515625" style="111" customWidth="1"/>
    <col min="4576" max="4576" width="7.7109375" style="111" customWidth="1"/>
    <col min="4577" max="4577" width="10.28515625" style="111" customWidth="1"/>
    <col min="4578" max="4578" width="10.140625" style="111" customWidth="1"/>
    <col min="4579" max="4579" width="14.85546875" style="111" customWidth="1"/>
    <col min="4580" max="4580" width="10.7109375" style="111" customWidth="1"/>
    <col min="4581" max="4581" width="6.5703125" style="111" customWidth="1"/>
    <col min="4582" max="4582" width="7" style="111" customWidth="1"/>
    <col min="4583" max="4583" width="7.42578125" style="111" customWidth="1"/>
    <col min="4584" max="4584" width="7.7109375" style="111" customWidth="1"/>
    <col min="4585" max="4585" width="7.28515625" style="111" customWidth="1"/>
    <col min="4586" max="4586" width="7.7109375" style="111" customWidth="1"/>
    <col min="4587" max="4587" width="10.28515625" style="111" customWidth="1"/>
    <col min="4588" max="4588" width="10.140625" style="111" customWidth="1"/>
    <col min="4589" max="4589" width="8.85546875" style="111"/>
    <col min="4590" max="4608" width="9.140625" style="111" customWidth="1"/>
    <col min="4609" max="4814" width="8.85546875" style="111"/>
    <col min="4815" max="4815" width="23.85546875" style="111" customWidth="1"/>
    <col min="4816" max="4816" width="10.7109375" style="111" customWidth="1"/>
    <col min="4817" max="4817" width="6.5703125" style="111" customWidth="1"/>
    <col min="4818" max="4818" width="7" style="111" bestFit="1" customWidth="1"/>
    <col min="4819" max="4819" width="7.42578125" style="111" bestFit="1" customWidth="1"/>
    <col min="4820" max="4820" width="7.7109375" style="111" bestFit="1" customWidth="1"/>
    <col min="4821" max="4821" width="7.28515625" style="111" bestFit="1" customWidth="1"/>
    <col min="4822" max="4822" width="7.7109375" style="111" bestFit="1" customWidth="1"/>
    <col min="4823" max="4823" width="10.28515625" style="111" bestFit="1" customWidth="1"/>
    <col min="4824" max="4824" width="10.140625" style="111" bestFit="1" customWidth="1"/>
    <col min="4825" max="4825" width="23.85546875" style="111" customWidth="1"/>
    <col min="4826" max="4826" width="10.7109375" style="111" customWidth="1"/>
    <col min="4827" max="4827" width="6.5703125" style="111" customWidth="1"/>
    <col min="4828" max="4828" width="7" style="111" customWidth="1"/>
    <col min="4829" max="4829" width="7.42578125" style="111" customWidth="1"/>
    <col min="4830" max="4830" width="7.7109375" style="111" customWidth="1"/>
    <col min="4831" max="4831" width="7.28515625" style="111" customWidth="1"/>
    <col min="4832" max="4832" width="7.7109375" style="111" customWidth="1"/>
    <col min="4833" max="4833" width="10.28515625" style="111" customWidth="1"/>
    <col min="4834" max="4834" width="10.140625" style="111" customWidth="1"/>
    <col min="4835" max="4835" width="14.85546875" style="111" customWidth="1"/>
    <col min="4836" max="4836" width="10.7109375" style="111" customWidth="1"/>
    <col min="4837" max="4837" width="6.5703125" style="111" customWidth="1"/>
    <col min="4838" max="4838" width="7" style="111" customWidth="1"/>
    <col min="4839" max="4839" width="7.42578125" style="111" customWidth="1"/>
    <col min="4840" max="4840" width="7.7109375" style="111" customWidth="1"/>
    <col min="4841" max="4841" width="7.28515625" style="111" customWidth="1"/>
    <col min="4842" max="4842" width="7.7109375" style="111" customWidth="1"/>
    <col min="4843" max="4843" width="10.28515625" style="111" customWidth="1"/>
    <col min="4844" max="4844" width="10.140625" style="111" customWidth="1"/>
    <col min="4845" max="4845" width="8.85546875" style="111"/>
    <col min="4846" max="4864" width="9.140625" style="111" customWidth="1"/>
    <col min="4865" max="5070" width="8.85546875" style="111"/>
    <col min="5071" max="5071" width="23.85546875" style="111" customWidth="1"/>
    <col min="5072" max="5072" width="10.7109375" style="111" customWidth="1"/>
    <col min="5073" max="5073" width="6.5703125" style="111" customWidth="1"/>
    <col min="5074" max="5074" width="7" style="111" bestFit="1" customWidth="1"/>
    <col min="5075" max="5075" width="7.42578125" style="111" bestFit="1" customWidth="1"/>
    <col min="5076" max="5076" width="7.7109375" style="111" bestFit="1" customWidth="1"/>
    <col min="5077" max="5077" width="7.28515625" style="111" bestFit="1" customWidth="1"/>
    <col min="5078" max="5078" width="7.7109375" style="111" bestFit="1" customWidth="1"/>
    <col min="5079" max="5079" width="10.28515625" style="111" bestFit="1" customWidth="1"/>
    <col min="5080" max="5080" width="10.140625" style="111" bestFit="1" customWidth="1"/>
    <col min="5081" max="5081" width="23.85546875" style="111" customWidth="1"/>
    <col min="5082" max="5082" width="10.7109375" style="111" customWidth="1"/>
    <col min="5083" max="5083" width="6.5703125" style="111" customWidth="1"/>
    <col min="5084" max="5084" width="7" style="111" customWidth="1"/>
    <col min="5085" max="5085" width="7.42578125" style="111" customWidth="1"/>
    <col min="5086" max="5086" width="7.7109375" style="111" customWidth="1"/>
    <col min="5087" max="5087" width="7.28515625" style="111" customWidth="1"/>
    <col min="5088" max="5088" width="7.7109375" style="111" customWidth="1"/>
    <col min="5089" max="5089" width="10.28515625" style="111" customWidth="1"/>
    <col min="5090" max="5090" width="10.140625" style="111" customWidth="1"/>
    <col min="5091" max="5091" width="14.85546875" style="111" customWidth="1"/>
    <col min="5092" max="5092" width="10.7109375" style="111" customWidth="1"/>
    <col min="5093" max="5093" width="6.5703125" style="111" customWidth="1"/>
    <col min="5094" max="5094" width="7" style="111" customWidth="1"/>
    <col min="5095" max="5095" width="7.42578125" style="111" customWidth="1"/>
    <col min="5096" max="5096" width="7.7109375" style="111" customWidth="1"/>
    <col min="5097" max="5097" width="7.28515625" style="111" customWidth="1"/>
    <col min="5098" max="5098" width="7.7109375" style="111" customWidth="1"/>
    <col min="5099" max="5099" width="10.28515625" style="111" customWidth="1"/>
    <col min="5100" max="5100" width="10.140625" style="111" customWidth="1"/>
    <col min="5101" max="5101" width="8.85546875" style="111"/>
    <col min="5102" max="5120" width="9.140625" style="111" customWidth="1"/>
    <col min="5121" max="5326" width="8.85546875" style="111"/>
    <col min="5327" max="5327" width="23.85546875" style="111" customWidth="1"/>
    <col min="5328" max="5328" width="10.7109375" style="111" customWidth="1"/>
    <col min="5329" max="5329" width="6.5703125" style="111" customWidth="1"/>
    <col min="5330" max="5330" width="7" style="111" bestFit="1" customWidth="1"/>
    <col min="5331" max="5331" width="7.42578125" style="111" bestFit="1" customWidth="1"/>
    <col min="5332" max="5332" width="7.7109375" style="111" bestFit="1" customWidth="1"/>
    <col min="5333" max="5333" width="7.28515625" style="111" bestFit="1" customWidth="1"/>
    <col min="5334" max="5334" width="7.7109375" style="111" bestFit="1" customWidth="1"/>
    <col min="5335" max="5335" width="10.28515625" style="111" bestFit="1" customWidth="1"/>
    <col min="5336" max="5336" width="10.140625" style="111" bestFit="1" customWidth="1"/>
    <col min="5337" max="5337" width="23.85546875" style="111" customWidth="1"/>
    <col min="5338" max="5338" width="10.7109375" style="111" customWidth="1"/>
    <col min="5339" max="5339" width="6.5703125" style="111" customWidth="1"/>
    <col min="5340" max="5340" width="7" style="111" customWidth="1"/>
    <col min="5341" max="5341" width="7.42578125" style="111" customWidth="1"/>
    <col min="5342" max="5342" width="7.7109375" style="111" customWidth="1"/>
    <col min="5343" max="5343" width="7.28515625" style="111" customWidth="1"/>
    <col min="5344" max="5344" width="7.7109375" style="111" customWidth="1"/>
    <col min="5345" max="5345" width="10.28515625" style="111" customWidth="1"/>
    <col min="5346" max="5346" width="10.140625" style="111" customWidth="1"/>
    <col min="5347" max="5347" width="14.85546875" style="111" customWidth="1"/>
    <col min="5348" max="5348" width="10.7109375" style="111" customWidth="1"/>
    <col min="5349" max="5349" width="6.5703125" style="111" customWidth="1"/>
    <col min="5350" max="5350" width="7" style="111" customWidth="1"/>
    <col min="5351" max="5351" width="7.42578125" style="111" customWidth="1"/>
    <col min="5352" max="5352" width="7.7109375" style="111" customWidth="1"/>
    <col min="5353" max="5353" width="7.28515625" style="111" customWidth="1"/>
    <col min="5354" max="5354" width="7.7109375" style="111" customWidth="1"/>
    <col min="5355" max="5355" width="10.28515625" style="111" customWidth="1"/>
    <col min="5356" max="5356" width="10.140625" style="111" customWidth="1"/>
    <col min="5357" max="5357" width="8.85546875" style="111"/>
    <col min="5358" max="5376" width="9.140625" style="111" customWidth="1"/>
    <col min="5377" max="5582" width="8.85546875" style="111"/>
    <col min="5583" max="5583" width="23.85546875" style="111" customWidth="1"/>
    <col min="5584" max="5584" width="10.7109375" style="111" customWidth="1"/>
    <col min="5585" max="5585" width="6.5703125" style="111" customWidth="1"/>
    <col min="5586" max="5586" width="7" style="111" bestFit="1" customWidth="1"/>
    <col min="5587" max="5587" width="7.42578125" style="111" bestFit="1" customWidth="1"/>
    <col min="5588" max="5588" width="7.7109375" style="111" bestFit="1" customWidth="1"/>
    <col min="5589" max="5589" width="7.28515625" style="111" bestFit="1" customWidth="1"/>
    <col min="5590" max="5590" width="7.7109375" style="111" bestFit="1" customWidth="1"/>
    <col min="5591" max="5591" width="10.28515625" style="111" bestFit="1" customWidth="1"/>
    <col min="5592" max="5592" width="10.140625" style="111" bestFit="1" customWidth="1"/>
    <col min="5593" max="5593" width="23.85546875" style="111" customWidth="1"/>
    <col min="5594" max="5594" width="10.7109375" style="111" customWidth="1"/>
    <col min="5595" max="5595" width="6.5703125" style="111" customWidth="1"/>
    <col min="5596" max="5596" width="7" style="111" customWidth="1"/>
    <col min="5597" max="5597" width="7.42578125" style="111" customWidth="1"/>
    <col min="5598" max="5598" width="7.7109375" style="111" customWidth="1"/>
    <col min="5599" max="5599" width="7.28515625" style="111" customWidth="1"/>
    <col min="5600" max="5600" width="7.7109375" style="111" customWidth="1"/>
    <col min="5601" max="5601" width="10.28515625" style="111" customWidth="1"/>
    <col min="5602" max="5602" width="10.140625" style="111" customWidth="1"/>
    <col min="5603" max="5603" width="14.85546875" style="111" customWidth="1"/>
    <col min="5604" max="5604" width="10.7109375" style="111" customWidth="1"/>
    <col min="5605" max="5605" width="6.5703125" style="111" customWidth="1"/>
    <col min="5606" max="5606" width="7" style="111" customWidth="1"/>
    <col min="5607" max="5607" width="7.42578125" style="111" customWidth="1"/>
    <col min="5608" max="5608" width="7.7109375" style="111" customWidth="1"/>
    <col min="5609" max="5609" width="7.28515625" style="111" customWidth="1"/>
    <col min="5610" max="5610" width="7.7109375" style="111" customWidth="1"/>
    <col min="5611" max="5611" width="10.28515625" style="111" customWidth="1"/>
    <col min="5612" max="5612" width="10.140625" style="111" customWidth="1"/>
    <col min="5613" max="5613" width="8.85546875" style="111"/>
    <col min="5614" max="5632" width="9.140625" style="111" customWidth="1"/>
    <col min="5633" max="5838" width="8.85546875" style="111"/>
    <col min="5839" max="5839" width="23.85546875" style="111" customWidth="1"/>
    <col min="5840" max="5840" width="10.7109375" style="111" customWidth="1"/>
    <col min="5841" max="5841" width="6.5703125" style="111" customWidth="1"/>
    <col min="5842" max="5842" width="7" style="111" bestFit="1" customWidth="1"/>
    <col min="5843" max="5843" width="7.42578125" style="111" bestFit="1" customWidth="1"/>
    <col min="5844" max="5844" width="7.7109375" style="111" bestFit="1" customWidth="1"/>
    <col min="5845" max="5845" width="7.28515625" style="111" bestFit="1" customWidth="1"/>
    <col min="5846" max="5846" width="7.7109375" style="111" bestFit="1" customWidth="1"/>
    <col min="5847" max="5847" width="10.28515625" style="111" bestFit="1" customWidth="1"/>
    <col min="5848" max="5848" width="10.140625" style="111" bestFit="1" customWidth="1"/>
    <col min="5849" max="5849" width="23.85546875" style="111" customWidth="1"/>
    <col min="5850" max="5850" width="10.7109375" style="111" customWidth="1"/>
    <col min="5851" max="5851" width="6.5703125" style="111" customWidth="1"/>
    <col min="5852" max="5852" width="7" style="111" customWidth="1"/>
    <col min="5853" max="5853" width="7.42578125" style="111" customWidth="1"/>
    <col min="5854" max="5854" width="7.7109375" style="111" customWidth="1"/>
    <col min="5855" max="5855" width="7.28515625" style="111" customWidth="1"/>
    <col min="5856" max="5856" width="7.7109375" style="111" customWidth="1"/>
    <col min="5857" max="5857" width="10.28515625" style="111" customWidth="1"/>
    <col min="5858" max="5858" width="10.140625" style="111" customWidth="1"/>
    <col min="5859" max="5859" width="14.85546875" style="111" customWidth="1"/>
    <col min="5860" max="5860" width="10.7109375" style="111" customWidth="1"/>
    <col min="5861" max="5861" width="6.5703125" style="111" customWidth="1"/>
    <col min="5862" max="5862" width="7" style="111" customWidth="1"/>
    <col min="5863" max="5863" width="7.42578125" style="111" customWidth="1"/>
    <col min="5864" max="5864" width="7.7109375" style="111" customWidth="1"/>
    <col min="5865" max="5865" width="7.28515625" style="111" customWidth="1"/>
    <col min="5866" max="5866" width="7.7109375" style="111" customWidth="1"/>
    <col min="5867" max="5867" width="10.28515625" style="111" customWidth="1"/>
    <col min="5868" max="5868" width="10.140625" style="111" customWidth="1"/>
    <col min="5869" max="5869" width="8.85546875" style="111"/>
    <col min="5870" max="5888" width="9.140625" style="111" customWidth="1"/>
    <col min="5889" max="6094" width="8.85546875" style="111"/>
    <col min="6095" max="6095" width="23.85546875" style="111" customWidth="1"/>
    <col min="6096" max="6096" width="10.7109375" style="111" customWidth="1"/>
    <col min="6097" max="6097" width="6.5703125" style="111" customWidth="1"/>
    <col min="6098" max="6098" width="7" style="111" bestFit="1" customWidth="1"/>
    <col min="6099" max="6099" width="7.42578125" style="111" bestFit="1" customWidth="1"/>
    <col min="6100" max="6100" width="7.7109375" style="111" bestFit="1" customWidth="1"/>
    <col min="6101" max="6101" width="7.28515625" style="111" bestFit="1" customWidth="1"/>
    <col min="6102" max="6102" width="7.7109375" style="111" bestFit="1" customWidth="1"/>
    <col min="6103" max="6103" width="10.28515625" style="111" bestFit="1" customWidth="1"/>
    <col min="6104" max="6104" width="10.140625" style="111" bestFit="1" customWidth="1"/>
    <col min="6105" max="6105" width="23.85546875" style="111" customWidth="1"/>
    <col min="6106" max="6106" width="10.7109375" style="111" customWidth="1"/>
    <col min="6107" max="6107" width="6.5703125" style="111" customWidth="1"/>
    <col min="6108" max="6108" width="7" style="111" customWidth="1"/>
    <col min="6109" max="6109" width="7.42578125" style="111" customWidth="1"/>
    <col min="6110" max="6110" width="7.7109375" style="111" customWidth="1"/>
    <col min="6111" max="6111" width="7.28515625" style="111" customWidth="1"/>
    <col min="6112" max="6112" width="7.7109375" style="111" customWidth="1"/>
    <col min="6113" max="6113" width="10.28515625" style="111" customWidth="1"/>
    <col min="6114" max="6114" width="10.140625" style="111" customWidth="1"/>
    <col min="6115" max="6115" width="14.85546875" style="111" customWidth="1"/>
    <col min="6116" max="6116" width="10.7109375" style="111" customWidth="1"/>
    <col min="6117" max="6117" width="6.5703125" style="111" customWidth="1"/>
    <col min="6118" max="6118" width="7" style="111" customWidth="1"/>
    <col min="6119" max="6119" width="7.42578125" style="111" customWidth="1"/>
    <col min="6120" max="6120" width="7.7109375" style="111" customWidth="1"/>
    <col min="6121" max="6121" width="7.28515625" style="111" customWidth="1"/>
    <col min="6122" max="6122" width="7.7109375" style="111" customWidth="1"/>
    <col min="6123" max="6123" width="10.28515625" style="111" customWidth="1"/>
    <col min="6124" max="6124" width="10.140625" style="111" customWidth="1"/>
    <col min="6125" max="6125" width="8.85546875" style="111"/>
    <col min="6126" max="6144" width="9.140625" style="111" customWidth="1"/>
    <col min="6145" max="6350" width="8.85546875" style="111"/>
    <col min="6351" max="6351" width="23.85546875" style="111" customWidth="1"/>
    <col min="6352" max="6352" width="10.7109375" style="111" customWidth="1"/>
    <col min="6353" max="6353" width="6.5703125" style="111" customWidth="1"/>
    <col min="6354" max="6354" width="7" style="111" bestFit="1" customWidth="1"/>
    <col min="6355" max="6355" width="7.42578125" style="111" bestFit="1" customWidth="1"/>
    <col min="6356" max="6356" width="7.7109375" style="111" bestFit="1" customWidth="1"/>
    <col min="6357" max="6357" width="7.28515625" style="111" bestFit="1" customWidth="1"/>
    <col min="6358" max="6358" width="7.7109375" style="111" bestFit="1" customWidth="1"/>
    <col min="6359" max="6359" width="10.28515625" style="111" bestFit="1" customWidth="1"/>
    <col min="6360" max="6360" width="10.140625" style="111" bestFit="1" customWidth="1"/>
    <col min="6361" max="6361" width="23.85546875" style="111" customWidth="1"/>
    <col min="6362" max="6362" width="10.7109375" style="111" customWidth="1"/>
    <col min="6363" max="6363" width="6.5703125" style="111" customWidth="1"/>
    <col min="6364" max="6364" width="7" style="111" customWidth="1"/>
    <col min="6365" max="6365" width="7.42578125" style="111" customWidth="1"/>
    <col min="6366" max="6366" width="7.7109375" style="111" customWidth="1"/>
    <col min="6367" max="6367" width="7.28515625" style="111" customWidth="1"/>
    <col min="6368" max="6368" width="7.7109375" style="111" customWidth="1"/>
    <col min="6369" max="6369" width="10.28515625" style="111" customWidth="1"/>
    <col min="6370" max="6370" width="10.140625" style="111" customWidth="1"/>
    <col min="6371" max="6371" width="14.85546875" style="111" customWidth="1"/>
    <col min="6372" max="6372" width="10.7109375" style="111" customWidth="1"/>
    <col min="6373" max="6373" width="6.5703125" style="111" customWidth="1"/>
    <col min="6374" max="6374" width="7" style="111" customWidth="1"/>
    <col min="6375" max="6375" width="7.42578125" style="111" customWidth="1"/>
    <col min="6376" max="6376" width="7.7109375" style="111" customWidth="1"/>
    <col min="6377" max="6377" width="7.28515625" style="111" customWidth="1"/>
    <col min="6378" max="6378" width="7.7109375" style="111" customWidth="1"/>
    <col min="6379" max="6379" width="10.28515625" style="111" customWidth="1"/>
    <col min="6380" max="6380" width="10.140625" style="111" customWidth="1"/>
    <col min="6381" max="6381" width="8.85546875" style="111"/>
    <col min="6382" max="6400" width="9.140625" style="111" customWidth="1"/>
    <col min="6401" max="6606" width="8.85546875" style="111"/>
    <col min="6607" max="6607" width="23.85546875" style="111" customWidth="1"/>
    <col min="6608" max="6608" width="10.7109375" style="111" customWidth="1"/>
    <col min="6609" max="6609" width="6.5703125" style="111" customWidth="1"/>
    <col min="6610" max="6610" width="7" style="111" bestFit="1" customWidth="1"/>
    <col min="6611" max="6611" width="7.42578125" style="111" bestFit="1" customWidth="1"/>
    <col min="6612" max="6612" width="7.7109375" style="111" bestFit="1" customWidth="1"/>
    <col min="6613" max="6613" width="7.28515625" style="111" bestFit="1" customWidth="1"/>
    <col min="6614" max="6614" width="7.7109375" style="111" bestFit="1" customWidth="1"/>
    <col min="6615" max="6615" width="10.28515625" style="111" bestFit="1" customWidth="1"/>
    <col min="6616" max="6616" width="10.140625" style="111" bestFit="1" customWidth="1"/>
    <col min="6617" max="6617" width="23.85546875" style="111" customWidth="1"/>
    <col min="6618" max="6618" width="10.7109375" style="111" customWidth="1"/>
    <col min="6619" max="6619" width="6.5703125" style="111" customWidth="1"/>
    <col min="6620" max="6620" width="7" style="111" customWidth="1"/>
    <col min="6621" max="6621" width="7.42578125" style="111" customWidth="1"/>
    <col min="6622" max="6622" width="7.7109375" style="111" customWidth="1"/>
    <col min="6623" max="6623" width="7.28515625" style="111" customWidth="1"/>
    <col min="6624" max="6624" width="7.7109375" style="111" customWidth="1"/>
    <col min="6625" max="6625" width="10.28515625" style="111" customWidth="1"/>
    <col min="6626" max="6626" width="10.140625" style="111" customWidth="1"/>
    <col min="6627" max="6627" width="14.85546875" style="111" customWidth="1"/>
    <col min="6628" max="6628" width="10.7109375" style="111" customWidth="1"/>
    <col min="6629" max="6629" width="6.5703125" style="111" customWidth="1"/>
    <col min="6630" max="6630" width="7" style="111" customWidth="1"/>
    <col min="6631" max="6631" width="7.42578125" style="111" customWidth="1"/>
    <col min="6632" max="6632" width="7.7109375" style="111" customWidth="1"/>
    <col min="6633" max="6633" width="7.28515625" style="111" customWidth="1"/>
    <col min="6634" max="6634" width="7.7109375" style="111" customWidth="1"/>
    <col min="6635" max="6635" width="10.28515625" style="111" customWidth="1"/>
    <col min="6636" max="6636" width="10.140625" style="111" customWidth="1"/>
    <col min="6637" max="6637" width="8.85546875" style="111"/>
    <col min="6638" max="6656" width="9.140625" style="111" customWidth="1"/>
    <col min="6657" max="6862" width="8.85546875" style="111"/>
    <col min="6863" max="6863" width="23.85546875" style="111" customWidth="1"/>
    <col min="6864" max="6864" width="10.7109375" style="111" customWidth="1"/>
    <col min="6865" max="6865" width="6.5703125" style="111" customWidth="1"/>
    <col min="6866" max="6866" width="7" style="111" bestFit="1" customWidth="1"/>
    <col min="6867" max="6867" width="7.42578125" style="111" bestFit="1" customWidth="1"/>
    <col min="6868" max="6868" width="7.7109375" style="111" bestFit="1" customWidth="1"/>
    <col min="6869" max="6869" width="7.28515625" style="111" bestFit="1" customWidth="1"/>
    <col min="6870" max="6870" width="7.7109375" style="111" bestFit="1" customWidth="1"/>
    <col min="6871" max="6871" width="10.28515625" style="111" bestFit="1" customWidth="1"/>
    <col min="6872" max="6872" width="10.140625" style="111" bestFit="1" customWidth="1"/>
    <col min="6873" max="6873" width="23.85546875" style="111" customWidth="1"/>
    <col min="6874" max="6874" width="10.7109375" style="111" customWidth="1"/>
    <col min="6875" max="6875" width="6.5703125" style="111" customWidth="1"/>
    <col min="6876" max="6876" width="7" style="111" customWidth="1"/>
    <col min="6877" max="6877" width="7.42578125" style="111" customWidth="1"/>
    <col min="6878" max="6878" width="7.7109375" style="111" customWidth="1"/>
    <col min="6879" max="6879" width="7.28515625" style="111" customWidth="1"/>
    <col min="6880" max="6880" width="7.7109375" style="111" customWidth="1"/>
    <col min="6881" max="6881" width="10.28515625" style="111" customWidth="1"/>
    <col min="6882" max="6882" width="10.140625" style="111" customWidth="1"/>
    <col min="6883" max="6883" width="14.85546875" style="111" customWidth="1"/>
    <col min="6884" max="6884" width="10.7109375" style="111" customWidth="1"/>
    <col min="6885" max="6885" width="6.5703125" style="111" customWidth="1"/>
    <col min="6886" max="6886" width="7" style="111" customWidth="1"/>
    <col min="6887" max="6887" width="7.42578125" style="111" customWidth="1"/>
    <col min="6888" max="6888" width="7.7109375" style="111" customWidth="1"/>
    <col min="6889" max="6889" width="7.28515625" style="111" customWidth="1"/>
    <col min="6890" max="6890" width="7.7109375" style="111" customWidth="1"/>
    <col min="6891" max="6891" width="10.28515625" style="111" customWidth="1"/>
    <col min="6892" max="6892" width="10.140625" style="111" customWidth="1"/>
    <col min="6893" max="6893" width="8.85546875" style="111"/>
    <col min="6894" max="6912" width="9.140625" style="111" customWidth="1"/>
    <col min="6913" max="7118" width="8.85546875" style="111"/>
    <col min="7119" max="7119" width="23.85546875" style="111" customWidth="1"/>
    <col min="7120" max="7120" width="10.7109375" style="111" customWidth="1"/>
    <col min="7121" max="7121" width="6.5703125" style="111" customWidth="1"/>
    <col min="7122" max="7122" width="7" style="111" bestFit="1" customWidth="1"/>
    <col min="7123" max="7123" width="7.42578125" style="111" bestFit="1" customWidth="1"/>
    <col min="7124" max="7124" width="7.7109375" style="111" bestFit="1" customWidth="1"/>
    <col min="7125" max="7125" width="7.28515625" style="111" bestFit="1" customWidth="1"/>
    <col min="7126" max="7126" width="7.7109375" style="111" bestFit="1" customWidth="1"/>
    <col min="7127" max="7127" width="10.28515625" style="111" bestFit="1" customWidth="1"/>
    <col min="7128" max="7128" width="10.140625" style="111" bestFit="1" customWidth="1"/>
    <col min="7129" max="7129" width="23.85546875" style="111" customWidth="1"/>
    <col min="7130" max="7130" width="10.7109375" style="111" customWidth="1"/>
    <col min="7131" max="7131" width="6.5703125" style="111" customWidth="1"/>
    <col min="7132" max="7132" width="7" style="111" customWidth="1"/>
    <col min="7133" max="7133" width="7.42578125" style="111" customWidth="1"/>
    <col min="7134" max="7134" width="7.7109375" style="111" customWidth="1"/>
    <col min="7135" max="7135" width="7.28515625" style="111" customWidth="1"/>
    <col min="7136" max="7136" width="7.7109375" style="111" customWidth="1"/>
    <col min="7137" max="7137" width="10.28515625" style="111" customWidth="1"/>
    <col min="7138" max="7138" width="10.140625" style="111" customWidth="1"/>
    <col min="7139" max="7139" width="14.85546875" style="111" customWidth="1"/>
    <col min="7140" max="7140" width="10.7109375" style="111" customWidth="1"/>
    <col min="7141" max="7141" width="6.5703125" style="111" customWidth="1"/>
    <col min="7142" max="7142" width="7" style="111" customWidth="1"/>
    <col min="7143" max="7143" width="7.42578125" style="111" customWidth="1"/>
    <col min="7144" max="7144" width="7.7109375" style="111" customWidth="1"/>
    <col min="7145" max="7145" width="7.28515625" style="111" customWidth="1"/>
    <col min="7146" max="7146" width="7.7109375" style="111" customWidth="1"/>
    <col min="7147" max="7147" width="10.28515625" style="111" customWidth="1"/>
    <col min="7148" max="7148" width="10.140625" style="111" customWidth="1"/>
    <col min="7149" max="7149" width="8.85546875" style="111"/>
    <col min="7150" max="7168" width="9.140625" style="111" customWidth="1"/>
    <col min="7169" max="7374" width="8.85546875" style="111"/>
    <col min="7375" max="7375" width="23.85546875" style="111" customWidth="1"/>
    <col min="7376" max="7376" width="10.7109375" style="111" customWidth="1"/>
    <col min="7377" max="7377" width="6.5703125" style="111" customWidth="1"/>
    <col min="7378" max="7378" width="7" style="111" bestFit="1" customWidth="1"/>
    <col min="7379" max="7379" width="7.42578125" style="111" bestFit="1" customWidth="1"/>
    <col min="7380" max="7380" width="7.7109375" style="111" bestFit="1" customWidth="1"/>
    <col min="7381" max="7381" width="7.28515625" style="111" bestFit="1" customWidth="1"/>
    <col min="7382" max="7382" width="7.7109375" style="111" bestFit="1" customWidth="1"/>
    <col min="7383" max="7383" width="10.28515625" style="111" bestFit="1" customWidth="1"/>
    <col min="7384" max="7384" width="10.140625" style="111" bestFit="1" customWidth="1"/>
    <col min="7385" max="7385" width="23.85546875" style="111" customWidth="1"/>
    <col min="7386" max="7386" width="10.7109375" style="111" customWidth="1"/>
    <col min="7387" max="7387" width="6.5703125" style="111" customWidth="1"/>
    <col min="7388" max="7388" width="7" style="111" customWidth="1"/>
    <col min="7389" max="7389" width="7.42578125" style="111" customWidth="1"/>
    <col min="7390" max="7390" width="7.7109375" style="111" customWidth="1"/>
    <col min="7391" max="7391" width="7.28515625" style="111" customWidth="1"/>
    <col min="7392" max="7392" width="7.7109375" style="111" customWidth="1"/>
    <col min="7393" max="7393" width="10.28515625" style="111" customWidth="1"/>
    <col min="7394" max="7394" width="10.140625" style="111" customWidth="1"/>
    <col min="7395" max="7395" width="14.85546875" style="111" customWidth="1"/>
    <col min="7396" max="7396" width="10.7109375" style="111" customWidth="1"/>
    <col min="7397" max="7397" width="6.5703125" style="111" customWidth="1"/>
    <col min="7398" max="7398" width="7" style="111" customWidth="1"/>
    <col min="7399" max="7399" width="7.42578125" style="111" customWidth="1"/>
    <col min="7400" max="7400" width="7.7109375" style="111" customWidth="1"/>
    <col min="7401" max="7401" width="7.28515625" style="111" customWidth="1"/>
    <col min="7402" max="7402" width="7.7109375" style="111" customWidth="1"/>
    <col min="7403" max="7403" width="10.28515625" style="111" customWidth="1"/>
    <col min="7404" max="7404" width="10.140625" style="111" customWidth="1"/>
    <col min="7405" max="7405" width="8.85546875" style="111"/>
    <col min="7406" max="7424" width="9.140625" style="111" customWidth="1"/>
    <col min="7425" max="7630" width="8.85546875" style="111"/>
    <col min="7631" max="7631" width="23.85546875" style="111" customWidth="1"/>
    <col min="7632" max="7632" width="10.7109375" style="111" customWidth="1"/>
    <col min="7633" max="7633" width="6.5703125" style="111" customWidth="1"/>
    <col min="7634" max="7634" width="7" style="111" bestFit="1" customWidth="1"/>
    <col min="7635" max="7635" width="7.42578125" style="111" bestFit="1" customWidth="1"/>
    <col min="7636" max="7636" width="7.7109375" style="111" bestFit="1" customWidth="1"/>
    <col min="7637" max="7637" width="7.28515625" style="111" bestFit="1" customWidth="1"/>
    <col min="7638" max="7638" width="7.7109375" style="111" bestFit="1" customWidth="1"/>
    <col min="7639" max="7639" width="10.28515625" style="111" bestFit="1" customWidth="1"/>
    <col min="7640" max="7640" width="10.140625" style="111" bestFit="1" customWidth="1"/>
    <col min="7641" max="7641" width="23.85546875" style="111" customWidth="1"/>
    <col min="7642" max="7642" width="10.7109375" style="111" customWidth="1"/>
    <col min="7643" max="7643" width="6.5703125" style="111" customWidth="1"/>
    <col min="7644" max="7644" width="7" style="111" customWidth="1"/>
    <col min="7645" max="7645" width="7.42578125" style="111" customWidth="1"/>
    <col min="7646" max="7646" width="7.7109375" style="111" customWidth="1"/>
    <col min="7647" max="7647" width="7.28515625" style="111" customWidth="1"/>
    <col min="7648" max="7648" width="7.7109375" style="111" customWidth="1"/>
    <col min="7649" max="7649" width="10.28515625" style="111" customWidth="1"/>
    <col min="7650" max="7650" width="10.140625" style="111" customWidth="1"/>
    <col min="7651" max="7651" width="14.85546875" style="111" customWidth="1"/>
    <col min="7652" max="7652" width="10.7109375" style="111" customWidth="1"/>
    <col min="7653" max="7653" width="6.5703125" style="111" customWidth="1"/>
    <col min="7654" max="7654" width="7" style="111" customWidth="1"/>
    <col min="7655" max="7655" width="7.42578125" style="111" customWidth="1"/>
    <col min="7656" max="7656" width="7.7109375" style="111" customWidth="1"/>
    <col min="7657" max="7657" width="7.28515625" style="111" customWidth="1"/>
    <col min="7658" max="7658" width="7.7109375" style="111" customWidth="1"/>
    <col min="7659" max="7659" width="10.28515625" style="111" customWidth="1"/>
    <col min="7660" max="7660" width="10.140625" style="111" customWidth="1"/>
    <col min="7661" max="7661" width="8.85546875" style="111"/>
    <col min="7662" max="7680" width="9.140625" style="111" customWidth="1"/>
    <col min="7681" max="7886" width="8.85546875" style="111"/>
    <col min="7887" max="7887" width="23.85546875" style="111" customWidth="1"/>
    <col min="7888" max="7888" width="10.7109375" style="111" customWidth="1"/>
    <col min="7889" max="7889" width="6.5703125" style="111" customWidth="1"/>
    <col min="7890" max="7890" width="7" style="111" bestFit="1" customWidth="1"/>
    <col min="7891" max="7891" width="7.42578125" style="111" bestFit="1" customWidth="1"/>
    <col min="7892" max="7892" width="7.7109375" style="111" bestFit="1" customWidth="1"/>
    <col min="7893" max="7893" width="7.28515625" style="111" bestFit="1" customWidth="1"/>
    <col min="7894" max="7894" width="7.7109375" style="111" bestFit="1" customWidth="1"/>
    <col min="7895" max="7895" width="10.28515625" style="111" bestFit="1" customWidth="1"/>
    <col min="7896" max="7896" width="10.140625" style="111" bestFit="1" customWidth="1"/>
    <col min="7897" max="7897" width="23.85546875" style="111" customWidth="1"/>
    <col min="7898" max="7898" width="10.7109375" style="111" customWidth="1"/>
    <col min="7899" max="7899" width="6.5703125" style="111" customWidth="1"/>
    <col min="7900" max="7900" width="7" style="111" customWidth="1"/>
    <col min="7901" max="7901" width="7.42578125" style="111" customWidth="1"/>
    <col min="7902" max="7902" width="7.7109375" style="111" customWidth="1"/>
    <col min="7903" max="7903" width="7.28515625" style="111" customWidth="1"/>
    <col min="7904" max="7904" width="7.7109375" style="111" customWidth="1"/>
    <col min="7905" max="7905" width="10.28515625" style="111" customWidth="1"/>
    <col min="7906" max="7906" width="10.140625" style="111" customWidth="1"/>
    <col min="7907" max="7907" width="14.85546875" style="111" customWidth="1"/>
    <col min="7908" max="7908" width="10.7109375" style="111" customWidth="1"/>
    <col min="7909" max="7909" width="6.5703125" style="111" customWidth="1"/>
    <col min="7910" max="7910" width="7" style="111" customWidth="1"/>
    <col min="7911" max="7911" width="7.42578125" style="111" customWidth="1"/>
    <col min="7912" max="7912" width="7.7109375" style="111" customWidth="1"/>
    <col min="7913" max="7913" width="7.28515625" style="111" customWidth="1"/>
    <col min="7914" max="7914" width="7.7109375" style="111" customWidth="1"/>
    <col min="7915" max="7915" width="10.28515625" style="111" customWidth="1"/>
    <col min="7916" max="7916" width="10.140625" style="111" customWidth="1"/>
    <col min="7917" max="7917" width="8.85546875" style="111"/>
    <col min="7918" max="7936" width="9.140625" style="111" customWidth="1"/>
    <col min="7937" max="8142" width="8.85546875" style="111"/>
    <col min="8143" max="8143" width="23.85546875" style="111" customWidth="1"/>
    <col min="8144" max="8144" width="10.7109375" style="111" customWidth="1"/>
    <col min="8145" max="8145" width="6.5703125" style="111" customWidth="1"/>
    <col min="8146" max="8146" width="7" style="111" bestFit="1" customWidth="1"/>
    <col min="8147" max="8147" width="7.42578125" style="111" bestFit="1" customWidth="1"/>
    <col min="8148" max="8148" width="7.7109375" style="111" bestFit="1" customWidth="1"/>
    <col min="8149" max="8149" width="7.28515625" style="111" bestFit="1" customWidth="1"/>
    <col min="8150" max="8150" width="7.7109375" style="111" bestFit="1" customWidth="1"/>
    <col min="8151" max="8151" width="10.28515625" style="111" bestFit="1" customWidth="1"/>
    <col min="8152" max="8152" width="10.140625" style="111" bestFit="1" customWidth="1"/>
    <col min="8153" max="8153" width="23.85546875" style="111" customWidth="1"/>
    <col min="8154" max="8154" width="10.7109375" style="111" customWidth="1"/>
    <col min="8155" max="8155" width="6.5703125" style="111" customWidth="1"/>
    <col min="8156" max="8156" width="7" style="111" customWidth="1"/>
    <col min="8157" max="8157" width="7.42578125" style="111" customWidth="1"/>
    <col min="8158" max="8158" width="7.7109375" style="111" customWidth="1"/>
    <col min="8159" max="8159" width="7.28515625" style="111" customWidth="1"/>
    <col min="8160" max="8160" width="7.7109375" style="111" customWidth="1"/>
    <col min="8161" max="8161" width="10.28515625" style="111" customWidth="1"/>
    <col min="8162" max="8162" width="10.140625" style="111" customWidth="1"/>
    <col min="8163" max="8163" width="14.85546875" style="111" customWidth="1"/>
    <col min="8164" max="8164" width="10.7109375" style="111" customWidth="1"/>
    <col min="8165" max="8165" width="6.5703125" style="111" customWidth="1"/>
    <col min="8166" max="8166" width="7" style="111" customWidth="1"/>
    <col min="8167" max="8167" width="7.42578125" style="111" customWidth="1"/>
    <col min="8168" max="8168" width="7.7109375" style="111" customWidth="1"/>
    <col min="8169" max="8169" width="7.28515625" style="111" customWidth="1"/>
    <col min="8170" max="8170" width="7.7109375" style="111" customWidth="1"/>
    <col min="8171" max="8171" width="10.28515625" style="111" customWidth="1"/>
    <col min="8172" max="8172" width="10.140625" style="111" customWidth="1"/>
    <col min="8173" max="8173" width="8.85546875" style="111"/>
    <col min="8174" max="8192" width="9.140625" style="111" customWidth="1"/>
    <col min="8193" max="8398" width="8.85546875" style="111"/>
    <col min="8399" max="8399" width="23.85546875" style="111" customWidth="1"/>
    <col min="8400" max="8400" width="10.7109375" style="111" customWidth="1"/>
    <col min="8401" max="8401" width="6.5703125" style="111" customWidth="1"/>
    <col min="8402" max="8402" width="7" style="111" bestFit="1" customWidth="1"/>
    <col min="8403" max="8403" width="7.42578125" style="111" bestFit="1" customWidth="1"/>
    <col min="8404" max="8404" width="7.7109375" style="111" bestFit="1" customWidth="1"/>
    <col min="8405" max="8405" width="7.28515625" style="111" bestFit="1" customWidth="1"/>
    <col min="8406" max="8406" width="7.7109375" style="111" bestFit="1" customWidth="1"/>
    <col min="8407" max="8407" width="10.28515625" style="111" bestFit="1" customWidth="1"/>
    <col min="8408" max="8408" width="10.140625" style="111" bestFit="1" customWidth="1"/>
    <col min="8409" max="8409" width="23.85546875" style="111" customWidth="1"/>
    <col min="8410" max="8410" width="10.7109375" style="111" customWidth="1"/>
    <col min="8411" max="8411" width="6.5703125" style="111" customWidth="1"/>
    <col min="8412" max="8412" width="7" style="111" customWidth="1"/>
    <col min="8413" max="8413" width="7.42578125" style="111" customWidth="1"/>
    <col min="8414" max="8414" width="7.7109375" style="111" customWidth="1"/>
    <col min="8415" max="8415" width="7.28515625" style="111" customWidth="1"/>
    <col min="8416" max="8416" width="7.7109375" style="111" customWidth="1"/>
    <col min="8417" max="8417" width="10.28515625" style="111" customWidth="1"/>
    <col min="8418" max="8418" width="10.140625" style="111" customWidth="1"/>
    <col min="8419" max="8419" width="14.85546875" style="111" customWidth="1"/>
    <col min="8420" max="8420" width="10.7109375" style="111" customWidth="1"/>
    <col min="8421" max="8421" width="6.5703125" style="111" customWidth="1"/>
    <col min="8422" max="8422" width="7" style="111" customWidth="1"/>
    <col min="8423" max="8423" width="7.42578125" style="111" customWidth="1"/>
    <col min="8424" max="8424" width="7.7109375" style="111" customWidth="1"/>
    <col min="8425" max="8425" width="7.28515625" style="111" customWidth="1"/>
    <col min="8426" max="8426" width="7.7109375" style="111" customWidth="1"/>
    <col min="8427" max="8427" width="10.28515625" style="111" customWidth="1"/>
    <col min="8428" max="8428" width="10.140625" style="111" customWidth="1"/>
    <col min="8429" max="8429" width="8.85546875" style="111"/>
    <col min="8430" max="8448" width="9.140625" style="111" customWidth="1"/>
    <col min="8449" max="8654" width="8.85546875" style="111"/>
    <col min="8655" max="8655" width="23.85546875" style="111" customWidth="1"/>
    <col min="8656" max="8656" width="10.7109375" style="111" customWidth="1"/>
    <col min="8657" max="8657" width="6.5703125" style="111" customWidth="1"/>
    <col min="8658" max="8658" width="7" style="111" bestFit="1" customWidth="1"/>
    <col min="8659" max="8659" width="7.42578125" style="111" bestFit="1" customWidth="1"/>
    <col min="8660" max="8660" width="7.7109375" style="111" bestFit="1" customWidth="1"/>
    <col min="8661" max="8661" width="7.28515625" style="111" bestFit="1" customWidth="1"/>
    <col min="8662" max="8662" width="7.7109375" style="111" bestFit="1" customWidth="1"/>
    <col min="8663" max="8663" width="10.28515625" style="111" bestFit="1" customWidth="1"/>
    <col min="8664" max="8664" width="10.140625" style="111" bestFit="1" customWidth="1"/>
    <col min="8665" max="8665" width="23.85546875" style="111" customWidth="1"/>
    <col min="8666" max="8666" width="10.7109375" style="111" customWidth="1"/>
    <col min="8667" max="8667" width="6.5703125" style="111" customWidth="1"/>
    <col min="8668" max="8668" width="7" style="111" customWidth="1"/>
    <col min="8669" max="8669" width="7.42578125" style="111" customWidth="1"/>
    <col min="8670" max="8670" width="7.7109375" style="111" customWidth="1"/>
    <col min="8671" max="8671" width="7.28515625" style="111" customWidth="1"/>
    <col min="8672" max="8672" width="7.7109375" style="111" customWidth="1"/>
    <col min="8673" max="8673" width="10.28515625" style="111" customWidth="1"/>
    <col min="8674" max="8674" width="10.140625" style="111" customWidth="1"/>
    <col min="8675" max="8675" width="14.85546875" style="111" customWidth="1"/>
    <col min="8676" max="8676" width="10.7109375" style="111" customWidth="1"/>
    <col min="8677" max="8677" width="6.5703125" style="111" customWidth="1"/>
    <col min="8678" max="8678" width="7" style="111" customWidth="1"/>
    <col min="8679" max="8679" width="7.42578125" style="111" customWidth="1"/>
    <col min="8680" max="8680" width="7.7109375" style="111" customWidth="1"/>
    <col min="8681" max="8681" width="7.28515625" style="111" customWidth="1"/>
    <col min="8682" max="8682" width="7.7109375" style="111" customWidth="1"/>
    <col min="8683" max="8683" width="10.28515625" style="111" customWidth="1"/>
    <col min="8684" max="8684" width="10.140625" style="111" customWidth="1"/>
    <col min="8685" max="8685" width="8.85546875" style="111"/>
    <col min="8686" max="8704" width="9.140625" style="111" customWidth="1"/>
    <col min="8705" max="8910" width="8.85546875" style="111"/>
    <col min="8911" max="8911" width="23.85546875" style="111" customWidth="1"/>
    <col min="8912" max="8912" width="10.7109375" style="111" customWidth="1"/>
    <col min="8913" max="8913" width="6.5703125" style="111" customWidth="1"/>
    <col min="8914" max="8914" width="7" style="111" bestFit="1" customWidth="1"/>
    <col min="8915" max="8915" width="7.42578125" style="111" bestFit="1" customWidth="1"/>
    <col min="8916" max="8916" width="7.7109375" style="111" bestFit="1" customWidth="1"/>
    <col min="8917" max="8917" width="7.28515625" style="111" bestFit="1" customWidth="1"/>
    <col min="8918" max="8918" width="7.7109375" style="111" bestFit="1" customWidth="1"/>
    <col min="8919" max="8919" width="10.28515625" style="111" bestFit="1" customWidth="1"/>
    <col min="8920" max="8920" width="10.140625" style="111" bestFit="1" customWidth="1"/>
    <col min="8921" max="8921" width="23.85546875" style="111" customWidth="1"/>
    <col min="8922" max="8922" width="10.7109375" style="111" customWidth="1"/>
    <col min="8923" max="8923" width="6.5703125" style="111" customWidth="1"/>
    <col min="8924" max="8924" width="7" style="111" customWidth="1"/>
    <col min="8925" max="8925" width="7.42578125" style="111" customWidth="1"/>
    <col min="8926" max="8926" width="7.7109375" style="111" customWidth="1"/>
    <col min="8927" max="8927" width="7.28515625" style="111" customWidth="1"/>
    <col min="8928" max="8928" width="7.7109375" style="111" customWidth="1"/>
    <col min="8929" max="8929" width="10.28515625" style="111" customWidth="1"/>
    <col min="8930" max="8930" width="10.140625" style="111" customWidth="1"/>
    <col min="8931" max="8931" width="14.85546875" style="111" customWidth="1"/>
    <col min="8932" max="8932" width="10.7109375" style="111" customWidth="1"/>
    <col min="8933" max="8933" width="6.5703125" style="111" customWidth="1"/>
    <col min="8934" max="8934" width="7" style="111" customWidth="1"/>
    <col min="8935" max="8935" width="7.42578125" style="111" customWidth="1"/>
    <col min="8936" max="8936" width="7.7109375" style="111" customWidth="1"/>
    <col min="8937" max="8937" width="7.28515625" style="111" customWidth="1"/>
    <col min="8938" max="8938" width="7.7109375" style="111" customWidth="1"/>
    <col min="8939" max="8939" width="10.28515625" style="111" customWidth="1"/>
    <col min="8940" max="8940" width="10.140625" style="111" customWidth="1"/>
    <col min="8941" max="8941" width="8.85546875" style="111"/>
    <col min="8942" max="8960" width="9.140625" style="111" customWidth="1"/>
    <col min="8961" max="9166" width="8.85546875" style="111"/>
    <col min="9167" max="9167" width="23.85546875" style="111" customWidth="1"/>
    <col min="9168" max="9168" width="10.7109375" style="111" customWidth="1"/>
    <col min="9169" max="9169" width="6.5703125" style="111" customWidth="1"/>
    <col min="9170" max="9170" width="7" style="111" bestFit="1" customWidth="1"/>
    <col min="9171" max="9171" width="7.42578125" style="111" bestFit="1" customWidth="1"/>
    <col min="9172" max="9172" width="7.7109375" style="111" bestFit="1" customWidth="1"/>
    <col min="9173" max="9173" width="7.28515625" style="111" bestFit="1" customWidth="1"/>
    <col min="9174" max="9174" width="7.7109375" style="111" bestFit="1" customWidth="1"/>
    <col min="9175" max="9175" width="10.28515625" style="111" bestFit="1" customWidth="1"/>
    <col min="9176" max="9176" width="10.140625" style="111" bestFit="1" customWidth="1"/>
    <col min="9177" max="9177" width="23.85546875" style="111" customWidth="1"/>
    <col min="9178" max="9178" width="10.7109375" style="111" customWidth="1"/>
    <col min="9179" max="9179" width="6.5703125" style="111" customWidth="1"/>
    <col min="9180" max="9180" width="7" style="111" customWidth="1"/>
    <col min="9181" max="9181" width="7.42578125" style="111" customWidth="1"/>
    <col min="9182" max="9182" width="7.7109375" style="111" customWidth="1"/>
    <col min="9183" max="9183" width="7.28515625" style="111" customWidth="1"/>
    <col min="9184" max="9184" width="7.7109375" style="111" customWidth="1"/>
    <col min="9185" max="9185" width="10.28515625" style="111" customWidth="1"/>
    <col min="9186" max="9186" width="10.140625" style="111" customWidth="1"/>
    <col min="9187" max="9187" width="14.85546875" style="111" customWidth="1"/>
    <col min="9188" max="9188" width="10.7109375" style="111" customWidth="1"/>
    <col min="9189" max="9189" width="6.5703125" style="111" customWidth="1"/>
    <col min="9190" max="9190" width="7" style="111" customWidth="1"/>
    <col min="9191" max="9191" width="7.42578125" style="111" customWidth="1"/>
    <col min="9192" max="9192" width="7.7109375" style="111" customWidth="1"/>
    <col min="9193" max="9193" width="7.28515625" style="111" customWidth="1"/>
    <col min="9194" max="9194" width="7.7109375" style="111" customWidth="1"/>
    <col min="9195" max="9195" width="10.28515625" style="111" customWidth="1"/>
    <col min="9196" max="9196" width="10.140625" style="111" customWidth="1"/>
    <col min="9197" max="9197" width="8.85546875" style="111"/>
    <col min="9198" max="9216" width="9.140625" style="111" customWidth="1"/>
    <col min="9217" max="9422" width="8.85546875" style="111"/>
    <col min="9423" max="9423" width="23.85546875" style="111" customWidth="1"/>
    <col min="9424" max="9424" width="10.7109375" style="111" customWidth="1"/>
    <col min="9425" max="9425" width="6.5703125" style="111" customWidth="1"/>
    <col min="9426" max="9426" width="7" style="111" bestFit="1" customWidth="1"/>
    <col min="9427" max="9427" width="7.42578125" style="111" bestFit="1" customWidth="1"/>
    <col min="9428" max="9428" width="7.7109375" style="111" bestFit="1" customWidth="1"/>
    <col min="9429" max="9429" width="7.28515625" style="111" bestFit="1" customWidth="1"/>
    <col min="9430" max="9430" width="7.7109375" style="111" bestFit="1" customWidth="1"/>
    <col min="9431" max="9431" width="10.28515625" style="111" bestFit="1" customWidth="1"/>
    <col min="9432" max="9432" width="10.140625" style="111" bestFit="1" customWidth="1"/>
    <col min="9433" max="9433" width="23.85546875" style="111" customWidth="1"/>
    <col min="9434" max="9434" width="10.7109375" style="111" customWidth="1"/>
    <col min="9435" max="9435" width="6.5703125" style="111" customWidth="1"/>
    <col min="9436" max="9436" width="7" style="111" customWidth="1"/>
    <col min="9437" max="9437" width="7.42578125" style="111" customWidth="1"/>
    <col min="9438" max="9438" width="7.7109375" style="111" customWidth="1"/>
    <col min="9439" max="9439" width="7.28515625" style="111" customWidth="1"/>
    <col min="9440" max="9440" width="7.7109375" style="111" customWidth="1"/>
    <col min="9441" max="9441" width="10.28515625" style="111" customWidth="1"/>
    <col min="9442" max="9442" width="10.140625" style="111" customWidth="1"/>
    <col min="9443" max="9443" width="14.85546875" style="111" customWidth="1"/>
    <col min="9444" max="9444" width="10.7109375" style="111" customWidth="1"/>
    <col min="9445" max="9445" width="6.5703125" style="111" customWidth="1"/>
    <col min="9446" max="9446" width="7" style="111" customWidth="1"/>
    <col min="9447" max="9447" width="7.42578125" style="111" customWidth="1"/>
    <col min="9448" max="9448" width="7.7109375" style="111" customWidth="1"/>
    <col min="9449" max="9449" width="7.28515625" style="111" customWidth="1"/>
    <col min="9450" max="9450" width="7.7109375" style="111" customWidth="1"/>
    <col min="9451" max="9451" width="10.28515625" style="111" customWidth="1"/>
    <col min="9452" max="9452" width="10.140625" style="111" customWidth="1"/>
    <col min="9453" max="9453" width="8.85546875" style="111"/>
    <col min="9454" max="9472" width="9.140625" style="111" customWidth="1"/>
    <col min="9473" max="9678" width="8.85546875" style="111"/>
    <col min="9679" max="9679" width="23.85546875" style="111" customWidth="1"/>
    <col min="9680" max="9680" width="10.7109375" style="111" customWidth="1"/>
    <col min="9681" max="9681" width="6.5703125" style="111" customWidth="1"/>
    <col min="9682" max="9682" width="7" style="111" bestFit="1" customWidth="1"/>
    <col min="9683" max="9683" width="7.42578125" style="111" bestFit="1" customWidth="1"/>
    <col min="9684" max="9684" width="7.7109375" style="111" bestFit="1" customWidth="1"/>
    <col min="9685" max="9685" width="7.28515625" style="111" bestFit="1" customWidth="1"/>
    <col min="9686" max="9686" width="7.7109375" style="111" bestFit="1" customWidth="1"/>
    <col min="9687" max="9687" width="10.28515625" style="111" bestFit="1" customWidth="1"/>
    <col min="9688" max="9688" width="10.140625" style="111" bestFit="1" customWidth="1"/>
    <col min="9689" max="9689" width="23.85546875" style="111" customWidth="1"/>
    <col min="9690" max="9690" width="10.7109375" style="111" customWidth="1"/>
    <col min="9691" max="9691" width="6.5703125" style="111" customWidth="1"/>
    <col min="9692" max="9692" width="7" style="111" customWidth="1"/>
    <col min="9693" max="9693" width="7.42578125" style="111" customWidth="1"/>
    <col min="9694" max="9694" width="7.7109375" style="111" customWidth="1"/>
    <col min="9695" max="9695" width="7.28515625" style="111" customWidth="1"/>
    <col min="9696" max="9696" width="7.7109375" style="111" customWidth="1"/>
    <col min="9697" max="9697" width="10.28515625" style="111" customWidth="1"/>
    <col min="9698" max="9698" width="10.140625" style="111" customWidth="1"/>
    <col min="9699" max="9699" width="14.85546875" style="111" customWidth="1"/>
    <col min="9700" max="9700" width="10.7109375" style="111" customWidth="1"/>
    <col min="9701" max="9701" width="6.5703125" style="111" customWidth="1"/>
    <col min="9702" max="9702" width="7" style="111" customWidth="1"/>
    <col min="9703" max="9703" width="7.42578125" style="111" customWidth="1"/>
    <col min="9704" max="9704" width="7.7109375" style="111" customWidth="1"/>
    <col min="9705" max="9705" width="7.28515625" style="111" customWidth="1"/>
    <col min="9706" max="9706" width="7.7109375" style="111" customWidth="1"/>
    <col min="9707" max="9707" width="10.28515625" style="111" customWidth="1"/>
    <col min="9708" max="9708" width="10.140625" style="111" customWidth="1"/>
    <col min="9709" max="9709" width="8.85546875" style="111"/>
    <col min="9710" max="9728" width="9.140625" style="111" customWidth="1"/>
    <col min="9729" max="9934" width="8.85546875" style="111"/>
    <col min="9935" max="9935" width="23.85546875" style="111" customWidth="1"/>
    <col min="9936" max="9936" width="10.7109375" style="111" customWidth="1"/>
    <col min="9937" max="9937" width="6.5703125" style="111" customWidth="1"/>
    <col min="9938" max="9938" width="7" style="111" bestFit="1" customWidth="1"/>
    <col min="9939" max="9939" width="7.42578125" style="111" bestFit="1" customWidth="1"/>
    <col min="9940" max="9940" width="7.7109375" style="111" bestFit="1" customWidth="1"/>
    <col min="9941" max="9941" width="7.28515625" style="111" bestFit="1" customWidth="1"/>
    <col min="9942" max="9942" width="7.7109375" style="111" bestFit="1" customWidth="1"/>
    <col min="9943" max="9943" width="10.28515625" style="111" bestFit="1" customWidth="1"/>
    <col min="9944" max="9944" width="10.140625" style="111" bestFit="1" customWidth="1"/>
    <col min="9945" max="9945" width="23.85546875" style="111" customWidth="1"/>
    <col min="9946" max="9946" width="10.7109375" style="111" customWidth="1"/>
    <col min="9947" max="9947" width="6.5703125" style="111" customWidth="1"/>
    <col min="9948" max="9948" width="7" style="111" customWidth="1"/>
    <col min="9949" max="9949" width="7.42578125" style="111" customWidth="1"/>
    <col min="9950" max="9950" width="7.7109375" style="111" customWidth="1"/>
    <col min="9951" max="9951" width="7.28515625" style="111" customWidth="1"/>
    <col min="9952" max="9952" width="7.7109375" style="111" customWidth="1"/>
    <col min="9953" max="9953" width="10.28515625" style="111" customWidth="1"/>
    <col min="9954" max="9954" width="10.140625" style="111" customWidth="1"/>
    <col min="9955" max="9955" width="14.85546875" style="111" customWidth="1"/>
    <col min="9956" max="9956" width="10.7109375" style="111" customWidth="1"/>
    <col min="9957" max="9957" width="6.5703125" style="111" customWidth="1"/>
    <col min="9958" max="9958" width="7" style="111" customWidth="1"/>
    <col min="9959" max="9959" width="7.42578125" style="111" customWidth="1"/>
    <col min="9960" max="9960" width="7.7109375" style="111" customWidth="1"/>
    <col min="9961" max="9961" width="7.28515625" style="111" customWidth="1"/>
    <col min="9962" max="9962" width="7.7109375" style="111" customWidth="1"/>
    <col min="9963" max="9963" width="10.28515625" style="111" customWidth="1"/>
    <col min="9964" max="9964" width="10.140625" style="111" customWidth="1"/>
    <col min="9965" max="9965" width="8.85546875" style="111"/>
    <col min="9966" max="9984" width="9.140625" style="111" customWidth="1"/>
    <col min="9985" max="10190" width="8.85546875" style="111"/>
    <col min="10191" max="10191" width="23.85546875" style="111" customWidth="1"/>
    <col min="10192" max="10192" width="10.7109375" style="111" customWidth="1"/>
    <col min="10193" max="10193" width="6.5703125" style="111" customWidth="1"/>
    <col min="10194" max="10194" width="7" style="111" bestFit="1" customWidth="1"/>
    <col min="10195" max="10195" width="7.42578125" style="111" bestFit="1" customWidth="1"/>
    <col min="10196" max="10196" width="7.7109375" style="111" bestFit="1" customWidth="1"/>
    <col min="10197" max="10197" width="7.28515625" style="111" bestFit="1" customWidth="1"/>
    <col min="10198" max="10198" width="7.7109375" style="111" bestFit="1" customWidth="1"/>
    <col min="10199" max="10199" width="10.28515625" style="111" bestFit="1" customWidth="1"/>
    <col min="10200" max="10200" width="10.140625" style="111" bestFit="1" customWidth="1"/>
    <col min="10201" max="10201" width="23.85546875" style="111" customWidth="1"/>
    <col min="10202" max="10202" width="10.7109375" style="111" customWidth="1"/>
    <col min="10203" max="10203" width="6.5703125" style="111" customWidth="1"/>
    <col min="10204" max="10204" width="7" style="111" customWidth="1"/>
    <col min="10205" max="10205" width="7.42578125" style="111" customWidth="1"/>
    <col min="10206" max="10206" width="7.7109375" style="111" customWidth="1"/>
    <col min="10207" max="10207" width="7.28515625" style="111" customWidth="1"/>
    <col min="10208" max="10208" width="7.7109375" style="111" customWidth="1"/>
    <col min="10209" max="10209" width="10.28515625" style="111" customWidth="1"/>
    <col min="10210" max="10210" width="10.140625" style="111" customWidth="1"/>
    <col min="10211" max="10211" width="14.85546875" style="111" customWidth="1"/>
    <col min="10212" max="10212" width="10.7109375" style="111" customWidth="1"/>
    <col min="10213" max="10213" width="6.5703125" style="111" customWidth="1"/>
    <col min="10214" max="10214" width="7" style="111" customWidth="1"/>
    <col min="10215" max="10215" width="7.42578125" style="111" customWidth="1"/>
    <col min="10216" max="10216" width="7.7109375" style="111" customWidth="1"/>
    <col min="10217" max="10217" width="7.28515625" style="111" customWidth="1"/>
    <col min="10218" max="10218" width="7.7109375" style="111" customWidth="1"/>
    <col min="10219" max="10219" width="10.28515625" style="111" customWidth="1"/>
    <col min="10220" max="10220" width="10.140625" style="111" customWidth="1"/>
    <col min="10221" max="10221" width="8.85546875" style="111"/>
    <col min="10222" max="10240" width="9.140625" style="111" customWidth="1"/>
    <col min="10241" max="10446" width="8.85546875" style="111"/>
    <col min="10447" max="10447" width="23.85546875" style="111" customWidth="1"/>
    <col min="10448" max="10448" width="10.7109375" style="111" customWidth="1"/>
    <col min="10449" max="10449" width="6.5703125" style="111" customWidth="1"/>
    <col min="10450" max="10450" width="7" style="111" bestFit="1" customWidth="1"/>
    <col min="10451" max="10451" width="7.42578125" style="111" bestFit="1" customWidth="1"/>
    <col min="10452" max="10452" width="7.7109375" style="111" bestFit="1" customWidth="1"/>
    <col min="10453" max="10453" width="7.28515625" style="111" bestFit="1" customWidth="1"/>
    <col min="10454" max="10454" width="7.7109375" style="111" bestFit="1" customWidth="1"/>
    <col min="10455" max="10455" width="10.28515625" style="111" bestFit="1" customWidth="1"/>
    <col min="10456" max="10456" width="10.140625" style="111" bestFit="1" customWidth="1"/>
    <col min="10457" max="10457" width="23.85546875" style="111" customWidth="1"/>
    <col min="10458" max="10458" width="10.7109375" style="111" customWidth="1"/>
    <col min="10459" max="10459" width="6.5703125" style="111" customWidth="1"/>
    <col min="10460" max="10460" width="7" style="111" customWidth="1"/>
    <col min="10461" max="10461" width="7.42578125" style="111" customWidth="1"/>
    <col min="10462" max="10462" width="7.7109375" style="111" customWidth="1"/>
    <col min="10463" max="10463" width="7.28515625" style="111" customWidth="1"/>
    <col min="10464" max="10464" width="7.7109375" style="111" customWidth="1"/>
    <col min="10465" max="10465" width="10.28515625" style="111" customWidth="1"/>
    <col min="10466" max="10466" width="10.140625" style="111" customWidth="1"/>
    <col min="10467" max="10467" width="14.85546875" style="111" customWidth="1"/>
    <col min="10468" max="10468" width="10.7109375" style="111" customWidth="1"/>
    <col min="10469" max="10469" width="6.5703125" style="111" customWidth="1"/>
    <col min="10470" max="10470" width="7" style="111" customWidth="1"/>
    <col min="10471" max="10471" width="7.42578125" style="111" customWidth="1"/>
    <col min="10472" max="10472" width="7.7109375" style="111" customWidth="1"/>
    <col min="10473" max="10473" width="7.28515625" style="111" customWidth="1"/>
    <col min="10474" max="10474" width="7.7109375" style="111" customWidth="1"/>
    <col min="10475" max="10475" width="10.28515625" style="111" customWidth="1"/>
    <col min="10476" max="10476" width="10.140625" style="111" customWidth="1"/>
    <col min="10477" max="10477" width="8.85546875" style="111"/>
    <col min="10478" max="10496" width="9.140625" style="111" customWidth="1"/>
    <col min="10497" max="10702" width="8.85546875" style="111"/>
    <col min="10703" max="10703" width="23.85546875" style="111" customWidth="1"/>
    <col min="10704" max="10704" width="10.7109375" style="111" customWidth="1"/>
    <col min="10705" max="10705" width="6.5703125" style="111" customWidth="1"/>
    <col min="10706" max="10706" width="7" style="111" bestFit="1" customWidth="1"/>
    <col min="10707" max="10707" width="7.42578125" style="111" bestFit="1" customWidth="1"/>
    <col min="10708" max="10708" width="7.7109375" style="111" bestFit="1" customWidth="1"/>
    <col min="10709" max="10709" width="7.28515625" style="111" bestFit="1" customWidth="1"/>
    <col min="10710" max="10710" width="7.7109375" style="111" bestFit="1" customWidth="1"/>
    <col min="10711" max="10711" width="10.28515625" style="111" bestFit="1" customWidth="1"/>
    <col min="10712" max="10712" width="10.140625" style="111" bestFit="1" customWidth="1"/>
    <col min="10713" max="10713" width="23.85546875" style="111" customWidth="1"/>
    <col min="10714" max="10714" width="10.7109375" style="111" customWidth="1"/>
    <col min="10715" max="10715" width="6.5703125" style="111" customWidth="1"/>
    <col min="10716" max="10716" width="7" style="111" customWidth="1"/>
    <col min="10717" max="10717" width="7.42578125" style="111" customWidth="1"/>
    <col min="10718" max="10718" width="7.7109375" style="111" customWidth="1"/>
    <col min="10719" max="10719" width="7.28515625" style="111" customWidth="1"/>
    <col min="10720" max="10720" width="7.7109375" style="111" customWidth="1"/>
    <col min="10721" max="10721" width="10.28515625" style="111" customWidth="1"/>
    <col min="10722" max="10722" width="10.140625" style="111" customWidth="1"/>
    <col min="10723" max="10723" width="14.85546875" style="111" customWidth="1"/>
    <col min="10724" max="10724" width="10.7109375" style="111" customWidth="1"/>
    <col min="10725" max="10725" width="6.5703125" style="111" customWidth="1"/>
    <col min="10726" max="10726" width="7" style="111" customWidth="1"/>
    <col min="10727" max="10727" width="7.42578125" style="111" customWidth="1"/>
    <col min="10728" max="10728" width="7.7109375" style="111" customWidth="1"/>
    <col min="10729" max="10729" width="7.28515625" style="111" customWidth="1"/>
    <col min="10730" max="10730" width="7.7109375" style="111" customWidth="1"/>
    <col min="10731" max="10731" width="10.28515625" style="111" customWidth="1"/>
    <col min="10732" max="10732" width="10.140625" style="111" customWidth="1"/>
    <col min="10733" max="10733" width="8.85546875" style="111"/>
    <col min="10734" max="10752" width="9.140625" style="111" customWidth="1"/>
    <col min="10753" max="10958" width="8.85546875" style="111"/>
    <col min="10959" max="10959" width="23.85546875" style="111" customWidth="1"/>
    <col min="10960" max="10960" width="10.7109375" style="111" customWidth="1"/>
    <col min="10961" max="10961" width="6.5703125" style="111" customWidth="1"/>
    <col min="10962" max="10962" width="7" style="111" bestFit="1" customWidth="1"/>
    <col min="10963" max="10963" width="7.42578125" style="111" bestFit="1" customWidth="1"/>
    <col min="10964" max="10964" width="7.7109375" style="111" bestFit="1" customWidth="1"/>
    <col min="10965" max="10965" width="7.28515625" style="111" bestFit="1" customWidth="1"/>
    <col min="10966" max="10966" width="7.7109375" style="111" bestFit="1" customWidth="1"/>
    <col min="10967" max="10967" width="10.28515625" style="111" bestFit="1" customWidth="1"/>
    <col min="10968" max="10968" width="10.140625" style="111" bestFit="1" customWidth="1"/>
    <col min="10969" max="10969" width="23.85546875" style="111" customWidth="1"/>
    <col min="10970" max="10970" width="10.7109375" style="111" customWidth="1"/>
    <col min="10971" max="10971" width="6.5703125" style="111" customWidth="1"/>
    <col min="10972" max="10972" width="7" style="111" customWidth="1"/>
    <col min="10973" max="10973" width="7.42578125" style="111" customWidth="1"/>
    <col min="10974" max="10974" width="7.7109375" style="111" customWidth="1"/>
    <col min="10975" max="10975" width="7.28515625" style="111" customWidth="1"/>
    <col min="10976" max="10976" width="7.7109375" style="111" customWidth="1"/>
    <col min="10977" max="10977" width="10.28515625" style="111" customWidth="1"/>
    <col min="10978" max="10978" width="10.140625" style="111" customWidth="1"/>
    <col min="10979" max="10979" width="14.85546875" style="111" customWidth="1"/>
    <col min="10980" max="10980" width="10.7109375" style="111" customWidth="1"/>
    <col min="10981" max="10981" width="6.5703125" style="111" customWidth="1"/>
    <col min="10982" max="10982" width="7" style="111" customWidth="1"/>
    <col min="10983" max="10983" width="7.42578125" style="111" customWidth="1"/>
    <col min="10984" max="10984" width="7.7109375" style="111" customWidth="1"/>
    <col min="10985" max="10985" width="7.28515625" style="111" customWidth="1"/>
    <col min="10986" max="10986" width="7.7109375" style="111" customWidth="1"/>
    <col min="10987" max="10987" width="10.28515625" style="111" customWidth="1"/>
    <col min="10988" max="10988" width="10.140625" style="111" customWidth="1"/>
    <col min="10989" max="10989" width="8.85546875" style="111"/>
    <col min="10990" max="11008" width="9.140625" style="111" customWidth="1"/>
    <col min="11009" max="11214" width="8.85546875" style="111"/>
    <col min="11215" max="11215" width="23.85546875" style="111" customWidth="1"/>
    <col min="11216" max="11216" width="10.7109375" style="111" customWidth="1"/>
    <col min="11217" max="11217" width="6.5703125" style="111" customWidth="1"/>
    <col min="11218" max="11218" width="7" style="111" bestFit="1" customWidth="1"/>
    <col min="11219" max="11219" width="7.42578125" style="111" bestFit="1" customWidth="1"/>
    <col min="11220" max="11220" width="7.7109375" style="111" bestFit="1" customWidth="1"/>
    <col min="11221" max="11221" width="7.28515625" style="111" bestFit="1" customWidth="1"/>
    <col min="11222" max="11222" width="7.7109375" style="111" bestFit="1" customWidth="1"/>
    <col min="11223" max="11223" width="10.28515625" style="111" bestFit="1" customWidth="1"/>
    <col min="11224" max="11224" width="10.140625" style="111" bestFit="1" customWidth="1"/>
    <col min="11225" max="11225" width="23.85546875" style="111" customWidth="1"/>
    <col min="11226" max="11226" width="10.7109375" style="111" customWidth="1"/>
    <col min="11227" max="11227" width="6.5703125" style="111" customWidth="1"/>
    <col min="11228" max="11228" width="7" style="111" customWidth="1"/>
    <col min="11229" max="11229" width="7.42578125" style="111" customWidth="1"/>
    <col min="11230" max="11230" width="7.7109375" style="111" customWidth="1"/>
    <col min="11231" max="11231" width="7.28515625" style="111" customWidth="1"/>
    <col min="11232" max="11232" width="7.7109375" style="111" customWidth="1"/>
    <col min="11233" max="11233" width="10.28515625" style="111" customWidth="1"/>
    <col min="11234" max="11234" width="10.140625" style="111" customWidth="1"/>
    <col min="11235" max="11235" width="14.85546875" style="111" customWidth="1"/>
    <col min="11236" max="11236" width="10.7109375" style="111" customWidth="1"/>
    <col min="11237" max="11237" width="6.5703125" style="111" customWidth="1"/>
    <col min="11238" max="11238" width="7" style="111" customWidth="1"/>
    <col min="11239" max="11239" width="7.42578125" style="111" customWidth="1"/>
    <col min="11240" max="11240" width="7.7109375" style="111" customWidth="1"/>
    <col min="11241" max="11241" width="7.28515625" style="111" customWidth="1"/>
    <col min="11242" max="11242" width="7.7109375" style="111" customWidth="1"/>
    <col min="11243" max="11243" width="10.28515625" style="111" customWidth="1"/>
    <col min="11244" max="11244" width="10.140625" style="111" customWidth="1"/>
    <col min="11245" max="11245" width="8.85546875" style="111"/>
    <col min="11246" max="11264" width="9.140625" style="111" customWidth="1"/>
    <col min="11265" max="11470" width="8.85546875" style="111"/>
    <col min="11471" max="11471" width="23.85546875" style="111" customWidth="1"/>
    <col min="11472" max="11472" width="10.7109375" style="111" customWidth="1"/>
    <col min="11473" max="11473" width="6.5703125" style="111" customWidth="1"/>
    <col min="11474" max="11474" width="7" style="111" bestFit="1" customWidth="1"/>
    <col min="11475" max="11475" width="7.42578125" style="111" bestFit="1" customWidth="1"/>
    <col min="11476" max="11476" width="7.7109375" style="111" bestFit="1" customWidth="1"/>
    <col min="11477" max="11477" width="7.28515625" style="111" bestFit="1" customWidth="1"/>
    <col min="11478" max="11478" width="7.7109375" style="111" bestFit="1" customWidth="1"/>
    <col min="11479" max="11479" width="10.28515625" style="111" bestFit="1" customWidth="1"/>
    <col min="11480" max="11480" width="10.140625" style="111" bestFit="1" customWidth="1"/>
    <col min="11481" max="11481" width="23.85546875" style="111" customWidth="1"/>
    <col min="11482" max="11482" width="10.7109375" style="111" customWidth="1"/>
    <col min="11483" max="11483" width="6.5703125" style="111" customWidth="1"/>
    <col min="11484" max="11484" width="7" style="111" customWidth="1"/>
    <col min="11485" max="11485" width="7.42578125" style="111" customWidth="1"/>
    <col min="11486" max="11486" width="7.7109375" style="111" customWidth="1"/>
    <col min="11487" max="11487" width="7.28515625" style="111" customWidth="1"/>
    <col min="11488" max="11488" width="7.7109375" style="111" customWidth="1"/>
    <col min="11489" max="11489" width="10.28515625" style="111" customWidth="1"/>
    <col min="11490" max="11490" width="10.140625" style="111" customWidth="1"/>
    <col min="11491" max="11491" width="14.85546875" style="111" customWidth="1"/>
    <col min="11492" max="11492" width="10.7109375" style="111" customWidth="1"/>
    <col min="11493" max="11493" width="6.5703125" style="111" customWidth="1"/>
    <col min="11494" max="11494" width="7" style="111" customWidth="1"/>
    <col min="11495" max="11495" width="7.42578125" style="111" customWidth="1"/>
    <col min="11496" max="11496" width="7.7109375" style="111" customWidth="1"/>
    <col min="11497" max="11497" width="7.28515625" style="111" customWidth="1"/>
    <col min="11498" max="11498" width="7.7109375" style="111" customWidth="1"/>
    <col min="11499" max="11499" width="10.28515625" style="111" customWidth="1"/>
    <col min="11500" max="11500" width="10.140625" style="111" customWidth="1"/>
    <col min="11501" max="11501" width="8.85546875" style="111"/>
    <col min="11502" max="11520" width="9.140625" style="111" customWidth="1"/>
    <col min="11521" max="11726" width="8.85546875" style="111"/>
    <col min="11727" max="11727" width="23.85546875" style="111" customWidth="1"/>
    <col min="11728" max="11728" width="10.7109375" style="111" customWidth="1"/>
    <col min="11729" max="11729" width="6.5703125" style="111" customWidth="1"/>
    <col min="11730" max="11730" width="7" style="111" bestFit="1" customWidth="1"/>
    <col min="11731" max="11731" width="7.42578125" style="111" bestFit="1" customWidth="1"/>
    <col min="11732" max="11732" width="7.7109375" style="111" bestFit="1" customWidth="1"/>
    <col min="11733" max="11733" width="7.28515625" style="111" bestFit="1" customWidth="1"/>
    <col min="11734" max="11734" width="7.7109375" style="111" bestFit="1" customWidth="1"/>
    <col min="11735" max="11735" width="10.28515625" style="111" bestFit="1" customWidth="1"/>
    <col min="11736" max="11736" width="10.140625" style="111" bestFit="1" customWidth="1"/>
    <col min="11737" max="11737" width="23.85546875" style="111" customWidth="1"/>
    <col min="11738" max="11738" width="10.7109375" style="111" customWidth="1"/>
    <col min="11739" max="11739" width="6.5703125" style="111" customWidth="1"/>
    <col min="11740" max="11740" width="7" style="111" customWidth="1"/>
    <col min="11741" max="11741" width="7.42578125" style="111" customWidth="1"/>
    <col min="11742" max="11742" width="7.7109375" style="111" customWidth="1"/>
    <col min="11743" max="11743" width="7.28515625" style="111" customWidth="1"/>
    <col min="11744" max="11744" width="7.7109375" style="111" customWidth="1"/>
    <col min="11745" max="11745" width="10.28515625" style="111" customWidth="1"/>
    <col min="11746" max="11746" width="10.140625" style="111" customWidth="1"/>
    <col min="11747" max="11747" width="14.85546875" style="111" customWidth="1"/>
    <col min="11748" max="11748" width="10.7109375" style="111" customWidth="1"/>
    <col min="11749" max="11749" width="6.5703125" style="111" customWidth="1"/>
    <col min="11750" max="11750" width="7" style="111" customWidth="1"/>
    <col min="11751" max="11751" width="7.42578125" style="111" customWidth="1"/>
    <col min="11752" max="11752" width="7.7109375" style="111" customWidth="1"/>
    <col min="11753" max="11753" width="7.28515625" style="111" customWidth="1"/>
    <col min="11754" max="11754" width="7.7109375" style="111" customWidth="1"/>
    <col min="11755" max="11755" width="10.28515625" style="111" customWidth="1"/>
    <col min="11756" max="11756" width="10.140625" style="111" customWidth="1"/>
    <col min="11757" max="11757" width="8.85546875" style="111"/>
    <col min="11758" max="11776" width="9.140625" style="111" customWidth="1"/>
    <col min="11777" max="11982" width="8.85546875" style="111"/>
    <col min="11983" max="11983" width="23.85546875" style="111" customWidth="1"/>
    <col min="11984" max="11984" width="10.7109375" style="111" customWidth="1"/>
    <col min="11985" max="11985" width="6.5703125" style="111" customWidth="1"/>
    <col min="11986" max="11986" width="7" style="111" bestFit="1" customWidth="1"/>
    <col min="11987" max="11987" width="7.42578125" style="111" bestFit="1" customWidth="1"/>
    <col min="11988" max="11988" width="7.7109375" style="111" bestFit="1" customWidth="1"/>
    <col min="11989" max="11989" width="7.28515625" style="111" bestFit="1" customWidth="1"/>
    <col min="11990" max="11990" width="7.7109375" style="111" bestFit="1" customWidth="1"/>
    <col min="11991" max="11991" width="10.28515625" style="111" bestFit="1" customWidth="1"/>
    <col min="11992" max="11992" width="10.140625" style="111" bestFit="1" customWidth="1"/>
    <col min="11993" max="11993" width="23.85546875" style="111" customWidth="1"/>
    <col min="11994" max="11994" width="10.7109375" style="111" customWidth="1"/>
    <col min="11995" max="11995" width="6.5703125" style="111" customWidth="1"/>
    <col min="11996" max="11996" width="7" style="111" customWidth="1"/>
    <col min="11997" max="11997" width="7.42578125" style="111" customWidth="1"/>
    <col min="11998" max="11998" width="7.7109375" style="111" customWidth="1"/>
    <col min="11999" max="11999" width="7.28515625" style="111" customWidth="1"/>
    <col min="12000" max="12000" width="7.7109375" style="111" customWidth="1"/>
    <col min="12001" max="12001" width="10.28515625" style="111" customWidth="1"/>
    <col min="12002" max="12002" width="10.140625" style="111" customWidth="1"/>
    <col min="12003" max="12003" width="14.85546875" style="111" customWidth="1"/>
    <col min="12004" max="12004" width="10.7109375" style="111" customWidth="1"/>
    <col min="12005" max="12005" width="6.5703125" style="111" customWidth="1"/>
    <col min="12006" max="12006" width="7" style="111" customWidth="1"/>
    <col min="12007" max="12007" width="7.42578125" style="111" customWidth="1"/>
    <col min="12008" max="12008" width="7.7109375" style="111" customWidth="1"/>
    <col min="12009" max="12009" width="7.28515625" style="111" customWidth="1"/>
    <col min="12010" max="12010" width="7.7109375" style="111" customWidth="1"/>
    <col min="12011" max="12011" width="10.28515625" style="111" customWidth="1"/>
    <col min="12012" max="12012" width="10.140625" style="111" customWidth="1"/>
    <col min="12013" max="12013" width="8.85546875" style="111"/>
    <col min="12014" max="12032" width="9.140625" style="111" customWidth="1"/>
    <col min="12033" max="12238" width="8.85546875" style="111"/>
    <col min="12239" max="12239" width="23.85546875" style="111" customWidth="1"/>
    <col min="12240" max="12240" width="10.7109375" style="111" customWidth="1"/>
    <col min="12241" max="12241" width="6.5703125" style="111" customWidth="1"/>
    <col min="12242" max="12242" width="7" style="111" bestFit="1" customWidth="1"/>
    <col min="12243" max="12243" width="7.42578125" style="111" bestFit="1" customWidth="1"/>
    <col min="12244" max="12244" width="7.7109375" style="111" bestFit="1" customWidth="1"/>
    <col min="12245" max="12245" width="7.28515625" style="111" bestFit="1" customWidth="1"/>
    <col min="12246" max="12246" width="7.7109375" style="111" bestFit="1" customWidth="1"/>
    <col min="12247" max="12247" width="10.28515625" style="111" bestFit="1" customWidth="1"/>
    <col min="12248" max="12248" width="10.140625" style="111" bestFit="1" customWidth="1"/>
    <col min="12249" max="12249" width="23.85546875" style="111" customWidth="1"/>
    <col min="12250" max="12250" width="10.7109375" style="111" customWidth="1"/>
    <col min="12251" max="12251" width="6.5703125" style="111" customWidth="1"/>
    <col min="12252" max="12252" width="7" style="111" customWidth="1"/>
    <col min="12253" max="12253" width="7.42578125" style="111" customWidth="1"/>
    <col min="12254" max="12254" width="7.7109375" style="111" customWidth="1"/>
    <col min="12255" max="12255" width="7.28515625" style="111" customWidth="1"/>
    <col min="12256" max="12256" width="7.7109375" style="111" customWidth="1"/>
    <col min="12257" max="12257" width="10.28515625" style="111" customWidth="1"/>
    <col min="12258" max="12258" width="10.140625" style="111" customWidth="1"/>
    <col min="12259" max="12259" width="14.85546875" style="111" customWidth="1"/>
    <col min="12260" max="12260" width="10.7109375" style="111" customWidth="1"/>
    <col min="12261" max="12261" width="6.5703125" style="111" customWidth="1"/>
    <col min="12262" max="12262" width="7" style="111" customWidth="1"/>
    <col min="12263" max="12263" width="7.42578125" style="111" customWidth="1"/>
    <col min="12264" max="12264" width="7.7109375" style="111" customWidth="1"/>
    <col min="12265" max="12265" width="7.28515625" style="111" customWidth="1"/>
    <col min="12266" max="12266" width="7.7109375" style="111" customWidth="1"/>
    <col min="12267" max="12267" width="10.28515625" style="111" customWidth="1"/>
    <col min="12268" max="12268" width="10.140625" style="111" customWidth="1"/>
    <col min="12269" max="12269" width="8.85546875" style="111"/>
    <col min="12270" max="12288" width="9.140625" style="111" customWidth="1"/>
    <col min="12289" max="12494" width="8.85546875" style="111"/>
    <col min="12495" max="12495" width="23.85546875" style="111" customWidth="1"/>
    <col min="12496" max="12496" width="10.7109375" style="111" customWidth="1"/>
    <col min="12497" max="12497" width="6.5703125" style="111" customWidth="1"/>
    <col min="12498" max="12498" width="7" style="111" bestFit="1" customWidth="1"/>
    <col min="12499" max="12499" width="7.42578125" style="111" bestFit="1" customWidth="1"/>
    <col min="12500" max="12500" width="7.7109375" style="111" bestFit="1" customWidth="1"/>
    <col min="12501" max="12501" width="7.28515625" style="111" bestFit="1" customWidth="1"/>
    <col min="12502" max="12502" width="7.7109375" style="111" bestFit="1" customWidth="1"/>
    <col min="12503" max="12503" width="10.28515625" style="111" bestFit="1" customWidth="1"/>
    <col min="12504" max="12504" width="10.140625" style="111" bestFit="1" customWidth="1"/>
    <col min="12505" max="12505" width="23.85546875" style="111" customWidth="1"/>
    <col min="12506" max="12506" width="10.7109375" style="111" customWidth="1"/>
    <col min="12507" max="12507" width="6.5703125" style="111" customWidth="1"/>
    <col min="12508" max="12508" width="7" style="111" customWidth="1"/>
    <col min="12509" max="12509" width="7.42578125" style="111" customWidth="1"/>
    <col min="12510" max="12510" width="7.7109375" style="111" customWidth="1"/>
    <col min="12511" max="12511" width="7.28515625" style="111" customWidth="1"/>
    <col min="12512" max="12512" width="7.7109375" style="111" customWidth="1"/>
    <col min="12513" max="12513" width="10.28515625" style="111" customWidth="1"/>
    <col min="12514" max="12514" width="10.140625" style="111" customWidth="1"/>
    <col min="12515" max="12515" width="14.85546875" style="111" customWidth="1"/>
    <col min="12516" max="12516" width="10.7109375" style="111" customWidth="1"/>
    <col min="12517" max="12517" width="6.5703125" style="111" customWidth="1"/>
    <col min="12518" max="12518" width="7" style="111" customWidth="1"/>
    <col min="12519" max="12519" width="7.42578125" style="111" customWidth="1"/>
    <col min="12520" max="12520" width="7.7109375" style="111" customWidth="1"/>
    <col min="12521" max="12521" width="7.28515625" style="111" customWidth="1"/>
    <col min="12522" max="12522" width="7.7109375" style="111" customWidth="1"/>
    <col min="12523" max="12523" width="10.28515625" style="111" customWidth="1"/>
    <col min="12524" max="12524" width="10.140625" style="111" customWidth="1"/>
    <col min="12525" max="12525" width="8.85546875" style="111"/>
    <col min="12526" max="12544" width="9.140625" style="111" customWidth="1"/>
    <col min="12545" max="12750" width="8.85546875" style="111"/>
    <col min="12751" max="12751" width="23.85546875" style="111" customWidth="1"/>
    <col min="12752" max="12752" width="10.7109375" style="111" customWidth="1"/>
    <col min="12753" max="12753" width="6.5703125" style="111" customWidth="1"/>
    <col min="12754" max="12754" width="7" style="111" bestFit="1" customWidth="1"/>
    <col min="12755" max="12755" width="7.42578125" style="111" bestFit="1" customWidth="1"/>
    <col min="12756" max="12756" width="7.7109375" style="111" bestFit="1" customWidth="1"/>
    <col min="12757" max="12757" width="7.28515625" style="111" bestFit="1" customWidth="1"/>
    <col min="12758" max="12758" width="7.7109375" style="111" bestFit="1" customWidth="1"/>
    <col min="12759" max="12759" width="10.28515625" style="111" bestFit="1" customWidth="1"/>
    <col min="12760" max="12760" width="10.140625" style="111" bestFit="1" customWidth="1"/>
    <col min="12761" max="12761" width="23.85546875" style="111" customWidth="1"/>
    <col min="12762" max="12762" width="10.7109375" style="111" customWidth="1"/>
    <col min="12763" max="12763" width="6.5703125" style="111" customWidth="1"/>
    <col min="12764" max="12764" width="7" style="111" customWidth="1"/>
    <col min="12765" max="12765" width="7.42578125" style="111" customWidth="1"/>
    <col min="12766" max="12766" width="7.7109375" style="111" customWidth="1"/>
    <col min="12767" max="12767" width="7.28515625" style="111" customWidth="1"/>
    <col min="12768" max="12768" width="7.7109375" style="111" customWidth="1"/>
    <col min="12769" max="12769" width="10.28515625" style="111" customWidth="1"/>
    <col min="12770" max="12770" width="10.140625" style="111" customWidth="1"/>
    <col min="12771" max="12771" width="14.85546875" style="111" customWidth="1"/>
    <col min="12772" max="12772" width="10.7109375" style="111" customWidth="1"/>
    <col min="12773" max="12773" width="6.5703125" style="111" customWidth="1"/>
    <col min="12774" max="12774" width="7" style="111" customWidth="1"/>
    <col min="12775" max="12775" width="7.42578125" style="111" customWidth="1"/>
    <col min="12776" max="12776" width="7.7109375" style="111" customWidth="1"/>
    <col min="12777" max="12777" width="7.28515625" style="111" customWidth="1"/>
    <col min="12778" max="12778" width="7.7109375" style="111" customWidth="1"/>
    <col min="12779" max="12779" width="10.28515625" style="111" customWidth="1"/>
    <col min="12780" max="12780" width="10.140625" style="111" customWidth="1"/>
    <col min="12781" max="12781" width="8.85546875" style="111"/>
    <col min="12782" max="12800" width="9.140625" style="111" customWidth="1"/>
    <col min="12801" max="13006" width="8.85546875" style="111"/>
    <col min="13007" max="13007" width="23.85546875" style="111" customWidth="1"/>
    <col min="13008" max="13008" width="10.7109375" style="111" customWidth="1"/>
    <col min="13009" max="13009" width="6.5703125" style="111" customWidth="1"/>
    <col min="13010" max="13010" width="7" style="111" bestFit="1" customWidth="1"/>
    <col min="13011" max="13011" width="7.42578125" style="111" bestFit="1" customWidth="1"/>
    <col min="13012" max="13012" width="7.7109375" style="111" bestFit="1" customWidth="1"/>
    <col min="13013" max="13013" width="7.28515625" style="111" bestFit="1" customWidth="1"/>
    <col min="13014" max="13014" width="7.7109375" style="111" bestFit="1" customWidth="1"/>
    <col min="13015" max="13015" width="10.28515625" style="111" bestFit="1" customWidth="1"/>
    <col min="13016" max="13016" width="10.140625" style="111" bestFit="1" customWidth="1"/>
    <col min="13017" max="13017" width="23.85546875" style="111" customWidth="1"/>
    <col min="13018" max="13018" width="10.7109375" style="111" customWidth="1"/>
    <col min="13019" max="13019" width="6.5703125" style="111" customWidth="1"/>
    <col min="13020" max="13020" width="7" style="111" customWidth="1"/>
    <col min="13021" max="13021" width="7.42578125" style="111" customWidth="1"/>
    <col min="13022" max="13022" width="7.7109375" style="111" customWidth="1"/>
    <col min="13023" max="13023" width="7.28515625" style="111" customWidth="1"/>
    <col min="13024" max="13024" width="7.7109375" style="111" customWidth="1"/>
    <col min="13025" max="13025" width="10.28515625" style="111" customWidth="1"/>
    <col min="13026" max="13026" width="10.140625" style="111" customWidth="1"/>
    <col min="13027" max="13027" width="14.85546875" style="111" customWidth="1"/>
    <col min="13028" max="13028" width="10.7109375" style="111" customWidth="1"/>
    <col min="13029" max="13029" width="6.5703125" style="111" customWidth="1"/>
    <col min="13030" max="13030" width="7" style="111" customWidth="1"/>
    <col min="13031" max="13031" width="7.42578125" style="111" customWidth="1"/>
    <col min="13032" max="13032" width="7.7109375" style="111" customWidth="1"/>
    <col min="13033" max="13033" width="7.28515625" style="111" customWidth="1"/>
    <col min="13034" max="13034" width="7.7109375" style="111" customWidth="1"/>
    <col min="13035" max="13035" width="10.28515625" style="111" customWidth="1"/>
    <col min="13036" max="13036" width="10.140625" style="111" customWidth="1"/>
    <col min="13037" max="13037" width="8.85546875" style="111"/>
    <col min="13038" max="13056" width="9.140625" style="111" customWidth="1"/>
    <col min="13057" max="13262" width="8.85546875" style="111"/>
    <col min="13263" max="13263" width="23.85546875" style="111" customWidth="1"/>
    <col min="13264" max="13264" width="10.7109375" style="111" customWidth="1"/>
    <col min="13265" max="13265" width="6.5703125" style="111" customWidth="1"/>
    <col min="13266" max="13266" width="7" style="111" bestFit="1" customWidth="1"/>
    <col min="13267" max="13267" width="7.42578125" style="111" bestFit="1" customWidth="1"/>
    <col min="13268" max="13268" width="7.7109375" style="111" bestFit="1" customWidth="1"/>
    <col min="13269" max="13269" width="7.28515625" style="111" bestFit="1" customWidth="1"/>
    <col min="13270" max="13270" width="7.7109375" style="111" bestFit="1" customWidth="1"/>
    <col min="13271" max="13271" width="10.28515625" style="111" bestFit="1" customWidth="1"/>
    <col min="13272" max="13272" width="10.140625" style="111" bestFit="1" customWidth="1"/>
    <col min="13273" max="13273" width="23.85546875" style="111" customWidth="1"/>
    <col min="13274" max="13274" width="10.7109375" style="111" customWidth="1"/>
    <col min="13275" max="13275" width="6.5703125" style="111" customWidth="1"/>
    <col min="13276" max="13276" width="7" style="111" customWidth="1"/>
    <col min="13277" max="13277" width="7.42578125" style="111" customWidth="1"/>
    <col min="13278" max="13278" width="7.7109375" style="111" customWidth="1"/>
    <col min="13279" max="13279" width="7.28515625" style="111" customWidth="1"/>
    <col min="13280" max="13280" width="7.7109375" style="111" customWidth="1"/>
    <col min="13281" max="13281" width="10.28515625" style="111" customWidth="1"/>
    <col min="13282" max="13282" width="10.140625" style="111" customWidth="1"/>
    <col min="13283" max="13283" width="14.85546875" style="111" customWidth="1"/>
    <col min="13284" max="13284" width="10.7109375" style="111" customWidth="1"/>
    <col min="13285" max="13285" width="6.5703125" style="111" customWidth="1"/>
    <col min="13286" max="13286" width="7" style="111" customWidth="1"/>
    <col min="13287" max="13287" width="7.42578125" style="111" customWidth="1"/>
    <col min="13288" max="13288" width="7.7109375" style="111" customWidth="1"/>
    <col min="13289" max="13289" width="7.28515625" style="111" customWidth="1"/>
    <col min="13290" max="13290" width="7.7109375" style="111" customWidth="1"/>
    <col min="13291" max="13291" width="10.28515625" style="111" customWidth="1"/>
    <col min="13292" max="13292" width="10.140625" style="111" customWidth="1"/>
    <col min="13293" max="13293" width="8.85546875" style="111"/>
    <col min="13294" max="13312" width="9.140625" style="111" customWidth="1"/>
    <col min="13313" max="13518" width="8.85546875" style="111"/>
    <col min="13519" max="13519" width="23.85546875" style="111" customWidth="1"/>
    <col min="13520" max="13520" width="10.7109375" style="111" customWidth="1"/>
    <col min="13521" max="13521" width="6.5703125" style="111" customWidth="1"/>
    <col min="13522" max="13522" width="7" style="111" bestFit="1" customWidth="1"/>
    <col min="13523" max="13523" width="7.42578125" style="111" bestFit="1" customWidth="1"/>
    <col min="13524" max="13524" width="7.7109375" style="111" bestFit="1" customWidth="1"/>
    <col min="13525" max="13525" width="7.28515625" style="111" bestFit="1" customWidth="1"/>
    <col min="13526" max="13526" width="7.7109375" style="111" bestFit="1" customWidth="1"/>
    <col min="13527" max="13527" width="10.28515625" style="111" bestFit="1" customWidth="1"/>
    <col min="13528" max="13528" width="10.140625" style="111" bestFit="1" customWidth="1"/>
    <col min="13529" max="13529" width="23.85546875" style="111" customWidth="1"/>
    <col min="13530" max="13530" width="10.7109375" style="111" customWidth="1"/>
    <col min="13531" max="13531" width="6.5703125" style="111" customWidth="1"/>
    <col min="13532" max="13532" width="7" style="111" customWidth="1"/>
    <col min="13533" max="13533" width="7.42578125" style="111" customWidth="1"/>
    <col min="13534" max="13534" width="7.7109375" style="111" customWidth="1"/>
    <col min="13535" max="13535" width="7.28515625" style="111" customWidth="1"/>
    <col min="13536" max="13536" width="7.7109375" style="111" customWidth="1"/>
    <col min="13537" max="13537" width="10.28515625" style="111" customWidth="1"/>
    <col min="13538" max="13538" width="10.140625" style="111" customWidth="1"/>
    <col min="13539" max="13539" width="14.85546875" style="111" customWidth="1"/>
    <col min="13540" max="13540" width="10.7109375" style="111" customWidth="1"/>
    <col min="13541" max="13541" width="6.5703125" style="111" customWidth="1"/>
    <col min="13542" max="13542" width="7" style="111" customWidth="1"/>
    <col min="13543" max="13543" width="7.42578125" style="111" customWidth="1"/>
    <col min="13544" max="13544" width="7.7109375" style="111" customWidth="1"/>
    <col min="13545" max="13545" width="7.28515625" style="111" customWidth="1"/>
    <col min="13546" max="13546" width="7.7109375" style="111" customWidth="1"/>
    <col min="13547" max="13547" width="10.28515625" style="111" customWidth="1"/>
    <col min="13548" max="13548" width="10.140625" style="111" customWidth="1"/>
    <col min="13549" max="13549" width="8.85546875" style="111"/>
    <col min="13550" max="13568" width="9.140625" style="111" customWidth="1"/>
    <col min="13569" max="13774" width="8.85546875" style="111"/>
    <col min="13775" max="13775" width="23.85546875" style="111" customWidth="1"/>
    <col min="13776" max="13776" width="10.7109375" style="111" customWidth="1"/>
    <col min="13777" max="13777" width="6.5703125" style="111" customWidth="1"/>
    <col min="13778" max="13778" width="7" style="111" bestFit="1" customWidth="1"/>
    <col min="13779" max="13779" width="7.42578125" style="111" bestFit="1" customWidth="1"/>
    <col min="13780" max="13780" width="7.7109375" style="111" bestFit="1" customWidth="1"/>
    <col min="13781" max="13781" width="7.28515625" style="111" bestFit="1" customWidth="1"/>
    <col min="13782" max="13782" width="7.7109375" style="111" bestFit="1" customWidth="1"/>
    <col min="13783" max="13783" width="10.28515625" style="111" bestFit="1" customWidth="1"/>
    <col min="13784" max="13784" width="10.140625" style="111" bestFit="1" customWidth="1"/>
    <col min="13785" max="13785" width="23.85546875" style="111" customWidth="1"/>
    <col min="13786" max="13786" width="10.7109375" style="111" customWidth="1"/>
    <col min="13787" max="13787" width="6.5703125" style="111" customWidth="1"/>
    <col min="13788" max="13788" width="7" style="111" customWidth="1"/>
    <col min="13789" max="13789" width="7.42578125" style="111" customWidth="1"/>
    <col min="13790" max="13790" width="7.7109375" style="111" customWidth="1"/>
    <col min="13791" max="13791" width="7.28515625" style="111" customWidth="1"/>
    <col min="13792" max="13792" width="7.7109375" style="111" customWidth="1"/>
    <col min="13793" max="13793" width="10.28515625" style="111" customWidth="1"/>
    <col min="13794" max="13794" width="10.140625" style="111" customWidth="1"/>
    <col min="13795" max="13795" width="14.85546875" style="111" customWidth="1"/>
    <col min="13796" max="13796" width="10.7109375" style="111" customWidth="1"/>
    <col min="13797" max="13797" width="6.5703125" style="111" customWidth="1"/>
    <col min="13798" max="13798" width="7" style="111" customWidth="1"/>
    <col min="13799" max="13799" width="7.42578125" style="111" customWidth="1"/>
    <col min="13800" max="13800" width="7.7109375" style="111" customWidth="1"/>
    <col min="13801" max="13801" width="7.28515625" style="111" customWidth="1"/>
    <col min="13802" max="13802" width="7.7109375" style="111" customWidth="1"/>
    <col min="13803" max="13803" width="10.28515625" style="111" customWidth="1"/>
    <col min="13804" max="13804" width="10.140625" style="111" customWidth="1"/>
    <col min="13805" max="13805" width="8.85546875" style="111"/>
    <col min="13806" max="13824" width="9.140625" style="111" customWidth="1"/>
    <col min="13825" max="14030" width="8.85546875" style="111"/>
    <col min="14031" max="14031" width="23.85546875" style="111" customWidth="1"/>
    <col min="14032" max="14032" width="10.7109375" style="111" customWidth="1"/>
    <col min="14033" max="14033" width="6.5703125" style="111" customWidth="1"/>
    <col min="14034" max="14034" width="7" style="111" bestFit="1" customWidth="1"/>
    <col min="14035" max="14035" width="7.42578125" style="111" bestFit="1" customWidth="1"/>
    <col min="14036" max="14036" width="7.7109375" style="111" bestFit="1" customWidth="1"/>
    <col min="14037" max="14037" width="7.28515625" style="111" bestFit="1" customWidth="1"/>
    <col min="14038" max="14038" width="7.7109375" style="111" bestFit="1" customWidth="1"/>
    <col min="14039" max="14039" width="10.28515625" style="111" bestFit="1" customWidth="1"/>
    <col min="14040" max="14040" width="10.140625" style="111" bestFit="1" customWidth="1"/>
    <col min="14041" max="14041" width="23.85546875" style="111" customWidth="1"/>
    <col min="14042" max="14042" width="10.7109375" style="111" customWidth="1"/>
    <col min="14043" max="14043" width="6.5703125" style="111" customWidth="1"/>
    <col min="14044" max="14044" width="7" style="111" customWidth="1"/>
    <col min="14045" max="14045" width="7.42578125" style="111" customWidth="1"/>
    <col min="14046" max="14046" width="7.7109375" style="111" customWidth="1"/>
    <col min="14047" max="14047" width="7.28515625" style="111" customWidth="1"/>
    <col min="14048" max="14048" width="7.7109375" style="111" customWidth="1"/>
    <col min="14049" max="14049" width="10.28515625" style="111" customWidth="1"/>
    <col min="14050" max="14050" width="10.140625" style="111" customWidth="1"/>
    <col min="14051" max="14051" width="14.85546875" style="111" customWidth="1"/>
    <col min="14052" max="14052" width="10.7109375" style="111" customWidth="1"/>
    <col min="14053" max="14053" width="6.5703125" style="111" customWidth="1"/>
    <col min="14054" max="14054" width="7" style="111" customWidth="1"/>
    <col min="14055" max="14055" width="7.42578125" style="111" customWidth="1"/>
    <col min="14056" max="14056" width="7.7109375" style="111" customWidth="1"/>
    <col min="14057" max="14057" width="7.28515625" style="111" customWidth="1"/>
    <col min="14058" max="14058" width="7.7109375" style="111" customWidth="1"/>
    <col min="14059" max="14059" width="10.28515625" style="111" customWidth="1"/>
    <col min="14060" max="14060" width="10.140625" style="111" customWidth="1"/>
    <col min="14061" max="14061" width="8.85546875" style="111"/>
    <col min="14062" max="14080" width="9.140625" style="111" customWidth="1"/>
    <col min="14081" max="14286" width="8.85546875" style="111"/>
    <col min="14287" max="14287" width="23.85546875" style="111" customWidth="1"/>
    <col min="14288" max="14288" width="10.7109375" style="111" customWidth="1"/>
    <col min="14289" max="14289" width="6.5703125" style="111" customWidth="1"/>
    <col min="14290" max="14290" width="7" style="111" bestFit="1" customWidth="1"/>
    <col min="14291" max="14291" width="7.42578125" style="111" bestFit="1" customWidth="1"/>
    <col min="14292" max="14292" width="7.7109375" style="111" bestFit="1" customWidth="1"/>
    <col min="14293" max="14293" width="7.28515625" style="111" bestFit="1" customWidth="1"/>
    <col min="14294" max="14294" width="7.7109375" style="111" bestFit="1" customWidth="1"/>
    <col min="14295" max="14295" width="10.28515625" style="111" bestFit="1" customWidth="1"/>
    <col min="14296" max="14296" width="10.140625" style="111" bestFit="1" customWidth="1"/>
    <col min="14297" max="14297" width="23.85546875" style="111" customWidth="1"/>
    <col min="14298" max="14298" width="10.7109375" style="111" customWidth="1"/>
    <col min="14299" max="14299" width="6.5703125" style="111" customWidth="1"/>
    <col min="14300" max="14300" width="7" style="111" customWidth="1"/>
    <col min="14301" max="14301" width="7.42578125" style="111" customWidth="1"/>
    <col min="14302" max="14302" width="7.7109375" style="111" customWidth="1"/>
    <col min="14303" max="14303" width="7.28515625" style="111" customWidth="1"/>
    <col min="14304" max="14304" width="7.7109375" style="111" customWidth="1"/>
    <col min="14305" max="14305" width="10.28515625" style="111" customWidth="1"/>
    <col min="14306" max="14306" width="10.140625" style="111" customWidth="1"/>
    <col min="14307" max="14307" width="14.85546875" style="111" customWidth="1"/>
    <col min="14308" max="14308" width="10.7109375" style="111" customWidth="1"/>
    <col min="14309" max="14309" width="6.5703125" style="111" customWidth="1"/>
    <col min="14310" max="14310" width="7" style="111" customWidth="1"/>
    <col min="14311" max="14311" width="7.42578125" style="111" customWidth="1"/>
    <col min="14312" max="14312" width="7.7109375" style="111" customWidth="1"/>
    <col min="14313" max="14313" width="7.28515625" style="111" customWidth="1"/>
    <col min="14314" max="14314" width="7.7109375" style="111" customWidth="1"/>
    <col min="14315" max="14315" width="10.28515625" style="111" customWidth="1"/>
    <col min="14316" max="14316" width="10.140625" style="111" customWidth="1"/>
    <col min="14317" max="14317" width="8.85546875" style="111"/>
    <col min="14318" max="14336" width="9.140625" style="111" customWidth="1"/>
    <col min="14337" max="14542" width="8.85546875" style="111"/>
    <col min="14543" max="14543" width="23.85546875" style="111" customWidth="1"/>
    <col min="14544" max="14544" width="10.7109375" style="111" customWidth="1"/>
    <col min="14545" max="14545" width="6.5703125" style="111" customWidth="1"/>
    <col min="14546" max="14546" width="7" style="111" bestFit="1" customWidth="1"/>
    <col min="14547" max="14547" width="7.42578125" style="111" bestFit="1" customWidth="1"/>
    <col min="14548" max="14548" width="7.7109375" style="111" bestFit="1" customWidth="1"/>
    <col min="14549" max="14549" width="7.28515625" style="111" bestFit="1" customWidth="1"/>
    <col min="14550" max="14550" width="7.7109375" style="111" bestFit="1" customWidth="1"/>
    <col min="14551" max="14551" width="10.28515625" style="111" bestFit="1" customWidth="1"/>
    <col min="14552" max="14552" width="10.140625" style="111" bestFit="1" customWidth="1"/>
    <col min="14553" max="14553" width="23.85546875" style="111" customWidth="1"/>
    <col min="14554" max="14554" width="10.7109375" style="111" customWidth="1"/>
    <col min="14555" max="14555" width="6.5703125" style="111" customWidth="1"/>
    <col min="14556" max="14556" width="7" style="111" customWidth="1"/>
    <col min="14557" max="14557" width="7.42578125" style="111" customWidth="1"/>
    <col min="14558" max="14558" width="7.7109375" style="111" customWidth="1"/>
    <col min="14559" max="14559" width="7.28515625" style="111" customWidth="1"/>
    <col min="14560" max="14560" width="7.7109375" style="111" customWidth="1"/>
    <col min="14561" max="14561" width="10.28515625" style="111" customWidth="1"/>
    <col min="14562" max="14562" width="10.140625" style="111" customWidth="1"/>
    <col min="14563" max="14563" width="14.85546875" style="111" customWidth="1"/>
    <col min="14564" max="14564" width="10.7109375" style="111" customWidth="1"/>
    <col min="14565" max="14565" width="6.5703125" style="111" customWidth="1"/>
    <col min="14566" max="14566" width="7" style="111" customWidth="1"/>
    <col min="14567" max="14567" width="7.42578125" style="111" customWidth="1"/>
    <col min="14568" max="14568" width="7.7109375" style="111" customWidth="1"/>
    <col min="14569" max="14569" width="7.28515625" style="111" customWidth="1"/>
    <col min="14570" max="14570" width="7.7109375" style="111" customWidth="1"/>
    <col min="14571" max="14571" width="10.28515625" style="111" customWidth="1"/>
    <col min="14572" max="14572" width="10.140625" style="111" customWidth="1"/>
    <col min="14573" max="14573" width="8.85546875" style="111"/>
    <col min="14574" max="14592" width="9.140625" style="111" customWidth="1"/>
    <col min="14593" max="14798" width="8.85546875" style="111"/>
    <col min="14799" max="14799" width="23.85546875" style="111" customWidth="1"/>
    <col min="14800" max="14800" width="10.7109375" style="111" customWidth="1"/>
    <col min="14801" max="14801" width="6.5703125" style="111" customWidth="1"/>
    <col min="14802" max="14802" width="7" style="111" bestFit="1" customWidth="1"/>
    <col min="14803" max="14803" width="7.42578125" style="111" bestFit="1" customWidth="1"/>
    <col min="14804" max="14804" width="7.7109375" style="111" bestFit="1" customWidth="1"/>
    <col min="14805" max="14805" width="7.28515625" style="111" bestFit="1" customWidth="1"/>
    <col min="14806" max="14806" width="7.7109375" style="111" bestFit="1" customWidth="1"/>
    <col min="14807" max="14807" width="10.28515625" style="111" bestFit="1" customWidth="1"/>
    <col min="14808" max="14808" width="10.140625" style="111" bestFit="1" customWidth="1"/>
    <col min="14809" max="14809" width="23.85546875" style="111" customWidth="1"/>
    <col min="14810" max="14810" width="10.7109375" style="111" customWidth="1"/>
    <col min="14811" max="14811" width="6.5703125" style="111" customWidth="1"/>
    <col min="14812" max="14812" width="7" style="111" customWidth="1"/>
    <col min="14813" max="14813" width="7.42578125" style="111" customWidth="1"/>
    <col min="14814" max="14814" width="7.7109375" style="111" customWidth="1"/>
    <col min="14815" max="14815" width="7.28515625" style="111" customWidth="1"/>
    <col min="14816" max="14816" width="7.7109375" style="111" customWidth="1"/>
    <col min="14817" max="14817" width="10.28515625" style="111" customWidth="1"/>
    <col min="14818" max="14818" width="10.140625" style="111" customWidth="1"/>
    <col min="14819" max="14819" width="14.85546875" style="111" customWidth="1"/>
    <col min="14820" max="14820" width="10.7109375" style="111" customWidth="1"/>
    <col min="14821" max="14821" width="6.5703125" style="111" customWidth="1"/>
    <col min="14822" max="14822" width="7" style="111" customWidth="1"/>
    <col min="14823" max="14823" width="7.42578125" style="111" customWidth="1"/>
    <col min="14824" max="14824" width="7.7109375" style="111" customWidth="1"/>
    <col min="14825" max="14825" width="7.28515625" style="111" customWidth="1"/>
    <col min="14826" max="14826" width="7.7109375" style="111" customWidth="1"/>
    <col min="14827" max="14827" width="10.28515625" style="111" customWidth="1"/>
    <col min="14828" max="14828" width="10.140625" style="111" customWidth="1"/>
    <col min="14829" max="14829" width="8.85546875" style="111"/>
    <col min="14830" max="14848" width="9.140625" style="111" customWidth="1"/>
    <col min="14849" max="15054" width="8.85546875" style="111"/>
    <col min="15055" max="15055" width="23.85546875" style="111" customWidth="1"/>
    <col min="15056" max="15056" width="10.7109375" style="111" customWidth="1"/>
    <col min="15057" max="15057" width="6.5703125" style="111" customWidth="1"/>
    <col min="15058" max="15058" width="7" style="111" bestFit="1" customWidth="1"/>
    <col min="15059" max="15059" width="7.42578125" style="111" bestFit="1" customWidth="1"/>
    <col min="15060" max="15060" width="7.7109375" style="111" bestFit="1" customWidth="1"/>
    <col min="15061" max="15061" width="7.28515625" style="111" bestFit="1" customWidth="1"/>
    <col min="15062" max="15062" width="7.7109375" style="111" bestFit="1" customWidth="1"/>
    <col min="15063" max="15063" width="10.28515625" style="111" bestFit="1" customWidth="1"/>
    <col min="15064" max="15064" width="10.140625" style="111" bestFit="1" customWidth="1"/>
    <col min="15065" max="15065" width="23.85546875" style="111" customWidth="1"/>
    <col min="15066" max="15066" width="10.7109375" style="111" customWidth="1"/>
    <col min="15067" max="15067" width="6.5703125" style="111" customWidth="1"/>
    <col min="15068" max="15068" width="7" style="111" customWidth="1"/>
    <col min="15069" max="15069" width="7.42578125" style="111" customWidth="1"/>
    <col min="15070" max="15070" width="7.7109375" style="111" customWidth="1"/>
    <col min="15071" max="15071" width="7.28515625" style="111" customWidth="1"/>
    <col min="15072" max="15072" width="7.7109375" style="111" customWidth="1"/>
    <col min="15073" max="15073" width="10.28515625" style="111" customWidth="1"/>
    <col min="15074" max="15074" width="10.140625" style="111" customWidth="1"/>
    <col min="15075" max="15075" width="14.85546875" style="111" customWidth="1"/>
    <col min="15076" max="15076" width="10.7109375" style="111" customWidth="1"/>
    <col min="15077" max="15077" width="6.5703125" style="111" customWidth="1"/>
    <col min="15078" max="15078" width="7" style="111" customWidth="1"/>
    <col min="15079" max="15079" width="7.42578125" style="111" customWidth="1"/>
    <col min="15080" max="15080" width="7.7109375" style="111" customWidth="1"/>
    <col min="15081" max="15081" width="7.28515625" style="111" customWidth="1"/>
    <col min="15082" max="15082" width="7.7109375" style="111" customWidth="1"/>
    <col min="15083" max="15083" width="10.28515625" style="111" customWidth="1"/>
    <col min="15084" max="15084" width="10.140625" style="111" customWidth="1"/>
    <col min="15085" max="15085" width="8.85546875" style="111"/>
    <col min="15086" max="15104" width="9.140625" style="111" customWidth="1"/>
    <col min="15105" max="15310" width="8.85546875" style="111"/>
    <col min="15311" max="15311" width="23.85546875" style="111" customWidth="1"/>
    <col min="15312" max="15312" width="10.7109375" style="111" customWidth="1"/>
    <col min="15313" max="15313" width="6.5703125" style="111" customWidth="1"/>
    <col min="15314" max="15314" width="7" style="111" bestFit="1" customWidth="1"/>
    <col min="15315" max="15315" width="7.42578125" style="111" bestFit="1" customWidth="1"/>
    <col min="15316" max="15316" width="7.7109375" style="111" bestFit="1" customWidth="1"/>
    <col min="15317" max="15317" width="7.28515625" style="111" bestFit="1" customWidth="1"/>
    <col min="15318" max="15318" width="7.7109375" style="111" bestFit="1" customWidth="1"/>
    <col min="15319" max="15319" width="10.28515625" style="111" bestFit="1" customWidth="1"/>
    <col min="15320" max="15320" width="10.140625" style="111" bestFit="1" customWidth="1"/>
    <col min="15321" max="15321" width="23.85546875" style="111" customWidth="1"/>
    <col min="15322" max="15322" width="10.7109375" style="111" customWidth="1"/>
    <col min="15323" max="15323" width="6.5703125" style="111" customWidth="1"/>
    <col min="15324" max="15324" width="7" style="111" customWidth="1"/>
    <col min="15325" max="15325" width="7.42578125" style="111" customWidth="1"/>
    <col min="15326" max="15326" width="7.7109375" style="111" customWidth="1"/>
    <col min="15327" max="15327" width="7.28515625" style="111" customWidth="1"/>
    <col min="15328" max="15328" width="7.7109375" style="111" customWidth="1"/>
    <col min="15329" max="15329" width="10.28515625" style="111" customWidth="1"/>
    <col min="15330" max="15330" width="10.140625" style="111" customWidth="1"/>
    <col min="15331" max="15331" width="14.85546875" style="111" customWidth="1"/>
    <col min="15332" max="15332" width="10.7109375" style="111" customWidth="1"/>
    <col min="15333" max="15333" width="6.5703125" style="111" customWidth="1"/>
    <col min="15334" max="15334" width="7" style="111" customWidth="1"/>
    <col min="15335" max="15335" width="7.42578125" style="111" customWidth="1"/>
    <col min="15336" max="15336" width="7.7109375" style="111" customWidth="1"/>
    <col min="15337" max="15337" width="7.28515625" style="111" customWidth="1"/>
    <col min="15338" max="15338" width="7.7109375" style="111" customWidth="1"/>
    <col min="15339" max="15339" width="10.28515625" style="111" customWidth="1"/>
    <col min="15340" max="15340" width="10.140625" style="111" customWidth="1"/>
    <col min="15341" max="15341" width="8.85546875" style="111"/>
    <col min="15342" max="15360" width="9.140625" style="111" customWidth="1"/>
    <col min="15361" max="15566" width="8.85546875" style="111"/>
    <col min="15567" max="15567" width="23.85546875" style="111" customWidth="1"/>
    <col min="15568" max="15568" width="10.7109375" style="111" customWidth="1"/>
    <col min="15569" max="15569" width="6.5703125" style="111" customWidth="1"/>
    <col min="15570" max="15570" width="7" style="111" bestFit="1" customWidth="1"/>
    <col min="15571" max="15571" width="7.42578125" style="111" bestFit="1" customWidth="1"/>
    <col min="15572" max="15572" width="7.7109375" style="111" bestFit="1" customWidth="1"/>
    <col min="15573" max="15573" width="7.28515625" style="111" bestFit="1" customWidth="1"/>
    <col min="15574" max="15574" width="7.7109375" style="111" bestFit="1" customWidth="1"/>
    <col min="15575" max="15575" width="10.28515625" style="111" bestFit="1" customWidth="1"/>
    <col min="15576" max="15576" width="10.140625" style="111" bestFit="1" customWidth="1"/>
    <col min="15577" max="15577" width="23.85546875" style="111" customWidth="1"/>
    <col min="15578" max="15578" width="10.7109375" style="111" customWidth="1"/>
    <col min="15579" max="15579" width="6.5703125" style="111" customWidth="1"/>
    <col min="15580" max="15580" width="7" style="111" customWidth="1"/>
    <col min="15581" max="15581" width="7.42578125" style="111" customWidth="1"/>
    <col min="15582" max="15582" width="7.7109375" style="111" customWidth="1"/>
    <col min="15583" max="15583" width="7.28515625" style="111" customWidth="1"/>
    <col min="15584" max="15584" width="7.7109375" style="111" customWidth="1"/>
    <col min="15585" max="15585" width="10.28515625" style="111" customWidth="1"/>
    <col min="15586" max="15586" width="10.140625" style="111" customWidth="1"/>
    <col min="15587" max="15587" width="14.85546875" style="111" customWidth="1"/>
    <col min="15588" max="15588" width="10.7109375" style="111" customWidth="1"/>
    <col min="15589" max="15589" width="6.5703125" style="111" customWidth="1"/>
    <col min="15590" max="15590" width="7" style="111" customWidth="1"/>
    <col min="15591" max="15591" width="7.42578125" style="111" customWidth="1"/>
    <col min="15592" max="15592" width="7.7109375" style="111" customWidth="1"/>
    <col min="15593" max="15593" width="7.28515625" style="111" customWidth="1"/>
    <col min="15594" max="15594" width="7.7109375" style="111" customWidth="1"/>
    <col min="15595" max="15595" width="10.28515625" style="111" customWidth="1"/>
    <col min="15596" max="15596" width="10.140625" style="111" customWidth="1"/>
    <col min="15597" max="15597" width="8.85546875" style="111"/>
    <col min="15598" max="15616" width="9.140625" style="111" customWidth="1"/>
    <col min="15617" max="15822" width="8.85546875" style="111"/>
    <col min="15823" max="15823" width="23.85546875" style="111" customWidth="1"/>
    <col min="15824" max="15824" width="10.7109375" style="111" customWidth="1"/>
    <col min="15825" max="15825" width="6.5703125" style="111" customWidth="1"/>
    <col min="15826" max="15826" width="7" style="111" bestFit="1" customWidth="1"/>
    <col min="15827" max="15827" width="7.42578125" style="111" bestFit="1" customWidth="1"/>
    <col min="15828" max="15828" width="7.7109375" style="111" bestFit="1" customWidth="1"/>
    <col min="15829" max="15829" width="7.28515625" style="111" bestFit="1" customWidth="1"/>
    <col min="15830" max="15830" width="7.7109375" style="111" bestFit="1" customWidth="1"/>
    <col min="15831" max="15831" width="10.28515625" style="111" bestFit="1" customWidth="1"/>
    <col min="15832" max="15832" width="10.140625" style="111" bestFit="1" customWidth="1"/>
    <col min="15833" max="15833" width="23.85546875" style="111" customWidth="1"/>
    <col min="15834" max="15834" width="10.7109375" style="111" customWidth="1"/>
    <col min="15835" max="15835" width="6.5703125" style="111" customWidth="1"/>
    <col min="15836" max="15836" width="7" style="111" customWidth="1"/>
    <col min="15837" max="15837" width="7.42578125" style="111" customWidth="1"/>
    <col min="15838" max="15838" width="7.7109375" style="111" customWidth="1"/>
    <col min="15839" max="15839" width="7.28515625" style="111" customWidth="1"/>
    <col min="15840" max="15840" width="7.7109375" style="111" customWidth="1"/>
    <col min="15841" max="15841" width="10.28515625" style="111" customWidth="1"/>
    <col min="15842" max="15842" width="10.140625" style="111" customWidth="1"/>
    <col min="15843" max="15843" width="14.85546875" style="111" customWidth="1"/>
    <col min="15844" max="15844" width="10.7109375" style="111" customWidth="1"/>
    <col min="15845" max="15845" width="6.5703125" style="111" customWidth="1"/>
    <col min="15846" max="15846" width="7" style="111" customWidth="1"/>
    <col min="15847" max="15847" width="7.42578125" style="111" customWidth="1"/>
    <col min="15848" max="15848" width="7.7109375" style="111" customWidth="1"/>
    <col min="15849" max="15849" width="7.28515625" style="111" customWidth="1"/>
    <col min="15850" max="15850" width="7.7109375" style="111" customWidth="1"/>
    <col min="15851" max="15851" width="10.28515625" style="111" customWidth="1"/>
    <col min="15852" max="15852" width="10.140625" style="111" customWidth="1"/>
    <col min="15853" max="15853" width="8.85546875" style="111"/>
    <col min="15854" max="15872" width="9.140625" style="111" customWidth="1"/>
    <col min="15873" max="16078" width="8.85546875" style="111"/>
    <col min="16079" max="16079" width="23.85546875" style="111" customWidth="1"/>
    <col min="16080" max="16080" width="10.7109375" style="111" customWidth="1"/>
    <col min="16081" max="16081" width="6.5703125" style="111" customWidth="1"/>
    <col min="16082" max="16082" width="7" style="111" bestFit="1" customWidth="1"/>
    <col min="16083" max="16083" width="7.42578125" style="111" bestFit="1" customWidth="1"/>
    <col min="16084" max="16084" width="7.7109375" style="111" bestFit="1" customWidth="1"/>
    <col min="16085" max="16085" width="7.28515625" style="111" bestFit="1" customWidth="1"/>
    <col min="16086" max="16086" width="7.7109375" style="111" bestFit="1" customWidth="1"/>
    <col min="16087" max="16087" width="10.28515625" style="111" bestFit="1" customWidth="1"/>
    <col min="16088" max="16088" width="10.140625" style="111" bestFit="1" customWidth="1"/>
    <col min="16089" max="16089" width="23.85546875" style="111" customWidth="1"/>
    <col min="16090" max="16090" width="10.7109375" style="111" customWidth="1"/>
    <col min="16091" max="16091" width="6.5703125" style="111" customWidth="1"/>
    <col min="16092" max="16092" width="7" style="111" customWidth="1"/>
    <col min="16093" max="16093" width="7.42578125" style="111" customWidth="1"/>
    <col min="16094" max="16094" width="7.7109375" style="111" customWidth="1"/>
    <col min="16095" max="16095" width="7.28515625" style="111" customWidth="1"/>
    <col min="16096" max="16096" width="7.7109375" style="111" customWidth="1"/>
    <col min="16097" max="16097" width="10.28515625" style="111" customWidth="1"/>
    <col min="16098" max="16098" width="10.140625" style="111" customWidth="1"/>
    <col min="16099" max="16099" width="14.85546875" style="111" customWidth="1"/>
    <col min="16100" max="16100" width="10.7109375" style="111" customWidth="1"/>
    <col min="16101" max="16101" width="6.5703125" style="111" customWidth="1"/>
    <col min="16102" max="16102" width="7" style="111" customWidth="1"/>
    <col min="16103" max="16103" width="7.42578125" style="111" customWidth="1"/>
    <col min="16104" max="16104" width="7.7109375" style="111" customWidth="1"/>
    <col min="16105" max="16105" width="7.28515625" style="111" customWidth="1"/>
    <col min="16106" max="16106" width="7.7109375" style="111" customWidth="1"/>
    <col min="16107" max="16107" width="10.28515625" style="111" customWidth="1"/>
    <col min="16108" max="16108" width="10.140625" style="111" customWidth="1"/>
    <col min="16109" max="16109" width="8.85546875" style="111"/>
    <col min="16110" max="16128" width="9.140625" style="111" customWidth="1"/>
    <col min="16129" max="16353" width="8.85546875" style="111"/>
    <col min="16354" max="16384" width="9.140625" style="111" customWidth="1"/>
  </cols>
  <sheetData>
    <row r="1" spans="1:16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</row>
    <row r="2" spans="1:16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</row>
    <row r="3" spans="1:16" ht="12.75" x14ac:dyDescent="0.2">
      <c r="A3" s="382" t="s">
        <v>51</v>
      </c>
      <c r="B3" s="382"/>
      <c r="C3" s="382"/>
      <c r="D3" s="382"/>
      <c r="E3" s="382"/>
      <c r="F3" s="382"/>
      <c r="G3" s="382"/>
      <c r="H3" s="382"/>
      <c r="I3" s="382"/>
      <c r="J3" s="382"/>
    </row>
    <row r="4" spans="1:16" ht="12.75" x14ac:dyDescent="0.2">
      <c r="A4" s="382" t="s">
        <v>55</v>
      </c>
      <c r="B4" s="382"/>
      <c r="C4" s="382"/>
      <c r="D4" s="382"/>
      <c r="E4" s="382"/>
      <c r="F4" s="382"/>
      <c r="G4" s="382"/>
      <c r="H4" s="382"/>
      <c r="I4" s="382"/>
      <c r="J4" s="382"/>
    </row>
    <row r="5" spans="1:16" ht="12.75" x14ac:dyDescent="0.2">
      <c r="A5" s="395" t="s">
        <v>6</v>
      </c>
      <c r="B5" s="395"/>
      <c r="C5" s="395"/>
      <c r="D5" s="395"/>
      <c r="E5" s="395"/>
      <c r="F5" s="395"/>
      <c r="G5" s="395"/>
      <c r="H5" s="395"/>
      <c r="I5" s="395"/>
      <c r="J5" s="395"/>
    </row>
    <row r="6" spans="1:16" ht="12.75" x14ac:dyDescent="0.2">
      <c r="A6" s="230"/>
      <c r="B6" s="230"/>
      <c r="C6" s="230"/>
      <c r="D6" s="230"/>
      <c r="E6" s="230"/>
      <c r="F6" s="230"/>
      <c r="G6" s="230"/>
      <c r="H6" s="230"/>
      <c r="I6" s="230"/>
      <c r="J6" s="230"/>
    </row>
    <row r="7" spans="1:16" x14ac:dyDescent="0.2">
      <c r="A7" s="152"/>
      <c r="B7" s="153"/>
      <c r="C7" s="9"/>
      <c r="D7" s="9"/>
      <c r="E7" s="9"/>
      <c r="F7" s="9"/>
      <c r="G7" s="9"/>
      <c r="H7" s="9"/>
      <c r="I7" s="9"/>
    </row>
    <row r="8" spans="1:16" ht="13.5" thickBot="1" x14ac:dyDescent="0.25">
      <c r="A8" s="25" t="s">
        <v>10</v>
      </c>
      <c r="B8" s="162"/>
      <c r="C8" s="8"/>
      <c r="D8" s="8"/>
      <c r="E8" s="8"/>
      <c r="F8" s="8"/>
      <c r="G8" s="8"/>
      <c r="H8" s="8"/>
      <c r="I8" s="8"/>
    </row>
    <row r="9" spans="1:16" ht="10.9" customHeight="1" thickBot="1" x14ac:dyDescent="0.25"/>
    <row r="10" spans="1:16" x14ac:dyDescent="0.2">
      <c r="A10" s="31" t="s">
        <v>30</v>
      </c>
      <c r="B10" s="372" t="s">
        <v>11</v>
      </c>
      <c r="C10" s="168" t="s">
        <v>19</v>
      </c>
      <c r="D10" s="166" t="s">
        <v>20</v>
      </c>
      <c r="E10" s="166" t="s">
        <v>21</v>
      </c>
      <c r="F10" s="166" t="s">
        <v>22</v>
      </c>
      <c r="G10" s="166" t="s">
        <v>23</v>
      </c>
      <c r="H10" s="166" t="s">
        <v>24</v>
      </c>
      <c r="I10" s="187" t="s">
        <v>52</v>
      </c>
      <c r="J10" s="232" t="s">
        <v>31</v>
      </c>
      <c r="K10" s="115"/>
      <c r="L10" s="115"/>
      <c r="M10" s="115"/>
      <c r="N10" s="115"/>
      <c r="O10" s="115"/>
      <c r="P10" s="246"/>
    </row>
    <row r="11" spans="1:16" ht="12" thickBot="1" x14ac:dyDescent="0.25">
      <c r="A11" s="112"/>
      <c r="B11" s="373"/>
      <c r="C11" s="38"/>
      <c r="D11" s="39"/>
      <c r="E11" s="39"/>
      <c r="F11" s="39"/>
      <c r="G11" s="39"/>
      <c r="H11" s="39"/>
      <c r="I11" s="188" t="s">
        <v>53</v>
      </c>
      <c r="J11" s="233" t="s">
        <v>32</v>
      </c>
      <c r="K11" s="115"/>
      <c r="L11" s="115"/>
      <c r="M11" s="115"/>
      <c r="N11" s="115"/>
      <c r="O11" s="115"/>
      <c r="P11" s="246"/>
    </row>
    <row r="12" spans="1:16" x14ac:dyDescent="0.2">
      <c r="A12" s="74" t="s">
        <v>33</v>
      </c>
      <c r="B12" s="75" t="s">
        <v>2</v>
      </c>
      <c r="C12" s="67">
        <v>0</v>
      </c>
      <c r="D12" s="68">
        <v>0</v>
      </c>
      <c r="E12" s="68">
        <v>0</v>
      </c>
      <c r="F12" s="68">
        <v>0</v>
      </c>
      <c r="G12" s="68">
        <v>0</v>
      </c>
      <c r="H12" s="210">
        <v>0</v>
      </c>
      <c r="I12" s="67">
        <v>0</v>
      </c>
      <c r="J12" s="234" t="e">
        <v>#DIV/0!</v>
      </c>
      <c r="K12" s="181"/>
      <c r="L12" s="181"/>
      <c r="M12" s="181"/>
      <c r="N12" s="181"/>
      <c r="O12" s="181"/>
      <c r="P12" s="171"/>
    </row>
    <row r="13" spans="1:16" x14ac:dyDescent="0.2">
      <c r="A13" s="3"/>
      <c r="B13" s="82" t="s">
        <v>1</v>
      </c>
      <c r="C13" s="70">
        <v>0</v>
      </c>
      <c r="D13" s="71">
        <v>0</v>
      </c>
      <c r="E13" s="71">
        <v>0</v>
      </c>
      <c r="F13" s="71">
        <v>0</v>
      </c>
      <c r="G13" s="71">
        <v>0</v>
      </c>
      <c r="H13" s="83">
        <v>0</v>
      </c>
      <c r="I13" s="70">
        <v>0</v>
      </c>
      <c r="J13" s="235"/>
      <c r="K13" s="181"/>
      <c r="L13" s="181"/>
      <c r="M13" s="181"/>
      <c r="N13" s="181"/>
      <c r="O13" s="181"/>
      <c r="P13" s="171"/>
    </row>
    <row r="14" spans="1:16" ht="12" thickBot="1" x14ac:dyDescent="0.25">
      <c r="A14" s="58"/>
      <c r="B14" s="85" t="s">
        <v>0</v>
      </c>
      <c r="C14" s="87">
        <v>0</v>
      </c>
      <c r="D14" s="175">
        <v>0</v>
      </c>
      <c r="E14" s="175">
        <v>0</v>
      </c>
      <c r="F14" s="175">
        <v>0</v>
      </c>
      <c r="G14" s="175">
        <v>0</v>
      </c>
      <c r="H14" s="86">
        <v>0</v>
      </c>
      <c r="I14" s="87">
        <v>0</v>
      </c>
      <c r="J14" s="236"/>
      <c r="K14" s="181"/>
      <c r="L14" s="181"/>
      <c r="M14" s="181"/>
      <c r="N14" s="181"/>
      <c r="O14" s="181"/>
      <c r="P14" s="171"/>
    </row>
    <row r="15" spans="1:16" ht="10.15" customHeight="1" x14ac:dyDescent="0.2">
      <c r="A15" s="185" t="s">
        <v>34</v>
      </c>
      <c r="B15" s="75" t="s">
        <v>2</v>
      </c>
      <c r="C15" s="67">
        <v>0</v>
      </c>
      <c r="D15" s="68">
        <v>0</v>
      </c>
      <c r="E15" s="68">
        <v>0</v>
      </c>
      <c r="F15" s="68">
        <v>0</v>
      </c>
      <c r="G15" s="68">
        <v>6.2309917661894643E-3</v>
      </c>
      <c r="H15" s="210">
        <v>6.8818818818816574E-4</v>
      </c>
      <c r="I15" s="67">
        <v>1.1999999999999999E-3</v>
      </c>
      <c r="J15" s="234">
        <v>0.14285714285714285</v>
      </c>
      <c r="K15" s="181"/>
      <c r="L15" s="181"/>
      <c r="M15" s="181"/>
      <c r="N15" s="181"/>
      <c r="O15" s="181"/>
      <c r="P15" s="171"/>
    </row>
    <row r="16" spans="1:16" ht="10.15" customHeight="1" x14ac:dyDescent="0.2">
      <c r="A16" s="186"/>
      <c r="B16" s="82" t="s">
        <v>1</v>
      </c>
      <c r="C16" s="70">
        <v>0</v>
      </c>
      <c r="D16" s="71">
        <v>0</v>
      </c>
      <c r="E16" s="71">
        <v>0</v>
      </c>
      <c r="F16" s="71">
        <v>0</v>
      </c>
      <c r="G16" s="71">
        <v>1.0152284263959421E-2</v>
      </c>
      <c r="H16" s="83">
        <v>2.6974006866110622E-3</v>
      </c>
      <c r="I16" s="70">
        <v>2.0999999999999999E-3</v>
      </c>
      <c r="J16" s="235"/>
      <c r="K16" s="181"/>
      <c r="L16" s="181"/>
      <c r="M16" s="181"/>
      <c r="N16" s="181"/>
      <c r="O16" s="181"/>
      <c r="P16" s="171"/>
    </row>
    <row r="17" spans="1:16" ht="12" thickBot="1" x14ac:dyDescent="0.25">
      <c r="A17" s="58"/>
      <c r="B17" s="85" t="s">
        <v>0</v>
      </c>
      <c r="C17" s="87">
        <v>0</v>
      </c>
      <c r="D17" s="175">
        <v>0</v>
      </c>
      <c r="E17" s="175">
        <v>0</v>
      </c>
      <c r="F17" s="175">
        <v>0</v>
      </c>
      <c r="G17" s="175">
        <v>1.8782282047268284E-3</v>
      </c>
      <c r="H17" s="86">
        <v>0</v>
      </c>
      <c r="I17" s="87">
        <v>2.9999999999999997E-4</v>
      </c>
      <c r="J17" s="236"/>
      <c r="K17" s="181"/>
      <c r="L17" s="181"/>
      <c r="M17" s="181"/>
      <c r="N17" s="181"/>
      <c r="O17" s="181"/>
      <c r="P17" s="171"/>
    </row>
    <row r="18" spans="1:16" x14ac:dyDescent="0.2">
      <c r="A18" s="74" t="s">
        <v>35</v>
      </c>
      <c r="B18" s="75" t="s">
        <v>2</v>
      </c>
      <c r="C18" s="67">
        <v>1.6465422612513825E-3</v>
      </c>
      <c r="D18" s="68">
        <v>0</v>
      </c>
      <c r="E18" s="68">
        <v>6.6023362112747064E-3</v>
      </c>
      <c r="F18" s="68">
        <v>3.9007092198581894E-3</v>
      </c>
      <c r="G18" s="68">
        <v>2.924689251767032E-3</v>
      </c>
      <c r="H18" s="210">
        <v>0</v>
      </c>
      <c r="I18" s="67">
        <v>2.5000000000000001E-3</v>
      </c>
      <c r="J18" s="234">
        <v>0.6</v>
      </c>
      <c r="K18" s="181"/>
      <c r="L18" s="181"/>
      <c r="M18" s="181"/>
      <c r="N18" s="181"/>
      <c r="O18" s="181"/>
      <c r="P18" s="171"/>
    </row>
    <row r="19" spans="1:16" x14ac:dyDescent="0.2">
      <c r="A19" s="3"/>
      <c r="B19" s="82" t="s">
        <v>1</v>
      </c>
      <c r="C19" s="70">
        <v>3.1723651744801629E-3</v>
      </c>
      <c r="D19" s="71">
        <v>0</v>
      </c>
      <c r="E19" s="71">
        <v>5.5790363482670635E-3</v>
      </c>
      <c r="F19" s="71">
        <v>7.5252266119376632E-3</v>
      </c>
      <c r="G19" s="71">
        <v>4.6414481318171052E-3</v>
      </c>
      <c r="H19" s="83">
        <v>0</v>
      </c>
      <c r="I19" s="70">
        <v>3.5000000000000001E-3</v>
      </c>
      <c r="J19" s="235"/>
      <c r="K19" s="181"/>
      <c r="L19" s="181"/>
      <c r="M19" s="181"/>
      <c r="N19" s="181"/>
      <c r="O19" s="181"/>
      <c r="P19" s="171"/>
    </row>
    <row r="20" spans="1:16" ht="12" thickBot="1" x14ac:dyDescent="0.25">
      <c r="A20" s="58"/>
      <c r="B20" s="85" t="s">
        <v>0</v>
      </c>
      <c r="C20" s="87">
        <v>0</v>
      </c>
      <c r="D20" s="175">
        <v>3.8314176245211051E-3</v>
      </c>
      <c r="E20" s="175">
        <v>7.6284115951855691E-3</v>
      </c>
      <c r="F20" s="175">
        <v>0</v>
      </c>
      <c r="G20" s="175">
        <v>1.0264305876315216E-3</v>
      </c>
      <c r="H20" s="86">
        <v>0</v>
      </c>
      <c r="I20" s="87">
        <v>2.0999999999999999E-3</v>
      </c>
      <c r="J20" s="236"/>
      <c r="K20" s="181"/>
      <c r="L20" s="181"/>
      <c r="M20" s="181"/>
      <c r="N20" s="181"/>
      <c r="O20" s="181"/>
      <c r="P20" s="171"/>
    </row>
    <row r="21" spans="1:16" x14ac:dyDescent="0.2">
      <c r="A21" s="74" t="s">
        <v>36</v>
      </c>
      <c r="B21" s="75" t="s">
        <v>2</v>
      </c>
      <c r="C21" s="67">
        <v>0</v>
      </c>
      <c r="D21" s="68">
        <v>0</v>
      </c>
      <c r="E21" s="68">
        <v>0</v>
      </c>
      <c r="F21" s="68">
        <v>0</v>
      </c>
      <c r="G21" s="68">
        <v>0</v>
      </c>
      <c r="H21" s="210">
        <v>0</v>
      </c>
      <c r="I21" s="67">
        <v>0</v>
      </c>
      <c r="J21" s="234" t="e">
        <v>#DIV/0!</v>
      </c>
      <c r="K21" s="181"/>
      <c r="L21" s="181"/>
      <c r="M21" s="181"/>
      <c r="N21" s="181"/>
      <c r="O21" s="181"/>
      <c r="P21" s="171"/>
    </row>
    <row r="22" spans="1:16" x14ac:dyDescent="0.2">
      <c r="A22" s="3"/>
      <c r="B22" s="82" t="s">
        <v>1</v>
      </c>
      <c r="C22" s="70">
        <v>0</v>
      </c>
      <c r="D22" s="71">
        <v>0</v>
      </c>
      <c r="E22" s="71">
        <v>0</v>
      </c>
      <c r="F22" s="71">
        <v>0</v>
      </c>
      <c r="G22" s="71">
        <v>0</v>
      </c>
      <c r="H22" s="83">
        <v>2.1021652301878024E-4</v>
      </c>
      <c r="I22" s="70">
        <v>0</v>
      </c>
      <c r="J22" s="235"/>
      <c r="K22" s="181"/>
      <c r="L22" s="181"/>
      <c r="M22" s="181"/>
      <c r="N22" s="181"/>
      <c r="O22" s="181"/>
      <c r="P22" s="171"/>
    </row>
    <row r="23" spans="1:16" ht="12" thickBot="1" x14ac:dyDescent="0.25">
      <c r="A23" s="58"/>
      <c r="B23" s="85" t="s">
        <v>0</v>
      </c>
      <c r="C23" s="87">
        <v>0</v>
      </c>
      <c r="D23" s="175">
        <v>0</v>
      </c>
      <c r="E23" s="175">
        <v>0</v>
      </c>
      <c r="F23" s="175">
        <v>0</v>
      </c>
      <c r="G23" s="175">
        <v>0</v>
      </c>
      <c r="H23" s="86">
        <v>0</v>
      </c>
      <c r="I23" s="87">
        <v>0</v>
      </c>
      <c r="J23" s="236"/>
      <c r="K23" s="181"/>
      <c r="L23" s="181"/>
      <c r="M23" s="181"/>
      <c r="N23" s="181"/>
      <c r="O23" s="181"/>
      <c r="P23" s="171"/>
    </row>
    <row r="24" spans="1:16" x14ac:dyDescent="0.2">
      <c r="A24" s="74" t="s">
        <v>37</v>
      </c>
      <c r="B24" s="75" t="s">
        <v>2</v>
      </c>
      <c r="C24" s="67">
        <v>0</v>
      </c>
      <c r="D24" s="68">
        <v>0</v>
      </c>
      <c r="E24" s="68">
        <v>0</v>
      </c>
      <c r="F24" s="68">
        <v>0</v>
      </c>
      <c r="G24" s="68">
        <v>2.6354319180087904E-2</v>
      </c>
      <c r="H24" s="210">
        <v>0</v>
      </c>
      <c r="I24" s="67">
        <v>4.4000000000000003E-3</v>
      </c>
      <c r="J24" s="234">
        <v>0.64814814814814814</v>
      </c>
      <c r="K24" s="181"/>
      <c r="L24" s="181"/>
      <c r="M24" s="181"/>
      <c r="N24" s="181"/>
      <c r="O24" s="181"/>
      <c r="P24" s="171"/>
    </row>
    <row r="25" spans="1:16" x14ac:dyDescent="0.2">
      <c r="A25" s="3"/>
      <c r="B25" s="82" t="s">
        <v>1</v>
      </c>
      <c r="C25" s="70">
        <v>0</v>
      </c>
      <c r="D25" s="71">
        <v>0</v>
      </c>
      <c r="E25" s="71">
        <v>0</v>
      </c>
      <c r="F25" s="71">
        <v>0</v>
      </c>
      <c r="G25" s="71">
        <v>3.2479700187382887E-2</v>
      </c>
      <c r="H25" s="83">
        <v>0</v>
      </c>
      <c r="I25" s="70">
        <v>5.4000000000000003E-3</v>
      </c>
      <c r="J25" s="235"/>
      <c r="K25" s="181"/>
      <c r="L25" s="181"/>
      <c r="M25" s="181"/>
      <c r="N25" s="181"/>
      <c r="O25" s="181"/>
      <c r="P25" s="171"/>
    </row>
    <row r="26" spans="1:16" ht="12" thickBot="1" x14ac:dyDescent="0.25">
      <c r="A26" s="58"/>
      <c r="B26" s="85" t="s">
        <v>0</v>
      </c>
      <c r="C26" s="87">
        <v>0</v>
      </c>
      <c r="D26" s="175">
        <v>0</v>
      </c>
      <c r="E26" s="175">
        <v>0</v>
      </c>
      <c r="F26" s="175">
        <v>0</v>
      </c>
      <c r="G26" s="175">
        <v>1.9694397283531395E-2</v>
      </c>
      <c r="H26" s="86">
        <v>1.4912019087384154E-3</v>
      </c>
      <c r="I26" s="87">
        <v>3.5000000000000001E-3</v>
      </c>
      <c r="J26" s="236"/>
      <c r="K26" s="181"/>
      <c r="L26" s="181"/>
      <c r="M26" s="181"/>
      <c r="N26" s="181"/>
      <c r="O26" s="181"/>
      <c r="P26" s="171"/>
    </row>
    <row r="27" spans="1:16" x14ac:dyDescent="0.2">
      <c r="A27" s="74" t="s">
        <v>38</v>
      </c>
      <c r="B27" s="75" t="s">
        <v>2</v>
      </c>
      <c r="C27" s="221">
        <v>0</v>
      </c>
      <c r="D27" s="222">
        <v>0</v>
      </c>
      <c r="E27" s="222">
        <v>0</v>
      </c>
      <c r="F27" s="222">
        <v>0</v>
      </c>
      <c r="G27" s="222">
        <v>1.8552661903664447E-2</v>
      </c>
      <c r="H27" s="223">
        <v>1.3118479495919821E-2</v>
      </c>
      <c r="I27" s="221">
        <v>5.3E-3</v>
      </c>
      <c r="J27" s="234">
        <v>0.10126582278481013</v>
      </c>
      <c r="K27" s="247"/>
      <c r="L27" s="247"/>
      <c r="M27" s="247"/>
      <c r="N27" s="247"/>
      <c r="O27" s="247"/>
      <c r="P27" s="248"/>
    </row>
    <row r="28" spans="1:16" ht="12" x14ac:dyDescent="0.2">
      <c r="A28" s="127"/>
      <c r="B28" s="82" t="s">
        <v>1</v>
      </c>
      <c r="C28" s="131">
        <v>0</v>
      </c>
      <c r="D28" s="180">
        <v>0</v>
      </c>
      <c r="E28" s="180">
        <v>0</v>
      </c>
      <c r="F28" s="180">
        <v>0</v>
      </c>
      <c r="G28" s="180">
        <v>2.885042166000884E-2</v>
      </c>
      <c r="H28" s="130">
        <v>1.8421052631578894E-2</v>
      </c>
      <c r="I28" s="131">
        <v>7.9000000000000008E-3</v>
      </c>
      <c r="J28" s="235"/>
      <c r="K28" s="247"/>
      <c r="L28" s="247"/>
      <c r="M28" s="247"/>
      <c r="N28" s="247"/>
      <c r="O28" s="247"/>
      <c r="P28" s="248"/>
    </row>
    <row r="29" spans="1:16" ht="12" thickBot="1" x14ac:dyDescent="0.25">
      <c r="A29" s="58"/>
      <c r="B29" s="85" t="s">
        <v>0</v>
      </c>
      <c r="C29" s="136">
        <v>0</v>
      </c>
      <c r="D29" s="182">
        <v>0</v>
      </c>
      <c r="E29" s="182">
        <v>0</v>
      </c>
      <c r="F29" s="182">
        <v>0</v>
      </c>
      <c r="G29" s="182">
        <v>4.5541706615532807E-3</v>
      </c>
      <c r="H29" s="135">
        <v>0</v>
      </c>
      <c r="I29" s="136">
        <v>8.0000000000000004E-4</v>
      </c>
      <c r="J29" s="236"/>
      <c r="K29" s="247"/>
      <c r="L29" s="247"/>
      <c r="M29" s="247"/>
      <c r="N29" s="247"/>
      <c r="O29" s="247"/>
      <c r="P29" s="248"/>
    </row>
    <row r="30" spans="1:16" x14ac:dyDescent="0.2">
      <c r="A30" s="74" t="s">
        <v>39</v>
      </c>
      <c r="B30" s="75" t="s">
        <v>2</v>
      </c>
      <c r="C30" s="221">
        <v>0</v>
      </c>
      <c r="D30" s="222">
        <v>0</v>
      </c>
      <c r="E30" s="222">
        <v>0</v>
      </c>
      <c r="F30" s="222">
        <v>0</v>
      </c>
      <c r="G30" s="222">
        <v>0</v>
      </c>
      <c r="H30" s="223">
        <v>0</v>
      </c>
      <c r="I30" s="221">
        <v>0</v>
      </c>
      <c r="J30" s="234" t="e">
        <v>#DIV/0!</v>
      </c>
      <c r="K30" s="181"/>
      <c r="L30" s="181"/>
      <c r="M30" s="181"/>
      <c r="N30" s="181"/>
      <c r="O30" s="181"/>
      <c r="P30" s="171"/>
    </row>
    <row r="31" spans="1:16" x14ac:dyDescent="0.2">
      <c r="A31" s="3"/>
      <c r="B31" s="82" t="s">
        <v>1</v>
      </c>
      <c r="C31" s="131">
        <v>0</v>
      </c>
      <c r="D31" s="180">
        <v>0</v>
      </c>
      <c r="E31" s="180">
        <v>0</v>
      </c>
      <c r="F31" s="180">
        <v>0</v>
      </c>
      <c r="G31" s="180">
        <v>0</v>
      </c>
      <c r="H31" s="130">
        <v>0</v>
      </c>
      <c r="I31" s="131">
        <v>0</v>
      </c>
      <c r="J31" s="235"/>
      <c r="K31" s="181"/>
      <c r="L31" s="181"/>
      <c r="M31" s="181"/>
      <c r="N31" s="181"/>
      <c r="O31" s="181"/>
      <c r="P31" s="171"/>
    </row>
    <row r="32" spans="1:16" ht="12" thickBot="1" x14ac:dyDescent="0.25">
      <c r="A32" s="58"/>
      <c r="B32" s="85" t="s">
        <v>0</v>
      </c>
      <c r="C32" s="136">
        <v>0</v>
      </c>
      <c r="D32" s="182">
        <v>0</v>
      </c>
      <c r="E32" s="182">
        <v>0</v>
      </c>
      <c r="F32" s="182">
        <v>0</v>
      </c>
      <c r="G32" s="182">
        <v>0</v>
      </c>
      <c r="H32" s="135">
        <v>0</v>
      </c>
      <c r="I32" s="136">
        <v>0</v>
      </c>
      <c r="J32" s="236"/>
      <c r="K32" s="181"/>
      <c r="L32" s="181"/>
      <c r="M32" s="181"/>
      <c r="N32" s="181"/>
      <c r="O32" s="181"/>
      <c r="P32" s="171"/>
    </row>
    <row r="33" spans="1:16" ht="10.15" customHeight="1" x14ac:dyDescent="0.2">
      <c r="A33" s="185" t="s">
        <v>40</v>
      </c>
      <c r="B33" s="75" t="s">
        <v>2</v>
      </c>
      <c r="C33" s="221">
        <v>0</v>
      </c>
      <c r="D33" s="222">
        <v>0</v>
      </c>
      <c r="E33" s="222">
        <v>0</v>
      </c>
      <c r="F33" s="222">
        <v>0</v>
      </c>
      <c r="G33" s="222">
        <v>0</v>
      </c>
      <c r="H33" s="223">
        <v>1.0425716768027837E-2</v>
      </c>
      <c r="I33" s="221">
        <v>1.6999999999999999E-3</v>
      </c>
      <c r="J33" s="234">
        <v>0.52173913043478259</v>
      </c>
      <c r="K33" s="181"/>
      <c r="L33" s="181"/>
      <c r="M33" s="181"/>
      <c r="N33" s="181"/>
      <c r="O33" s="181"/>
      <c r="P33" s="171"/>
    </row>
    <row r="34" spans="1:16" ht="10.15" customHeight="1" x14ac:dyDescent="0.2">
      <c r="A34" s="186"/>
      <c r="B34" s="82" t="s">
        <v>1</v>
      </c>
      <c r="C34" s="131">
        <v>0</v>
      </c>
      <c r="D34" s="180">
        <v>0</v>
      </c>
      <c r="E34" s="180">
        <v>0</v>
      </c>
      <c r="F34" s="180">
        <v>0</v>
      </c>
      <c r="G34" s="180">
        <v>0</v>
      </c>
      <c r="H34" s="130">
        <v>1.3828867761452091E-2</v>
      </c>
      <c r="I34" s="131">
        <v>2.3E-3</v>
      </c>
      <c r="J34" s="235"/>
      <c r="K34" s="181"/>
      <c r="L34" s="181"/>
      <c r="M34" s="181"/>
      <c r="N34" s="181"/>
      <c r="O34" s="181"/>
      <c r="P34" s="171"/>
    </row>
    <row r="35" spans="1:16" ht="12" thickBot="1" x14ac:dyDescent="0.25">
      <c r="A35" s="58"/>
      <c r="B35" s="85" t="s">
        <v>0</v>
      </c>
      <c r="C35" s="136">
        <v>0</v>
      </c>
      <c r="D35" s="182">
        <v>0</v>
      </c>
      <c r="E35" s="182">
        <v>0</v>
      </c>
      <c r="F35" s="182">
        <v>0</v>
      </c>
      <c r="G35" s="182">
        <v>0</v>
      </c>
      <c r="H35" s="135">
        <v>6.9868995633187714E-3</v>
      </c>
      <c r="I35" s="136">
        <v>1.1999999999999999E-3</v>
      </c>
      <c r="J35" s="236"/>
      <c r="K35" s="181"/>
      <c r="L35" s="181"/>
      <c r="M35" s="181"/>
      <c r="N35" s="181"/>
      <c r="O35" s="181"/>
      <c r="P35" s="171"/>
    </row>
    <row r="36" spans="1:16" x14ac:dyDescent="0.2">
      <c r="A36" s="74" t="s">
        <v>41</v>
      </c>
      <c r="B36" s="75" t="s">
        <v>2</v>
      </c>
      <c r="C36" s="221">
        <v>0</v>
      </c>
      <c r="D36" s="222">
        <v>0</v>
      </c>
      <c r="E36" s="222">
        <v>0</v>
      </c>
      <c r="F36" s="222">
        <v>0</v>
      </c>
      <c r="G36" s="222">
        <v>0</v>
      </c>
      <c r="H36" s="223">
        <v>8.8022634391700105E-3</v>
      </c>
      <c r="I36" s="221">
        <v>1.5E-3</v>
      </c>
      <c r="J36" s="234">
        <v>0.10256410256410257</v>
      </c>
      <c r="K36" s="247"/>
      <c r="L36" s="247"/>
      <c r="M36" s="247"/>
      <c r="N36" s="247"/>
      <c r="O36" s="247"/>
      <c r="P36" s="248"/>
    </row>
    <row r="37" spans="1:16" ht="12" x14ac:dyDescent="0.2">
      <c r="A37" s="127"/>
      <c r="B37" s="82" t="s">
        <v>1</v>
      </c>
      <c r="C37" s="131">
        <v>0</v>
      </c>
      <c r="D37" s="180">
        <v>0</v>
      </c>
      <c r="E37" s="180">
        <v>0</v>
      </c>
      <c r="F37" s="180">
        <v>0</v>
      </c>
      <c r="G37" s="180">
        <v>8.9743589743589425E-3</v>
      </c>
      <c r="H37" s="130">
        <v>1.4431749849669329E-2</v>
      </c>
      <c r="I37" s="131">
        <v>3.8999999999999998E-3</v>
      </c>
      <c r="J37" s="235"/>
      <c r="K37" s="247"/>
      <c r="L37" s="247"/>
      <c r="M37" s="247"/>
      <c r="N37" s="247"/>
      <c r="O37" s="247"/>
      <c r="P37" s="248"/>
    </row>
    <row r="38" spans="1:16" ht="12" thickBot="1" x14ac:dyDescent="0.25">
      <c r="A38" s="58"/>
      <c r="B38" s="85" t="s">
        <v>0</v>
      </c>
      <c r="C38" s="136">
        <v>0</v>
      </c>
      <c r="D38" s="182">
        <v>0</v>
      </c>
      <c r="E38" s="182">
        <v>0</v>
      </c>
      <c r="F38" s="182">
        <v>0</v>
      </c>
      <c r="G38" s="182">
        <v>0</v>
      </c>
      <c r="H38" s="135">
        <v>2.6350461133070047E-3</v>
      </c>
      <c r="I38" s="136">
        <v>4.0000000000000002E-4</v>
      </c>
      <c r="J38" s="236"/>
      <c r="K38" s="247"/>
      <c r="L38" s="247"/>
      <c r="M38" s="247"/>
      <c r="N38" s="247"/>
      <c r="O38" s="247"/>
      <c r="P38" s="248"/>
    </row>
    <row r="39" spans="1:16" x14ac:dyDescent="0.2">
      <c r="A39" s="74" t="s">
        <v>42</v>
      </c>
      <c r="B39" s="75" t="s">
        <v>2</v>
      </c>
      <c r="C39" s="221">
        <v>0</v>
      </c>
      <c r="D39" s="222">
        <v>0</v>
      </c>
      <c r="E39" s="222">
        <v>0</v>
      </c>
      <c r="F39" s="222">
        <v>0</v>
      </c>
      <c r="G39" s="222">
        <v>0</v>
      </c>
      <c r="H39" s="223">
        <v>0</v>
      </c>
      <c r="I39" s="221">
        <v>0</v>
      </c>
      <c r="J39" s="234" t="e">
        <v>#DIV/0!</v>
      </c>
      <c r="K39" s="181"/>
      <c r="L39" s="181"/>
      <c r="M39" s="181"/>
      <c r="N39" s="181"/>
      <c r="O39" s="181"/>
      <c r="P39" s="171"/>
    </row>
    <row r="40" spans="1:16" x14ac:dyDescent="0.2">
      <c r="A40" s="3"/>
      <c r="B40" s="82" t="s">
        <v>1</v>
      </c>
      <c r="C40" s="131">
        <v>0</v>
      </c>
      <c r="D40" s="180">
        <v>0</v>
      </c>
      <c r="E40" s="180">
        <v>0</v>
      </c>
      <c r="F40" s="180">
        <v>0</v>
      </c>
      <c r="G40" s="180">
        <v>0</v>
      </c>
      <c r="H40" s="130">
        <v>0</v>
      </c>
      <c r="I40" s="131">
        <v>0</v>
      </c>
      <c r="J40" s="235"/>
      <c r="K40" s="181"/>
      <c r="L40" s="181"/>
      <c r="M40" s="181"/>
      <c r="N40" s="181"/>
      <c r="O40" s="181"/>
      <c r="P40" s="171"/>
    </row>
    <row r="41" spans="1:16" ht="12" thickBot="1" x14ac:dyDescent="0.25">
      <c r="A41" s="58"/>
      <c r="B41" s="85" t="s">
        <v>0</v>
      </c>
      <c r="C41" s="87">
        <v>0</v>
      </c>
      <c r="D41" s="175">
        <v>0</v>
      </c>
      <c r="E41" s="175">
        <v>0</v>
      </c>
      <c r="F41" s="175">
        <v>0</v>
      </c>
      <c r="G41" s="175">
        <v>0</v>
      </c>
      <c r="H41" s="86">
        <v>0</v>
      </c>
      <c r="I41" s="87">
        <v>0</v>
      </c>
      <c r="J41" s="236"/>
      <c r="K41" s="181"/>
      <c r="L41" s="181"/>
      <c r="M41" s="181"/>
      <c r="N41" s="181"/>
      <c r="O41" s="181"/>
      <c r="P41" s="171"/>
    </row>
    <row r="42" spans="1:16" x14ac:dyDescent="0.2">
      <c r="A42" s="74" t="s">
        <v>43</v>
      </c>
      <c r="B42" s="75" t="s">
        <v>2</v>
      </c>
      <c r="C42" s="67">
        <v>0</v>
      </c>
      <c r="D42" s="68">
        <v>0</v>
      </c>
      <c r="E42" s="68">
        <v>0</v>
      </c>
      <c r="F42" s="68">
        <v>0</v>
      </c>
      <c r="G42" s="68">
        <v>0</v>
      </c>
      <c r="H42" s="210">
        <v>2.4292903001909005E-3</v>
      </c>
      <c r="I42" s="67">
        <v>4.0000000000000002E-4</v>
      </c>
      <c r="J42" s="234">
        <v>0</v>
      </c>
      <c r="K42" s="181"/>
      <c r="L42" s="181"/>
      <c r="M42" s="181"/>
      <c r="N42" s="181"/>
      <c r="O42" s="181"/>
      <c r="P42" s="171"/>
    </row>
    <row r="43" spans="1:16" x14ac:dyDescent="0.2">
      <c r="A43" s="3"/>
      <c r="B43" s="82" t="s">
        <v>1</v>
      </c>
      <c r="C43" s="70">
        <v>0</v>
      </c>
      <c r="D43" s="71">
        <v>0</v>
      </c>
      <c r="E43" s="71">
        <v>0</v>
      </c>
      <c r="F43" s="71">
        <v>0</v>
      </c>
      <c r="G43" s="71">
        <v>3.8804811796655514E-4</v>
      </c>
      <c r="H43" s="83">
        <v>0</v>
      </c>
      <c r="I43" s="70">
        <v>1E-4</v>
      </c>
      <c r="J43" s="235"/>
      <c r="K43" s="181"/>
      <c r="L43" s="181"/>
      <c r="M43" s="181"/>
      <c r="N43" s="181"/>
      <c r="O43" s="181"/>
      <c r="P43" s="171"/>
    </row>
    <row r="44" spans="1:16" ht="12" thickBot="1" x14ac:dyDescent="0.25">
      <c r="A44" s="58"/>
      <c r="B44" s="85" t="s">
        <v>0</v>
      </c>
      <c r="C44" s="87">
        <v>0</v>
      </c>
      <c r="D44" s="175">
        <v>0</v>
      </c>
      <c r="E44" s="175">
        <v>0</v>
      </c>
      <c r="F44" s="175">
        <v>0</v>
      </c>
      <c r="G44" s="175">
        <v>0</v>
      </c>
      <c r="H44" s="86">
        <v>0</v>
      </c>
      <c r="I44" s="87">
        <v>0</v>
      </c>
      <c r="J44" s="236"/>
      <c r="K44" s="181"/>
      <c r="L44" s="181"/>
      <c r="M44" s="181"/>
      <c r="N44" s="181"/>
      <c r="O44" s="181"/>
      <c r="P44" s="171"/>
    </row>
    <row r="45" spans="1:16" x14ac:dyDescent="0.2">
      <c r="A45" s="88" t="s">
        <v>3</v>
      </c>
      <c r="B45" s="89" t="s">
        <v>2</v>
      </c>
      <c r="C45" s="237">
        <v>0</v>
      </c>
      <c r="D45" s="238">
        <v>0</v>
      </c>
      <c r="E45" s="238">
        <v>0</v>
      </c>
      <c r="F45" s="238">
        <v>0</v>
      </c>
      <c r="G45" s="238">
        <v>0</v>
      </c>
      <c r="H45" s="239">
        <v>0</v>
      </c>
      <c r="I45" s="237">
        <v>0</v>
      </c>
      <c r="J45" s="240" t="e">
        <v>#DIV/0!</v>
      </c>
      <c r="K45" s="181"/>
      <c r="L45" s="181"/>
      <c r="M45" s="181"/>
      <c r="N45" s="181"/>
      <c r="O45" s="181"/>
      <c r="P45" s="171"/>
    </row>
    <row r="46" spans="1:16" x14ac:dyDescent="0.2">
      <c r="A46" s="96"/>
      <c r="B46" s="97" t="s">
        <v>1</v>
      </c>
      <c r="C46" s="98">
        <v>0</v>
      </c>
      <c r="D46" s="99">
        <v>0</v>
      </c>
      <c r="E46" s="99">
        <v>0</v>
      </c>
      <c r="F46" s="99">
        <v>0</v>
      </c>
      <c r="G46" s="99">
        <v>0</v>
      </c>
      <c r="H46" s="100">
        <v>0</v>
      </c>
      <c r="I46" s="98">
        <v>0</v>
      </c>
      <c r="J46" s="241"/>
      <c r="K46" s="181"/>
      <c r="L46" s="181"/>
      <c r="M46" s="181"/>
      <c r="N46" s="181"/>
      <c r="O46" s="181"/>
      <c r="P46" s="171"/>
    </row>
    <row r="47" spans="1:16" ht="12" thickBot="1" x14ac:dyDescent="0.25">
      <c r="A47" s="103"/>
      <c r="B47" s="104" t="s">
        <v>0</v>
      </c>
      <c r="C47" s="242">
        <v>0</v>
      </c>
      <c r="D47" s="206">
        <v>0</v>
      </c>
      <c r="E47" s="206">
        <v>0</v>
      </c>
      <c r="F47" s="206">
        <v>0</v>
      </c>
      <c r="G47" s="206">
        <v>0</v>
      </c>
      <c r="H47" s="243">
        <v>0</v>
      </c>
      <c r="I47" s="242">
        <v>0</v>
      </c>
      <c r="J47" s="244"/>
      <c r="K47" s="181"/>
      <c r="L47" s="181"/>
      <c r="M47" s="181"/>
      <c r="N47" s="181"/>
      <c r="O47" s="181"/>
      <c r="P47" s="171"/>
    </row>
  </sheetData>
  <sheetProtection algorithmName="SHA-512" hashValue="UvNa53DbZ+FZHLHYIsZ6nfAnVolvz0ygdTzs+zSVokuNi2D0GAjBjepnCtYKKud8oz1u3N5nEoSedXry5WNZHg==" saltValue="+kvdXAeBWrD6H+cQnmEquw==" spinCount="100000" sheet="1" objects="1" scenarios="1"/>
  <mergeCells count="6">
    <mergeCell ref="B10:B11"/>
    <mergeCell ref="A1:J1"/>
    <mergeCell ref="A2:J2"/>
    <mergeCell ref="A3:J3"/>
    <mergeCell ref="A4:J4"/>
    <mergeCell ref="A5:J5"/>
  </mergeCells>
  <conditionalFormatting sqref="C1:J1048576 K10:P11">
    <cfRule type="cellIs" dxfId="8" priority="1" operator="lessThan">
      <formula>0</formula>
    </cfRule>
  </conditionalFormatting>
  <printOptions horizontalCentered="1"/>
  <pageMargins left="0" right="0" top="1" bottom="0.5" header="0.5" footer="0.35"/>
  <pageSetup paperSize="9" scale="10" orientation="portrait" horizontalDpi="300" verticalDpi="300" r:id="rId1"/>
  <headerFooter alignWithMargins="0">
    <oddFooter>&amp;C&amp;8Page &amp;P of &amp;N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pageSetUpPr fitToPage="1"/>
  </sheetPr>
  <dimension ref="A1:V48"/>
  <sheetViews>
    <sheetView showGridLines="0" zoomScaleNormal="100" workbookViewId="0">
      <pane xSplit="2" ySplit="8" topLeftCell="C9" activePane="bottomRight" state="frozen"/>
      <selection activeCell="N9" sqref="N9:X9"/>
      <selection pane="topRight" activeCell="N9" sqref="N9:X9"/>
      <selection pane="bottomLeft" activeCell="N9" sqref="N9:X9"/>
      <selection pane="bottomRight" activeCell="B49" sqref="B49:V848"/>
    </sheetView>
  </sheetViews>
  <sheetFormatPr defaultColWidth="6.5703125" defaultRowHeight="11.25" x14ac:dyDescent="0.2"/>
  <cols>
    <col min="1" max="1" width="44.7109375" style="314" customWidth="1"/>
    <col min="2" max="2" width="9.28515625" style="12" customWidth="1"/>
    <col min="3" max="5" width="7.28515625" style="263" bestFit="1" customWidth="1"/>
    <col min="6" max="6" width="7.28515625" style="263" customWidth="1"/>
    <col min="7" max="7" width="9.28515625" style="263" customWidth="1"/>
    <col min="8" max="8" width="9.28515625" style="263" bestFit="1" customWidth="1"/>
    <col min="9" max="9" width="11.28515625" style="28" bestFit="1" customWidth="1"/>
    <col min="10" max="10" width="6.28515625" style="28" bestFit="1" customWidth="1"/>
    <col min="11" max="11" width="9.7109375" style="28" bestFit="1" customWidth="1"/>
    <col min="12" max="12" width="10.7109375" style="28" bestFit="1" customWidth="1"/>
    <col min="13" max="13" width="4.42578125" style="12" customWidth="1"/>
    <col min="14" max="18" width="6.5703125" style="12"/>
    <col min="19" max="19" width="8.28515625" style="12" customWidth="1"/>
    <col min="20" max="22" width="7.28515625" style="12" bestFit="1" customWidth="1"/>
    <col min="23" max="16384" width="6.5703125" style="12"/>
  </cols>
  <sheetData>
    <row r="1" spans="1:22" x14ac:dyDescent="0.2">
      <c r="A1" s="401" t="s">
        <v>4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</row>
    <row r="2" spans="1:22" x14ac:dyDescent="0.2">
      <c r="A2" s="401" t="s">
        <v>7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</row>
    <row r="3" spans="1:22" ht="12.75" x14ac:dyDescent="0.2">
      <c r="A3" s="402" t="s">
        <v>57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</row>
    <row r="4" spans="1:22" ht="12.75" x14ac:dyDescent="0.2">
      <c r="A4" s="402" t="s">
        <v>58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249"/>
    </row>
    <row r="5" spans="1:22" s="250" customFormat="1" ht="12.75" x14ac:dyDescent="0.2">
      <c r="A5" s="403" t="s">
        <v>5</v>
      </c>
      <c r="B5" s="403"/>
      <c r="C5" s="403"/>
      <c r="D5" s="403"/>
      <c r="E5" s="403"/>
      <c r="F5" s="403"/>
      <c r="G5" s="403"/>
      <c r="H5" s="403"/>
      <c r="I5" s="403"/>
      <c r="J5" s="403"/>
      <c r="K5" s="403"/>
      <c r="L5" s="403"/>
    </row>
    <row r="6" spans="1:22" x14ac:dyDescent="0.2">
      <c r="A6" s="251"/>
      <c r="B6" s="251"/>
      <c r="C6" s="251"/>
      <c r="D6" s="251"/>
      <c r="E6" s="251"/>
      <c r="F6" s="251"/>
      <c r="G6" s="252"/>
      <c r="H6" s="252"/>
      <c r="I6" s="253"/>
      <c r="J6" s="251"/>
      <c r="K6" s="251"/>
      <c r="L6" s="251"/>
    </row>
    <row r="7" spans="1:22" ht="12.75" x14ac:dyDescent="0.2">
      <c r="A7" s="254"/>
      <c r="B7" s="255"/>
      <c r="C7" s="256"/>
      <c r="D7" s="256"/>
      <c r="E7" s="256"/>
      <c r="F7" s="256"/>
      <c r="G7" s="257"/>
      <c r="H7" s="257"/>
      <c r="I7" s="258"/>
      <c r="J7" s="259"/>
      <c r="K7" s="259"/>
      <c r="L7" s="260"/>
    </row>
    <row r="8" spans="1:22" ht="15.75" thickBot="1" x14ac:dyDescent="0.25">
      <c r="A8" s="261" t="s">
        <v>59</v>
      </c>
      <c r="B8" s="262"/>
      <c r="F8" s="256"/>
    </row>
    <row r="9" spans="1:22" ht="12.6" customHeight="1" thickBot="1" x14ac:dyDescent="0.25">
      <c r="A9" s="110"/>
    </row>
    <row r="10" spans="1:22" ht="12" thickBot="1" x14ac:dyDescent="0.25">
      <c r="A10" s="300" t="s">
        <v>30</v>
      </c>
      <c r="B10" s="396" t="s">
        <v>11</v>
      </c>
      <c r="C10" s="398" t="s">
        <v>12</v>
      </c>
      <c r="D10" s="399"/>
      <c r="E10" s="399"/>
      <c r="F10" s="265" t="s">
        <v>13</v>
      </c>
      <c r="G10" s="266" t="s">
        <v>14</v>
      </c>
      <c r="H10" s="266" t="s">
        <v>15</v>
      </c>
      <c r="I10" s="34" t="s">
        <v>16</v>
      </c>
      <c r="J10" s="267" t="s">
        <v>17</v>
      </c>
      <c r="K10" s="268" t="s">
        <v>17</v>
      </c>
      <c r="L10" s="269" t="s">
        <v>17</v>
      </c>
      <c r="N10" s="400"/>
      <c r="O10" s="400"/>
      <c r="P10" s="303"/>
      <c r="Q10" s="302"/>
      <c r="R10" s="302"/>
      <c r="S10" s="304"/>
      <c r="T10" s="304"/>
      <c r="U10" s="304"/>
      <c r="V10" s="304"/>
    </row>
    <row r="11" spans="1:22" ht="12" thickBot="1" x14ac:dyDescent="0.25">
      <c r="A11" s="301"/>
      <c r="B11" s="397"/>
      <c r="C11" s="270" t="s">
        <v>60</v>
      </c>
      <c r="D11" s="271" t="s">
        <v>61</v>
      </c>
      <c r="E11" s="272" t="s">
        <v>62</v>
      </c>
      <c r="F11" s="273" t="s">
        <v>63</v>
      </c>
      <c r="G11" s="274" t="s">
        <v>25</v>
      </c>
      <c r="H11" s="274" t="s">
        <v>26</v>
      </c>
      <c r="I11" s="43" t="s">
        <v>27</v>
      </c>
      <c r="J11" s="275" t="s">
        <v>28</v>
      </c>
      <c r="K11" s="276" t="s">
        <v>14</v>
      </c>
      <c r="L11" s="277" t="s">
        <v>15</v>
      </c>
      <c r="N11" s="302"/>
      <c r="O11" s="302"/>
      <c r="P11" s="302"/>
      <c r="Q11" s="302"/>
      <c r="R11" s="302"/>
      <c r="S11" s="304"/>
      <c r="T11" s="304"/>
      <c r="U11" s="304"/>
      <c r="V11" s="304"/>
    </row>
    <row r="12" spans="1:22" x14ac:dyDescent="0.2">
      <c r="A12" s="287" t="s">
        <v>33</v>
      </c>
      <c r="B12" s="19" t="s">
        <v>2</v>
      </c>
      <c r="C12" s="67">
        <v>1</v>
      </c>
      <c r="D12" s="68">
        <v>0.99999999999991973</v>
      </c>
      <c r="E12" s="68">
        <v>0.99999999999358902</v>
      </c>
      <c r="F12" s="68">
        <v>0.993868480199951</v>
      </c>
      <c r="G12" s="68">
        <v>0.99386848010615514</v>
      </c>
      <c r="H12" s="68">
        <v>0.98258337514308258</v>
      </c>
      <c r="I12" s="69">
        <v>4.0709013618488354</v>
      </c>
      <c r="J12" s="278">
        <f>F14/F13</f>
        <v>0.99735269891243694</v>
      </c>
      <c r="K12" s="279">
        <f>G14/G13</f>
        <v>0.99735269956258799</v>
      </c>
      <c r="L12" s="52">
        <f>H14/H13</f>
        <v>1.0076059504548229</v>
      </c>
      <c r="N12" s="286"/>
      <c r="O12" s="286"/>
      <c r="P12" s="286"/>
      <c r="Q12" s="286"/>
      <c r="R12" s="286"/>
      <c r="S12" s="13"/>
      <c r="T12" s="13"/>
      <c r="U12" s="13"/>
      <c r="V12" s="13"/>
    </row>
    <row r="13" spans="1:22" x14ac:dyDescent="0.2">
      <c r="A13" s="16"/>
      <c r="B13" s="18" t="s">
        <v>1</v>
      </c>
      <c r="C13" s="70">
        <v>1</v>
      </c>
      <c r="D13" s="71">
        <v>0.99999999999906353</v>
      </c>
      <c r="E13" s="71">
        <v>0.99881803670578151</v>
      </c>
      <c r="F13" s="71">
        <v>0.99459526942001231</v>
      </c>
      <c r="G13" s="71">
        <v>0.99459526876672699</v>
      </c>
      <c r="H13" s="71">
        <v>0.97856928612207728</v>
      </c>
      <c r="I13" s="211">
        <v>4.0876001901218437</v>
      </c>
      <c r="J13" s="280"/>
      <c r="K13" s="281"/>
      <c r="L13" s="57"/>
      <c r="N13" s="286"/>
      <c r="O13" s="286"/>
      <c r="P13" s="286"/>
      <c r="Q13" s="286"/>
      <c r="R13" s="286"/>
      <c r="S13" s="13"/>
      <c r="T13" s="13"/>
      <c r="U13" s="13"/>
      <c r="V13" s="13"/>
    </row>
    <row r="14" spans="1:22" x14ac:dyDescent="0.2">
      <c r="A14" s="288"/>
      <c r="B14" s="17" t="s">
        <v>0</v>
      </c>
      <c r="C14" s="87">
        <v>1</v>
      </c>
      <c r="D14" s="71">
        <v>0.99999999999999845</v>
      </c>
      <c r="E14" s="71">
        <v>0.99999999999978728</v>
      </c>
      <c r="F14" s="71">
        <v>0.99196227628159162</v>
      </c>
      <c r="G14" s="71">
        <v>0.99196227627667288</v>
      </c>
      <c r="H14" s="71">
        <v>0.98601223562893325</v>
      </c>
      <c r="I14" s="211">
        <v>4.0567447902394216</v>
      </c>
      <c r="J14" s="282"/>
      <c r="K14" s="283"/>
      <c r="L14" s="63"/>
      <c r="N14" s="286"/>
      <c r="O14" s="286"/>
      <c r="P14" s="286"/>
      <c r="Q14" s="286"/>
      <c r="R14" s="286"/>
      <c r="S14" s="13"/>
      <c r="T14" s="13"/>
      <c r="U14" s="13"/>
      <c r="V14" s="13"/>
    </row>
    <row r="15" spans="1:22" ht="10.15" customHeight="1" x14ac:dyDescent="0.2">
      <c r="A15" s="287" t="s">
        <v>34</v>
      </c>
      <c r="B15" s="18" t="s">
        <v>2</v>
      </c>
      <c r="C15" s="70">
        <v>1</v>
      </c>
      <c r="D15" s="191">
        <v>0.98174813692052387</v>
      </c>
      <c r="E15" s="191">
        <v>0.95302893575566106</v>
      </c>
      <c r="F15" s="191">
        <v>0.91907544923159512</v>
      </c>
      <c r="G15" s="191">
        <v>0.91907544920331841</v>
      </c>
      <c r="H15" s="191">
        <v>0.9441576232733333</v>
      </c>
      <c r="I15" s="213">
        <v>4.2365807375809341</v>
      </c>
      <c r="J15" s="280">
        <f>F17/F16</f>
        <v>1.0371571211365533</v>
      </c>
      <c r="K15" s="281">
        <f>G17/G16</f>
        <v>1.0371571214916879</v>
      </c>
      <c r="L15" s="57">
        <f>H17/H16</f>
        <v>1.0251389010095773</v>
      </c>
      <c r="N15" s="286"/>
      <c r="O15" s="286"/>
      <c r="P15" s="286"/>
      <c r="Q15" s="286"/>
      <c r="R15" s="286"/>
      <c r="S15" s="13"/>
      <c r="T15" s="13"/>
      <c r="U15" s="13"/>
      <c r="V15" s="13"/>
    </row>
    <row r="16" spans="1:22" x14ac:dyDescent="0.2">
      <c r="A16" s="16"/>
      <c r="B16" s="18" t="s">
        <v>1</v>
      </c>
      <c r="C16" s="70">
        <v>1</v>
      </c>
      <c r="D16" s="71">
        <v>0.97510168864729785</v>
      </c>
      <c r="E16" s="71">
        <v>0.93427961475802068</v>
      </c>
      <c r="F16" s="71">
        <v>0.90295982119749185</v>
      </c>
      <c r="G16" s="71">
        <v>0.90295982088803095</v>
      </c>
      <c r="H16" s="71">
        <v>0.93283902295592613</v>
      </c>
      <c r="I16" s="211">
        <v>4.2879852810241923</v>
      </c>
      <c r="J16" s="280"/>
      <c r="K16" s="281"/>
      <c r="L16" s="57"/>
      <c r="N16" s="286"/>
      <c r="O16" s="286"/>
      <c r="P16" s="286"/>
      <c r="Q16" s="286"/>
      <c r="R16" s="286"/>
      <c r="S16" s="13"/>
      <c r="T16" s="13"/>
      <c r="U16" s="13"/>
      <c r="V16" s="13"/>
    </row>
    <row r="17" spans="1:22" x14ac:dyDescent="0.2">
      <c r="A17" s="288"/>
      <c r="B17" s="17" t="s">
        <v>0</v>
      </c>
      <c r="C17" s="87">
        <v>1</v>
      </c>
      <c r="D17" s="175">
        <v>0.98873202952985362</v>
      </c>
      <c r="E17" s="175">
        <v>0.97339370448940077</v>
      </c>
      <c r="F17" s="175">
        <v>0.93651120865516757</v>
      </c>
      <c r="G17" s="175">
        <v>0.93651120865488025</v>
      </c>
      <c r="H17" s="175">
        <v>0.95628957081188593</v>
      </c>
      <c r="I17" s="212">
        <v>4.1828334451080718</v>
      </c>
      <c r="J17" s="280"/>
      <c r="K17" s="281"/>
      <c r="L17" s="57"/>
      <c r="N17" s="286"/>
      <c r="O17" s="286"/>
      <c r="P17" s="286"/>
      <c r="Q17" s="286"/>
      <c r="R17" s="286"/>
      <c r="S17" s="13"/>
      <c r="T17" s="13"/>
      <c r="U17" s="13"/>
      <c r="V17" s="13"/>
    </row>
    <row r="18" spans="1:22" x14ac:dyDescent="0.2">
      <c r="A18" s="287" t="s">
        <v>35</v>
      </c>
      <c r="B18" s="18" t="s">
        <v>2</v>
      </c>
      <c r="C18" s="70">
        <v>1</v>
      </c>
      <c r="D18" s="191">
        <v>0.96725293946166369</v>
      </c>
      <c r="E18" s="191">
        <v>0.90659804505466335</v>
      </c>
      <c r="F18" s="191">
        <v>0.84237883814969383</v>
      </c>
      <c r="G18" s="191">
        <v>0.84237883814785797</v>
      </c>
      <c r="H18" s="191">
        <v>0.9008097055726777</v>
      </c>
      <c r="I18" s="213">
        <v>4.4404494925563149</v>
      </c>
      <c r="J18" s="284">
        <f t="shared" ref="J18:L18" si="0">F20/F19</f>
        <v>1.0239874232162411</v>
      </c>
      <c r="K18" s="285">
        <f t="shared" si="0"/>
        <v>1.0239874232399584</v>
      </c>
      <c r="L18" s="64">
        <f t="shared" si="0"/>
        <v>1.0178803825728775</v>
      </c>
      <c r="N18" s="286"/>
      <c r="O18" s="286"/>
      <c r="P18" s="286"/>
      <c r="Q18" s="286"/>
      <c r="R18" s="286"/>
      <c r="S18" s="13"/>
      <c r="T18" s="13"/>
      <c r="U18" s="13"/>
      <c r="V18" s="13"/>
    </row>
    <row r="19" spans="1:22" x14ac:dyDescent="0.2">
      <c r="A19" s="16"/>
      <c r="B19" s="18" t="s">
        <v>1</v>
      </c>
      <c r="C19" s="70">
        <v>1</v>
      </c>
      <c r="D19" s="71">
        <v>0.9684170471841268</v>
      </c>
      <c r="E19" s="71">
        <v>0.89315410845345145</v>
      </c>
      <c r="F19" s="71">
        <v>0.83298654126178018</v>
      </c>
      <c r="G19" s="71">
        <v>0.83298654124245664</v>
      </c>
      <c r="H19" s="71">
        <v>0.89319505796696286</v>
      </c>
      <c r="I19" s="211">
        <v>4.4783051185981266</v>
      </c>
      <c r="J19" s="280"/>
      <c r="K19" s="281"/>
      <c r="L19" s="57"/>
      <c r="N19" s="286"/>
      <c r="O19" s="286"/>
      <c r="P19" s="286"/>
      <c r="Q19" s="286"/>
      <c r="R19" s="286"/>
      <c r="S19" s="13"/>
      <c r="T19" s="13"/>
      <c r="U19" s="13"/>
      <c r="V19" s="13"/>
    </row>
    <row r="20" spans="1:22" x14ac:dyDescent="0.2">
      <c r="A20" s="288"/>
      <c r="B20" s="17" t="s">
        <v>0</v>
      </c>
      <c r="C20" s="87">
        <v>1</v>
      </c>
      <c r="D20" s="175">
        <v>0.96603773584905661</v>
      </c>
      <c r="E20" s="175">
        <v>0.92175546308635048</v>
      </c>
      <c r="F20" s="175">
        <v>0.85296774196045932</v>
      </c>
      <c r="G20" s="175">
        <v>0.85296774196042846</v>
      </c>
      <c r="H20" s="175">
        <v>0.90916572731561573</v>
      </c>
      <c r="I20" s="212">
        <v>4.3996379095924771</v>
      </c>
      <c r="J20" s="282"/>
      <c r="K20" s="283"/>
      <c r="L20" s="63"/>
      <c r="N20" s="286"/>
      <c r="O20" s="286"/>
      <c r="P20" s="286"/>
      <c r="Q20" s="286"/>
      <c r="R20" s="286"/>
      <c r="S20" s="13"/>
      <c r="T20" s="13"/>
      <c r="U20" s="13"/>
      <c r="V20" s="13"/>
    </row>
    <row r="21" spans="1:22" x14ac:dyDescent="0.2">
      <c r="A21" s="287" t="s">
        <v>36</v>
      </c>
      <c r="B21" s="18" t="s">
        <v>2</v>
      </c>
      <c r="C21" s="70">
        <v>1</v>
      </c>
      <c r="D21" s="191">
        <v>0.96595659964145975</v>
      </c>
      <c r="E21" s="191">
        <v>0.91347022503186381</v>
      </c>
      <c r="F21" s="191">
        <v>0.86014855502156706</v>
      </c>
      <c r="G21" s="191">
        <v>0.86014855497262799</v>
      </c>
      <c r="H21" s="191">
        <v>0.90987952690747098</v>
      </c>
      <c r="I21" s="213">
        <v>4.3961863979897799</v>
      </c>
      <c r="J21" s="280">
        <f t="shared" ref="J21:L21" si="1">F23/F22</f>
        <v>1.0294577299264489</v>
      </c>
      <c r="K21" s="281">
        <f t="shared" si="1"/>
        <v>1.0294577304702615</v>
      </c>
      <c r="L21" s="57">
        <f t="shared" si="1"/>
        <v>1.0218978943032069</v>
      </c>
      <c r="N21" s="286"/>
      <c r="O21" s="286"/>
      <c r="P21" s="286"/>
      <c r="Q21" s="286"/>
      <c r="R21" s="286"/>
      <c r="S21" s="13"/>
      <c r="T21" s="13"/>
      <c r="U21" s="13"/>
      <c r="V21" s="13"/>
    </row>
    <row r="22" spans="1:22" x14ac:dyDescent="0.2">
      <c r="A22" s="16"/>
      <c r="B22" s="18" t="s">
        <v>1</v>
      </c>
      <c r="C22" s="70">
        <v>1</v>
      </c>
      <c r="D22" s="71">
        <v>0.96056503825433526</v>
      </c>
      <c r="E22" s="71">
        <v>0.89735084875495275</v>
      </c>
      <c r="F22" s="71">
        <v>0.84799483197261705</v>
      </c>
      <c r="G22" s="71">
        <v>0.84799483152368027</v>
      </c>
      <c r="H22" s="71">
        <v>0.9002221382621407</v>
      </c>
      <c r="I22" s="211">
        <v>4.4433477360620266</v>
      </c>
      <c r="J22" s="280"/>
      <c r="K22" s="281"/>
      <c r="L22" s="57"/>
      <c r="N22" s="286"/>
      <c r="O22" s="286"/>
      <c r="P22" s="286"/>
      <c r="Q22" s="286"/>
      <c r="R22" s="286"/>
      <c r="S22" s="13"/>
      <c r="T22" s="13"/>
      <c r="U22" s="13"/>
      <c r="V22" s="13"/>
    </row>
    <row r="23" spans="1:22" x14ac:dyDescent="0.2">
      <c r="A23" s="288"/>
      <c r="B23" s="17" t="s">
        <v>0</v>
      </c>
      <c r="C23" s="87">
        <v>1</v>
      </c>
      <c r="D23" s="175">
        <v>0.97150939583754214</v>
      </c>
      <c r="E23" s="175">
        <v>0.93059755547272049</v>
      </c>
      <c r="F23" s="175">
        <v>0.87297483471189075</v>
      </c>
      <c r="G23" s="175">
        <v>0.87297483471087955</v>
      </c>
      <c r="H23" s="175">
        <v>0.9199351074952119</v>
      </c>
      <c r="I23" s="212">
        <v>4.348132783942936</v>
      </c>
      <c r="J23" s="280"/>
      <c r="K23" s="281"/>
      <c r="L23" s="57"/>
      <c r="N23" s="286"/>
      <c r="O23" s="286"/>
      <c r="P23" s="286"/>
      <c r="Q23" s="286"/>
      <c r="R23" s="286"/>
      <c r="S23" s="13"/>
      <c r="T23" s="13"/>
      <c r="U23" s="13"/>
      <c r="V23" s="13"/>
    </row>
    <row r="24" spans="1:22" x14ac:dyDescent="0.2">
      <c r="A24" s="287" t="s">
        <v>37</v>
      </c>
      <c r="B24" s="18" t="s">
        <v>2</v>
      </c>
      <c r="C24" s="70">
        <v>1</v>
      </c>
      <c r="D24" s="191">
        <v>0.92910671462817374</v>
      </c>
      <c r="E24" s="191">
        <v>0.8268937984143353</v>
      </c>
      <c r="F24" s="191">
        <v>0.72135179807040362</v>
      </c>
      <c r="G24" s="191">
        <v>0.72135179805654759</v>
      </c>
      <c r="H24" s="191">
        <v>0.82134302068798193</v>
      </c>
      <c r="I24" s="213">
        <v>4.8700724292384905</v>
      </c>
      <c r="J24" s="284">
        <f t="shared" ref="J24:L24" si="2">F26/F25</f>
        <v>1.089467068563106</v>
      </c>
      <c r="K24" s="285">
        <f t="shared" si="2"/>
        <v>1.0894670687348904</v>
      </c>
      <c r="L24" s="64">
        <f t="shared" si="2"/>
        <v>1.0500422664741147</v>
      </c>
      <c r="N24" s="286"/>
      <c r="O24" s="286"/>
      <c r="P24" s="286"/>
      <c r="Q24" s="286"/>
      <c r="R24" s="286"/>
      <c r="S24" s="13"/>
      <c r="T24" s="13"/>
      <c r="U24" s="13"/>
      <c r="V24" s="13"/>
    </row>
    <row r="25" spans="1:22" x14ac:dyDescent="0.2">
      <c r="A25" s="16"/>
      <c r="B25" s="18" t="s">
        <v>1</v>
      </c>
      <c r="C25" s="70">
        <v>1</v>
      </c>
      <c r="D25" s="71">
        <v>0.91324482864804157</v>
      </c>
      <c r="E25" s="71">
        <v>0.79431863489553356</v>
      </c>
      <c r="F25" s="71">
        <v>0.6903264564236069</v>
      </c>
      <c r="G25" s="71">
        <v>0.69032645631412082</v>
      </c>
      <c r="H25" s="71">
        <v>0.80091275811988738</v>
      </c>
      <c r="I25" s="211">
        <v>4.9943017631406574</v>
      </c>
      <c r="J25" s="280"/>
      <c r="K25" s="281"/>
      <c r="L25" s="57"/>
      <c r="N25" s="286"/>
      <c r="O25" s="286"/>
      <c r="P25" s="286"/>
      <c r="Q25" s="286"/>
      <c r="R25" s="286"/>
      <c r="S25" s="13"/>
      <c r="T25" s="13"/>
      <c r="U25" s="13"/>
      <c r="V25" s="13"/>
    </row>
    <row r="26" spans="1:22" x14ac:dyDescent="0.2">
      <c r="A26" s="288"/>
      <c r="B26" s="17" t="s">
        <v>0</v>
      </c>
      <c r="C26" s="87">
        <v>1</v>
      </c>
      <c r="D26" s="175">
        <v>0.94407224002330281</v>
      </c>
      <c r="E26" s="175">
        <v>0.85897559060437167</v>
      </c>
      <c r="F26" s="175">
        <v>0.75208794083138375</v>
      </c>
      <c r="G26" s="175">
        <v>0.75208794083068953</v>
      </c>
      <c r="H26" s="175">
        <v>0.84099224778424098</v>
      </c>
      <c r="I26" s="212">
        <v>4.7562864111277889</v>
      </c>
      <c r="J26" s="282"/>
      <c r="K26" s="283"/>
      <c r="L26" s="63"/>
      <c r="N26" s="286"/>
      <c r="O26" s="286"/>
      <c r="P26" s="286"/>
      <c r="Q26" s="286"/>
      <c r="R26" s="286"/>
      <c r="S26" s="13"/>
      <c r="T26" s="13"/>
      <c r="U26" s="13"/>
      <c r="V26" s="13"/>
    </row>
    <row r="27" spans="1:22" x14ac:dyDescent="0.2">
      <c r="A27" s="287" t="s">
        <v>38</v>
      </c>
      <c r="B27" s="18" t="s">
        <v>2</v>
      </c>
      <c r="C27" s="131">
        <v>1</v>
      </c>
      <c r="D27" s="195">
        <v>0.96616151131296768</v>
      </c>
      <c r="E27" s="195">
        <v>0.91079437732583846</v>
      </c>
      <c r="F27" s="195">
        <v>0.85229520439850437</v>
      </c>
      <c r="G27" s="195">
        <v>0.84627191619995201</v>
      </c>
      <c r="H27" s="195">
        <v>0.89207461242514219</v>
      </c>
      <c r="I27" s="305">
        <v>4.4839298689667144</v>
      </c>
      <c r="J27" s="306">
        <f t="shared" ref="J27:L27" si="3">F29/F28</f>
        <v>1.0008528614028218</v>
      </c>
      <c r="K27" s="307">
        <f t="shared" si="3"/>
        <v>0.99796788586959473</v>
      </c>
      <c r="L27" s="124">
        <f t="shared" si="3"/>
        <v>1.0127044218541859</v>
      </c>
      <c r="N27" s="308"/>
      <c r="O27" s="308"/>
      <c r="P27" s="308"/>
      <c r="Q27" s="308"/>
      <c r="R27" s="308"/>
      <c r="S27" s="309"/>
      <c r="T27" s="309"/>
      <c r="U27" s="309"/>
      <c r="V27" s="309"/>
    </row>
    <row r="28" spans="1:22" ht="10.9" customHeight="1" x14ac:dyDescent="0.2">
      <c r="A28" s="310"/>
      <c r="B28" s="18" t="s">
        <v>1</v>
      </c>
      <c r="C28" s="131">
        <v>1</v>
      </c>
      <c r="D28" s="180">
        <v>0.96321885792854334</v>
      </c>
      <c r="E28" s="180">
        <v>0.90726341991887283</v>
      </c>
      <c r="F28" s="180">
        <v>0.85201400720572862</v>
      </c>
      <c r="G28" s="180">
        <v>0.84731125953584563</v>
      </c>
      <c r="H28" s="180">
        <v>0.88662482229074724</v>
      </c>
      <c r="I28" s="214">
        <v>4.5114911058606664</v>
      </c>
      <c r="J28" s="117"/>
      <c r="K28" s="311"/>
      <c r="L28" s="132"/>
      <c r="N28" s="308"/>
      <c r="O28" s="308"/>
      <c r="P28" s="308"/>
      <c r="Q28" s="308"/>
      <c r="R28" s="308"/>
      <c r="S28" s="309"/>
      <c r="T28" s="309"/>
      <c r="U28" s="309"/>
      <c r="V28" s="309"/>
    </row>
    <row r="29" spans="1:22" x14ac:dyDescent="0.2">
      <c r="A29" s="288"/>
      <c r="B29" s="17" t="s">
        <v>0</v>
      </c>
      <c r="C29" s="136">
        <v>1</v>
      </c>
      <c r="D29" s="182">
        <v>0.96923403352429316</v>
      </c>
      <c r="E29" s="182">
        <v>0.91448435144352569</v>
      </c>
      <c r="F29" s="182">
        <v>0.85274065706713786</v>
      </c>
      <c r="G29" s="182">
        <v>0.84558942635249135</v>
      </c>
      <c r="H29" s="182">
        <v>0.89788887805952156</v>
      </c>
      <c r="I29" s="225">
        <v>4.454894249992968</v>
      </c>
      <c r="J29" s="312"/>
      <c r="K29" s="313"/>
      <c r="L29" s="138"/>
      <c r="N29" s="308"/>
      <c r="O29" s="308"/>
      <c r="P29" s="308"/>
      <c r="Q29" s="308"/>
      <c r="R29" s="308"/>
      <c r="S29" s="309"/>
      <c r="T29" s="309"/>
      <c r="U29" s="309"/>
      <c r="V29" s="309"/>
    </row>
    <row r="30" spans="1:22" x14ac:dyDescent="0.2">
      <c r="A30" s="287" t="s">
        <v>39</v>
      </c>
      <c r="B30" s="18" t="s">
        <v>2</v>
      </c>
      <c r="C30" s="70">
        <v>1</v>
      </c>
      <c r="D30" s="191">
        <v>0.9999999999976561</v>
      </c>
      <c r="E30" s="191">
        <v>0.99999999986771704</v>
      </c>
      <c r="F30" s="191">
        <v>0.99999999885327884</v>
      </c>
      <c r="G30" s="191">
        <v>0.99999999692711483</v>
      </c>
      <c r="H30" s="191">
        <v>0.98049490371535597</v>
      </c>
      <c r="I30" s="213">
        <v>4.0795724535058122</v>
      </c>
      <c r="J30" s="284">
        <f t="shared" ref="J30:L30" si="4">F32/F31</f>
        <v>1.0000000129576012</v>
      </c>
      <c r="K30" s="285">
        <f t="shared" si="4"/>
        <v>1.0000000342357436</v>
      </c>
      <c r="L30" s="64">
        <f t="shared" si="4"/>
        <v>1.0199114038788151</v>
      </c>
      <c r="N30" s="286"/>
      <c r="O30" s="286"/>
      <c r="P30" s="286"/>
      <c r="Q30" s="286"/>
      <c r="R30" s="286"/>
      <c r="S30" s="13"/>
      <c r="T30" s="13"/>
      <c r="U30" s="13"/>
      <c r="V30" s="13"/>
    </row>
    <row r="31" spans="1:22" x14ac:dyDescent="0.2">
      <c r="A31" s="16"/>
      <c r="B31" s="18" t="s">
        <v>1</v>
      </c>
      <c r="C31" s="70">
        <v>1</v>
      </c>
      <c r="D31" s="71">
        <v>0.99999999993484412</v>
      </c>
      <c r="E31" s="71">
        <v>0.99999999777573012</v>
      </c>
      <c r="F31" s="71">
        <v>0.99999998702060244</v>
      </c>
      <c r="G31" s="71">
        <v>0.99999996570507088</v>
      </c>
      <c r="H31" s="71">
        <v>0.97067954765713171</v>
      </c>
      <c r="I31" s="211">
        <v>4.1208244365038382</v>
      </c>
      <c r="J31" s="280"/>
      <c r="K31" s="281"/>
      <c r="L31" s="57"/>
      <c r="N31" s="286"/>
      <c r="O31" s="286"/>
      <c r="P31" s="286"/>
      <c r="Q31" s="286"/>
      <c r="R31" s="286"/>
      <c r="S31" s="13"/>
      <c r="T31" s="13"/>
      <c r="U31" s="13"/>
      <c r="V31" s="13"/>
    </row>
    <row r="32" spans="1:22" x14ac:dyDescent="0.2">
      <c r="A32" s="288"/>
      <c r="B32" s="17" t="s">
        <v>0</v>
      </c>
      <c r="C32" s="87">
        <v>1</v>
      </c>
      <c r="D32" s="175">
        <v>0.99999999999999689</v>
      </c>
      <c r="E32" s="175">
        <v>0.99999999999932709</v>
      </c>
      <c r="F32" s="175">
        <v>0.99999999997820355</v>
      </c>
      <c r="G32" s="175">
        <v>0.99999999994081334</v>
      </c>
      <c r="H32" s="175">
        <v>0.9900071401674384</v>
      </c>
      <c r="I32" s="212">
        <v>4.0403749000471718</v>
      </c>
      <c r="J32" s="282"/>
      <c r="K32" s="283"/>
      <c r="L32" s="63"/>
      <c r="N32" s="286"/>
      <c r="O32" s="286"/>
      <c r="P32" s="286"/>
      <c r="Q32" s="286"/>
      <c r="R32" s="286"/>
      <c r="S32" s="13"/>
      <c r="T32" s="13"/>
      <c r="U32" s="13"/>
      <c r="V32" s="13"/>
    </row>
    <row r="33" spans="1:22" ht="10.15" customHeight="1" x14ac:dyDescent="0.2">
      <c r="A33" s="287" t="s">
        <v>40</v>
      </c>
      <c r="B33" s="18" t="s">
        <v>2</v>
      </c>
      <c r="C33" s="70">
        <v>1</v>
      </c>
      <c r="D33" s="191">
        <v>0.99999999999433986</v>
      </c>
      <c r="E33" s="191">
        <v>0.98763462281711667</v>
      </c>
      <c r="F33" s="191">
        <v>0.97294539333118923</v>
      </c>
      <c r="G33" s="191">
        <v>0.96612193031420401</v>
      </c>
      <c r="H33" s="191">
        <v>0.95742884786587479</v>
      </c>
      <c r="I33" s="213">
        <v>4.1778561497452973</v>
      </c>
      <c r="J33" s="284">
        <f t="shared" ref="J33:L33" si="5">F35/F34</f>
        <v>1.0480698988956667</v>
      </c>
      <c r="K33" s="285">
        <f t="shared" si="5"/>
        <v>1.0540244555620688</v>
      </c>
      <c r="L33" s="64">
        <f t="shared" si="5"/>
        <v>1.0624436089682867</v>
      </c>
      <c r="N33" s="286"/>
      <c r="O33" s="286"/>
      <c r="P33" s="286"/>
      <c r="Q33" s="286"/>
      <c r="R33" s="286"/>
      <c r="S33" s="13"/>
      <c r="T33" s="13"/>
      <c r="U33" s="13"/>
      <c r="V33" s="13"/>
    </row>
    <row r="34" spans="1:22" x14ac:dyDescent="0.2">
      <c r="A34" s="16"/>
      <c r="B34" s="18" t="s">
        <v>1</v>
      </c>
      <c r="C34" s="70">
        <v>1</v>
      </c>
      <c r="D34" s="71">
        <v>0.99999999974060538</v>
      </c>
      <c r="E34" s="71">
        <v>0.98060511386713767</v>
      </c>
      <c r="F34" s="71">
        <v>0.94943466334955096</v>
      </c>
      <c r="G34" s="71">
        <v>0.94013406157381807</v>
      </c>
      <c r="H34" s="71">
        <v>0.92814018906673912</v>
      </c>
      <c r="I34" s="211">
        <v>4.3096937802273905</v>
      </c>
      <c r="J34" s="280"/>
      <c r="K34" s="281"/>
      <c r="L34" s="57"/>
      <c r="N34" s="286"/>
      <c r="O34" s="286"/>
      <c r="P34" s="286"/>
      <c r="Q34" s="286"/>
      <c r="R34" s="286"/>
      <c r="S34" s="13"/>
      <c r="T34" s="13"/>
      <c r="U34" s="13"/>
      <c r="V34" s="13"/>
    </row>
    <row r="35" spans="1:22" x14ac:dyDescent="0.2">
      <c r="A35" s="288"/>
      <c r="B35" s="17" t="s">
        <v>0</v>
      </c>
      <c r="C35" s="87">
        <v>1</v>
      </c>
      <c r="D35" s="175">
        <v>0.99999999999999889</v>
      </c>
      <c r="E35" s="175">
        <v>0.99507389162546045</v>
      </c>
      <c r="F35" s="175">
        <v>0.9950738916248052</v>
      </c>
      <c r="G35" s="175">
        <v>0.99092429240570012</v>
      </c>
      <c r="H35" s="175">
        <v>0.9860966121005742</v>
      </c>
      <c r="I35" s="212">
        <v>4.0563976702842899</v>
      </c>
      <c r="J35" s="282"/>
      <c r="K35" s="283"/>
      <c r="L35" s="63"/>
      <c r="N35" s="286"/>
      <c r="O35" s="286"/>
      <c r="P35" s="286"/>
      <c r="Q35" s="286"/>
      <c r="R35" s="286"/>
      <c r="S35" s="13"/>
      <c r="T35" s="13"/>
      <c r="U35" s="13"/>
      <c r="V35" s="13"/>
    </row>
    <row r="36" spans="1:22" x14ac:dyDescent="0.2">
      <c r="A36" s="287" t="s">
        <v>41</v>
      </c>
      <c r="B36" s="18" t="s">
        <v>2</v>
      </c>
      <c r="C36" s="131">
        <v>1</v>
      </c>
      <c r="D36" s="195">
        <v>0.96702317289705675</v>
      </c>
      <c r="E36" s="195">
        <v>0.9353863402947068</v>
      </c>
      <c r="F36" s="195">
        <v>0.88523923700567386</v>
      </c>
      <c r="G36" s="195">
        <v>0.85822945813922502</v>
      </c>
      <c r="H36" s="195">
        <v>0.88394826378538682</v>
      </c>
      <c r="I36" s="305">
        <v>4.5251517129187517</v>
      </c>
      <c r="J36" s="306">
        <f t="shared" ref="J36:L36" si="6">F38/F37</f>
        <v>1.0937105494461583</v>
      </c>
      <c r="K36" s="307">
        <f t="shared" si="6"/>
        <v>1.0864888115628959</v>
      </c>
      <c r="L36" s="124">
        <f t="shared" si="6"/>
        <v>1.071789294906361</v>
      </c>
      <c r="N36" s="308"/>
      <c r="O36" s="308"/>
      <c r="P36" s="308"/>
      <c r="Q36" s="308"/>
      <c r="R36" s="308"/>
      <c r="S36" s="309"/>
      <c r="T36" s="309"/>
      <c r="U36" s="309"/>
      <c r="V36" s="309"/>
    </row>
    <row r="37" spans="1:22" ht="12" x14ac:dyDescent="0.2">
      <c r="A37" s="310"/>
      <c r="B37" s="18" t="s">
        <v>1</v>
      </c>
      <c r="C37" s="131">
        <v>1</v>
      </c>
      <c r="D37" s="180">
        <v>0.95727554157084183</v>
      </c>
      <c r="E37" s="180">
        <v>0.91383894889647443</v>
      </c>
      <c r="F37" s="180">
        <v>0.84594224595729961</v>
      </c>
      <c r="G37" s="180">
        <v>0.82307889227415898</v>
      </c>
      <c r="H37" s="180">
        <v>0.8535090942101784</v>
      </c>
      <c r="I37" s="214">
        <v>4.6865347154871575</v>
      </c>
      <c r="J37" s="117"/>
      <c r="K37" s="311"/>
      <c r="L37" s="132"/>
      <c r="N37" s="308"/>
      <c r="O37" s="308"/>
      <c r="P37" s="308"/>
      <c r="Q37" s="308"/>
      <c r="R37" s="308"/>
      <c r="S37" s="309"/>
      <c r="T37" s="309"/>
      <c r="U37" s="309"/>
      <c r="V37" s="309"/>
    </row>
    <row r="38" spans="1:22" x14ac:dyDescent="0.2">
      <c r="A38" s="288"/>
      <c r="B38" s="17" t="s">
        <v>0</v>
      </c>
      <c r="C38" s="136">
        <v>1</v>
      </c>
      <c r="D38" s="182">
        <v>0.97601370645343233</v>
      </c>
      <c r="E38" s="182">
        <v>0.95632466914516634</v>
      </c>
      <c r="F38" s="182">
        <v>0.92521595862567529</v>
      </c>
      <c r="G38" s="182">
        <v>0.89426600748945584</v>
      </c>
      <c r="H38" s="182">
        <v>0.91478191027969402</v>
      </c>
      <c r="I38" s="225">
        <v>4.3726269125468411</v>
      </c>
      <c r="J38" s="312"/>
      <c r="K38" s="313"/>
      <c r="L38" s="138"/>
      <c r="N38" s="308"/>
      <c r="O38" s="308"/>
      <c r="P38" s="308"/>
      <c r="Q38" s="308"/>
      <c r="R38" s="308"/>
      <c r="S38" s="309"/>
      <c r="T38" s="309"/>
      <c r="U38" s="309"/>
      <c r="V38" s="309"/>
    </row>
    <row r="39" spans="1:22" x14ac:dyDescent="0.2">
      <c r="A39" s="287" t="s">
        <v>42</v>
      </c>
      <c r="B39" s="18" t="s">
        <v>2</v>
      </c>
      <c r="C39" s="70">
        <v>1</v>
      </c>
      <c r="D39" s="191">
        <v>0.99999999999999623</v>
      </c>
      <c r="E39" s="191">
        <v>0.99999999999952294</v>
      </c>
      <c r="F39" s="191">
        <v>0.99467258601199582</v>
      </c>
      <c r="G39" s="191">
        <v>0.99467258600528552</v>
      </c>
      <c r="H39" s="191">
        <v>0.98828302802384327</v>
      </c>
      <c r="I39" s="213">
        <v>4.0474235482909622</v>
      </c>
      <c r="J39" s="284">
        <f t="shared" ref="J39:L39" si="7">F41/F40</f>
        <v>1.0233225087645417</v>
      </c>
      <c r="K39" s="285">
        <f t="shared" si="7"/>
        <v>1.0233225088444653</v>
      </c>
      <c r="L39" s="64">
        <f t="shared" si="7"/>
        <v>1.0236674536993247</v>
      </c>
      <c r="N39" s="286"/>
      <c r="O39" s="286"/>
      <c r="P39" s="286"/>
      <c r="Q39" s="286"/>
      <c r="R39" s="286"/>
      <c r="S39" s="13"/>
      <c r="T39" s="13"/>
      <c r="U39" s="13"/>
      <c r="V39" s="13"/>
    </row>
    <row r="40" spans="1:22" x14ac:dyDescent="0.2">
      <c r="A40" s="16"/>
      <c r="B40" s="18" t="s">
        <v>1</v>
      </c>
      <c r="C40" s="70">
        <v>1</v>
      </c>
      <c r="D40" s="71">
        <v>0.9999999999998489</v>
      </c>
      <c r="E40" s="71">
        <v>0.99076923075862355</v>
      </c>
      <c r="F40" s="71">
        <v>0.97720903374563184</v>
      </c>
      <c r="G40" s="71">
        <v>0.97720903366921252</v>
      </c>
      <c r="H40" s="71">
        <v>0.97340380598281984</v>
      </c>
      <c r="I40" s="211">
        <v>4.1092915143898647</v>
      </c>
      <c r="J40" s="280"/>
      <c r="K40" s="281"/>
      <c r="L40" s="57"/>
      <c r="N40" s="286"/>
      <c r="O40" s="286"/>
      <c r="P40" s="286"/>
      <c r="Q40" s="286"/>
      <c r="R40" s="286"/>
      <c r="S40" s="13"/>
      <c r="T40" s="13"/>
      <c r="U40" s="13"/>
      <c r="V40" s="13"/>
    </row>
    <row r="41" spans="1:22" x14ac:dyDescent="0.2">
      <c r="A41" s="288"/>
      <c r="B41" s="17" t="s">
        <v>0</v>
      </c>
      <c r="C41" s="87">
        <v>1</v>
      </c>
      <c r="D41" s="175">
        <v>1</v>
      </c>
      <c r="E41" s="175">
        <v>0.99999999999999944</v>
      </c>
      <c r="F41" s="175">
        <v>0.99999999999995359</v>
      </c>
      <c r="G41" s="175">
        <v>0.99999999999985412</v>
      </c>
      <c r="H41" s="175">
        <v>0.99644179549166467</v>
      </c>
      <c r="I41" s="212">
        <v>4.014283642153246</v>
      </c>
      <c r="J41" s="282"/>
      <c r="K41" s="283"/>
      <c r="L41" s="63"/>
      <c r="N41" s="286"/>
      <c r="O41" s="286"/>
      <c r="P41" s="286"/>
      <c r="Q41" s="286"/>
      <c r="R41" s="286"/>
      <c r="S41" s="13"/>
      <c r="T41" s="13"/>
      <c r="U41" s="13"/>
      <c r="V41" s="13"/>
    </row>
    <row r="42" spans="1:22" x14ac:dyDescent="0.2">
      <c r="A42" s="287" t="s">
        <v>43</v>
      </c>
      <c r="B42" s="18" t="s">
        <v>2</v>
      </c>
      <c r="C42" s="70">
        <v>1</v>
      </c>
      <c r="D42" s="191">
        <v>0.99999999999998679</v>
      </c>
      <c r="E42" s="191">
        <v>0.9999999999986946</v>
      </c>
      <c r="F42" s="191">
        <v>0.99653106274910863</v>
      </c>
      <c r="G42" s="191">
        <v>0.99653106273815184</v>
      </c>
      <c r="H42" s="191">
        <v>0.98902442873519059</v>
      </c>
      <c r="I42" s="213">
        <v>4.0443894850154329</v>
      </c>
      <c r="J42" s="284">
        <f t="shared" ref="J42:L42" si="8">F44/F43</f>
        <v>1.0108142779483691</v>
      </c>
      <c r="K42" s="285">
        <f t="shared" si="8"/>
        <v>1.0108142780299842</v>
      </c>
      <c r="L42" s="64">
        <f t="shared" si="8"/>
        <v>1.0143769300624197</v>
      </c>
      <c r="N42" s="286"/>
      <c r="O42" s="286"/>
      <c r="P42" s="286"/>
      <c r="Q42" s="286"/>
      <c r="R42" s="286"/>
      <c r="S42" s="13"/>
      <c r="T42" s="13"/>
      <c r="U42" s="13"/>
      <c r="V42" s="13"/>
    </row>
    <row r="43" spans="1:22" x14ac:dyDescent="0.2">
      <c r="A43" s="16"/>
      <c r="B43" s="18" t="s">
        <v>1</v>
      </c>
      <c r="C43" s="70">
        <v>1</v>
      </c>
      <c r="D43" s="71">
        <v>0.99999999999990385</v>
      </c>
      <c r="E43" s="71">
        <v>0.99617590821436974</v>
      </c>
      <c r="F43" s="71">
        <v>0.98930141947466788</v>
      </c>
      <c r="G43" s="71">
        <v>0.98930141939432115</v>
      </c>
      <c r="H43" s="71">
        <v>0.9810870408080119</v>
      </c>
      <c r="I43" s="211">
        <v>4.0771102191969089</v>
      </c>
      <c r="J43" s="280"/>
      <c r="K43" s="281"/>
      <c r="L43" s="57"/>
      <c r="N43" s="286"/>
      <c r="O43" s="286"/>
      <c r="P43" s="286"/>
      <c r="Q43" s="286"/>
      <c r="R43" s="286"/>
      <c r="S43" s="13"/>
      <c r="T43" s="13"/>
      <c r="U43" s="13"/>
      <c r="V43" s="13"/>
    </row>
    <row r="44" spans="1:22" x14ac:dyDescent="0.2">
      <c r="A44" s="288"/>
      <c r="B44" s="17" t="s">
        <v>0</v>
      </c>
      <c r="C44" s="87">
        <v>1</v>
      </c>
      <c r="D44" s="175">
        <v>0.99999999999999933</v>
      </c>
      <c r="E44" s="175">
        <v>0.99999999999990785</v>
      </c>
      <c r="F44" s="175">
        <v>0.99999999999958311</v>
      </c>
      <c r="G44" s="175">
        <v>0.99999999999910938</v>
      </c>
      <c r="H44" s="175">
        <v>0.9951920605788549</v>
      </c>
      <c r="I44" s="212">
        <v>4.0193246695249902</v>
      </c>
      <c r="J44" s="282"/>
      <c r="K44" s="283"/>
      <c r="L44" s="63"/>
      <c r="N44" s="286"/>
      <c r="O44" s="286"/>
      <c r="P44" s="286"/>
      <c r="Q44" s="286"/>
      <c r="R44" s="286"/>
      <c r="S44" s="13"/>
      <c r="T44" s="13"/>
      <c r="U44" s="13"/>
      <c r="V44" s="13"/>
    </row>
    <row r="45" spans="1:22" x14ac:dyDescent="0.2">
      <c r="A45" s="289" t="s">
        <v>3</v>
      </c>
      <c r="B45" s="290" t="s">
        <v>2</v>
      </c>
      <c r="C45" s="98">
        <v>1</v>
      </c>
      <c r="D45" s="91">
        <v>0.99075072659795016</v>
      </c>
      <c r="E45" s="91">
        <v>0.96297472498397163</v>
      </c>
      <c r="F45" s="91">
        <v>0.92997140225211095</v>
      </c>
      <c r="G45" s="91">
        <v>0.92997140217606167</v>
      </c>
      <c r="H45" s="91">
        <v>0.94614258113322491</v>
      </c>
      <c r="I45" s="94">
        <v>4.2276926118356002</v>
      </c>
      <c r="J45" s="291">
        <f t="shared" ref="J45:L45" si="9">F47/F46</f>
        <v>1.0254005513423883</v>
      </c>
      <c r="K45" s="292">
        <f t="shared" si="9"/>
        <v>1.0254005521002216</v>
      </c>
      <c r="L45" s="95">
        <f t="shared" si="9"/>
        <v>1.0220106940421219</v>
      </c>
      <c r="N45" s="286"/>
      <c r="O45" s="286"/>
      <c r="P45" s="286"/>
      <c r="Q45" s="286"/>
      <c r="R45" s="286"/>
      <c r="S45" s="13"/>
      <c r="T45" s="13"/>
      <c r="U45" s="13"/>
      <c r="V45" s="13"/>
    </row>
    <row r="46" spans="1:22" x14ac:dyDescent="0.2">
      <c r="A46" s="293"/>
      <c r="B46" s="290" t="s">
        <v>1</v>
      </c>
      <c r="C46" s="98">
        <v>1</v>
      </c>
      <c r="D46" s="99">
        <v>0.98680996580166169</v>
      </c>
      <c r="E46" s="99">
        <v>0.95073122886782979</v>
      </c>
      <c r="F46" s="99">
        <v>0.9185173295029665</v>
      </c>
      <c r="G46" s="99">
        <v>0.91851732882225379</v>
      </c>
      <c r="H46" s="99">
        <v>0.93598012464542113</v>
      </c>
      <c r="I46" s="101">
        <v>4.2735950205302986</v>
      </c>
      <c r="J46" s="294"/>
      <c r="K46" s="295"/>
      <c r="L46" s="102"/>
      <c r="N46" s="286"/>
      <c r="O46" s="286"/>
      <c r="P46" s="286"/>
      <c r="Q46" s="286"/>
      <c r="R46" s="286"/>
      <c r="S46" s="13"/>
      <c r="T46" s="13"/>
      <c r="U46" s="13"/>
      <c r="V46" s="13"/>
    </row>
    <row r="47" spans="1:22" ht="12" thickBot="1" x14ac:dyDescent="0.25">
      <c r="A47" s="296"/>
      <c r="B47" s="297" t="s">
        <v>0</v>
      </c>
      <c r="C47" s="105">
        <v>1</v>
      </c>
      <c r="D47" s="106">
        <v>0.99477329393295721</v>
      </c>
      <c r="E47" s="106">
        <v>0.97567403654662488</v>
      </c>
      <c r="F47" s="106">
        <v>0.94184817608987992</v>
      </c>
      <c r="G47" s="106">
        <v>0.9418481760879599</v>
      </c>
      <c r="H47" s="106">
        <v>0.95658169679849858</v>
      </c>
      <c r="I47" s="108">
        <v>4.181556069269627</v>
      </c>
      <c r="J47" s="298"/>
      <c r="K47" s="299"/>
      <c r="L47" s="109"/>
      <c r="N47" s="286"/>
      <c r="O47" s="286"/>
      <c r="P47" s="286"/>
      <c r="Q47" s="286"/>
      <c r="R47" s="286"/>
      <c r="S47" s="13"/>
      <c r="T47" s="13"/>
      <c r="U47" s="13"/>
      <c r="V47" s="13"/>
    </row>
    <row r="48" spans="1:22" x14ac:dyDescent="0.2">
      <c r="A48" s="110"/>
    </row>
  </sheetData>
  <sheetProtection algorithmName="SHA-512" hashValue="1X7RK16xIktaQAuwDWdQbRIfXAtzm1waRj7mfLgwkrMn4EfaizSxK+SPrGnvwX/66KxrK4JqC/dWmrQ0eNIzHw==" saltValue="naRi0SdN5KwjtmARbnyXpw==" spinCount="100000" sheet="1" objects="1" scenarios="1"/>
  <mergeCells count="8">
    <mergeCell ref="B10:B11"/>
    <mergeCell ref="C10:E10"/>
    <mergeCell ref="N10:O10"/>
    <mergeCell ref="A1:L1"/>
    <mergeCell ref="A2:L2"/>
    <mergeCell ref="A3:L3"/>
    <mergeCell ref="A4:L4"/>
    <mergeCell ref="A5:L5"/>
  </mergeCells>
  <printOptions horizontalCentered="1"/>
  <pageMargins left="0" right="0" top="1" bottom="0.5" header="0.5" footer="0.35"/>
  <pageSetup paperSize="9" scale="71" orientation="portrait" horizontalDpi="300" verticalDpi="300" r:id="rId1"/>
  <headerFooter alignWithMargins="0">
    <oddFooter>&amp;C&amp;8Page &amp;P of &amp;N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pageSetUpPr fitToPage="1"/>
  </sheetPr>
  <dimension ref="A1:N48"/>
  <sheetViews>
    <sheetView showGridLines="0" zoomScaleNormal="100" workbookViewId="0">
      <pane xSplit="2" ySplit="8" topLeftCell="C9" activePane="bottomRight" state="frozen"/>
      <selection activeCell="N9" sqref="N9:X9"/>
      <selection pane="topRight" activeCell="N9" sqref="N9:X9"/>
      <selection pane="bottomLeft" activeCell="N9" sqref="N9:X9"/>
      <selection pane="bottomRight" activeCell="E52" sqref="E52"/>
    </sheetView>
  </sheetViews>
  <sheetFormatPr defaultRowHeight="11.25" x14ac:dyDescent="0.2"/>
  <cols>
    <col min="1" max="1" width="44.28515625" style="314" customWidth="1"/>
    <col min="2" max="2" width="10.42578125" style="12" bestFit="1" customWidth="1"/>
    <col min="3" max="5" width="7.7109375" style="263" customWidth="1"/>
    <col min="6" max="6" width="9.5703125" style="263" bestFit="1" customWidth="1"/>
    <col min="7" max="7" width="11.28515625" style="263" customWidth="1"/>
    <col min="8" max="8" width="10.7109375" style="13" customWidth="1"/>
    <col min="9" max="233" width="8.85546875" style="12"/>
    <col min="234" max="234" width="23.7109375" style="12" customWidth="1"/>
    <col min="235" max="235" width="10.7109375" style="12" customWidth="1"/>
    <col min="236" max="239" width="8.7109375" style="12" customWidth="1"/>
    <col min="240" max="240" width="11" style="12" customWidth="1"/>
    <col min="241" max="241" width="10.7109375" style="12" customWidth="1"/>
    <col min="242" max="243" width="8.85546875" style="12"/>
    <col min="244" max="247" width="8.7109375" style="12" customWidth="1"/>
    <col min="248" max="248" width="11.42578125" style="12" customWidth="1"/>
    <col min="249" max="251" width="8.85546875" style="12"/>
    <col min="252" max="255" width="8.7109375" style="12" customWidth="1"/>
    <col min="256" max="256" width="11" style="12" customWidth="1"/>
    <col min="257" max="257" width="9.7109375" style="12" customWidth="1"/>
    <col min="258" max="489" width="8.85546875" style="12"/>
    <col min="490" max="490" width="23.7109375" style="12" customWidth="1"/>
    <col min="491" max="491" width="10.7109375" style="12" customWidth="1"/>
    <col min="492" max="495" width="8.7109375" style="12" customWidth="1"/>
    <col min="496" max="496" width="11" style="12" customWidth="1"/>
    <col min="497" max="497" width="10.7109375" style="12" customWidth="1"/>
    <col min="498" max="499" width="8.85546875" style="12"/>
    <col min="500" max="503" width="8.7109375" style="12" customWidth="1"/>
    <col min="504" max="504" width="11.42578125" style="12" customWidth="1"/>
    <col min="505" max="507" width="8.85546875" style="12"/>
    <col min="508" max="511" width="8.7109375" style="12" customWidth="1"/>
    <col min="512" max="512" width="11" style="12" customWidth="1"/>
    <col min="513" max="513" width="9.7109375" style="12" customWidth="1"/>
    <col min="514" max="745" width="8.85546875" style="12"/>
    <col min="746" max="746" width="23.7109375" style="12" customWidth="1"/>
    <col min="747" max="747" width="10.7109375" style="12" customWidth="1"/>
    <col min="748" max="751" width="8.7109375" style="12" customWidth="1"/>
    <col min="752" max="752" width="11" style="12" customWidth="1"/>
    <col min="753" max="753" width="10.7109375" style="12" customWidth="1"/>
    <col min="754" max="755" width="8.85546875" style="12"/>
    <col min="756" max="759" width="8.7109375" style="12" customWidth="1"/>
    <col min="760" max="760" width="11.42578125" style="12" customWidth="1"/>
    <col min="761" max="763" width="8.85546875" style="12"/>
    <col min="764" max="767" width="8.7109375" style="12" customWidth="1"/>
    <col min="768" max="768" width="11" style="12" customWidth="1"/>
    <col min="769" max="769" width="9.7109375" style="12" customWidth="1"/>
    <col min="770" max="1001" width="8.85546875" style="12"/>
    <col min="1002" max="1002" width="23.7109375" style="12" customWidth="1"/>
    <col min="1003" max="1003" width="10.7109375" style="12" customWidth="1"/>
    <col min="1004" max="1007" width="8.7109375" style="12" customWidth="1"/>
    <col min="1008" max="1008" width="11" style="12" customWidth="1"/>
    <col min="1009" max="1009" width="10.7109375" style="12" customWidth="1"/>
    <col min="1010" max="1011" width="8.85546875" style="12"/>
    <col min="1012" max="1015" width="8.7109375" style="12" customWidth="1"/>
    <col min="1016" max="1016" width="11.42578125" style="12" customWidth="1"/>
    <col min="1017" max="1019" width="8.85546875" style="12"/>
    <col min="1020" max="1023" width="8.7109375" style="12" customWidth="1"/>
    <col min="1024" max="1024" width="11" style="12" customWidth="1"/>
    <col min="1025" max="1025" width="9.7109375" style="12" customWidth="1"/>
    <col min="1026" max="1257" width="8.85546875" style="12"/>
    <col min="1258" max="1258" width="23.7109375" style="12" customWidth="1"/>
    <col min="1259" max="1259" width="10.7109375" style="12" customWidth="1"/>
    <col min="1260" max="1263" width="8.7109375" style="12" customWidth="1"/>
    <col min="1264" max="1264" width="11" style="12" customWidth="1"/>
    <col min="1265" max="1265" width="10.7109375" style="12" customWidth="1"/>
    <col min="1266" max="1267" width="8.85546875" style="12"/>
    <col min="1268" max="1271" width="8.7109375" style="12" customWidth="1"/>
    <col min="1272" max="1272" width="11.42578125" style="12" customWidth="1"/>
    <col min="1273" max="1275" width="8.85546875" style="12"/>
    <col min="1276" max="1279" width="8.7109375" style="12" customWidth="1"/>
    <col min="1280" max="1280" width="11" style="12" customWidth="1"/>
    <col min="1281" max="1281" width="9.7109375" style="12" customWidth="1"/>
    <col min="1282" max="1513" width="8.85546875" style="12"/>
    <col min="1514" max="1514" width="23.7109375" style="12" customWidth="1"/>
    <col min="1515" max="1515" width="10.7109375" style="12" customWidth="1"/>
    <col min="1516" max="1519" width="8.7109375" style="12" customWidth="1"/>
    <col min="1520" max="1520" width="11" style="12" customWidth="1"/>
    <col min="1521" max="1521" width="10.7109375" style="12" customWidth="1"/>
    <col min="1522" max="1523" width="8.85546875" style="12"/>
    <col min="1524" max="1527" width="8.7109375" style="12" customWidth="1"/>
    <col min="1528" max="1528" width="11.42578125" style="12" customWidth="1"/>
    <col min="1529" max="1531" width="8.85546875" style="12"/>
    <col min="1532" max="1535" width="8.7109375" style="12" customWidth="1"/>
    <col min="1536" max="1536" width="11" style="12" customWidth="1"/>
    <col min="1537" max="1537" width="9.7109375" style="12" customWidth="1"/>
    <col min="1538" max="1769" width="8.85546875" style="12"/>
    <col min="1770" max="1770" width="23.7109375" style="12" customWidth="1"/>
    <col min="1771" max="1771" width="10.7109375" style="12" customWidth="1"/>
    <col min="1772" max="1775" width="8.7109375" style="12" customWidth="1"/>
    <col min="1776" max="1776" width="11" style="12" customWidth="1"/>
    <col min="1777" max="1777" width="10.7109375" style="12" customWidth="1"/>
    <col min="1778" max="1779" width="8.85546875" style="12"/>
    <col min="1780" max="1783" width="8.7109375" style="12" customWidth="1"/>
    <col min="1784" max="1784" width="11.42578125" style="12" customWidth="1"/>
    <col min="1785" max="1787" width="8.85546875" style="12"/>
    <col min="1788" max="1791" width="8.7109375" style="12" customWidth="1"/>
    <col min="1792" max="1792" width="11" style="12" customWidth="1"/>
    <col min="1793" max="1793" width="9.7109375" style="12" customWidth="1"/>
    <col min="1794" max="2025" width="8.85546875" style="12"/>
    <col min="2026" max="2026" width="23.7109375" style="12" customWidth="1"/>
    <col min="2027" max="2027" width="10.7109375" style="12" customWidth="1"/>
    <col min="2028" max="2031" width="8.7109375" style="12" customWidth="1"/>
    <col min="2032" max="2032" width="11" style="12" customWidth="1"/>
    <col min="2033" max="2033" width="10.7109375" style="12" customWidth="1"/>
    <col min="2034" max="2035" width="8.85546875" style="12"/>
    <col min="2036" max="2039" width="8.7109375" style="12" customWidth="1"/>
    <col min="2040" max="2040" width="11.42578125" style="12" customWidth="1"/>
    <col min="2041" max="2043" width="8.85546875" style="12"/>
    <col min="2044" max="2047" width="8.7109375" style="12" customWidth="1"/>
    <col min="2048" max="2048" width="11" style="12" customWidth="1"/>
    <col min="2049" max="2049" width="9.7109375" style="12" customWidth="1"/>
    <col min="2050" max="2281" width="8.85546875" style="12"/>
    <col min="2282" max="2282" width="23.7109375" style="12" customWidth="1"/>
    <col min="2283" max="2283" width="10.7109375" style="12" customWidth="1"/>
    <col min="2284" max="2287" width="8.7109375" style="12" customWidth="1"/>
    <col min="2288" max="2288" width="11" style="12" customWidth="1"/>
    <col min="2289" max="2289" width="10.7109375" style="12" customWidth="1"/>
    <col min="2290" max="2291" width="8.85546875" style="12"/>
    <col min="2292" max="2295" width="8.7109375" style="12" customWidth="1"/>
    <col min="2296" max="2296" width="11.42578125" style="12" customWidth="1"/>
    <col min="2297" max="2299" width="8.85546875" style="12"/>
    <col min="2300" max="2303" width="8.7109375" style="12" customWidth="1"/>
    <col min="2304" max="2304" width="11" style="12" customWidth="1"/>
    <col min="2305" max="2305" width="9.7109375" style="12" customWidth="1"/>
    <col min="2306" max="2537" width="8.85546875" style="12"/>
    <col min="2538" max="2538" width="23.7109375" style="12" customWidth="1"/>
    <col min="2539" max="2539" width="10.7109375" style="12" customWidth="1"/>
    <col min="2540" max="2543" width="8.7109375" style="12" customWidth="1"/>
    <col min="2544" max="2544" width="11" style="12" customWidth="1"/>
    <col min="2545" max="2545" width="10.7109375" style="12" customWidth="1"/>
    <col min="2546" max="2547" width="8.85546875" style="12"/>
    <col min="2548" max="2551" width="8.7109375" style="12" customWidth="1"/>
    <col min="2552" max="2552" width="11.42578125" style="12" customWidth="1"/>
    <col min="2553" max="2555" width="8.85546875" style="12"/>
    <col min="2556" max="2559" width="8.7109375" style="12" customWidth="1"/>
    <col min="2560" max="2560" width="11" style="12" customWidth="1"/>
    <col min="2561" max="2561" width="9.7109375" style="12" customWidth="1"/>
    <col min="2562" max="2793" width="8.85546875" style="12"/>
    <col min="2794" max="2794" width="23.7109375" style="12" customWidth="1"/>
    <col min="2795" max="2795" width="10.7109375" style="12" customWidth="1"/>
    <col min="2796" max="2799" width="8.7109375" style="12" customWidth="1"/>
    <col min="2800" max="2800" width="11" style="12" customWidth="1"/>
    <col min="2801" max="2801" width="10.7109375" style="12" customWidth="1"/>
    <col min="2802" max="2803" width="8.85546875" style="12"/>
    <col min="2804" max="2807" width="8.7109375" style="12" customWidth="1"/>
    <col min="2808" max="2808" width="11.42578125" style="12" customWidth="1"/>
    <col min="2809" max="2811" width="8.85546875" style="12"/>
    <col min="2812" max="2815" width="8.7109375" style="12" customWidth="1"/>
    <col min="2816" max="2816" width="11" style="12" customWidth="1"/>
    <col min="2817" max="2817" width="9.7109375" style="12" customWidth="1"/>
    <col min="2818" max="3049" width="8.85546875" style="12"/>
    <col min="3050" max="3050" width="23.7109375" style="12" customWidth="1"/>
    <col min="3051" max="3051" width="10.7109375" style="12" customWidth="1"/>
    <col min="3052" max="3055" width="8.7109375" style="12" customWidth="1"/>
    <col min="3056" max="3056" width="11" style="12" customWidth="1"/>
    <col min="3057" max="3057" width="10.7109375" style="12" customWidth="1"/>
    <col min="3058" max="3059" width="8.85546875" style="12"/>
    <col min="3060" max="3063" width="8.7109375" style="12" customWidth="1"/>
    <col min="3064" max="3064" width="11.42578125" style="12" customWidth="1"/>
    <col min="3065" max="3067" width="8.85546875" style="12"/>
    <col min="3068" max="3071" width="8.7109375" style="12" customWidth="1"/>
    <col min="3072" max="3072" width="11" style="12" customWidth="1"/>
    <col min="3073" max="3073" width="9.7109375" style="12" customWidth="1"/>
    <col min="3074" max="3305" width="8.85546875" style="12"/>
    <col min="3306" max="3306" width="23.7109375" style="12" customWidth="1"/>
    <col min="3307" max="3307" width="10.7109375" style="12" customWidth="1"/>
    <col min="3308" max="3311" width="8.7109375" style="12" customWidth="1"/>
    <col min="3312" max="3312" width="11" style="12" customWidth="1"/>
    <col min="3313" max="3313" width="10.7109375" style="12" customWidth="1"/>
    <col min="3314" max="3315" width="8.85546875" style="12"/>
    <col min="3316" max="3319" width="8.7109375" style="12" customWidth="1"/>
    <col min="3320" max="3320" width="11.42578125" style="12" customWidth="1"/>
    <col min="3321" max="3323" width="8.85546875" style="12"/>
    <col min="3324" max="3327" width="8.7109375" style="12" customWidth="1"/>
    <col min="3328" max="3328" width="11" style="12" customWidth="1"/>
    <col min="3329" max="3329" width="9.7109375" style="12" customWidth="1"/>
    <col min="3330" max="3561" width="8.85546875" style="12"/>
    <col min="3562" max="3562" width="23.7109375" style="12" customWidth="1"/>
    <col min="3563" max="3563" width="10.7109375" style="12" customWidth="1"/>
    <col min="3564" max="3567" width="8.7109375" style="12" customWidth="1"/>
    <col min="3568" max="3568" width="11" style="12" customWidth="1"/>
    <col min="3569" max="3569" width="10.7109375" style="12" customWidth="1"/>
    <col min="3570" max="3571" width="8.85546875" style="12"/>
    <col min="3572" max="3575" width="8.7109375" style="12" customWidth="1"/>
    <col min="3576" max="3576" width="11.42578125" style="12" customWidth="1"/>
    <col min="3577" max="3579" width="8.85546875" style="12"/>
    <col min="3580" max="3583" width="8.7109375" style="12" customWidth="1"/>
    <col min="3584" max="3584" width="11" style="12" customWidth="1"/>
    <col min="3585" max="3585" width="9.7109375" style="12" customWidth="1"/>
    <col min="3586" max="3817" width="8.85546875" style="12"/>
    <col min="3818" max="3818" width="23.7109375" style="12" customWidth="1"/>
    <col min="3819" max="3819" width="10.7109375" style="12" customWidth="1"/>
    <col min="3820" max="3823" width="8.7109375" style="12" customWidth="1"/>
    <col min="3824" max="3824" width="11" style="12" customWidth="1"/>
    <col min="3825" max="3825" width="10.7109375" style="12" customWidth="1"/>
    <col min="3826" max="3827" width="8.85546875" style="12"/>
    <col min="3828" max="3831" width="8.7109375" style="12" customWidth="1"/>
    <col min="3832" max="3832" width="11.42578125" style="12" customWidth="1"/>
    <col min="3833" max="3835" width="8.85546875" style="12"/>
    <col min="3836" max="3839" width="8.7109375" style="12" customWidth="1"/>
    <col min="3840" max="3840" width="11" style="12" customWidth="1"/>
    <col min="3841" max="3841" width="9.7109375" style="12" customWidth="1"/>
    <col min="3842" max="4073" width="8.85546875" style="12"/>
    <col min="4074" max="4074" width="23.7109375" style="12" customWidth="1"/>
    <col min="4075" max="4075" width="10.7109375" style="12" customWidth="1"/>
    <col min="4076" max="4079" width="8.7109375" style="12" customWidth="1"/>
    <col min="4080" max="4080" width="11" style="12" customWidth="1"/>
    <col min="4081" max="4081" width="10.7109375" style="12" customWidth="1"/>
    <col min="4082" max="4083" width="8.85546875" style="12"/>
    <col min="4084" max="4087" width="8.7109375" style="12" customWidth="1"/>
    <col min="4088" max="4088" width="11.42578125" style="12" customWidth="1"/>
    <col min="4089" max="4091" width="8.85546875" style="12"/>
    <col min="4092" max="4095" width="8.7109375" style="12" customWidth="1"/>
    <col min="4096" max="4096" width="11" style="12" customWidth="1"/>
    <col min="4097" max="4097" width="9.7109375" style="12" customWidth="1"/>
    <col min="4098" max="4329" width="8.85546875" style="12"/>
    <col min="4330" max="4330" width="23.7109375" style="12" customWidth="1"/>
    <col min="4331" max="4331" width="10.7109375" style="12" customWidth="1"/>
    <col min="4332" max="4335" width="8.7109375" style="12" customWidth="1"/>
    <col min="4336" max="4336" width="11" style="12" customWidth="1"/>
    <col min="4337" max="4337" width="10.7109375" style="12" customWidth="1"/>
    <col min="4338" max="4339" width="8.85546875" style="12"/>
    <col min="4340" max="4343" width="8.7109375" style="12" customWidth="1"/>
    <col min="4344" max="4344" width="11.42578125" style="12" customWidth="1"/>
    <col min="4345" max="4347" width="8.85546875" style="12"/>
    <col min="4348" max="4351" width="8.7109375" style="12" customWidth="1"/>
    <col min="4352" max="4352" width="11" style="12" customWidth="1"/>
    <col min="4353" max="4353" width="9.7109375" style="12" customWidth="1"/>
    <col min="4354" max="4585" width="8.85546875" style="12"/>
    <col min="4586" max="4586" width="23.7109375" style="12" customWidth="1"/>
    <col min="4587" max="4587" width="10.7109375" style="12" customWidth="1"/>
    <col min="4588" max="4591" width="8.7109375" style="12" customWidth="1"/>
    <col min="4592" max="4592" width="11" style="12" customWidth="1"/>
    <col min="4593" max="4593" width="10.7109375" style="12" customWidth="1"/>
    <col min="4594" max="4595" width="8.85546875" style="12"/>
    <col min="4596" max="4599" width="8.7109375" style="12" customWidth="1"/>
    <col min="4600" max="4600" width="11.42578125" style="12" customWidth="1"/>
    <col min="4601" max="4603" width="8.85546875" style="12"/>
    <col min="4604" max="4607" width="8.7109375" style="12" customWidth="1"/>
    <col min="4608" max="4608" width="11" style="12" customWidth="1"/>
    <col min="4609" max="4609" width="9.7109375" style="12" customWidth="1"/>
    <col min="4610" max="4841" width="8.85546875" style="12"/>
    <col min="4842" max="4842" width="23.7109375" style="12" customWidth="1"/>
    <col min="4843" max="4843" width="10.7109375" style="12" customWidth="1"/>
    <col min="4844" max="4847" width="8.7109375" style="12" customWidth="1"/>
    <col min="4848" max="4848" width="11" style="12" customWidth="1"/>
    <col min="4849" max="4849" width="10.7109375" style="12" customWidth="1"/>
    <col min="4850" max="4851" width="8.85546875" style="12"/>
    <col min="4852" max="4855" width="8.7109375" style="12" customWidth="1"/>
    <col min="4856" max="4856" width="11.42578125" style="12" customWidth="1"/>
    <col min="4857" max="4859" width="8.85546875" style="12"/>
    <col min="4860" max="4863" width="8.7109375" style="12" customWidth="1"/>
    <col min="4864" max="4864" width="11" style="12" customWidth="1"/>
    <col min="4865" max="4865" width="9.7109375" style="12" customWidth="1"/>
    <col min="4866" max="5097" width="8.85546875" style="12"/>
    <col min="5098" max="5098" width="23.7109375" style="12" customWidth="1"/>
    <col min="5099" max="5099" width="10.7109375" style="12" customWidth="1"/>
    <col min="5100" max="5103" width="8.7109375" style="12" customWidth="1"/>
    <col min="5104" max="5104" width="11" style="12" customWidth="1"/>
    <col min="5105" max="5105" width="10.7109375" style="12" customWidth="1"/>
    <col min="5106" max="5107" width="8.85546875" style="12"/>
    <col min="5108" max="5111" width="8.7109375" style="12" customWidth="1"/>
    <col min="5112" max="5112" width="11.42578125" style="12" customWidth="1"/>
    <col min="5113" max="5115" width="8.85546875" style="12"/>
    <col min="5116" max="5119" width="8.7109375" style="12" customWidth="1"/>
    <col min="5120" max="5120" width="11" style="12" customWidth="1"/>
    <col min="5121" max="5121" width="9.7109375" style="12" customWidth="1"/>
    <col min="5122" max="5353" width="8.85546875" style="12"/>
    <col min="5354" max="5354" width="23.7109375" style="12" customWidth="1"/>
    <col min="5355" max="5355" width="10.7109375" style="12" customWidth="1"/>
    <col min="5356" max="5359" width="8.7109375" style="12" customWidth="1"/>
    <col min="5360" max="5360" width="11" style="12" customWidth="1"/>
    <col min="5361" max="5361" width="10.7109375" style="12" customWidth="1"/>
    <col min="5362" max="5363" width="8.85546875" style="12"/>
    <col min="5364" max="5367" width="8.7109375" style="12" customWidth="1"/>
    <col min="5368" max="5368" width="11.42578125" style="12" customWidth="1"/>
    <col min="5369" max="5371" width="8.85546875" style="12"/>
    <col min="5372" max="5375" width="8.7109375" style="12" customWidth="1"/>
    <col min="5376" max="5376" width="11" style="12" customWidth="1"/>
    <col min="5377" max="5377" width="9.7109375" style="12" customWidth="1"/>
    <col min="5378" max="5609" width="8.85546875" style="12"/>
    <col min="5610" max="5610" width="23.7109375" style="12" customWidth="1"/>
    <col min="5611" max="5611" width="10.7109375" style="12" customWidth="1"/>
    <col min="5612" max="5615" width="8.7109375" style="12" customWidth="1"/>
    <col min="5616" max="5616" width="11" style="12" customWidth="1"/>
    <col min="5617" max="5617" width="10.7109375" style="12" customWidth="1"/>
    <col min="5618" max="5619" width="8.85546875" style="12"/>
    <col min="5620" max="5623" width="8.7109375" style="12" customWidth="1"/>
    <col min="5624" max="5624" width="11.42578125" style="12" customWidth="1"/>
    <col min="5625" max="5627" width="8.85546875" style="12"/>
    <col min="5628" max="5631" width="8.7109375" style="12" customWidth="1"/>
    <col min="5632" max="5632" width="11" style="12" customWidth="1"/>
    <col min="5633" max="5633" width="9.7109375" style="12" customWidth="1"/>
    <col min="5634" max="5865" width="8.85546875" style="12"/>
    <col min="5866" max="5866" width="23.7109375" style="12" customWidth="1"/>
    <col min="5867" max="5867" width="10.7109375" style="12" customWidth="1"/>
    <col min="5868" max="5871" width="8.7109375" style="12" customWidth="1"/>
    <col min="5872" max="5872" width="11" style="12" customWidth="1"/>
    <col min="5873" max="5873" width="10.7109375" style="12" customWidth="1"/>
    <col min="5874" max="5875" width="8.85546875" style="12"/>
    <col min="5876" max="5879" width="8.7109375" style="12" customWidth="1"/>
    <col min="5880" max="5880" width="11.42578125" style="12" customWidth="1"/>
    <col min="5881" max="5883" width="8.85546875" style="12"/>
    <col min="5884" max="5887" width="8.7109375" style="12" customWidth="1"/>
    <col min="5888" max="5888" width="11" style="12" customWidth="1"/>
    <col min="5889" max="5889" width="9.7109375" style="12" customWidth="1"/>
    <col min="5890" max="6121" width="8.85546875" style="12"/>
    <col min="6122" max="6122" width="23.7109375" style="12" customWidth="1"/>
    <col min="6123" max="6123" width="10.7109375" style="12" customWidth="1"/>
    <col min="6124" max="6127" width="8.7109375" style="12" customWidth="1"/>
    <col min="6128" max="6128" width="11" style="12" customWidth="1"/>
    <col min="6129" max="6129" width="10.7109375" style="12" customWidth="1"/>
    <col min="6130" max="6131" width="8.85546875" style="12"/>
    <col min="6132" max="6135" width="8.7109375" style="12" customWidth="1"/>
    <col min="6136" max="6136" width="11.42578125" style="12" customWidth="1"/>
    <col min="6137" max="6139" width="8.85546875" style="12"/>
    <col min="6140" max="6143" width="8.7109375" style="12" customWidth="1"/>
    <col min="6144" max="6144" width="11" style="12" customWidth="1"/>
    <col min="6145" max="6145" width="9.7109375" style="12" customWidth="1"/>
    <col min="6146" max="6377" width="8.85546875" style="12"/>
    <col min="6378" max="6378" width="23.7109375" style="12" customWidth="1"/>
    <col min="6379" max="6379" width="10.7109375" style="12" customWidth="1"/>
    <col min="6380" max="6383" width="8.7109375" style="12" customWidth="1"/>
    <col min="6384" max="6384" width="11" style="12" customWidth="1"/>
    <col min="6385" max="6385" width="10.7109375" style="12" customWidth="1"/>
    <col min="6386" max="6387" width="8.85546875" style="12"/>
    <col min="6388" max="6391" width="8.7109375" style="12" customWidth="1"/>
    <col min="6392" max="6392" width="11.42578125" style="12" customWidth="1"/>
    <col min="6393" max="6395" width="8.85546875" style="12"/>
    <col min="6396" max="6399" width="8.7109375" style="12" customWidth="1"/>
    <col min="6400" max="6400" width="11" style="12" customWidth="1"/>
    <col min="6401" max="6401" width="9.7109375" style="12" customWidth="1"/>
    <col min="6402" max="6633" width="8.85546875" style="12"/>
    <col min="6634" max="6634" width="23.7109375" style="12" customWidth="1"/>
    <col min="6635" max="6635" width="10.7109375" style="12" customWidth="1"/>
    <col min="6636" max="6639" width="8.7109375" style="12" customWidth="1"/>
    <col min="6640" max="6640" width="11" style="12" customWidth="1"/>
    <col min="6641" max="6641" width="10.7109375" style="12" customWidth="1"/>
    <col min="6642" max="6643" width="8.85546875" style="12"/>
    <col min="6644" max="6647" width="8.7109375" style="12" customWidth="1"/>
    <col min="6648" max="6648" width="11.42578125" style="12" customWidth="1"/>
    <col min="6649" max="6651" width="8.85546875" style="12"/>
    <col min="6652" max="6655" width="8.7109375" style="12" customWidth="1"/>
    <col min="6656" max="6656" width="11" style="12" customWidth="1"/>
    <col min="6657" max="6657" width="9.7109375" style="12" customWidth="1"/>
    <col min="6658" max="6889" width="8.85546875" style="12"/>
    <col min="6890" max="6890" width="23.7109375" style="12" customWidth="1"/>
    <col min="6891" max="6891" width="10.7109375" style="12" customWidth="1"/>
    <col min="6892" max="6895" width="8.7109375" style="12" customWidth="1"/>
    <col min="6896" max="6896" width="11" style="12" customWidth="1"/>
    <col min="6897" max="6897" width="10.7109375" style="12" customWidth="1"/>
    <col min="6898" max="6899" width="8.85546875" style="12"/>
    <col min="6900" max="6903" width="8.7109375" style="12" customWidth="1"/>
    <col min="6904" max="6904" width="11.42578125" style="12" customWidth="1"/>
    <col min="6905" max="6907" width="8.85546875" style="12"/>
    <col min="6908" max="6911" width="8.7109375" style="12" customWidth="1"/>
    <col min="6912" max="6912" width="11" style="12" customWidth="1"/>
    <col min="6913" max="6913" width="9.7109375" style="12" customWidth="1"/>
    <col min="6914" max="7145" width="8.85546875" style="12"/>
    <col min="7146" max="7146" width="23.7109375" style="12" customWidth="1"/>
    <col min="7147" max="7147" width="10.7109375" style="12" customWidth="1"/>
    <col min="7148" max="7151" width="8.7109375" style="12" customWidth="1"/>
    <col min="7152" max="7152" width="11" style="12" customWidth="1"/>
    <col min="7153" max="7153" width="10.7109375" style="12" customWidth="1"/>
    <col min="7154" max="7155" width="8.85546875" style="12"/>
    <col min="7156" max="7159" width="8.7109375" style="12" customWidth="1"/>
    <col min="7160" max="7160" width="11.42578125" style="12" customWidth="1"/>
    <col min="7161" max="7163" width="8.85546875" style="12"/>
    <col min="7164" max="7167" width="8.7109375" style="12" customWidth="1"/>
    <col min="7168" max="7168" width="11" style="12" customWidth="1"/>
    <col min="7169" max="7169" width="9.7109375" style="12" customWidth="1"/>
    <col min="7170" max="7401" width="8.85546875" style="12"/>
    <col min="7402" max="7402" width="23.7109375" style="12" customWidth="1"/>
    <col min="7403" max="7403" width="10.7109375" style="12" customWidth="1"/>
    <col min="7404" max="7407" width="8.7109375" style="12" customWidth="1"/>
    <col min="7408" max="7408" width="11" style="12" customWidth="1"/>
    <col min="7409" max="7409" width="10.7109375" style="12" customWidth="1"/>
    <col min="7410" max="7411" width="8.85546875" style="12"/>
    <col min="7412" max="7415" width="8.7109375" style="12" customWidth="1"/>
    <col min="7416" max="7416" width="11.42578125" style="12" customWidth="1"/>
    <col min="7417" max="7419" width="8.85546875" style="12"/>
    <col min="7420" max="7423" width="8.7109375" style="12" customWidth="1"/>
    <col min="7424" max="7424" width="11" style="12" customWidth="1"/>
    <col min="7425" max="7425" width="9.7109375" style="12" customWidth="1"/>
    <col min="7426" max="7657" width="8.85546875" style="12"/>
    <col min="7658" max="7658" width="23.7109375" style="12" customWidth="1"/>
    <col min="7659" max="7659" width="10.7109375" style="12" customWidth="1"/>
    <col min="7660" max="7663" width="8.7109375" style="12" customWidth="1"/>
    <col min="7664" max="7664" width="11" style="12" customWidth="1"/>
    <col min="7665" max="7665" width="10.7109375" style="12" customWidth="1"/>
    <col min="7666" max="7667" width="8.85546875" style="12"/>
    <col min="7668" max="7671" width="8.7109375" style="12" customWidth="1"/>
    <col min="7672" max="7672" width="11.42578125" style="12" customWidth="1"/>
    <col min="7673" max="7675" width="8.85546875" style="12"/>
    <col min="7676" max="7679" width="8.7109375" style="12" customWidth="1"/>
    <col min="7680" max="7680" width="11" style="12" customWidth="1"/>
    <col min="7681" max="7681" width="9.7109375" style="12" customWidth="1"/>
    <col min="7682" max="7913" width="8.85546875" style="12"/>
    <col min="7914" max="7914" width="23.7109375" style="12" customWidth="1"/>
    <col min="7915" max="7915" width="10.7109375" style="12" customWidth="1"/>
    <col min="7916" max="7919" width="8.7109375" style="12" customWidth="1"/>
    <col min="7920" max="7920" width="11" style="12" customWidth="1"/>
    <col min="7921" max="7921" width="10.7109375" style="12" customWidth="1"/>
    <col min="7922" max="7923" width="8.85546875" style="12"/>
    <col min="7924" max="7927" width="8.7109375" style="12" customWidth="1"/>
    <col min="7928" max="7928" width="11.42578125" style="12" customWidth="1"/>
    <col min="7929" max="7931" width="8.85546875" style="12"/>
    <col min="7932" max="7935" width="8.7109375" style="12" customWidth="1"/>
    <col min="7936" max="7936" width="11" style="12" customWidth="1"/>
    <col min="7937" max="7937" width="9.7109375" style="12" customWidth="1"/>
    <col min="7938" max="8169" width="8.85546875" style="12"/>
    <col min="8170" max="8170" width="23.7109375" style="12" customWidth="1"/>
    <col min="8171" max="8171" width="10.7109375" style="12" customWidth="1"/>
    <col min="8172" max="8175" width="8.7109375" style="12" customWidth="1"/>
    <col min="8176" max="8176" width="11" style="12" customWidth="1"/>
    <col min="8177" max="8177" width="10.7109375" style="12" customWidth="1"/>
    <col min="8178" max="8179" width="8.85546875" style="12"/>
    <col min="8180" max="8183" width="8.7109375" style="12" customWidth="1"/>
    <col min="8184" max="8184" width="11.42578125" style="12" customWidth="1"/>
    <col min="8185" max="8187" width="8.85546875" style="12"/>
    <col min="8188" max="8191" width="8.7109375" style="12" customWidth="1"/>
    <col min="8192" max="8192" width="11" style="12" customWidth="1"/>
    <col min="8193" max="8193" width="9.7109375" style="12" customWidth="1"/>
    <col min="8194" max="8425" width="8.85546875" style="12"/>
    <col min="8426" max="8426" width="23.7109375" style="12" customWidth="1"/>
    <col min="8427" max="8427" width="10.7109375" style="12" customWidth="1"/>
    <col min="8428" max="8431" width="8.7109375" style="12" customWidth="1"/>
    <col min="8432" max="8432" width="11" style="12" customWidth="1"/>
    <col min="8433" max="8433" width="10.7109375" style="12" customWidth="1"/>
    <col min="8434" max="8435" width="8.85546875" style="12"/>
    <col min="8436" max="8439" width="8.7109375" style="12" customWidth="1"/>
    <col min="8440" max="8440" width="11.42578125" style="12" customWidth="1"/>
    <col min="8441" max="8443" width="8.85546875" style="12"/>
    <col min="8444" max="8447" width="8.7109375" style="12" customWidth="1"/>
    <col min="8448" max="8448" width="11" style="12" customWidth="1"/>
    <col min="8449" max="8449" width="9.7109375" style="12" customWidth="1"/>
    <col min="8450" max="8681" width="8.85546875" style="12"/>
    <col min="8682" max="8682" width="23.7109375" style="12" customWidth="1"/>
    <col min="8683" max="8683" width="10.7109375" style="12" customWidth="1"/>
    <col min="8684" max="8687" width="8.7109375" style="12" customWidth="1"/>
    <col min="8688" max="8688" width="11" style="12" customWidth="1"/>
    <col min="8689" max="8689" width="10.7109375" style="12" customWidth="1"/>
    <col min="8690" max="8691" width="8.85546875" style="12"/>
    <col min="8692" max="8695" width="8.7109375" style="12" customWidth="1"/>
    <col min="8696" max="8696" width="11.42578125" style="12" customWidth="1"/>
    <col min="8697" max="8699" width="8.85546875" style="12"/>
    <col min="8700" max="8703" width="8.7109375" style="12" customWidth="1"/>
    <col min="8704" max="8704" width="11" style="12" customWidth="1"/>
    <col min="8705" max="8705" width="9.7109375" style="12" customWidth="1"/>
    <col min="8706" max="8937" width="8.85546875" style="12"/>
    <col min="8938" max="8938" width="23.7109375" style="12" customWidth="1"/>
    <col min="8939" max="8939" width="10.7109375" style="12" customWidth="1"/>
    <col min="8940" max="8943" width="8.7109375" style="12" customWidth="1"/>
    <col min="8944" max="8944" width="11" style="12" customWidth="1"/>
    <col min="8945" max="8945" width="10.7109375" style="12" customWidth="1"/>
    <col min="8946" max="8947" width="8.85546875" style="12"/>
    <col min="8948" max="8951" width="8.7109375" style="12" customWidth="1"/>
    <col min="8952" max="8952" width="11.42578125" style="12" customWidth="1"/>
    <col min="8953" max="8955" width="8.85546875" style="12"/>
    <col min="8956" max="8959" width="8.7109375" style="12" customWidth="1"/>
    <col min="8960" max="8960" width="11" style="12" customWidth="1"/>
    <col min="8961" max="8961" width="9.7109375" style="12" customWidth="1"/>
    <col min="8962" max="9193" width="8.85546875" style="12"/>
    <col min="9194" max="9194" width="23.7109375" style="12" customWidth="1"/>
    <col min="9195" max="9195" width="10.7109375" style="12" customWidth="1"/>
    <col min="9196" max="9199" width="8.7109375" style="12" customWidth="1"/>
    <col min="9200" max="9200" width="11" style="12" customWidth="1"/>
    <col min="9201" max="9201" width="10.7109375" style="12" customWidth="1"/>
    <col min="9202" max="9203" width="8.85546875" style="12"/>
    <col min="9204" max="9207" width="8.7109375" style="12" customWidth="1"/>
    <col min="9208" max="9208" width="11.42578125" style="12" customWidth="1"/>
    <col min="9209" max="9211" width="8.85546875" style="12"/>
    <col min="9212" max="9215" width="8.7109375" style="12" customWidth="1"/>
    <col min="9216" max="9216" width="11" style="12" customWidth="1"/>
    <col min="9217" max="9217" width="9.7109375" style="12" customWidth="1"/>
    <col min="9218" max="9449" width="8.85546875" style="12"/>
    <col min="9450" max="9450" width="23.7109375" style="12" customWidth="1"/>
    <col min="9451" max="9451" width="10.7109375" style="12" customWidth="1"/>
    <col min="9452" max="9455" width="8.7109375" style="12" customWidth="1"/>
    <col min="9456" max="9456" width="11" style="12" customWidth="1"/>
    <col min="9457" max="9457" width="10.7109375" style="12" customWidth="1"/>
    <col min="9458" max="9459" width="8.85546875" style="12"/>
    <col min="9460" max="9463" width="8.7109375" style="12" customWidth="1"/>
    <col min="9464" max="9464" width="11.42578125" style="12" customWidth="1"/>
    <col min="9465" max="9467" width="8.85546875" style="12"/>
    <col min="9468" max="9471" width="8.7109375" style="12" customWidth="1"/>
    <col min="9472" max="9472" width="11" style="12" customWidth="1"/>
    <col min="9473" max="9473" width="9.7109375" style="12" customWidth="1"/>
    <col min="9474" max="9705" width="8.85546875" style="12"/>
    <col min="9706" max="9706" width="23.7109375" style="12" customWidth="1"/>
    <col min="9707" max="9707" width="10.7109375" style="12" customWidth="1"/>
    <col min="9708" max="9711" width="8.7109375" style="12" customWidth="1"/>
    <col min="9712" max="9712" width="11" style="12" customWidth="1"/>
    <col min="9713" max="9713" width="10.7109375" style="12" customWidth="1"/>
    <col min="9714" max="9715" width="8.85546875" style="12"/>
    <col min="9716" max="9719" width="8.7109375" style="12" customWidth="1"/>
    <col min="9720" max="9720" width="11.42578125" style="12" customWidth="1"/>
    <col min="9721" max="9723" width="8.85546875" style="12"/>
    <col min="9724" max="9727" width="8.7109375" style="12" customWidth="1"/>
    <col min="9728" max="9728" width="11" style="12" customWidth="1"/>
    <col min="9729" max="9729" width="9.7109375" style="12" customWidth="1"/>
    <col min="9730" max="9961" width="8.85546875" style="12"/>
    <col min="9962" max="9962" width="23.7109375" style="12" customWidth="1"/>
    <col min="9963" max="9963" width="10.7109375" style="12" customWidth="1"/>
    <col min="9964" max="9967" width="8.7109375" style="12" customWidth="1"/>
    <col min="9968" max="9968" width="11" style="12" customWidth="1"/>
    <col min="9969" max="9969" width="10.7109375" style="12" customWidth="1"/>
    <col min="9970" max="9971" width="8.85546875" style="12"/>
    <col min="9972" max="9975" width="8.7109375" style="12" customWidth="1"/>
    <col min="9976" max="9976" width="11.42578125" style="12" customWidth="1"/>
    <col min="9977" max="9979" width="8.85546875" style="12"/>
    <col min="9980" max="9983" width="8.7109375" style="12" customWidth="1"/>
    <col min="9984" max="9984" width="11" style="12" customWidth="1"/>
    <col min="9985" max="9985" width="9.7109375" style="12" customWidth="1"/>
    <col min="9986" max="10217" width="8.85546875" style="12"/>
    <col min="10218" max="10218" width="23.7109375" style="12" customWidth="1"/>
    <col min="10219" max="10219" width="10.7109375" style="12" customWidth="1"/>
    <col min="10220" max="10223" width="8.7109375" style="12" customWidth="1"/>
    <col min="10224" max="10224" width="11" style="12" customWidth="1"/>
    <col min="10225" max="10225" width="10.7109375" style="12" customWidth="1"/>
    <col min="10226" max="10227" width="8.85546875" style="12"/>
    <col min="10228" max="10231" width="8.7109375" style="12" customWidth="1"/>
    <col min="10232" max="10232" width="11.42578125" style="12" customWidth="1"/>
    <col min="10233" max="10235" width="8.85546875" style="12"/>
    <col min="10236" max="10239" width="8.7109375" style="12" customWidth="1"/>
    <col min="10240" max="10240" width="11" style="12" customWidth="1"/>
    <col min="10241" max="10241" width="9.7109375" style="12" customWidth="1"/>
    <col min="10242" max="10473" width="8.85546875" style="12"/>
    <col min="10474" max="10474" width="23.7109375" style="12" customWidth="1"/>
    <col min="10475" max="10475" width="10.7109375" style="12" customWidth="1"/>
    <col min="10476" max="10479" width="8.7109375" style="12" customWidth="1"/>
    <col min="10480" max="10480" width="11" style="12" customWidth="1"/>
    <col min="10481" max="10481" width="10.7109375" style="12" customWidth="1"/>
    <col min="10482" max="10483" width="8.85546875" style="12"/>
    <col min="10484" max="10487" width="8.7109375" style="12" customWidth="1"/>
    <col min="10488" max="10488" width="11.42578125" style="12" customWidth="1"/>
    <col min="10489" max="10491" width="8.85546875" style="12"/>
    <col min="10492" max="10495" width="8.7109375" style="12" customWidth="1"/>
    <col min="10496" max="10496" width="11" style="12" customWidth="1"/>
    <col min="10497" max="10497" width="9.7109375" style="12" customWidth="1"/>
    <col min="10498" max="10729" width="8.85546875" style="12"/>
    <col min="10730" max="10730" width="23.7109375" style="12" customWidth="1"/>
    <col min="10731" max="10731" width="10.7109375" style="12" customWidth="1"/>
    <col min="10732" max="10735" width="8.7109375" style="12" customWidth="1"/>
    <col min="10736" max="10736" width="11" style="12" customWidth="1"/>
    <col min="10737" max="10737" width="10.7109375" style="12" customWidth="1"/>
    <col min="10738" max="10739" width="8.85546875" style="12"/>
    <col min="10740" max="10743" width="8.7109375" style="12" customWidth="1"/>
    <col min="10744" max="10744" width="11.42578125" style="12" customWidth="1"/>
    <col min="10745" max="10747" width="8.85546875" style="12"/>
    <col min="10748" max="10751" width="8.7109375" style="12" customWidth="1"/>
    <col min="10752" max="10752" width="11" style="12" customWidth="1"/>
    <col min="10753" max="10753" width="9.7109375" style="12" customWidth="1"/>
    <col min="10754" max="10985" width="8.85546875" style="12"/>
    <col min="10986" max="10986" width="23.7109375" style="12" customWidth="1"/>
    <col min="10987" max="10987" width="10.7109375" style="12" customWidth="1"/>
    <col min="10988" max="10991" width="8.7109375" style="12" customWidth="1"/>
    <col min="10992" max="10992" width="11" style="12" customWidth="1"/>
    <col min="10993" max="10993" width="10.7109375" style="12" customWidth="1"/>
    <col min="10994" max="10995" width="8.85546875" style="12"/>
    <col min="10996" max="10999" width="8.7109375" style="12" customWidth="1"/>
    <col min="11000" max="11000" width="11.42578125" style="12" customWidth="1"/>
    <col min="11001" max="11003" width="8.85546875" style="12"/>
    <col min="11004" max="11007" width="8.7109375" style="12" customWidth="1"/>
    <col min="11008" max="11008" width="11" style="12" customWidth="1"/>
    <col min="11009" max="11009" width="9.7109375" style="12" customWidth="1"/>
    <col min="11010" max="11241" width="8.85546875" style="12"/>
    <col min="11242" max="11242" width="23.7109375" style="12" customWidth="1"/>
    <col min="11243" max="11243" width="10.7109375" style="12" customWidth="1"/>
    <col min="11244" max="11247" width="8.7109375" style="12" customWidth="1"/>
    <col min="11248" max="11248" width="11" style="12" customWidth="1"/>
    <col min="11249" max="11249" width="10.7109375" style="12" customWidth="1"/>
    <col min="11250" max="11251" width="8.85546875" style="12"/>
    <col min="11252" max="11255" width="8.7109375" style="12" customWidth="1"/>
    <col min="11256" max="11256" width="11.42578125" style="12" customWidth="1"/>
    <col min="11257" max="11259" width="8.85546875" style="12"/>
    <col min="11260" max="11263" width="8.7109375" style="12" customWidth="1"/>
    <col min="11264" max="11264" width="11" style="12" customWidth="1"/>
    <col min="11265" max="11265" width="9.7109375" style="12" customWidth="1"/>
    <col min="11266" max="11497" width="8.85546875" style="12"/>
    <col min="11498" max="11498" width="23.7109375" style="12" customWidth="1"/>
    <col min="11499" max="11499" width="10.7109375" style="12" customWidth="1"/>
    <col min="11500" max="11503" width="8.7109375" style="12" customWidth="1"/>
    <col min="11504" max="11504" width="11" style="12" customWidth="1"/>
    <col min="11505" max="11505" width="10.7109375" style="12" customWidth="1"/>
    <col min="11506" max="11507" width="8.85546875" style="12"/>
    <col min="11508" max="11511" width="8.7109375" style="12" customWidth="1"/>
    <col min="11512" max="11512" width="11.42578125" style="12" customWidth="1"/>
    <col min="11513" max="11515" width="8.85546875" style="12"/>
    <col min="11516" max="11519" width="8.7109375" style="12" customWidth="1"/>
    <col min="11520" max="11520" width="11" style="12" customWidth="1"/>
    <col min="11521" max="11521" width="9.7109375" style="12" customWidth="1"/>
    <col min="11522" max="11753" width="8.85546875" style="12"/>
    <col min="11754" max="11754" width="23.7109375" style="12" customWidth="1"/>
    <col min="11755" max="11755" width="10.7109375" style="12" customWidth="1"/>
    <col min="11756" max="11759" width="8.7109375" style="12" customWidth="1"/>
    <col min="11760" max="11760" width="11" style="12" customWidth="1"/>
    <col min="11761" max="11761" width="10.7109375" style="12" customWidth="1"/>
    <col min="11762" max="11763" width="8.85546875" style="12"/>
    <col min="11764" max="11767" width="8.7109375" style="12" customWidth="1"/>
    <col min="11768" max="11768" width="11.42578125" style="12" customWidth="1"/>
    <col min="11769" max="11771" width="8.85546875" style="12"/>
    <col min="11772" max="11775" width="8.7109375" style="12" customWidth="1"/>
    <col min="11776" max="11776" width="11" style="12" customWidth="1"/>
    <col min="11777" max="11777" width="9.7109375" style="12" customWidth="1"/>
    <col min="11778" max="12009" width="8.85546875" style="12"/>
    <col min="12010" max="12010" width="23.7109375" style="12" customWidth="1"/>
    <col min="12011" max="12011" width="10.7109375" style="12" customWidth="1"/>
    <col min="12012" max="12015" width="8.7109375" style="12" customWidth="1"/>
    <col min="12016" max="12016" width="11" style="12" customWidth="1"/>
    <col min="12017" max="12017" width="10.7109375" style="12" customWidth="1"/>
    <col min="12018" max="12019" width="8.85546875" style="12"/>
    <col min="12020" max="12023" width="8.7109375" style="12" customWidth="1"/>
    <col min="12024" max="12024" width="11.42578125" style="12" customWidth="1"/>
    <col min="12025" max="12027" width="8.85546875" style="12"/>
    <col min="12028" max="12031" width="8.7109375" style="12" customWidth="1"/>
    <col min="12032" max="12032" width="11" style="12" customWidth="1"/>
    <col min="12033" max="12033" width="9.7109375" style="12" customWidth="1"/>
    <col min="12034" max="12265" width="8.85546875" style="12"/>
    <col min="12266" max="12266" width="23.7109375" style="12" customWidth="1"/>
    <col min="12267" max="12267" width="10.7109375" style="12" customWidth="1"/>
    <col min="12268" max="12271" width="8.7109375" style="12" customWidth="1"/>
    <col min="12272" max="12272" width="11" style="12" customWidth="1"/>
    <col min="12273" max="12273" width="10.7109375" style="12" customWidth="1"/>
    <col min="12274" max="12275" width="8.85546875" style="12"/>
    <col min="12276" max="12279" width="8.7109375" style="12" customWidth="1"/>
    <col min="12280" max="12280" width="11.42578125" style="12" customWidth="1"/>
    <col min="12281" max="12283" width="8.85546875" style="12"/>
    <col min="12284" max="12287" width="8.7109375" style="12" customWidth="1"/>
    <col min="12288" max="12288" width="11" style="12" customWidth="1"/>
    <col min="12289" max="12289" width="9.7109375" style="12" customWidth="1"/>
    <col min="12290" max="12521" width="8.85546875" style="12"/>
    <col min="12522" max="12522" width="23.7109375" style="12" customWidth="1"/>
    <col min="12523" max="12523" width="10.7109375" style="12" customWidth="1"/>
    <col min="12524" max="12527" width="8.7109375" style="12" customWidth="1"/>
    <col min="12528" max="12528" width="11" style="12" customWidth="1"/>
    <col min="12529" max="12529" width="10.7109375" style="12" customWidth="1"/>
    <col min="12530" max="12531" width="8.85546875" style="12"/>
    <col min="12532" max="12535" width="8.7109375" style="12" customWidth="1"/>
    <col min="12536" max="12536" width="11.42578125" style="12" customWidth="1"/>
    <col min="12537" max="12539" width="8.85546875" style="12"/>
    <col min="12540" max="12543" width="8.7109375" style="12" customWidth="1"/>
    <col min="12544" max="12544" width="11" style="12" customWidth="1"/>
    <col min="12545" max="12545" width="9.7109375" style="12" customWidth="1"/>
    <col min="12546" max="12777" width="8.85546875" style="12"/>
    <col min="12778" max="12778" width="23.7109375" style="12" customWidth="1"/>
    <col min="12779" max="12779" width="10.7109375" style="12" customWidth="1"/>
    <col min="12780" max="12783" width="8.7109375" style="12" customWidth="1"/>
    <col min="12784" max="12784" width="11" style="12" customWidth="1"/>
    <col min="12785" max="12785" width="10.7109375" style="12" customWidth="1"/>
    <col min="12786" max="12787" width="8.85546875" style="12"/>
    <col min="12788" max="12791" width="8.7109375" style="12" customWidth="1"/>
    <col min="12792" max="12792" width="11.42578125" style="12" customWidth="1"/>
    <col min="12793" max="12795" width="8.85546875" style="12"/>
    <col min="12796" max="12799" width="8.7109375" style="12" customWidth="1"/>
    <col min="12800" max="12800" width="11" style="12" customWidth="1"/>
    <col min="12801" max="12801" width="9.7109375" style="12" customWidth="1"/>
    <col min="12802" max="13033" width="8.85546875" style="12"/>
    <col min="13034" max="13034" width="23.7109375" style="12" customWidth="1"/>
    <col min="13035" max="13035" width="10.7109375" style="12" customWidth="1"/>
    <col min="13036" max="13039" width="8.7109375" style="12" customWidth="1"/>
    <col min="13040" max="13040" width="11" style="12" customWidth="1"/>
    <col min="13041" max="13041" width="10.7109375" style="12" customWidth="1"/>
    <col min="13042" max="13043" width="8.85546875" style="12"/>
    <col min="13044" max="13047" width="8.7109375" style="12" customWidth="1"/>
    <col min="13048" max="13048" width="11.42578125" style="12" customWidth="1"/>
    <col min="13049" max="13051" width="8.85546875" style="12"/>
    <col min="13052" max="13055" width="8.7109375" style="12" customWidth="1"/>
    <col min="13056" max="13056" width="11" style="12" customWidth="1"/>
    <col min="13057" max="13057" width="9.7109375" style="12" customWidth="1"/>
    <col min="13058" max="13289" width="8.85546875" style="12"/>
    <col min="13290" max="13290" width="23.7109375" style="12" customWidth="1"/>
    <col min="13291" max="13291" width="10.7109375" style="12" customWidth="1"/>
    <col min="13292" max="13295" width="8.7109375" style="12" customWidth="1"/>
    <col min="13296" max="13296" width="11" style="12" customWidth="1"/>
    <col min="13297" max="13297" width="10.7109375" style="12" customWidth="1"/>
    <col min="13298" max="13299" width="8.85546875" style="12"/>
    <col min="13300" max="13303" width="8.7109375" style="12" customWidth="1"/>
    <col min="13304" max="13304" width="11.42578125" style="12" customWidth="1"/>
    <col min="13305" max="13307" width="8.85546875" style="12"/>
    <col min="13308" max="13311" width="8.7109375" style="12" customWidth="1"/>
    <col min="13312" max="13312" width="11" style="12" customWidth="1"/>
    <col min="13313" max="13313" width="9.7109375" style="12" customWidth="1"/>
    <col min="13314" max="13545" width="8.85546875" style="12"/>
    <col min="13546" max="13546" width="23.7109375" style="12" customWidth="1"/>
    <col min="13547" max="13547" width="10.7109375" style="12" customWidth="1"/>
    <col min="13548" max="13551" width="8.7109375" style="12" customWidth="1"/>
    <col min="13552" max="13552" width="11" style="12" customWidth="1"/>
    <col min="13553" max="13553" width="10.7109375" style="12" customWidth="1"/>
    <col min="13554" max="13555" width="8.85546875" style="12"/>
    <col min="13556" max="13559" width="8.7109375" style="12" customWidth="1"/>
    <col min="13560" max="13560" width="11.42578125" style="12" customWidth="1"/>
    <col min="13561" max="13563" width="8.85546875" style="12"/>
    <col min="13564" max="13567" width="8.7109375" style="12" customWidth="1"/>
    <col min="13568" max="13568" width="11" style="12" customWidth="1"/>
    <col min="13569" max="13569" width="9.7109375" style="12" customWidth="1"/>
    <col min="13570" max="13801" width="8.85546875" style="12"/>
    <col min="13802" max="13802" width="23.7109375" style="12" customWidth="1"/>
    <col min="13803" max="13803" width="10.7109375" style="12" customWidth="1"/>
    <col min="13804" max="13807" width="8.7109375" style="12" customWidth="1"/>
    <col min="13808" max="13808" width="11" style="12" customWidth="1"/>
    <col min="13809" max="13809" width="10.7109375" style="12" customWidth="1"/>
    <col min="13810" max="13811" width="8.85546875" style="12"/>
    <col min="13812" max="13815" width="8.7109375" style="12" customWidth="1"/>
    <col min="13816" max="13816" width="11.42578125" style="12" customWidth="1"/>
    <col min="13817" max="13819" width="8.85546875" style="12"/>
    <col min="13820" max="13823" width="8.7109375" style="12" customWidth="1"/>
    <col min="13824" max="13824" width="11" style="12" customWidth="1"/>
    <col min="13825" max="13825" width="9.7109375" style="12" customWidth="1"/>
    <col min="13826" max="14057" width="8.85546875" style="12"/>
    <col min="14058" max="14058" width="23.7109375" style="12" customWidth="1"/>
    <col min="14059" max="14059" width="10.7109375" style="12" customWidth="1"/>
    <col min="14060" max="14063" width="8.7109375" style="12" customWidth="1"/>
    <col min="14064" max="14064" width="11" style="12" customWidth="1"/>
    <col min="14065" max="14065" width="10.7109375" style="12" customWidth="1"/>
    <col min="14066" max="14067" width="8.85546875" style="12"/>
    <col min="14068" max="14071" width="8.7109375" style="12" customWidth="1"/>
    <col min="14072" max="14072" width="11.42578125" style="12" customWidth="1"/>
    <col min="14073" max="14075" width="8.85546875" style="12"/>
    <col min="14076" max="14079" width="8.7109375" style="12" customWidth="1"/>
    <col min="14080" max="14080" width="11" style="12" customWidth="1"/>
    <col min="14081" max="14081" width="9.7109375" style="12" customWidth="1"/>
    <col min="14082" max="14313" width="8.85546875" style="12"/>
    <col min="14314" max="14314" width="23.7109375" style="12" customWidth="1"/>
    <col min="14315" max="14315" width="10.7109375" style="12" customWidth="1"/>
    <col min="14316" max="14319" width="8.7109375" style="12" customWidth="1"/>
    <col min="14320" max="14320" width="11" style="12" customWidth="1"/>
    <col min="14321" max="14321" width="10.7109375" style="12" customWidth="1"/>
    <col min="14322" max="14323" width="8.85546875" style="12"/>
    <col min="14324" max="14327" width="8.7109375" style="12" customWidth="1"/>
    <col min="14328" max="14328" width="11.42578125" style="12" customWidth="1"/>
    <col min="14329" max="14331" width="8.85546875" style="12"/>
    <col min="14332" max="14335" width="8.7109375" style="12" customWidth="1"/>
    <col min="14336" max="14336" width="11" style="12" customWidth="1"/>
    <col min="14337" max="14337" width="9.7109375" style="12" customWidth="1"/>
    <col min="14338" max="14569" width="8.85546875" style="12"/>
    <col min="14570" max="14570" width="23.7109375" style="12" customWidth="1"/>
    <col min="14571" max="14571" width="10.7109375" style="12" customWidth="1"/>
    <col min="14572" max="14575" width="8.7109375" style="12" customWidth="1"/>
    <col min="14576" max="14576" width="11" style="12" customWidth="1"/>
    <col min="14577" max="14577" width="10.7109375" style="12" customWidth="1"/>
    <col min="14578" max="14579" width="8.85546875" style="12"/>
    <col min="14580" max="14583" width="8.7109375" style="12" customWidth="1"/>
    <col min="14584" max="14584" width="11.42578125" style="12" customWidth="1"/>
    <col min="14585" max="14587" width="8.85546875" style="12"/>
    <col min="14588" max="14591" width="8.7109375" style="12" customWidth="1"/>
    <col min="14592" max="14592" width="11" style="12" customWidth="1"/>
    <col min="14593" max="14593" width="9.7109375" style="12" customWidth="1"/>
    <col min="14594" max="14825" width="8.85546875" style="12"/>
    <col min="14826" max="14826" width="23.7109375" style="12" customWidth="1"/>
    <col min="14827" max="14827" width="10.7109375" style="12" customWidth="1"/>
    <col min="14828" max="14831" width="8.7109375" style="12" customWidth="1"/>
    <col min="14832" max="14832" width="11" style="12" customWidth="1"/>
    <col min="14833" max="14833" width="10.7109375" style="12" customWidth="1"/>
    <col min="14834" max="14835" width="8.85546875" style="12"/>
    <col min="14836" max="14839" width="8.7109375" style="12" customWidth="1"/>
    <col min="14840" max="14840" width="11.42578125" style="12" customWidth="1"/>
    <col min="14841" max="14843" width="8.85546875" style="12"/>
    <col min="14844" max="14847" width="8.7109375" style="12" customWidth="1"/>
    <col min="14848" max="14848" width="11" style="12" customWidth="1"/>
    <col min="14849" max="14849" width="9.7109375" style="12" customWidth="1"/>
    <col min="14850" max="15081" width="8.85546875" style="12"/>
    <col min="15082" max="15082" width="23.7109375" style="12" customWidth="1"/>
    <col min="15083" max="15083" width="10.7109375" style="12" customWidth="1"/>
    <col min="15084" max="15087" width="8.7109375" style="12" customWidth="1"/>
    <col min="15088" max="15088" width="11" style="12" customWidth="1"/>
    <col min="15089" max="15089" width="10.7109375" style="12" customWidth="1"/>
    <col min="15090" max="15091" width="8.85546875" style="12"/>
    <col min="15092" max="15095" width="8.7109375" style="12" customWidth="1"/>
    <col min="15096" max="15096" width="11.42578125" style="12" customWidth="1"/>
    <col min="15097" max="15099" width="8.85546875" style="12"/>
    <col min="15100" max="15103" width="8.7109375" style="12" customWidth="1"/>
    <col min="15104" max="15104" width="11" style="12" customWidth="1"/>
    <col min="15105" max="15105" width="9.7109375" style="12" customWidth="1"/>
    <col min="15106" max="15337" width="8.85546875" style="12"/>
    <col min="15338" max="15338" width="23.7109375" style="12" customWidth="1"/>
    <col min="15339" max="15339" width="10.7109375" style="12" customWidth="1"/>
    <col min="15340" max="15343" width="8.7109375" style="12" customWidth="1"/>
    <col min="15344" max="15344" width="11" style="12" customWidth="1"/>
    <col min="15345" max="15345" width="10.7109375" style="12" customWidth="1"/>
    <col min="15346" max="15347" width="8.85546875" style="12"/>
    <col min="15348" max="15351" width="8.7109375" style="12" customWidth="1"/>
    <col min="15352" max="15352" width="11.42578125" style="12" customWidth="1"/>
    <col min="15353" max="15355" width="8.85546875" style="12"/>
    <col min="15356" max="15359" width="8.7109375" style="12" customWidth="1"/>
    <col min="15360" max="15360" width="11" style="12" customWidth="1"/>
    <col min="15361" max="15361" width="9.7109375" style="12" customWidth="1"/>
    <col min="15362" max="15593" width="8.85546875" style="12"/>
    <col min="15594" max="15594" width="23.7109375" style="12" customWidth="1"/>
    <col min="15595" max="15595" width="10.7109375" style="12" customWidth="1"/>
    <col min="15596" max="15599" width="8.7109375" style="12" customWidth="1"/>
    <col min="15600" max="15600" width="11" style="12" customWidth="1"/>
    <col min="15601" max="15601" width="10.7109375" style="12" customWidth="1"/>
    <col min="15602" max="15603" width="8.85546875" style="12"/>
    <col min="15604" max="15607" width="8.7109375" style="12" customWidth="1"/>
    <col min="15608" max="15608" width="11.42578125" style="12" customWidth="1"/>
    <col min="15609" max="15611" width="8.85546875" style="12"/>
    <col min="15612" max="15615" width="8.7109375" style="12" customWidth="1"/>
    <col min="15616" max="15616" width="11" style="12" customWidth="1"/>
    <col min="15617" max="15617" width="9.7109375" style="12" customWidth="1"/>
    <col min="15618" max="15849" width="8.85546875" style="12"/>
    <col min="15850" max="15850" width="23.7109375" style="12" customWidth="1"/>
    <col min="15851" max="15851" width="10.7109375" style="12" customWidth="1"/>
    <col min="15852" max="15855" width="8.7109375" style="12" customWidth="1"/>
    <col min="15856" max="15856" width="11" style="12" customWidth="1"/>
    <col min="15857" max="15857" width="10.7109375" style="12" customWidth="1"/>
    <col min="15858" max="15859" width="8.85546875" style="12"/>
    <col min="15860" max="15863" width="8.7109375" style="12" customWidth="1"/>
    <col min="15864" max="15864" width="11.42578125" style="12" customWidth="1"/>
    <col min="15865" max="15867" width="8.85546875" style="12"/>
    <col min="15868" max="15871" width="8.7109375" style="12" customWidth="1"/>
    <col min="15872" max="15872" width="11" style="12" customWidth="1"/>
    <col min="15873" max="15873" width="9.7109375" style="12" customWidth="1"/>
    <col min="15874" max="16105" width="8.85546875" style="12"/>
    <col min="16106" max="16106" width="23.7109375" style="12" customWidth="1"/>
    <col min="16107" max="16107" width="10.7109375" style="12" customWidth="1"/>
    <col min="16108" max="16111" width="8.7109375" style="12" customWidth="1"/>
    <col min="16112" max="16112" width="11" style="12" customWidth="1"/>
    <col min="16113" max="16113" width="10.7109375" style="12" customWidth="1"/>
    <col min="16114" max="16115" width="8.85546875" style="12"/>
    <col min="16116" max="16119" width="8.7109375" style="12" customWidth="1"/>
    <col min="16120" max="16120" width="11.42578125" style="12" customWidth="1"/>
    <col min="16121" max="16123" width="8.85546875" style="12"/>
    <col min="16124" max="16127" width="8.7109375" style="12" customWidth="1"/>
    <col min="16128" max="16128" width="11" style="12" customWidth="1"/>
    <col min="16129" max="16129" width="9.7109375" style="12" customWidth="1"/>
    <col min="16130" max="16361" width="8.85546875" style="12"/>
    <col min="16362" max="16384" width="9.28515625" style="12" customWidth="1"/>
  </cols>
  <sheetData>
    <row r="1" spans="1:14" x14ac:dyDescent="0.2">
      <c r="A1" s="401" t="s">
        <v>4</v>
      </c>
      <c r="B1" s="401"/>
      <c r="C1" s="401"/>
      <c r="D1" s="401"/>
      <c r="E1" s="401"/>
      <c r="F1" s="401"/>
      <c r="G1" s="401"/>
      <c r="H1" s="401"/>
    </row>
    <row r="2" spans="1:14" x14ac:dyDescent="0.2">
      <c r="A2" s="401" t="s">
        <v>7</v>
      </c>
      <c r="B2" s="401"/>
      <c r="C2" s="401"/>
      <c r="D2" s="401"/>
      <c r="E2" s="401"/>
      <c r="F2" s="401"/>
      <c r="G2" s="401"/>
      <c r="H2" s="401"/>
    </row>
    <row r="3" spans="1:14" ht="12.75" x14ac:dyDescent="0.2">
      <c r="A3" s="402" t="s">
        <v>64</v>
      </c>
      <c r="B3" s="402"/>
      <c r="C3" s="402"/>
      <c r="D3" s="402"/>
      <c r="E3" s="402"/>
      <c r="F3" s="402"/>
      <c r="G3" s="402"/>
      <c r="H3" s="402"/>
    </row>
    <row r="4" spans="1:14" ht="12.75" x14ac:dyDescent="0.2">
      <c r="A4" s="402" t="s">
        <v>58</v>
      </c>
      <c r="B4" s="402"/>
      <c r="C4" s="402"/>
      <c r="D4" s="402"/>
      <c r="E4" s="402"/>
      <c r="F4" s="402"/>
      <c r="G4" s="402"/>
      <c r="H4" s="402"/>
    </row>
    <row r="5" spans="1:14" ht="12" x14ac:dyDescent="0.2">
      <c r="A5" s="411" t="str">
        <f>'G7toG10 School Leaver'!A5:H5</f>
        <v>SY 2022-2023</v>
      </c>
      <c r="B5" s="411"/>
      <c r="C5" s="411"/>
      <c r="D5" s="411"/>
      <c r="E5" s="411"/>
      <c r="F5" s="411"/>
      <c r="G5" s="411"/>
      <c r="H5" s="411"/>
    </row>
    <row r="6" spans="1:14" ht="12.75" x14ac:dyDescent="0.2">
      <c r="A6" s="254"/>
      <c r="B6" s="255"/>
      <c r="C6" s="256"/>
      <c r="D6" s="256"/>
      <c r="E6" s="256"/>
      <c r="F6" s="256"/>
      <c r="G6" s="315"/>
      <c r="H6" s="316"/>
    </row>
    <row r="7" spans="1:14" x14ac:dyDescent="0.2">
      <c r="A7" s="21"/>
      <c r="B7" s="20"/>
      <c r="C7" s="317"/>
      <c r="D7" s="317"/>
      <c r="E7" s="317"/>
      <c r="F7" s="317"/>
      <c r="H7" s="318"/>
    </row>
    <row r="8" spans="1:14" ht="15" thickBot="1" x14ac:dyDescent="0.25">
      <c r="A8" s="261" t="s">
        <v>59</v>
      </c>
      <c r="B8" s="20"/>
      <c r="H8" s="319"/>
    </row>
    <row r="9" spans="1:14" ht="13.5" thickBot="1" x14ac:dyDescent="0.25">
      <c r="A9" s="110"/>
      <c r="I9" s="29"/>
    </row>
    <row r="10" spans="1:14" ht="10.15" customHeight="1" x14ac:dyDescent="0.2">
      <c r="A10" s="300" t="s">
        <v>30</v>
      </c>
      <c r="B10" s="396" t="s">
        <v>11</v>
      </c>
      <c r="C10" s="405" t="s">
        <v>60</v>
      </c>
      <c r="D10" s="407" t="s">
        <v>61</v>
      </c>
      <c r="E10" s="409" t="s">
        <v>62</v>
      </c>
      <c r="F10" s="264" t="s">
        <v>63</v>
      </c>
      <c r="G10" s="266" t="s">
        <v>46</v>
      </c>
      <c r="H10" s="325" t="s">
        <v>31</v>
      </c>
      <c r="I10" s="404"/>
      <c r="J10" s="404"/>
      <c r="K10" s="404"/>
      <c r="L10" s="404"/>
      <c r="M10" s="302"/>
      <c r="N10" s="327"/>
    </row>
    <row r="11" spans="1:14" ht="12" thickBot="1" x14ac:dyDescent="0.25">
      <c r="A11" s="301"/>
      <c r="B11" s="397"/>
      <c r="C11" s="406"/>
      <c r="D11" s="408"/>
      <c r="E11" s="410"/>
      <c r="F11" s="321" t="s">
        <v>47</v>
      </c>
      <c r="G11" s="274" t="s">
        <v>25</v>
      </c>
      <c r="H11" s="326" t="s">
        <v>32</v>
      </c>
      <c r="I11" s="404"/>
      <c r="J11" s="404"/>
      <c r="K11" s="404"/>
      <c r="L11" s="404"/>
      <c r="M11" s="302"/>
      <c r="N11" s="327"/>
    </row>
    <row r="12" spans="1:14" x14ac:dyDescent="0.2">
      <c r="A12" s="287" t="s">
        <v>33</v>
      </c>
      <c r="B12" s="19" t="s">
        <v>2</v>
      </c>
      <c r="C12" s="67">
        <v>0.98652982681205903</v>
      </c>
      <c r="D12" s="68">
        <v>0.986784140969163</v>
      </c>
      <c r="E12" s="68">
        <v>0.98169844754172064</v>
      </c>
      <c r="F12" s="210">
        <v>0.98745331158924721</v>
      </c>
      <c r="G12" s="67">
        <v>0.98564090101815327</v>
      </c>
      <c r="H12" s="323">
        <v>1.0091743119266054</v>
      </c>
      <c r="I12" s="286"/>
      <c r="J12" s="286"/>
      <c r="K12" s="286"/>
      <c r="L12" s="286"/>
      <c r="M12" s="286"/>
      <c r="N12" s="13"/>
    </row>
    <row r="13" spans="1:14" x14ac:dyDescent="0.2">
      <c r="A13" s="16"/>
      <c r="B13" s="18" t="s">
        <v>1</v>
      </c>
      <c r="C13" s="70">
        <v>0.98087359713367406</v>
      </c>
      <c r="D13" s="71">
        <v>0.98067773006846926</v>
      </c>
      <c r="E13" s="71">
        <v>0.97916118507604066</v>
      </c>
      <c r="F13" s="83">
        <v>0.98304627179957882</v>
      </c>
      <c r="G13" s="70">
        <v>0.98099999999999998</v>
      </c>
      <c r="H13" s="323"/>
      <c r="I13" s="286"/>
      <c r="J13" s="286"/>
      <c r="K13" s="286"/>
      <c r="L13" s="286"/>
      <c r="M13" s="286"/>
      <c r="N13" s="13"/>
    </row>
    <row r="14" spans="1:14" ht="12" thickBot="1" x14ac:dyDescent="0.25">
      <c r="A14" s="288"/>
      <c r="B14" s="17" t="s">
        <v>0</v>
      </c>
      <c r="C14" s="87">
        <v>0.99235233497857567</v>
      </c>
      <c r="D14" s="175">
        <v>0.99178548377633047</v>
      </c>
      <c r="E14" s="175">
        <v>0.98426201616333475</v>
      </c>
      <c r="F14" s="86">
        <v>0.99163973944709438</v>
      </c>
      <c r="G14" s="87">
        <v>0.99</v>
      </c>
      <c r="H14" s="324"/>
      <c r="I14" s="286"/>
      <c r="J14" s="286"/>
      <c r="K14" s="286"/>
      <c r="L14" s="286"/>
      <c r="M14" s="286"/>
      <c r="N14" s="13"/>
    </row>
    <row r="15" spans="1:14" ht="10.15" customHeight="1" x14ac:dyDescent="0.2">
      <c r="A15" s="287" t="s">
        <v>34</v>
      </c>
      <c r="B15" s="19" t="s">
        <v>2</v>
      </c>
      <c r="C15" s="67">
        <v>0.97041013796117115</v>
      </c>
      <c r="D15" s="68">
        <v>0.9607486026502543</v>
      </c>
      <c r="E15" s="68">
        <v>0.95437616387337054</v>
      </c>
      <c r="F15" s="210">
        <v>0.99136911799479788</v>
      </c>
      <c r="G15" s="67">
        <v>0.9692103681812585</v>
      </c>
      <c r="H15" s="323">
        <v>1.02</v>
      </c>
      <c r="I15" s="286"/>
      <c r="J15" s="286"/>
      <c r="K15" s="286"/>
      <c r="L15" s="286"/>
      <c r="M15" s="286"/>
      <c r="N15" s="13"/>
    </row>
    <row r="16" spans="1:14" x14ac:dyDescent="0.2">
      <c r="A16" s="16"/>
      <c r="B16" s="18" t="s">
        <v>1</v>
      </c>
      <c r="C16" s="70">
        <v>0.95774818401937045</v>
      </c>
      <c r="D16" s="71">
        <v>0.9433261442607237</v>
      </c>
      <c r="E16" s="71">
        <v>0.95184743742550659</v>
      </c>
      <c r="F16" s="83">
        <v>0.98715403480088759</v>
      </c>
      <c r="G16" s="70">
        <v>0.96</v>
      </c>
      <c r="H16" s="323"/>
      <c r="I16" s="286"/>
      <c r="J16" s="286"/>
      <c r="K16" s="286"/>
      <c r="L16" s="286"/>
      <c r="M16" s="286"/>
      <c r="N16" s="13"/>
    </row>
    <row r="17" spans="1:14" ht="12" thickBot="1" x14ac:dyDescent="0.25">
      <c r="A17" s="288"/>
      <c r="B17" s="17" t="s">
        <v>0</v>
      </c>
      <c r="C17" s="87">
        <v>0.98388967650470427</v>
      </c>
      <c r="D17" s="175">
        <v>0.97993928995644719</v>
      </c>
      <c r="E17" s="175">
        <v>0.9571243523316062</v>
      </c>
      <c r="F17" s="86">
        <v>0.99569017119597747</v>
      </c>
      <c r="G17" s="87">
        <v>0.97919999999999996</v>
      </c>
      <c r="H17" s="324"/>
      <c r="I17" s="286"/>
      <c r="J17" s="286"/>
      <c r="K17" s="286"/>
      <c r="L17" s="286"/>
      <c r="M17" s="286"/>
      <c r="N17" s="13"/>
    </row>
    <row r="18" spans="1:14" x14ac:dyDescent="0.2">
      <c r="A18" s="287" t="s">
        <v>35</v>
      </c>
      <c r="B18" s="19" t="s">
        <v>2</v>
      </c>
      <c r="C18" s="67">
        <v>0.95960667116552589</v>
      </c>
      <c r="D18" s="68">
        <v>0.93091076356945723</v>
      </c>
      <c r="E18" s="68">
        <v>0.92339062044858722</v>
      </c>
      <c r="F18" s="210">
        <v>0.99522248243559719</v>
      </c>
      <c r="G18" s="67">
        <v>0.95228078499182789</v>
      </c>
      <c r="H18" s="323">
        <v>1.0122517955217574</v>
      </c>
      <c r="I18" s="286"/>
      <c r="J18" s="286"/>
      <c r="K18" s="286"/>
      <c r="L18" s="286"/>
      <c r="M18" s="286"/>
      <c r="N18" s="13"/>
    </row>
    <row r="19" spans="1:14" x14ac:dyDescent="0.2">
      <c r="A19" s="16"/>
      <c r="B19" s="18" t="s">
        <v>1</v>
      </c>
      <c r="C19" s="70">
        <v>0.95640736565201057</v>
      </c>
      <c r="D19" s="71">
        <v>0.91475694444444444</v>
      </c>
      <c r="E19" s="71">
        <v>0.92347600518806749</v>
      </c>
      <c r="F19" s="83">
        <v>0.99234217407545755</v>
      </c>
      <c r="G19" s="70">
        <v>0.94680000000000009</v>
      </c>
      <c r="H19" s="323"/>
      <c r="I19" s="286"/>
      <c r="J19" s="286"/>
      <c r="K19" s="286"/>
      <c r="L19" s="286"/>
      <c r="M19" s="286"/>
      <c r="N19" s="13"/>
    </row>
    <row r="20" spans="1:14" ht="12" thickBot="1" x14ac:dyDescent="0.25">
      <c r="A20" s="288"/>
      <c r="B20" s="17" t="s">
        <v>0</v>
      </c>
      <c r="C20" s="87">
        <v>0.96297762819243715</v>
      </c>
      <c r="D20" s="175">
        <v>0.94911937377690803</v>
      </c>
      <c r="E20" s="175">
        <v>0.92329661362709103</v>
      </c>
      <c r="F20" s="86">
        <v>0.99812065401240369</v>
      </c>
      <c r="G20" s="87">
        <v>0.95840000000000003</v>
      </c>
      <c r="H20" s="324"/>
      <c r="I20" s="286"/>
      <c r="J20" s="286"/>
      <c r="K20" s="286"/>
      <c r="L20" s="286"/>
      <c r="M20" s="286"/>
      <c r="N20" s="13"/>
    </row>
    <row r="21" spans="1:14" x14ac:dyDescent="0.2">
      <c r="A21" s="287" t="s">
        <v>36</v>
      </c>
      <c r="B21" s="19" t="s">
        <v>2</v>
      </c>
      <c r="C21" s="67">
        <v>0.95118604195255829</v>
      </c>
      <c r="D21" s="68">
        <v>0.93373145829319981</v>
      </c>
      <c r="E21" s="68">
        <v>0.93319049474094273</v>
      </c>
      <c r="F21" s="210">
        <v>0.99345511380287188</v>
      </c>
      <c r="G21" s="67">
        <v>0.95284551339774637</v>
      </c>
      <c r="H21" s="323">
        <v>1.0184243964421855</v>
      </c>
      <c r="I21" s="286"/>
      <c r="J21" s="286"/>
      <c r="K21" s="286"/>
      <c r="L21" s="286"/>
      <c r="M21" s="286"/>
      <c r="N21" s="13"/>
    </row>
    <row r="22" spans="1:14" x14ac:dyDescent="0.2">
      <c r="A22" s="16"/>
      <c r="B22" s="18" t="s">
        <v>1</v>
      </c>
      <c r="C22" s="70">
        <v>0.93829053277117669</v>
      </c>
      <c r="D22" s="71">
        <v>0.91685226429101707</v>
      </c>
      <c r="E22" s="71">
        <v>0.93354789852328668</v>
      </c>
      <c r="F22" s="83">
        <v>0.9893659711075441</v>
      </c>
      <c r="G22" s="70">
        <v>0.94440000000000002</v>
      </c>
      <c r="H22" s="323"/>
      <c r="I22" s="286"/>
      <c r="J22" s="286"/>
      <c r="K22" s="286"/>
      <c r="L22" s="286"/>
      <c r="M22" s="286"/>
      <c r="N22" s="13"/>
    </row>
    <row r="23" spans="1:14" ht="12" thickBot="1" x14ac:dyDescent="0.25">
      <c r="A23" s="288"/>
      <c r="B23" s="17" t="s">
        <v>0</v>
      </c>
      <c r="C23" s="87">
        <v>0.9646869983948636</v>
      </c>
      <c r="D23" s="175">
        <v>0.95194233079695634</v>
      </c>
      <c r="E23" s="175">
        <v>0.93281187324508619</v>
      </c>
      <c r="F23" s="86">
        <v>0.9973348562726061</v>
      </c>
      <c r="G23" s="87">
        <v>0.96179999999999999</v>
      </c>
      <c r="H23" s="324"/>
      <c r="I23" s="286"/>
      <c r="J23" s="286"/>
      <c r="K23" s="286"/>
      <c r="L23" s="286"/>
      <c r="M23" s="286"/>
      <c r="N23" s="13"/>
    </row>
    <row r="24" spans="1:14" x14ac:dyDescent="0.2">
      <c r="A24" s="287" t="s">
        <v>37</v>
      </c>
      <c r="B24" s="19" t="s">
        <v>2</v>
      </c>
      <c r="C24" s="221">
        <v>0.91565731166912856</v>
      </c>
      <c r="D24" s="222">
        <v>0.88243870112657385</v>
      </c>
      <c r="E24" s="222">
        <v>0.8661953041622199</v>
      </c>
      <c r="F24" s="223">
        <v>0.99017405951712523</v>
      </c>
      <c r="G24" s="221">
        <v>0.91375033696215657</v>
      </c>
      <c r="H24" s="323">
        <v>1.0290949472515269</v>
      </c>
      <c r="I24" s="286"/>
      <c r="J24" s="286"/>
      <c r="K24" s="286"/>
      <c r="L24" s="286"/>
      <c r="M24" s="286"/>
      <c r="N24" s="13"/>
    </row>
    <row r="25" spans="1:14" ht="9.6" customHeight="1" x14ac:dyDescent="0.2">
      <c r="A25" s="16"/>
      <c r="B25" s="18" t="s">
        <v>1</v>
      </c>
      <c r="C25" s="131">
        <v>0.89257694628847317</v>
      </c>
      <c r="D25" s="180">
        <v>0.86003732338043193</v>
      </c>
      <c r="E25" s="180">
        <v>0.86157582298974633</v>
      </c>
      <c r="F25" s="130">
        <v>0.98657517899761338</v>
      </c>
      <c r="G25" s="131">
        <v>0.90049999999999997</v>
      </c>
      <c r="H25" s="323"/>
      <c r="I25" s="286"/>
      <c r="J25" s="286"/>
      <c r="K25" s="286"/>
      <c r="L25" s="286"/>
      <c r="M25" s="286"/>
      <c r="N25" s="13"/>
    </row>
    <row r="26" spans="1:14" ht="12" thickBot="1" x14ac:dyDescent="0.25">
      <c r="A26" s="288"/>
      <c r="B26" s="17" t="s">
        <v>0</v>
      </c>
      <c r="C26" s="136">
        <v>0.93778935185185186</v>
      </c>
      <c r="D26" s="182">
        <v>0.90458618871903007</v>
      </c>
      <c r="E26" s="182">
        <v>0.87071240105540892</v>
      </c>
      <c r="F26" s="135">
        <v>0.99337221633085893</v>
      </c>
      <c r="G26" s="136">
        <v>0.92669999999999997</v>
      </c>
      <c r="H26" s="324"/>
      <c r="I26" s="286"/>
      <c r="J26" s="286"/>
      <c r="K26" s="286"/>
      <c r="L26" s="286"/>
      <c r="M26" s="286"/>
      <c r="N26" s="13"/>
    </row>
    <row r="27" spans="1:14" x14ac:dyDescent="0.2">
      <c r="A27" s="287" t="s">
        <v>38</v>
      </c>
      <c r="B27" s="19" t="s">
        <v>2</v>
      </c>
      <c r="C27" s="67">
        <v>0.94708994708994709</v>
      </c>
      <c r="D27" s="68">
        <v>0.92527562270314412</v>
      </c>
      <c r="E27" s="68">
        <v>0.92088897950861459</v>
      </c>
      <c r="F27" s="210">
        <v>0.97877435506694244</v>
      </c>
      <c r="G27" s="67">
        <v>0.9310977474263582</v>
      </c>
      <c r="H27" s="323">
        <v>1.020191146134874</v>
      </c>
      <c r="I27" s="308"/>
      <c r="J27" s="308"/>
      <c r="K27" s="308"/>
      <c r="L27" s="308"/>
      <c r="M27" s="308"/>
      <c r="N27" s="309"/>
    </row>
    <row r="28" spans="1:14" ht="12" x14ac:dyDescent="0.2">
      <c r="A28" s="310"/>
      <c r="B28" s="18" t="s">
        <v>1</v>
      </c>
      <c r="C28" s="70">
        <v>0.9332545776727702</v>
      </c>
      <c r="D28" s="71">
        <v>0.91559342183475334</v>
      </c>
      <c r="E28" s="71">
        <v>0.91692119731215638</v>
      </c>
      <c r="F28" s="83">
        <v>0.97345548508339208</v>
      </c>
      <c r="G28" s="70">
        <v>0.92199241870053872</v>
      </c>
      <c r="H28" s="323"/>
      <c r="I28" s="308"/>
      <c r="J28" s="308"/>
      <c r="K28" s="308"/>
      <c r="L28" s="308"/>
      <c r="M28" s="308"/>
      <c r="N28" s="309"/>
    </row>
    <row r="29" spans="1:14" x14ac:dyDescent="0.2">
      <c r="A29" s="288"/>
      <c r="B29" s="17" t="s">
        <v>0</v>
      </c>
      <c r="C29" s="87">
        <v>0.96188671299220885</v>
      </c>
      <c r="D29" s="175">
        <v>0.93556538218572327</v>
      </c>
      <c r="E29" s="175">
        <v>0.92486729277256019</v>
      </c>
      <c r="F29" s="86">
        <v>0.98336713995943204</v>
      </c>
      <c r="G29" s="87">
        <v>0.94060850236176718</v>
      </c>
      <c r="H29" s="324"/>
      <c r="I29" s="308"/>
      <c r="J29" s="308"/>
      <c r="K29" s="308"/>
      <c r="L29" s="308"/>
      <c r="M29" s="308"/>
      <c r="N29" s="309"/>
    </row>
    <row r="30" spans="1:14" x14ac:dyDescent="0.2">
      <c r="A30" s="287" t="s">
        <v>39</v>
      </c>
      <c r="B30" s="18" t="s">
        <v>2</v>
      </c>
      <c r="C30" s="70">
        <v>0.97819460726846419</v>
      </c>
      <c r="D30" s="71">
        <v>0.97527253390055835</v>
      </c>
      <c r="E30" s="71">
        <v>0.9810437631640534</v>
      </c>
      <c r="F30" s="71">
        <v>0.98755284170972291</v>
      </c>
      <c r="G30" s="71">
        <v>0.98067282720299576</v>
      </c>
      <c r="H30" s="323">
        <v>1.0200885958586587</v>
      </c>
      <c r="I30" s="286"/>
      <c r="J30" s="286"/>
      <c r="K30" s="286"/>
      <c r="L30" s="286"/>
      <c r="M30" s="286"/>
      <c r="N30" s="13"/>
    </row>
    <row r="31" spans="1:14" x14ac:dyDescent="0.2">
      <c r="A31" s="16"/>
      <c r="B31" s="18" t="s">
        <v>1</v>
      </c>
      <c r="C31" s="70">
        <v>0.96493688639551189</v>
      </c>
      <c r="D31" s="71">
        <v>0.96517150395778362</v>
      </c>
      <c r="E31" s="71">
        <v>0.97155255544840891</v>
      </c>
      <c r="F31" s="71">
        <v>0.98123732251521301</v>
      </c>
      <c r="G31" s="71">
        <v>0.97070000000000001</v>
      </c>
      <c r="H31" s="323"/>
      <c r="I31" s="286"/>
      <c r="J31" s="286"/>
      <c r="K31" s="286"/>
      <c r="L31" s="286"/>
      <c r="M31" s="286"/>
      <c r="N31" s="13"/>
    </row>
    <row r="32" spans="1:14" x14ac:dyDescent="0.2">
      <c r="A32" s="288"/>
      <c r="B32" s="17" t="s">
        <v>0</v>
      </c>
      <c r="C32" s="87">
        <v>0.9915333960489181</v>
      </c>
      <c r="D32" s="175">
        <v>0.98553054662379425</v>
      </c>
      <c r="E32" s="175">
        <v>0.98999545247839926</v>
      </c>
      <c r="F32" s="175">
        <v>0.99300087489063871</v>
      </c>
      <c r="G32" s="175">
        <v>0.99019999999999997</v>
      </c>
      <c r="H32" s="324"/>
      <c r="I32" s="286"/>
      <c r="J32" s="286"/>
      <c r="K32" s="286"/>
      <c r="L32" s="286"/>
      <c r="M32" s="286"/>
      <c r="N32" s="13"/>
    </row>
    <row r="33" spans="1:14" ht="10.15" customHeight="1" x14ac:dyDescent="0.2">
      <c r="A33" s="287" t="s">
        <v>40</v>
      </c>
      <c r="B33" s="18" t="s">
        <v>2</v>
      </c>
      <c r="C33" s="70">
        <v>0.97526793075020612</v>
      </c>
      <c r="D33" s="71">
        <v>0.96832225263981231</v>
      </c>
      <c r="E33" s="71">
        <v>0.96943607404218679</v>
      </c>
      <c r="F33" s="71">
        <v>0.97845528455284558</v>
      </c>
      <c r="G33" s="71">
        <v>0.97286151955764899</v>
      </c>
      <c r="H33" s="323">
        <v>1.036742384591228</v>
      </c>
      <c r="I33" s="286"/>
      <c r="J33" s="286"/>
      <c r="K33" s="286"/>
      <c r="L33" s="286"/>
      <c r="M33" s="286"/>
      <c r="N33" s="13"/>
    </row>
    <row r="34" spans="1:14" x14ac:dyDescent="0.2">
      <c r="A34" s="16"/>
      <c r="B34" s="18" t="s">
        <v>1</v>
      </c>
      <c r="C34" s="70">
        <v>0.957286432160804</v>
      </c>
      <c r="D34" s="71">
        <v>0.9496619083395943</v>
      </c>
      <c r="E34" s="71">
        <v>0.94626364399664142</v>
      </c>
      <c r="F34" s="71">
        <v>0.96807661612130891</v>
      </c>
      <c r="G34" s="71">
        <v>0.95529999999999993</v>
      </c>
      <c r="H34" s="323"/>
      <c r="I34" s="286"/>
      <c r="J34" s="286"/>
      <c r="K34" s="286"/>
      <c r="L34" s="286"/>
      <c r="M34" s="286"/>
      <c r="N34" s="13"/>
    </row>
    <row r="35" spans="1:14" x14ac:dyDescent="0.2">
      <c r="A35" s="288"/>
      <c r="B35" s="17" t="s">
        <v>0</v>
      </c>
      <c r="C35" s="87">
        <v>0.99269480519480524</v>
      </c>
      <c r="D35" s="175">
        <v>0.98858075040783033</v>
      </c>
      <c r="E35" s="175">
        <v>0.99116607773851595</v>
      </c>
      <c r="F35" s="175">
        <v>0.9892294946147473</v>
      </c>
      <c r="G35" s="175">
        <v>0.99040000000000006</v>
      </c>
      <c r="H35" s="324"/>
      <c r="I35" s="286"/>
      <c r="J35" s="286"/>
      <c r="K35" s="286"/>
      <c r="L35" s="286"/>
      <c r="M35" s="286"/>
      <c r="N35" s="13"/>
    </row>
    <row r="36" spans="1:14" x14ac:dyDescent="0.2">
      <c r="A36" s="287" t="s">
        <v>41</v>
      </c>
      <c r="B36" s="18" t="s">
        <v>2</v>
      </c>
      <c r="C36" s="131">
        <v>0.94156783338154471</v>
      </c>
      <c r="D36" s="180">
        <v>0.94006752954417561</v>
      </c>
      <c r="E36" s="180">
        <v>0.92280606717226432</v>
      </c>
      <c r="F36" s="180">
        <v>0.95118662351672056</v>
      </c>
      <c r="G36" s="180">
        <v>0.934597776324395</v>
      </c>
      <c r="H36" s="323">
        <v>1.0577808621442335</v>
      </c>
      <c r="I36" s="308"/>
      <c r="J36" s="308"/>
      <c r="K36" s="308"/>
      <c r="L36" s="308"/>
      <c r="M36" s="308"/>
      <c r="N36" s="309"/>
    </row>
    <row r="37" spans="1:14" ht="12" x14ac:dyDescent="0.2">
      <c r="A37" s="310"/>
      <c r="B37" s="18" t="s">
        <v>1</v>
      </c>
      <c r="C37" s="131">
        <v>0.91696322657176754</v>
      </c>
      <c r="D37" s="180">
        <v>0.91420612813370472</v>
      </c>
      <c r="E37" s="180">
        <v>0.89515699840340601</v>
      </c>
      <c r="F37" s="180">
        <v>0.94736842105263153</v>
      </c>
      <c r="G37" s="180">
        <v>0.90839552238805965</v>
      </c>
      <c r="H37" s="323"/>
      <c r="I37" s="308"/>
      <c r="J37" s="308"/>
      <c r="K37" s="308"/>
      <c r="L37" s="308"/>
      <c r="M37" s="308"/>
      <c r="N37" s="309"/>
    </row>
    <row r="38" spans="1:14" x14ac:dyDescent="0.2">
      <c r="A38" s="288"/>
      <c r="B38" s="17" t="s">
        <v>0</v>
      </c>
      <c r="C38" s="136">
        <v>0.96499153020892148</v>
      </c>
      <c r="D38" s="182">
        <v>0.96645821489482664</v>
      </c>
      <c r="E38" s="182">
        <v>0.95146166574738</v>
      </c>
      <c r="F38" s="182">
        <v>0.95445445445445443</v>
      </c>
      <c r="G38" s="182">
        <v>0.96088339883960316</v>
      </c>
      <c r="H38" s="324"/>
      <c r="I38" s="308"/>
      <c r="J38" s="308"/>
      <c r="K38" s="308"/>
      <c r="L38" s="308"/>
      <c r="M38" s="308"/>
      <c r="N38" s="309"/>
    </row>
    <row r="39" spans="1:14" x14ac:dyDescent="0.2">
      <c r="A39" s="287" t="s">
        <v>42</v>
      </c>
      <c r="B39" s="18" t="s">
        <v>2</v>
      </c>
      <c r="C39" s="70">
        <v>0.99124827268539839</v>
      </c>
      <c r="D39" s="71">
        <v>0.99090707473941009</v>
      </c>
      <c r="E39" s="71">
        <v>0.9872218550341485</v>
      </c>
      <c r="F39" s="71">
        <v>0.99436560934891483</v>
      </c>
      <c r="G39" s="71">
        <v>0.9910000769992301</v>
      </c>
      <c r="H39" s="323">
        <v>1.0142493638676846</v>
      </c>
      <c r="I39" s="286"/>
      <c r="J39" s="286"/>
      <c r="K39" s="286"/>
      <c r="L39" s="286"/>
      <c r="M39" s="286"/>
      <c r="N39" s="13"/>
    </row>
    <row r="40" spans="1:14" x14ac:dyDescent="0.2">
      <c r="A40" s="16"/>
      <c r="B40" s="18" t="s">
        <v>1</v>
      </c>
      <c r="C40" s="70">
        <v>0.98526127735596247</v>
      </c>
      <c r="D40" s="71">
        <v>0.97829861111111116</v>
      </c>
      <c r="E40" s="71">
        <v>0.97554585152838424</v>
      </c>
      <c r="F40" s="71">
        <v>0.99085764040052238</v>
      </c>
      <c r="G40" s="71">
        <v>0.98249999999999993</v>
      </c>
      <c r="H40" s="323"/>
      <c r="I40" s="286"/>
      <c r="J40" s="286"/>
      <c r="K40" s="286"/>
      <c r="L40" s="286"/>
      <c r="M40" s="286"/>
      <c r="N40" s="13"/>
    </row>
    <row r="41" spans="1:14" x14ac:dyDescent="0.2">
      <c r="A41" s="288"/>
      <c r="B41" s="17" t="s">
        <v>0</v>
      </c>
      <c r="C41" s="87">
        <v>0.99762244412743695</v>
      </c>
      <c r="D41" s="175">
        <v>0.99455782312925167</v>
      </c>
      <c r="E41" s="175">
        <v>0.99599822143174743</v>
      </c>
      <c r="F41" s="175">
        <v>0.9975951903807615</v>
      </c>
      <c r="G41" s="175">
        <v>0.99650000000000005</v>
      </c>
      <c r="H41" s="324"/>
      <c r="I41" s="286"/>
      <c r="J41" s="286"/>
      <c r="K41" s="286"/>
      <c r="L41" s="286"/>
      <c r="M41" s="286"/>
      <c r="N41" s="13"/>
    </row>
    <row r="42" spans="1:14" x14ac:dyDescent="0.2">
      <c r="A42" s="287" t="s">
        <v>43</v>
      </c>
      <c r="B42" s="18" t="s">
        <v>2</v>
      </c>
      <c r="C42" s="70">
        <v>0.98962232051718269</v>
      </c>
      <c r="D42" s="71">
        <v>0.99034198860038003</v>
      </c>
      <c r="E42" s="71">
        <v>0.98889062744484435</v>
      </c>
      <c r="F42" s="71">
        <v>0.99415029248537579</v>
      </c>
      <c r="G42" s="71">
        <v>0.99078382702360213</v>
      </c>
      <c r="H42" s="323">
        <v>1.0098417207792207</v>
      </c>
      <c r="I42" s="286"/>
      <c r="J42" s="286"/>
      <c r="K42" s="286"/>
      <c r="L42" s="286"/>
      <c r="M42" s="286"/>
      <c r="N42" s="13"/>
    </row>
    <row r="43" spans="1:14" x14ac:dyDescent="0.2">
      <c r="A43" s="16"/>
      <c r="B43" s="18" t="s">
        <v>1</v>
      </c>
      <c r="C43" s="70">
        <v>0.98618875369944092</v>
      </c>
      <c r="D43" s="71">
        <v>0.9827098396730588</v>
      </c>
      <c r="E43" s="71">
        <v>0.98200992555831268</v>
      </c>
      <c r="F43" s="71">
        <v>0.99092833383731482</v>
      </c>
      <c r="G43" s="71">
        <v>0.98559999999999992</v>
      </c>
      <c r="H43" s="323"/>
      <c r="I43" s="286"/>
      <c r="J43" s="286"/>
      <c r="K43" s="286"/>
      <c r="L43" s="286"/>
      <c r="M43" s="286"/>
      <c r="N43" s="13"/>
    </row>
    <row r="44" spans="1:14" x14ac:dyDescent="0.2">
      <c r="A44" s="288"/>
      <c r="B44" s="17" t="s">
        <v>0</v>
      </c>
      <c r="C44" s="87">
        <v>0.99330278463165311</v>
      </c>
      <c r="D44" s="175">
        <v>0.99425837320574162</v>
      </c>
      <c r="E44" s="175">
        <v>0.99589516892958641</v>
      </c>
      <c r="F44" s="175">
        <v>0.99732142857142858</v>
      </c>
      <c r="G44" s="175">
        <v>0.99529999999999996</v>
      </c>
      <c r="H44" s="324"/>
      <c r="I44" s="286"/>
      <c r="J44" s="286"/>
      <c r="K44" s="286"/>
      <c r="L44" s="286"/>
      <c r="M44" s="286"/>
      <c r="N44" s="13"/>
    </row>
    <row r="45" spans="1:14" x14ac:dyDescent="0.2">
      <c r="A45" s="289" t="s">
        <v>3</v>
      </c>
      <c r="B45" s="290" t="s">
        <v>2</v>
      </c>
      <c r="C45" s="98">
        <v>0.97680579584775085</v>
      </c>
      <c r="D45" s="99">
        <v>0.95943008493926385</v>
      </c>
      <c r="E45" s="99">
        <v>0.9547212218279636</v>
      </c>
      <c r="F45" s="99">
        <v>0.98976692797390431</v>
      </c>
      <c r="G45" s="99">
        <v>0.97016867149774644</v>
      </c>
      <c r="H45" s="323">
        <v>1.0174654329971928</v>
      </c>
      <c r="I45" s="286"/>
      <c r="J45" s="286"/>
      <c r="K45" s="286"/>
      <c r="L45" s="286"/>
      <c r="M45" s="286"/>
      <c r="N45" s="13"/>
    </row>
    <row r="46" spans="1:14" x14ac:dyDescent="0.2">
      <c r="A46" s="293"/>
      <c r="B46" s="290" t="s">
        <v>1</v>
      </c>
      <c r="C46" s="98">
        <v>0.96580545766853787</v>
      </c>
      <c r="D46" s="99">
        <v>0.94576313535122791</v>
      </c>
      <c r="E46" s="99">
        <v>0.95065129823704819</v>
      </c>
      <c r="F46" s="99">
        <v>0.98535180852978221</v>
      </c>
      <c r="G46" s="99">
        <v>0.96190000000000009</v>
      </c>
      <c r="H46" s="323"/>
      <c r="I46" s="286"/>
      <c r="J46" s="286"/>
      <c r="K46" s="286"/>
      <c r="L46" s="286"/>
      <c r="M46" s="286"/>
      <c r="N46" s="13"/>
    </row>
    <row r="47" spans="1:14" ht="12" thickBot="1" x14ac:dyDescent="0.25">
      <c r="A47" s="296"/>
      <c r="B47" s="297" t="s">
        <v>0</v>
      </c>
      <c r="C47" s="105">
        <v>0.98820291716356301</v>
      </c>
      <c r="D47" s="106">
        <v>0.97375509745968802</v>
      </c>
      <c r="E47" s="106">
        <v>0.95891419948260992</v>
      </c>
      <c r="F47" s="106">
        <v>0.99396292242440831</v>
      </c>
      <c r="G47" s="106">
        <v>0.9786999999999999</v>
      </c>
      <c r="H47" s="324"/>
      <c r="I47" s="286"/>
      <c r="J47" s="286"/>
      <c r="K47" s="286"/>
      <c r="L47" s="286"/>
      <c r="M47" s="286"/>
      <c r="N47" s="13"/>
    </row>
    <row r="48" spans="1:14" x14ac:dyDescent="0.2">
      <c r="A48" s="110"/>
    </row>
  </sheetData>
  <sheetProtection algorithmName="SHA-512" hashValue="5SzQ66pH3FZic95r99c5w90IU/gdpeA5ke0jUMPnR3nGmMX9beEmJcQZbC3fkNvyiT7KMk8F0nOphg5i/0DSLw==" saltValue="y2csrSuPxos19HdMCAwNqQ==" spinCount="100000" sheet="1" objects="1" scenarios="1"/>
  <mergeCells count="13">
    <mergeCell ref="A1:H1"/>
    <mergeCell ref="A2:H2"/>
    <mergeCell ref="A3:H3"/>
    <mergeCell ref="A4:H4"/>
    <mergeCell ref="A5:H5"/>
    <mergeCell ref="J10:J11"/>
    <mergeCell ref="K10:K11"/>
    <mergeCell ref="L10:L11"/>
    <mergeCell ref="B10:B11"/>
    <mergeCell ref="C10:C11"/>
    <mergeCell ref="D10:D11"/>
    <mergeCell ref="E10:E11"/>
    <mergeCell ref="I10:I11"/>
  </mergeCells>
  <conditionalFormatting sqref="H1:H3 H5:H1048576">
    <cfRule type="cellIs" dxfId="7" priority="8" operator="lessThan">
      <formula>0</formula>
    </cfRule>
  </conditionalFormatting>
  <conditionalFormatting sqref="I10:N11">
    <cfRule type="cellIs" dxfId="6" priority="2" operator="lessThan">
      <formula>0</formula>
    </cfRule>
  </conditionalFormatting>
  <printOptions horizontalCentered="1"/>
  <pageMargins left="0" right="0" top="0.75" bottom="0.75" header="0.5" footer="0.35"/>
  <pageSetup paperSize="9" scale="94" orientation="portrait" horizontalDpi="300" verticalDpi="300" r:id="rId1"/>
  <headerFooter alignWithMargins="0">
    <oddFooter>&amp;C&amp;8Page &amp;P of &amp;N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  <pageSetUpPr fitToPage="1"/>
  </sheetPr>
  <dimension ref="A1:H48"/>
  <sheetViews>
    <sheetView showGridLines="0" zoomScaleNormal="100" workbookViewId="0">
      <pane xSplit="2" ySplit="8" topLeftCell="C9" activePane="bottomRight" state="frozen"/>
      <selection activeCell="N9" sqref="N9:X9"/>
      <selection pane="topRight" activeCell="N9" sqref="N9:X9"/>
      <selection pane="bottomLeft" activeCell="N9" sqref="N9:X9"/>
      <selection pane="bottomRight" activeCell="B49" sqref="B49:H848"/>
    </sheetView>
  </sheetViews>
  <sheetFormatPr defaultColWidth="8.85546875" defaultRowHeight="11.25" x14ac:dyDescent="0.2"/>
  <cols>
    <col min="1" max="1" width="44.140625" style="314" customWidth="1"/>
    <col min="2" max="2" width="10.42578125" style="12" bestFit="1" customWidth="1"/>
    <col min="3" max="6" width="7.7109375" style="334" customWidth="1"/>
    <col min="7" max="7" width="11.5703125" style="334" customWidth="1"/>
    <col min="8" max="8" width="10.7109375" style="13" customWidth="1"/>
    <col min="9" max="16384" width="8.85546875" style="12"/>
  </cols>
  <sheetData>
    <row r="1" spans="1:8" x14ac:dyDescent="0.2">
      <c r="A1" s="401" t="s">
        <v>4</v>
      </c>
      <c r="B1" s="401"/>
      <c r="C1" s="401"/>
      <c r="D1" s="401"/>
      <c r="E1" s="401"/>
      <c r="F1" s="401"/>
      <c r="G1" s="401"/>
      <c r="H1" s="401"/>
    </row>
    <row r="2" spans="1:8" x14ac:dyDescent="0.2">
      <c r="A2" s="401" t="s">
        <v>7</v>
      </c>
      <c r="B2" s="401"/>
      <c r="C2" s="401"/>
      <c r="D2" s="401"/>
      <c r="E2" s="401"/>
      <c r="F2" s="401"/>
      <c r="G2" s="401"/>
      <c r="H2" s="401"/>
    </row>
    <row r="3" spans="1:8" ht="12.75" x14ac:dyDescent="0.2">
      <c r="A3" s="402" t="s">
        <v>65</v>
      </c>
      <c r="B3" s="402"/>
      <c r="C3" s="402"/>
      <c r="D3" s="402"/>
      <c r="E3" s="402"/>
      <c r="F3" s="402"/>
      <c r="G3" s="402"/>
      <c r="H3" s="402"/>
    </row>
    <row r="4" spans="1:8" ht="12.75" x14ac:dyDescent="0.2">
      <c r="A4" s="402" t="s">
        <v>58</v>
      </c>
      <c r="B4" s="402"/>
      <c r="C4" s="402"/>
      <c r="D4" s="402"/>
      <c r="E4" s="402"/>
      <c r="F4" s="402"/>
      <c r="G4" s="402"/>
      <c r="H4" s="402"/>
    </row>
    <row r="5" spans="1:8" ht="12" x14ac:dyDescent="0.2">
      <c r="A5" s="411" t="str">
        <f>'G7toG10 Promo &amp; Grad'!A5:H5</f>
        <v>SY 2022-2023</v>
      </c>
      <c r="B5" s="411"/>
      <c r="C5" s="411"/>
      <c r="D5" s="411"/>
      <c r="E5" s="411"/>
      <c r="F5" s="411"/>
      <c r="G5" s="411"/>
      <c r="H5" s="411"/>
    </row>
    <row r="6" spans="1:8" ht="12.75" x14ac:dyDescent="0.2">
      <c r="A6" s="254"/>
      <c r="B6" s="255"/>
      <c r="C6" s="255"/>
      <c r="D6" s="255"/>
      <c r="E6" s="255"/>
      <c r="F6" s="255"/>
      <c r="G6" s="263"/>
      <c r="H6" s="328"/>
    </row>
    <row r="7" spans="1:8" x14ac:dyDescent="0.2">
      <c r="A7" s="21"/>
      <c r="B7" s="20"/>
      <c r="C7" s="21"/>
      <c r="D7" s="329"/>
      <c r="E7" s="263"/>
      <c r="F7" s="15"/>
      <c r="G7" s="15"/>
      <c r="H7" s="330"/>
    </row>
    <row r="8" spans="1:8" ht="15" thickBot="1" x14ac:dyDescent="0.25">
      <c r="A8" s="261" t="s">
        <v>59</v>
      </c>
      <c r="B8" s="20"/>
      <c r="C8" s="263"/>
      <c r="D8" s="263"/>
      <c r="E8" s="263"/>
      <c r="F8" s="263"/>
      <c r="G8" s="263"/>
      <c r="H8" s="331"/>
    </row>
    <row r="9" spans="1:8" ht="12" thickBot="1" x14ac:dyDescent="0.25">
      <c r="A9" s="110"/>
    </row>
    <row r="10" spans="1:8" ht="10.15" customHeight="1" x14ac:dyDescent="0.2">
      <c r="A10" s="300" t="s">
        <v>30</v>
      </c>
      <c r="B10" s="396" t="s">
        <v>11</v>
      </c>
      <c r="C10" s="405" t="s">
        <v>60</v>
      </c>
      <c r="D10" s="407" t="s">
        <v>61</v>
      </c>
      <c r="E10" s="407" t="s">
        <v>62</v>
      </c>
      <c r="F10" s="412" t="s">
        <v>63</v>
      </c>
      <c r="G10" s="332" t="s">
        <v>49</v>
      </c>
      <c r="H10" s="342" t="s">
        <v>31</v>
      </c>
    </row>
    <row r="11" spans="1:8" ht="12" thickBot="1" x14ac:dyDescent="0.25">
      <c r="A11" s="301"/>
      <c r="B11" s="397"/>
      <c r="C11" s="406"/>
      <c r="D11" s="408"/>
      <c r="E11" s="408"/>
      <c r="F11" s="413"/>
      <c r="G11" s="333" t="s">
        <v>25</v>
      </c>
      <c r="H11" s="343" t="s">
        <v>32</v>
      </c>
    </row>
    <row r="12" spans="1:8" x14ac:dyDescent="0.2">
      <c r="A12" s="287" t="s">
        <v>33</v>
      </c>
      <c r="B12" s="19" t="s">
        <v>2</v>
      </c>
      <c r="C12" s="49">
        <v>1.3470173187940988E-2</v>
      </c>
      <c r="D12" s="50">
        <v>1.3215859030837005E-2</v>
      </c>
      <c r="E12" s="50">
        <v>1.2245113855756261E-2</v>
      </c>
      <c r="F12" s="50">
        <v>1.2546688410752802E-2</v>
      </c>
      <c r="G12" s="49">
        <v>1.2859098981846775E-2</v>
      </c>
      <c r="H12" s="335">
        <v>0.4519774011299435</v>
      </c>
    </row>
    <row r="13" spans="1:8" x14ac:dyDescent="0.2">
      <c r="A13" s="16"/>
      <c r="B13" s="18" t="s">
        <v>1</v>
      </c>
      <c r="C13" s="54">
        <v>1.9126402866325939E-2</v>
      </c>
      <c r="D13" s="55">
        <v>1.8161773238946268E-2</v>
      </c>
      <c r="E13" s="55">
        <v>1.66815765931695E-2</v>
      </c>
      <c r="F13" s="55">
        <v>1.6953728200421143E-2</v>
      </c>
      <c r="G13" s="54">
        <v>1.77E-2</v>
      </c>
      <c r="H13" s="336"/>
    </row>
    <row r="14" spans="1:8" ht="12" thickBot="1" x14ac:dyDescent="0.25">
      <c r="A14" s="288"/>
      <c r="B14" s="17" t="s">
        <v>0</v>
      </c>
      <c r="C14" s="60">
        <v>7.6476650214243099E-3</v>
      </c>
      <c r="D14" s="61">
        <v>8.2145162236695411E-3</v>
      </c>
      <c r="E14" s="61">
        <v>7.7626541897065082E-3</v>
      </c>
      <c r="F14" s="61">
        <v>8.3602605529055751E-3</v>
      </c>
      <c r="G14" s="60">
        <v>8.0000000000000002E-3</v>
      </c>
      <c r="H14" s="337"/>
    </row>
    <row r="15" spans="1:8" ht="10.15" customHeight="1" x14ac:dyDescent="0.2">
      <c r="A15" s="287" t="s">
        <v>34</v>
      </c>
      <c r="B15" s="19" t="s">
        <v>2</v>
      </c>
      <c r="C15" s="49">
        <v>1.1548785816842499E-2</v>
      </c>
      <c r="D15" s="50">
        <v>1.0299566664573259E-2</v>
      </c>
      <c r="E15" s="50">
        <v>1.0366232153941651E-2</v>
      </c>
      <c r="F15" s="50">
        <v>8.6308820052021749E-3</v>
      </c>
      <c r="G15" s="49">
        <v>1.0189631818741534E-2</v>
      </c>
      <c r="H15" s="335">
        <v>0.30718954248366015</v>
      </c>
    </row>
    <row r="16" spans="1:8" x14ac:dyDescent="0.2">
      <c r="A16" s="16"/>
      <c r="B16" s="18" t="s">
        <v>1</v>
      </c>
      <c r="C16" s="54">
        <v>1.7796610169491526E-2</v>
      </c>
      <c r="D16" s="55">
        <v>1.5456506110711718E-2</v>
      </c>
      <c r="E16" s="55">
        <v>1.5137067938021454E-2</v>
      </c>
      <c r="F16" s="55">
        <v>1.284596519911246E-2</v>
      </c>
      <c r="G16" s="54">
        <v>1.5299999999999999E-2</v>
      </c>
      <c r="H16" s="336"/>
    </row>
    <row r="17" spans="1:8" ht="12" thickBot="1" x14ac:dyDescent="0.25">
      <c r="A17" s="288"/>
      <c r="B17" s="17" t="s">
        <v>0</v>
      </c>
      <c r="C17" s="60">
        <v>4.8975383425699185E-3</v>
      </c>
      <c r="D17" s="61">
        <v>4.6192424442391446E-3</v>
      </c>
      <c r="E17" s="61">
        <v>5.1813471502590676E-3</v>
      </c>
      <c r="F17" s="61">
        <v>4.3098288040225065E-3</v>
      </c>
      <c r="G17" s="60">
        <v>4.7000000000000002E-3</v>
      </c>
      <c r="H17" s="337"/>
    </row>
    <row r="18" spans="1:8" x14ac:dyDescent="0.2">
      <c r="A18" s="287" t="s">
        <v>35</v>
      </c>
      <c r="B18" s="19" t="s">
        <v>2</v>
      </c>
      <c r="C18" s="49">
        <v>7.9051383399209481E-3</v>
      </c>
      <c r="D18" s="50">
        <v>6.8077276908923645E-3</v>
      </c>
      <c r="E18" s="50">
        <v>6.2141955529663078E-3</v>
      </c>
      <c r="F18" s="50">
        <v>4.7775175644028103E-3</v>
      </c>
      <c r="G18" s="49">
        <v>6.4192150081720635E-3</v>
      </c>
      <c r="H18" s="335">
        <v>0.32631578947368423</v>
      </c>
    </row>
    <row r="19" spans="1:8" x14ac:dyDescent="0.2">
      <c r="A19" s="16"/>
      <c r="B19" s="18" t="s">
        <v>1</v>
      </c>
      <c r="C19" s="54">
        <v>1.2401352874859075E-2</v>
      </c>
      <c r="D19" s="55">
        <v>8.1597222222222227E-3</v>
      </c>
      <c r="E19" s="55">
        <v>9.8202705206596255E-3</v>
      </c>
      <c r="F19" s="55">
        <v>7.6578259245423984E-3</v>
      </c>
      <c r="G19" s="54">
        <v>9.4999999999999998E-3</v>
      </c>
      <c r="H19" s="336"/>
    </row>
    <row r="20" spans="1:8" ht="12" thickBot="1" x14ac:dyDescent="0.25">
      <c r="A20" s="288"/>
      <c r="B20" s="17" t="s">
        <v>0</v>
      </c>
      <c r="C20" s="60">
        <v>3.1676895664224905E-3</v>
      </c>
      <c r="D20" s="61">
        <v>5.2837573385518593E-3</v>
      </c>
      <c r="E20" s="61">
        <v>2.2439820481436148E-3</v>
      </c>
      <c r="F20" s="61">
        <v>1.8793459875963165E-3</v>
      </c>
      <c r="G20" s="60">
        <v>3.0999999999999999E-3</v>
      </c>
      <c r="H20" s="337"/>
    </row>
    <row r="21" spans="1:8" x14ac:dyDescent="0.2">
      <c r="A21" s="287" t="s">
        <v>36</v>
      </c>
      <c r="B21" s="19" t="s">
        <v>2</v>
      </c>
      <c r="C21" s="49">
        <v>1.5291119388355225E-2</v>
      </c>
      <c r="D21" s="50">
        <v>1.2617992679637835E-2</v>
      </c>
      <c r="E21" s="50">
        <v>8.9598753408648233E-3</v>
      </c>
      <c r="F21" s="50">
        <v>6.5448861971280645E-3</v>
      </c>
      <c r="G21" s="49">
        <v>1.0854486602253645E-2</v>
      </c>
      <c r="H21" s="335">
        <v>0.3271604938271605</v>
      </c>
    </row>
    <row r="22" spans="1:8" x14ac:dyDescent="0.2">
      <c r="A22" s="16"/>
      <c r="B22" s="18" t="s">
        <v>1</v>
      </c>
      <c r="C22" s="54">
        <v>2.3188961287849752E-2</v>
      </c>
      <c r="D22" s="55">
        <v>1.855976243504083E-2</v>
      </c>
      <c r="E22" s="55">
        <v>1.2116622491480499E-2</v>
      </c>
      <c r="F22" s="55">
        <v>1.0634028892455859E-2</v>
      </c>
      <c r="G22" s="54">
        <v>1.6199999999999999E-2</v>
      </c>
      <c r="H22" s="336"/>
    </row>
    <row r="23" spans="1:8" ht="12" thickBot="1" x14ac:dyDescent="0.25">
      <c r="A23" s="288"/>
      <c r="B23" s="17" t="s">
        <v>0</v>
      </c>
      <c r="C23" s="60">
        <v>7.0224719101123594E-3</v>
      </c>
      <c r="D23" s="61">
        <v>6.2074489387264715E-3</v>
      </c>
      <c r="E23" s="61">
        <v>5.6157240272763738E-3</v>
      </c>
      <c r="F23" s="61">
        <v>2.66514372739387E-3</v>
      </c>
      <c r="G23" s="60">
        <v>5.3E-3</v>
      </c>
      <c r="H23" s="337"/>
    </row>
    <row r="24" spans="1:8" x14ac:dyDescent="0.2">
      <c r="A24" s="287" t="s">
        <v>37</v>
      </c>
      <c r="B24" s="19" t="s">
        <v>2</v>
      </c>
      <c r="C24" s="344">
        <v>1.447562776957164E-2</v>
      </c>
      <c r="D24" s="344">
        <v>8.4824387011265736E-3</v>
      </c>
      <c r="E24" s="344">
        <v>7.0704375667022413E-3</v>
      </c>
      <c r="F24" s="344">
        <v>9.8259404828747888E-3</v>
      </c>
      <c r="G24" s="344">
        <v>9.8496630378434417E-3</v>
      </c>
      <c r="H24" s="345">
        <v>0.44525547445255476</v>
      </c>
    </row>
    <row r="25" spans="1:8" ht="10.15" customHeight="1" x14ac:dyDescent="0.2">
      <c r="A25" s="16"/>
      <c r="B25" s="18" t="s">
        <v>1</v>
      </c>
      <c r="C25" s="128">
        <v>2.2631261315630657E-2</v>
      </c>
      <c r="D25" s="128">
        <v>1.1197014129565449E-2</v>
      </c>
      <c r="E25" s="128">
        <v>8.634646519158122E-3</v>
      </c>
      <c r="F25" s="128">
        <v>1.3424821002386634E-2</v>
      </c>
      <c r="G25" s="128">
        <v>1.37E-2</v>
      </c>
      <c r="H25" s="346"/>
    </row>
    <row r="26" spans="1:8" ht="12" thickBot="1" x14ac:dyDescent="0.25">
      <c r="A26" s="288"/>
      <c r="B26" s="17" t="s">
        <v>0</v>
      </c>
      <c r="C26" s="133">
        <v>6.6550925925925927E-3</v>
      </c>
      <c r="D26" s="133">
        <v>5.7986294148655772E-3</v>
      </c>
      <c r="E26" s="133">
        <v>5.5408970976253301E-3</v>
      </c>
      <c r="F26" s="133">
        <v>6.6277836691410394E-3</v>
      </c>
      <c r="G26" s="133">
        <v>6.1000000000000004E-3</v>
      </c>
      <c r="H26" s="347"/>
    </row>
    <row r="27" spans="1:8" x14ac:dyDescent="0.2">
      <c r="A27" s="287" t="s">
        <v>38</v>
      </c>
      <c r="B27" s="19" t="s">
        <v>2</v>
      </c>
      <c r="C27" s="49">
        <v>1.9739519739519741E-2</v>
      </c>
      <c r="D27" s="50">
        <v>1.847692935892201E-2</v>
      </c>
      <c r="E27" s="50">
        <v>1.5903761851360994E-2</v>
      </c>
      <c r="F27" s="50">
        <v>1.4259279416566888E-2</v>
      </c>
      <c r="G27" s="49">
        <v>1.7141377524598652E-2</v>
      </c>
      <c r="H27" s="335">
        <v>0.31037631549556699</v>
      </c>
    </row>
    <row r="28" spans="1:8" ht="12" x14ac:dyDescent="0.2">
      <c r="A28" s="310"/>
      <c r="B28" s="18" t="s">
        <v>1</v>
      </c>
      <c r="C28" s="54">
        <v>3.1108485922425676E-2</v>
      </c>
      <c r="D28" s="55">
        <v>2.793738854765207E-2</v>
      </c>
      <c r="E28" s="55">
        <v>2.3620443901445735E-2</v>
      </c>
      <c r="F28" s="55">
        <v>2.1141649048625793E-2</v>
      </c>
      <c r="G28" s="54">
        <v>2.6173940085000517E-2</v>
      </c>
      <c r="H28" s="336"/>
    </row>
    <row r="29" spans="1:8" ht="12" thickBot="1" x14ac:dyDescent="0.25">
      <c r="A29" s="288"/>
      <c r="B29" s="17" t="s">
        <v>0</v>
      </c>
      <c r="C29" s="60">
        <v>7.5805432722678458E-3</v>
      </c>
      <c r="D29" s="61">
        <v>8.4228258580753852E-3</v>
      </c>
      <c r="E29" s="61">
        <v>8.1665986116782364E-3</v>
      </c>
      <c r="F29" s="61">
        <v>8.3164300202839755E-3</v>
      </c>
      <c r="G29" s="60">
        <v>8.1237710855841874E-3</v>
      </c>
      <c r="H29" s="337"/>
    </row>
    <row r="30" spans="1:8" x14ac:dyDescent="0.2">
      <c r="A30" s="287" t="s">
        <v>39</v>
      </c>
      <c r="B30" s="19" t="s">
        <v>2</v>
      </c>
      <c r="C30" s="49">
        <v>2.1805392731535755E-2</v>
      </c>
      <c r="D30" s="50">
        <v>2.4727466099441639E-2</v>
      </c>
      <c r="E30" s="50">
        <v>1.8956236835946643E-2</v>
      </c>
      <c r="F30" s="50">
        <v>1.2447158290277125E-2</v>
      </c>
      <c r="G30" s="49">
        <v>1.9327172797004289E-2</v>
      </c>
      <c r="H30" s="335">
        <v>0.33447098976109213</v>
      </c>
    </row>
    <row r="31" spans="1:8" x14ac:dyDescent="0.2">
      <c r="A31" s="16"/>
      <c r="B31" s="18" t="s">
        <v>1</v>
      </c>
      <c r="C31" s="54">
        <v>3.5063113604488078E-2</v>
      </c>
      <c r="D31" s="55">
        <v>3.4828496042216356E-2</v>
      </c>
      <c r="E31" s="55">
        <v>2.8447444551591129E-2</v>
      </c>
      <c r="F31" s="55">
        <v>1.8762677484787018E-2</v>
      </c>
      <c r="G31" s="54">
        <v>2.93E-2</v>
      </c>
      <c r="H31" s="336"/>
    </row>
    <row r="32" spans="1:8" ht="12" thickBot="1" x14ac:dyDescent="0.25">
      <c r="A32" s="288"/>
      <c r="B32" s="17" t="s">
        <v>0</v>
      </c>
      <c r="C32" s="60">
        <v>8.4666039510818431E-3</v>
      </c>
      <c r="D32" s="61">
        <v>1.4469453376205787E-2</v>
      </c>
      <c r="E32" s="61">
        <v>1.0004547521600727E-2</v>
      </c>
      <c r="F32" s="61">
        <v>6.99912510936133E-3</v>
      </c>
      <c r="G32" s="60">
        <v>9.7999999999999997E-3</v>
      </c>
      <c r="H32" s="337"/>
    </row>
    <row r="33" spans="1:8" ht="10.15" customHeight="1" x14ac:dyDescent="0.2">
      <c r="A33" s="287" t="s">
        <v>40</v>
      </c>
      <c r="B33" s="19" t="s">
        <v>2</v>
      </c>
      <c r="C33" s="49">
        <v>2.47320692497939E-2</v>
      </c>
      <c r="D33" s="50">
        <v>1.9554165037152915E-2</v>
      </c>
      <c r="E33" s="50">
        <v>1.5927679724494187E-2</v>
      </c>
      <c r="F33" s="50">
        <v>1.4634146341463415E-2</v>
      </c>
      <c r="G33" s="49">
        <v>1.8738480442351015E-2</v>
      </c>
      <c r="H33" s="335">
        <v>0.24496644295302014</v>
      </c>
    </row>
    <row r="34" spans="1:8" x14ac:dyDescent="0.2">
      <c r="A34" s="16"/>
      <c r="B34" s="18" t="s">
        <v>1</v>
      </c>
      <c r="C34" s="54">
        <v>4.2713567839195977E-2</v>
      </c>
      <c r="D34" s="55">
        <v>3.1555221637866268E-2</v>
      </c>
      <c r="E34" s="55">
        <v>2.2670025188916875E-2</v>
      </c>
      <c r="F34" s="55">
        <v>2.23463687150838E-2</v>
      </c>
      <c r="G34" s="54">
        <v>2.98E-2</v>
      </c>
      <c r="H34" s="336"/>
    </row>
    <row r="35" spans="1:8" ht="12" thickBot="1" x14ac:dyDescent="0.25">
      <c r="A35" s="288"/>
      <c r="B35" s="17" t="s">
        <v>0</v>
      </c>
      <c r="C35" s="60">
        <v>7.305194805194805E-3</v>
      </c>
      <c r="D35" s="61">
        <v>6.5252854812398045E-3</v>
      </c>
      <c r="E35" s="61">
        <v>8.8339222614840993E-3</v>
      </c>
      <c r="F35" s="61">
        <v>6.6280033140016566E-3</v>
      </c>
      <c r="G35" s="60">
        <v>7.3000000000000001E-3</v>
      </c>
      <c r="H35" s="337"/>
    </row>
    <row r="36" spans="1:8" x14ac:dyDescent="0.2">
      <c r="A36" s="287" t="s">
        <v>41</v>
      </c>
      <c r="B36" s="19" t="s">
        <v>2</v>
      </c>
      <c r="C36" s="344">
        <v>2.6323401793462538E-2</v>
      </c>
      <c r="D36" s="348">
        <v>2.8137310073157007E-2</v>
      </c>
      <c r="E36" s="348">
        <v>2.4918743228602384E-2</v>
      </c>
      <c r="F36" s="348">
        <v>1.8878101402373247E-2</v>
      </c>
      <c r="G36" s="344">
        <v>2.4495177295121781E-2</v>
      </c>
      <c r="H36" s="335">
        <v>0.37537527874401883</v>
      </c>
    </row>
    <row r="37" spans="1:8" ht="10.15" customHeight="1" x14ac:dyDescent="0.2">
      <c r="A37" s="310"/>
      <c r="B37" s="18" t="s">
        <v>1</v>
      </c>
      <c r="C37" s="128">
        <v>4.2111506524317915E-2</v>
      </c>
      <c r="D37" s="129">
        <v>4.233983286908078E-2</v>
      </c>
      <c r="E37" s="129">
        <v>3.2996274614156468E-2</v>
      </c>
      <c r="F37" s="129">
        <v>2.6315789473684209E-2</v>
      </c>
      <c r="G37" s="128">
        <v>3.5926449787835928E-2</v>
      </c>
      <c r="H37" s="336"/>
    </row>
    <row r="38" spans="1:8" ht="12" thickBot="1" x14ac:dyDescent="0.25">
      <c r="A38" s="288"/>
      <c r="B38" s="17" t="s">
        <v>0</v>
      </c>
      <c r="C38" s="133">
        <v>1.129305477131564E-2</v>
      </c>
      <c r="D38" s="134">
        <v>1.3644115974985787E-2</v>
      </c>
      <c r="E38" s="134">
        <v>1.6547159404302261E-2</v>
      </c>
      <c r="F38" s="134">
        <v>1.2512512512512513E-2</v>
      </c>
      <c r="G38" s="133">
        <v>1.3485901103391908E-2</v>
      </c>
      <c r="H38" s="337"/>
    </row>
    <row r="39" spans="1:8" x14ac:dyDescent="0.2">
      <c r="A39" s="287" t="s">
        <v>42</v>
      </c>
      <c r="B39" s="19" t="s">
        <v>2</v>
      </c>
      <c r="C39" s="49">
        <v>8.7517273146015661E-3</v>
      </c>
      <c r="D39" s="50">
        <v>9.0929252605899315E-3</v>
      </c>
      <c r="E39" s="50">
        <v>7.4906367041198503E-3</v>
      </c>
      <c r="F39" s="50">
        <v>5.6343906510851419E-3</v>
      </c>
      <c r="G39" s="49">
        <v>7.6999230007699926E-3</v>
      </c>
      <c r="H39" s="335">
        <v>0.29661016949152541</v>
      </c>
    </row>
    <row r="40" spans="1:8" x14ac:dyDescent="0.2">
      <c r="A40" s="16"/>
      <c r="B40" s="18" t="s">
        <v>1</v>
      </c>
      <c r="C40" s="54">
        <v>1.4738722644037517E-2</v>
      </c>
      <c r="D40" s="55">
        <v>1.2586805555555556E-2</v>
      </c>
      <c r="E40" s="55">
        <v>1.0917030567685589E-2</v>
      </c>
      <c r="F40" s="55">
        <v>9.1423595994775796E-3</v>
      </c>
      <c r="G40" s="54">
        <v>1.18E-2</v>
      </c>
      <c r="H40" s="336"/>
    </row>
    <row r="41" spans="1:8" ht="12" thickBot="1" x14ac:dyDescent="0.25">
      <c r="A41" s="288"/>
      <c r="B41" s="17" t="s">
        <v>0</v>
      </c>
      <c r="C41" s="60">
        <v>2.3775558725630053E-3</v>
      </c>
      <c r="D41" s="61">
        <v>5.4421768707482989E-3</v>
      </c>
      <c r="E41" s="61">
        <v>4.0017785682525571E-3</v>
      </c>
      <c r="F41" s="61">
        <v>2.4048096192384768E-3</v>
      </c>
      <c r="G41" s="60">
        <v>3.5000000000000001E-3</v>
      </c>
      <c r="H41" s="337"/>
    </row>
    <row r="42" spans="1:8" x14ac:dyDescent="0.2">
      <c r="A42" s="287" t="s">
        <v>43</v>
      </c>
      <c r="B42" s="19" t="s">
        <v>2</v>
      </c>
      <c r="C42" s="49">
        <v>1.0377679482817285E-2</v>
      </c>
      <c r="D42" s="50">
        <v>9.6580113996200135E-3</v>
      </c>
      <c r="E42" s="50">
        <v>7.6670317634173054E-3</v>
      </c>
      <c r="F42" s="50">
        <v>5.8497075146242685E-3</v>
      </c>
      <c r="G42" s="49">
        <v>8.3161729763979089E-3</v>
      </c>
      <c r="H42" s="335">
        <v>0.39830508474576276</v>
      </c>
    </row>
    <row r="43" spans="1:8" x14ac:dyDescent="0.2">
      <c r="A43" s="16"/>
      <c r="B43" s="18" t="s">
        <v>1</v>
      </c>
      <c r="C43" s="54">
        <v>1.3811246300559027E-2</v>
      </c>
      <c r="D43" s="55">
        <v>1.3517761710154039E-2</v>
      </c>
      <c r="E43" s="55">
        <v>1.1166253101736972E-2</v>
      </c>
      <c r="F43" s="55">
        <v>9.0716661626852133E-3</v>
      </c>
      <c r="G43" s="54">
        <v>1.18E-2</v>
      </c>
      <c r="H43" s="336"/>
    </row>
    <row r="44" spans="1:8" ht="12" thickBot="1" x14ac:dyDescent="0.25">
      <c r="A44" s="288"/>
      <c r="B44" s="17" t="s">
        <v>0</v>
      </c>
      <c r="C44" s="60">
        <v>6.6972153683468455E-3</v>
      </c>
      <c r="D44" s="61">
        <v>5.7416267942583732E-3</v>
      </c>
      <c r="E44" s="61">
        <v>4.1048310704136408E-3</v>
      </c>
      <c r="F44" s="61">
        <v>2.6785714285714286E-3</v>
      </c>
      <c r="G44" s="60">
        <v>4.7000000000000002E-3</v>
      </c>
      <c r="H44" s="337"/>
    </row>
    <row r="45" spans="1:8" x14ac:dyDescent="0.2">
      <c r="A45" s="289" t="s">
        <v>3</v>
      </c>
      <c r="B45" s="338" t="s">
        <v>2</v>
      </c>
      <c r="C45" s="237">
        <v>1.4075115340253748E-2</v>
      </c>
      <c r="D45" s="238">
        <v>1.2896154899990867E-2</v>
      </c>
      <c r="E45" s="238">
        <v>1.1397120634274539E-2</v>
      </c>
      <c r="F45" s="238">
        <v>1.0233072026095649E-2</v>
      </c>
      <c r="G45" s="237">
        <v>1.2131328502253536E-2</v>
      </c>
      <c r="H45" s="339">
        <v>0.375</v>
      </c>
    </row>
    <row r="46" spans="1:8" x14ac:dyDescent="0.2">
      <c r="A46" s="293"/>
      <c r="B46" s="290" t="s">
        <v>1</v>
      </c>
      <c r="C46" s="98">
        <v>2.1285261461635174E-2</v>
      </c>
      <c r="D46" s="99">
        <v>1.8346659051970304E-2</v>
      </c>
      <c r="E46" s="99">
        <v>1.6007812091303818E-2</v>
      </c>
      <c r="F46" s="99">
        <v>1.4648191470217743E-2</v>
      </c>
      <c r="G46" s="98">
        <v>1.7600000000000001E-2</v>
      </c>
      <c r="H46" s="340"/>
    </row>
    <row r="47" spans="1:8" ht="12" thickBot="1" x14ac:dyDescent="0.25">
      <c r="A47" s="296"/>
      <c r="B47" s="297" t="s">
        <v>0</v>
      </c>
      <c r="C47" s="105">
        <v>6.6048986331529221E-3</v>
      </c>
      <c r="D47" s="106">
        <v>7.1832092483819074E-3</v>
      </c>
      <c r="E47" s="106">
        <v>6.6470250071859732E-3</v>
      </c>
      <c r="F47" s="106">
        <v>6.0370775755917358E-3</v>
      </c>
      <c r="G47" s="105">
        <v>6.6E-3</v>
      </c>
      <c r="H47" s="341"/>
    </row>
    <row r="48" spans="1:8" x14ac:dyDescent="0.2">
      <c r="A48" s="110"/>
    </row>
  </sheetData>
  <sheetProtection algorithmName="SHA-512" hashValue="8mV3WciweOEvVwm8g26HWl9fJpzrOmD7hcL+B1cv4oPP/X0rTbDS9Both+bIbaBD5sQMbNV7/k/++ZXUX1H0lw==" saltValue="ibQMnCggnLmtgHpBlOQIEQ==" spinCount="100000" sheet="1" objects="1" scenarios="1"/>
  <mergeCells count="10">
    <mergeCell ref="A5:H5"/>
    <mergeCell ref="A1:H1"/>
    <mergeCell ref="A2:H2"/>
    <mergeCell ref="A3:H3"/>
    <mergeCell ref="A4:H4"/>
    <mergeCell ref="B10:B11"/>
    <mergeCell ref="C10:C11"/>
    <mergeCell ref="D10:D11"/>
    <mergeCell ref="E10:E11"/>
    <mergeCell ref="F10:F11"/>
  </mergeCells>
  <conditionalFormatting sqref="H1:H3 H5:H1048576">
    <cfRule type="cellIs" dxfId="5" priority="9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  <pageSetUpPr fitToPage="1"/>
  </sheetPr>
  <dimension ref="A1:L48"/>
  <sheetViews>
    <sheetView showGridLines="0" zoomScaleNormal="100" workbookViewId="0">
      <pane xSplit="2" ySplit="8" topLeftCell="C9" activePane="bottomRight" state="frozen"/>
      <selection activeCell="N9" sqref="N9:X9"/>
      <selection pane="topRight" activeCell="N9" sqref="N9:X9"/>
      <selection pane="bottomLeft" activeCell="N9" sqref="N9:X9"/>
      <selection pane="bottomRight" activeCell="B49" sqref="B49:L848"/>
    </sheetView>
  </sheetViews>
  <sheetFormatPr defaultRowHeight="11.25" x14ac:dyDescent="0.2"/>
  <cols>
    <col min="1" max="1" width="45.28515625" style="314" customWidth="1"/>
    <col min="2" max="2" width="9.28515625" style="12" bestFit="1" customWidth="1"/>
    <col min="3" max="6" width="8.7109375" style="334" customWidth="1"/>
    <col min="7" max="7" width="10.28515625" style="334" customWidth="1"/>
    <col min="8" max="8" width="10.7109375" style="13" customWidth="1"/>
    <col min="9" max="231" width="8.85546875" style="12"/>
    <col min="232" max="232" width="23.7109375" style="12" customWidth="1"/>
    <col min="233" max="233" width="10.7109375" style="12" customWidth="1"/>
    <col min="234" max="237" width="8.7109375" style="12" customWidth="1"/>
    <col min="238" max="238" width="11" style="12" customWidth="1"/>
    <col min="239" max="239" width="10.7109375" style="12" customWidth="1"/>
    <col min="240" max="241" width="8.85546875" style="12"/>
    <col min="242" max="245" width="8.7109375" style="12" customWidth="1"/>
    <col min="246" max="246" width="11.42578125" style="12" customWidth="1"/>
    <col min="247" max="249" width="8.85546875" style="12"/>
    <col min="250" max="253" width="8.7109375" style="12" customWidth="1"/>
    <col min="254" max="254" width="11" style="12" customWidth="1"/>
    <col min="255" max="255" width="9.7109375" style="12" customWidth="1"/>
    <col min="256" max="487" width="8.85546875" style="12"/>
    <col min="488" max="488" width="23.7109375" style="12" customWidth="1"/>
    <col min="489" max="489" width="10.7109375" style="12" customWidth="1"/>
    <col min="490" max="493" width="8.7109375" style="12" customWidth="1"/>
    <col min="494" max="494" width="11" style="12" customWidth="1"/>
    <col min="495" max="495" width="10.7109375" style="12" customWidth="1"/>
    <col min="496" max="497" width="8.85546875" style="12"/>
    <col min="498" max="501" width="8.7109375" style="12" customWidth="1"/>
    <col min="502" max="502" width="11.42578125" style="12" customWidth="1"/>
    <col min="503" max="505" width="8.85546875" style="12"/>
    <col min="506" max="509" width="8.7109375" style="12" customWidth="1"/>
    <col min="510" max="510" width="11" style="12" customWidth="1"/>
    <col min="511" max="511" width="9.7109375" style="12" customWidth="1"/>
    <col min="512" max="743" width="8.85546875" style="12"/>
    <col min="744" max="744" width="23.7109375" style="12" customWidth="1"/>
    <col min="745" max="745" width="10.7109375" style="12" customWidth="1"/>
    <col min="746" max="749" width="8.7109375" style="12" customWidth="1"/>
    <col min="750" max="750" width="11" style="12" customWidth="1"/>
    <col min="751" max="751" width="10.7109375" style="12" customWidth="1"/>
    <col min="752" max="753" width="8.85546875" style="12"/>
    <col min="754" max="757" width="8.7109375" style="12" customWidth="1"/>
    <col min="758" max="758" width="11.42578125" style="12" customWidth="1"/>
    <col min="759" max="761" width="8.85546875" style="12"/>
    <col min="762" max="765" width="8.7109375" style="12" customWidth="1"/>
    <col min="766" max="766" width="11" style="12" customWidth="1"/>
    <col min="767" max="767" width="9.7109375" style="12" customWidth="1"/>
    <col min="768" max="999" width="8.85546875" style="12"/>
    <col min="1000" max="1000" width="23.7109375" style="12" customWidth="1"/>
    <col min="1001" max="1001" width="10.7109375" style="12" customWidth="1"/>
    <col min="1002" max="1005" width="8.7109375" style="12" customWidth="1"/>
    <col min="1006" max="1006" width="11" style="12" customWidth="1"/>
    <col min="1007" max="1007" width="10.7109375" style="12" customWidth="1"/>
    <col min="1008" max="1009" width="8.85546875" style="12"/>
    <col min="1010" max="1013" width="8.7109375" style="12" customWidth="1"/>
    <col min="1014" max="1014" width="11.42578125" style="12" customWidth="1"/>
    <col min="1015" max="1017" width="8.85546875" style="12"/>
    <col min="1018" max="1021" width="8.7109375" style="12" customWidth="1"/>
    <col min="1022" max="1022" width="11" style="12" customWidth="1"/>
    <col min="1023" max="1023" width="9.7109375" style="12" customWidth="1"/>
    <col min="1024" max="1255" width="8.85546875" style="12"/>
    <col min="1256" max="1256" width="23.7109375" style="12" customWidth="1"/>
    <col min="1257" max="1257" width="10.7109375" style="12" customWidth="1"/>
    <col min="1258" max="1261" width="8.7109375" style="12" customWidth="1"/>
    <col min="1262" max="1262" width="11" style="12" customWidth="1"/>
    <col min="1263" max="1263" width="10.7109375" style="12" customWidth="1"/>
    <col min="1264" max="1265" width="8.85546875" style="12"/>
    <col min="1266" max="1269" width="8.7109375" style="12" customWidth="1"/>
    <col min="1270" max="1270" width="11.42578125" style="12" customWidth="1"/>
    <col min="1271" max="1273" width="8.85546875" style="12"/>
    <col min="1274" max="1277" width="8.7109375" style="12" customWidth="1"/>
    <col min="1278" max="1278" width="11" style="12" customWidth="1"/>
    <col min="1279" max="1279" width="9.7109375" style="12" customWidth="1"/>
    <col min="1280" max="1511" width="8.85546875" style="12"/>
    <col min="1512" max="1512" width="23.7109375" style="12" customWidth="1"/>
    <col min="1513" max="1513" width="10.7109375" style="12" customWidth="1"/>
    <col min="1514" max="1517" width="8.7109375" style="12" customWidth="1"/>
    <col min="1518" max="1518" width="11" style="12" customWidth="1"/>
    <col min="1519" max="1519" width="10.7109375" style="12" customWidth="1"/>
    <col min="1520" max="1521" width="8.85546875" style="12"/>
    <col min="1522" max="1525" width="8.7109375" style="12" customWidth="1"/>
    <col min="1526" max="1526" width="11.42578125" style="12" customWidth="1"/>
    <col min="1527" max="1529" width="8.85546875" style="12"/>
    <col min="1530" max="1533" width="8.7109375" style="12" customWidth="1"/>
    <col min="1534" max="1534" width="11" style="12" customWidth="1"/>
    <col min="1535" max="1535" width="9.7109375" style="12" customWidth="1"/>
    <col min="1536" max="1767" width="8.85546875" style="12"/>
    <col min="1768" max="1768" width="23.7109375" style="12" customWidth="1"/>
    <col min="1769" max="1769" width="10.7109375" style="12" customWidth="1"/>
    <col min="1770" max="1773" width="8.7109375" style="12" customWidth="1"/>
    <col min="1774" max="1774" width="11" style="12" customWidth="1"/>
    <col min="1775" max="1775" width="10.7109375" style="12" customWidth="1"/>
    <col min="1776" max="1777" width="8.85546875" style="12"/>
    <col min="1778" max="1781" width="8.7109375" style="12" customWidth="1"/>
    <col min="1782" max="1782" width="11.42578125" style="12" customWidth="1"/>
    <col min="1783" max="1785" width="8.85546875" style="12"/>
    <col min="1786" max="1789" width="8.7109375" style="12" customWidth="1"/>
    <col min="1790" max="1790" width="11" style="12" customWidth="1"/>
    <col min="1791" max="1791" width="9.7109375" style="12" customWidth="1"/>
    <col min="1792" max="2023" width="8.85546875" style="12"/>
    <col min="2024" max="2024" width="23.7109375" style="12" customWidth="1"/>
    <col min="2025" max="2025" width="10.7109375" style="12" customWidth="1"/>
    <col min="2026" max="2029" width="8.7109375" style="12" customWidth="1"/>
    <col min="2030" max="2030" width="11" style="12" customWidth="1"/>
    <col min="2031" max="2031" width="10.7109375" style="12" customWidth="1"/>
    <col min="2032" max="2033" width="8.85546875" style="12"/>
    <col min="2034" max="2037" width="8.7109375" style="12" customWidth="1"/>
    <col min="2038" max="2038" width="11.42578125" style="12" customWidth="1"/>
    <col min="2039" max="2041" width="8.85546875" style="12"/>
    <col min="2042" max="2045" width="8.7109375" style="12" customWidth="1"/>
    <col min="2046" max="2046" width="11" style="12" customWidth="1"/>
    <col min="2047" max="2047" width="9.7109375" style="12" customWidth="1"/>
    <col min="2048" max="2279" width="8.85546875" style="12"/>
    <col min="2280" max="2280" width="23.7109375" style="12" customWidth="1"/>
    <col min="2281" max="2281" width="10.7109375" style="12" customWidth="1"/>
    <col min="2282" max="2285" width="8.7109375" style="12" customWidth="1"/>
    <col min="2286" max="2286" width="11" style="12" customWidth="1"/>
    <col min="2287" max="2287" width="10.7109375" style="12" customWidth="1"/>
    <col min="2288" max="2289" width="8.85546875" style="12"/>
    <col min="2290" max="2293" width="8.7109375" style="12" customWidth="1"/>
    <col min="2294" max="2294" width="11.42578125" style="12" customWidth="1"/>
    <col min="2295" max="2297" width="8.85546875" style="12"/>
    <col min="2298" max="2301" width="8.7109375" style="12" customWidth="1"/>
    <col min="2302" max="2302" width="11" style="12" customWidth="1"/>
    <col min="2303" max="2303" width="9.7109375" style="12" customWidth="1"/>
    <col min="2304" max="2535" width="8.85546875" style="12"/>
    <col min="2536" max="2536" width="23.7109375" style="12" customWidth="1"/>
    <col min="2537" max="2537" width="10.7109375" style="12" customWidth="1"/>
    <col min="2538" max="2541" width="8.7109375" style="12" customWidth="1"/>
    <col min="2542" max="2542" width="11" style="12" customWidth="1"/>
    <col min="2543" max="2543" width="10.7109375" style="12" customWidth="1"/>
    <col min="2544" max="2545" width="8.85546875" style="12"/>
    <col min="2546" max="2549" width="8.7109375" style="12" customWidth="1"/>
    <col min="2550" max="2550" width="11.42578125" style="12" customWidth="1"/>
    <col min="2551" max="2553" width="8.85546875" style="12"/>
    <col min="2554" max="2557" width="8.7109375" style="12" customWidth="1"/>
    <col min="2558" max="2558" width="11" style="12" customWidth="1"/>
    <col min="2559" max="2559" width="9.7109375" style="12" customWidth="1"/>
    <col min="2560" max="2791" width="8.85546875" style="12"/>
    <col min="2792" max="2792" width="23.7109375" style="12" customWidth="1"/>
    <col min="2793" max="2793" width="10.7109375" style="12" customWidth="1"/>
    <col min="2794" max="2797" width="8.7109375" style="12" customWidth="1"/>
    <col min="2798" max="2798" width="11" style="12" customWidth="1"/>
    <col min="2799" max="2799" width="10.7109375" style="12" customWidth="1"/>
    <col min="2800" max="2801" width="8.85546875" style="12"/>
    <col min="2802" max="2805" width="8.7109375" style="12" customWidth="1"/>
    <col min="2806" max="2806" width="11.42578125" style="12" customWidth="1"/>
    <col min="2807" max="2809" width="8.85546875" style="12"/>
    <col min="2810" max="2813" width="8.7109375" style="12" customWidth="1"/>
    <col min="2814" max="2814" width="11" style="12" customWidth="1"/>
    <col min="2815" max="2815" width="9.7109375" style="12" customWidth="1"/>
    <col min="2816" max="3047" width="8.85546875" style="12"/>
    <col min="3048" max="3048" width="23.7109375" style="12" customWidth="1"/>
    <col min="3049" max="3049" width="10.7109375" style="12" customWidth="1"/>
    <col min="3050" max="3053" width="8.7109375" style="12" customWidth="1"/>
    <col min="3054" max="3054" width="11" style="12" customWidth="1"/>
    <col min="3055" max="3055" width="10.7109375" style="12" customWidth="1"/>
    <col min="3056" max="3057" width="8.85546875" style="12"/>
    <col min="3058" max="3061" width="8.7109375" style="12" customWidth="1"/>
    <col min="3062" max="3062" width="11.42578125" style="12" customWidth="1"/>
    <col min="3063" max="3065" width="8.85546875" style="12"/>
    <col min="3066" max="3069" width="8.7109375" style="12" customWidth="1"/>
    <col min="3070" max="3070" width="11" style="12" customWidth="1"/>
    <col min="3071" max="3071" width="9.7109375" style="12" customWidth="1"/>
    <col min="3072" max="3303" width="8.85546875" style="12"/>
    <col min="3304" max="3304" width="23.7109375" style="12" customWidth="1"/>
    <col min="3305" max="3305" width="10.7109375" style="12" customWidth="1"/>
    <col min="3306" max="3309" width="8.7109375" style="12" customWidth="1"/>
    <col min="3310" max="3310" width="11" style="12" customWidth="1"/>
    <col min="3311" max="3311" width="10.7109375" style="12" customWidth="1"/>
    <col min="3312" max="3313" width="8.85546875" style="12"/>
    <col min="3314" max="3317" width="8.7109375" style="12" customWidth="1"/>
    <col min="3318" max="3318" width="11.42578125" style="12" customWidth="1"/>
    <col min="3319" max="3321" width="8.85546875" style="12"/>
    <col min="3322" max="3325" width="8.7109375" style="12" customWidth="1"/>
    <col min="3326" max="3326" width="11" style="12" customWidth="1"/>
    <col min="3327" max="3327" width="9.7109375" style="12" customWidth="1"/>
    <col min="3328" max="3559" width="8.85546875" style="12"/>
    <col min="3560" max="3560" width="23.7109375" style="12" customWidth="1"/>
    <col min="3561" max="3561" width="10.7109375" style="12" customWidth="1"/>
    <col min="3562" max="3565" width="8.7109375" style="12" customWidth="1"/>
    <col min="3566" max="3566" width="11" style="12" customWidth="1"/>
    <col min="3567" max="3567" width="10.7109375" style="12" customWidth="1"/>
    <col min="3568" max="3569" width="8.85546875" style="12"/>
    <col min="3570" max="3573" width="8.7109375" style="12" customWidth="1"/>
    <col min="3574" max="3574" width="11.42578125" style="12" customWidth="1"/>
    <col min="3575" max="3577" width="8.85546875" style="12"/>
    <col min="3578" max="3581" width="8.7109375" style="12" customWidth="1"/>
    <col min="3582" max="3582" width="11" style="12" customWidth="1"/>
    <col min="3583" max="3583" width="9.7109375" style="12" customWidth="1"/>
    <col min="3584" max="3815" width="8.85546875" style="12"/>
    <col min="3816" max="3816" width="23.7109375" style="12" customWidth="1"/>
    <col min="3817" max="3817" width="10.7109375" style="12" customWidth="1"/>
    <col min="3818" max="3821" width="8.7109375" style="12" customWidth="1"/>
    <col min="3822" max="3822" width="11" style="12" customWidth="1"/>
    <col min="3823" max="3823" width="10.7109375" style="12" customWidth="1"/>
    <col min="3824" max="3825" width="8.85546875" style="12"/>
    <col min="3826" max="3829" width="8.7109375" style="12" customWidth="1"/>
    <col min="3830" max="3830" width="11.42578125" style="12" customWidth="1"/>
    <col min="3831" max="3833" width="8.85546875" style="12"/>
    <col min="3834" max="3837" width="8.7109375" style="12" customWidth="1"/>
    <col min="3838" max="3838" width="11" style="12" customWidth="1"/>
    <col min="3839" max="3839" width="9.7109375" style="12" customWidth="1"/>
    <col min="3840" max="4071" width="8.85546875" style="12"/>
    <col min="4072" max="4072" width="23.7109375" style="12" customWidth="1"/>
    <col min="4073" max="4073" width="10.7109375" style="12" customWidth="1"/>
    <col min="4074" max="4077" width="8.7109375" style="12" customWidth="1"/>
    <col min="4078" max="4078" width="11" style="12" customWidth="1"/>
    <col min="4079" max="4079" width="10.7109375" style="12" customWidth="1"/>
    <col min="4080" max="4081" width="8.85546875" style="12"/>
    <col min="4082" max="4085" width="8.7109375" style="12" customWidth="1"/>
    <col min="4086" max="4086" width="11.42578125" style="12" customWidth="1"/>
    <col min="4087" max="4089" width="8.85546875" style="12"/>
    <col min="4090" max="4093" width="8.7109375" style="12" customWidth="1"/>
    <col min="4094" max="4094" width="11" style="12" customWidth="1"/>
    <col min="4095" max="4095" width="9.7109375" style="12" customWidth="1"/>
    <col min="4096" max="4327" width="8.85546875" style="12"/>
    <col min="4328" max="4328" width="23.7109375" style="12" customWidth="1"/>
    <col min="4329" max="4329" width="10.7109375" style="12" customWidth="1"/>
    <col min="4330" max="4333" width="8.7109375" style="12" customWidth="1"/>
    <col min="4334" max="4334" width="11" style="12" customWidth="1"/>
    <col min="4335" max="4335" width="10.7109375" style="12" customWidth="1"/>
    <col min="4336" max="4337" width="8.85546875" style="12"/>
    <col min="4338" max="4341" width="8.7109375" style="12" customWidth="1"/>
    <col min="4342" max="4342" width="11.42578125" style="12" customWidth="1"/>
    <col min="4343" max="4345" width="8.85546875" style="12"/>
    <col min="4346" max="4349" width="8.7109375" style="12" customWidth="1"/>
    <col min="4350" max="4350" width="11" style="12" customWidth="1"/>
    <col min="4351" max="4351" width="9.7109375" style="12" customWidth="1"/>
    <col min="4352" max="4583" width="8.85546875" style="12"/>
    <col min="4584" max="4584" width="23.7109375" style="12" customWidth="1"/>
    <col min="4585" max="4585" width="10.7109375" style="12" customWidth="1"/>
    <col min="4586" max="4589" width="8.7109375" style="12" customWidth="1"/>
    <col min="4590" max="4590" width="11" style="12" customWidth="1"/>
    <col min="4591" max="4591" width="10.7109375" style="12" customWidth="1"/>
    <col min="4592" max="4593" width="8.85546875" style="12"/>
    <col min="4594" max="4597" width="8.7109375" style="12" customWidth="1"/>
    <col min="4598" max="4598" width="11.42578125" style="12" customWidth="1"/>
    <col min="4599" max="4601" width="8.85546875" style="12"/>
    <col min="4602" max="4605" width="8.7109375" style="12" customWidth="1"/>
    <col min="4606" max="4606" width="11" style="12" customWidth="1"/>
    <col min="4607" max="4607" width="9.7109375" style="12" customWidth="1"/>
    <col min="4608" max="4839" width="8.85546875" style="12"/>
    <col min="4840" max="4840" width="23.7109375" style="12" customWidth="1"/>
    <col min="4841" max="4841" width="10.7109375" style="12" customWidth="1"/>
    <col min="4842" max="4845" width="8.7109375" style="12" customWidth="1"/>
    <col min="4846" max="4846" width="11" style="12" customWidth="1"/>
    <col min="4847" max="4847" width="10.7109375" style="12" customWidth="1"/>
    <col min="4848" max="4849" width="8.85546875" style="12"/>
    <col min="4850" max="4853" width="8.7109375" style="12" customWidth="1"/>
    <col min="4854" max="4854" width="11.42578125" style="12" customWidth="1"/>
    <col min="4855" max="4857" width="8.85546875" style="12"/>
    <col min="4858" max="4861" width="8.7109375" style="12" customWidth="1"/>
    <col min="4862" max="4862" width="11" style="12" customWidth="1"/>
    <col min="4863" max="4863" width="9.7109375" style="12" customWidth="1"/>
    <col min="4864" max="5095" width="8.85546875" style="12"/>
    <col min="5096" max="5096" width="23.7109375" style="12" customWidth="1"/>
    <col min="5097" max="5097" width="10.7109375" style="12" customWidth="1"/>
    <col min="5098" max="5101" width="8.7109375" style="12" customWidth="1"/>
    <col min="5102" max="5102" width="11" style="12" customWidth="1"/>
    <col min="5103" max="5103" width="10.7109375" style="12" customWidth="1"/>
    <col min="5104" max="5105" width="8.85546875" style="12"/>
    <col min="5106" max="5109" width="8.7109375" style="12" customWidth="1"/>
    <col min="5110" max="5110" width="11.42578125" style="12" customWidth="1"/>
    <col min="5111" max="5113" width="8.85546875" style="12"/>
    <col min="5114" max="5117" width="8.7109375" style="12" customWidth="1"/>
    <col min="5118" max="5118" width="11" style="12" customWidth="1"/>
    <col min="5119" max="5119" width="9.7109375" style="12" customWidth="1"/>
    <col min="5120" max="5351" width="8.85546875" style="12"/>
    <col min="5352" max="5352" width="23.7109375" style="12" customWidth="1"/>
    <col min="5353" max="5353" width="10.7109375" style="12" customWidth="1"/>
    <col min="5354" max="5357" width="8.7109375" style="12" customWidth="1"/>
    <col min="5358" max="5358" width="11" style="12" customWidth="1"/>
    <col min="5359" max="5359" width="10.7109375" style="12" customWidth="1"/>
    <col min="5360" max="5361" width="8.85546875" style="12"/>
    <col min="5362" max="5365" width="8.7109375" style="12" customWidth="1"/>
    <col min="5366" max="5366" width="11.42578125" style="12" customWidth="1"/>
    <col min="5367" max="5369" width="8.85546875" style="12"/>
    <col min="5370" max="5373" width="8.7109375" style="12" customWidth="1"/>
    <col min="5374" max="5374" width="11" style="12" customWidth="1"/>
    <col min="5375" max="5375" width="9.7109375" style="12" customWidth="1"/>
    <col min="5376" max="5607" width="8.85546875" style="12"/>
    <col min="5608" max="5608" width="23.7109375" style="12" customWidth="1"/>
    <col min="5609" max="5609" width="10.7109375" style="12" customWidth="1"/>
    <col min="5610" max="5613" width="8.7109375" style="12" customWidth="1"/>
    <col min="5614" max="5614" width="11" style="12" customWidth="1"/>
    <col min="5615" max="5615" width="10.7109375" style="12" customWidth="1"/>
    <col min="5616" max="5617" width="8.85546875" style="12"/>
    <col min="5618" max="5621" width="8.7109375" style="12" customWidth="1"/>
    <col min="5622" max="5622" width="11.42578125" style="12" customWidth="1"/>
    <col min="5623" max="5625" width="8.85546875" style="12"/>
    <col min="5626" max="5629" width="8.7109375" style="12" customWidth="1"/>
    <col min="5630" max="5630" width="11" style="12" customWidth="1"/>
    <col min="5631" max="5631" width="9.7109375" style="12" customWidth="1"/>
    <col min="5632" max="5863" width="8.85546875" style="12"/>
    <col min="5864" max="5864" width="23.7109375" style="12" customWidth="1"/>
    <col min="5865" max="5865" width="10.7109375" style="12" customWidth="1"/>
    <col min="5866" max="5869" width="8.7109375" style="12" customWidth="1"/>
    <col min="5870" max="5870" width="11" style="12" customWidth="1"/>
    <col min="5871" max="5871" width="10.7109375" style="12" customWidth="1"/>
    <col min="5872" max="5873" width="8.85546875" style="12"/>
    <col min="5874" max="5877" width="8.7109375" style="12" customWidth="1"/>
    <col min="5878" max="5878" width="11.42578125" style="12" customWidth="1"/>
    <col min="5879" max="5881" width="8.85546875" style="12"/>
    <col min="5882" max="5885" width="8.7109375" style="12" customWidth="1"/>
    <col min="5886" max="5886" width="11" style="12" customWidth="1"/>
    <col min="5887" max="5887" width="9.7109375" style="12" customWidth="1"/>
    <col min="5888" max="6119" width="8.85546875" style="12"/>
    <col min="6120" max="6120" width="23.7109375" style="12" customWidth="1"/>
    <col min="6121" max="6121" width="10.7109375" style="12" customWidth="1"/>
    <col min="6122" max="6125" width="8.7109375" style="12" customWidth="1"/>
    <col min="6126" max="6126" width="11" style="12" customWidth="1"/>
    <col min="6127" max="6127" width="10.7109375" style="12" customWidth="1"/>
    <col min="6128" max="6129" width="8.85546875" style="12"/>
    <col min="6130" max="6133" width="8.7109375" style="12" customWidth="1"/>
    <col min="6134" max="6134" width="11.42578125" style="12" customWidth="1"/>
    <col min="6135" max="6137" width="8.85546875" style="12"/>
    <col min="6138" max="6141" width="8.7109375" style="12" customWidth="1"/>
    <col min="6142" max="6142" width="11" style="12" customWidth="1"/>
    <col min="6143" max="6143" width="9.7109375" style="12" customWidth="1"/>
    <col min="6144" max="6375" width="8.85546875" style="12"/>
    <col min="6376" max="6376" width="23.7109375" style="12" customWidth="1"/>
    <col min="6377" max="6377" width="10.7109375" style="12" customWidth="1"/>
    <col min="6378" max="6381" width="8.7109375" style="12" customWidth="1"/>
    <col min="6382" max="6382" width="11" style="12" customWidth="1"/>
    <col min="6383" max="6383" width="10.7109375" style="12" customWidth="1"/>
    <col min="6384" max="6385" width="8.85546875" style="12"/>
    <col min="6386" max="6389" width="8.7109375" style="12" customWidth="1"/>
    <col min="6390" max="6390" width="11.42578125" style="12" customWidth="1"/>
    <col min="6391" max="6393" width="8.85546875" style="12"/>
    <col min="6394" max="6397" width="8.7109375" style="12" customWidth="1"/>
    <col min="6398" max="6398" width="11" style="12" customWidth="1"/>
    <col min="6399" max="6399" width="9.7109375" style="12" customWidth="1"/>
    <col min="6400" max="6631" width="8.85546875" style="12"/>
    <col min="6632" max="6632" width="23.7109375" style="12" customWidth="1"/>
    <col min="6633" max="6633" width="10.7109375" style="12" customWidth="1"/>
    <col min="6634" max="6637" width="8.7109375" style="12" customWidth="1"/>
    <col min="6638" max="6638" width="11" style="12" customWidth="1"/>
    <col min="6639" max="6639" width="10.7109375" style="12" customWidth="1"/>
    <col min="6640" max="6641" width="8.85546875" style="12"/>
    <col min="6642" max="6645" width="8.7109375" style="12" customWidth="1"/>
    <col min="6646" max="6646" width="11.42578125" style="12" customWidth="1"/>
    <col min="6647" max="6649" width="8.85546875" style="12"/>
    <col min="6650" max="6653" width="8.7109375" style="12" customWidth="1"/>
    <col min="6654" max="6654" width="11" style="12" customWidth="1"/>
    <col min="6655" max="6655" width="9.7109375" style="12" customWidth="1"/>
    <col min="6656" max="6887" width="8.85546875" style="12"/>
    <col min="6888" max="6888" width="23.7109375" style="12" customWidth="1"/>
    <col min="6889" max="6889" width="10.7109375" style="12" customWidth="1"/>
    <col min="6890" max="6893" width="8.7109375" style="12" customWidth="1"/>
    <col min="6894" max="6894" width="11" style="12" customWidth="1"/>
    <col min="6895" max="6895" width="10.7109375" style="12" customWidth="1"/>
    <col min="6896" max="6897" width="8.85546875" style="12"/>
    <col min="6898" max="6901" width="8.7109375" style="12" customWidth="1"/>
    <col min="6902" max="6902" width="11.42578125" style="12" customWidth="1"/>
    <col min="6903" max="6905" width="8.85546875" style="12"/>
    <col min="6906" max="6909" width="8.7109375" style="12" customWidth="1"/>
    <col min="6910" max="6910" width="11" style="12" customWidth="1"/>
    <col min="6911" max="6911" width="9.7109375" style="12" customWidth="1"/>
    <col min="6912" max="7143" width="8.85546875" style="12"/>
    <col min="7144" max="7144" width="23.7109375" style="12" customWidth="1"/>
    <col min="7145" max="7145" width="10.7109375" style="12" customWidth="1"/>
    <col min="7146" max="7149" width="8.7109375" style="12" customWidth="1"/>
    <col min="7150" max="7150" width="11" style="12" customWidth="1"/>
    <col min="7151" max="7151" width="10.7109375" style="12" customWidth="1"/>
    <col min="7152" max="7153" width="8.85546875" style="12"/>
    <col min="7154" max="7157" width="8.7109375" style="12" customWidth="1"/>
    <col min="7158" max="7158" width="11.42578125" style="12" customWidth="1"/>
    <col min="7159" max="7161" width="8.85546875" style="12"/>
    <col min="7162" max="7165" width="8.7109375" style="12" customWidth="1"/>
    <col min="7166" max="7166" width="11" style="12" customWidth="1"/>
    <col min="7167" max="7167" width="9.7109375" style="12" customWidth="1"/>
    <col min="7168" max="7399" width="8.85546875" style="12"/>
    <col min="7400" max="7400" width="23.7109375" style="12" customWidth="1"/>
    <col min="7401" max="7401" width="10.7109375" style="12" customWidth="1"/>
    <col min="7402" max="7405" width="8.7109375" style="12" customWidth="1"/>
    <col min="7406" max="7406" width="11" style="12" customWidth="1"/>
    <col min="7407" max="7407" width="10.7109375" style="12" customWidth="1"/>
    <col min="7408" max="7409" width="8.85546875" style="12"/>
    <col min="7410" max="7413" width="8.7109375" style="12" customWidth="1"/>
    <col min="7414" max="7414" width="11.42578125" style="12" customWidth="1"/>
    <col min="7415" max="7417" width="8.85546875" style="12"/>
    <col min="7418" max="7421" width="8.7109375" style="12" customWidth="1"/>
    <col min="7422" max="7422" width="11" style="12" customWidth="1"/>
    <col min="7423" max="7423" width="9.7109375" style="12" customWidth="1"/>
    <col min="7424" max="7655" width="8.85546875" style="12"/>
    <col min="7656" max="7656" width="23.7109375" style="12" customWidth="1"/>
    <col min="7657" max="7657" width="10.7109375" style="12" customWidth="1"/>
    <col min="7658" max="7661" width="8.7109375" style="12" customWidth="1"/>
    <col min="7662" max="7662" width="11" style="12" customWidth="1"/>
    <col min="7663" max="7663" width="10.7109375" style="12" customWidth="1"/>
    <col min="7664" max="7665" width="8.85546875" style="12"/>
    <col min="7666" max="7669" width="8.7109375" style="12" customWidth="1"/>
    <col min="7670" max="7670" width="11.42578125" style="12" customWidth="1"/>
    <col min="7671" max="7673" width="8.85546875" style="12"/>
    <col min="7674" max="7677" width="8.7109375" style="12" customWidth="1"/>
    <col min="7678" max="7678" width="11" style="12" customWidth="1"/>
    <col min="7679" max="7679" width="9.7109375" style="12" customWidth="1"/>
    <col min="7680" max="7911" width="8.85546875" style="12"/>
    <col min="7912" max="7912" width="23.7109375" style="12" customWidth="1"/>
    <col min="7913" max="7913" width="10.7109375" style="12" customWidth="1"/>
    <col min="7914" max="7917" width="8.7109375" style="12" customWidth="1"/>
    <col min="7918" max="7918" width="11" style="12" customWidth="1"/>
    <col min="7919" max="7919" width="10.7109375" style="12" customWidth="1"/>
    <col min="7920" max="7921" width="8.85546875" style="12"/>
    <col min="7922" max="7925" width="8.7109375" style="12" customWidth="1"/>
    <col min="7926" max="7926" width="11.42578125" style="12" customWidth="1"/>
    <col min="7927" max="7929" width="8.85546875" style="12"/>
    <col min="7930" max="7933" width="8.7109375" style="12" customWidth="1"/>
    <col min="7934" max="7934" width="11" style="12" customWidth="1"/>
    <col min="7935" max="7935" width="9.7109375" style="12" customWidth="1"/>
    <col min="7936" max="8167" width="8.85546875" style="12"/>
    <col min="8168" max="8168" width="23.7109375" style="12" customWidth="1"/>
    <col min="8169" max="8169" width="10.7109375" style="12" customWidth="1"/>
    <col min="8170" max="8173" width="8.7109375" style="12" customWidth="1"/>
    <col min="8174" max="8174" width="11" style="12" customWidth="1"/>
    <col min="8175" max="8175" width="10.7109375" style="12" customWidth="1"/>
    <col min="8176" max="8177" width="8.85546875" style="12"/>
    <col min="8178" max="8181" width="8.7109375" style="12" customWidth="1"/>
    <col min="8182" max="8182" width="11.42578125" style="12" customWidth="1"/>
    <col min="8183" max="8185" width="8.85546875" style="12"/>
    <col min="8186" max="8189" width="8.7109375" style="12" customWidth="1"/>
    <col min="8190" max="8190" width="11" style="12" customWidth="1"/>
    <col min="8191" max="8191" width="9.7109375" style="12" customWidth="1"/>
    <col min="8192" max="8423" width="8.85546875" style="12"/>
    <col min="8424" max="8424" width="23.7109375" style="12" customWidth="1"/>
    <col min="8425" max="8425" width="10.7109375" style="12" customWidth="1"/>
    <col min="8426" max="8429" width="8.7109375" style="12" customWidth="1"/>
    <col min="8430" max="8430" width="11" style="12" customWidth="1"/>
    <col min="8431" max="8431" width="10.7109375" style="12" customWidth="1"/>
    <col min="8432" max="8433" width="8.85546875" style="12"/>
    <col min="8434" max="8437" width="8.7109375" style="12" customWidth="1"/>
    <col min="8438" max="8438" width="11.42578125" style="12" customWidth="1"/>
    <col min="8439" max="8441" width="8.85546875" style="12"/>
    <col min="8442" max="8445" width="8.7109375" style="12" customWidth="1"/>
    <col min="8446" max="8446" width="11" style="12" customWidth="1"/>
    <col min="8447" max="8447" width="9.7109375" style="12" customWidth="1"/>
    <col min="8448" max="8679" width="8.85546875" style="12"/>
    <col min="8680" max="8680" width="23.7109375" style="12" customWidth="1"/>
    <col min="8681" max="8681" width="10.7109375" style="12" customWidth="1"/>
    <col min="8682" max="8685" width="8.7109375" style="12" customWidth="1"/>
    <col min="8686" max="8686" width="11" style="12" customWidth="1"/>
    <col min="8687" max="8687" width="10.7109375" style="12" customWidth="1"/>
    <col min="8688" max="8689" width="8.85546875" style="12"/>
    <col min="8690" max="8693" width="8.7109375" style="12" customWidth="1"/>
    <col min="8694" max="8694" width="11.42578125" style="12" customWidth="1"/>
    <col min="8695" max="8697" width="8.85546875" style="12"/>
    <col min="8698" max="8701" width="8.7109375" style="12" customWidth="1"/>
    <col min="8702" max="8702" width="11" style="12" customWidth="1"/>
    <col min="8703" max="8703" width="9.7109375" style="12" customWidth="1"/>
    <col min="8704" max="8935" width="8.85546875" style="12"/>
    <col min="8936" max="8936" width="23.7109375" style="12" customWidth="1"/>
    <col min="8937" max="8937" width="10.7109375" style="12" customWidth="1"/>
    <col min="8938" max="8941" width="8.7109375" style="12" customWidth="1"/>
    <col min="8942" max="8942" width="11" style="12" customWidth="1"/>
    <col min="8943" max="8943" width="10.7109375" style="12" customWidth="1"/>
    <col min="8944" max="8945" width="8.85546875" style="12"/>
    <col min="8946" max="8949" width="8.7109375" style="12" customWidth="1"/>
    <col min="8950" max="8950" width="11.42578125" style="12" customWidth="1"/>
    <col min="8951" max="8953" width="8.85546875" style="12"/>
    <col min="8954" max="8957" width="8.7109375" style="12" customWidth="1"/>
    <col min="8958" max="8958" width="11" style="12" customWidth="1"/>
    <col min="8959" max="8959" width="9.7109375" style="12" customWidth="1"/>
    <col min="8960" max="9191" width="8.85546875" style="12"/>
    <col min="9192" max="9192" width="23.7109375" style="12" customWidth="1"/>
    <col min="9193" max="9193" width="10.7109375" style="12" customWidth="1"/>
    <col min="9194" max="9197" width="8.7109375" style="12" customWidth="1"/>
    <col min="9198" max="9198" width="11" style="12" customWidth="1"/>
    <col min="9199" max="9199" width="10.7109375" style="12" customWidth="1"/>
    <col min="9200" max="9201" width="8.85546875" style="12"/>
    <col min="9202" max="9205" width="8.7109375" style="12" customWidth="1"/>
    <col min="9206" max="9206" width="11.42578125" style="12" customWidth="1"/>
    <col min="9207" max="9209" width="8.85546875" style="12"/>
    <col min="9210" max="9213" width="8.7109375" style="12" customWidth="1"/>
    <col min="9214" max="9214" width="11" style="12" customWidth="1"/>
    <col min="9215" max="9215" width="9.7109375" style="12" customWidth="1"/>
    <col min="9216" max="9447" width="8.85546875" style="12"/>
    <col min="9448" max="9448" width="23.7109375" style="12" customWidth="1"/>
    <col min="9449" max="9449" width="10.7109375" style="12" customWidth="1"/>
    <col min="9450" max="9453" width="8.7109375" style="12" customWidth="1"/>
    <col min="9454" max="9454" width="11" style="12" customWidth="1"/>
    <col min="9455" max="9455" width="10.7109375" style="12" customWidth="1"/>
    <col min="9456" max="9457" width="8.85546875" style="12"/>
    <col min="9458" max="9461" width="8.7109375" style="12" customWidth="1"/>
    <col min="9462" max="9462" width="11.42578125" style="12" customWidth="1"/>
    <col min="9463" max="9465" width="8.85546875" style="12"/>
    <col min="9466" max="9469" width="8.7109375" style="12" customWidth="1"/>
    <col min="9470" max="9470" width="11" style="12" customWidth="1"/>
    <col min="9471" max="9471" width="9.7109375" style="12" customWidth="1"/>
    <col min="9472" max="9703" width="8.85546875" style="12"/>
    <col min="9704" max="9704" width="23.7109375" style="12" customWidth="1"/>
    <col min="9705" max="9705" width="10.7109375" style="12" customWidth="1"/>
    <col min="9706" max="9709" width="8.7109375" style="12" customWidth="1"/>
    <col min="9710" max="9710" width="11" style="12" customWidth="1"/>
    <col min="9711" max="9711" width="10.7109375" style="12" customWidth="1"/>
    <col min="9712" max="9713" width="8.85546875" style="12"/>
    <col min="9714" max="9717" width="8.7109375" style="12" customWidth="1"/>
    <col min="9718" max="9718" width="11.42578125" style="12" customWidth="1"/>
    <col min="9719" max="9721" width="8.85546875" style="12"/>
    <col min="9722" max="9725" width="8.7109375" style="12" customWidth="1"/>
    <col min="9726" max="9726" width="11" style="12" customWidth="1"/>
    <col min="9727" max="9727" width="9.7109375" style="12" customWidth="1"/>
    <col min="9728" max="9959" width="8.85546875" style="12"/>
    <col min="9960" max="9960" width="23.7109375" style="12" customWidth="1"/>
    <col min="9961" max="9961" width="10.7109375" style="12" customWidth="1"/>
    <col min="9962" max="9965" width="8.7109375" style="12" customWidth="1"/>
    <col min="9966" max="9966" width="11" style="12" customWidth="1"/>
    <col min="9967" max="9967" width="10.7109375" style="12" customWidth="1"/>
    <col min="9968" max="9969" width="8.85546875" style="12"/>
    <col min="9970" max="9973" width="8.7109375" style="12" customWidth="1"/>
    <col min="9974" max="9974" width="11.42578125" style="12" customWidth="1"/>
    <col min="9975" max="9977" width="8.85546875" style="12"/>
    <col min="9978" max="9981" width="8.7109375" style="12" customWidth="1"/>
    <col min="9982" max="9982" width="11" style="12" customWidth="1"/>
    <col min="9983" max="9983" width="9.7109375" style="12" customWidth="1"/>
    <col min="9984" max="10215" width="8.85546875" style="12"/>
    <col min="10216" max="10216" width="23.7109375" style="12" customWidth="1"/>
    <col min="10217" max="10217" width="10.7109375" style="12" customWidth="1"/>
    <col min="10218" max="10221" width="8.7109375" style="12" customWidth="1"/>
    <col min="10222" max="10222" width="11" style="12" customWidth="1"/>
    <col min="10223" max="10223" width="10.7109375" style="12" customWidth="1"/>
    <col min="10224" max="10225" width="8.85546875" style="12"/>
    <col min="10226" max="10229" width="8.7109375" style="12" customWidth="1"/>
    <col min="10230" max="10230" width="11.42578125" style="12" customWidth="1"/>
    <col min="10231" max="10233" width="8.85546875" style="12"/>
    <col min="10234" max="10237" width="8.7109375" style="12" customWidth="1"/>
    <col min="10238" max="10238" width="11" style="12" customWidth="1"/>
    <col min="10239" max="10239" width="9.7109375" style="12" customWidth="1"/>
    <col min="10240" max="10471" width="8.85546875" style="12"/>
    <col min="10472" max="10472" width="23.7109375" style="12" customWidth="1"/>
    <col min="10473" max="10473" width="10.7109375" style="12" customWidth="1"/>
    <col min="10474" max="10477" width="8.7109375" style="12" customWidth="1"/>
    <col min="10478" max="10478" width="11" style="12" customWidth="1"/>
    <col min="10479" max="10479" width="10.7109375" style="12" customWidth="1"/>
    <col min="10480" max="10481" width="8.85546875" style="12"/>
    <col min="10482" max="10485" width="8.7109375" style="12" customWidth="1"/>
    <col min="10486" max="10486" width="11.42578125" style="12" customWidth="1"/>
    <col min="10487" max="10489" width="8.85546875" style="12"/>
    <col min="10490" max="10493" width="8.7109375" style="12" customWidth="1"/>
    <col min="10494" max="10494" width="11" style="12" customWidth="1"/>
    <col min="10495" max="10495" width="9.7109375" style="12" customWidth="1"/>
    <col min="10496" max="10727" width="8.85546875" style="12"/>
    <col min="10728" max="10728" width="23.7109375" style="12" customWidth="1"/>
    <col min="10729" max="10729" width="10.7109375" style="12" customWidth="1"/>
    <col min="10730" max="10733" width="8.7109375" style="12" customWidth="1"/>
    <col min="10734" max="10734" width="11" style="12" customWidth="1"/>
    <col min="10735" max="10735" width="10.7109375" style="12" customWidth="1"/>
    <col min="10736" max="10737" width="8.85546875" style="12"/>
    <col min="10738" max="10741" width="8.7109375" style="12" customWidth="1"/>
    <col min="10742" max="10742" width="11.42578125" style="12" customWidth="1"/>
    <col min="10743" max="10745" width="8.85546875" style="12"/>
    <col min="10746" max="10749" width="8.7109375" style="12" customWidth="1"/>
    <col min="10750" max="10750" width="11" style="12" customWidth="1"/>
    <col min="10751" max="10751" width="9.7109375" style="12" customWidth="1"/>
    <col min="10752" max="10983" width="8.85546875" style="12"/>
    <col min="10984" max="10984" width="23.7109375" style="12" customWidth="1"/>
    <col min="10985" max="10985" width="10.7109375" style="12" customWidth="1"/>
    <col min="10986" max="10989" width="8.7109375" style="12" customWidth="1"/>
    <col min="10990" max="10990" width="11" style="12" customWidth="1"/>
    <col min="10991" max="10991" width="10.7109375" style="12" customWidth="1"/>
    <col min="10992" max="10993" width="8.85546875" style="12"/>
    <col min="10994" max="10997" width="8.7109375" style="12" customWidth="1"/>
    <col min="10998" max="10998" width="11.42578125" style="12" customWidth="1"/>
    <col min="10999" max="11001" width="8.85546875" style="12"/>
    <col min="11002" max="11005" width="8.7109375" style="12" customWidth="1"/>
    <col min="11006" max="11006" width="11" style="12" customWidth="1"/>
    <col min="11007" max="11007" width="9.7109375" style="12" customWidth="1"/>
    <col min="11008" max="11239" width="8.85546875" style="12"/>
    <col min="11240" max="11240" width="23.7109375" style="12" customWidth="1"/>
    <col min="11241" max="11241" width="10.7109375" style="12" customWidth="1"/>
    <col min="11242" max="11245" width="8.7109375" style="12" customWidth="1"/>
    <col min="11246" max="11246" width="11" style="12" customWidth="1"/>
    <col min="11247" max="11247" width="10.7109375" style="12" customWidth="1"/>
    <col min="11248" max="11249" width="8.85546875" style="12"/>
    <col min="11250" max="11253" width="8.7109375" style="12" customWidth="1"/>
    <col min="11254" max="11254" width="11.42578125" style="12" customWidth="1"/>
    <col min="11255" max="11257" width="8.85546875" style="12"/>
    <col min="11258" max="11261" width="8.7109375" style="12" customWidth="1"/>
    <col min="11262" max="11262" width="11" style="12" customWidth="1"/>
    <col min="11263" max="11263" width="9.7109375" style="12" customWidth="1"/>
    <col min="11264" max="11495" width="8.85546875" style="12"/>
    <col min="11496" max="11496" width="23.7109375" style="12" customWidth="1"/>
    <col min="11497" max="11497" width="10.7109375" style="12" customWidth="1"/>
    <col min="11498" max="11501" width="8.7109375" style="12" customWidth="1"/>
    <col min="11502" max="11502" width="11" style="12" customWidth="1"/>
    <col min="11503" max="11503" width="10.7109375" style="12" customWidth="1"/>
    <col min="11504" max="11505" width="8.85546875" style="12"/>
    <col min="11506" max="11509" width="8.7109375" style="12" customWidth="1"/>
    <col min="11510" max="11510" width="11.42578125" style="12" customWidth="1"/>
    <col min="11511" max="11513" width="8.85546875" style="12"/>
    <col min="11514" max="11517" width="8.7109375" style="12" customWidth="1"/>
    <col min="11518" max="11518" width="11" style="12" customWidth="1"/>
    <col min="11519" max="11519" width="9.7109375" style="12" customWidth="1"/>
    <col min="11520" max="11751" width="8.85546875" style="12"/>
    <col min="11752" max="11752" width="23.7109375" style="12" customWidth="1"/>
    <col min="11753" max="11753" width="10.7109375" style="12" customWidth="1"/>
    <col min="11754" max="11757" width="8.7109375" style="12" customWidth="1"/>
    <col min="11758" max="11758" width="11" style="12" customWidth="1"/>
    <col min="11759" max="11759" width="10.7109375" style="12" customWidth="1"/>
    <col min="11760" max="11761" width="8.85546875" style="12"/>
    <col min="11762" max="11765" width="8.7109375" style="12" customWidth="1"/>
    <col min="11766" max="11766" width="11.42578125" style="12" customWidth="1"/>
    <col min="11767" max="11769" width="8.85546875" style="12"/>
    <col min="11770" max="11773" width="8.7109375" style="12" customWidth="1"/>
    <col min="11774" max="11774" width="11" style="12" customWidth="1"/>
    <col min="11775" max="11775" width="9.7109375" style="12" customWidth="1"/>
    <col min="11776" max="12007" width="8.85546875" style="12"/>
    <col min="12008" max="12008" width="23.7109375" style="12" customWidth="1"/>
    <col min="12009" max="12009" width="10.7109375" style="12" customWidth="1"/>
    <col min="12010" max="12013" width="8.7109375" style="12" customWidth="1"/>
    <col min="12014" max="12014" width="11" style="12" customWidth="1"/>
    <col min="12015" max="12015" width="10.7109375" style="12" customWidth="1"/>
    <col min="12016" max="12017" width="8.85546875" style="12"/>
    <col min="12018" max="12021" width="8.7109375" style="12" customWidth="1"/>
    <col min="12022" max="12022" width="11.42578125" style="12" customWidth="1"/>
    <col min="12023" max="12025" width="8.85546875" style="12"/>
    <col min="12026" max="12029" width="8.7109375" style="12" customWidth="1"/>
    <col min="12030" max="12030" width="11" style="12" customWidth="1"/>
    <col min="12031" max="12031" width="9.7109375" style="12" customWidth="1"/>
    <col min="12032" max="12263" width="8.85546875" style="12"/>
    <col min="12264" max="12264" width="23.7109375" style="12" customWidth="1"/>
    <col min="12265" max="12265" width="10.7109375" style="12" customWidth="1"/>
    <col min="12266" max="12269" width="8.7109375" style="12" customWidth="1"/>
    <col min="12270" max="12270" width="11" style="12" customWidth="1"/>
    <col min="12271" max="12271" width="10.7109375" style="12" customWidth="1"/>
    <col min="12272" max="12273" width="8.85546875" style="12"/>
    <col min="12274" max="12277" width="8.7109375" style="12" customWidth="1"/>
    <col min="12278" max="12278" width="11.42578125" style="12" customWidth="1"/>
    <col min="12279" max="12281" width="8.85546875" style="12"/>
    <col min="12282" max="12285" width="8.7109375" style="12" customWidth="1"/>
    <col min="12286" max="12286" width="11" style="12" customWidth="1"/>
    <col min="12287" max="12287" width="9.7109375" style="12" customWidth="1"/>
    <col min="12288" max="12519" width="8.85546875" style="12"/>
    <col min="12520" max="12520" width="23.7109375" style="12" customWidth="1"/>
    <col min="12521" max="12521" width="10.7109375" style="12" customWidth="1"/>
    <col min="12522" max="12525" width="8.7109375" style="12" customWidth="1"/>
    <col min="12526" max="12526" width="11" style="12" customWidth="1"/>
    <col min="12527" max="12527" width="10.7109375" style="12" customWidth="1"/>
    <col min="12528" max="12529" width="8.85546875" style="12"/>
    <col min="12530" max="12533" width="8.7109375" style="12" customWidth="1"/>
    <col min="12534" max="12534" width="11.42578125" style="12" customWidth="1"/>
    <col min="12535" max="12537" width="8.85546875" style="12"/>
    <col min="12538" max="12541" width="8.7109375" style="12" customWidth="1"/>
    <col min="12542" max="12542" width="11" style="12" customWidth="1"/>
    <col min="12543" max="12543" width="9.7109375" style="12" customWidth="1"/>
    <col min="12544" max="12775" width="8.85546875" style="12"/>
    <col min="12776" max="12776" width="23.7109375" style="12" customWidth="1"/>
    <col min="12777" max="12777" width="10.7109375" style="12" customWidth="1"/>
    <col min="12778" max="12781" width="8.7109375" style="12" customWidth="1"/>
    <col min="12782" max="12782" width="11" style="12" customWidth="1"/>
    <col min="12783" max="12783" width="10.7109375" style="12" customWidth="1"/>
    <col min="12784" max="12785" width="8.85546875" style="12"/>
    <col min="12786" max="12789" width="8.7109375" style="12" customWidth="1"/>
    <col min="12790" max="12790" width="11.42578125" style="12" customWidth="1"/>
    <col min="12791" max="12793" width="8.85546875" style="12"/>
    <col min="12794" max="12797" width="8.7109375" style="12" customWidth="1"/>
    <col min="12798" max="12798" width="11" style="12" customWidth="1"/>
    <col min="12799" max="12799" width="9.7109375" style="12" customWidth="1"/>
    <col min="12800" max="13031" width="8.85546875" style="12"/>
    <col min="13032" max="13032" width="23.7109375" style="12" customWidth="1"/>
    <col min="13033" max="13033" width="10.7109375" style="12" customWidth="1"/>
    <col min="13034" max="13037" width="8.7109375" style="12" customWidth="1"/>
    <col min="13038" max="13038" width="11" style="12" customWidth="1"/>
    <col min="13039" max="13039" width="10.7109375" style="12" customWidth="1"/>
    <col min="13040" max="13041" width="8.85546875" style="12"/>
    <col min="13042" max="13045" width="8.7109375" style="12" customWidth="1"/>
    <col min="13046" max="13046" width="11.42578125" style="12" customWidth="1"/>
    <col min="13047" max="13049" width="8.85546875" style="12"/>
    <col min="13050" max="13053" width="8.7109375" style="12" customWidth="1"/>
    <col min="13054" max="13054" width="11" style="12" customWidth="1"/>
    <col min="13055" max="13055" width="9.7109375" style="12" customWidth="1"/>
    <col min="13056" max="13287" width="8.85546875" style="12"/>
    <col min="13288" max="13288" width="23.7109375" style="12" customWidth="1"/>
    <col min="13289" max="13289" width="10.7109375" style="12" customWidth="1"/>
    <col min="13290" max="13293" width="8.7109375" style="12" customWidth="1"/>
    <col min="13294" max="13294" width="11" style="12" customWidth="1"/>
    <col min="13295" max="13295" width="10.7109375" style="12" customWidth="1"/>
    <col min="13296" max="13297" width="8.85546875" style="12"/>
    <col min="13298" max="13301" width="8.7109375" style="12" customWidth="1"/>
    <col min="13302" max="13302" width="11.42578125" style="12" customWidth="1"/>
    <col min="13303" max="13305" width="8.85546875" style="12"/>
    <col min="13306" max="13309" width="8.7109375" style="12" customWidth="1"/>
    <col min="13310" max="13310" width="11" style="12" customWidth="1"/>
    <col min="13311" max="13311" width="9.7109375" style="12" customWidth="1"/>
    <col min="13312" max="13543" width="8.85546875" style="12"/>
    <col min="13544" max="13544" width="23.7109375" style="12" customWidth="1"/>
    <col min="13545" max="13545" width="10.7109375" style="12" customWidth="1"/>
    <col min="13546" max="13549" width="8.7109375" style="12" customWidth="1"/>
    <col min="13550" max="13550" width="11" style="12" customWidth="1"/>
    <col min="13551" max="13551" width="10.7109375" style="12" customWidth="1"/>
    <col min="13552" max="13553" width="8.85546875" style="12"/>
    <col min="13554" max="13557" width="8.7109375" style="12" customWidth="1"/>
    <col min="13558" max="13558" width="11.42578125" style="12" customWidth="1"/>
    <col min="13559" max="13561" width="8.85546875" style="12"/>
    <col min="13562" max="13565" width="8.7109375" style="12" customWidth="1"/>
    <col min="13566" max="13566" width="11" style="12" customWidth="1"/>
    <col min="13567" max="13567" width="9.7109375" style="12" customWidth="1"/>
    <col min="13568" max="13799" width="8.85546875" style="12"/>
    <col min="13800" max="13800" width="23.7109375" style="12" customWidth="1"/>
    <col min="13801" max="13801" width="10.7109375" style="12" customWidth="1"/>
    <col min="13802" max="13805" width="8.7109375" style="12" customWidth="1"/>
    <col min="13806" max="13806" width="11" style="12" customWidth="1"/>
    <col min="13807" max="13807" width="10.7109375" style="12" customWidth="1"/>
    <col min="13808" max="13809" width="8.85546875" style="12"/>
    <col min="13810" max="13813" width="8.7109375" style="12" customWidth="1"/>
    <col min="13814" max="13814" width="11.42578125" style="12" customWidth="1"/>
    <col min="13815" max="13817" width="8.85546875" style="12"/>
    <col min="13818" max="13821" width="8.7109375" style="12" customWidth="1"/>
    <col min="13822" max="13822" width="11" style="12" customWidth="1"/>
    <col min="13823" max="13823" width="9.7109375" style="12" customWidth="1"/>
    <col min="13824" max="14055" width="8.85546875" style="12"/>
    <col min="14056" max="14056" width="23.7109375" style="12" customWidth="1"/>
    <col min="14057" max="14057" width="10.7109375" style="12" customWidth="1"/>
    <col min="14058" max="14061" width="8.7109375" style="12" customWidth="1"/>
    <col min="14062" max="14062" width="11" style="12" customWidth="1"/>
    <col min="14063" max="14063" width="10.7109375" style="12" customWidth="1"/>
    <col min="14064" max="14065" width="8.85546875" style="12"/>
    <col min="14066" max="14069" width="8.7109375" style="12" customWidth="1"/>
    <col min="14070" max="14070" width="11.42578125" style="12" customWidth="1"/>
    <col min="14071" max="14073" width="8.85546875" style="12"/>
    <col min="14074" max="14077" width="8.7109375" style="12" customWidth="1"/>
    <col min="14078" max="14078" width="11" style="12" customWidth="1"/>
    <col min="14079" max="14079" width="9.7109375" style="12" customWidth="1"/>
    <col min="14080" max="14311" width="8.85546875" style="12"/>
    <col min="14312" max="14312" width="23.7109375" style="12" customWidth="1"/>
    <col min="14313" max="14313" width="10.7109375" style="12" customWidth="1"/>
    <col min="14314" max="14317" width="8.7109375" style="12" customWidth="1"/>
    <col min="14318" max="14318" width="11" style="12" customWidth="1"/>
    <col min="14319" max="14319" width="10.7109375" style="12" customWidth="1"/>
    <col min="14320" max="14321" width="8.85546875" style="12"/>
    <col min="14322" max="14325" width="8.7109375" style="12" customWidth="1"/>
    <col min="14326" max="14326" width="11.42578125" style="12" customWidth="1"/>
    <col min="14327" max="14329" width="8.85546875" style="12"/>
    <col min="14330" max="14333" width="8.7109375" style="12" customWidth="1"/>
    <col min="14334" max="14334" width="11" style="12" customWidth="1"/>
    <col min="14335" max="14335" width="9.7109375" style="12" customWidth="1"/>
    <col min="14336" max="14567" width="8.85546875" style="12"/>
    <col min="14568" max="14568" width="23.7109375" style="12" customWidth="1"/>
    <col min="14569" max="14569" width="10.7109375" style="12" customWidth="1"/>
    <col min="14570" max="14573" width="8.7109375" style="12" customWidth="1"/>
    <col min="14574" max="14574" width="11" style="12" customWidth="1"/>
    <col min="14575" max="14575" width="10.7109375" style="12" customWidth="1"/>
    <col min="14576" max="14577" width="8.85546875" style="12"/>
    <col min="14578" max="14581" width="8.7109375" style="12" customWidth="1"/>
    <col min="14582" max="14582" width="11.42578125" style="12" customWidth="1"/>
    <col min="14583" max="14585" width="8.85546875" style="12"/>
    <col min="14586" max="14589" width="8.7109375" style="12" customWidth="1"/>
    <col min="14590" max="14590" width="11" style="12" customWidth="1"/>
    <col min="14591" max="14591" width="9.7109375" style="12" customWidth="1"/>
    <col min="14592" max="14823" width="8.85546875" style="12"/>
    <col min="14824" max="14824" width="23.7109375" style="12" customWidth="1"/>
    <col min="14825" max="14825" width="10.7109375" style="12" customWidth="1"/>
    <col min="14826" max="14829" width="8.7109375" style="12" customWidth="1"/>
    <col min="14830" max="14830" width="11" style="12" customWidth="1"/>
    <col min="14831" max="14831" width="10.7109375" style="12" customWidth="1"/>
    <col min="14832" max="14833" width="8.85546875" style="12"/>
    <col min="14834" max="14837" width="8.7109375" style="12" customWidth="1"/>
    <col min="14838" max="14838" width="11.42578125" style="12" customWidth="1"/>
    <col min="14839" max="14841" width="8.85546875" style="12"/>
    <col min="14842" max="14845" width="8.7109375" style="12" customWidth="1"/>
    <col min="14846" max="14846" width="11" style="12" customWidth="1"/>
    <col min="14847" max="14847" width="9.7109375" style="12" customWidth="1"/>
    <col min="14848" max="15079" width="8.85546875" style="12"/>
    <col min="15080" max="15080" width="23.7109375" style="12" customWidth="1"/>
    <col min="15081" max="15081" width="10.7109375" style="12" customWidth="1"/>
    <col min="15082" max="15085" width="8.7109375" style="12" customWidth="1"/>
    <col min="15086" max="15086" width="11" style="12" customWidth="1"/>
    <col min="15087" max="15087" width="10.7109375" style="12" customWidth="1"/>
    <col min="15088" max="15089" width="8.85546875" style="12"/>
    <col min="15090" max="15093" width="8.7109375" style="12" customWidth="1"/>
    <col min="15094" max="15094" width="11.42578125" style="12" customWidth="1"/>
    <col min="15095" max="15097" width="8.85546875" style="12"/>
    <col min="15098" max="15101" width="8.7109375" style="12" customWidth="1"/>
    <col min="15102" max="15102" width="11" style="12" customWidth="1"/>
    <col min="15103" max="15103" width="9.7109375" style="12" customWidth="1"/>
    <col min="15104" max="15335" width="8.85546875" style="12"/>
    <col min="15336" max="15336" width="23.7109375" style="12" customWidth="1"/>
    <col min="15337" max="15337" width="10.7109375" style="12" customWidth="1"/>
    <col min="15338" max="15341" width="8.7109375" style="12" customWidth="1"/>
    <col min="15342" max="15342" width="11" style="12" customWidth="1"/>
    <col min="15343" max="15343" width="10.7109375" style="12" customWidth="1"/>
    <col min="15344" max="15345" width="8.85546875" style="12"/>
    <col min="15346" max="15349" width="8.7109375" style="12" customWidth="1"/>
    <col min="15350" max="15350" width="11.42578125" style="12" customWidth="1"/>
    <col min="15351" max="15353" width="8.85546875" style="12"/>
    <col min="15354" max="15357" width="8.7109375" style="12" customWidth="1"/>
    <col min="15358" max="15358" width="11" style="12" customWidth="1"/>
    <col min="15359" max="15359" width="9.7109375" style="12" customWidth="1"/>
    <col min="15360" max="15591" width="8.85546875" style="12"/>
    <col min="15592" max="15592" width="23.7109375" style="12" customWidth="1"/>
    <col min="15593" max="15593" width="10.7109375" style="12" customWidth="1"/>
    <col min="15594" max="15597" width="8.7109375" style="12" customWidth="1"/>
    <col min="15598" max="15598" width="11" style="12" customWidth="1"/>
    <col min="15599" max="15599" width="10.7109375" style="12" customWidth="1"/>
    <col min="15600" max="15601" width="8.85546875" style="12"/>
    <col min="15602" max="15605" width="8.7109375" style="12" customWidth="1"/>
    <col min="15606" max="15606" width="11.42578125" style="12" customWidth="1"/>
    <col min="15607" max="15609" width="8.85546875" style="12"/>
    <col min="15610" max="15613" width="8.7109375" style="12" customWidth="1"/>
    <col min="15614" max="15614" width="11" style="12" customWidth="1"/>
    <col min="15615" max="15615" width="9.7109375" style="12" customWidth="1"/>
    <col min="15616" max="15847" width="8.85546875" style="12"/>
    <col min="15848" max="15848" width="23.7109375" style="12" customWidth="1"/>
    <col min="15849" max="15849" width="10.7109375" style="12" customWidth="1"/>
    <col min="15850" max="15853" width="8.7109375" style="12" customWidth="1"/>
    <col min="15854" max="15854" width="11" style="12" customWidth="1"/>
    <col min="15855" max="15855" width="10.7109375" style="12" customWidth="1"/>
    <col min="15856" max="15857" width="8.85546875" style="12"/>
    <col min="15858" max="15861" width="8.7109375" style="12" customWidth="1"/>
    <col min="15862" max="15862" width="11.42578125" style="12" customWidth="1"/>
    <col min="15863" max="15865" width="8.85546875" style="12"/>
    <col min="15866" max="15869" width="8.7109375" style="12" customWidth="1"/>
    <col min="15870" max="15870" width="11" style="12" customWidth="1"/>
    <col min="15871" max="15871" width="9.7109375" style="12" customWidth="1"/>
    <col min="15872" max="16103" width="8.85546875" style="12"/>
    <col min="16104" max="16104" width="23.7109375" style="12" customWidth="1"/>
    <col min="16105" max="16105" width="10.7109375" style="12" customWidth="1"/>
    <col min="16106" max="16109" width="8.7109375" style="12" customWidth="1"/>
    <col min="16110" max="16110" width="11" style="12" customWidth="1"/>
    <col min="16111" max="16111" width="10.7109375" style="12" customWidth="1"/>
    <col min="16112" max="16113" width="8.85546875" style="12"/>
    <col min="16114" max="16117" width="8.7109375" style="12" customWidth="1"/>
    <col min="16118" max="16118" width="11.42578125" style="12" customWidth="1"/>
    <col min="16119" max="16121" width="8.85546875" style="12"/>
    <col min="16122" max="16125" width="8.7109375" style="12" customWidth="1"/>
    <col min="16126" max="16126" width="11" style="12" customWidth="1"/>
    <col min="16127" max="16127" width="9.7109375" style="12" customWidth="1"/>
    <col min="16128" max="16359" width="8.85546875" style="12"/>
    <col min="16360" max="16384" width="9.28515625" style="12" customWidth="1"/>
  </cols>
  <sheetData>
    <row r="1" spans="1:12" x14ac:dyDescent="0.2">
      <c r="A1" s="401" t="s">
        <v>4</v>
      </c>
      <c r="B1" s="401"/>
      <c r="C1" s="401"/>
      <c r="D1" s="401"/>
      <c r="E1" s="401"/>
      <c r="F1" s="401"/>
      <c r="G1" s="401"/>
      <c r="H1" s="401"/>
    </row>
    <row r="2" spans="1:12" x14ac:dyDescent="0.2">
      <c r="A2" s="401" t="s">
        <v>7</v>
      </c>
      <c r="B2" s="401"/>
      <c r="C2" s="401"/>
      <c r="D2" s="401"/>
      <c r="E2" s="401"/>
      <c r="F2" s="401"/>
      <c r="G2" s="401"/>
      <c r="H2" s="401"/>
    </row>
    <row r="3" spans="1:12" ht="12.75" x14ac:dyDescent="0.2">
      <c r="A3" s="402" t="s">
        <v>66</v>
      </c>
      <c r="B3" s="402"/>
      <c r="C3" s="402"/>
      <c r="D3" s="402"/>
      <c r="E3" s="402"/>
      <c r="F3" s="402"/>
      <c r="G3" s="402"/>
      <c r="H3" s="402"/>
    </row>
    <row r="4" spans="1:12" ht="12.75" x14ac:dyDescent="0.2">
      <c r="A4" s="402" t="s">
        <v>58</v>
      </c>
      <c r="B4" s="402"/>
      <c r="C4" s="402"/>
      <c r="D4" s="402"/>
      <c r="E4" s="402"/>
      <c r="F4" s="402"/>
      <c r="G4" s="402"/>
      <c r="H4" s="402"/>
    </row>
    <row r="5" spans="1:12" ht="12.75" x14ac:dyDescent="0.2">
      <c r="A5" s="403" t="s">
        <v>5</v>
      </c>
      <c r="B5" s="403"/>
      <c r="C5" s="403"/>
      <c r="D5" s="403"/>
      <c r="E5" s="403"/>
      <c r="F5" s="403"/>
      <c r="G5" s="403"/>
      <c r="H5" s="403"/>
    </row>
    <row r="6" spans="1:12" ht="12.75" x14ac:dyDescent="0.2">
      <c r="A6" s="254"/>
      <c r="B6" s="255"/>
      <c r="C6" s="256"/>
      <c r="D6" s="256"/>
      <c r="E6" s="256"/>
      <c r="F6" s="256"/>
      <c r="G6" s="256"/>
      <c r="H6" s="328"/>
    </row>
    <row r="7" spans="1:12" x14ac:dyDescent="0.2">
      <c r="A7" s="21"/>
      <c r="B7" s="20"/>
      <c r="C7" s="317"/>
      <c r="D7" s="317"/>
      <c r="E7" s="317"/>
      <c r="F7" s="317"/>
      <c r="G7" s="317"/>
      <c r="H7" s="330"/>
    </row>
    <row r="8" spans="1:12" ht="15.75" thickBot="1" x14ac:dyDescent="0.25">
      <c r="A8" s="261" t="s">
        <v>59</v>
      </c>
      <c r="B8" s="262"/>
      <c r="C8" s="263"/>
      <c r="D8" s="263"/>
      <c r="E8" s="263"/>
      <c r="F8" s="263"/>
      <c r="G8" s="263"/>
      <c r="H8" s="331"/>
    </row>
    <row r="9" spans="1:12" ht="12" thickBot="1" x14ac:dyDescent="0.25">
      <c r="A9" s="110"/>
    </row>
    <row r="10" spans="1:12" x14ac:dyDescent="0.2">
      <c r="A10" s="300" t="s">
        <v>30</v>
      </c>
      <c r="B10" s="396" t="s">
        <v>11</v>
      </c>
      <c r="C10" s="405" t="s">
        <v>60</v>
      </c>
      <c r="D10" s="407" t="s">
        <v>61</v>
      </c>
      <c r="E10" s="407" t="s">
        <v>62</v>
      </c>
      <c r="F10" s="409" t="s">
        <v>63</v>
      </c>
      <c r="G10" s="266" t="s">
        <v>52</v>
      </c>
      <c r="H10" s="320" t="s">
        <v>31</v>
      </c>
      <c r="I10" s="404"/>
      <c r="J10" s="404"/>
      <c r="K10" s="302"/>
      <c r="L10" s="327"/>
    </row>
    <row r="11" spans="1:12" ht="12" thickBot="1" x14ac:dyDescent="0.25">
      <c r="A11" s="301"/>
      <c r="B11" s="397"/>
      <c r="C11" s="406"/>
      <c r="D11" s="408"/>
      <c r="E11" s="408"/>
      <c r="F11" s="410"/>
      <c r="G11" s="274" t="s">
        <v>53</v>
      </c>
      <c r="H11" s="322" t="s">
        <v>32</v>
      </c>
      <c r="I11" s="404"/>
      <c r="J11" s="404"/>
      <c r="K11" s="302"/>
      <c r="L11" s="327"/>
    </row>
    <row r="12" spans="1:12" x14ac:dyDescent="0.2">
      <c r="A12" s="287" t="s">
        <v>33</v>
      </c>
      <c r="B12" s="19" t="s">
        <v>2</v>
      </c>
      <c r="C12" s="49">
        <v>0</v>
      </c>
      <c r="D12" s="50">
        <v>0</v>
      </c>
      <c r="E12" s="50">
        <v>6.0564386025231398E-3</v>
      </c>
      <c r="F12" s="50">
        <v>0</v>
      </c>
      <c r="G12" s="49">
        <v>1.5E-3</v>
      </c>
      <c r="H12" s="335">
        <v>1.5384615384615385</v>
      </c>
      <c r="I12" s="286"/>
      <c r="J12" s="286"/>
      <c r="K12" s="286"/>
      <c r="L12" s="13"/>
    </row>
    <row r="13" spans="1:12" x14ac:dyDescent="0.2">
      <c r="A13" s="16"/>
      <c r="B13" s="18" t="s">
        <v>1</v>
      </c>
      <c r="C13" s="54">
        <v>0</v>
      </c>
      <c r="D13" s="55">
        <v>1.1604966925844451E-3</v>
      </c>
      <c r="E13" s="55">
        <v>4.1572383307898475E-3</v>
      </c>
      <c r="F13" s="55">
        <v>0</v>
      </c>
      <c r="G13" s="54">
        <v>1.2999999999999999E-3</v>
      </c>
      <c r="H13" s="336"/>
      <c r="I13" s="286"/>
      <c r="J13" s="286"/>
      <c r="K13" s="286"/>
      <c r="L13" s="13"/>
    </row>
    <row r="14" spans="1:12" ht="12" thickBot="1" x14ac:dyDescent="0.25">
      <c r="A14" s="288"/>
      <c r="B14" s="17" t="s">
        <v>0</v>
      </c>
      <c r="C14" s="60">
        <v>0</v>
      </c>
      <c r="D14" s="61">
        <v>0</v>
      </c>
      <c r="E14" s="61">
        <v>7.9753296469586843E-3</v>
      </c>
      <c r="F14" s="61">
        <v>0</v>
      </c>
      <c r="G14" s="60">
        <v>2E-3</v>
      </c>
      <c r="H14" s="337"/>
      <c r="I14" s="286"/>
      <c r="J14" s="286"/>
      <c r="K14" s="286"/>
      <c r="L14" s="13"/>
    </row>
    <row r="15" spans="1:12" ht="10.15" customHeight="1" x14ac:dyDescent="0.2">
      <c r="A15" s="287" t="s">
        <v>34</v>
      </c>
      <c r="B15" s="19" t="s">
        <v>2</v>
      </c>
      <c r="C15" s="49">
        <v>1.8041076221986363E-2</v>
      </c>
      <c r="D15" s="50">
        <v>2.8951830685172486E-2</v>
      </c>
      <c r="E15" s="50">
        <v>3.5257603972687845E-2</v>
      </c>
      <c r="F15" s="50">
        <v>0</v>
      </c>
      <c r="G15" s="49">
        <v>2.06E-2</v>
      </c>
      <c r="H15" s="335">
        <v>0.65182186234817818</v>
      </c>
      <c r="I15" s="286"/>
      <c r="J15" s="286"/>
      <c r="K15" s="286"/>
      <c r="L15" s="13"/>
    </row>
    <row r="16" spans="1:12" ht="10.15" customHeight="1" x14ac:dyDescent="0.2">
      <c r="A16" s="16"/>
      <c r="B16" s="18" t="s">
        <v>1</v>
      </c>
      <c r="C16" s="54">
        <v>2.4455205811138025E-2</v>
      </c>
      <c r="D16" s="55">
        <v>4.1217349628564603E-2</v>
      </c>
      <c r="E16" s="55">
        <v>3.3015494636471909E-2</v>
      </c>
      <c r="F16" s="55">
        <v>0</v>
      </c>
      <c r="G16" s="54">
        <v>2.47E-2</v>
      </c>
      <c r="H16" s="336"/>
      <c r="I16" s="286"/>
      <c r="J16" s="286"/>
      <c r="K16" s="286"/>
      <c r="L16" s="13"/>
    </row>
    <row r="17" spans="1:12" ht="12" thickBot="1" x14ac:dyDescent="0.25">
      <c r="A17" s="288"/>
      <c r="B17" s="17" t="s">
        <v>0</v>
      </c>
      <c r="C17" s="60">
        <v>1.1212785152725835E-2</v>
      </c>
      <c r="D17" s="61">
        <v>1.5441467599313641E-2</v>
      </c>
      <c r="E17" s="61">
        <v>3.7694300518134716E-2</v>
      </c>
      <c r="F17" s="61">
        <v>0</v>
      </c>
      <c r="G17" s="60">
        <v>1.61E-2</v>
      </c>
      <c r="H17" s="337"/>
      <c r="I17" s="286"/>
      <c r="J17" s="286"/>
      <c r="K17" s="286"/>
      <c r="L17" s="13"/>
    </row>
    <row r="18" spans="1:12" x14ac:dyDescent="0.2">
      <c r="A18" s="287" t="s">
        <v>35</v>
      </c>
      <c r="B18" s="19" t="s">
        <v>2</v>
      </c>
      <c r="C18" s="49">
        <v>3.2488190494553204E-2</v>
      </c>
      <c r="D18" s="50">
        <v>6.2281508739650437E-2</v>
      </c>
      <c r="E18" s="50">
        <v>7.0395183998446464E-2</v>
      </c>
      <c r="F18" s="50">
        <v>0</v>
      </c>
      <c r="G18" s="49">
        <v>4.1300000000000003E-2</v>
      </c>
      <c r="H18" s="335">
        <v>0.88100686498855829</v>
      </c>
      <c r="I18" s="286"/>
      <c r="J18" s="286"/>
      <c r="K18" s="286"/>
      <c r="L18" s="13"/>
    </row>
    <row r="19" spans="1:12" x14ac:dyDescent="0.2">
      <c r="A19" s="16"/>
      <c r="B19" s="18" t="s">
        <v>1</v>
      </c>
      <c r="C19" s="54">
        <v>3.1191281473130328E-2</v>
      </c>
      <c r="D19" s="55">
        <v>7.7083333333333282E-2</v>
      </c>
      <c r="E19" s="55">
        <v>6.6703724291272914E-2</v>
      </c>
      <c r="F19" s="55">
        <v>0</v>
      </c>
      <c r="G19" s="54">
        <v>4.3700000000000003E-2</v>
      </c>
      <c r="H19" s="336"/>
      <c r="I19" s="286"/>
      <c r="J19" s="286"/>
      <c r="K19" s="286"/>
      <c r="L19" s="13"/>
    </row>
    <row r="20" spans="1:12" ht="12" thickBot="1" x14ac:dyDescent="0.25">
      <c r="A20" s="288"/>
      <c r="B20" s="17" t="s">
        <v>0</v>
      </c>
      <c r="C20" s="60">
        <v>3.385468224114041E-2</v>
      </c>
      <c r="D20" s="61">
        <v>4.5596868884540065E-2</v>
      </c>
      <c r="E20" s="61">
        <v>7.4459404324765388E-2</v>
      </c>
      <c r="F20" s="61">
        <v>0</v>
      </c>
      <c r="G20" s="60">
        <v>3.85E-2</v>
      </c>
      <c r="H20" s="337"/>
      <c r="I20" s="286"/>
      <c r="J20" s="286"/>
      <c r="K20" s="286"/>
      <c r="L20" s="13"/>
    </row>
    <row r="21" spans="1:12" x14ac:dyDescent="0.2">
      <c r="A21" s="287" t="s">
        <v>36</v>
      </c>
      <c r="B21" s="19" t="s">
        <v>2</v>
      </c>
      <c r="C21" s="49">
        <v>3.3522838659086451E-2</v>
      </c>
      <c r="D21" s="50">
        <v>5.3650549027162375E-2</v>
      </c>
      <c r="E21" s="50">
        <v>5.7849629918192425E-2</v>
      </c>
      <c r="F21" s="50">
        <v>0</v>
      </c>
      <c r="G21" s="49">
        <v>3.6299999999999999E-2</v>
      </c>
      <c r="H21" s="335">
        <v>0.8350253807106599</v>
      </c>
      <c r="I21" s="286"/>
      <c r="J21" s="286"/>
      <c r="K21" s="286"/>
      <c r="L21" s="13"/>
    </row>
    <row r="22" spans="1:12" x14ac:dyDescent="0.2">
      <c r="A22" s="16"/>
      <c r="B22" s="18" t="s">
        <v>1</v>
      </c>
      <c r="C22" s="54">
        <v>3.852050594097356E-2</v>
      </c>
      <c r="D22" s="55">
        <v>6.4587973273942056E-2</v>
      </c>
      <c r="E22" s="55">
        <v>5.4335478985232832E-2</v>
      </c>
      <c r="F22" s="55">
        <v>0</v>
      </c>
      <c r="G22" s="54">
        <v>3.9399999999999998E-2</v>
      </c>
      <c r="H22" s="336"/>
      <c r="I22" s="286"/>
      <c r="J22" s="286"/>
      <c r="K22" s="286"/>
      <c r="L22" s="13"/>
    </row>
    <row r="23" spans="1:12" ht="12" thickBot="1" x14ac:dyDescent="0.25">
      <c r="A23" s="288"/>
      <c r="B23" s="17" t="s">
        <v>0</v>
      </c>
      <c r="C23" s="60">
        <v>2.8290529695023992E-2</v>
      </c>
      <c r="D23" s="61">
        <v>4.1850220264317173E-2</v>
      </c>
      <c r="E23" s="61">
        <v>6.1572402727637421E-2</v>
      </c>
      <c r="F23" s="61">
        <v>0</v>
      </c>
      <c r="G23" s="60">
        <v>3.2899999999999999E-2</v>
      </c>
      <c r="H23" s="337"/>
      <c r="I23" s="286"/>
      <c r="J23" s="286"/>
      <c r="K23" s="286"/>
      <c r="L23" s="13"/>
    </row>
    <row r="24" spans="1:12" x14ac:dyDescent="0.2">
      <c r="A24" s="287" t="s">
        <v>37</v>
      </c>
      <c r="B24" s="19" t="s">
        <v>2</v>
      </c>
      <c r="C24" s="344">
        <v>6.9867060561299765E-2</v>
      </c>
      <c r="D24" s="348">
        <v>0.10907886017229962</v>
      </c>
      <c r="E24" s="348">
        <v>0.12673425827107787</v>
      </c>
      <c r="F24" s="348">
        <v>0</v>
      </c>
      <c r="G24" s="344">
        <v>7.6399999999999996E-2</v>
      </c>
      <c r="H24" s="345">
        <v>0.78321678321678312</v>
      </c>
      <c r="I24" s="286"/>
      <c r="J24" s="286"/>
      <c r="K24" s="286"/>
      <c r="L24" s="13"/>
    </row>
    <row r="25" spans="1:12" ht="10.9" customHeight="1" x14ac:dyDescent="0.2">
      <c r="A25" s="16"/>
      <c r="B25" s="18" t="s">
        <v>1</v>
      </c>
      <c r="C25" s="128">
        <v>8.4791792395896182E-2</v>
      </c>
      <c r="D25" s="129">
        <v>0.12876566249000265</v>
      </c>
      <c r="E25" s="129">
        <v>0.12978953049109554</v>
      </c>
      <c r="F25" s="129">
        <v>0</v>
      </c>
      <c r="G25" s="128">
        <v>8.5800000000000001E-2</v>
      </c>
      <c r="H25" s="346"/>
      <c r="I25" s="286"/>
      <c r="J25" s="286"/>
      <c r="K25" s="286"/>
      <c r="L25" s="13"/>
    </row>
    <row r="26" spans="1:12" ht="12" thickBot="1" x14ac:dyDescent="0.25">
      <c r="A26" s="288"/>
      <c r="B26" s="17" t="s">
        <v>0</v>
      </c>
      <c r="C26" s="133">
        <v>5.555555555555558E-2</v>
      </c>
      <c r="D26" s="134">
        <v>8.9615181866104399E-2</v>
      </c>
      <c r="E26" s="134">
        <v>0.12374670184696579</v>
      </c>
      <c r="F26" s="134">
        <v>0</v>
      </c>
      <c r="G26" s="133">
        <v>6.7199999999999996E-2</v>
      </c>
      <c r="H26" s="347"/>
      <c r="I26" s="286"/>
      <c r="J26" s="286"/>
      <c r="K26" s="286"/>
      <c r="L26" s="13"/>
    </row>
    <row r="27" spans="1:12" x14ac:dyDescent="0.2">
      <c r="A27" s="287" t="s">
        <v>38</v>
      </c>
      <c r="B27" s="19" t="s">
        <v>2</v>
      </c>
      <c r="C27" s="344">
        <v>3.3170533170533201E-2</v>
      </c>
      <c r="D27" s="348">
        <v>5.6247447937933903E-2</v>
      </c>
      <c r="E27" s="348">
        <v>6.3207258640024411E-2</v>
      </c>
      <c r="F27" s="348">
        <v>6.9663655164906579E-3</v>
      </c>
      <c r="G27" s="344">
        <v>5.1760875049043142E-2</v>
      </c>
      <c r="H27" s="345">
        <v>0.98908209709847161</v>
      </c>
      <c r="I27" s="308"/>
      <c r="J27" s="308"/>
      <c r="K27" s="308"/>
      <c r="L27" s="309"/>
    </row>
    <row r="28" spans="1:12" ht="12" x14ac:dyDescent="0.2">
      <c r="A28" s="310"/>
      <c r="B28" s="18" t="s">
        <v>1</v>
      </c>
      <c r="C28" s="54">
        <v>3.5636936404804143E-2</v>
      </c>
      <c r="D28" s="55">
        <v>5.6469189617594617E-2</v>
      </c>
      <c r="E28" s="55">
        <v>5.9458358786397936E-2</v>
      </c>
      <c r="F28" s="55">
        <v>5.4028658679821095E-3</v>
      </c>
      <c r="G28" s="54">
        <v>5.1833641214460768E-2</v>
      </c>
      <c r="H28" s="336"/>
      <c r="I28" s="308"/>
      <c r="J28" s="308"/>
      <c r="K28" s="308"/>
      <c r="L28" s="309"/>
    </row>
    <row r="29" spans="1:12" ht="12" thickBot="1" x14ac:dyDescent="0.25">
      <c r="A29" s="288"/>
      <c r="B29" s="17" t="s">
        <v>0</v>
      </c>
      <c r="C29" s="60">
        <v>3.0532743735523282E-2</v>
      </c>
      <c r="D29" s="61">
        <v>5.6011791956201318E-2</v>
      </c>
      <c r="E29" s="61">
        <v>6.6966108615761577E-2</v>
      </c>
      <c r="F29" s="61">
        <v>8.316430020284038E-3</v>
      </c>
      <c r="G29" s="60">
        <v>5.1267726552648628E-2</v>
      </c>
      <c r="H29" s="337"/>
      <c r="I29" s="308"/>
      <c r="J29" s="308"/>
      <c r="K29" s="308"/>
      <c r="L29" s="309"/>
    </row>
    <row r="30" spans="1:12" x14ac:dyDescent="0.2">
      <c r="A30" s="287" t="s">
        <v>39</v>
      </c>
      <c r="B30" s="19" t="s">
        <v>2</v>
      </c>
      <c r="C30" s="49">
        <v>0</v>
      </c>
      <c r="D30" s="50">
        <v>0</v>
      </c>
      <c r="E30" s="50">
        <v>0</v>
      </c>
      <c r="F30" s="50">
        <v>0</v>
      </c>
      <c r="G30" s="49">
        <v>0</v>
      </c>
      <c r="H30" s="335" t="e">
        <v>#DIV/0!</v>
      </c>
      <c r="I30" s="286"/>
      <c r="J30" s="286"/>
      <c r="K30" s="286"/>
      <c r="L30" s="13"/>
    </row>
    <row r="31" spans="1:12" x14ac:dyDescent="0.2">
      <c r="A31" s="16"/>
      <c r="B31" s="18" t="s">
        <v>1</v>
      </c>
      <c r="C31" s="54">
        <v>0</v>
      </c>
      <c r="D31" s="55">
        <v>0</v>
      </c>
      <c r="E31" s="55">
        <v>0</v>
      </c>
      <c r="F31" s="55">
        <v>0</v>
      </c>
      <c r="G31" s="54">
        <v>0</v>
      </c>
      <c r="H31" s="336"/>
      <c r="I31" s="286"/>
      <c r="J31" s="286"/>
      <c r="K31" s="286"/>
      <c r="L31" s="13"/>
    </row>
    <row r="32" spans="1:12" ht="12" thickBot="1" x14ac:dyDescent="0.25">
      <c r="A32" s="288"/>
      <c r="B32" s="17" t="s">
        <v>0</v>
      </c>
      <c r="C32" s="60">
        <v>0</v>
      </c>
      <c r="D32" s="61">
        <v>0</v>
      </c>
      <c r="E32" s="61">
        <v>0</v>
      </c>
      <c r="F32" s="61">
        <v>0</v>
      </c>
      <c r="G32" s="60">
        <v>0</v>
      </c>
      <c r="H32" s="337"/>
      <c r="I32" s="286"/>
      <c r="J32" s="286"/>
      <c r="K32" s="286"/>
      <c r="L32" s="13"/>
    </row>
    <row r="33" spans="1:12" ht="10.15" customHeight="1" x14ac:dyDescent="0.2">
      <c r="A33" s="287" t="s">
        <v>40</v>
      </c>
      <c r="B33" s="19" t="s">
        <v>2</v>
      </c>
      <c r="C33" s="49">
        <v>0</v>
      </c>
      <c r="D33" s="50">
        <v>1.2123582323034787E-2</v>
      </c>
      <c r="E33" s="50">
        <v>1.463624623331905E-2</v>
      </c>
      <c r="F33" s="50">
        <v>6.910569105690989E-3</v>
      </c>
      <c r="G33" s="49">
        <v>8.3999999999999995E-3</v>
      </c>
      <c r="H33" s="335">
        <v>0.15436241610738255</v>
      </c>
      <c r="I33" s="286"/>
      <c r="J33" s="286"/>
      <c r="K33" s="286"/>
      <c r="L33" s="13"/>
    </row>
    <row r="34" spans="1:12" ht="10.15" customHeight="1" x14ac:dyDescent="0.2">
      <c r="A34" s="16"/>
      <c r="B34" s="18" t="s">
        <v>1</v>
      </c>
      <c r="C34" s="54">
        <v>0</v>
      </c>
      <c r="D34" s="55">
        <v>1.8782870022539422E-2</v>
      </c>
      <c r="E34" s="55">
        <v>3.1066330814441656E-2</v>
      </c>
      <c r="F34" s="55">
        <v>9.5770151636073164E-3</v>
      </c>
      <c r="G34" s="54">
        <v>1.49E-2</v>
      </c>
      <c r="H34" s="336"/>
      <c r="I34" s="286"/>
      <c r="J34" s="286"/>
      <c r="K34" s="286"/>
      <c r="L34" s="13"/>
    </row>
    <row r="35" spans="1:12" ht="12" thickBot="1" x14ac:dyDescent="0.25">
      <c r="A35" s="288"/>
      <c r="B35" s="17" t="s">
        <v>0</v>
      </c>
      <c r="C35" s="60">
        <v>0</v>
      </c>
      <c r="D35" s="61">
        <v>4.8939641109299048E-3</v>
      </c>
      <c r="E35" s="61">
        <v>0</v>
      </c>
      <c r="F35" s="61">
        <v>4.1425020712509975E-3</v>
      </c>
      <c r="G35" s="60">
        <v>2.3E-3</v>
      </c>
      <c r="H35" s="337"/>
      <c r="I35" s="286"/>
      <c r="J35" s="286"/>
      <c r="K35" s="286"/>
      <c r="L35" s="13"/>
    </row>
    <row r="36" spans="1:12" x14ac:dyDescent="0.2">
      <c r="A36" s="287" t="s">
        <v>41</v>
      </c>
      <c r="B36" s="19" t="s">
        <v>2</v>
      </c>
      <c r="C36" s="344">
        <v>3.2108764824992808E-2</v>
      </c>
      <c r="D36" s="348">
        <v>3.1795160382667387E-2</v>
      </c>
      <c r="E36" s="348">
        <v>5.2275189599133243E-2</v>
      </c>
      <c r="F36" s="348">
        <v>2.993527508090621E-2</v>
      </c>
      <c r="G36" s="344">
        <v>4.0907046380483217E-2</v>
      </c>
      <c r="H36" s="345">
        <v>0.46033778599300085</v>
      </c>
      <c r="I36" s="308"/>
      <c r="J36" s="308"/>
      <c r="K36" s="308"/>
      <c r="L36" s="309"/>
    </row>
    <row r="37" spans="1:12" ht="10.9" customHeight="1" x14ac:dyDescent="0.2">
      <c r="A37" s="310"/>
      <c r="B37" s="18" t="s">
        <v>1</v>
      </c>
      <c r="C37" s="128">
        <v>4.0925266903914514E-2</v>
      </c>
      <c r="D37" s="129">
        <v>4.345403899721445E-2</v>
      </c>
      <c r="E37" s="129">
        <v>7.1846726982437548E-2</v>
      </c>
      <c r="F37" s="129">
        <v>2.6315789473684292E-2</v>
      </c>
      <c r="G37" s="128">
        <v>5.5678027824104422E-2</v>
      </c>
      <c r="H37" s="346"/>
      <c r="I37" s="308"/>
      <c r="J37" s="308"/>
      <c r="K37" s="308"/>
      <c r="L37" s="309"/>
    </row>
    <row r="38" spans="1:12" ht="12" thickBot="1" x14ac:dyDescent="0.25">
      <c r="A38" s="288"/>
      <c r="B38" s="17" t="s">
        <v>0</v>
      </c>
      <c r="C38" s="133">
        <v>2.3715415019762931E-2</v>
      </c>
      <c r="D38" s="134">
        <v>1.9897669130187534E-2</v>
      </c>
      <c r="E38" s="134">
        <v>3.1991174848317705E-2</v>
      </c>
      <c r="F38" s="134">
        <v>3.3033033033033066E-2</v>
      </c>
      <c r="G38" s="133">
        <v>2.5630700057004928E-2</v>
      </c>
      <c r="H38" s="347"/>
      <c r="I38" s="308"/>
      <c r="J38" s="308"/>
      <c r="K38" s="308"/>
      <c r="L38" s="309"/>
    </row>
    <row r="39" spans="1:12" x14ac:dyDescent="0.2">
      <c r="A39" s="287" t="s">
        <v>42</v>
      </c>
      <c r="B39" s="19" t="s">
        <v>2</v>
      </c>
      <c r="C39" s="49">
        <v>0</v>
      </c>
      <c r="D39" s="50">
        <v>0</v>
      </c>
      <c r="E39" s="50">
        <v>5.2875082617316327E-3</v>
      </c>
      <c r="F39" s="50">
        <v>0</v>
      </c>
      <c r="G39" s="49">
        <v>1.2999999999999999E-3</v>
      </c>
      <c r="H39" s="335">
        <v>0</v>
      </c>
      <c r="I39" s="286"/>
      <c r="J39" s="286"/>
      <c r="K39" s="286"/>
      <c r="L39" s="13"/>
    </row>
    <row r="40" spans="1:12" x14ac:dyDescent="0.2">
      <c r="A40" s="16"/>
      <c r="B40" s="18" t="s">
        <v>1</v>
      </c>
      <c r="C40" s="54">
        <v>0</v>
      </c>
      <c r="D40" s="55">
        <v>9.1145833333332593E-3</v>
      </c>
      <c r="E40" s="55">
        <v>1.3537117903930196E-2</v>
      </c>
      <c r="F40" s="55">
        <v>0</v>
      </c>
      <c r="G40" s="54">
        <v>5.7000000000000002E-3</v>
      </c>
      <c r="H40" s="336"/>
      <c r="I40" s="286"/>
      <c r="J40" s="286"/>
      <c r="K40" s="286"/>
      <c r="L40" s="13"/>
    </row>
    <row r="41" spans="1:12" ht="12" thickBot="1" x14ac:dyDescent="0.25">
      <c r="A41" s="288"/>
      <c r="B41" s="17" t="s">
        <v>0</v>
      </c>
      <c r="C41" s="60">
        <v>0</v>
      </c>
      <c r="D41" s="61">
        <v>0</v>
      </c>
      <c r="E41" s="61">
        <v>0</v>
      </c>
      <c r="F41" s="61">
        <v>0</v>
      </c>
      <c r="G41" s="60">
        <v>0</v>
      </c>
      <c r="H41" s="337"/>
      <c r="I41" s="286"/>
      <c r="J41" s="286"/>
      <c r="K41" s="286"/>
      <c r="L41" s="13"/>
    </row>
    <row r="42" spans="1:12" x14ac:dyDescent="0.2">
      <c r="A42" s="287" t="s">
        <v>43</v>
      </c>
      <c r="B42" s="19" t="s">
        <v>2</v>
      </c>
      <c r="C42" s="49">
        <v>0</v>
      </c>
      <c r="D42" s="50">
        <v>0</v>
      </c>
      <c r="E42" s="50">
        <v>3.4423407917383297E-3</v>
      </c>
      <c r="F42" s="50">
        <v>0</v>
      </c>
      <c r="G42" s="49">
        <v>8.9999999999999998E-4</v>
      </c>
      <c r="H42" s="335">
        <v>0</v>
      </c>
      <c r="I42" s="286"/>
      <c r="J42" s="286"/>
      <c r="K42" s="286"/>
      <c r="L42" s="13"/>
    </row>
    <row r="43" spans="1:12" x14ac:dyDescent="0.2">
      <c r="A43" s="16"/>
      <c r="B43" s="18" t="s">
        <v>1</v>
      </c>
      <c r="C43" s="54">
        <v>0</v>
      </c>
      <c r="D43" s="55">
        <v>3.7723986167871315E-3</v>
      </c>
      <c r="E43" s="55">
        <v>6.8238213399502978E-3</v>
      </c>
      <c r="F43" s="55">
        <v>0</v>
      </c>
      <c r="G43" s="54">
        <v>2.5999999999999999E-3</v>
      </c>
      <c r="H43" s="336"/>
      <c r="I43" s="286"/>
      <c r="J43" s="286"/>
      <c r="K43" s="286"/>
      <c r="L43" s="13"/>
    </row>
    <row r="44" spans="1:12" ht="12" thickBot="1" x14ac:dyDescent="0.25">
      <c r="A44" s="288"/>
      <c r="B44" s="17" t="s">
        <v>0</v>
      </c>
      <c r="C44" s="60">
        <v>0</v>
      </c>
      <c r="D44" s="61">
        <v>0</v>
      </c>
      <c r="E44" s="61">
        <v>0</v>
      </c>
      <c r="F44" s="61">
        <v>0</v>
      </c>
      <c r="G44" s="60">
        <v>0</v>
      </c>
      <c r="H44" s="337"/>
      <c r="I44" s="286"/>
      <c r="J44" s="286"/>
      <c r="K44" s="286"/>
      <c r="L44" s="13"/>
    </row>
    <row r="45" spans="1:12" x14ac:dyDescent="0.2">
      <c r="A45" s="289" t="s">
        <v>3</v>
      </c>
      <c r="B45" s="338" t="s">
        <v>2</v>
      </c>
      <c r="C45" s="237">
        <v>9.1190888119954128E-3</v>
      </c>
      <c r="D45" s="238">
        <v>2.7673760160745298E-2</v>
      </c>
      <c r="E45" s="238">
        <v>3.3881657537761845E-2</v>
      </c>
      <c r="F45" s="238">
        <v>0</v>
      </c>
      <c r="G45" s="237">
        <v>1.77E-2</v>
      </c>
      <c r="H45" s="339">
        <v>0.71707317073170729</v>
      </c>
      <c r="I45" s="286"/>
      <c r="J45" s="286"/>
      <c r="K45" s="286"/>
      <c r="L45" s="13"/>
    </row>
    <row r="46" spans="1:12" x14ac:dyDescent="0.2">
      <c r="A46" s="293"/>
      <c r="B46" s="290" t="s">
        <v>1</v>
      </c>
      <c r="C46" s="98">
        <v>1.2909280869827011E-2</v>
      </c>
      <c r="D46" s="99">
        <v>3.5890205596801783E-2</v>
      </c>
      <c r="E46" s="99">
        <v>3.3340889671647944E-2</v>
      </c>
      <c r="F46" s="99">
        <v>0</v>
      </c>
      <c r="G46" s="98">
        <v>2.0500000000000001E-2</v>
      </c>
      <c r="H46" s="340"/>
      <c r="I46" s="286"/>
      <c r="J46" s="286"/>
      <c r="K46" s="286"/>
      <c r="L46" s="13"/>
    </row>
    <row r="47" spans="1:12" ht="12" thickBot="1" x14ac:dyDescent="0.25">
      <c r="A47" s="296"/>
      <c r="B47" s="297" t="s">
        <v>0</v>
      </c>
      <c r="C47" s="105">
        <v>5.1921842032840448E-3</v>
      </c>
      <c r="D47" s="106">
        <v>1.9061693291930082E-2</v>
      </c>
      <c r="E47" s="106">
        <v>3.4438775510204134E-2</v>
      </c>
      <c r="F47" s="106">
        <v>0</v>
      </c>
      <c r="G47" s="105">
        <v>1.47E-2</v>
      </c>
      <c r="H47" s="341"/>
      <c r="I47" s="286"/>
      <c r="J47" s="286"/>
      <c r="K47" s="286"/>
      <c r="L47" s="13"/>
    </row>
    <row r="48" spans="1:12" x14ac:dyDescent="0.2">
      <c r="A48" s="110"/>
    </row>
  </sheetData>
  <sheetProtection algorithmName="SHA-512" hashValue="+eRTxRK9cU7JWLAJJShIOBDok/HlbSG6M+c0qYeQc2avaWinUb+N7pCPkjFVTn42MC7XEXMCEzUgUvhy1b5MOw==" saltValue="LoMGo5qhsyhgEKJ4b9qezA==" spinCount="100000" sheet="1" objects="1" scenarios="1"/>
  <mergeCells count="12">
    <mergeCell ref="A1:H1"/>
    <mergeCell ref="A2:H2"/>
    <mergeCell ref="A3:H3"/>
    <mergeCell ref="A4:H4"/>
    <mergeCell ref="A5:H5"/>
    <mergeCell ref="I10:I11"/>
    <mergeCell ref="J10:J11"/>
    <mergeCell ref="B10:B11"/>
    <mergeCell ref="C10:C11"/>
    <mergeCell ref="D10:D11"/>
    <mergeCell ref="E10:E11"/>
    <mergeCell ref="F10:F11"/>
  </mergeCells>
  <conditionalFormatting sqref="C1:H3 C5:H1048576">
    <cfRule type="cellIs" dxfId="4" priority="8" operator="lessThan">
      <formula>0</formula>
    </cfRule>
  </conditionalFormatting>
  <conditionalFormatting sqref="I10:L11 C12:G47">
    <cfRule type="cellIs" dxfId="3" priority="3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  <pageSetUpPr fitToPage="1"/>
  </sheetPr>
  <dimension ref="A1:Z48"/>
  <sheetViews>
    <sheetView showGridLines="0" zoomScaleNormal="100" workbookViewId="0">
      <pane xSplit="2" ySplit="8" topLeftCell="C9" activePane="bottomRight" state="frozen"/>
      <selection activeCell="S37" sqref="S37"/>
      <selection pane="topRight" activeCell="S37" sqref="S37"/>
      <selection pane="bottomLeft" activeCell="S37" sqref="S37"/>
      <selection pane="bottomRight" activeCell="B49" sqref="B49:Z848"/>
    </sheetView>
  </sheetViews>
  <sheetFormatPr defaultColWidth="9.28515625" defaultRowHeight="11.25" x14ac:dyDescent="0.2"/>
  <cols>
    <col min="1" max="1" width="43.7109375" style="139" customWidth="1"/>
    <col min="2" max="2" width="7.5703125" style="1" customWidth="1"/>
    <col min="3" max="6" width="6.7109375" style="27" bestFit="1" customWidth="1"/>
    <col min="7" max="8" width="7" style="27" bestFit="1" customWidth="1"/>
    <col min="9" max="9" width="8.7109375" style="27" bestFit="1" customWidth="1"/>
    <col min="10" max="10" width="9.42578125" style="27" bestFit="1" customWidth="1"/>
    <col min="11" max="11" width="10.28515625" style="28" customWidth="1"/>
    <col min="12" max="12" width="5.5703125" style="350" bestFit="1" customWidth="1"/>
    <col min="13" max="13" width="8.7109375" style="350" bestFit="1" customWidth="1"/>
    <col min="14" max="14" width="8.28515625" style="2" bestFit="1" customWidth="1"/>
    <col min="15" max="16384" width="9.28515625" style="1"/>
  </cols>
  <sheetData>
    <row r="1" spans="1:26" x14ac:dyDescent="0.2">
      <c r="A1" s="377" t="s">
        <v>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</row>
    <row r="2" spans="1:26" x14ac:dyDescent="0.2">
      <c r="A2" s="377" t="s">
        <v>7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</row>
    <row r="3" spans="1:26" ht="12.75" x14ac:dyDescent="0.2">
      <c r="A3" s="378" t="s">
        <v>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</row>
    <row r="4" spans="1:26" ht="12.75" x14ac:dyDescent="0.2">
      <c r="A4" s="378" t="s">
        <v>68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</row>
    <row r="5" spans="1:26" ht="12.75" x14ac:dyDescent="0.2">
      <c r="A5" s="379" t="s">
        <v>5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</row>
    <row r="6" spans="1:26" ht="12.75" x14ac:dyDescent="0.2">
      <c r="A6" s="376"/>
      <c r="B6" s="376"/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</row>
    <row r="7" spans="1:26" ht="12.75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349"/>
      <c r="M7" s="349"/>
      <c r="N7" s="349"/>
    </row>
    <row r="8" spans="1:26" ht="13.5" thickBot="1" x14ac:dyDescent="0.25">
      <c r="A8" s="25" t="s">
        <v>10</v>
      </c>
      <c r="B8" s="162"/>
      <c r="H8" s="24"/>
    </row>
    <row r="9" spans="1:26" ht="13.5" thickBot="1" x14ac:dyDescent="0.25">
      <c r="A9" s="110"/>
      <c r="O9" s="367"/>
    </row>
    <row r="10" spans="1:26" x14ac:dyDescent="0.2">
      <c r="A10" s="31" t="s">
        <v>30</v>
      </c>
      <c r="B10" s="414" t="s">
        <v>11</v>
      </c>
      <c r="C10" s="394" t="s">
        <v>12</v>
      </c>
      <c r="D10" s="374"/>
      <c r="E10" s="374"/>
      <c r="F10" s="374"/>
      <c r="G10" s="374"/>
      <c r="H10" s="32" t="s">
        <v>13</v>
      </c>
      <c r="I10" s="33" t="s">
        <v>14</v>
      </c>
      <c r="J10" s="33" t="s">
        <v>15</v>
      </c>
      <c r="K10" s="34" t="s">
        <v>16</v>
      </c>
      <c r="L10" s="351" t="s">
        <v>17</v>
      </c>
      <c r="M10" s="352" t="s">
        <v>17</v>
      </c>
      <c r="N10" s="353" t="s">
        <v>17</v>
      </c>
      <c r="O10" s="375"/>
      <c r="P10" s="375"/>
      <c r="Q10" s="375"/>
      <c r="R10" s="375"/>
      <c r="S10" s="375"/>
      <c r="T10" s="115"/>
      <c r="U10" s="115"/>
      <c r="V10" s="115"/>
      <c r="W10" s="304"/>
      <c r="X10" s="220"/>
      <c r="Y10" s="220"/>
      <c r="Z10" s="220"/>
    </row>
    <row r="11" spans="1:26" ht="12" thickBot="1" x14ac:dyDescent="0.25">
      <c r="A11" s="112"/>
      <c r="B11" s="415"/>
      <c r="C11" s="38" t="s">
        <v>60</v>
      </c>
      <c r="D11" s="39" t="s">
        <v>61</v>
      </c>
      <c r="E11" s="39" t="s">
        <v>62</v>
      </c>
      <c r="F11" s="39" t="s">
        <v>69</v>
      </c>
      <c r="G11" s="40" t="s">
        <v>70</v>
      </c>
      <c r="H11" s="41" t="s">
        <v>71</v>
      </c>
      <c r="I11" s="42" t="s">
        <v>25</v>
      </c>
      <c r="J11" s="42" t="s">
        <v>26</v>
      </c>
      <c r="K11" s="43" t="s">
        <v>27</v>
      </c>
      <c r="L11" s="354" t="s">
        <v>28</v>
      </c>
      <c r="M11" s="355" t="s">
        <v>14</v>
      </c>
      <c r="N11" s="356" t="s">
        <v>15</v>
      </c>
      <c r="O11" s="115"/>
      <c r="P11" s="115"/>
      <c r="Q11" s="115"/>
      <c r="R11" s="115"/>
      <c r="S11" s="115"/>
      <c r="T11" s="115"/>
      <c r="U11" s="115"/>
      <c r="V11" s="115"/>
      <c r="W11" s="304"/>
      <c r="X11" s="220"/>
      <c r="Y11" s="220"/>
      <c r="Z11" s="220"/>
    </row>
    <row r="12" spans="1:26" ht="12.75" x14ac:dyDescent="0.25">
      <c r="A12" s="74" t="s">
        <v>33</v>
      </c>
      <c r="B12" s="357" t="s">
        <v>2</v>
      </c>
      <c r="C12" s="67">
        <v>1</v>
      </c>
      <c r="D12" s="68">
        <v>0.99999999999991973</v>
      </c>
      <c r="E12" s="68">
        <v>0.99999999999358902</v>
      </c>
      <c r="F12" s="68">
        <v>0.993868480199951</v>
      </c>
      <c r="G12" s="68">
        <v>0.99386848010615514</v>
      </c>
      <c r="H12" s="210">
        <v>0.93550236315351087</v>
      </c>
      <c r="I12" s="67">
        <v>0.89653258565575689</v>
      </c>
      <c r="J12" s="68">
        <v>0.90023685141622467</v>
      </c>
      <c r="K12" s="69">
        <v>6.6649126733270094</v>
      </c>
      <c r="L12" s="81">
        <f>H14/H13</f>
        <v>1.0003712665974076</v>
      </c>
      <c r="M12" s="51">
        <f>I14/I13</f>
        <v>1.0145851133756529</v>
      </c>
      <c r="N12" s="52">
        <f>J14/J13</f>
        <v>1.022027871494813</v>
      </c>
      <c r="O12" s="53"/>
      <c r="P12" s="53"/>
      <c r="Q12" s="53"/>
      <c r="R12" s="53"/>
      <c r="S12" s="53"/>
      <c r="T12" s="53"/>
      <c r="U12" s="53"/>
      <c r="V12" s="53"/>
      <c r="W12" s="118"/>
      <c r="X12" s="118"/>
      <c r="Y12" s="118"/>
      <c r="Z12" s="118"/>
    </row>
    <row r="13" spans="1:26" ht="12.75" x14ac:dyDescent="0.25">
      <c r="A13" s="3"/>
      <c r="B13" s="48" t="s">
        <v>1</v>
      </c>
      <c r="C13" s="70">
        <v>1</v>
      </c>
      <c r="D13" s="71">
        <v>0.99999999999906353</v>
      </c>
      <c r="E13" s="71">
        <v>0.99881803670578151</v>
      </c>
      <c r="F13" s="71">
        <v>0.99459526942001231</v>
      </c>
      <c r="G13" s="71">
        <v>0.99459526876672699</v>
      </c>
      <c r="H13" s="83">
        <v>0.93466937512938009</v>
      </c>
      <c r="I13" s="70">
        <v>0.88881631389658156</v>
      </c>
      <c r="J13" s="71">
        <v>0.88959137749335215</v>
      </c>
      <c r="K13" s="211">
        <v>6.7446696897023797</v>
      </c>
      <c r="L13" s="84"/>
      <c r="M13" s="56"/>
      <c r="N13" s="57"/>
      <c r="O13" s="53"/>
      <c r="P13" s="53"/>
      <c r="Q13" s="53"/>
      <c r="R13" s="53"/>
      <c r="S13" s="53"/>
      <c r="T13" s="53"/>
      <c r="U13" s="53"/>
      <c r="V13" s="53"/>
      <c r="W13" s="118"/>
      <c r="X13" s="118"/>
      <c r="Y13" s="118"/>
      <c r="Z13" s="118"/>
    </row>
    <row r="14" spans="1:26" ht="12.75" x14ac:dyDescent="0.25">
      <c r="A14" s="58"/>
      <c r="B14" s="59" t="s">
        <v>0</v>
      </c>
      <c r="C14" s="87">
        <v>1</v>
      </c>
      <c r="D14" s="175">
        <v>0.99999999999999845</v>
      </c>
      <c r="E14" s="175">
        <v>0.99999999999978728</v>
      </c>
      <c r="F14" s="175">
        <v>0.99196227628159162</v>
      </c>
      <c r="G14" s="175">
        <v>0.99196227627667288</v>
      </c>
      <c r="H14" s="86">
        <v>0.93501638664798536</v>
      </c>
      <c r="I14" s="87">
        <v>0.90177980060489316</v>
      </c>
      <c r="J14" s="175">
        <v>0.90918718203966931</v>
      </c>
      <c r="K14" s="212">
        <v>6.5993011324022488</v>
      </c>
      <c r="L14" s="215"/>
      <c r="M14" s="62"/>
      <c r="N14" s="63"/>
      <c r="O14" s="53"/>
      <c r="P14" s="53"/>
      <c r="Q14" s="53"/>
      <c r="R14" s="53"/>
      <c r="S14" s="53"/>
      <c r="T14" s="53"/>
      <c r="U14" s="53"/>
      <c r="V14" s="53"/>
      <c r="W14" s="118"/>
      <c r="X14" s="118"/>
      <c r="Y14" s="118"/>
      <c r="Z14" s="118"/>
    </row>
    <row r="15" spans="1:26" ht="10.15" customHeight="1" x14ac:dyDescent="0.25">
      <c r="A15" s="74" t="s">
        <v>34</v>
      </c>
      <c r="B15" s="48" t="s">
        <v>2</v>
      </c>
      <c r="C15" s="70">
        <v>1</v>
      </c>
      <c r="D15" s="71">
        <v>0.98174813692052387</v>
      </c>
      <c r="E15" s="71">
        <v>0.95302893575566106</v>
      </c>
      <c r="F15" s="71">
        <v>0.91907544923159512</v>
      </c>
      <c r="G15" s="71">
        <v>0.91907544920331841</v>
      </c>
      <c r="H15" s="83">
        <v>0.82327869672999132</v>
      </c>
      <c r="I15" s="70">
        <v>0.77842201484982143</v>
      </c>
      <c r="J15" s="71">
        <v>0.82868280209515288</v>
      </c>
      <c r="K15" s="211">
        <v>7.2404060815914626</v>
      </c>
      <c r="L15" s="84">
        <f t="shared" ref="L15:N15" si="0">H17/H16</f>
        <v>1.0261147040901359</v>
      </c>
      <c r="M15" s="56">
        <f t="shared" si="0"/>
        <v>1.0450465710909576</v>
      </c>
      <c r="N15" s="57">
        <f t="shared" si="0"/>
        <v>1.0266411994937528</v>
      </c>
      <c r="O15" s="53"/>
      <c r="P15" s="53"/>
      <c r="Q15" s="53"/>
      <c r="R15" s="53"/>
      <c r="S15" s="53"/>
      <c r="T15" s="53"/>
      <c r="U15" s="53"/>
      <c r="V15" s="53"/>
      <c r="W15" s="118"/>
      <c r="X15" s="118"/>
      <c r="Y15" s="118"/>
      <c r="Z15" s="118"/>
    </row>
    <row r="16" spans="1:26" ht="12.75" x14ac:dyDescent="0.25">
      <c r="A16" s="3"/>
      <c r="B16" s="48" t="s">
        <v>1</v>
      </c>
      <c r="C16" s="70">
        <v>1</v>
      </c>
      <c r="D16" s="71">
        <v>0.97510168864729785</v>
      </c>
      <c r="E16" s="71">
        <v>0.93427961475802068</v>
      </c>
      <c r="F16" s="71">
        <v>0.90295982119749185</v>
      </c>
      <c r="G16" s="71">
        <v>0.90295982088803095</v>
      </c>
      <c r="H16" s="83">
        <v>0.81333793634276152</v>
      </c>
      <c r="I16" s="70">
        <v>0.76152773412881392</v>
      </c>
      <c r="J16" s="71">
        <v>0.8176489536493845</v>
      </c>
      <c r="K16" s="211">
        <v>7.3381124909662105</v>
      </c>
      <c r="L16" s="84"/>
      <c r="M16" s="56"/>
      <c r="N16" s="57"/>
      <c r="O16" s="53"/>
      <c r="P16" s="53"/>
      <c r="Q16" s="53"/>
      <c r="R16" s="53"/>
      <c r="S16" s="53"/>
      <c r="T16" s="53"/>
      <c r="U16" s="53"/>
      <c r="V16" s="53"/>
      <c r="W16" s="118"/>
      <c r="X16" s="118"/>
      <c r="Y16" s="118"/>
      <c r="Z16" s="118"/>
    </row>
    <row r="17" spans="1:26" ht="12.75" x14ac:dyDescent="0.25">
      <c r="A17" s="58"/>
      <c r="B17" s="59" t="s">
        <v>0</v>
      </c>
      <c r="C17" s="87">
        <v>1</v>
      </c>
      <c r="D17" s="175">
        <v>0.98873202952985362</v>
      </c>
      <c r="E17" s="175">
        <v>0.97339370448940077</v>
      </c>
      <c r="F17" s="175">
        <v>0.93651120865516757</v>
      </c>
      <c r="G17" s="175">
        <v>0.93651120865488025</v>
      </c>
      <c r="H17" s="86">
        <v>0.83457801587563452</v>
      </c>
      <c r="I17" s="87">
        <v>0.79583194734198337</v>
      </c>
      <c r="J17" s="175">
        <v>0.83943210253941591</v>
      </c>
      <c r="K17" s="212">
        <v>7.1476894698797482</v>
      </c>
      <c r="L17" s="215"/>
      <c r="M17" s="62"/>
      <c r="N17" s="63"/>
      <c r="O17" s="53"/>
      <c r="P17" s="53"/>
      <c r="Q17" s="53"/>
      <c r="R17" s="53"/>
      <c r="S17" s="53"/>
      <c r="T17" s="53"/>
      <c r="U17" s="53"/>
      <c r="V17" s="53"/>
      <c r="W17" s="118"/>
      <c r="X17" s="118"/>
      <c r="Y17" s="118"/>
      <c r="Z17" s="118"/>
    </row>
    <row r="18" spans="1:26" ht="12.75" x14ac:dyDescent="0.25">
      <c r="A18" s="74" t="s">
        <v>35</v>
      </c>
      <c r="B18" s="48" t="s">
        <v>2</v>
      </c>
      <c r="C18" s="70">
        <v>1</v>
      </c>
      <c r="D18" s="71">
        <v>0.96725293946166369</v>
      </c>
      <c r="E18" s="71">
        <v>0.90659804505466335</v>
      </c>
      <c r="F18" s="71">
        <v>0.84237883814969383</v>
      </c>
      <c r="G18" s="71">
        <v>0.84237883814785797</v>
      </c>
      <c r="H18" s="83">
        <v>0.74174737811826685</v>
      </c>
      <c r="I18" s="70">
        <v>0.72629631959738117</v>
      </c>
      <c r="J18" s="71">
        <v>0.81841324516398539</v>
      </c>
      <c r="K18" s="211">
        <v>7.3312596484161006</v>
      </c>
      <c r="L18" s="84">
        <f t="shared" ref="L18:N18" si="1">H20/H19</f>
        <v>1.0170376584259531</v>
      </c>
      <c r="M18" s="56">
        <f t="shared" si="1"/>
        <v>1.0255840645385894</v>
      </c>
      <c r="N18" s="64">
        <f t="shared" si="1"/>
        <v>1.0150677376455939</v>
      </c>
      <c r="O18" s="53"/>
      <c r="P18" s="53"/>
      <c r="Q18" s="53"/>
      <c r="R18" s="53"/>
      <c r="S18" s="53"/>
      <c r="T18" s="53"/>
      <c r="U18" s="53"/>
      <c r="V18" s="53"/>
      <c r="W18" s="118"/>
      <c r="X18" s="118"/>
      <c r="Y18" s="118"/>
      <c r="Z18" s="118"/>
    </row>
    <row r="19" spans="1:26" ht="12.75" x14ac:dyDescent="0.25">
      <c r="A19" s="3"/>
      <c r="B19" s="48" t="s">
        <v>1</v>
      </c>
      <c r="C19" s="70">
        <v>1</v>
      </c>
      <c r="D19" s="71">
        <v>0.9684170471841268</v>
      </c>
      <c r="E19" s="71">
        <v>0.89315410845345145</v>
      </c>
      <c r="F19" s="71">
        <v>0.83298654126178018</v>
      </c>
      <c r="G19" s="71">
        <v>0.83298654124245664</v>
      </c>
      <c r="H19" s="83">
        <v>0.73603715397230152</v>
      </c>
      <c r="I19" s="70">
        <v>0.71751409506425967</v>
      </c>
      <c r="J19" s="71">
        <v>0.81237336401175708</v>
      </c>
      <c r="K19" s="211">
        <v>7.3857665278069904</v>
      </c>
      <c r="L19" s="84"/>
      <c r="M19" s="56"/>
      <c r="N19" s="57"/>
      <c r="O19" s="53"/>
      <c r="P19" s="53"/>
      <c r="Q19" s="53"/>
      <c r="R19" s="53"/>
      <c r="S19" s="53"/>
      <c r="T19" s="53"/>
      <c r="U19" s="53"/>
      <c r="V19" s="53"/>
      <c r="W19" s="118"/>
      <c r="X19" s="118"/>
      <c r="Y19" s="118"/>
      <c r="Z19" s="118"/>
    </row>
    <row r="20" spans="1:26" ht="12.75" x14ac:dyDescent="0.25">
      <c r="A20" s="58"/>
      <c r="B20" s="59" t="s">
        <v>0</v>
      </c>
      <c r="C20" s="87">
        <v>1</v>
      </c>
      <c r="D20" s="175">
        <v>0.96603773584905661</v>
      </c>
      <c r="E20" s="175">
        <v>0.92175546308635048</v>
      </c>
      <c r="F20" s="175">
        <v>0.85296774196045932</v>
      </c>
      <c r="G20" s="175">
        <v>0.85296774196042846</v>
      </c>
      <c r="H20" s="86">
        <v>0.74857750359049224</v>
      </c>
      <c r="I20" s="87">
        <v>0.7358710219797312</v>
      </c>
      <c r="J20" s="175">
        <v>0.8246139927309547</v>
      </c>
      <c r="K20" s="212">
        <v>7.2761316845100019</v>
      </c>
      <c r="L20" s="215"/>
      <c r="M20" s="62"/>
      <c r="N20" s="63"/>
      <c r="O20" s="53"/>
      <c r="P20" s="53"/>
      <c r="Q20" s="53"/>
      <c r="R20" s="53"/>
      <c r="S20" s="53"/>
      <c r="T20" s="53"/>
      <c r="U20" s="53"/>
      <c r="V20" s="53"/>
      <c r="W20" s="118"/>
      <c r="X20" s="118"/>
      <c r="Y20" s="118"/>
      <c r="Z20" s="118"/>
    </row>
    <row r="21" spans="1:26" ht="12.75" x14ac:dyDescent="0.25">
      <c r="A21" s="74" t="s">
        <v>36</v>
      </c>
      <c r="B21" s="48" t="s">
        <v>2</v>
      </c>
      <c r="C21" s="70">
        <v>1</v>
      </c>
      <c r="D21" s="71">
        <v>0.96595659964145975</v>
      </c>
      <c r="E21" s="71">
        <v>0.91347022503186381</v>
      </c>
      <c r="F21" s="71">
        <v>0.86014855502156706</v>
      </c>
      <c r="G21" s="71">
        <v>0.79806900341413145</v>
      </c>
      <c r="H21" s="83">
        <v>0.74534126895451291</v>
      </c>
      <c r="I21" s="70">
        <v>0.73222364078677049</v>
      </c>
      <c r="J21" s="71">
        <v>0.82507424405320118</v>
      </c>
      <c r="K21" s="211">
        <v>7.2720728385906543</v>
      </c>
      <c r="L21" s="84">
        <f t="shared" ref="L21:N21" si="2">H23/H22</f>
        <v>0.95543659579340279</v>
      </c>
      <c r="M21" s="56">
        <f t="shared" si="2"/>
        <v>0.96933553387166849</v>
      </c>
      <c r="N21" s="64">
        <f t="shared" si="2"/>
        <v>0.97728816082764169</v>
      </c>
      <c r="O21" s="53"/>
      <c r="P21" s="53"/>
      <c r="Q21" s="53"/>
      <c r="R21" s="53"/>
      <c r="S21" s="53"/>
      <c r="T21" s="53"/>
      <c r="U21" s="53"/>
      <c r="V21" s="53"/>
      <c r="W21" s="118"/>
      <c r="X21" s="118"/>
      <c r="Y21" s="118"/>
      <c r="Z21" s="118"/>
    </row>
    <row r="22" spans="1:26" ht="12.75" x14ac:dyDescent="0.25">
      <c r="A22" s="3"/>
      <c r="B22" s="48" t="s">
        <v>1</v>
      </c>
      <c r="C22" s="70">
        <v>1</v>
      </c>
      <c r="D22" s="71">
        <v>0.96056503825433526</v>
      </c>
      <c r="E22" s="71">
        <v>0.89735084875495275</v>
      </c>
      <c r="F22" s="71">
        <v>0.84799483197261705</v>
      </c>
      <c r="G22" s="71">
        <v>0.81755575523495772</v>
      </c>
      <c r="H22" s="83">
        <v>0.7630520376593215</v>
      </c>
      <c r="I22" s="70">
        <v>0.74384596596313457</v>
      </c>
      <c r="J22" s="71">
        <v>0.83444691492808865</v>
      </c>
      <c r="K22" s="211">
        <v>7.190391494846704</v>
      </c>
      <c r="L22" s="84"/>
      <c r="M22" s="56"/>
      <c r="N22" s="57"/>
      <c r="O22" s="53"/>
      <c r="P22" s="53"/>
      <c r="Q22" s="53"/>
      <c r="R22" s="53"/>
      <c r="S22" s="53"/>
      <c r="T22" s="53"/>
      <c r="U22" s="53"/>
      <c r="V22" s="53"/>
      <c r="W22" s="118"/>
      <c r="X22" s="118"/>
      <c r="Y22" s="118"/>
      <c r="Z22" s="118"/>
    </row>
    <row r="23" spans="1:26" ht="12.75" x14ac:dyDescent="0.25">
      <c r="A23" s="58"/>
      <c r="B23" s="59" t="s">
        <v>0</v>
      </c>
      <c r="C23" s="87">
        <v>1</v>
      </c>
      <c r="D23" s="175">
        <v>0.97150939583754214</v>
      </c>
      <c r="E23" s="175">
        <v>0.93059755547272049</v>
      </c>
      <c r="F23" s="175">
        <v>0.87297483471189075</v>
      </c>
      <c r="G23" s="175">
        <v>0.78016189656734836</v>
      </c>
      <c r="H23" s="86">
        <v>0.72904784127444155</v>
      </c>
      <c r="I23" s="87">
        <v>0.72103632653516203</v>
      </c>
      <c r="J23" s="175">
        <v>0.81549509079837135</v>
      </c>
      <c r="K23" s="212">
        <v>7.3574937086696472</v>
      </c>
      <c r="L23" s="215"/>
      <c r="M23" s="62"/>
      <c r="N23" s="63"/>
      <c r="O23" s="53"/>
      <c r="P23" s="53"/>
      <c r="Q23" s="53"/>
      <c r="R23" s="53"/>
      <c r="S23" s="53"/>
      <c r="T23" s="53"/>
      <c r="U23" s="53"/>
      <c r="V23" s="53"/>
      <c r="W23" s="118"/>
      <c r="X23" s="118"/>
      <c r="Y23" s="118"/>
      <c r="Z23" s="118"/>
    </row>
    <row r="24" spans="1:26" ht="12.75" x14ac:dyDescent="0.25">
      <c r="A24" s="74" t="s">
        <v>37</v>
      </c>
      <c r="B24" s="48" t="s">
        <v>2</v>
      </c>
      <c r="C24" s="70">
        <v>1</v>
      </c>
      <c r="D24" s="71">
        <v>0.92910671462817374</v>
      </c>
      <c r="E24" s="71">
        <v>0.8268937984143353</v>
      </c>
      <c r="F24" s="71">
        <v>0.72135179807040362</v>
      </c>
      <c r="G24" s="71">
        <v>0.645576113004109</v>
      </c>
      <c r="H24" s="83">
        <v>0.5514840479173756</v>
      </c>
      <c r="I24" s="70">
        <v>0.51275787137407536</v>
      </c>
      <c r="J24" s="71">
        <v>0.65318147389476255</v>
      </c>
      <c r="K24" s="211">
        <v>9.1858085995970704</v>
      </c>
      <c r="L24" s="84">
        <f t="shared" ref="L24:N24" si="3">H26/H25</f>
        <v>1.1357732406832632</v>
      </c>
      <c r="M24" s="56">
        <f t="shared" si="3"/>
        <v>1.1653021558571954</v>
      </c>
      <c r="N24" s="64">
        <f t="shared" si="3"/>
        <v>1.1007817034464478</v>
      </c>
      <c r="O24" s="53"/>
      <c r="P24" s="53"/>
      <c r="Q24" s="53"/>
      <c r="R24" s="53"/>
      <c r="S24" s="53"/>
      <c r="T24" s="53"/>
      <c r="U24" s="53"/>
      <c r="V24" s="53"/>
      <c r="W24" s="118"/>
      <c r="X24" s="118"/>
      <c r="Y24" s="118"/>
      <c r="Z24" s="118"/>
    </row>
    <row r="25" spans="1:26" ht="12.75" x14ac:dyDescent="0.25">
      <c r="A25" s="3"/>
      <c r="B25" s="48" t="s">
        <v>1</v>
      </c>
      <c r="C25" s="70">
        <v>1</v>
      </c>
      <c r="D25" s="71">
        <v>0.91324482864804157</v>
      </c>
      <c r="E25" s="71">
        <v>0.79431863489553356</v>
      </c>
      <c r="F25" s="71">
        <v>0.6903264564236069</v>
      </c>
      <c r="G25" s="71">
        <v>0.61100258168473898</v>
      </c>
      <c r="H25" s="83">
        <v>0.51607713845867242</v>
      </c>
      <c r="I25" s="70">
        <v>0.473070710253783</v>
      </c>
      <c r="J25" s="71">
        <v>0.62045066220856493</v>
      </c>
      <c r="K25" s="211">
        <v>9.6703901945117039</v>
      </c>
      <c r="L25" s="84"/>
      <c r="M25" s="56"/>
      <c r="N25" s="57"/>
      <c r="O25" s="53"/>
      <c r="P25" s="53"/>
      <c r="Q25" s="53"/>
      <c r="R25" s="53"/>
      <c r="S25" s="53"/>
      <c r="T25" s="53"/>
      <c r="U25" s="53"/>
      <c r="V25" s="53"/>
      <c r="W25" s="118"/>
      <c r="X25" s="118"/>
      <c r="Y25" s="118"/>
      <c r="Z25" s="118"/>
    </row>
    <row r="26" spans="1:26" ht="12.75" x14ac:dyDescent="0.25">
      <c r="A26" s="58"/>
      <c r="B26" s="59" t="s">
        <v>0</v>
      </c>
      <c r="C26" s="87">
        <v>1</v>
      </c>
      <c r="D26" s="175">
        <v>0.94407224002330281</v>
      </c>
      <c r="E26" s="175">
        <v>0.85897559060437167</v>
      </c>
      <c r="F26" s="175">
        <v>0.75208794083138375</v>
      </c>
      <c r="G26" s="175">
        <v>0.67962897455370019</v>
      </c>
      <c r="H26" s="86">
        <v>0.58614660398975149</v>
      </c>
      <c r="I26" s="87">
        <v>0.551270318531628</v>
      </c>
      <c r="J26" s="175">
        <v>0.6829807368504206</v>
      </c>
      <c r="K26" s="212">
        <v>8.7850208304104154</v>
      </c>
      <c r="L26" s="215"/>
      <c r="M26" s="62"/>
      <c r="N26" s="63"/>
      <c r="O26" s="53"/>
      <c r="P26" s="53"/>
      <c r="Q26" s="53"/>
      <c r="R26" s="53"/>
      <c r="S26" s="53"/>
      <c r="T26" s="53"/>
      <c r="U26" s="53"/>
      <c r="V26" s="53"/>
      <c r="W26" s="118"/>
      <c r="X26" s="118"/>
      <c r="Y26" s="118"/>
      <c r="Z26" s="118"/>
    </row>
    <row r="27" spans="1:26" ht="12.75" x14ac:dyDescent="0.25">
      <c r="A27" s="74" t="s">
        <v>38</v>
      </c>
      <c r="B27" s="48" t="s">
        <v>2</v>
      </c>
      <c r="C27" s="131">
        <v>1</v>
      </c>
      <c r="D27" s="180">
        <v>0.9667011375385115</v>
      </c>
      <c r="E27" s="180">
        <v>0.91153258995258257</v>
      </c>
      <c r="F27" s="180">
        <v>0.85332164661526455</v>
      </c>
      <c r="G27" s="180">
        <v>0.83287269421112453</v>
      </c>
      <c r="H27" s="130">
        <v>0.77334284838446288</v>
      </c>
      <c r="I27" s="131">
        <v>0.73719264822864794</v>
      </c>
      <c r="J27" s="180">
        <v>0.82099144274856939</v>
      </c>
      <c r="K27" s="214">
        <v>7.3082369530098923</v>
      </c>
      <c r="L27" s="226">
        <f t="shared" ref="L27:N27" si="4">H29/H28</f>
        <v>0.9231836695896376</v>
      </c>
      <c r="M27" s="66">
        <f t="shared" si="4"/>
        <v>0.93154188235398838</v>
      </c>
      <c r="N27" s="124">
        <f t="shared" si="4"/>
        <v>0.95872053554763892</v>
      </c>
      <c r="O27" s="227"/>
      <c r="P27" s="227"/>
      <c r="Q27" s="227"/>
      <c r="R27" s="227"/>
      <c r="S27" s="227"/>
      <c r="T27" s="227"/>
      <c r="U27" s="227"/>
      <c r="V27" s="227"/>
      <c r="W27" s="228"/>
      <c r="X27" s="228"/>
      <c r="Y27" s="228"/>
      <c r="Z27" s="228"/>
    </row>
    <row r="28" spans="1:26" ht="12.75" x14ac:dyDescent="0.25">
      <c r="A28" s="127"/>
      <c r="B28" s="48" t="s">
        <v>1</v>
      </c>
      <c r="C28" s="131">
        <v>1</v>
      </c>
      <c r="D28" s="180">
        <v>0.96321885792854334</v>
      </c>
      <c r="E28" s="180">
        <v>0.90726341991887283</v>
      </c>
      <c r="F28" s="180">
        <v>0.85201400720572862</v>
      </c>
      <c r="G28" s="180">
        <v>0.85201400059987165</v>
      </c>
      <c r="H28" s="130">
        <v>0.80621481501229297</v>
      </c>
      <c r="I28" s="131">
        <v>0.76469302196444944</v>
      </c>
      <c r="J28" s="180">
        <v>0.83712284128265502</v>
      </c>
      <c r="K28" s="214">
        <v>7.1674068656479255</v>
      </c>
      <c r="L28" s="226"/>
      <c r="M28" s="66"/>
      <c r="N28" s="132"/>
      <c r="O28" s="227"/>
      <c r="P28" s="227"/>
      <c r="Q28" s="227"/>
      <c r="R28" s="227"/>
      <c r="S28" s="227"/>
      <c r="T28" s="227"/>
      <c r="U28" s="227"/>
      <c r="V28" s="227"/>
      <c r="W28" s="228"/>
      <c r="X28" s="228"/>
      <c r="Y28" s="228"/>
      <c r="Z28" s="228"/>
    </row>
    <row r="29" spans="1:26" ht="12.75" x14ac:dyDescent="0.25">
      <c r="A29" s="58"/>
      <c r="B29" s="59" t="s">
        <v>0</v>
      </c>
      <c r="C29" s="136">
        <v>1</v>
      </c>
      <c r="D29" s="182">
        <v>0.96923403352429316</v>
      </c>
      <c r="E29" s="182">
        <v>0.91448435144352569</v>
      </c>
      <c r="F29" s="182">
        <v>0.85274065706713786</v>
      </c>
      <c r="G29" s="182">
        <v>0.81419377933445325</v>
      </c>
      <c r="H29" s="135">
        <v>0.74428435140057947</v>
      </c>
      <c r="I29" s="136">
        <v>0.71234357710372298</v>
      </c>
      <c r="J29" s="182">
        <v>0.80256685871366817</v>
      </c>
      <c r="K29" s="225">
        <v>7.4760126646851983</v>
      </c>
      <c r="L29" s="229"/>
      <c r="M29" s="137"/>
      <c r="N29" s="138"/>
      <c r="O29" s="227"/>
      <c r="P29" s="227"/>
      <c r="Q29" s="227"/>
      <c r="R29" s="227"/>
      <c r="S29" s="227"/>
      <c r="T29" s="227"/>
      <c r="U29" s="227"/>
      <c r="V29" s="227"/>
      <c r="W29" s="228"/>
      <c r="X29" s="228"/>
      <c r="Y29" s="228"/>
      <c r="Z29" s="228"/>
    </row>
    <row r="30" spans="1:26" ht="12.75" x14ac:dyDescent="0.25">
      <c r="A30" s="74" t="s">
        <v>39</v>
      </c>
      <c r="B30" s="48" t="s">
        <v>2</v>
      </c>
      <c r="C30" s="131">
        <v>1</v>
      </c>
      <c r="D30" s="180">
        <v>1</v>
      </c>
      <c r="E30" s="180">
        <v>0.99999999999999201</v>
      </c>
      <c r="F30" s="180">
        <v>0.99999999999967393</v>
      </c>
      <c r="G30" s="180">
        <v>0.99999999999905642</v>
      </c>
      <c r="H30" s="130">
        <v>0.93186672362076295</v>
      </c>
      <c r="I30" s="131">
        <v>0.8900815449817483</v>
      </c>
      <c r="J30" s="180">
        <v>0.89721697404283451</v>
      </c>
      <c r="K30" s="214">
        <v>6.6873456182668596</v>
      </c>
      <c r="L30" s="226">
        <f t="shared" ref="L30:N30" si="5">H32/H31</f>
        <v>1.0067971036462038</v>
      </c>
      <c r="M30" s="66">
        <f t="shared" si="5"/>
        <v>1.0279084033391892</v>
      </c>
      <c r="N30" s="124">
        <f t="shared" si="5"/>
        <v>1.0406625740588686</v>
      </c>
      <c r="O30" s="53"/>
      <c r="P30" s="53"/>
      <c r="Q30" s="53"/>
      <c r="R30" s="53"/>
      <c r="S30" s="53"/>
      <c r="T30" s="53"/>
      <c r="U30" s="53"/>
      <c r="V30" s="53"/>
      <c r="W30" s="118"/>
      <c r="X30" s="118"/>
      <c r="Y30" s="118"/>
      <c r="Z30" s="118"/>
    </row>
    <row r="31" spans="1:26" ht="12.75" x14ac:dyDescent="0.25">
      <c r="A31" s="3"/>
      <c r="B31" s="48" t="s">
        <v>1</v>
      </c>
      <c r="C31" s="131">
        <v>1</v>
      </c>
      <c r="D31" s="180">
        <v>0.99999999993484412</v>
      </c>
      <c r="E31" s="180">
        <v>0.99999999777573012</v>
      </c>
      <c r="F31" s="180">
        <v>0.99999998702060244</v>
      </c>
      <c r="G31" s="180">
        <v>0.99999996570507088</v>
      </c>
      <c r="H31" s="130">
        <v>0.92843774002871116</v>
      </c>
      <c r="I31" s="131">
        <v>0.87638196894122489</v>
      </c>
      <c r="J31" s="180">
        <v>0.86924517933065104</v>
      </c>
      <c r="K31" s="214">
        <v>6.9025404370032959</v>
      </c>
      <c r="L31" s="226"/>
      <c r="M31" s="66"/>
      <c r="N31" s="132"/>
      <c r="O31" s="53"/>
      <c r="P31" s="53"/>
      <c r="Q31" s="53"/>
      <c r="R31" s="53"/>
      <c r="S31" s="53"/>
      <c r="T31" s="53"/>
      <c r="U31" s="53"/>
      <c r="V31" s="53"/>
      <c r="W31" s="118"/>
      <c r="X31" s="118"/>
      <c r="Y31" s="118"/>
      <c r="Z31" s="118"/>
    </row>
    <row r="32" spans="1:26" ht="12.75" x14ac:dyDescent="0.25">
      <c r="A32" s="58"/>
      <c r="B32" s="59" t="s">
        <v>0</v>
      </c>
      <c r="C32" s="136">
        <v>1</v>
      </c>
      <c r="D32" s="182">
        <v>0.99999999999999689</v>
      </c>
      <c r="E32" s="182">
        <v>0.99999999999932709</v>
      </c>
      <c r="F32" s="182">
        <v>0.99999999997820355</v>
      </c>
      <c r="G32" s="182">
        <v>0.99999999994081334</v>
      </c>
      <c r="H32" s="135">
        <v>0.93474842757673349</v>
      </c>
      <c r="I32" s="136">
        <v>0.90084039040962938</v>
      </c>
      <c r="J32" s="182">
        <v>0.90459092581049827</v>
      </c>
      <c r="K32" s="225">
        <v>6.6328323983839441</v>
      </c>
      <c r="L32" s="229"/>
      <c r="M32" s="137"/>
      <c r="N32" s="138"/>
      <c r="O32" s="53"/>
      <c r="P32" s="53"/>
      <c r="Q32" s="53"/>
      <c r="R32" s="53"/>
      <c r="S32" s="53"/>
      <c r="T32" s="53"/>
      <c r="U32" s="53"/>
      <c r="V32" s="53"/>
      <c r="W32" s="118"/>
      <c r="X32" s="118"/>
      <c r="Y32" s="118"/>
      <c r="Z32" s="118"/>
    </row>
    <row r="33" spans="1:26" ht="10.15" customHeight="1" x14ac:dyDescent="0.25">
      <c r="A33" s="74" t="s">
        <v>40</v>
      </c>
      <c r="B33" s="48" t="s">
        <v>2</v>
      </c>
      <c r="C33" s="131">
        <v>1</v>
      </c>
      <c r="D33" s="180">
        <v>0.99999999999433986</v>
      </c>
      <c r="E33" s="180">
        <v>0.98763462281711667</v>
      </c>
      <c r="F33" s="180">
        <v>0.97294539333118923</v>
      </c>
      <c r="G33" s="180">
        <v>0.97294539222336129</v>
      </c>
      <c r="H33" s="130">
        <v>0.86274246694723533</v>
      </c>
      <c r="I33" s="131">
        <v>0.81848756515248033</v>
      </c>
      <c r="J33" s="180">
        <v>0.8363283579062718</v>
      </c>
      <c r="K33" s="214">
        <v>7.1742156573775135</v>
      </c>
      <c r="L33" s="226">
        <f t="shared" ref="L33:N33" si="6">H35/H34</f>
        <v>1.0677226207782839</v>
      </c>
      <c r="M33" s="66">
        <f t="shared" si="6"/>
        <v>1.0526663534346379</v>
      </c>
      <c r="N33" s="124">
        <f t="shared" si="6"/>
        <v>1.0401877644945277</v>
      </c>
      <c r="O33" s="53"/>
      <c r="P33" s="53"/>
      <c r="Q33" s="53"/>
      <c r="R33" s="53"/>
      <c r="S33" s="53"/>
      <c r="T33" s="53"/>
      <c r="U33" s="53"/>
      <c r="V33" s="53"/>
      <c r="W33" s="118"/>
      <c r="X33" s="118"/>
      <c r="Y33" s="118"/>
      <c r="Z33" s="118"/>
    </row>
    <row r="34" spans="1:26" ht="12.75" x14ac:dyDescent="0.25">
      <c r="A34" s="3"/>
      <c r="B34" s="48" t="s">
        <v>1</v>
      </c>
      <c r="C34" s="131">
        <v>1</v>
      </c>
      <c r="D34" s="180">
        <v>0.99999999974060538</v>
      </c>
      <c r="E34" s="180">
        <v>0.98060511386713767</v>
      </c>
      <c r="F34" s="180">
        <v>0.94943466334955096</v>
      </c>
      <c r="G34" s="180">
        <v>0.94943464585979143</v>
      </c>
      <c r="H34" s="130">
        <v>0.83378332199084404</v>
      </c>
      <c r="I34" s="131">
        <v>0.79699876366771871</v>
      </c>
      <c r="J34" s="180">
        <v>0.81954894567504666</v>
      </c>
      <c r="K34" s="214">
        <v>7.3211002608976763</v>
      </c>
      <c r="L34" s="226"/>
      <c r="M34" s="66"/>
      <c r="N34" s="132"/>
      <c r="O34" s="53"/>
      <c r="P34" s="53"/>
      <c r="Q34" s="53"/>
      <c r="R34" s="53"/>
      <c r="S34" s="53"/>
      <c r="T34" s="53"/>
      <c r="U34" s="53"/>
      <c r="V34" s="53"/>
      <c r="W34" s="118"/>
      <c r="X34" s="118"/>
      <c r="Y34" s="118"/>
      <c r="Z34" s="118"/>
    </row>
    <row r="35" spans="1:26" ht="12.75" x14ac:dyDescent="0.25">
      <c r="A35" s="58"/>
      <c r="B35" s="59" t="s">
        <v>0</v>
      </c>
      <c r="C35" s="136">
        <v>1</v>
      </c>
      <c r="D35" s="182">
        <v>0.99999999999999889</v>
      </c>
      <c r="E35" s="182">
        <v>0.99507389162546045</v>
      </c>
      <c r="F35" s="182">
        <v>0.9950738916248052</v>
      </c>
      <c r="G35" s="182">
        <v>0.99507389162012927</v>
      </c>
      <c r="H35" s="135">
        <v>0.89024931371728788</v>
      </c>
      <c r="I35" s="136">
        <v>0.83897378224201224</v>
      </c>
      <c r="J35" s="182">
        <v>0.85248478569557384</v>
      </c>
      <c r="K35" s="225">
        <v>7.0382487766094011</v>
      </c>
      <c r="L35" s="229"/>
      <c r="M35" s="137"/>
      <c r="N35" s="138"/>
      <c r="O35" s="53"/>
      <c r="P35" s="53"/>
      <c r="Q35" s="53"/>
      <c r="R35" s="53"/>
      <c r="S35" s="53"/>
      <c r="T35" s="53"/>
      <c r="U35" s="53"/>
      <c r="V35" s="53"/>
      <c r="W35" s="118"/>
      <c r="X35" s="118"/>
      <c r="Y35" s="118"/>
      <c r="Z35" s="118"/>
    </row>
    <row r="36" spans="1:26" ht="12.75" x14ac:dyDescent="0.25">
      <c r="A36" s="74" t="s">
        <v>41</v>
      </c>
      <c r="B36" s="48" t="s">
        <v>2</v>
      </c>
      <c r="C36" s="131">
        <v>1</v>
      </c>
      <c r="D36" s="180">
        <v>0.96702317289705675</v>
      </c>
      <c r="E36" s="180">
        <v>0.9353863402947068</v>
      </c>
      <c r="F36" s="180">
        <v>0.88523923700567386</v>
      </c>
      <c r="G36" s="180">
        <v>0.88523923127601389</v>
      </c>
      <c r="H36" s="130">
        <v>0.76817001063876666</v>
      </c>
      <c r="I36" s="131">
        <v>0.72764305564103804</v>
      </c>
      <c r="J36" s="180">
        <v>0.78848410040864514</v>
      </c>
      <c r="K36" s="214">
        <v>7.6095383494612001</v>
      </c>
      <c r="L36" s="226">
        <f t="shared" ref="L36:N36" si="7">H38/H37</f>
        <v>1.1367902372369367</v>
      </c>
      <c r="M36" s="66">
        <f t="shared" si="7"/>
        <v>1.1509517591759104</v>
      </c>
      <c r="N36" s="124">
        <f t="shared" si="7"/>
        <v>1.104014718169736</v>
      </c>
      <c r="O36" s="227"/>
      <c r="P36" s="227"/>
      <c r="Q36" s="227"/>
      <c r="R36" s="227"/>
      <c r="S36" s="227"/>
      <c r="T36" s="227"/>
      <c r="U36" s="227"/>
      <c r="V36" s="227"/>
      <c r="W36" s="228"/>
      <c r="X36" s="228"/>
      <c r="Y36" s="228"/>
      <c r="Z36" s="228"/>
    </row>
    <row r="37" spans="1:26" ht="12.75" x14ac:dyDescent="0.25">
      <c r="A37" s="127"/>
      <c r="B37" s="48" t="s">
        <v>1</v>
      </c>
      <c r="C37" s="131">
        <v>1</v>
      </c>
      <c r="D37" s="180">
        <v>0.95727554157084183</v>
      </c>
      <c r="E37" s="180">
        <v>0.91383894889647443</v>
      </c>
      <c r="F37" s="180">
        <v>0.84594224595729961</v>
      </c>
      <c r="G37" s="180">
        <v>0.84594219483733013</v>
      </c>
      <c r="H37" s="130">
        <v>0.71899813308657945</v>
      </c>
      <c r="I37" s="131">
        <v>0.67608337171839805</v>
      </c>
      <c r="J37" s="180">
        <v>0.74811043975563174</v>
      </c>
      <c r="K37" s="214">
        <v>8.0202062170926034</v>
      </c>
      <c r="L37" s="226"/>
      <c r="M37" s="66"/>
      <c r="N37" s="132"/>
      <c r="O37" s="227"/>
      <c r="P37" s="227"/>
      <c r="Q37" s="227"/>
      <c r="R37" s="227"/>
      <c r="S37" s="227"/>
      <c r="T37" s="227"/>
      <c r="U37" s="227"/>
      <c r="V37" s="227"/>
      <c r="W37" s="228"/>
      <c r="X37" s="228"/>
      <c r="Y37" s="228"/>
      <c r="Z37" s="228"/>
    </row>
    <row r="38" spans="1:26" ht="12.75" x14ac:dyDescent="0.25">
      <c r="A38" s="58"/>
      <c r="B38" s="59" t="s">
        <v>0</v>
      </c>
      <c r="C38" s="136">
        <v>1</v>
      </c>
      <c r="D38" s="182">
        <v>0.97601370645343233</v>
      </c>
      <c r="E38" s="182">
        <v>0.95632466914516634</v>
      </c>
      <c r="F38" s="182">
        <v>0.92521595862567529</v>
      </c>
      <c r="G38" s="182">
        <v>0.92521595845657922</v>
      </c>
      <c r="H38" s="135">
        <v>0.81735005828440721</v>
      </c>
      <c r="I38" s="136">
        <v>0.77813934602887125</v>
      </c>
      <c r="J38" s="182">
        <v>0.82592493630665098</v>
      </c>
      <c r="K38" s="225">
        <v>7.2645826954089063</v>
      </c>
      <c r="L38" s="229"/>
      <c r="M38" s="137"/>
      <c r="N38" s="138"/>
      <c r="O38" s="227"/>
      <c r="P38" s="227"/>
      <c r="Q38" s="227"/>
      <c r="R38" s="227"/>
      <c r="S38" s="227"/>
      <c r="T38" s="227"/>
      <c r="U38" s="227"/>
      <c r="V38" s="227"/>
      <c r="W38" s="228"/>
      <c r="X38" s="228"/>
      <c r="Y38" s="228"/>
      <c r="Z38" s="228"/>
    </row>
    <row r="39" spans="1:26" ht="12.75" x14ac:dyDescent="0.25">
      <c r="A39" s="74" t="s">
        <v>42</v>
      </c>
      <c r="B39" s="48" t="s">
        <v>2</v>
      </c>
      <c r="C39" s="70">
        <v>1</v>
      </c>
      <c r="D39" s="71">
        <v>0.99999999999999867</v>
      </c>
      <c r="E39" s="71">
        <v>0.99999999999980294</v>
      </c>
      <c r="F39" s="71">
        <v>0.994018608771846</v>
      </c>
      <c r="G39" s="71">
        <v>0.99401860877045789</v>
      </c>
      <c r="H39" s="83">
        <v>0.94278905453437134</v>
      </c>
      <c r="I39" s="70">
        <v>0.91728320209984582</v>
      </c>
      <c r="J39" s="71">
        <v>0.924234762034993</v>
      </c>
      <c r="K39" s="211">
        <v>6.491857097853706</v>
      </c>
      <c r="L39" s="84">
        <f t="shared" ref="L39:N39" si="8">H41/H40</f>
        <v>0.99974162788036891</v>
      </c>
      <c r="M39" s="56">
        <f t="shared" si="8"/>
        <v>1.0073296610536693</v>
      </c>
      <c r="N39" s="64">
        <f t="shared" si="8"/>
        <v>1.0037428351848745</v>
      </c>
      <c r="O39" s="53"/>
      <c r="P39" s="53"/>
      <c r="Q39" s="53"/>
      <c r="R39" s="53"/>
      <c r="S39" s="53"/>
      <c r="T39" s="53"/>
      <c r="U39" s="53"/>
      <c r="V39" s="53"/>
      <c r="W39" s="118"/>
      <c r="X39" s="118"/>
      <c r="Y39" s="118"/>
      <c r="Z39" s="118"/>
    </row>
    <row r="40" spans="1:26" ht="12.75" x14ac:dyDescent="0.25">
      <c r="A40" s="3"/>
      <c r="B40" s="48" t="s">
        <v>1</v>
      </c>
      <c r="C40" s="70">
        <v>1</v>
      </c>
      <c r="D40" s="71">
        <v>0.9999999999998489</v>
      </c>
      <c r="E40" s="71">
        <v>0.99076923075862355</v>
      </c>
      <c r="F40" s="71">
        <v>0.97720903374563184</v>
      </c>
      <c r="G40" s="71">
        <v>0.97720903366921252</v>
      </c>
      <c r="H40" s="83">
        <v>0.93849026049725237</v>
      </c>
      <c r="I40" s="70">
        <v>0.90949468087323848</v>
      </c>
      <c r="J40" s="71">
        <v>0.92002341598222925</v>
      </c>
      <c r="K40" s="211">
        <v>6.5215731423469485</v>
      </c>
      <c r="L40" s="84"/>
      <c r="M40" s="56"/>
      <c r="N40" s="57"/>
      <c r="O40" s="53"/>
      <c r="P40" s="53"/>
      <c r="Q40" s="53"/>
      <c r="R40" s="53"/>
      <c r="S40" s="53"/>
      <c r="T40" s="53"/>
      <c r="U40" s="53"/>
      <c r="V40" s="53"/>
      <c r="W40" s="118"/>
      <c r="X40" s="118"/>
      <c r="Y40" s="118"/>
      <c r="Z40" s="118"/>
    </row>
    <row r="41" spans="1:26" ht="12.75" x14ac:dyDescent="0.25">
      <c r="A41" s="58"/>
      <c r="B41" s="59" t="s">
        <v>0</v>
      </c>
      <c r="C41" s="87">
        <v>1</v>
      </c>
      <c r="D41" s="175">
        <v>1</v>
      </c>
      <c r="E41" s="175">
        <v>0.99999999999999944</v>
      </c>
      <c r="F41" s="175">
        <v>0.99999999999995359</v>
      </c>
      <c r="G41" s="175">
        <v>0.99999999999985412</v>
      </c>
      <c r="H41" s="86">
        <v>0.93824778077939452</v>
      </c>
      <c r="I41" s="87">
        <v>0.91616096861415453</v>
      </c>
      <c r="J41" s="175">
        <v>0.92346691199447606</v>
      </c>
      <c r="K41" s="212">
        <v>6.4972549877736059</v>
      </c>
      <c r="L41" s="215"/>
      <c r="M41" s="62"/>
      <c r="N41" s="63"/>
      <c r="O41" s="53"/>
      <c r="P41" s="53"/>
      <c r="Q41" s="53"/>
      <c r="R41" s="53"/>
      <c r="S41" s="53"/>
      <c r="T41" s="53"/>
      <c r="U41" s="53"/>
      <c r="V41" s="53"/>
      <c r="W41" s="118"/>
      <c r="X41" s="118"/>
      <c r="Y41" s="118"/>
      <c r="Z41" s="118"/>
    </row>
    <row r="42" spans="1:26" ht="12.75" x14ac:dyDescent="0.25">
      <c r="A42" s="74" t="s">
        <v>43</v>
      </c>
      <c r="B42" s="48" t="s">
        <v>2</v>
      </c>
      <c r="C42" s="70">
        <v>1</v>
      </c>
      <c r="D42" s="71">
        <v>0.99999999999999989</v>
      </c>
      <c r="E42" s="71">
        <v>0.999999999999997</v>
      </c>
      <c r="F42" s="71">
        <v>0.99544955280086311</v>
      </c>
      <c r="G42" s="71">
        <v>0.9954495528008378</v>
      </c>
      <c r="H42" s="83">
        <v>0.9165121496664218</v>
      </c>
      <c r="I42" s="70">
        <v>0.89104012872655791</v>
      </c>
      <c r="J42" s="71">
        <v>0.90277741013067536</v>
      </c>
      <c r="K42" s="211">
        <v>6.6461565527337596</v>
      </c>
      <c r="L42" s="84">
        <f t="shared" ref="L42:N42" si="9">H44/H43</f>
        <v>1.0249060780894703</v>
      </c>
      <c r="M42" s="56">
        <f t="shared" si="9"/>
        <v>1.0249453644456343</v>
      </c>
      <c r="N42" s="64">
        <f t="shared" si="9"/>
        <v>1.021660753434422</v>
      </c>
      <c r="O42" s="53"/>
      <c r="P42" s="53"/>
      <c r="Q42" s="53"/>
      <c r="R42" s="53"/>
      <c r="S42" s="53"/>
      <c r="T42" s="53"/>
      <c r="U42" s="53"/>
      <c r="V42" s="53"/>
      <c r="W42" s="118"/>
      <c r="X42" s="118"/>
      <c r="Y42" s="118"/>
      <c r="Z42" s="118"/>
    </row>
    <row r="43" spans="1:26" ht="12.75" x14ac:dyDescent="0.25">
      <c r="A43" s="3"/>
      <c r="B43" s="48" t="s">
        <v>1</v>
      </c>
      <c r="C43" s="70">
        <v>1</v>
      </c>
      <c r="D43" s="71">
        <v>0.99999999999990385</v>
      </c>
      <c r="E43" s="71">
        <v>0.99617590821436974</v>
      </c>
      <c r="F43" s="71">
        <v>0.98930141947466788</v>
      </c>
      <c r="G43" s="71">
        <v>0.98930141939432115</v>
      </c>
      <c r="H43" s="83">
        <v>0.90432525758276172</v>
      </c>
      <c r="I43" s="70">
        <v>0.87794628597039992</v>
      </c>
      <c r="J43" s="71">
        <v>0.88874189243388313</v>
      </c>
      <c r="K43" s="211">
        <v>6.7511164389568403</v>
      </c>
      <c r="L43" s="84"/>
      <c r="M43" s="56"/>
      <c r="N43" s="57"/>
      <c r="O43" s="53"/>
      <c r="P43" s="53"/>
      <c r="Q43" s="53"/>
      <c r="R43" s="53"/>
      <c r="S43" s="53"/>
      <c r="T43" s="53"/>
      <c r="U43" s="53"/>
      <c r="V43" s="53"/>
      <c r="W43" s="118"/>
      <c r="X43" s="118"/>
      <c r="Y43" s="118"/>
      <c r="Z43" s="118"/>
    </row>
    <row r="44" spans="1:26" ht="12.75" x14ac:dyDescent="0.25">
      <c r="A44" s="58"/>
      <c r="B44" s="59" t="s">
        <v>0</v>
      </c>
      <c r="C44" s="87">
        <v>1</v>
      </c>
      <c r="D44" s="175">
        <v>0.99999999999999933</v>
      </c>
      <c r="E44" s="175">
        <v>0.99999999999990785</v>
      </c>
      <c r="F44" s="175">
        <v>0.99999999999958311</v>
      </c>
      <c r="G44" s="175">
        <v>0.99999999999910938</v>
      </c>
      <c r="H44" s="86">
        <v>0.92684845306639829</v>
      </c>
      <c r="I44" s="87">
        <v>0.89984697603762265</v>
      </c>
      <c r="J44" s="175">
        <v>0.90799271143273508</v>
      </c>
      <c r="K44" s="212">
        <v>6.6079825580675768</v>
      </c>
      <c r="L44" s="215"/>
      <c r="M44" s="62"/>
      <c r="N44" s="63"/>
      <c r="O44" s="53"/>
      <c r="P44" s="53"/>
      <c r="Q44" s="53"/>
      <c r="R44" s="53"/>
      <c r="S44" s="53"/>
      <c r="T44" s="53"/>
      <c r="U44" s="53"/>
      <c r="V44" s="53"/>
      <c r="W44" s="118"/>
      <c r="X44" s="118"/>
      <c r="Y44" s="118"/>
      <c r="Z44" s="118"/>
    </row>
    <row r="45" spans="1:26" ht="12.75" x14ac:dyDescent="0.25">
      <c r="A45" s="88" t="s">
        <v>3</v>
      </c>
      <c r="B45" s="358" t="s">
        <v>2</v>
      </c>
      <c r="C45" s="98">
        <v>1</v>
      </c>
      <c r="D45" s="99">
        <v>0.99075072659795016</v>
      </c>
      <c r="E45" s="99">
        <v>0.96297472498397163</v>
      </c>
      <c r="F45" s="99">
        <v>0.92997140225211095</v>
      </c>
      <c r="G45" s="99">
        <v>0.92997140217606167</v>
      </c>
      <c r="H45" s="100">
        <v>0.85319967724125167</v>
      </c>
      <c r="I45" s="98">
        <v>0.81851266676304679</v>
      </c>
      <c r="J45" s="99">
        <v>0.85936031018094916</v>
      </c>
      <c r="K45" s="101">
        <v>6.9819375283187384</v>
      </c>
      <c r="L45" s="359">
        <f t="shared" ref="L45:N45" si="10">H47/H46</f>
        <v>1.0251144671320311</v>
      </c>
      <c r="M45" s="360">
        <f t="shared" si="10"/>
        <v>1.0377640356346087</v>
      </c>
      <c r="N45" s="361">
        <f t="shared" si="10"/>
        <v>1.0273727772819934</v>
      </c>
      <c r="O45" s="53"/>
      <c r="P45" s="53"/>
      <c r="Q45" s="53"/>
      <c r="R45" s="53"/>
      <c r="S45" s="53"/>
      <c r="T45" s="53"/>
      <c r="U45" s="53"/>
      <c r="V45" s="53"/>
      <c r="W45" s="118"/>
      <c r="X45" s="118"/>
      <c r="Y45" s="118"/>
      <c r="Z45" s="118"/>
    </row>
    <row r="46" spans="1:26" ht="12.75" x14ac:dyDescent="0.25">
      <c r="A46" s="96"/>
      <c r="B46" s="358" t="s">
        <v>1</v>
      </c>
      <c r="C46" s="98">
        <v>1</v>
      </c>
      <c r="D46" s="99">
        <v>0.98680996580166169</v>
      </c>
      <c r="E46" s="99">
        <v>0.95073122886782979</v>
      </c>
      <c r="F46" s="99">
        <v>0.9185173295029665</v>
      </c>
      <c r="G46" s="99">
        <v>0.91851732882225379</v>
      </c>
      <c r="H46" s="100">
        <v>0.84281605011691019</v>
      </c>
      <c r="I46" s="98">
        <v>0.80317085069148786</v>
      </c>
      <c r="J46" s="99">
        <v>0.84741965011076603</v>
      </c>
      <c r="K46" s="101">
        <v>7.0803172893332613</v>
      </c>
      <c r="L46" s="359"/>
      <c r="M46" s="360"/>
      <c r="N46" s="362"/>
      <c r="O46" s="53"/>
      <c r="P46" s="53"/>
      <c r="Q46" s="53"/>
      <c r="R46" s="53"/>
      <c r="S46" s="53"/>
      <c r="T46" s="53"/>
      <c r="U46" s="53"/>
      <c r="V46" s="53"/>
      <c r="W46" s="118"/>
      <c r="X46" s="118"/>
      <c r="Y46" s="118"/>
      <c r="Z46" s="118"/>
    </row>
    <row r="47" spans="1:26" ht="13.5" thickBot="1" x14ac:dyDescent="0.3">
      <c r="A47" s="103"/>
      <c r="B47" s="363" t="s">
        <v>0</v>
      </c>
      <c r="C47" s="105">
        <v>1</v>
      </c>
      <c r="D47" s="106">
        <v>0.99477329393295721</v>
      </c>
      <c r="E47" s="106">
        <v>0.97567403654662488</v>
      </c>
      <c r="F47" s="106">
        <v>0.94184817608987992</v>
      </c>
      <c r="G47" s="106">
        <v>0.9418481760879599</v>
      </c>
      <c r="H47" s="107">
        <v>0.86398292610591965</v>
      </c>
      <c r="I47" s="105">
        <v>0.83350182331768019</v>
      </c>
      <c r="J47" s="106">
        <v>0.87061587945763275</v>
      </c>
      <c r="K47" s="108">
        <v>6.8916730576265364</v>
      </c>
      <c r="L47" s="364"/>
      <c r="M47" s="365"/>
      <c r="N47" s="366"/>
      <c r="O47" s="53"/>
      <c r="P47" s="53"/>
      <c r="Q47" s="53"/>
      <c r="R47" s="53"/>
      <c r="S47" s="53"/>
      <c r="T47" s="53"/>
      <c r="U47" s="53"/>
      <c r="V47" s="53"/>
      <c r="W47" s="118"/>
      <c r="X47" s="118"/>
      <c r="Y47" s="118"/>
      <c r="Z47" s="118"/>
    </row>
    <row r="48" spans="1:26" x14ac:dyDescent="0.2">
      <c r="A48" s="110"/>
    </row>
  </sheetData>
  <sheetProtection algorithmName="SHA-512" hashValue="s7LBr5n+eDl708A19dm2iJ4SHhKKxEfipPZ8OreptF4K0yoGPVNJw91l5//A88UnccVRu158JW6iPIdlIpL0+Q==" saltValue="MvBwV+z6zOQxkWKvHwQbpg==" spinCount="100000" sheet="1" objects="1" scenarios="1"/>
  <mergeCells count="9">
    <mergeCell ref="B10:B11"/>
    <mergeCell ref="C10:G10"/>
    <mergeCell ref="O10:S10"/>
    <mergeCell ref="A6:N6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FF"/>
    <pageSetUpPr fitToPage="1"/>
  </sheetPr>
  <dimension ref="A1:HM48"/>
  <sheetViews>
    <sheetView showGridLines="0" zoomScaleNormal="100" workbookViewId="0">
      <pane xSplit="2" ySplit="8" topLeftCell="C9" activePane="bottomRight" state="frozen"/>
      <selection activeCell="S37" sqref="S37"/>
      <selection pane="topRight" activeCell="S37" sqref="S37"/>
      <selection pane="bottomLeft" activeCell="S37" sqref="S37"/>
      <selection pane="bottomRight" activeCell="B10" sqref="B10:B11"/>
    </sheetView>
  </sheetViews>
  <sheetFormatPr defaultRowHeight="11.25" x14ac:dyDescent="0.2"/>
  <cols>
    <col min="1" max="1" width="48.28515625" style="110" customWidth="1"/>
    <col min="2" max="2" width="8.7109375" style="111" customWidth="1"/>
    <col min="3" max="3" width="8.42578125" style="27" customWidth="1"/>
    <col min="4" max="4" width="7" style="27" bestFit="1" customWidth="1"/>
    <col min="5" max="5" width="7.42578125" style="27" bestFit="1" customWidth="1"/>
    <col min="6" max="6" width="7.7109375" style="27" bestFit="1" customWidth="1"/>
    <col min="7" max="7" width="7.28515625" style="27" bestFit="1" customWidth="1"/>
    <col min="8" max="8" width="8.28515625" style="27" bestFit="1" customWidth="1"/>
    <col min="9" max="9" width="11.42578125" style="27" bestFit="1" customWidth="1"/>
    <col min="10" max="10" width="9" style="171" bestFit="1" customWidth="1"/>
    <col min="11" max="227" width="8.85546875" style="111"/>
    <col min="228" max="228" width="19.28515625" style="111" customWidth="1"/>
    <col min="229" max="229" width="10.7109375" style="111" customWidth="1"/>
    <col min="230" max="234" width="8.7109375" style="111" customWidth="1"/>
    <col min="235" max="235" width="9.7109375" style="111" customWidth="1"/>
    <col min="236" max="236" width="12.28515625" style="111" customWidth="1"/>
    <col min="237" max="237" width="8.7109375" style="111" customWidth="1"/>
    <col min="238" max="238" width="15.7109375" style="111" customWidth="1"/>
    <col min="239" max="247" width="8.85546875" style="111"/>
    <col min="248" max="248" width="14.5703125" style="111" customWidth="1"/>
    <col min="249" max="483" width="8.85546875" style="111"/>
    <col min="484" max="484" width="19.28515625" style="111" customWidth="1"/>
    <col min="485" max="485" width="10.7109375" style="111" customWidth="1"/>
    <col min="486" max="490" width="8.7109375" style="111" customWidth="1"/>
    <col min="491" max="491" width="9.7109375" style="111" customWidth="1"/>
    <col min="492" max="492" width="12.28515625" style="111" customWidth="1"/>
    <col min="493" max="493" width="8.7109375" style="111" customWidth="1"/>
    <col min="494" max="494" width="15.7109375" style="111" customWidth="1"/>
    <col min="495" max="503" width="8.85546875" style="111"/>
    <col min="504" max="504" width="14.5703125" style="111" customWidth="1"/>
    <col min="505" max="739" width="8.85546875" style="111"/>
    <col min="740" max="740" width="19.28515625" style="111" customWidth="1"/>
    <col min="741" max="741" width="10.7109375" style="111" customWidth="1"/>
    <col min="742" max="746" width="8.7109375" style="111" customWidth="1"/>
    <col min="747" max="747" width="9.7109375" style="111" customWidth="1"/>
    <col min="748" max="748" width="12.28515625" style="111" customWidth="1"/>
    <col min="749" max="749" width="8.7109375" style="111" customWidth="1"/>
    <col min="750" max="750" width="15.7109375" style="111" customWidth="1"/>
    <col min="751" max="759" width="8.85546875" style="111"/>
    <col min="760" max="760" width="14.5703125" style="111" customWidth="1"/>
    <col min="761" max="995" width="8.85546875" style="111"/>
    <col min="996" max="996" width="19.28515625" style="111" customWidth="1"/>
    <col min="997" max="997" width="10.7109375" style="111" customWidth="1"/>
    <col min="998" max="1002" width="8.7109375" style="111" customWidth="1"/>
    <col min="1003" max="1003" width="9.7109375" style="111" customWidth="1"/>
    <col min="1004" max="1004" width="12.28515625" style="111" customWidth="1"/>
    <col min="1005" max="1005" width="8.7109375" style="111" customWidth="1"/>
    <col min="1006" max="1006" width="15.7109375" style="111" customWidth="1"/>
    <col min="1007" max="1015" width="8.85546875" style="111"/>
    <col min="1016" max="1016" width="14.5703125" style="111" customWidth="1"/>
    <col min="1017" max="1251" width="8.85546875" style="111"/>
    <col min="1252" max="1252" width="19.28515625" style="111" customWidth="1"/>
    <col min="1253" max="1253" width="10.7109375" style="111" customWidth="1"/>
    <col min="1254" max="1258" width="8.7109375" style="111" customWidth="1"/>
    <col min="1259" max="1259" width="9.7109375" style="111" customWidth="1"/>
    <col min="1260" max="1260" width="12.28515625" style="111" customWidth="1"/>
    <col min="1261" max="1261" width="8.7109375" style="111" customWidth="1"/>
    <col min="1262" max="1262" width="15.7109375" style="111" customWidth="1"/>
    <col min="1263" max="1271" width="8.85546875" style="111"/>
    <col min="1272" max="1272" width="14.5703125" style="111" customWidth="1"/>
    <col min="1273" max="1507" width="8.85546875" style="111"/>
    <col min="1508" max="1508" width="19.28515625" style="111" customWidth="1"/>
    <col min="1509" max="1509" width="10.7109375" style="111" customWidth="1"/>
    <col min="1510" max="1514" width="8.7109375" style="111" customWidth="1"/>
    <col min="1515" max="1515" width="9.7109375" style="111" customWidth="1"/>
    <col min="1516" max="1516" width="12.28515625" style="111" customWidth="1"/>
    <col min="1517" max="1517" width="8.7109375" style="111" customWidth="1"/>
    <col min="1518" max="1518" width="15.7109375" style="111" customWidth="1"/>
    <col min="1519" max="1527" width="8.85546875" style="111"/>
    <col min="1528" max="1528" width="14.5703125" style="111" customWidth="1"/>
    <col min="1529" max="1763" width="8.85546875" style="111"/>
    <col min="1764" max="1764" width="19.28515625" style="111" customWidth="1"/>
    <col min="1765" max="1765" width="10.7109375" style="111" customWidth="1"/>
    <col min="1766" max="1770" width="8.7109375" style="111" customWidth="1"/>
    <col min="1771" max="1771" width="9.7109375" style="111" customWidth="1"/>
    <col min="1772" max="1772" width="12.28515625" style="111" customWidth="1"/>
    <col min="1773" max="1773" width="8.7109375" style="111" customWidth="1"/>
    <col min="1774" max="1774" width="15.7109375" style="111" customWidth="1"/>
    <col min="1775" max="1783" width="8.85546875" style="111"/>
    <col min="1784" max="1784" width="14.5703125" style="111" customWidth="1"/>
    <col min="1785" max="2019" width="8.85546875" style="111"/>
    <col min="2020" max="2020" width="19.28515625" style="111" customWidth="1"/>
    <col min="2021" max="2021" width="10.7109375" style="111" customWidth="1"/>
    <col min="2022" max="2026" width="8.7109375" style="111" customWidth="1"/>
    <col min="2027" max="2027" width="9.7109375" style="111" customWidth="1"/>
    <col min="2028" max="2028" width="12.28515625" style="111" customWidth="1"/>
    <col min="2029" max="2029" width="8.7109375" style="111" customWidth="1"/>
    <col min="2030" max="2030" width="15.7109375" style="111" customWidth="1"/>
    <col min="2031" max="2039" width="8.85546875" style="111"/>
    <col min="2040" max="2040" width="14.5703125" style="111" customWidth="1"/>
    <col min="2041" max="2275" width="8.85546875" style="111"/>
    <col min="2276" max="2276" width="19.28515625" style="111" customWidth="1"/>
    <col min="2277" max="2277" width="10.7109375" style="111" customWidth="1"/>
    <col min="2278" max="2282" width="8.7109375" style="111" customWidth="1"/>
    <col min="2283" max="2283" width="9.7109375" style="111" customWidth="1"/>
    <col min="2284" max="2284" width="12.28515625" style="111" customWidth="1"/>
    <col min="2285" max="2285" width="8.7109375" style="111" customWidth="1"/>
    <col min="2286" max="2286" width="15.7109375" style="111" customWidth="1"/>
    <col min="2287" max="2295" width="8.85546875" style="111"/>
    <col min="2296" max="2296" width="14.5703125" style="111" customWidth="1"/>
    <col min="2297" max="2531" width="8.85546875" style="111"/>
    <col min="2532" max="2532" width="19.28515625" style="111" customWidth="1"/>
    <col min="2533" max="2533" width="10.7109375" style="111" customWidth="1"/>
    <col min="2534" max="2538" width="8.7109375" style="111" customWidth="1"/>
    <col min="2539" max="2539" width="9.7109375" style="111" customWidth="1"/>
    <col min="2540" max="2540" width="12.28515625" style="111" customWidth="1"/>
    <col min="2541" max="2541" width="8.7109375" style="111" customWidth="1"/>
    <col min="2542" max="2542" width="15.7109375" style="111" customWidth="1"/>
    <col min="2543" max="2551" width="8.85546875" style="111"/>
    <col min="2552" max="2552" width="14.5703125" style="111" customWidth="1"/>
    <col min="2553" max="2787" width="8.85546875" style="111"/>
    <col min="2788" max="2788" width="19.28515625" style="111" customWidth="1"/>
    <col min="2789" max="2789" width="10.7109375" style="111" customWidth="1"/>
    <col min="2790" max="2794" width="8.7109375" style="111" customWidth="1"/>
    <col min="2795" max="2795" width="9.7109375" style="111" customWidth="1"/>
    <col min="2796" max="2796" width="12.28515625" style="111" customWidth="1"/>
    <col min="2797" max="2797" width="8.7109375" style="111" customWidth="1"/>
    <col min="2798" max="2798" width="15.7109375" style="111" customWidth="1"/>
    <col min="2799" max="2807" width="8.85546875" style="111"/>
    <col min="2808" max="2808" width="14.5703125" style="111" customWidth="1"/>
    <col min="2809" max="3043" width="8.85546875" style="111"/>
    <col min="3044" max="3044" width="19.28515625" style="111" customWidth="1"/>
    <col min="3045" max="3045" width="10.7109375" style="111" customWidth="1"/>
    <col min="3046" max="3050" width="8.7109375" style="111" customWidth="1"/>
    <col min="3051" max="3051" width="9.7109375" style="111" customWidth="1"/>
    <col min="3052" max="3052" width="12.28515625" style="111" customWidth="1"/>
    <col min="3053" max="3053" width="8.7109375" style="111" customWidth="1"/>
    <col min="3054" max="3054" width="15.7109375" style="111" customWidth="1"/>
    <col min="3055" max="3063" width="8.85546875" style="111"/>
    <col min="3064" max="3064" width="14.5703125" style="111" customWidth="1"/>
    <col min="3065" max="3299" width="8.85546875" style="111"/>
    <col min="3300" max="3300" width="19.28515625" style="111" customWidth="1"/>
    <col min="3301" max="3301" width="10.7109375" style="111" customWidth="1"/>
    <col min="3302" max="3306" width="8.7109375" style="111" customWidth="1"/>
    <col min="3307" max="3307" width="9.7109375" style="111" customWidth="1"/>
    <col min="3308" max="3308" width="12.28515625" style="111" customWidth="1"/>
    <col min="3309" max="3309" width="8.7109375" style="111" customWidth="1"/>
    <col min="3310" max="3310" width="15.7109375" style="111" customWidth="1"/>
    <col min="3311" max="3319" width="8.85546875" style="111"/>
    <col min="3320" max="3320" width="14.5703125" style="111" customWidth="1"/>
    <col min="3321" max="3555" width="8.85546875" style="111"/>
    <col min="3556" max="3556" width="19.28515625" style="111" customWidth="1"/>
    <col min="3557" max="3557" width="10.7109375" style="111" customWidth="1"/>
    <col min="3558" max="3562" width="8.7109375" style="111" customWidth="1"/>
    <col min="3563" max="3563" width="9.7109375" style="111" customWidth="1"/>
    <col min="3564" max="3564" width="12.28515625" style="111" customWidth="1"/>
    <col min="3565" max="3565" width="8.7109375" style="111" customWidth="1"/>
    <col min="3566" max="3566" width="15.7109375" style="111" customWidth="1"/>
    <col min="3567" max="3575" width="8.85546875" style="111"/>
    <col min="3576" max="3576" width="14.5703125" style="111" customWidth="1"/>
    <col min="3577" max="3811" width="8.85546875" style="111"/>
    <col min="3812" max="3812" width="19.28515625" style="111" customWidth="1"/>
    <col min="3813" max="3813" width="10.7109375" style="111" customWidth="1"/>
    <col min="3814" max="3818" width="8.7109375" style="111" customWidth="1"/>
    <col min="3819" max="3819" width="9.7109375" style="111" customWidth="1"/>
    <col min="3820" max="3820" width="12.28515625" style="111" customWidth="1"/>
    <col min="3821" max="3821" width="8.7109375" style="111" customWidth="1"/>
    <col min="3822" max="3822" width="15.7109375" style="111" customWidth="1"/>
    <col min="3823" max="3831" width="8.85546875" style="111"/>
    <col min="3832" max="3832" width="14.5703125" style="111" customWidth="1"/>
    <col min="3833" max="4067" width="8.85546875" style="111"/>
    <col min="4068" max="4068" width="19.28515625" style="111" customWidth="1"/>
    <col min="4069" max="4069" width="10.7109375" style="111" customWidth="1"/>
    <col min="4070" max="4074" width="8.7109375" style="111" customWidth="1"/>
    <col min="4075" max="4075" width="9.7109375" style="111" customWidth="1"/>
    <col min="4076" max="4076" width="12.28515625" style="111" customWidth="1"/>
    <col min="4077" max="4077" width="8.7109375" style="111" customWidth="1"/>
    <col min="4078" max="4078" width="15.7109375" style="111" customWidth="1"/>
    <col min="4079" max="4087" width="8.85546875" style="111"/>
    <col min="4088" max="4088" width="14.5703125" style="111" customWidth="1"/>
    <col min="4089" max="4323" width="8.85546875" style="111"/>
    <col min="4324" max="4324" width="19.28515625" style="111" customWidth="1"/>
    <col min="4325" max="4325" width="10.7109375" style="111" customWidth="1"/>
    <col min="4326" max="4330" width="8.7109375" style="111" customWidth="1"/>
    <col min="4331" max="4331" width="9.7109375" style="111" customWidth="1"/>
    <col min="4332" max="4332" width="12.28515625" style="111" customWidth="1"/>
    <col min="4333" max="4333" width="8.7109375" style="111" customWidth="1"/>
    <col min="4334" max="4334" width="15.7109375" style="111" customWidth="1"/>
    <col min="4335" max="4343" width="8.85546875" style="111"/>
    <col min="4344" max="4344" width="14.5703125" style="111" customWidth="1"/>
    <col min="4345" max="4579" width="8.85546875" style="111"/>
    <col min="4580" max="4580" width="19.28515625" style="111" customWidth="1"/>
    <col min="4581" max="4581" width="10.7109375" style="111" customWidth="1"/>
    <col min="4582" max="4586" width="8.7109375" style="111" customWidth="1"/>
    <col min="4587" max="4587" width="9.7109375" style="111" customWidth="1"/>
    <col min="4588" max="4588" width="12.28515625" style="111" customWidth="1"/>
    <col min="4589" max="4589" width="8.7109375" style="111" customWidth="1"/>
    <col min="4590" max="4590" width="15.7109375" style="111" customWidth="1"/>
    <col min="4591" max="4599" width="8.85546875" style="111"/>
    <col min="4600" max="4600" width="14.5703125" style="111" customWidth="1"/>
    <col min="4601" max="4835" width="8.85546875" style="111"/>
    <col min="4836" max="4836" width="19.28515625" style="111" customWidth="1"/>
    <col min="4837" max="4837" width="10.7109375" style="111" customWidth="1"/>
    <col min="4838" max="4842" width="8.7109375" style="111" customWidth="1"/>
    <col min="4843" max="4843" width="9.7109375" style="111" customWidth="1"/>
    <col min="4844" max="4844" width="12.28515625" style="111" customWidth="1"/>
    <col min="4845" max="4845" width="8.7109375" style="111" customWidth="1"/>
    <col min="4846" max="4846" width="15.7109375" style="111" customWidth="1"/>
    <col min="4847" max="4855" width="8.85546875" style="111"/>
    <col min="4856" max="4856" width="14.5703125" style="111" customWidth="1"/>
    <col min="4857" max="5091" width="8.85546875" style="111"/>
    <col min="5092" max="5092" width="19.28515625" style="111" customWidth="1"/>
    <col min="5093" max="5093" width="10.7109375" style="111" customWidth="1"/>
    <col min="5094" max="5098" width="8.7109375" style="111" customWidth="1"/>
    <col min="5099" max="5099" width="9.7109375" style="111" customWidth="1"/>
    <col min="5100" max="5100" width="12.28515625" style="111" customWidth="1"/>
    <col min="5101" max="5101" width="8.7109375" style="111" customWidth="1"/>
    <col min="5102" max="5102" width="15.7109375" style="111" customWidth="1"/>
    <col min="5103" max="5111" width="8.85546875" style="111"/>
    <col min="5112" max="5112" width="14.5703125" style="111" customWidth="1"/>
    <col min="5113" max="5347" width="8.85546875" style="111"/>
    <col min="5348" max="5348" width="19.28515625" style="111" customWidth="1"/>
    <col min="5349" max="5349" width="10.7109375" style="111" customWidth="1"/>
    <col min="5350" max="5354" width="8.7109375" style="111" customWidth="1"/>
    <col min="5355" max="5355" width="9.7109375" style="111" customWidth="1"/>
    <col min="5356" max="5356" width="12.28515625" style="111" customWidth="1"/>
    <col min="5357" max="5357" width="8.7109375" style="111" customWidth="1"/>
    <col min="5358" max="5358" width="15.7109375" style="111" customWidth="1"/>
    <col min="5359" max="5367" width="8.85546875" style="111"/>
    <col min="5368" max="5368" width="14.5703125" style="111" customWidth="1"/>
    <col min="5369" max="5603" width="8.85546875" style="111"/>
    <col min="5604" max="5604" width="19.28515625" style="111" customWidth="1"/>
    <col min="5605" max="5605" width="10.7109375" style="111" customWidth="1"/>
    <col min="5606" max="5610" width="8.7109375" style="111" customWidth="1"/>
    <col min="5611" max="5611" width="9.7109375" style="111" customWidth="1"/>
    <col min="5612" max="5612" width="12.28515625" style="111" customWidth="1"/>
    <col min="5613" max="5613" width="8.7109375" style="111" customWidth="1"/>
    <col min="5614" max="5614" width="15.7109375" style="111" customWidth="1"/>
    <col min="5615" max="5623" width="8.85546875" style="111"/>
    <col min="5624" max="5624" width="14.5703125" style="111" customWidth="1"/>
    <col min="5625" max="5859" width="8.85546875" style="111"/>
    <col min="5860" max="5860" width="19.28515625" style="111" customWidth="1"/>
    <col min="5861" max="5861" width="10.7109375" style="111" customWidth="1"/>
    <col min="5862" max="5866" width="8.7109375" style="111" customWidth="1"/>
    <col min="5867" max="5867" width="9.7109375" style="111" customWidth="1"/>
    <col min="5868" max="5868" width="12.28515625" style="111" customWidth="1"/>
    <col min="5869" max="5869" width="8.7109375" style="111" customWidth="1"/>
    <col min="5870" max="5870" width="15.7109375" style="111" customWidth="1"/>
    <col min="5871" max="5879" width="8.85546875" style="111"/>
    <col min="5880" max="5880" width="14.5703125" style="111" customWidth="1"/>
    <col min="5881" max="6115" width="8.85546875" style="111"/>
    <col min="6116" max="6116" width="19.28515625" style="111" customWidth="1"/>
    <col min="6117" max="6117" width="10.7109375" style="111" customWidth="1"/>
    <col min="6118" max="6122" width="8.7109375" style="111" customWidth="1"/>
    <col min="6123" max="6123" width="9.7109375" style="111" customWidth="1"/>
    <col min="6124" max="6124" width="12.28515625" style="111" customWidth="1"/>
    <col min="6125" max="6125" width="8.7109375" style="111" customWidth="1"/>
    <col min="6126" max="6126" width="15.7109375" style="111" customWidth="1"/>
    <col min="6127" max="6135" width="8.85546875" style="111"/>
    <col min="6136" max="6136" width="14.5703125" style="111" customWidth="1"/>
    <col min="6137" max="6371" width="8.85546875" style="111"/>
    <col min="6372" max="6372" width="19.28515625" style="111" customWidth="1"/>
    <col min="6373" max="6373" width="10.7109375" style="111" customWidth="1"/>
    <col min="6374" max="6378" width="8.7109375" style="111" customWidth="1"/>
    <col min="6379" max="6379" width="9.7109375" style="111" customWidth="1"/>
    <col min="6380" max="6380" width="12.28515625" style="111" customWidth="1"/>
    <col min="6381" max="6381" width="8.7109375" style="111" customWidth="1"/>
    <col min="6382" max="6382" width="15.7109375" style="111" customWidth="1"/>
    <col min="6383" max="6391" width="8.85546875" style="111"/>
    <col min="6392" max="6392" width="14.5703125" style="111" customWidth="1"/>
    <col min="6393" max="6627" width="8.85546875" style="111"/>
    <col min="6628" max="6628" width="19.28515625" style="111" customWidth="1"/>
    <col min="6629" max="6629" width="10.7109375" style="111" customWidth="1"/>
    <col min="6630" max="6634" width="8.7109375" style="111" customWidth="1"/>
    <col min="6635" max="6635" width="9.7109375" style="111" customWidth="1"/>
    <col min="6636" max="6636" width="12.28515625" style="111" customWidth="1"/>
    <col min="6637" max="6637" width="8.7109375" style="111" customWidth="1"/>
    <col min="6638" max="6638" width="15.7109375" style="111" customWidth="1"/>
    <col min="6639" max="6647" width="8.85546875" style="111"/>
    <col min="6648" max="6648" width="14.5703125" style="111" customWidth="1"/>
    <col min="6649" max="6883" width="8.85546875" style="111"/>
    <col min="6884" max="6884" width="19.28515625" style="111" customWidth="1"/>
    <col min="6885" max="6885" width="10.7109375" style="111" customWidth="1"/>
    <col min="6886" max="6890" width="8.7109375" style="111" customWidth="1"/>
    <col min="6891" max="6891" width="9.7109375" style="111" customWidth="1"/>
    <col min="6892" max="6892" width="12.28515625" style="111" customWidth="1"/>
    <col min="6893" max="6893" width="8.7109375" style="111" customWidth="1"/>
    <col min="6894" max="6894" width="15.7109375" style="111" customWidth="1"/>
    <col min="6895" max="6903" width="8.85546875" style="111"/>
    <col min="6904" max="6904" width="14.5703125" style="111" customWidth="1"/>
    <col min="6905" max="7139" width="8.85546875" style="111"/>
    <col min="7140" max="7140" width="19.28515625" style="111" customWidth="1"/>
    <col min="7141" max="7141" width="10.7109375" style="111" customWidth="1"/>
    <col min="7142" max="7146" width="8.7109375" style="111" customWidth="1"/>
    <col min="7147" max="7147" width="9.7109375" style="111" customWidth="1"/>
    <col min="7148" max="7148" width="12.28515625" style="111" customWidth="1"/>
    <col min="7149" max="7149" width="8.7109375" style="111" customWidth="1"/>
    <col min="7150" max="7150" width="15.7109375" style="111" customWidth="1"/>
    <col min="7151" max="7159" width="8.85546875" style="111"/>
    <col min="7160" max="7160" width="14.5703125" style="111" customWidth="1"/>
    <col min="7161" max="7395" width="8.85546875" style="111"/>
    <col min="7396" max="7396" width="19.28515625" style="111" customWidth="1"/>
    <col min="7397" max="7397" width="10.7109375" style="111" customWidth="1"/>
    <col min="7398" max="7402" width="8.7109375" style="111" customWidth="1"/>
    <col min="7403" max="7403" width="9.7109375" style="111" customWidth="1"/>
    <col min="7404" max="7404" width="12.28515625" style="111" customWidth="1"/>
    <col min="7405" max="7405" width="8.7109375" style="111" customWidth="1"/>
    <col min="7406" max="7406" width="15.7109375" style="111" customWidth="1"/>
    <col min="7407" max="7415" width="8.85546875" style="111"/>
    <col min="7416" max="7416" width="14.5703125" style="111" customWidth="1"/>
    <col min="7417" max="7651" width="8.85546875" style="111"/>
    <col min="7652" max="7652" width="19.28515625" style="111" customWidth="1"/>
    <col min="7653" max="7653" width="10.7109375" style="111" customWidth="1"/>
    <col min="7654" max="7658" width="8.7109375" style="111" customWidth="1"/>
    <col min="7659" max="7659" width="9.7109375" style="111" customWidth="1"/>
    <col min="7660" max="7660" width="12.28515625" style="111" customWidth="1"/>
    <col min="7661" max="7661" width="8.7109375" style="111" customWidth="1"/>
    <col min="7662" max="7662" width="15.7109375" style="111" customWidth="1"/>
    <col min="7663" max="7671" width="8.85546875" style="111"/>
    <col min="7672" max="7672" width="14.5703125" style="111" customWidth="1"/>
    <col min="7673" max="7907" width="8.85546875" style="111"/>
    <col min="7908" max="7908" width="19.28515625" style="111" customWidth="1"/>
    <col min="7909" max="7909" width="10.7109375" style="111" customWidth="1"/>
    <col min="7910" max="7914" width="8.7109375" style="111" customWidth="1"/>
    <col min="7915" max="7915" width="9.7109375" style="111" customWidth="1"/>
    <col min="7916" max="7916" width="12.28515625" style="111" customWidth="1"/>
    <col min="7917" max="7917" width="8.7109375" style="111" customWidth="1"/>
    <col min="7918" max="7918" width="15.7109375" style="111" customWidth="1"/>
    <col min="7919" max="7927" width="8.85546875" style="111"/>
    <col min="7928" max="7928" width="14.5703125" style="111" customWidth="1"/>
    <col min="7929" max="8163" width="8.85546875" style="111"/>
    <col min="8164" max="8164" width="19.28515625" style="111" customWidth="1"/>
    <col min="8165" max="8165" width="10.7109375" style="111" customWidth="1"/>
    <col min="8166" max="8170" width="8.7109375" style="111" customWidth="1"/>
    <col min="8171" max="8171" width="9.7109375" style="111" customWidth="1"/>
    <col min="8172" max="8172" width="12.28515625" style="111" customWidth="1"/>
    <col min="8173" max="8173" width="8.7109375" style="111" customWidth="1"/>
    <col min="8174" max="8174" width="15.7109375" style="111" customWidth="1"/>
    <col min="8175" max="8183" width="8.85546875" style="111"/>
    <col min="8184" max="8184" width="14.5703125" style="111" customWidth="1"/>
    <col min="8185" max="8419" width="8.85546875" style="111"/>
    <col min="8420" max="8420" width="19.28515625" style="111" customWidth="1"/>
    <col min="8421" max="8421" width="10.7109375" style="111" customWidth="1"/>
    <col min="8422" max="8426" width="8.7109375" style="111" customWidth="1"/>
    <col min="8427" max="8427" width="9.7109375" style="111" customWidth="1"/>
    <col min="8428" max="8428" width="12.28515625" style="111" customWidth="1"/>
    <col min="8429" max="8429" width="8.7109375" style="111" customWidth="1"/>
    <col min="8430" max="8430" width="15.7109375" style="111" customWidth="1"/>
    <col min="8431" max="8439" width="8.85546875" style="111"/>
    <col min="8440" max="8440" width="14.5703125" style="111" customWidth="1"/>
    <col min="8441" max="8675" width="8.85546875" style="111"/>
    <col min="8676" max="8676" width="19.28515625" style="111" customWidth="1"/>
    <col min="8677" max="8677" width="10.7109375" style="111" customWidth="1"/>
    <col min="8678" max="8682" width="8.7109375" style="111" customWidth="1"/>
    <col min="8683" max="8683" width="9.7109375" style="111" customWidth="1"/>
    <col min="8684" max="8684" width="12.28515625" style="111" customWidth="1"/>
    <col min="8685" max="8685" width="8.7109375" style="111" customWidth="1"/>
    <col min="8686" max="8686" width="15.7109375" style="111" customWidth="1"/>
    <col min="8687" max="8695" width="8.85546875" style="111"/>
    <col min="8696" max="8696" width="14.5703125" style="111" customWidth="1"/>
    <col min="8697" max="8931" width="8.85546875" style="111"/>
    <col min="8932" max="8932" width="19.28515625" style="111" customWidth="1"/>
    <col min="8933" max="8933" width="10.7109375" style="111" customWidth="1"/>
    <col min="8934" max="8938" width="8.7109375" style="111" customWidth="1"/>
    <col min="8939" max="8939" width="9.7109375" style="111" customWidth="1"/>
    <col min="8940" max="8940" width="12.28515625" style="111" customWidth="1"/>
    <col min="8941" max="8941" width="8.7109375" style="111" customWidth="1"/>
    <col min="8942" max="8942" width="15.7109375" style="111" customWidth="1"/>
    <col min="8943" max="8951" width="8.85546875" style="111"/>
    <col min="8952" max="8952" width="14.5703125" style="111" customWidth="1"/>
    <col min="8953" max="9187" width="8.85546875" style="111"/>
    <col min="9188" max="9188" width="19.28515625" style="111" customWidth="1"/>
    <col min="9189" max="9189" width="10.7109375" style="111" customWidth="1"/>
    <col min="9190" max="9194" width="8.7109375" style="111" customWidth="1"/>
    <col min="9195" max="9195" width="9.7109375" style="111" customWidth="1"/>
    <col min="9196" max="9196" width="12.28515625" style="111" customWidth="1"/>
    <col min="9197" max="9197" width="8.7109375" style="111" customWidth="1"/>
    <col min="9198" max="9198" width="15.7109375" style="111" customWidth="1"/>
    <col min="9199" max="9207" width="8.85546875" style="111"/>
    <col min="9208" max="9208" width="14.5703125" style="111" customWidth="1"/>
    <col min="9209" max="9443" width="8.85546875" style="111"/>
    <col min="9444" max="9444" width="19.28515625" style="111" customWidth="1"/>
    <col min="9445" max="9445" width="10.7109375" style="111" customWidth="1"/>
    <col min="9446" max="9450" width="8.7109375" style="111" customWidth="1"/>
    <col min="9451" max="9451" width="9.7109375" style="111" customWidth="1"/>
    <col min="9452" max="9452" width="12.28515625" style="111" customWidth="1"/>
    <col min="9453" max="9453" width="8.7109375" style="111" customWidth="1"/>
    <col min="9454" max="9454" width="15.7109375" style="111" customWidth="1"/>
    <col min="9455" max="9463" width="8.85546875" style="111"/>
    <col min="9464" max="9464" width="14.5703125" style="111" customWidth="1"/>
    <col min="9465" max="9699" width="8.85546875" style="111"/>
    <col min="9700" max="9700" width="19.28515625" style="111" customWidth="1"/>
    <col min="9701" max="9701" width="10.7109375" style="111" customWidth="1"/>
    <col min="9702" max="9706" width="8.7109375" style="111" customWidth="1"/>
    <col min="9707" max="9707" width="9.7109375" style="111" customWidth="1"/>
    <col min="9708" max="9708" width="12.28515625" style="111" customWidth="1"/>
    <col min="9709" max="9709" width="8.7109375" style="111" customWidth="1"/>
    <col min="9710" max="9710" width="15.7109375" style="111" customWidth="1"/>
    <col min="9711" max="9719" width="8.85546875" style="111"/>
    <col min="9720" max="9720" width="14.5703125" style="111" customWidth="1"/>
    <col min="9721" max="9955" width="8.85546875" style="111"/>
    <col min="9956" max="9956" width="19.28515625" style="111" customWidth="1"/>
    <col min="9957" max="9957" width="10.7109375" style="111" customWidth="1"/>
    <col min="9958" max="9962" width="8.7109375" style="111" customWidth="1"/>
    <col min="9963" max="9963" width="9.7109375" style="111" customWidth="1"/>
    <col min="9964" max="9964" width="12.28515625" style="111" customWidth="1"/>
    <col min="9965" max="9965" width="8.7109375" style="111" customWidth="1"/>
    <col min="9966" max="9966" width="15.7109375" style="111" customWidth="1"/>
    <col min="9967" max="9975" width="8.85546875" style="111"/>
    <col min="9976" max="9976" width="14.5703125" style="111" customWidth="1"/>
    <col min="9977" max="10211" width="8.85546875" style="111"/>
    <col min="10212" max="10212" width="19.28515625" style="111" customWidth="1"/>
    <col min="10213" max="10213" width="10.7109375" style="111" customWidth="1"/>
    <col min="10214" max="10218" width="8.7109375" style="111" customWidth="1"/>
    <col min="10219" max="10219" width="9.7109375" style="111" customWidth="1"/>
    <col min="10220" max="10220" width="12.28515625" style="111" customWidth="1"/>
    <col min="10221" max="10221" width="8.7109375" style="111" customWidth="1"/>
    <col min="10222" max="10222" width="15.7109375" style="111" customWidth="1"/>
    <col min="10223" max="10231" width="8.85546875" style="111"/>
    <col min="10232" max="10232" width="14.5703125" style="111" customWidth="1"/>
    <col min="10233" max="10467" width="8.85546875" style="111"/>
    <col min="10468" max="10468" width="19.28515625" style="111" customWidth="1"/>
    <col min="10469" max="10469" width="10.7109375" style="111" customWidth="1"/>
    <col min="10470" max="10474" width="8.7109375" style="111" customWidth="1"/>
    <col min="10475" max="10475" width="9.7109375" style="111" customWidth="1"/>
    <col min="10476" max="10476" width="12.28515625" style="111" customWidth="1"/>
    <col min="10477" max="10477" width="8.7109375" style="111" customWidth="1"/>
    <col min="10478" max="10478" width="15.7109375" style="111" customWidth="1"/>
    <col min="10479" max="10487" width="8.85546875" style="111"/>
    <col min="10488" max="10488" width="14.5703125" style="111" customWidth="1"/>
    <col min="10489" max="10723" width="8.85546875" style="111"/>
    <col min="10724" max="10724" width="19.28515625" style="111" customWidth="1"/>
    <col min="10725" max="10725" width="10.7109375" style="111" customWidth="1"/>
    <col min="10726" max="10730" width="8.7109375" style="111" customWidth="1"/>
    <col min="10731" max="10731" width="9.7109375" style="111" customWidth="1"/>
    <col min="10732" max="10732" width="12.28515625" style="111" customWidth="1"/>
    <col min="10733" max="10733" width="8.7109375" style="111" customWidth="1"/>
    <col min="10734" max="10734" width="15.7109375" style="111" customWidth="1"/>
    <col min="10735" max="10743" width="8.85546875" style="111"/>
    <col min="10744" max="10744" width="14.5703125" style="111" customWidth="1"/>
    <col min="10745" max="10979" width="8.85546875" style="111"/>
    <col min="10980" max="10980" width="19.28515625" style="111" customWidth="1"/>
    <col min="10981" max="10981" width="10.7109375" style="111" customWidth="1"/>
    <col min="10982" max="10986" width="8.7109375" style="111" customWidth="1"/>
    <col min="10987" max="10987" width="9.7109375" style="111" customWidth="1"/>
    <col min="10988" max="10988" width="12.28515625" style="111" customWidth="1"/>
    <col min="10989" max="10989" width="8.7109375" style="111" customWidth="1"/>
    <col min="10990" max="10990" width="15.7109375" style="111" customWidth="1"/>
    <col min="10991" max="10999" width="8.85546875" style="111"/>
    <col min="11000" max="11000" width="14.5703125" style="111" customWidth="1"/>
    <col min="11001" max="11235" width="8.85546875" style="111"/>
    <col min="11236" max="11236" width="19.28515625" style="111" customWidth="1"/>
    <col min="11237" max="11237" width="10.7109375" style="111" customWidth="1"/>
    <col min="11238" max="11242" width="8.7109375" style="111" customWidth="1"/>
    <col min="11243" max="11243" width="9.7109375" style="111" customWidth="1"/>
    <col min="11244" max="11244" width="12.28515625" style="111" customWidth="1"/>
    <col min="11245" max="11245" width="8.7109375" style="111" customWidth="1"/>
    <col min="11246" max="11246" width="15.7109375" style="111" customWidth="1"/>
    <col min="11247" max="11255" width="8.85546875" style="111"/>
    <col min="11256" max="11256" width="14.5703125" style="111" customWidth="1"/>
    <col min="11257" max="11491" width="8.85546875" style="111"/>
    <col min="11492" max="11492" width="19.28515625" style="111" customWidth="1"/>
    <col min="11493" max="11493" width="10.7109375" style="111" customWidth="1"/>
    <col min="11494" max="11498" width="8.7109375" style="111" customWidth="1"/>
    <col min="11499" max="11499" width="9.7109375" style="111" customWidth="1"/>
    <col min="11500" max="11500" width="12.28515625" style="111" customWidth="1"/>
    <col min="11501" max="11501" width="8.7109375" style="111" customWidth="1"/>
    <col min="11502" max="11502" width="15.7109375" style="111" customWidth="1"/>
    <col min="11503" max="11511" width="8.85546875" style="111"/>
    <col min="11512" max="11512" width="14.5703125" style="111" customWidth="1"/>
    <col min="11513" max="11747" width="8.85546875" style="111"/>
    <col min="11748" max="11748" width="19.28515625" style="111" customWidth="1"/>
    <col min="11749" max="11749" width="10.7109375" style="111" customWidth="1"/>
    <col min="11750" max="11754" width="8.7109375" style="111" customWidth="1"/>
    <col min="11755" max="11755" width="9.7109375" style="111" customWidth="1"/>
    <col min="11756" max="11756" width="12.28515625" style="111" customWidth="1"/>
    <col min="11757" max="11757" width="8.7109375" style="111" customWidth="1"/>
    <col min="11758" max="11758" width="15.7109375" style="111" customWidth="1"/>
    <col min="11759" max="11767" width="8.85546875" style="111"/>
    <col min="11768" max="11768" width="14.5703125" style="111" customWidth="1"/>
    <col min="11769" max="12003" width="8.85546875" style="111"/>
    <col min="12004" max="12004" width="19.28515625" style="111" customWidth="1"/>
    <col min="12005" max="12005" width="10.7109375" style="111" customWidth="1"/>
    <col min="12006" max="12010" width="8.7109375" style="111" customWidth="1"/>
    <col min="12011" max="12011" width="9.7109375" style="111" customWidth="1"/>
    <col min="12012" max="12012" width="12.28515625" style="111" customWidth="1"/>
    <col min="12013" max="12013" width="8.7109375" style="111" customWidth="1"/>
    <col min="12014" max="12014" width="15.7109375" style="111" customWidth="1"/>
    <col min="12015" max="12023" width="8.85546875" style="111"/>
    <col min="12024" max="12024" width="14.5703125" style="111" customWidth="1"/>
    <col min="12025" max="12259" width="8.85546875" style="111"/>
    <col min="12260" max="12260" width="19.28515625" style="111" customWidth="1"/>
    <col min="12261" max="12261" width="10.7109375" style="111" customWidth="1"/>
    <col min="12262" max="12266" width="8.7109375" style="111" customWidth="1"/>
    <col min="12267" max="12267" width="9.7109375" style="111" customWidth="1"/>
    <col min="12268" max="12268" width="12.28515625" style="111" customWidth="1"/>
    <col min="12269" max="12269" width="8.7109375" style="111" customWidth="1"/>
    <col min="12270" max="12270" width="15.7109375" style="111" customWidth="1"/>
    <col min="12271" max="12279" width="8.85546875" style="111"/>
    <col min="12280" max="12280" width="14.5703125" style="111" customWidth="1"/>
    <col min="12281" max="12515" width="8.85546875" style="111"/>
    <col min="12516" max="12516" width="19.28515625" style="111" customWidth="1"/>
    <col min="12517" max="12517" width="10.7109375" style="111" customWidth="1"/>
    <col min="12518" max="12522" width="8.7109375" style="111" customWidth="1"/>
    <col min="12523" max="12523" width="9.7109375" style="111" customWidth="1"/>
    <col min="12524" max="12524" width="12.28515625" style="111" customWidth="1"/>
    <col min="12525" max="12525" width="8.7109375" style="111" customWidth="1"/>
    <col min="12526" max="12526" width="15.7109375" style="111" customWidth="1"/>
    <col min="12527" max="12535" width="8.85546875" style="111"/>
    <col min="12536" max="12536" width="14.5703125" style="111" customWidth="1"/>
    <col min="12537" max="12771" width="8.85546875" style="111"/>
    <col min="12772" max="12772" width="19.28515625" style="111" customWidth="1"/>
    <col min="12773" max="12773" width="10.7109375" style="111" customWidth="1"/>
    <col min="12774" max="12778" width="8.7109375" style="111" customWidth="1"/>
    <col min="12779" max="12779" width="9.7109375" style="111" customWidth="1"/>
    <col min="12780" max="12780" width="12.28515625" style="111" customWidth="1"/>
    <col min="12781" max="12781" width="8.7109375" style="111" customWidth="1"/>
    <col min="12782" max="12782" width="15.7109375" style="111" customWidth="1"/>
    <col min="12783" max="12791" width="8.85546875" style="111"/>
    <col min="12792" max="12792" width="14.5703125" style="111" customWidth="1"/>
    <col min="12793" max="13027" width="8.85546875" style="111"/>
    <col min="13028" max="13028" width="19.28515625" style="111" customWidth="1"/>
    <col min="13029" max="13029" width="10.7109375" style="111" customWidth="1"/>
    <col min="13030" max="13034" width="8.7109375" style="111" customWidth="1"/>
    <col min="13035" max="13035" width="9.7109375" style="111" customWidth="1"/>
    <col min="13036" max="13036" width="12.28515625" style="111" customWidth="1"/>
    <col min="13037" max="13037" width="8.7109375" style="111" customWidth="1"/>
    <col min="13038" max="13038" width="15.7109375" style="111" customWidth="1"/>
    <col min="13039" max="13047" width="8.85546875" style="111"/>
    <col min="13048" max="13048" width="14.5703125" style="111" customWidth="1"/>
    <col min="13049" max="13283" width="8.85546875" style="111"/>
    <col min="13284" max="13284" width="19.28515625" style="111" customWidth="1"/>
    <col min="13285" max="13285" width="10.7109375" style="111" customWidth="1"/>
    <col min="13286" max="13290" width="8.7109375" style="111" customWidth="1"/>
    <col min="13291" max="13291" width="9.7109375" style="111" customWidth="1"/>
    <col min="13292" max="13292" width="12.28515625" style="111" customWidth="1"/>
    <col min="13293" max="13293" width="8.7109375" style="111" customWidth="1"/>
    <col min="13294" max="13294" width="15.7109375" style="111" customWidth="1"/>
    <col min="13295" max="13303" width="8.85546875" style="111"/>
    <col min="13304" max="13304" width="14.5703125" style="111" customWidth="1"/>
    <col min="13305" max="13539" width="8.85546875" style="111"/>
    <col min="13540" max="13540" width="19.28515625" style="111" customWidth="1"/>
    <col min="13541" max="13541" width="10.7109375" style="111" customWidth="1"/>
    <col min="13542" max="13546" width="8.7109375" style="111" customWidth="1"/>
    <col min="13547" max="13547" width="9.7109375" style="111" customWidth="1"/>
    <col min="13548" max="13548" width="12.28515625" style="111" customWidth="1"/>
    <col min="13549" max="13549" width="8.7109375" style="111" customWidth="1"/>
    <col min="13550" max="13550" width="15.7109375" style="111" customWidth="1"/>
    <col min="13551" max="13559" width="8.85546875" style="111"/>
    <col min="13560" max="13560" width="14.5703125" style="111" customWidth="1"/>
    <col min="13561" max="13795" width="8.85546875" style="111"/>
    <col min="13796" max="13796" width="19.28515625" style="111" customWidth="1"/>
    <col min="13797" max="13797" width="10.7109375" style="111" customWidth="1"/>
    <col min="13798" max="13802" width="8.7109375" style="111" customWidth="1"/>
    <col min="13803" max="13803" width="9.7109375" style="111" customWidth="1"/>
    <col min="13804" max="13804" width="12.28515625" style="111" customWidth="1"/>
    <col min="13805" max="13805" width="8.7109375" style="111" customWidth="1"/>
    <col min="13806" max="13806" width="15.7109375" style="111" customWidth="1"/>
    <col min="13807" max="13815" width="8.85546875" style="111"/>
    <col min="13816" max="13816" width="14.5703125" style="111" customWidth="1"/>
    <col min="13817" max="14051" width="8.85546875" style="111"/>
    <col min="14052" max="14052" width="19.28515625" style="111" customWidth="1"/>
    <col min="14053" max="14053" width="10.7109375" style="111" customWidth="1"/>
    <col min="14054" max="14058" width="8.7109375" style="111" customWidth="1"/>
    <col min="14059" max="14059" width="9.7109375" style="111" customWidth="1"/>
    <col min="14060" max="14060" width="12.28515625" style="111" customWidth="1"/>
    <col min="14061" max="14061" width="8.7109375" style="111" customWidth="1"/>
    <col min="14062" max="14062" width="15.7109375" style="111" customWidth="1"/>
    <col min="14063" max="14071" width="8.85546875" style="111"/>
    <col min="14072" max="14072" width="14.5703125" style="111" customWidth="1"/>
    <col min="14073" max="14307" width="8.85546875" style="111"/>
    <col min="14308" max="14308" width="19.28515625" style="111" customWidth="1"/>
    <col min="14309" max="14309" width="10.7109375" style="111" customWidth="1"/>
    <col min="14310" max="14314" width="8.7109375" style="111" customWidth="1"/>
    <col min="14315" max="14315" width="9.7109375" style="111" customWidth="1"/>
    <col min="14316" max="14316" width="12.28515625" style="111" customWidth="1"/>
    <col min="14317" max="14317" width="8.7109375" style="111" customWidth="1"/>
    <col min="14318" max="14318" width="15.7109375" style="111" customWidth="1"/>
    <col min="14319" max="14327" width="8.85546875" style="111"/>
    <col min="14328" max="14328" width="14.5703125" style="111" customWidth="1"/>
    <col min="14329" max="14563" width="8.85546875" style="111"/>
    <col min="14564" max="14564" width="19.28515625" style="111" customWidth="1"/>
    <col min="14565" max="14565" width="10.7109375" style="111" customWidth="1"/>
    <col min="14566" max="14570" width="8.7109375" style="111" customWidth="1"/>
    <col min="14571" max="14571" width="9.7109375" style="111" customWidth="1"/>
    <col min="14572" max="14572" width="12.28515625" style="111" customWidth="1"/>
    <col min="14573" max="14573" width="8.7109375" style="111" customWidth="1"/>
    <col min="14574" max="14574" width="15.7109375" style="111" customWidth="1"/>
    <col min="14575" max="14583" width="8.85546875" style="111"/>
    <col min="14584" max="14584" width="14.5703125" style="111" customWidth="1"/>
    <col min="14585" max="14819" width="8.85546875" style="111"/>
    <col min="14820" max="14820" width="19.28515625" style="111" customWidth="1"/>
    <col min="14821" max="14821" width="10.7109375" style="111" customWidth="1"/>
    <col min="14822" max="14826" width="8.7109375" style="111" customWidth="1"/>
    <col min="14827" max="14827" width="9.7109375" style="111" customWidth="1"/>
    <col min="14828" max="14828" width="12.28515625" style="111" customWidth="1"/>
    <col min="14829" max="14829" width="8.7109375" style="111" customWidth="1"/>
    <col min="14830" max="14830" width="15.7109375" style="111" customWidth="1"/>
    <col min="14831" max="14839" width="8.85546875" style="111"/>
    <col min="14840" max="14840" width="14.5703125" style="111" customWidth="1"/>
    <col min="14841" max="15075" width="8.85546875" style="111"/>
    <col min="15076" max="15076" width="19.28515625" style="111" customWidth="1"/>
    <col min="15077" max="15077" width="10.7109375" style="111" customWidth="1"/>
    <col min="15078" max="15082" width="8.7109375" style="111" customWidth="1"/>
    <col min="15083" max="15083" width="9.7109375" style="111" customWidth="1"/>
    <col min="15084" max="15084" width="12.28515625" style="111" customWidth="1"/>
    <col min="15085" max="15085" width="8.7109375" style="111" customWidth="1"/>
    <col min="15086" max="15086" width="15.7109375" style="111" customWidth="1"/>
    <col min="15087" max="15095" width="8.85546875" style="111"/>
    <col min="15096" max="15096" width="14.5703125" style="111" customWidth="1"/>
    <col min="15097" max="15331" width="8.85546875" style="111"/>
    <col min="15332" max="15332" width="19.28515625" style="111" customWidth="1"/>
    <col min="15333" max="15333" width="10.7109375" style="111" customWidth="1"/>
    <col min="15334" max="15338" width="8.7109375" style="111" customWidth="1"/>
    <col min="15339" max="15339" width="9.7109375" style="111" customWidth="1"/>
    <col min="15340" max="15340" width="12.28515625" style="111" customWidth="1"/>
    <col min="15341" max="15341" width="8.7109375" style="111" customWidth="1"/>
    <col min="15342" max="15342" width="15.7109375" style="111" customWidth="1"/>
    <col min="15343" max="15351" width="8.85546875" style="111"/>
    <col min="15352" max="15352" width="14.5703125" style="111" customWidth="1"/>
    <col min="15353" max="15587" width="8.85546875" style="111"/>
    <col min="15588" max="15588" width="19.28515625" style="111" customWidth="1"/>
    <col min="15589" max="15589" width="10.7109375" style="111" customWidth="1"/>
    <col min="15590" max="15594" width="8.7109375" style="111" customWidth="1"/>
    <col min="15595" max="15595" width="9.7109375" style="111" customWidth="1"/>
    <col min="15596" max="15596" width="12.28515625" style="111" customWidth="1"/>
    <col min="15597" max="15597" width="8.7109375" style="111" customWidth="1"/>
    <col min="15598" max="15598" width="15.7109375" style="111" customWidth="1"/>
    <col min="15599" max="15607" width="8.85546875" style="111"/>
    <col min="15608" max="15608" width="14.5703125" style="111" customWidth="1"/>
    <col min="15609" max="15843" width="8.85546875" style="111"/>
    <col min="15844" max="15844" width="19.28515625" style="111" customWidth="1"/>
    <col min="15845" max="15845" width="10.7109375" style="111" customWidth="1"/>
    <col min="15846" max="15850" width="8.7109375" style="111" customWidth="1"/>
    <col min="15851" max="15851" width="9.7109375" style="111" customWidth="1"/>
    <col min="15852" max="15852" width="12.28515625" style="111" customWidth="1"/>
    <col min="15853" max="15853" width="8.7109375" style="111" customWidth="1"/>
    <col min="15854" max="15854" width="15.7109375" style="111" customWidth="1"/>
    <col min="15855" max="15863" width="8.85546875" style="111"/>
    <col min="15864" max="15864" width="14.5703125" style="111" customWidth="1"/>
    <col min="15865" max="16099" width="8.85546875" style="111"/>
    <col min="16100" max="16100" width="19.28515625" style="111" customWidth="1"/>
    <col min="16101" max="16101" width="10.7109375" style="111" customWidth="1"/>
    <col min="16102" max="16106" width="8.7109375" style="111" customWidth="1"/>
    <col min="16107" max="16107" width="9.7109375" style="111" customWidth="1"/>
    <col min="16108" max="16108" width="12.28515625" style="111" customWidth="1"/>
    <col min="16109" max="16109" width="8.7109375" style="111" customWidth="1"/>
    <col min="16110" max="16110" width="15.7109375" style="111" customWidth="1"/>
    <col min="16111" max="16119" width="8.85546875" style="111"/>
    <col min="16120" max="16120" width="14.5703125" style="111" customWidth="1"/>
    <col min="16121" max="16355" width="8.85546875" style="111"/>
    <col min="16356" max="16384" width="9.28515625" style="111" customWidth="1"/>
  </cols>
  <sheetData>
    <row r="1" spans="1:221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1"/>
      <c r="CO1" s="391"/>
      <c r="CP1" s="391"/>
      <c r="CQ1" s="391"/>
      <c r="CR1" s="391"/>
      <c r="CS1" s="391"/>
      <c r="CT1" s="391"/>
      <c r="CU1" s="391"/>
      <c r="CV1" s="391"/>
      <c r="CW1" s="391"/>
      <c r="CX1" s="389"/>
      <c r="CY1" s="389"/>
      <c r="CZ1" s="389"/>
      <c r="DA1" s="389"/>
      <c r="DB1" s="389"/>
      <c r="DC1" s="389"/>
      <c r="DD1" s="389"/>
      <c r="DE1" s="389"/>
      <c r="DF1" s="389"/>
      <c r="DG1" s="389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1"/>
      <c r="GU1" s="391"/>
      <c r="GV1" s="391"/>
      <c r="GW1" s="391"/>
      <c r="GX1" s="391"/>
      <c r="GY1" s="391"/>
      <c r="GZ1" s="391"/>
      <c r="HA1" s="391"/>
      <c r="HB1" s="391"/>
      <c r="HC1" s="391"/>
      <c r="HD1" s="389"/>
      <c r="HE1" s="389"/>
      <c r="HF1" s="389"/>
      <c r="HG1" s="389"/>
      <c r="HH1" s="389"/>
      <c r="HI1" s="389"/>
      <c r="HJ1" s="389"/>
      <c r="HK1" s="389"/>
      <c r="HL1" s="389"/>
      <c r="HM1" s="389"/>
    </row>
    <row r="2" spans="1:221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1"/>
      <c r="CO2" s="391"/>
      <c r="CP2" s="391"/>
      <c r="CQ2" s="391"/>
      <c r="CR2" s="391"/>
      <c r="CS2" s="391"/>
      <c r="CT2" s="391"/>
      <c r="CU2" s="391"/>
      <c r="CV2" s="391"/>
      <c r="CW2" s="391"/>
      <c r="CX2" s="389"/>
      <c r="CY2" s="389"/>
      <c r="CZ2" s="389"/>
      <c r="DA2" s="389"/>
      <c r="DB2" s="389"/>
      <c r="DC2" s="389"/>
      <c r="DD2" s="389"/>
      <c r="DE2" s="389"/>
      <c r="DF2" s="389"/>
      <c r="DG2" s="389"/>
      <c r="GJ2" s="390"/>
      <c r="GK2" s="390"/>
      <c r="GL2" s="390"/>
      <c r="GM2" s="390"/>
      <c r="GN2" s="390"/>
      <c r="GO2" s="390"/>
      <c r="GP2" s="390"/>
      <c r="GQ2" s="390"/>
      <c r="GR2" s="390"/>
      <c r="GS2" s="390"/>
      <c r="GT2" s="391"/>
      <c r="GU2" s="391"/>
      <c r="GV2" s="391"/>
      <c r="GW2" s="391"/>
      <c r="GX2" s="391"/>
      <c r="GY2" s="391"/>
      <c r="GZ2" s="391"/>
      <c r="HA2" s="391"/>
      <c r="HB2" s="391"/>
      <c r="HC2" s="391"/>
      <c r="HD2" s="389"/>
      <c r="HE2" s="389"/>
      <c r="HF2" s="389"/>
      <c r="HG2" s="389"/>
      <c r="HH2" s="389"/>
      <c r="HI2" s="389"/>
      <c r="HJ2" s="389"/>
      <c r="HK2" s="389"/>
      <c r="HL2" s="389"/>
      <c r="HM2" s="389"/>
    </row>
    <row r="3" spans="1:221" ht="12.75" x14ac:dyDescent="0.2">
      <c r="A3" s="382" t="s">
        <v>72</v>
      </c>
      <c r="B3" s="382"/>
      <c r="C3" s="382"/>
      <c r="D3" s="382"/>
      <c r="E3" s="382"/>
      <c r="F3" s="382"/>
      <c r="G3" s="382"/>
      <c r="H3" s="382"/>
      <c r="I3" s="382"/>
      <c r="J3" s="382"/>
      <c r="CD3" s="387"/>
      <c r="CE3" s="387"/>
      <c r="CF3" s="387"/>
      <c r="CG3" s="387"/>
      <c r="CH3" s="387"/>
      <c r="CI3" s="387"/>
      <c r="CJ3" s="387"/>
      <c r="CK3" s="387"/>
      <c r="CL3" s="387"/>
      <c r="CM3" s="387"/>
      <c r="CN3" s="388"/>
      <c r="CO3" s="388"/>
      <c r="CP3" s="388"/>
      <c r="CQ3" s="388"/>
      <c r="CR3" s="388"/>
      <c r="CS3" s="388"/>
      <c r="CT3" s="388"/>
      <c r="CU3" s="388"/>
      <c r="CV3" s="388"/>
      <c r="CW3" s="388"/>
      <c r="CX3" s="381"/>
      <c r="CY3" s="381"/>
      <c r="CZ3" s="381"/>
      <c r="DA3" s="381"/>
      <c r="DB3" s="381"/>
      <c r="DC3" s="381"/>
      <c r="DD3" s="381"/>
      <c r="DE3" s="381"/>
      <c r="DF3" s="381"/>
      <c r="DG3" s="381"/>
      <c r="GJ3" s="387"/>
      <c r="GK3" s="387"/>
      <c r="GL3" s="387"/>
      <c r="GM3" s="387"/>
      <c r="GN3" s="387"/>
      <c r="GO3" s="387"/>
      <c r="GP3" s="387"/>
      <c r="GQ3" s="387"/>
      <c r="GR3" s="387"/>
      <c r="GS3" s="387"/>
      <c r="GT3" s="388"/>
      <c r="GU3" s="388"/>
      <c r="GV3" s="388"/>
      <c r="GW3" s="388"/>
      <c r="GX3" s="388"/>
      <c r="GY3" s="388"/>
      <c r="GZ3" s="388"/>
      <c r="HA3" s="388"/>
      <c r="HB3" s="388"/>
      <c r="HC3" s="388"/>
      <c r="HD3" s="381"/>
      <c r="HE3" s="381"/>
      <c r="HF3" s="381"/>
      <c r="HG3" s="381"/>
      <c r="HH3" s="381"/>
      <c r="HI3" s="381"/>
      <c r="HJ3" s="381"/>
      <c r="HK3" s="381"/>
      <c r="HL3" s="381"/>
      <c r="HM3" s="381"/>
    </row>
    <row r="4" spans="1:221" ht="12.75" x14ac:dyDescent="0.2">
      <c r="A4" s="382" t="s">
        <v>68</v>
      </c>
      <c r="B4" s="382"/>
      <c r="C4" s="382"/>
      <c r="D4" s="382"/>
      <c r="E4" s="382"/>
      <c r="F4" s="382"/>
      <c r="G4" s="382"/>
      <c r="H4" s="382"/>
      <c r="I4" s="382"/>
      <c r="J4" s="382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3"/>
      <c r="CY4" s="143"/>
      <c r="CZ4" s="143"/>
      <c r="DA4" s="143"/>
      <c r="DB4" s="143"/>
      <c r="DC4" s="143"/>
      <c r="DD4" s="143"/>
      <c r="DE4" s="143"/>
      <c r="DF4" s="143"/>
      <c r="DG4" s="143"/>
      <c r="GJ4" s="141"/>
      <c r="GK4" s="141"/>
      <c r="GL4" s="141"/>
      <c r="GM4" s="141"/>
      <c r="GN4" s="141"/>
      <c r="GO4" s="141"/>
      <c r="GP4" s="141"/>
      <c r="GQ4" s="141"/>
      <c r="GR4" s="141"/>
      <c r="GS4" s="141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3"/>
      <c r="HE4" s="143"/>
      <c r="HF4" s="143"/>
      <c r="HG4" s="143"/>
      <c r="HH4" s="143"/>
      <c r="HI4" s="143"/>
      <c r="HJ4" s="143"/>
      <c r="HK4" s="143"/>
      <c r="HL4" s="143"/>
      <c r="HM4" s="143"/>
    </row>
    <row r="5" spans="1:221" ht="12.75" x14ac:dyDescent="0.2">
      <c r="A5" s="395" t="str">
        <f>'G7toG12 SchoolLeaver'!A5</f>
        <v>SY 2022-2023</v>
      </c>
      <c r="B5" s="395"/>
      <c r="C5" s="395"/>
      <c r="D5" s="395"/>
      <c r="E5" s="395"/>
      <c r="F5" s="395"/>
      <c r="G5" s="395"/>
      <c r="H5" s="395"/>
      <c r="I5" s="395"/>
      <c r="J5" s="395"/>
      <c r="CD5" s="384"/>
      <c r="CE5" s="384"/>
      <c r="CF5" s="384"/>
      <c r="CG5" s="384"/>
      <c r="CH5" s="384"/>
      <c r="CI5" s="384"/>
      <c r="CJ5" s="384"/>
      <c r="CK5" s="384"/>
      <c r="CL5" s="384"/>
      <c r="CM5" s="384"/>
      <c r="CN5" s="385"/>
      <c r="CO5" s="385"/>
      <c r="CP5" s="385"/>
      <c r="CQ5" s="385"/>
      <c r="CR5" s="385"/>
      <c r="CS5" s="385"/>
      <c r="CT5" s="385"/>
      <c r="CU5" s="385"/>
      <c r="CV5" s="385"/>
      <c r="CW5" s="385"/>
      <c r="CX5" s="386"/>
      <c r="CY5" s="386"/>
      <c r="CZ5" s="386"/>
      <c r="DA5" s="386"/>
      <c r="DB5" s="386"/>
      <c r="DC5" s="386"/>
      <c r="DD5" s="386"/>
      <c r="DE5" s="386"/>
      <c r="DF5" s="386"/>
      <c r="DG5" s="386"/>
      <c r="GJ5" s="384"/>
      <c r="GK5" s="384"/>
      <c r="GL5" s="384"/>
      <c r="GM5" s="384"/>
      <c r="GN5" s="384"/>
      <c r="GO5" s="384"/>
      <c r="GP5" s="384"/>
      <c r="GQ5" s="384"/>
      <c r="GR5" s="384"/>
      <c r="GS5" s="384"/>
      <c r="GT5" s="385"/>
      <c r="GU5" s="385"/>
      <c r="GV5" s="385"/>
      <c r="GW5" s="385"/>
      <c r="GX5" s="385"/>
      <c r="GY5" s="385"/>
      <c r="GZ5" s="385"/>
      <c r="HA5" s="385"/>
      <c r="HB5" s="385"/>
      <c r="HC5" s="385"/>
      <c r="HD5" s="386"/>
      <c r="HE5" s="386"/>
      <c r="HF5" s="386"/>
      <c r="HG5" s="386"/>
      <c r="HH5" s="386"/>
      <c r="HI5" s="386"/>
      <c r="HJ5" s="386"/>
      <c r="HK5" s="386"/>
      <c r="HL5" s="386"/>
      <c r="HM5" s="386"/>
    </row>
    <row r="6" spans="1:221" ht="15" x14ac:dyDescent="0.2">
      <c r="A6" s="380"/>
      <c r="B6" s="380"/>
      <c r="C6" s="380"/>
      <c r="D6" s="380"/>
      <c r="E6" s="380"/>
      <c r="F6" s="380"/>
      <c r="G6" s="380"/>
      <c r="H6" s="380"/>
      <c r="I6" s="380"/>
      <c r="J6" s="380"/>
      <c r="CD6" s="144"/>
      <c r="CE6" s="144"/>
      <c r="CF6" s="11"/>
      <c r="CG6" s="11"/>
      <c r="CH6" s="11"/>
      <c r="CI6" s="11"/>
      <c r="CJ6" s="11"/>
      <c r="CK6" s="11"/>
      <c r="CL6" s="11"/>
      <c r="CM6" s="147"/>
      <c r="CN6" s="145"/>
      <c r="CO6" s="145"/>
      <c r="CP6" s="148"/>
      <c r="CQ6" s="148"/>
      <c r="CR6" s="148"/>
      <c r="CS6" s="148"/>
      <c r="CT6" s="148"/>
      <c r="CU6" s="148"/>
      <c r="CV6" s="148"/>
      <c r="CW6" s="149"/>
      <c r="CX6" s="146"/>
      <c r="CY6" s="146"/>
      <c r="CZ6" s="150"/>
      <c r="DA6" s="150"/>
      <c r="DB6" s="150"/>
      <c r="DC6" s="150"/>
      <c r="DD6" s="150"/>
      <c r="DE6" s="150"/>
      <c r="DF6" s="150"/>
      <c r="DG6" s="151"/>
      <c r="GJ6" s="144"/>
      <c r="GK6" s="144"/>
      <c r="GL6" s="11"/>
      <c r="GM6" s="11"/>
      <c r="GN6" s="11"/>
      <c r="GO6" s="11"/>
      <c r="GP6" s="11"/>
      <c r="GQ6" s="11"/>
      <c r="GR6" s="11"/>
      <c r="GS6" s="147"/>
      <c r="GT6" s="145"/>
      <c r="GU6" s="145"/>
      <c r="GV6" s="148"/>
      <c r="GW6" s="148"/>
      <c r="GX6" s="148"/>
      <c r="GY6" s="148"/>
      <c r="GZ6" s="148"/>
      <c r="HA6" s="148"/>
      <c r="HB6" s="148"/>
      <c r="HC6" s="149"/>
      <c r="HD6" s="146"/>
      <c r="HE6" s="146"/>
      <c r="HF6" s="150"/>
      <c r="HG6" s="150"/>
      <c r="HH6" s="150"/>
      <c r="HI6" s="150"/>
      <c r="HJ6" s="150"/>
      <c r="HK6" s="150"/>
      <c r="HL6" s="150"/>
      <c r="HM6" s="151"/>
    </row>
    <row r="7" spans="1:221" x14ac:dyDescent="0.2">
      <c r="A7" s="152"/>
      <c r="B7" s="153"/>
      <c r="C7" s="154"/>
      <c r="D7" s="154"/>
      <c r="E7" s="154"/>
      <c r="F7" s="154"/>
      <c r="G7" s="154"/>
      <c r="H7" s="154"/>
      <c r="I7" s="154"/>
      <c r="J7" s="155"/>
      <c r="CD7" s="152"/>
      <c r="CE7" s="153"/>
      <c r="CF7" s="154"/>
      <c r="CG7" s="154"/>
      <c r="CH7" s="154"/>
      <c r="CI7" s="154"/>
      <c r="CJ7" s="154"/>
      <c r="CK7" s="154"/>
      <c r="CL7" s="154"/>
      <c r="CM7" s="147"/>
      <c r="CN7" s="156"/>
      <c r="CO7" s="157"/>
      <c r="CP7" s="158"/>
      <c r="CQ7" s="158"/>
      <c r="CR7" s="158"/>
      <c r="CS7" s="158"/>
      <c r="CT7" s="158"/>
      <c r="CU7" s="158"/>
      <c r="CV7" s="158"/>
      <c r="CW7" s="149"/>
      <c r="CX7" s="159"/>
      <c r="CY7" s="160"/>
      <c r="CZ7" s="161"/>
      <c r="DA7" s="161"/>
      <c r="DB7" s="161"/>
      <c r="DC7" s="161"/>
      <c r="DD7" s="161"/>
      <c r="DE7" s="161"/>
      <c r="DF7" s="161"/>
      <c r="DG7" s="151"/>
      <c r="GJ7" s="152"/>
      <c r="GK7" s="153"/>
      <c r="GL7" s="154"/>
      <c r="GM7" s="154"/>
      <c r="GN7" s="154"/>
      <c r="GO7" s="154"/>
      <c r="GP7" s="154"/>
      <c r="GQ7" s="154"/>
      <c r="GR7" s="154"/>
      <c r="GS7" s="147"/>
      <c r="GT7" s="156"/>
      <c r="GU7" s="157"/>
      <c r="GV7" s="158"/>
      <c r="GW7" s="158"/>
      <c r="GX7" s="158"/>
      <c r="GY7" s="158"/>
      <c r="GZ7" s="158"/>
      <c r="HA7" s="158"/>
      <c r="HB7" s="158"/>
      <c r="HC7" s="149"/>
      <c r="HD7" s="159"/>
      <c r="HE7" s="160"/>
      <c r="HF7" s="161"/>
      <c r="HG7" s="161"/>
      <c r="HH7" s="161"/>
      <c r="HI7" s="161"/>
      <c r="HJ7" s="161"/>
      <c r="HK7" s="161"/>
      <c r="HL7" s="161"/>
      <c r="HM7" s="151"/>
    </row>
    <row r="8" spans="1:221" ht="13.5" thickBot="1" x14ac:dyDescent="0.25">
      <c r="A8" s="25" t="s">
        <v>10</v>
      </c>
      <c r="B8" s="162"/>
      <c r="J8" s="155"/>
      <c r="CD8" s="153"/>
      <c r="CE8" s="153"/>
      <c r="CF8" s="27"/>
      <c r="CG8" s="27"/>
      <c r="CH8" s="27"/>
      <c r="CI8" s="27"/>
      <c r="CJ8" s="27"/>
      <c r="CK8" s="27"/>
      <c r="CL8" s="27"/>
      <c r="CM8" s="147"/>
      <c r="CN8" s="157"/>
      <c r="CO8" s="157"/>
      <c r="CP8" s="163"/>
      <c r="CQ8" s="163"/>
      <c r="CR8" s="163"/>
      <c r="CS8" s="163"/>
      <c r="CT8" s="163"/>
      <c r="CU8" s="163"/>
      <c r="CV8" s="163"/>
      <c r="CW8" s="149"/>
      <c r="CX8" s="160"/>
      <c r="CY8" s="160"/>
      <c r="CZ8" s="164"/>
      <c r="DA8" s="164"/>
      <c r="DB8" s="164"/>
      <c r="DC8" s="164"/>
      <c r="DD8" s="164"/>
      <c r="DE8" s="164"/>
      <c r="DF8" s="164"/>
      <c r="DG8" s="151"/>
      <c r="GJ8" s="153"/>
      <c r="GK8" s="153"/>
      <c r="GL8" s="27"/>
      <c r="GM8" s="27"/>
      <c r="GN8" s="27"/>
      <c r="GO8" s="27"/>
      <c r="GP8" s="27"/>
      <c r="GQ8" s="27"/>
      <c r="GR8" s="27"/>
      <c r="GS8" s="147"/>
      <c r="GT8" s="157"/>
      <c r="GU8" s="157"/>
      <c r="GV8" s="163"/>
      <c r="GW8" s="163"/>
      <c r="GX8" s="163"/>
      <c r="GY8" s="163"/>
      <c r="GZ8" s="163"/>
      <c r="HA8" s="163"/>
      <c r="HB8" s="163"/>
      <c r="HC8" s="149"/>
      <c r="HD8" s="160"/>
      <c r="HE8" s="160"/>
      <c r="HF8" s="164"/>
      <c r="HG8" s="164"/>
      <c r="HH8" s="164"/>
      <c r="HI8" s="164"/>
      <c r="HJ8" s="164"/>
      <c r="HK8" s="164"/>
      <c r="HL8" s="164"/>
      <c r="HM8" s="151"/>
    </row>
    <row r="9" spans="1:221" ht="13.5" thickBot="1" x14ac:dyDescent="0.25">
      <c r="J9" s="155"/>
      <c r="K9" s="29"/>
    </row>
    <row r="10" spans="1:221" x14ac:dyDescent="0.2">
      <c r="A10" s="31" t="s">
        <v>30</v>
      </c>
      <c r="B10" s="417" t="s">
        <v>11</v>
      </c>
      <c r="C10" s="419" t="s">
        <v>60</v>
      </c>
      <c r="D10" s="421" t="s">
        <v>61</v>
      </c>
      <c r="E10" s="421" t="s">
        <v>62</v>
      </c>
      <c r="F10" s="421" t="s">
        <v>69</v>
      </c>
      <c r="G10" s="423" t="s">
        <v>70</v>
      </c>
      <c r="H10" s="33" t="s">
        <v>73</v>
      </c>
      <c r="I10" s="168" t="s">
        <v>46</v>
      </c>
      <c r="J10" s="169" t="s">
        <v>31</v>
      </c>
      <c r="K10" s="416"/>
      <c r="L10" s="416"/>
      <c r="M10" s="416"/>
      <c r="N10" s="416"/>
      <c r="O10" s="416"/>
      <c r="P10" s="416"/>
      <c r="Q10" s="115"/>
      <c r="R10" s="371"/>
    </row>
    <row r="11" spans="1:221" ht="12" thickBot="1" x14ac:dyDescent="0.25">
      <c r="A11" s="112"/>
      <c r="B11" s="418"/>
      <c r="C11" s="420"/>
      <c r="D11" s="422"/>
      <c r="E11" s="422"/>
      <c r="F11" s="422"/>
      <c r="G11" s="424"/>
      <c r="H11" s="42" t="s">
        <v>47</v>
      </c>
      <c r="I11" s="38" t="s">
        <v>25</v>
      </c>
      <c r="J11" s="170" t="s">
        <v>32</v>
      </c>
      <c r="K11" s="416"/>
      <c r="L11" s="416"/>
      <c r="M11" s="416"/>
      <c r="N11" s="416"/>
      <c r="O11" s="416"/>
      <c r="P11" s="416"/>
      <c r="Q11" s="115"/>
      <c r="R11" s="371"/>
    </row>
    <row r="12" spans="1:221" x14ac:dyDescent="0.2">
      <c r="A12" s="74" t="s">
        <v>33</v>
      </c>
      <c r="B12" s="6" t="s">
        <v>2</v>
      </c>
      <c r="C12" s="221">
        <v>0.98652982681205903</v>
      </c>
      <c r="D12" s="222">
        <v>0.986784140969163</v>
      </c>
      <c r="E12" s="222">
        <v>0.98169844754172064</v>
      </c>
      <c r="F12" s="222">
        <v>0.98745331158924721</v>
      </c>
      <c r="G12" s="222">
        <v>0.94127380241957359</v>
      </c>
      <c r="H12" s="223">
        <v>0.95834347508605999</v>
      </c>
      <c r="I12" s="221">
        <v>0.97340003894026184</v>
      </c>
      <c r="J12" s="345">
        <v>1.0098110089848187</v>
      </c>
      <c r="K12" s="181"/>
      <c r="L12" s="181"/>
      <c r="M12" s="181"/>
      <c r="N12" s="181"/>
      <c r="O12" s="181"/>
      <c r="P12" s="181"/>
      <c r="Q12" s="181"/>
      <c r="R12" s="171"/>
    </row>
    <row r="13" spans="1:221" x14ac:dyDescent="0.2">
      <c r="A13" s="3"/>
      <c r="B13" s="5" t="s">
        <v>1</v>
      </c>
      <c r="C13" s="131">
        <v>0.98087359713367406</v>
      </c>
      <c r="D13" s="180">
        <v>0.98067773006846926</v>
      </c>
      <c r="E13" s="180">
        <v>0.97916118507604066</v>
      </c>
      <c r="F13" s="180">
        <v>0.98304627179957882</v>
      </c>
      <c r="G13" s="180">
        <v>0.93974846446329341</v>
      </c>
      <c r="H13" s="130">
        <v>0.95094194540561328</v>
      </c>
      <c r="I13" s="131">
        <v>0.96830000000000005</v>
      </c>
      <c r="J13" s="346"/>
      <c r="K13" s="181"/>
      <c r="L13" s="181"/>
      <c r="M13" s="181"/>
      <c r="N13" s="181"/>
      <c r="O13" s="181"/>
      <c r="P13" s="181"/>
      <c r="Q13" s="181"/>
      <c r="R13" s="171"/>
    </row>
    <row r="14" spans="1:221" ht="12" thickBot="1" x14ac:dyDescent="0.25">
      <c r="A14" s="58"/>
      <c r="B14" s="4" t="s">
        <v>0</v>
      </c>
      <c r="C14" s="136">
        <v>0.99235233497857567</v>
      </c>
      <c r="D14" s="182">
        <v>0.99178548377633047</v>
      </c>
      <c r="E14" s="182">
        <v>0.98426201616333475</v>
      </c>
      <c r="F14" s="182">
        <v>0.99163973944709438</v>
      </c>
      <c r="G14" s="182">
        <v>0.94259268625765014</v>
      </c>
      <c r="H14" s="135">
        <v>0.96445347213406118</v>
      </c>
      <c r="I14" s="136">
        <v>0.9778</v>
      </c>
      <c r="J14" s="347"/>
      <c r="K14" s="181"/>
      <c r="L14" s="181"/>
      <c r="M14" s="181"/>
      <c r="N14" s="181"/>
      <c r="O14" s="181"/>
      <c r="P14" s="181"/>
      <c r="Q14" s="181"/>
      <c r="R14" s="171"/>
    </row>
    <row r="15" spans="1:221" ht="10.15" customHeight="1" x14ac:dyDescent="0.2">
      <c r="A15" s="74" t="s">
        <v>34</v>
      </c>
      <c r="B15" s="6" t="s">
        <v>2</v>
      </c>
      <c r="C15" s="221">
        <v>0.97041013796117115</v>
      </c>
      <c r="D15" s="222">
        <v>0.9607486026502543</v>
      </c>
      <c r="E15" s="222">
        <v>0.95437616387337054</v>
      </c>
      <c r="F15" s="222">
        <v>0.99136911799479788</v>
      </c>
      <c r="G15" s="222">
        <v>0.89576834794891413</v>
      </c>
      <c r="H15" s="223">
        <v>0.94551458447991199</v>
      </c>
      <c r="I15" s="221">
        <v>0.95280787933838906</v>
      </c>
      <c r="J15" s="345">
        <v>1.0154399323181049</v>
      </c>
      <c r="K15" s="181"/>
      <c r="L15" s="181"/>
      <c r="M15" s="181"/>
      <c r="N15" s="181"/>
      <c r="O15" s="181"/>
      <c r="P15" s="181"/>
      <c r="Q15" s="181"/>
      <c r="R15" s="171"/>
    </row>
    <row r="16" spans="1:221" x14ac:dyDescent="0.2">
      <c r="A16" s="3"/>
      <c r="B16" s="5" t="s">
        <v>1</v>
      </c>
      <c r="C16" s="131">
        <v>0.95774818401937045</v>
      </c>
      <c r="D16" s="180">
        <v>0.9433261442607237</v>
      </c>
      <c r="E16" s="180">
        <v>0.95184743742550659</v>
      </c>
      <c r="F16" s="180">
        <v>0.98715403480088759</v>
      </c>
      <c r="G16" s="180">
        <v>0.90074654265083831</v>
      </c>
      <c r="H16" s="130">
        <v>0.93629929221435793</v>
      </c>
      <c r="I16" s="131">
        <v>0.9456</v>
      </c>
      <c r="J16" s="346"/>
      <c r="K16" s="181"/>
      <c r="L16" s="181"/>
      <c r="M16" s="181"/>
      <c r="N16" s="181"/>
      <c r="O16" s="181"/>
      <c r="P16" s="181"/>
      <c r="Q16" s="181"/>
      <c r="R16" s="171"/>
    </row>
    <row r="17" spans="1:18" ht="12" thickBot="1" x14ac:dyDescent="0.25">
      <c r="A17" s="58"/>
      <c r="B17" s="4" t="s">
        <v>0</v>
      </c>
      <c r="C17" s="136">
        <v>0.98388967650470427</v>
      </c>
      <c r="D17" s="182">
        <v>0.97993928995644719</v>
      </c>
      <c r="E17" s="182">
        <v>0.9571243523316062</v>
      </c>
      <c r="F17" s="182">
        <v>0.99569017119597747</v>
      </c>
      <c r="G17" s="182">
        <v>0.891156462585034</v>
      </c>
      <c r="H17" s="135">
        <v>0.95357406042741344</v>
      </c>
      <c r="I17" s="136">
        <v>0.96020000000000005</v>
      </c>
      <c r="J17" s="347"/>
      <c r="K17" s="181"/>
      <c r="L17" s="181"/>
      <c r="M17" s="181"/>
      <c r="N17" s="181"/>
      <c r="O17" s="181"/>
      <c r="P17" s="181"/>
      <c r="Q17" s="181"/>
      <c r="R17" s="171"/>
    </row>
    <row r="18" spans="1:18" x14ac:dyDescent="0.2">
      <c r="A18" s="74" t="s">
        <v>35</v>
      </c>
      <c r="B18" s="6" t="s">
        <v>2</v>
      </c>
      <c r="C18" s="221">
        <v>0.95960667116552589</v>
      </c>
      <c r="D18" s="222">
        <v>0.93091076356945723</v>
      </c>
      <c r="E18" s="222">
        <v>0.92339062044858722</v>
      </c>
      <c r="F18" s="222">
        <v>0.99522248243559719</v>
      </c>
      <c r="G18" s="222">
        <v>0.88053895056456966</v>
      </c>
      <c r="H18" s="223">
        <v>0.97916937898711109</v>
      </c>
      <c r="I18" s="221">
        <v>0.94461599185929157</v>
      </c>
      <c r="J18" s="345">
        <v>1.0091450446618462</v>
      </c>
      <c r="K18" s="181"/>
      <c r="L18" s="181"/>
      <c r="M18" s="181"/>
      <c r="N18" s="181"/>
      <c r="O18" s="181"/>
      <c r="P18" s="181"/>
      <c r="Q18" s="181"/>
      <c r="R18" s="171"/>
    </row>
    <row r="19" spans="1:18" x14ac:dyDescent="0.2">
      <c r="A19" s="3"/>
      <c r="B19" s="5" t="s">
        <v>1</v>
      </c>
      <c r="C19" s="131">
        <v>0.95640736565201057</v>
      </c>
      <c r="D19" s="180">
        <v>0.91475694444444444</v>
      </c>
      <c r="E19" s="180">
        <v>0.92347600518806749</v>
      </c>
      <c r="F19" s="180">
        <v>0.99234217407545755</v>
      </c>
      <c r="G19" s="180">
        <v>0.88361230050603345</v>
      </c>
      <c r="H19" s="130">
        <v>0.97483407079646023</v>
      </c>
      <c r="I19" s="131">
        <v>0.94040000000000001</v>
      </c>
      <c r="J19" s="346"/>
      <c r="K19" s="181"/>
      <c r="L19" s="181"/>
      <c r="M19" s="181"/>
      <c r="N19" s="181"/>
      <c r="O19" s="181"/>
      <c r="P19" s="181"/>
      <c r="Q19" s="181"/>
      <c r="R19" s="171"/>
    </row>
    <row r="20" spans="1:18" ht="12" thickBot="1" x14ac:dyDescent="0.25">
      <c r="A20" s="58"/>
      <c r="B20" s="4" t="s">
        <v>0</v>
      </c>
      <c r="C20" s="136">
        <v>0.96297762819243715</v>
      </c>
      <c r="D20" s="182">
        <v>0.94911937377690803</v>
      </c>
      <c r="E20" s="182">
        <v>0.92329661362709103</v>
      </c>
      <c r="F20" s="182">
        <v>0.99812065401240369</v>
      </c>
      <c r="G20" s="182">
        <v>0.87761525643399374</v>
      </c>
      <c r="H20" s="135">
        <v>0.98302583025830259</v>
      </c>
      <c r="I20" s="136">
        <v>0.94900000000000007</v>
      </c>
      <c r="J20" s="347"/>
      <c r="K20" s="181"/>
      <c r="L20" s="181"/>
      <c r="M20" s="181"/>
      <c r="N20" s="181"/>
      <c r="O20" s="181"/>
      <c r="P20" s="181"/>
      <c r="Q20" s="181"/>
      <c r="R20" s="171"/>
    </row>
    <row r="21" spans="1:18" x14ac:dyDescent="0.2">
      <c r="A21" s="74" t="s">
        <v>36</v>
      </c>
      <c r="B21" s="6" t="s">
        <v>2</v>
      </c>
      <c r="C21" s="221">
        <v>0.95118604195255829</v>
      </c>
      <c r="D21" s="222">
        <v>0.93373145829319981</v>
      </c>
      <c r="E21" s="222">
        <v>0.93319049474094273</v>
      </c>
      <c r="F21" s="222">
        <v>0.92175442024030474</v>
      </c>
      <c r="G21" s="222">
        <v>0.93393085787451979</v>
      </c>
      <c r="H21" s="223">
        <v>0.98240050737276041</v>
      </c>
      <c r="I21" s="221">
        <v>0.93478394241191032</v>
      </c>
      <c r="J21" s="345">
        <v>0.99958442123448299</v>
      </c>
      <c r="K21" s="181"/>
      <c r="L21" s="181"/>
      <c r="M21" s="181"/>
      <c r="N21" s="181"/>
      <c r="O21" s="181"/>
      <c r="P21" s="181"/>
      <c r="Q21" s="181"/>
      <c r="R21" s="171"/>
    </row>
    <row r="22" spans="1:18" x14ac:dyDescent="0.2">
      <c r="A22" s="3"/>
      <c r="B22" s="5" t="s">
        <v>1</v>
      </c>
      <c r="C22" s="131">
        <v>0.93829053277117669</v>
      </c>
      <c r="D22" s="180">
        <v>0.91685226429101707</v>
      </c>
      <c r="E22" s="180">
        <v>0.93354789852328668</v>
      </c>
      <c r="F22" s="180">
        <v>0.9538523274478331</v>
      </c>
      <c r="G22" s="180">
        <v>0.93333333333333335</v>
      </c>
      <c r="H22" s="130">
        <v>0.97482993197278911</v>
      </c>
      <c r="I22" s="131">
        <v>0.93497684997157016</v>
      </c>
      <c r="J22" s="346"/>
      <c r="K22" s="181"/>
      <c r="L22" s="181"/>
      <c r="M22" s="181"/>
      <c r="N22" s="181"/>
      <c r="O22" s="181"/>
      <c r="P22" s="181"/>
      <c r="Q22" s="181"/>
      <c r="R22" s="171"/>
    </row>
    <row r="23" spans="1:18" ht="12" thickBot="1" x14ac:dyDescent="0.25">
      <c r="A23" s="58"/>
      <c r="B23" s="4" t="s">
        <v>0</v>
      </c>
      <c r="C23" s="136">
        <v>0.9646869983948636</v>
      </c>
      <c r="D23" s="182">
        <v>0.95194233079695634</v>
      </c>
      <c r="E23" s="182">
        <v>0.93281187324508619</v>
      </c>
      <c r="F23" s="182">
        <v>0.89130020940415</v>
      </c>
      <c r="G23" s="182">
        <v>0.93448275862068964</v>
      </c>
      <c r="H23" s="135">
        <v>0.98901098901098905</v>
      </c>
      <c r="I23" s="136">
        <v>0.93458829344647198</v>
      </c>
      <c r="J23" s="347"/>
      <c r="K23" s="181"/>
      <c r="L23" s="181"/>
      <c r="M23" s="181"/>
      <c r="N23" s="181"/>
      <c r="O23" s="181"/>
      <c r="P23" s="181"/>
      <c r="Q23" s="181"/>
      <c r="R23" s="171"/>
    </row>
    <row r="24" spans="1:18" x14ac:dyDescent="0.2">
      <c r="A24" s="74" t="s">
        <v>37</v>
      </c>
      <c r="B24" s="6" t="s">
        <v>2</v>
      </c>
      <c r="C24" s="221">
        <v>0.91565731166912856</v>
      </c>
      <c r="D24" s="222">
        <v>0.88243870112657385</v>
      </c>
      <c r="E24" s="222">
        <v>0.8661953041622199</v>
      </c>
      <c r="F24" s="222">
        <v>0.88615946097697917</v>
      </c>
      <c r="G24" s="222">
        <v>0.85425101214574894</v>
      </c>
      <c r="H24" s="223">
        <v>0.92977824709609291</v>
      </c>
      <c r="I24" s="221">
        <v>0.8819529922044429</v>
      </c>
      <c r="J24" s="345">
        <v>1.0325957159395307</v>
      </c>
      <c r="K24" s="181"/>
      <c r="L24" s="181"/>
      <c r="M24" s="181"/>
      <c r="N24" s="181"/>
      <c r="O24" s="181"/>
      <c r="P24" s="181"/>
      <c r="Q24" s="181"/>
      <c r="R24" s="171"/>
    </row>
    <row r="25" spans="1:18" x14ac:dyDescent="0.2">
      <c r="A25" s="3"/>
      <c r="B25" s="5" t="s">
        <v>1</v>
      </c>
      <c r="C25" s="131">
        <v>0.89257694628847317</v>
      </c>
      <c r="D25" s="180">
        <v>0.86003732338043193</v>
      </c>
      <c r="E25" s="180">
        <v>0.86157582298974633</v>
      </c>
      <c r="F25" s="180">
        <v>0.87321002386634849</v>
      </c>
      <c r="G25" s="180">
        <v>0.84463986599664986</v>
      </c>
      <c r="H25" s="130">
        <v>0.91666666666666663</v>
      </c>
      <c r="I25" s="131">
        <v>0.86736115317061357</v>
      </c>
      <c r="J25" s="346"/>
      <c r="K25" s="181"/>
      <c r="L25" s="181"/>
      <c r="M25" s="181"/>
      <c r="N25" s="181"/>
      <c r="O25" s="181"/>
      <c r="P25" s="181"/>
      <c r="Q25" s="181"/>
      <c r="R25" s="171"/>
    </row>
    <row r="26" spans="1:18" ht="12" thickBot="1" x14ac:dyDescent="0.25">
      <c r="A26" s="58"/>
      <c r="B26" s="4" t="s">
        <v>0</v>
      </c>
      <c r="C26" s="136">
        <v>0.93778935185185186</v>
      </c>
      <c r="D26" s="182">
        <v>0.90458618871903007</v>
      </c>
      <c r="E26" s="182">
        <v>0.87071240105540892</v>
      </c>
      <c r="F26" s="182">
        <v>0.89766702014846234</v>
      </c>
      <c r="G26" s="182">
        <v>0.86245087531261166</v>
      </c>
      <c r="H26" s="135">
        <v>0.94049904030710174</v>
      </c>
      <c r="I26" s="136">
        <v>0.89563341093634663</v>
      </c>
      <c r="J26" s="347"/>
      <c r="K26" s="181"/>
      <c r="L26" s="181"/>
      <c r="M26" s="181"/>
      <c r="N26" s="181"/>
      <c r="O26" s="181"/>
      <c r="P26" s="181"/>
      <c r="Q26" s="181"/>
      <c r="R26" s="171"/>
    </row>
    <row r="27" spans="1:18" x14ac:dyDescent="0.2">
      <c r="A27" s="74" t="s">
        <v>38</v>
      </c>
      <c r="B27" s="6" t="s">
        <v>2</v>
      </c>
      <c r="C27" s="221">
        <v>0.95115995115995111</v>
      </c>
      <c r="D27" s="222">
        <v>0.92935892200898329</v>
      </c>
      <c r="E27" s="222">
        <v>0.92506881435416455</v>
      </c>
      <c r="F27" s="222">
        <v>0.96647436595188851</v>
      </c>
      <c r="G27" s="222">
        <v>0.92852467600471267</v>
      </c>
      <c r="H27" s="223">
        <v>0.95325462667517546</v>
      </c>
      <c r="I27" s="221">
        <v>0.94031431721394754</v>
      </c>
      <c r="J27" s="345">
        <v>0.99975824975006877</v>
      </c>
      <c r="K27" s="247"/>
      <c r="L27" s="247"/>
      <c r="M27" s="247"/>
      <c r="N27" s="247"/>
      <c r="O27" s="247"/>
      <c r="P27" s="247"/>
      <c r="Q27" s="247"/>
      <c r="R27" s="248"/>
    </row>
    <row r="28" spans="1:18" ht="12" x14ac:dyDescent="0.2">
      <c r="A28" s="127"/>
      <c r="B28" s="5" t="s">
        <v>1</v>
      </c>
      <c r="C28" s="131">
        <v>0.9332545776727702</v>
      </c>
      <c r="D28" s="180">
        <v>0.91559342183475334</v>
      </c>
      <c r="E28" s="180">
        <v>0.91692119731215638</v>
      </c>
      <c r="F28" s="180">
        <v>0.97885835095137419</v>
      </c>
      <c r="G28" s="180">
        <v>0.94624598305579899</v>
      </c>
      <c r="H28" s="130">
        <v>0.94849785407725318</v>
      </c>
      <c r="I28" s="131">
        <v>0.93740272812454262</v>
      </c>
      <c r="J28" s="346"/>
      <c r="K28" s="247"/>
      <c r="L28" s="247"/>
      <c r="M28" s="247"/>
      <c r="N28" s="247"/>
      <c r="O28" s="247"/>
      <c r="P28" s="247"/>
      <c r="Q28" s="247"/>
      <c r="R28" s="248"/>
    </row>
    <row r="29" spans="1:18" ht="12" thickBot="1" x14ac:dyDescent="0.25">
      <c r="A29" s="58"/>
      <c r="B29" s="4" t="s">
        <v>0</v>
      </c>
      <c r="C29" s="136">
        <v>0.96188671299220885</v>
      </c>
      <c r="D29" s="182">
        <v>0.93556538218572327</v>
      </c>
      <c r="E29" s="182">
        <v>0.92486729277256019</v>
      </c>
      <c r="F29" s="182">
        <v>0.94685598377281943</v>
      </c>
      <c r="G29" s="182">
        <v>0.91413662239089188</v>
      </c>
      <c r="H29" s="135">
        <v>0.9570852534562212</v>
      </c>
      <c r="I29" s="136">
        <v>0.93717611078073226</v>
      </c>
      <c r="J29" s="347"/>
      <c r="K29" s="247"/>
      <c r="L29" s="247"/>
      <c r="M29" s="247"/>
      <c r="N29" s="247"/>
      <c r="O29" s="247"/>
      <c r="P29" s="247"/>
      <c r="Q29" s="247"/>
      <c r="R29" s="248"/>
    </row>
    <row r="30" spans="1:18" x14ac:dyDescent="0.2">
      <c r="A30" s="74" t="s">
        <v>39</v>
      </c>
      <c r="B30" s="6" t="s">
        <v>2</v>
      </c>
      <c r="C30" s="221">
        <v>0.99577960140679955</v>
      </c>
      <c r="D30" s="222">
        <v>0.99282105822919431</v>
      </c>
      <c r="E30" s="222">
        <v>0.99485139246431076</v>
      </c>
      <c r="F30" s="222">
        <v>0.99624236730859561</v>
      </c>
      <c r="G30" s="222">
        <v>0.93186672362238354</v>
      </c>
      <c r="H30" s="223">
        <v>0.95515970515970516</v>
      </c>
      <c r="I30" s="221">
        <v>0.97781155337824044</v>
      </c>
      <c r="J30" s="345">
        <v>1.0190963163936138</v>
      </c>
      <c r="K30" s="181"/>
      <c r="L30" s="181"/>
      <c r="M30" s="181"/>
      <c r="N30" s="181"/>
      <c r="O30" s="181"/>
      <c r="P30" s="181"/>
      <c r="Q30" s="181"/>
      <c r="R30" s="171"/>
    </row>
    <row r="31" spans="1:18" x14ac:dyDescent="0.2">
      <c r="A31" s="3"/>
      <c r="B31" s="5" t="s">
        <v>1</v>
      </c>
      <c r="C31" s="131">
        <v>0.96493688639551189</v>
      </c>
      <c r="D31" s="180">
        <v>0.96517150395778362</v>
      </c>
      <c r="E31" s="180">
        <v>0.97155255544840891</v>
      </c>
      <c r="F31" s="180">
        <v>0.98123732251521301</v>
      </c>
      <c r="G31" s="180">
        <v>0.9284377923292797</v>
      </c>
      <c r="H31" s="130">
        <v>0.94393186657203687</v>
      </c>
      <c r="I31" s="131">
        <v>0.95830000000000004</v>
      </c>
      <c r="J31" s="346"/>
      <c r="K31" s="181"/>
      <c r="L31" s="181"/>
      <c r="M31" s="181"/>
      <c r="N31" s="181"/>
      <c r="O31" s="181"/>
      <c r="P31" s="181"/>
      <c r="Q31" s="181"/>
      <c r="R31" s="171"/>
    </row>
    <row r="32" spans="1:18" ht="12" thickBot="1" x14ac:dyDescent="0.25">
      <c r="A32" s="58"/>
      <c r="B32" s="4" t="s">
        <v>0</v>
      </c>
      <c r="C32" s="136">
        <v>0.9915333960489181</v>
      </c>
      <c r="D32" s="182">
        <v>0.98553054662379425</v>
      </c>
      <c r="E32" s="182">
        <v>0.98999545247839926</v>
      </c>
      <c r="F32" s="182">
        <v>0.99300087489063871</v>
      </c>
      <c r="G32" s="182">
        <v>0.93474842767295596</v>
      </c>
      <c r="H32" s="135">
        <v>0.96372495939361125</v>
      </c>
      <c r="I32" s="136">
        <v>0.97660000000000002</v>
      </c>
      <c r="J32" s="347"/>
      <c r="K32" s="181"/>
      <c r="L32" s="181"/>
      <c r="M32" s="181"/>
      <c r="N32" s="181"/>
      <c r="O32" s="181"/>
      <c r="P32" s="181"/>
      <c r="Q32" s="181"/>
      <c r="R32" s="171"/>
    </row>
    <row r="33" spans="1:18" ht="10.15" customHeight="1" x14ac:dyDescent="0.2">
      <c r="A33" s="74" t="s">
        <v>40</v>
      </c>
      <c r="B33" s="6" t="s">
        <v>2</v>
      </c>
      <c r="C33" s="221">
        <v>0.97526793075020612</v>
      </c>
      <c r="D33" s="222">
        <v>0.96832225263981231</v>
      </c>
      <c r="E33" s="222">
        <v>0.96943607404218679</v>
      </c>
      <c r="F33" s="222">
        <v>0.98536585365853657</v>
      </c>
      <c r="G33" s="222">
        <v>0.88673267326732674</v>
      </c>
      <c r="H33" s="223">
        <v>0.94870438921205713</v>
      </c>
      <c r="I33" s="221">
        <v>0.95519631927795789</v>
      </c>
      <c r="J33" s="345">
        <v>1.0254479906690701</v>
      </c>
      <c r="K33" s="181"/>
      <c r="L33" s="181"/>
      <c r="M33" s="181"/>
      <c r="N33" s="181"/>
      <c r="O33" s="181"/>
      <c r="P33" s="181"/>
      <c r="Q33" s="181"/>
      <c r="R33" s="171"/>
    </row>
    <row r="34" spans="1:18" x14ac:dyDescent="0.2">
      <c r="A34" s="3"/>
      <c r="B34" s="5" t="s">
        <v>1</v>
      </c>
      <c r="C34" s="131">
        <v>0.957286432160804</v>
      </c>
      <c r="D34" s="180">
        <v>0.9496619083395943</v>
      </c>
      <c r="E34" s="180">
        <v>0.94626364399664142</v>
      </c>
      <c r="F34" s="180">
        <v>0.97765363128491622</v>
      </c>
      <c r="G34" s="180">
        <v>0.87818930041152266</v>
      </c>
      <c r="H34" s="130">
        <v>0.95588235294117652</v>
      </c>
      <c r="I34" s="131">
        <v>0.94309999999999994</v>
      </c>
      <c r="J34" s="346"/>
      <c r="K34" s="181"/>
      <c r="L34" s="181"/>
      <c r="M34" s="181"/>
      <c r="N34" s="181"/>
      <c r="O34" s="181"/>
      <c r="P34" s="181"/>
      <c r="Q34" s="181"/>
      <c r="R34" s="171"/>
    </row>
    <row r="35" spans="1:18" ht="12" thickBot="1" x14ac:dyDescent="0.25">
      <c r="A35" s="58"/>
      <c r="B35" s="4" t="s">
        <v>0</v>
      </c>
      <c r="C35" s="136">
        <v>0.99269480519480524</v>
      </c>
      <c r="D35" s="182">
        <v>0.98858075040783033</v>
      </c>
      <c r="E35" s="182">
        <v>0.99116607773851595</v>
      </c>
      <c r="F35" s="182">
        <v>0.99337199668599829</v>
      </c>
      <c r="G35" s="182">
        <v>0.89465648854961832</v>
      </c>
      <c r="H35" s="135">
        <v>0.94240317775571003</v>
      </c>
      <c r="I35" s="136">
        <v>0.96709999999999996</v>
      </c>
      <c r="J35" s="347"/>
      <c r="K35" s="181"/>
      <c r="L35" s="181"/>
      <c r="M35" s="181"/>
      <c r="N35" s="181"/>
      <c r="O35" s="181"/>
      <c r="P35" s="181"/>
      <c r="Q35" s="181"/>
      <c r="R35" s="171"/>
    </row>
    <row r="36" spans="1:18" x14ac:dyDescent="0.2">
      <c r="A36" s="74" t="s">
        <v>41</v>
      </c>
      <c r="B36" s="6" t="s">
        <v>2</v>
      </c>
      <c r="C36" s="221">
        <v>0.94156783338154471</v>
      </c>
      <c r="D36" s="222">
        <v>0.94006752954417561</v>
      </c>
      <c r="E36" s="222">
        <v>0.92280606717226432</v>
      </c>
      <c r="F36" s="222">
        <v>0.98112189859762677</v>
      </c>
      <c r="G36" s="222">
        <v>0.86775415088843577</v>
      </c>
      <c r="H36" s="223">
        <v>0.94724220623501199</v>
      </c>
      <c r="I36" s="221">
        <v>0.932450152364101</v>
      </c>
      <c r="J36" s="345">
        <v>1.0415205959684486</v>
      </c>
      <c r="K36" s="247"/>
      <c r="L36" s="247"/>
      <c r="M36" s="247"/>
      <c r="N36" s="247"/>
      <c r="O36" s="247"/>
      <c r="P36" s="247"/>
      <c r="Q36" s="247"/>
      <c r="R36" s="248"/>
    </row>
    <row r="37" spans="1:18" ht="12" x14ac:dyDescent="0.2">
      <c r="A37" s="127"/>
      <c r="B37" s="5" t="s">
        <v>1</v>
      </c>
      <c r="C37" s="131">
        <v>0.91696322657176754</v>
      </c>
      <c r="D37" s="180">
        <v>0.91420612813370472</v>
      </c>
      <c r="E37" s="180">
        <v>0.89515699840340601</v>
      </c>
      <c r="F37" s="180">
        <v>0.97368421052631582</v>
      </c>
      <c r="G37" s="180">
        <v>0.84993773349937729</v>
      </c>
      <c r="H37" s="130">
        <v>0.94031311154598829</v>
      </c>
      <c r="I37" s="131">
        <v>0.91280000000000006</v>
      </c>
      <c r="J37" s="346"/>
      <c r="K37" s="247"/>
      <c r="L37" s="247"/>
      <c r="M37" s="247"/>
      <c r="N37" s="247"/>
      <c r="O37" s="247"/>
      <c r="P37" s="247"/>
      <c r="Q37" s="247"/>
      <c r="R37" s="248"/>
    </row>
    <row r="38" spans="1:18" ht="12" thickBot="1" x14ac:dyDescent="0.25">
      <c r="A38" s="58"/>
      <c r="B38" s="4" t="s">
        <v>0</v>
      </c>
      <c r="C38" s="136">
        <v>0.96499153020892148</v>
      </c>
      <c r="D38" s="182">
        <v>0.96645821489482664</v>
      </c>
      <c r="E38" s="182">
        <v>0.95146166574738</v>
      </c>
      <c r="F38" s="182">
        <v>0.98748748748748749</v>
      </c>
      <c r="G38" s="182">
        <v>0.8834154351395731</v>
      </c>
      <c r="H38" s="135">
        <v>0.95202702702702702</v>
      </c>
      <c r="I38" s="136">
        <v>0.95069999999999999</v>
      </c>
      <c r="J38" s="347"/>
      <c r="K38" s="247"/>
      <c r="L38" s="247"/>
      <c r="M38" s="247"/>
      <c r="N38" s="247"/>
      <c r="O38" s="247"/>
      <c r="P38" s="247"/>
      <c r="Q38" s="247"/>
      <c r="R38" s="248"/>
    </row>
    <row r="39" spans="1:18" x14ac:dyDescent="0.2">
      <c r="A39" s="74" t="s">
        <v>42</v>
      </c>
      <c r="B39" s="6" t="s">
        <v>2</v>
      </c>
      <c r="C39" s="221">
        <v>0.9923998157531092</v>
      </c>
      <c r="D39" s="222">
        <v>0.9935684187181193</v>
      </c>
      <c r="E39" s="222">
        <v>0.98854373209958135</v>
      </c>
      <c r="F39" s="222">
        <v>0.99561769616026707</v>
      </c>
      <c r="G39" s="222">
        <v>0.94846217788861176</v>
      </c>
      <c r="H39" s="223">
        <v>0.97294638465322181</v>
      </c>
      <c r="I39" s="221">
        <v>0.98190886917960085</v>
      </c>
      <c r="J39" s="345">
        <v>1.0072716099959034</v>
      </c>
      <c r="K39" s="181"/>
      <c r="L39" s="181"/>
      <c r="M39" s="181"/>
      <c r="N39" s="181"/>
      <c r="O39" s="181"/>
      <c r="P39" s="181"/>
      <c r="Q39" s="181"/>
      <c r="R39" s="171"/>
    </row>
    <row r="40" spans="1:18" x14ac:dyDescent="0.2">
      <c r="A40" s="3"/>
      <c r="B40" s="5" t="s">
        <v>1</v>
      </c>
      <c r="C40" s="131">
        <v>0.98526127735596247</v>
      </c>
      <c r="D40" s="180">
        <v>0.97829861111111116</v>
      </c>
      <c r="E40" s="180">
        <v>0.97554585152838424</v>
      </c>
      <c r="F40" s="180">
        <v>0.99085764040052238</v>
      </c>
      <c r="G40" s="180">
        <v>0.96037820801440787</v>
      </c>
      <c r="H40" s="130">
        <v>0.96910401647785793</v>
      </c>
      <c r="I40" s="131">
        <v>0.97640000000000005</v>
      </c>
      <c r="J40" s="346"/>
      <c r="K40" s="181"/>
      <c r="L40" s="181"/>
      <c r="M40" s="181"/>
      <c r="N40" s="181"/>
      <c r="O40" s="181"/>
      <c r="P40" s="181"/>
      <c r="Q40" s="181"/>
      <c r="R40" s="171"/>
    </row>
    <row r="41" spans="1:18" ht="12" thickBot="1" x14ac:dyDescent="0.25">
      <c r="A41" s="58"/>
      <c r="B41" s="4" t="s">
        <v>0</v>
      </c>
      <c r="C41" s="136">
        <v>0.99762244412743695</v>
      </c>
      <c r="D41" s="182">
        <v>0.99455782312925167</v>
      </c>
      <c r="E41" s="182">
        <v>0.99599822143174743</v>
      </c>
      <c r="F41" s="182">
        <v>0.9975951903807615</v>
      </c>
      <c r="G41" s="182">
        <v>0.93824778077962179</v>
      </c>
      <c r="H41" s="135">
        <v>0.97645951035781542</v>
      </c>
      <c r="I41" s="136">
        <v>0.98350000000000004</v>
      </c>
      <c r="J41" s="347"/>
      <c r="K41" s="181"/>
      <c r="L41" s="181"/>
      <c r="M41" s="181"/>
      <c r="N41" s="181"/>
      <c r="O41" s="181"/>
      <c r="P41" s="181"/>
      <c r="Q41" s="181"/>
      <c r="R41" s="171"/>
    </row>
    <row r="42" spans="1:18" x14ac:dyDescent="0.2">
      <c r="A42" s="74" t="s">
        <v>43</v>
      </c>
      <c r="B42" s="6" t="s">
        <v>2</v>
      </c>
      <c r="C42" s="67">
        <v>0.99625723035045932</v>
      </c>
      <c r="D42" s="68">
        <v>0.99651678277390754</v>
      </c>
      <c r="E42" s="68">
        <v>0.99264590830855892</v>
      </c>
      <c r="F42" s="68">
        <v>0.99775011249437529</v>
      </c>
      <c r="G42" s="68">
        <v>0.91979809310151428</v>
      </c>
      <c r="H42" s="210">
        <v>0.97085006109268634</v>
      </c>
      <c r="I42" s="67">
        <v>0.9789861254690001</v>
      </c>
      <c r="J42" s="335">
        <v>1.0092687950566426</v>
      </c>
      <c r="K42" s="181"/>
      <c r="L42" s="181"/>
      <c r="M42" s="181"/>
      <c r="N42" s="181"/>
      <c r="O42" s="181"/>
      <c r="P42" s="181"/>
      <c r="Q42" s="181"/>
      <c r="R42" s="171"/>
    </row>
    <row r="43" spans="1:18" x14ac:dyDescent="0.2">
      <c r="A43" s="3"/>
      <c r="B43" s="5" t="s">
        <v>1</v>
      </c>
      <c r="C43" s="70">
        <v>0.98618875369944092</v>
      </c>
      <c r="D43" s="71">
        <v>0.9827098396730588</v>
      </c>
      <c r="E43" s="71">
        <v>0.98200992555831268</v>
      </c>
      <c r="F43" s="71">
        <v>0.99092833383731482</v>
      </c>
      <c r="G43" s="71">
        <v>0.91410488245931287</v>
      </c>
      <c r="H43" s="83">
        <v>0.97083021690351534</v>
      </c>
      <c r="I43" s="70">
        <v>0.97099999999999997</v>
      </c>
      <c r="J43" s="336"/>
      <c r="K43" s="181"/>
      <c r="L43" s="181"/>
      <c r="M43" s="181"/>
      <c r="N43" s="181"/>
      <c r="O43" s="181"/>
      <c r="P43" s="181"/>
      <c r="Q43" s="181"/>
      <c r="R43" s="171"/>
    </row>
    <row r="44" spans="1:18" ht="12" thickBot="1" x14ac:dyDescent="0.25">
      <c r="A44" s="58"/>
      <c r="B44" s="4" t="s">
        <v>0</v>
      </c>
      <c r="C44" s="87">
        <v>0.99330278463165311</v>
      </c>
      <c r="D44" s="175">
        <v>0.99425837320574162</v>
      </c>
      <c r="E44" s="175">
        <v>0.99589516892958641</v>
      </c>
      <c r="F44" s="175">
        <v>0.99732142857142858</v>
      </c>
      <c r="G44" s="175">
        <v>0.92684845306764552</v>
      </c>
      <c r="H44" s="86">
        <v>0.97086743044189849</v>
      </c>
      <c r="I44" s="87">
        <v>0.98</v>
      </c>
      <c r="J44" s="337"/>
      <c r="K44" s="181"/>
      <c r="L44" s="181"/>
      <c r="M44" s="181"/>
      <c r="N44" s="181"/>
      <c r="O44" s="181"/>
      <c r="P44" s="181"/>
      <c r="Q44" s="181"/>
      <c r="R44" s="171"/>
    </row>
    <row r="45" spans="1:18" ht="12.75" x14ac:dyDescent="0.25">
      <c r="A45" s="88" t="s">
        <v>3</v>
      </c>
      <c r="B45" s="358" t="s">
        <v>2</v>
      </c>
      <c r="C45" s="237">
        <v>0.97680579584775085</v>
      </c>
      <c r="D45" s="238">
        <v>0.95943008493926385</v>
      </c>
      <c r="E45" s="238">
        <v>0.9547212218279636</v>
      </c>
      <c r="F45" s="238">
        <v>0.98976692797390431</v>
      </c>
      <c r="G45" s="238">
        <v>0.9174472197442759</v>
      </c>
      <c r="H45" s="239">
        <v>0.95934479184244148</v>
      </c>
      <c r="I45" s="237">
        <v>0.95919194249813122</v>
      </c>
      <c r="J45" s="368">
        <v>1.014704337779645</v>
      </c>
      <c r="K45" s="181"/>
      <c r="L45" s="181"/>
      <c r="M45" s="181"/>
      <c r="N45" s="181"/>
      <c r="O45" s="181"/>
      <c r="P45" s="181"/>
      <c r="Q45" s="181"/>
      <c r="R45" s="171"/>
    </row>
    <row r="46" spans="1:18" ht="12.75" x14ac:dyDescent="0.25">
      <c r="A46" s="96"/>
      <c r="B46" s="358" t="s">
        <v>1</v>
      </c>
      <c r="C46" s="98">
        <v>0.96580545766853787</v>
      </c>
      <c r="D46" s="99">
        <v>0.94576313535122791</v>
      </c>
      <c r="E46" s="99">
        <v>0.95065129823704819</v>
      </c>
      <c r="F46" s="99">
        <v>0.98535180852978221</v>
      </c>
      <c r="G46" s="99">
        <v>0.91758317975546444</v>
      </c>
      <c r="H46" s="100">
        <v>0.95296102937298954</v>
      </c>
      <c r="I46" s="98">
        <v>0.95210000000000006</v>
      </c>
      <c r="J46" s="369"/>
      <c r="K46" s="181"/>
      <c r="L46" s="181"/>
      <c r="M46" s="181"/>
      <c r="N46" s="181"/>
      <c r="O46" s="181"/>
      <c r="P46" s="181"/>
      <c r="Q46" s="181"/>
      <c r="R46" s="171"/>
    </row>
    <row r="47" spans="1:18" ht="13.5" thickBot="1" x14ac:dyDescent="0.3">
      <c r="A47" s="103"/>
      <c r="B47" s="363" t="s">
        <v>0</v>
      </c>
      <c r="C47" s="105">
        <v>0.98820291716356301</v>
      </c>
      <c r="D47" s="106">
        <v>0.97375509745968802</v>
      </c>
      <c r="E47" s="106">
        <v>0.95891419948260992</v>
      </c>
      <c r="F47" s="106">
        <v>0.99396292242440831</v>
      </c>
      <c r="G47" s="106">
        <v>0.91732717442653933</v>
      </c>
      <c r="H47" s="107">
        <v>0.96472024866785078</v>
      </c>
      <c r="I47" s="105">
        <v>0.96610000000000007</v>
      </c>
      <c r="J47" s="370"/>
      <c r="K47" s="181"/>
      <c r="L47" s="181"/>
      <c r="M47" s="181"/>
      <c r="N47" s="181"/>
      <c r="O47" s="181"/>
      <c r="P47" s="181"/>
      <c r="Q47" s="181"/>
      <c r="R47" s="171"/>
    </row>
    <row r="48" spans="1:18" x14ac:dyDescent="0.2">
      <c r="J48" s="155"/>
    </row>
  </sheetData>
  <sheetProtection algorithmName="SHA-512" hashValue="j51DDou67ayYezPB+uhi7ts2xl4HoBX+ryVtlERG8BsXx93qpzMyRsk1aYVjSV3f0Pzz5guYoMeVF6CYqhAoGg==" saltValue="3QXyGxOSEIbVyjflpzhFhA==" spinCount="100000" sheet="1" objects="1" scenarios="1"/>
  <mergeCells count="42">
    <mergeCell ref="GT3:HC3"/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  <mergeCell ref="G10:G11"/>
    <mergeCell ref="A6:J6"/>
    <mergeCell ref="HD3:HM3"/>
    <mergeCell ref="A4:J4"/>
    <mergeCell ref="A5:J5"/>
    <mergeCell ref="CD5:CM5"/>
    <mergeCell ref="CN5:CW5"/>
    <mergeCell ref="CX5:DG5"/>
    <mergeCell ref="GJ5:GS5"/>
    <mergeCell ref="GT5:HC5"/>
    <mergeCell ref="HD5:HM5"/>
    <mergeCell ref="A3:J3"/>
    <mergeCell ref="CD3:CM3"/>
    <mergeCell ref="CN3:CW3"/>
    <mergeCell ref="CX3:DG3"/>
    <mergeCell ref="GJ3:GS3"/>
    <mergeCell ref="B10:B11"/>
    <mergeCell ref="C10:C11"/>
    <mergeCell ref="D10:D11"/>
    <mergeCell ref="E10:E11"/>
    <mergeCell ref="F10:F11"/>
    <mergeCell ref="P10:P11"/>
    <mergeCell ref="K10:K11"/>
    <mergeCell ref="L10:L11"/>
    <mergeCell ref="M10:M11"/>
    <mergeCell ref="N10:N11"/>
    <mergeCell ref="O10:O1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  <pageSetUpPr fitToPage="1"/>
  </sheetPr>
  <dimension ref="A1:R47"/>
  <sheetViews>
    <sheetView showGridLines="0" zoomScaleNormal="100" workbookViewId="0">
      <pane xSplit="2" ySplit="8" topLeftCell="C9" activePane="bottomRight" state="frozen"/>
      <selection activeCell="S37" sqref="S37"/>
      <selection pane="topRight" activeCell="S37" sqref="S37"/>
      <selection pane="bottomLeft" activeCell="S37" sqref="S37"/>
      <selection pane="bottomRight" activeCell="A54" sqref="A54"/>
    </sheetView>
  </sheetViews>
  <sheetFormatPr defaultRowHeight="11.25" x14ac:dyDescent="0.2"/>
  <cols>
    <col min="1" max="1" width="49.42578125" style="110" customWidth="1"/>
    <col min="2" max="2" width="9.7109375" style="111" customWidth="1"/>
    <col min="3" max="3" width="6.5703125" style="27" customWidth="1"/>
    <col min="4" max="4" width="7" style="27" bestFit="1" customWidth="1"/>
    <col min="5" max="5" width="7.42578125" style="27" bestFit="1" customWidth="1"/>
    <col min="6" max="6" width="7.7109375" style="27" bestFit="1" customWidth="1"/>
    <col min="7" max="7" width="7.28515625" style="27" bestFit="1" customWidth="1"/>
    <col min="8" max="8" width="7.7109375" style="27" bestFit="1" customWidth="1"/>
    <col min="9" max="9" width="10.28515625" style="27" bestFit="1" customWidth="1"/>
    <col min="10" max="10" width="9" style="155" bestFit="1" customWidth="1"/>
    <col min="11" max="208" width="8.85546875" style="111"/>
    <col min="209" max="209" width="23.7109375" style="111" customWidth="1"/>
    <col min="210" max="210" width="10.7109375" style="111" customWidth="1"/>
    <col min="211" max="211" width="6.5703125" style="111" customWidth="1"/>
    <col min="212" max="212" width="7" style="111" bestFit="1" customWidth="1"/>
    <col min="213" max="213" width="7.42578125" style="111" bestFit="1" customWidth="1"/>
    <col min="214" max="214" width="7.7109375" style="111" bestFit="1" customWidth="1"/>
    <col min="215" max="215" width="7.28515625" style="111" bestFit="1" customWidth="1"/>
    <col min="216" max="216" width="7.7109375" style="111" bestFit="1" customWidth="1"/>
    <col min="217" max="218" width="10.28515625" style="111" bestFit="1" customWidth="1"/>
    <col min="219" max="219" width="23.7109375" style="111" customWidth="1"/>
    <col min="220" max="220" width="10.7109375" style="111" customWidth="1"/>
    <col min="221" max="221" width="6.5703125" style="111" customWidth="1"/>
    <col min="222" max="222" width="7" style="111" customWidth="1"/>
    <col min="223" max="223" width="7.42578125" style="111" customWidth="1"/>
    <col min="224" max="224" width="7.7109375" style="111" customWidth="1"/>
    <col min="225" max="225" width="7.28515625" style="111" customWidth="1"/>
    <col min="226" max="226" width="7.7109375" style="111" customWidth="1"/>
    <col min="227" max="228" width="10.28515625" style="111" customWidth="1"/>
    <col min="229" max="229" width="14.7109375" style="111" customWidth="1"/>
    <col min="230" max="230" width="10.7109375" style="111" customWidth="1"/>
    <col min="231" max="231" width="6.5703125" style="111" customWidth="1"/>
    <col min="232" max="232" width="7" style="111" customWidth="1"/>
    <col min="233" max="233" width="7.42578125" style="111" customWidth="1"/>
    <col min="234" max="234" width="7.7109375" style="111" customWidth="1"/>
    <col min="235" max="235" width="7.28515625" style="111" customWidth="1"/>
    <col min="236" max="236" width="7.7109375" style="111" customWidth="1"/>
    <col min="237" max="238" width="10.28515625" style="111" customWidth="1"/>
    <col min="239" max="239" width="8.85546875" style="111"/>
    <col min="240" max="258" width="9.28515625" style="111" customWidth="1"/>
    <col min="259" max="464" width="8.85546875" style="111"/>
    <col min="465" max="465" width="23.7109375" style="111" customWidth="1"/>
    <col min="466" max="466" width="10.7109375" style="111" customWidth="1"/>
    <col min="467" max="467" width="6.5703125" style="111" customWidth="1"/>
    <col min="468" max="468" width="7" style="111" bestFit="1" customWidth="1"/>
    <col min="469" max="469" width="7.42578125" style="111" bestFit="1" customWidth="1"/>
    <col min="470" max="470" width="7.7109375" style="111" bestFit="1" customWidth="1"/>
    <col min="471" max="471" width="7.28515625" style="111" bestFit="1" customWidth="1"/>
    <col min="472" max="472" width="7.7109375" style="111" bestFit="1" customWidth="1"/>
    <col min="473" max="474" width="10.28515625" style="111" bestFit="1" customWidth="1"/>
    <col min="475" max="475" width="23.7109375" style="111" customWidth="1"/>
    <col min="476" max="476" width="10.7109375" style="111" customWidth="1"/>
    <col min="477" max="477" width="6.5703125" style="111" customWidth="1"/>
    <col min="478" max="478" width="7" style="111" customWidth="1"/>
    <col min="479" max="479" width="7.42578125" style="111" customWidth="1"/>
    <col min="480" max="480" width="7.7109375" style="111" customWidth="1"/>
    <col min="481" max="481" width="7.28515625" style="111" customWidth="1"/>
    <col min="482" max="482" width="7.7109375" style="111" customWidth="1"/>
    <col min="483" max="484" width="10.28515625" style="111" customWidth="1"/>
    <col min="485" max="485" width="14.7109375" style="111" customWidth="1"/>
    <col min="486" max="486" width="10.7109375" style="111" customWidth="1"/>
    <col min="487" max="487" width="6.5703125" style="111" customWidth="1"/>
    <col min="488" max="488" width="7" style="111" customWidth="1"/>
    <col min="489" max="489" width="7.42578125" style="111" customWidth="1"/>
    <col min="490" max="490" width="7.7109375" style="111" customWidth="1"/>
    <col min="491" max="491" width="7.28515625" style="111" customWidth="1"/>
    <col min="492" max="492" width="7.7109375" style="111" customWidth="1"/>
    <col min="493" max="494" width="10.28515625" style="111" customWidth="1"/>
    <col min="495" max="495" width="8.85546875" style="111"/>
    <col min="496" max="514" width="9.28515625" style="111" customWidth="1"/>
    <col min="515" max="720" width="8.85546875" style="111"/>
    <col min="721" max="721" width="23.7109375" style="111" customWidth="1"/>
    <col min="722" max="722" width="10.7109375" style="111" customWidth="1"/>
    <col min="723" max="723" width="6.5703125" style="111" customWidth="1"/>
    <col min="724" max="724" width="7" style="111" bestFit="1" customWidth="1"/>
    <col min="725" max="725" width="7.42578125" style="111" bestFit="1" customWidth="1"/>
    <col min="726" max="726" width="7.7109375" style="111" bestFit="1" customWidth="1"/>
    <col min="727" max="727" width="7.28515625" style="111" bestFit="1" customWidth="1"/>
    <col min="728" max="728" width="7.7109375" style="111" bestFit="1" customWidth="1"/>
    <col min="729" max="730" width="10.28515625" style="111" bestFit="1" customWidth="1"/>
    <col min="731" max="731" width="23.7109375" style="111" customWidth="1"/>
    <col min="732" max="732" width="10.7109375" style="111" customWidth="1"/>
    <col min="733" max="733" width="6.5703125" style="111" customWidth="1"/>
    <col min="734" max="734" width="7" style="111" customWidth="1"/>
    <col min="735" max="735" width="7.42578125" style="111" customWidth="1"/>
    <col min="736" max="736" width="7.7109375" style="111" customWidth="1"/>
    <col min="737" max="737" width="7.28515625" style="111" customWidth="1"/>
    <col min="738" max="738" width="7.7109375" style="111" customWidth="1"/>
    <col min="739" max="740" width="10.28515625" style="111" customWidth="1"/>
    <col min="741" max="741" width="14.7109375" style="111" customWidth="1"/>
    <col min="742" max="742" width="10.7109375" style="111" customWidth="1"/>
    <col min="743" max="743" width="6.5703125" style="111" customWidth="1"/>
    <col min="744" max="744" width="7" style="111" customWidth="1"/>
    <col min="745" max="745" width="7.42578125" style="111" customWidth="1"/>
    <col min="746" max="746" width="7.7109375" style="111" customWidth="1"/>
    <col min="747" max="747" width="7.28515625" style="111" customWidth="1"/>
    <col min="748" max="748" width="7.7109375" style="111" customWidth="1"/>
    <col min="749" max="750" width="10.28515625" style="111" customWidth="1"/>
    <col min="751" max="751" width="8.85546875" style="111"/>
    <col min="752" max="770" width="9.28515625" style="111" customWidth="1"/>
    <col min="771" max="976" width="8.85546875" style="111"/>
    <col min="977" max="977" width="23.7109375" style="111" customWidth="1"/>
    <col min="978" max="978" width="10.7109375" style="111" customWidth="1"/>
    <col min="979" max="979" width="6.5703125" style="111" customWidth="1"/>
    <col min="980" max="980" width="7" style="111" bestFit="1" customWidth="1"/>
    <col min="981" max="981" width="7.42578125" style="111" bestFit="1" customWidth="1"/>
    <col min="982" max="982" width="7.7109375" style="111" bestFit="1" customWidth="1"/>
    <col min="983" max="983" width="7.28515625" style="111" bestFit="1" customWidth="1"/>
    <col min="984" max="984" width="7.7109375" style="111" bestFit="1" customWidth="1"/>
    <col min="985" max="986" width="10.28515625" style="111" bestFit="1" customWidth="1"/>
    <col min="987" max="987" width="23.7109375" style="111" customWidth="1"/>
    <col min="988" max="988" width="10.7109375" style="111" customWidth="1"/>
    <col min="989" max="989" width="6.5703125" style="111" customWidth="1"/>
    <col min="990" max="990" width="7" style="111" customWidth="1"/>
    <col min="991" max="991" width="7.42578125" style="111" customWidth="1"/>
    <col min="992" max="992" width="7.7109375" style="111" customWidth="1"/>
    <col min="993" max="993" width="7.28515625" style="111" customWidth="1"/>
    <col min="994" max="994" width="7.7109375" style="111" customWidth="1"/>
    <col min="995" max="996" width="10.28515625" style="111" customWidth="1"/>
    <col min="997" max="997" width="14.7109375" style="111" customWidth="1"/>
    <col min="998" max="998" width="10.7109375" style="111" customWidth="1"/>
    <col min="999" max="999" width="6.5703125" style="111" customWidth="1"/>
    <col min="1000" max="1000" width="7" style="111" customWidth="1"/>
    <col min="1001" max="1001" width="7.42578125" style="111" customWidth="1"/>
    <col min="1002" max="1002" width="7.7109375" style="111" customWidth="1"/>
    <col min="1003" max="1003" width="7.28515625" style="111" customWidth="1"/>
    <col min="1004" max="1004" width="7.7109375" style="111" customWidth="1"/>
    <col min="1005" max="1006" width="10.28515625" style="111" customWidth="1"/>
    <col min="1007" max="1007" width="8.85546875" style="111"/>
    <col min="1008" max="1026" width="9.28515625" style="111" customWidth="1"/>
    <col min="1027" max="1232" width="8.85546875" style="111"/>
    <col min="1233" max="1233" width="23.7109375" style="111" customWidth="1"/>
    <col min="1234" max="1234" width="10.7109375" style="111" customWidth="1"/>
    <col min="1235" max="1235" width="6.5703125" style="111" customWidth="1"/>
    <col min="1236" max="1236" width="7" style="111" bestFit="1" customWidth="1"/>
    <col min="1237" max="1237" width="7.42578125" style="111" bestFit="1" customWidth="1"/>
    <col min="1238" max="1238" width="7.7109375" style="111" bestFit="1" customWidth="1"/>
    <col min="1239" max="1239" width="7.28515625" style="111" bestFit="1" customWidth="1"/>
    <col min="1240" max="1240" width="7.7109375" style="111" bestFit="1" customWidth="1"/>
    <col min="1241" max="1242" width="10.28515625" style="111" bestFit="1" customWidth="1"/>
    <col min="1243" max="1243" width="23.7109375" style="111" customWidth="1"/>
    <col min="1244" max="1244" width="10.7109375" style="111" customWidth="1"/>
    <col min="1245" max="1245" width="6.5703125" style="111" customWidth="1"/>
    <col min="1246" max="1246" width="7" style="111" customWidth="1"/>
    <col min="1247" max="1247" width="7.42578125" style="111" customWidth="1"/>
    <col min="1248" max="1248" width="7.7109375" style="111" customWidth="1"/>
    <col min="1249" max="1249" width="7.28515625" style="111" customWidth="1"/>
    <col min="1250" max="1250" width="7.7109375" style="111" customWidth="1"/>
    <col min="1251" max="1252" width="10.28515625" style="111" customWidth="1"/>
    <col min="1253" max="1253" width="14.7109375" style="111" customWidth="1"/>
    <col min="1254" max="1254" width="10.7109375" style="111" customWidth="1"/>
    <col min="1255" max="1255" width="6.5703125" style="111" customWidth="1"/>
    <col min="1256" max="1256" width="7" style="111" customWidth="1"/>
    <col min="1257" max="1257" width="7.42578125" style="111" customWidth="1"/>
    <col min="1258" max="1258" width="7.7109375" style="111" customWidth="1"/>
    <col min="1259" max="1259" width="7.28515625" style="111" customWidth="1"/>
    <col min="1260" max="1260" width="7.7109375" style="111" customWidth="1"/>
    <col min="1261" max="1262" width="10.28515625" style="111" customWidth="1"/>
    <col min="1263" max="1263" width="8.85546875" style="111"/>
    <col min="1264" max="1282" width="9.28515625" style="111" customWidth="1"/>
    <col min="1283" max="1488" width="8.85546875" style="111"/>
    <col min="1489" max="1489" width="23.7109375" style="111" customWidth="1"/>
    <col min="1490" max="1490" width="10.7109375" style="111" customWidth="1"/>
    <col min="1491" max="1491" width="6.5703125" style="111" customWidth="1"/>
    <col min="1492" max="1492" width="7" style="111" bestFit="1" customWidth="1"/>
    <col min="1493" max="1493" width="7.42578125" style="111" bestFit="1" customWidth="1"/>
    <col min="1494" max="1494" width="7.7109375" style="111" bestFit="1" customWidth="1"/>
    <col min="1495" max="1495" width="7.28515625" style="111" bestFit="1" customWidth="1"/>
    <col min="1496" max="1496" width="7.7109375" style="111" bestFit="1" customWidth="1"/>
    <col min="1497" max="1498" width="10.28515625" style="111" bestFit="1" customWidth="1"/>
    <col min="1499" max="1499" width="23.7109375" style="111" customWidth="1"/>
    <col min="1500" max="1500" width="10.7109375" style="111" customWidth="1"/>
    <col min="1501" max="1501" width="6.5703125" style="111" customWidth="1"/>
    <col min="1502" max="1502" width="7" style="111" customWidth="1"/>
    <col min="1503" max="1503" width="7.42578125" style="111" customWidth="1"/>
    <col min="1504" max="1504" width="7.7109375" style="111" customWidth="1"/>
    <col min="1505" max="1505" width="7.28515625" style="111" customWidth="1"/>
    <col min="1506" max="1506" width="7.7109375" style="111" customWidth="1"/>
    <col min="1507" max="1508" width="10.28515625" style="111" customWidth="1"/>
    <col min="1509" max="1509" width="14.7109375" style="111" customWidth="1"/>
    <col min="1510" max="1510" width="10.7109375" style="111" customWidth="1"/>
    <col min="1511" max="1511" width="6.5703125" style="111" customWidth="1"/>
    <col min="1512" max="1512" width="7" style="111" customWidth="1"/>
    <col min="1513" max="1513" width="7.42578125" style="111" customWidth="1"/>
    <col min="1514" max="1514" width="7.7109375" style="111" customWidth="1"/>
    <col min="1515" max="1515" width="7.28515625" style="111" customWidth="1"/>
    <col min="1516" max="1516" width="7.7109375" style="111" customWidth="1"/>
    <col min="1517" max="1518" width="10.28515625" style="111" customWidth="1"/>
    <col min="1519" max="1519" width="8.85546875" style="111"/>
    <col min="1520" max="1538" width="9.28515625" style="111" customWidth="1"/>
    <col min="1539" max="1744" width="8.85546875" style="111"/>
    <col min="1745" max="1745" width="23.7109375" style="111" customWidth="1"/>
    <col min="1746" max="1746" width="10.7109375" style="111" customWidth="1"/>
    <col min="1747" max="1747" width="6.5703125" style="111" customWidth="1"/>
    <col min="1748" max="1748" width="7" style="111" bestFit="1" customWidth="1"/>
    <col min="1749" max="1749" width="7.42578125" style="111" bestFit="1" customWidth="1"/>
    <col min="1750" max="1750" width="7.7109375" style="111" bestFit="1" customWidth="1"/>
    <col min="1751" max="1751" width="7.28515625" style="111" bestFit="1" customWidth="1"/>
    <col min="1752" max="1752" width="7.7109375" style="111" bestFit="1" customWidth="1"/>
    <col min="1753" max="1754" width="10.28515625" style="111" bestFit="1" customWidth="1"/>
    <col min="1755" max="1755" width="23.7109375" style="111" customWidth="1"/>
    <col min="1756" max="1756" width="10.7109375" style="111" customWidth="1"/>
    <col min="1757" max="1757" width="6.5703125" style="111" customWidth="1"/>
    <col min="1758" max="1758" width="7" style="111" customWidth="1"/>
    <col min="1759" max="1759" width="7.42578125" style="111" customWidth="1"/>
    <col min="1760" max="1760" width="7.7109375" style="111" customWidth="1"/>
    <col min="1761" max="1761" width="7.28515625" style="111" customWidth="1"/>
    <col min="1762" max="1762" width="7.7109375" style="111" customWidth="1"/>
    <col min="1763" max="1764" width="10.28515625" style="111" customWidth="1"/>
    <col min="1765" max="1765" width="14.7109375" style="111" customWidth="1"/>
    <col min="1766" max="1766" width="10.7109375" style="111" customWidth="1"/>
    <col min="1767" max="1767" width="6.5703125" style="111" customWidth="1"/>
    <col min="1768" max="1768" width="7" style="111" customWidth="1"/>
    <col min="1769" max="1769" width="7.42578125" style="111" customWidth="1"/>
    <col min="1770" max="1770" width="7.7109375" style="111" customWidth="1"/>
    <col min="1771" max="1771" width="7.28515625" style="111" customWidth="1"/>
    <col min="1772" max="1772" width="7.7109375" style="111" customWidth="1"/>
    <col min="1773" max="1774" width="10.28515625" style="111" customWidth="1"/>
    <col min="1775" max="1775" width="8.85546875" style="111"/>
    <col min="1776" max="1794" width="9.28515625" style="111" customWidth="1"/>
    <col min="1795" max="2000" width="8.85546875" style="111"/>
    <col min="2001" max="2001" width="23.7109375" style="111" customWidth="1"/>
    <col min="2002" max="2002" width="10.7109375" style="111" customWidth="1"/>
    <col min="2003" max="2003" width="6.5703125" style="111" customWidth="1"/>
    <col min="2004" max="2004" width="7" style="111" bestFit="1" customWidth="1"/>
    <col min="2005" max="2005" width="7.42578125" style="111" bestFit="1" customWidth="1"/>
    <col min="2006" max="2006" width="7.7109375" style="111" bestFit="1" customWidth="1"/>
    <col min="2007" max="2007" width="7.28515625" style="111" bestFit="1" customWidth="1"/>
    <col min="2008" max="2008" width="7.7109375" style="111" bestFit="1" customWidth="1"/>
    <col min="2009" max="2010" width="10.28515625" style="111" bestFit="1" customWidth="1"/>
    <col min="2011" max="2011" width="23.7109375" style="111" customWidth="1"/>
    <col min="2012" max="2012" width="10.7109375" style="111" customWidth="1"/>
    <col min="2013" max="2013" width="6.5703125" style="111" customWidth="1"/>
    <col min="2014" max="2014" width="7" style="111" customWidth="1"/>
    <col min="2015" max="2015" width="7.42578125" style="111" customWidth="1"/>
    <col min="2016" max="2016" width="7.7109375" style="111" customWidth="1"/>
    <col min="2017" max="2017" width="7.28515625" style="111" customWidth="1"/>
    <col min="2018" max="2018" width="7.7109375" style="111" customWidth="1"/>
    <col min="2019" max="2020" width="10.28515625" style="111" customWidth="1"/>
    <col min="2021" max="2021" width="14.7109375" style="111" customWidth="1"/>
    <col min="2022" max="2022" width="10.7109375" style="111" customWidth="1"/>
    <col min="2023" max="2023" width="6.5703125" style="111" customWidth="1"/>
    <col min="2024" max="2024" width="7" style="111" customWidth="1"/>
    <col min="2025" max="2025" width="7.42578125" style="111" customWidth="1"/>
    <col min="2026" max="2026" width="7.7109375" style="111" customWidth="1"/>
    <col min="2027" max="2027" width="7.28515625" style="111" customWidth="1"/>
    <col min="2028" max="2028" width="7.7109375" style="111" customWidth="1"/>
    <col min="2029" max="2030" width="10.28515625" style="111" customWidth="1"/>
    <col min="2031" max="2031" width="8.85546875" style="111"/>
    <col min="2032" max="2050" width="9.28515625" style="111" customWidth="1"/>
    <col min="2051" max="2256" width="8.85546875" style="111"/>
    <col min="2257" max="2257" width="23.7109375" style="111" customWidth="1"/>
    <col min="2258" max="2258" width="10.7109375" style="111" customWidth="1"/>
    <col min="2259" max="2259" width="6.5703125" style="111" customWidth="1"/>
    <col min="2260" max="2260" width="7" style="111" bestFit="1" customWidth="1"/>
    <col min="2261" max="2261" width="7.42578125" style="111" bestFit="1" customWidth="1"/>
    <col min="2262" max="2262" width="7.7109375" style="111" bestFit="1" customWidth="1"/>
    <col min="2263" max="2263" width="7.28515625" style="111" bestFit="1" customWidth="1"/>
    <col min="2264" max="2264" width="7.7109375" style="111" bestFit="1" customWidth="1"/>
    <col min="2265" max="2266" width="10.28515625" style="111" bestFit="1" customWidth="1"/>
    <col min="2267" max="2267" width="23.7109375" style="111" customWidth="1"/>
    <col min="2268" max="2268" width="10.7109375" style="111" customWidth="1"/>
    <col min="2269" max="2269" width="6.5703125" style="111" customWidth="1"/>
    <col min="2270" max="2270" width="7" style="111" customWidth="1"/>
    <col min="2271" max="2271" width="7.42578125" style="111" customWidth="1"/>
    <col min="2272" max="2272" width="7.7109375" style="111" customWidth="1"/>
    <col min="2273" max="2273" width="7.28515625" style="111" customWidth="1"/>
    <col min="2274" max="2274" width="7.7109375" style="111" customWidth="1"/>
    <col min="2275" max="2276" width="10.28515625" style="111" customWidth="1"/>
    <col min="2277" max="2277" width="14.7109375" style="111" customWidth="1"/>
    <col min="2278" max="2278" width="10.7109375" style="111" customWidth="1"/>
    <col min="2279" max="2279" width="6.5703125" style="111" customWidth="1"/>
    <col min="2280" max="2280" width="7" style="111" customWidth="1"/>
    <col min="2281" max="2281" width="7.42578125" style="111" customWidth="1"/>
    <col min="2282" max="2282" width="7.7109375" style="111" customWidth="1"/>
    <col min="2283" max="2283" width="7.28515625" style="111" customWidth="1"/>
    <col min="2284" max="2284" width="7.7109375" style="111" customWidth="1"/>
    <col min="2285" max="2286" width="10.28515625" style="111" customWidth="1"/>
    <col min="2287" max="2287" width="8.85546875" style="111"/>
    <col min="2288" max="2306" width="9.28515625" style="111" customWidth="1"/>
    <col min="2307" max="2512" width="8.85546875" style="111"/>
    <col min="2513" max="2513" width="23.7109375" style="111" customWidth="1"/>
    <col min="2514" max="2514" width="10.7109375" style="111" customWidth="1"/>
    <col min="2515" max="2515" width="6.5703125" style="111" customWidth="1"/>
    <col min="2516" max="2516" width="7" style="111" bestFit="1" customWidth="1"/>
    <col min="2517" max="2517" width="7.42578125" style="111" bestFit="1" customWidth="1"/>
    <col min="2518" max="2518" width="7.7109375" style="111" bestFit="1" customWidth="1"/>
    <col min="2519" max="2519" width="7.28515625" style="111" bestFit="1" customWidth="1"/>
    <col min="2520" max="2520" width="7.7109375" style="111" bestFit="1" customWidth="1"/>
    <col min="2521" max="2522" width="10.28515625" style="111" bestFit="1" customWidth="1"/>
    <col min="2523" max="2523" width="23.7109375" style="111" customWidth="1"/>
    <col min="2524" max="2524" width="10.7109375" style="111" customWidth="1"/>
    <col min="2525" max="2525" width="6.5703125" style="111" customWidth="1"/>
    <col min="2526" max="2526" width="7" style="111" customWidth="1"/>
    <col min="2527" max="2527" width="7.42578125" style="111" customWidth="1"/>
    <col min="2528" max="2528" width="7.7109375" style="111" customWidth="1"/>
    <col min="2529" max="2529" width="7.28515625" style="111" customWidth="1"/>
    <col min="2530" max="2530" width="7.7109375" style="111" customWidth="1"/>
    <col min="2531" max="2532" width="10.28515625" style="111" customWidth="1"/>
    <col min="2533" max="2533" width="14.7109375" style="111" customWidth="1"/>
    <col min="2534" max="2534" width="10.7109375" style="111" customWidth="1"/>
    <col min="2535" max="2535" width="6.5703125" style="111" customWidth="1"/>
    <col min="2536" max="2536" width="7" style="111" customWidth="1"/>
    <col min="2537" max="2537" width="7.42578125" style="111" customWidth="1"/>
    <col min="2538" max="2538" width="7.7109375" style="111" customWidth="1"/>
    <col min="2539" max="2539" width="7.28515625" style="111" customWidth="1"/>
    <col min="2540" max="2540" width="7.7109375" style="111" customWidth="1"/>
    <col min="2541" max="2542" width="10.28515625" style="111" customWidth="1"/>
    <col min="2543" max="2543" width="8.85546875" style="111"/>
    <col min="2544" max="2562" width="9.28515625" style="111" customWidth="1"/>
    <col min="2563" max="2768" width="8.85546875" style="111"/>
    <col min="2769" max="2769" width="23.7109375" style="111" customWidth="1"/>
    <col min="2770" max="2770" width="10.7109375" style="111" customWidth="1"/>
    <col min="2771" max="2771" width="6.5703125" style="111" customWidth="1"/>
    <col min="2772" max="2772" width="7" style="111" bestFit="1" customWidth="1"/>
    <col min="2773" max="2773" width="7.42578125" style="111" bestFit="1" customWidth="1"/>
    <col min="2774" max="2774" width="7.7109375" style="111" bestFit="1" customWidth="1"/>
    <col min="2775" max="2775" width="7.28515625" style="111" bestFit="1" customWidth="1"/>
    <col min="2776" max="2776" width="7.7109375" style="111" bestFit="1" customWidth="1"/>
    <col min="2777" max="2778" width="10.28515625" style="111" bestFit="1" customWidth="1"/>
    <col min="2779" max="2779" width="23.7109375" style="111" customWidth="1"/>
    <col min="2780" max="2780" width="10.7109375" style="111" customWidth="1"/>
    <col min="2781" max="2781" width="6.5703125" style="111" customWidth="1"/>
    <col min="2782" max="2782" width="7" style="111" customWidth="1"/>
    <col min="2783" max="2783" width="7.42578125" style="111" customWidth="1"/>
    <col min="2784" max="2784" width="7.7109375" style="111" customWidth="1"/>
    <col min="2785" max="2785" width="7.28515625" style="111" customWidth="1"/>
    <col min="2786" max="2786" width="7.7109375" style="111" customWidth="1"/>
    <col min="2787" max="2788" width="10.28515625" style="111" customWidth="1"/>
    <col min="2789" max="2789" width="14.7109375" style="111" customWidth="1"/>
    <col min="2790" max="2790" width="10.7109375" style="111" customWidth="1"/>
    <col min="2791" max="2791" width="6.5703125" style="111" customWidth="1"/>
    <col min="2792" max="2792" width="7" style="111" customWidth="1"/>
    <col min="2793" max="2793" width="7.42578125" style="111" customWidth="1"/>
    <col min="2794" max="2794" width="7.7109375" style="111" customWidth="1"/>
    <col min="2795" max="2795" width="7.28515625" style="111" customWidth="1"/>
    <col min="2796" max="2796" width="7.7109375" style="111" customWidth="1"/>
    <col min="2797" max="2798" width="10.28515625" style="111" customWidth="1"/>
    <col min="2799" max="2799" width="8.85546875" style="111"/>
    <col min="2800" max="2818" width="9.28515625" style="111" customWidth="1"/>
    <col min="2819" max="3024" width="8.85546875" style="111"/>
    <col min="3025" max="3025" width="23.7109375" style="111" customWidth="1"/>
    <col min="3026" max="3026" width="10.7109375" style="111" customWidth="1"/>
    <col min="3027" max="3027" width="6.5703125" style="111" customWidth="1"/>
    <col min="3028" max="3028" width="7" style="111" bestFit="1" customWidth="1"/>
    <col min="3029" max="3029" width="7.42578125" style="111" bestFit="1" customWidth="1"/>
    <col min="3030" max="3030" width="7.7109375" style="111" bestFit="1" customWidth="1"/>
    <col min="3031" max="3031" width="7.28515625" style="111" bestFit="1" customWidth="1"/>
    <col min="3032" max="3032" width="7.7109375" style="111" bestFit="1" customWidth="1"/>
    <col min="3033" max="3034" width="10.28515625" style="111" bestFit="1" customWidth="1"/>
    <col min="3035" max="3035" width="23.7109375" style="111" customWidth="1"/>
    <col min="3036" max="3036" width="10.7109375" style="111" customWidth="1"/>
    <col min="3037" max="3037" width="6.5703125" style="111" customWidth="1"/>
    <col min="3038" max="3038" width="7" style="111" customWidth="1"/>
    <col min="3039" max="3039" width="7.42578125" style="111" customWidth="1"/>
    <col min="3040" max="3040" width="7.7109375" style="111" customWidth="1"/>
    <col min="3041" max="3041" width="7.28515625" style="111" customWidth="1"/>
    <col min="3042" max="3042" width="7.7109375" style="111" customWidth="1"/>
    <col min="3043" max="3044" width="10.28515625" style="111" customWidth="1"/>
    <col min="3045" max="3045" width="14.7109375" style="111" customWidth="1"/>
    <col min="3046" max="3046" width="10.7109375" style="111" customWidth="1"/>
    <col min="3047" max="3047" width="6.5703125" style="111" customWidth="1"/>
    <col min="3048" max="3048" width="7" style="111" customWidth="1"/>
    <col min="3049" max="3049" width="7.42578125" style="111" customWidth="1"/>
    <col min="3050" max="3050" width="7.7109375" style="111" customWidth="1"/>
    <col min="3051" max="3051" width="7.28515625" style="111" customWidth="1"/>
    <col min="3052" max="3052" width="7.7109375" style="111" customWidth="1"/>
    <col min="3053" max="3054" width="10.28515625" style="111" customWidth="1"/>
    <col min="3055" max="3055" width="8.85546875" style="111"/>
    <col min="3056" max="3074" width="9.28515625" style="111" customWidth="1"/>
    <col min="3075" max="3280" width="8.85546875" style="111"/>
    <col min="3281" max="3281" width="23.7109375" style="111" customWidth="1"/>
    <col min="3282" max="3282" width="10.7109375" style="111" customWidth="1"/>
    <col min="3283" max="3283" width="6.5703125" style="111" customWidth="1"/>
    <col min="3284" max="3284" width="7" style="111" bestFit="1" customWidth="1"/>
    <col min="3285" max="3285" width="7.42578125" style="111" bestFit="1" customWidth="1"/>
    <col min="3286" max="3286" width="7.7109375" style="111" bestFit="1" customWidth="1"/>
    <col min="3287" max="3287" width="7.28515625" style="111" bestFit="1" customWidth="1"/>
    <col min="3288" max="3288" width="7.7109375" style="111" bestFit="1" customWidth="1"/>
    <col min="3289" max="3290" width="10.28515625" style="111" bestFit="1" customWidth="1"/>
    <col min="3291" max="3291" width="23.7109375" style="111" customWidth="1"/>
    <col min="3292" max="3292" width="10.7109375" style="111" customWidth="1"/>
    <col min="3293" max="3293" width="6.5703125" style="111" customWidth="1"/>
    <col min="3294" max="3294" width="7" style="111" customWidth="1"/>
    <col min="3295" max="3295" width="7.42578125" style="111" customWidth="1"/>
    <col min="3296" max="3296" width="7.7109375" style="111" customWidth="1"/>
    <col min="3297" max="3297" width="7.28515625" style="111" customWidth="1"/>
    <col min="3298" max="3298" width="7.7109375" style="111" customWidth="1"/>
    <col min="3299" max="3300" width="10.28515625" style="111" customWidth="1"/>
    <col min="3301" max="3301" width="14.7109375" style="111" customWidth="1"/>
    <col min="3302" max="3302" width="10.7109375" style="111" customWidth="1"/>
    <col min="3303" max="3303" width="6.5703125" style="111" customWidth="1"/>
    <col min="3304" max="3304" width="7" style="111" customWidth="1"/>
    <col min="3305" max="3305" width="7.42578125" style="111" customWidth="1"/>
    <col min="3306" max="3306" width="7.7109375" style="111" customWidth="1"/>
    <col min="3307" max="3307" width="7.28515625" style="111" customWidth="1"/>
    <col min="3308" max="3308" width="7.7109375" style="111" customWidth="1"/>
    <col min="3309" max="3310" width="10.28515625" style="111" customWidth="1"/>
    <col min="3311" max="3311" width="8.85546875" style="111"/>
    <col min="3312" max="3330" width="9.28515625" style="111" customWidth="1"/>
    <col min="3331" max="3536" width="8.85546875" style="111"/>
    <col min="3537" max="3537" width="23.7109375" style="111" customWidth="1"/>
    <col min="3538" max="3538" width="10.7109375" style="111" customWidth="1"/>
    <col min="3539" max="3539" width="6.5703125" style="111" customWidth="1"/>
    <col min="3540" max="3540" width="7" style="111" bestFit="1" customWidth="1"/>
    <col min="3541" max="3541" width="7.42578125" style="111" bestFit="1" customWidth="1"/>
    <col min="3542" max="3542" width="7.7109375" style="111" bestFit="1" customWidth="1"/>
    <col min="3543" max="3543" width="7.28515625" style="111" bestFit="1" customWidth="1"/>
    <col min="3544" max="3544" width="7.7109375" style="111" bestFit="1" customWidth="1"/>
    <col min="3545" max="3546" width="10.28515625" style="111" bestFit="1" customWidth="1"/>
    <col min="3547" max="3547" width="23.7109375" style="111" customWidth="1"/>
    <col min="3548" max="3548" width="10.7109375" style="111" customWidth="1"/>
    <col min="3549" max="3549" width="6.5703125" style="111" customWidth="1"/>
    <col min="3550" max="3550" width="7" style="111" customWidth="1"/>
    <col min="3551" max="3551" width="7.42578125" style="111" customWidth="1"/>
    <col min="3552" max="3552" width="7.7109375" style="111" customWidth="1"/>
    <col min="3553" max="3553" width="7.28515625" style="111" customWidth="1"/>
    <col min="3554" max="3554" width="7.7109375" style="111" customWidth="1"/>
    <col min="3555" max="3556" width="10.28515625" style="111" customWidth="1"/>
    <col min="3557" max="3557" width="14.7109375" style="111" customWidth="1"/>
    <col min="3558" max="3558" width="10.7109375" style="111" customWidth="1"/>
    <col min="3559" max="3559" width="6.5703125" style="111" customWidth="1"/>
    <col min="3560" max="3560" width="7" style="111" customWidth="1"/>
    <col min="3561" max="3561" width="7.42578125" style="111" customWidth="1"/>
    <col min="3562" max="3562" width="7.7109375" style="111" customWidth="1"/>
    <col min="3563" max="3563" width="7.28515625" style="111" customWidth="1"/>
    <col min="3564" max="3564" width="7.7109375" style="111" customWidth="1"/>
    <col min="3565" max="3566" width="10.28515625" style="111" customWidth="1"/>
    <col min="3567" max="3567" width="8.85546875" style="111"/>
    <col min="3568" max="3586" width="9.28515625" style="111" customWidth="1"/>
    <col min="3587" max="3792" width="8.85546875" style="111"/>
    <col min="3793" max="3793" width="23.7109375" style="111" customWidth="1"/>
    <col min="3794" max="3794" width="10.7109375" style="111" customWidth="1"/>
    <col min="3795" max="3795" width="6.5703125" style="111" customWidth="1"/>
    <col min="3796" max="3796" width="7" style="111" bestFit="1" customWidth="1"/>
    <col min="3797" max="3797" width="7.42578125" style="111" bestFit="1" customWidth="1"/>
    <col min="3798" max="3798" width="7.7109375" style="111" bestFit="1" customWidth="1"/>
    <col min="3799" max="3799" width="7.28515625" style="111" bestFit="1" customWidth="1"/>
    <col min="3800" max="3800" width="7.7109375" style="111" bestFit="1" customWidth="1"/>
    <col min="3801" max="3802" width="10.28515625" style="111" bestFit="1" customWidth="1"/>
    <col min="3803" max="3803" width="23.7109375" style="111" customWidth="1"/>
    <col min="3804" max="3804" width="10.7109375" style="111" customWidth="1"/>
    <col min="3805" max="3805" width="6.5703125" style="111" customWidth="1"/>
    <col min="3806" max="3806" width="7" style="111" customWidth="1"/>
    <col min="3807" max="3807" width="7.42578125" style="111" customWidth="1"/>
    <col min="3808" max="3808" width="7.7109375" style="111" customWidth="1"/>
    <col min="3809" max="3809" width="7.28515625" style="111" customWidth="1"/>
    <col min="3810" max="3810" width="7.7109375" style="111" customWidth="1"/>
    <col min="3811" max="3812" width="10.28515625" style="111" customWidth="1"/>
    <col min="3813" max="3813" width="14.7109375" style="111" customWidth="1"/>
    <col min="3814" max="3814" width="10.7109375" style="111" customWidth="1"/>
    <col min="3815" max="3815" width="6.5703125" style="111" customWidth="1"/>
    <col min="3816" max="3816" width="7" style="111" customWidth="1"/>
    <col min="3817" max="3817" width="7.42578125" style="111" customWidth="1"/>
    <col min="3818" max="3818" width="7.7109375" style="111" customWidth="1"/>
    <col min="3819" max="3819" width="7.28515625" style="111" customWidth="1"/>
    <col min="3820" max="3820" width="7.7109375" style="111" customWidth="1"/>
    <col min="3821" max="3822" width="10.28515625" style="111" customWidth="1"/>
    <col min="3823" max="3823" width="8.85546875" style="111"/>
    <col min="3824" max="3842" width="9.28515625" style="111" customWidth="1"/>
    <col min="3843" max="4048" width="8.85546875" style="111"/>
    <col min="4049" max="4049" width="23.7109375" style="111" customWidth="1"/>
    <col min="4050" max="4050" width="10.7109375" style="111" customWidth="1"/>
    <col min="4051" max="4051" width="6.5703125" style="111" customWidth="1"/>
    <col min="4052" max="4052" width="7" style="111" bestFit="1" customWidth="1"/>
    <col min="4053" max="4053" width="7.42578125" style="111" bestFit="1" customWidth="1"/>
    <col min="4054" max="4054" width="7.7109375" style="111" bestFit="1" customWidth="1"/>
    <col min="4055" max="4055" width="7.28515625" style="111" bestFit="1" customWidth="1"/>
    <col min="4056" max="4056" width="7.7109375" style="111" bestFit="1" customWidth="1"/>
    <col min="4057" max="4058" width="10.28515625" style="111" bestFit="1" customWidth="1"/>
    <col min="4059" max="4059" width="23.7109375" style="111" customWidth="1"/>
    <col min="4060" max="4060" width="10.7109375" style="111" customWidth="1"/>
    <col min="4061" max="4061" width="6.5703125" style="111" customWidth="1"/>
    <col min="4062" max="4062" width="7" style="111" customWidth="1"/>
    <col min="4063" max="4063" width="7.42578125" style="111" customWidth="1"/>
    <col min="4064" max="4064" width="7.7109375" style="111" customWidth="1"/>
    <col min="4065" max="4065" width="7.28515625" style="111" customWidth="1"/>
    <col min="4066" max="4066" width="7.7109375" style="111" customWidth="1"/>
    <col min="4067" max="4068" width="10.28515625" style="111" customWidth="1"/>
    <col min="4069" max="4069" width="14.7109375" style="111" customWidth="1"/>
    <col min="4070" max="4070" width="10.7109375" style="111" customWidth="1"/>
    <col min="4071" max="4071" width="6.5703125" style="111" customWidth="1"/>
    <col min="4072" max="4072" width="7" style="111" customWidth="1"/>
    <col min="4073" max="4073" width="7.42578125" style="111" customWidth="1"/>
    <col min="4074" max="4074" width="7.7109375" style="111" customWidth="1"/>
    <col min="4075" max="4075" width="7.28515625" style="111" customWidth="1"/>
    <col min="4076" max="4076" width="7.7109375" style="111" customWidth="1"/>
    <col min="4077" max="4078" width="10.28515625" style="111" customWidth="1"/>
    <col min="4079" max="4079" width="8.85546875" style="111"/>
    <col min="4080" max="4098" width="9.28515625" style="111" customWidth="1"/>
    <col min="4099" max="4304" width="8.85546875" style="111"/>
    <col min="4305" max="4305" width="23.7109375" style="111" customWidth="1"/>
    <col min="4306" max="4306" width="10.7109375" style="111" customWidth="1"/>
    <col min="4307" max="4307" width="6.5703125" style="111" customWidth="1"/>
    <col min="4308" max="4308" width="7" style="111" bestFit="1" customWidth="1"/>
    <col min="4309" max="4309" width="7.42578125" style="111" bestFit="1" customWidth="1"/>
    <col min="4310" max="4310" width="7.7109375" style="111" bestFit="1" customWidth="1"/>
    <col min="4311" max="4311" width="7.28515625" style="111" bestFit="1" customWidth="1"/>
    <col min="4312" max="4312" width="7.7109375" style="111" bestFit="1" customWidth="1"/>
    <col min="4313" max="4314" width="10.28515625" style="111" bestFit="1" customWidth="1"/>
    <col min="4315" max="4315" width="23.7109375" style="111" customWidth="1"/>
    <col min="4316" max="4316" width="10.7109375" style="111" customWidth="1"/>
    <col min="4317" max="4317" width="6.5703125" style="111" customWidth="1"/>
    <col min="4318" max="4318" width="7" style="111" customWidth="1"/>
    <col min="4319" max="4319" width="7.42578125" style="111" customWidth="1"/>
    <col min="4320" max="4320" width="7.7109375" style="111" customWidth="1"/>
    <col min="4321" max="4321" width="7.28515625" style="111" customWidth="1"/>
    <col min="4322" max="4322" width="7.7109375" style="111" customWidth="1"/>
    <col min="4323" max="4324" width="10.28515625" style="111" customWidth="1"/>
    <col min="4325" max="4325" width="14.7109375" style="111" customWidth="1"/>
    <col min="4326" max="4326" width="10.7109375" style="111" customWidth="1"/>
    <col min="4327" max="4327" width="6.5703125" style="111" customWidth="1"/>
    <col min="4328" max="4328" width="7" style="111" customWidth="1"/>
    <col min="4329" max="4329" width="7.42578125" style="111" customWidth="1"/>
    <col min="4330" max="4330" width="7.7109375" style="111" customWidth="1"/>
    <col min="4331" max="4331" width="7.28515625" style="111" customWidth="1"/>
    <col min="4332" max="4332" width="7.7109375" style="111" customWidth="1"/>
    <col min="4333" max="4334" width="10.28515625" style="111" customWidth="1"/>
    <col min="4335" max="4335" width="8.85546875" style="111"/>
    <col min="4336" max="4354" width="9.28515625" style="111" customWidth="1"/>
    <col min="4355" max="4560" width="8.85546875" style="111"/>
    <col min="4561" max="4561" width="23.7109375" style="111" customWidth="1"/>
    <col min="4562" max="4562" width="10.7109375" style="111" customWidth="1"/>
    <col min="4563" max="4563" width="6.5703125" style="111" customWidth="1"/>
    <col min="4564" max="4564" width="7" style="111" bestFit="1" customWidth="1"/>
    <col min="4565" max="4565" width="7.42578125" style="111" bestFit="1" customWidth="1"/>
    <col min="4566" max="4566" width="7.7109375" style="111" bestFit="1" customWidth="1"/>
    <col min="4567" max="4567" width="7.28515625" style="111" bestFit="1" customWidth="1"/>
    <col min="4568" max="4568" width="7.7109375" style="111" bestFit="1" customWidth="1"/>
    <col min="4569" max="4570" width="10.28515625" style="111" bestFit="1" customWidth="1"/>
    <col min="4571" max="4571" width="23.7109375" style="111" customWidth="1"/>
    <col min="4572" max="4572" width="10.7109375" style="111" customWidth="1"/>
    <col min="4573" max="4573" width="6.5703125" style="111" customWidth="1"/>
    <col min="4574" max="4574" width="7" style="111" customWidth="1"/>
    <col min="4575" max="4575" width="7.42578125" style="111" customWidth="1"/>
    <col min="4576" max="4576" width="7.7109375" style="111" customWidth="1"/>
    <col min="4577" max="4577" width="7.28515625" style="111" customWidth="1"/>
    <col min="4578" max="4578" width="7.7109375" style="111" customWidth="1"/>
    <col min="4579" max="4580" width="10.28515625" style="111" customWidth="1"/>
    <col min="4581" max="4581" width="14.7109375" style="111" customWidth="1"/>
    <col min="4582" max="4582" width="10.7109375" style="111" customWidth="1"/>
    <col min="4583" max="4583" width="6.5703125" style="111" customWidth="1"/>
    <col min="4584" max="4584" width="7" style="111" customWidth="1"/>
    <col min="4585" max="4585" width="7.42578125" style="111" customWidth="1"/>
    <col min="4586" max="4586" width="7.7109375" style="111" customWidth="1"/>
    <col min="4587" max="4587" width="7.28515625" style="111" customWidth="1"/>
    <col min="4588" max="4588" width="7.7109375" style="111" customWidth="1"/>
    <col min="4589" max="4590" width="10.28515625" style="111" customWidth="1"/>
    <col min="4591" max="4591" width="8.85546875" style="111"/>
    <col min="4592" max="4610" width="9.28515625" style="111" customWidth="1"/>
    <col min="4611" max="4816" width="8.85546875" style="111"/>
    <col min="4817" max="4817" width="23.7109375" style="111" customWidth="1"/>
    <col min="4818" max="4818" width="10.7109375" style="111" customWidth="1"/>
    <col min="4819" max="4819" width="6.5703125" style="111" customWidth="1"/>
    <col min="4820" max="4820" width="7" style="111" bestFit="1" customWidth="1"/>
    <col min="4821" max="4821" width="7.42578125" style="111" bestFit="1" customWidth="1"/>
    <col min="4822" max="4822" width="7.7109375" style="111" bestFit="1" customWidth="1"/>
    <col min="4823" max="4823" width="7.28515625" style="111" bestFit="1" customWidth="1"/>
    <col min="4824" max="4824" width="7.7109375" style="111" bestFit="1" customWidth="1"/>
    <col min="4825" max="4826" width="10.28515625" style="111" bestFit="1" customWidth="1"/>
    <col min="4827" max="4827" width="23.7109375" style="111" customWidth="1"/>
    <col min="4828" max="4828" width="10.7109375" style="111" customWidth="1"/>
    <col min="4829" max="4829" width="6.5703125" style="111" customWidth="1"/>
    <col min="4830" max="4830" width="7" style="111" customWidth="1"/>
    <col min="4831" max="4831" width="7.42578125" style="111" customWidth="1"/>
    <col min="4832" max="4832" width="7.7109375" style="111" customWidth="1"/>
    <col min="4833" max="4833" width="7.28515625" style="111" customWidth="1"/>
    <col min="4834" max="4834" width="7.7109375" style="111" customWidth="1"/>
    <col min="4835" max="4836" width="10.28515625" style="111" customWidth="1"/>
    <col min="4837" max="4837" width="14.7109375" style="111" customWidth="1"/>
    <col min="4838" max="4838" width="10.7109375" style="111" customWidth="1"/>
    <col min="4839" max="4839" width="6.5703125" style="111" customWidth="1"/>
    <col min="4840" max="4840" width="7" style="111" customWidth="1"/>
    <col min="4841" max="4841" width="7.42578125" style="111" customWidth="1"/>
    <col min="4842" max="4842" width="7.7109375" style="111" customWidth="1"/>
    <col min="4843" max="4843" width="7.28515625" style="111" customWidth="1"/>
    <col min="4844" max="4844" width="7.7109375" style="111" customWidth="1"/>
    <col min="4845" max="4846" width="10.28515625" style="111" customWidth="1"/>
    <col min="4847" max="4847" width="8.85546875" style="111"/>
    <col min="4848" max="4866" width="9.28515625" style="111" customWidth="1"/>
    <col min="4867" max="5072" width="8.85546875" style="111"/>
    <col min="5073" max="5073" width="23.7109375" style="111" customWidth="1"/>
    <col min="5074" max="5074" width="10.7109375" style="111" customWidth="1"/>
    <col min="5075" max="5075" width="6.5703125" style="111" customWidth="1"/>
    <col min="5076" max="5076" width="7" style="111" bestFit="1" customWidth="1"/>
    <col min="5077" max="5077" width="7.42578125" style="111" bestFit="1" customWidth="1"/>
    <col min="5078" max="5078" width="7.7109375" style="111" bestFit="1" customWidth="1"/>
    <col min="5079" max="5079" width="7.28515625" style="111" bestFit="1" customWidth="1"/>
    <col min="5080" max="5080" width="7.7109375" style="111" bestFit="1" customWidth="1"/>
    <col min="5081" max="5082" width="10.28515625" style="111" bestFit="1" customWidth="1"/>
    <col min="5083" max="5083" width="23.7109375" style="111" customWidth="1"/>
    <col min="5084" max="5084" width="10.7109375" style="111" customWidth="1"/>
    <col min="5085" max="5085" width="6.5703125" style="111" customWidth="1"/>
    <col min="5086" max="5086" width="7" style="111" customWidth="1"/>
    <col min="5087" max="5087" width="7.42578125" style="111" customWidth="1"/>
    <col min="5088" max="5088" width="7.7109375" style="111" customWidth="1"/>
    <col min="5089" max="5089" width="7.28515625" style="111" customWidth="1"/>
    <col min="5090" max="5090" width="7.7109375" style="111" customWidth="1"/>
    <col min="5091" max="5092" width="10.28515625" style="111" customWidth="1"/>
    <col min="5093" max="5093" width="14.7109375" style="111" customWidth="1"/>
    <col min="5094" max="5094" width="10.7109375" style="111" customWidth="1"/>
    <col min="5095" max="5095" width="6.5703125" style="111" customWidth="1"/>
    <col min="5096" max="5096" width="7" style="111" customWidth="1"/>
    <col min="5097" max="5097" width="7.42578125" style="111" customWidth="1"/>
    <col min="5098" max="5098" width="7.7109375" style="111" customWidth="1"/>
    <col min="5099" max="5099" width="7.28515625" style="111" customWidth="1"/>
    <col min="5100" max="5100" width="7.7109375" style="111" customWidth="1"/>
    <col min="5101" max="5102" width="10.28515625" style="111" customWidth="1"/>
    <col min="5103" max="5103" width="8.85546875" style="111"/>
    <col min="5104" max="5122" width="9.28515625" style="111" customWidth="1"/>
    <col min="5123" max="5328" width="8.85546875" style="111"/>
    <col min="5329" max="5329" width="23.7109375" style="111" customWidth="1"/>
    <col min="5330" max="5330" width="10.7109375" style="111" customWidth="1"/>
    <col min="5331" max="5331" width="6.5703125" style="111" customWidth="1"/>
    <col min="5332" max="5332" width="7" style="111" bestFit="1" customWidth="1"/>
    <col min="5333" max="5333" width="7.42578125" style="111" bestFit="1" customWidth="1"/>
    <col min="5334" max="5334" width="7.7109375" style="111" bestFit="1" customWidth="1"/>
    <col min="5335" max="5335" width="7.28515625" style="111" bestFit="1" customWidth="1"/>
    <col min="5336" max="5336" width="7.7109375" style="111" bestFit="1" customWidth="1"/>
    <col min="5337" max="5338" width="10.28515625" style="111" bestFit="1" customWidth="1"/>
    <col min="5339" max="5339" width="23.7109375" style="111" customWidth="1"/>
    <col min="5340" max="5340" width="10.7109375" style="111" customWidth="1"/>
    <col min="5341" max="5341" width="6.5703125" style="111" customWidth="1"/>
    <col min="5342" max="5342" width="7" style="111" customWidth="1"/>
    <col min="5343" max="5343" width="7.42578125" style="111" customWidth="1"/>
    <col min="5344" max="5344" width="7.7109375" style="111" customWidth="1"/>
    <col min="5345" max="5345" width="7.28515625" style="111" customWidth="1"/>
    <col min="5346" max="5346" width="7.7109375" style="111" customWidth="1"/>
    <col min="5347" max="5348" width="10.28515625" style="111" customWidth="1"/>
    <col min="5349" max="5349" width="14.7109375" style="111" customWidth="1"/>
    <col min="5350" max="5350" width="10.7109375" style="111" customWidth="1"/>
    <col min="5351" max="5351" width="6.5703125" style="111" customWidth="1"/>
    <col min="5352" max="5352" width="7" style="111" customWidth="1"/>
    <col min="5353" max="5353" width="7.42578125" style="111" customWidth="1"/>
    <col min="5354" max="5354" width="7.7109375" style="111" customWidth="1"/>
    <col min="5355" max="5355" width="7.28515625" style="111" customWidth="1"/>
    <col min="5356" max="5356" width="7.7109375" style="111" customWidth="1"/>
    <col min="5357" max="5358" width="10.28515625" style="111" customWidth="1"/>
    <col min="5359" max="5359" width="8.85546875" style="111"/>
    <col min="5360" max="5378" width="9.28515625" style="111" customWidth="1"/>
    <col min="5379" max="5584" width="8.85546875" style="111"/>
    <col min="5585" max="5585" width="23.7109375" style="111" customWidth="1"/>
    <col min="5586" max="5586" width="10.7109375" style="111" customWidth="1"/>
    <col min="5587" max="5587" width="6.5703125" style="111" customWidth="1"/>
    <col min="5588" max="5588" width="7" style="111" bestFit="1" customWidth="1"/>
    <col min="5589" max="5589" width="7.42578125" style="111" bestFit="1" customWidth="1"/>
    <col min="5590" max="5590" width="7.7109375" style="111" bestFit="1" customWidth="1"/>
    <col min="5591" max="5591" width="7.28515625" style="111" bestFit="1" customWidth="1"/>
    <col min="5592" max="5592" width="7.7109375" style="111" bestFit="1" customWidth="1"/>
    <col min="5593" max="5594" width="10.28515625" style="111" bestFit="1" customWidth="1"/>
    <col min="5595" max="5595" width="23.7109375" style="111" customWidth="1"/>
    <col min="5596" max="5596" width="10.7109375" style="111" customWidth="1"/>
    <col min="5597" max="5597" width="6.5703125" style="111" customWidth="1"/>
    <col min="5598" max="5598" width="7" style="111" customWidth="1"/>
    <col min="5599" max="5599" width="7.42578125" style="111" customWidth="1"/>
    <col min="5600" max="5600" width="7.7109375" style="111" customWidth="1"/>
    <col min="5601" max="5601" width="7.28515625" style="111" customWidth="1"/>
    <col min="5602" max="5602" width="7.7109375" style="111" customWidth="1"/>
    <col min="5603" max="5604" width="10.28515625" style="111" customWidth="1"/>
    <col min="5605" max="5605" width="14.7109375" style="111" customWidth="1"/>
    <col min="5606" max="5606" width="10.7109375" style="111" customWidth="1"/>
    <col min="5607" max="5607" width="6.5703125" style="111" customWidth="1"/>
    <col min="5608" max="5608" width="7" style="111" customWidth="1"/>
    <col min="5609" max="5609" width="7.42578125" style="111" customWidth="1"/>
    <col min="5610" max="5610" width="7.7109375" style="111" customWidth="1"/>
    <col min="5611" max="5611" width="7.28515625" style="111" customWidth="1"/>
    <col min="5612" max="5612" width="7.7109375" style="111" customWidth="1"/>
    <col min="5613" max="5614" width="10.28515625" style="111" customWidth="1"/>
    <col min="5615" max="5615" width="8.85546875" style="111"/>
    <col min="5616" max="5634" width="9.28515625" style="111" customWidth="1"/>
    <col min="5635" max="5840" width="8.85546875" style="111"/>
    <col min="5841" max="5841" width="23.7109375" style="111" customWidth="1"/>
    <col min="5842" max="5842" width="10.7109375" style="111" customWidth="1"/>
    <col min="5843" max="5843" width="6.5703125" style="111" customWidth="1"/>
    <col min="5844" max="5844" width="7" style="111" bestFit="1" customWidth="1"/>
    <col min="5845" max="5845" width="7.42578125" style="111" bestFit="1" customWidth="1"/>
    <col min="5846" max="5846" width="7.7109375" style="111" bestFit="1" customWidth="1"/>
    <col min="5847" max="5847" width="7.28515625" style="111" bestFit="1" customWidth="1"/>
    <col min="5848" max="5848" width="7.7109375" style="111" bestFit="1" customWidth="1"/>
    <col min="5849" max="5850" width="10.28515625" style="111" bestFit="1" customWidth="1"/>
    <col min="5851" max="5851" width="23.7109375" style="111" customWidth="1"/>
    <col min="5852" max="5852" width="10.7109375" style="111" customWidth="1"/>
    <col min="5853" max="5853" width="6.5703125" style="111" customWidth="1"/>
    <col min="5854" max="5854" width="7" style="111" customWidth="1"/>
    <col min="5855" max="5855" width="7.42578125" style="111" customWidth="1"/>
    <col min="5856" max="5856" width="7.7109375" style="111" customWidth="1"/>
    <col min="5857" max="5857" width="7.28515625" style="111" customWidth="1"/>
    <col min="5858" max="5858" width="7.7109375" style="111" customWidth="1"/>
    <col min="5859" max="5860" width="10.28515625" style="111" customWidth="1"/>
    <col min="5861" max="5861" width="14.7109375" style="111" customWidth="1"/>
    <col min="5862" max="5862" width="10.7109375" style="111" customWidth="1"/>
    <col min="5863" max="5863" width="6.5703125" style="111" customWidth="1"/>
    <col min="5864" max="5864" width="7" style="111" customWidth="1"/>
    <col min="5865" max="5865" width="7.42578125" style="111" customWidth="1"/>
    <col min="5866" max="5866" width="7.7109375" style="111" customWidth="1"/>
    <col min="5867" max="5867" width="7.28515625" style="111" customWidth="1"/>
    <col min="5868" max="5868" width="7.7109375" style="111" customWidth="1"/>
    <col min="5869" max="5870" width="10.28515625" style="111" customWidth="1"/>
    <col min="5871" max="5871" width="8.85546875" style="111"/>
    <col min="5872" max="5890" width="9.28515625" style="111" customWidth="1"/>
    <col min="5891" max="6096" width="8.85546875" style="111"/>
    <col min="6097" max="6097" width="23.7109375" style="111" customWidth="1"/>
    <col min="6098" max="6098" width="10.7109375" style="111" customWidth="1"/>
    <col min="6099" max="6099" width="6.5703125" style="111" customWidth="1"/>
    <col min="6100" max="6100" width="7" style="111" bestFit="1" customWidth="1"/>
    <col min="6101" max="6101" width="7.42578125" style="111" bestFit="1" customWidth="1"/>
    <col min="6102" max="6102" width="7.7109375" style="111" bestFit="1" customWidth="1"/>
    <col min="6103" max="6103" width="7.28515625" style="111" bestFit="1" customWidth="1"/>
    <col min="6104" max="6104" width="7.7109375" style="111" bestFit="1" customWidth="1"/>
    <col min="6105" max="6106" width="10.28515625" style="111" bestFit="1" customWidth="1"/>
    <col min="6107" max="6107" width="23.7109375" style="111" customWidth="1"/>
    <col min="6108" max="6108" width="10.7109375" style="111" customWidth="1"/>
    <col min="6109" max="6109" width="6.5703125" style="111" customWidth="1"/>
    <col min="6110" max="6110" width="7" style="111" customWidth="1"/>
    <col min="6111" max="6111" width="7.42578125" style="111" customWidth="1"/>
    <col min="6112" max="6112" width="7.7109375" style="111" customWidth="1"/>
    <col min="6113" max="6113" width="7.28515625" style="111" customWidth="1"/>
    <col min="6114" max="6114" width="7.7109375" style="111" customWidth="1"/>
    <col min="6115" max="6116" width="10.28515625" style="111" customWidth="1"/>
    <col min="6117" max="6117" width="14.7109375" style="111" customWidth="1"/>
    <col min="6118" max="6118" width="10.7109375" style="111" customWidth="1"/>
    <col min="6119" max="6119" width="6.5703125" style="111" customWidth="1"/>
    <col min="6120" max="6120" width="7" style="111" customWidth="1"/>
    <col min="6121" max="6121" width="7.42578125" style="111" customWidth="1"/>
    <col min="6122" max="6122" width="7.7109375" style="111" customWidth="1"/>
    <col min="6123" max="6123" width="7.28515625" style="111" customWidth="1"/>
    <col min="6124" max="6124" width="7.7109375" style="111" customWidth="1"/>
    <col min="6125" max="6126" width="10.28515625" style="111" customWidth="1"/>
    <col min="6127" max="6127" width="8.85546875" style="111"/>
    <col min="6128" max="6146" width="9.28515625" style="111" customWidth="1"/>
    <col min="6147" max="6352" width="8.85546875" style="111"/>
    <col min="6353" max="6353" width="23.7109375" style="111" customWidth="1"/>
    <col min="6354" max="6354" width="10.7109375" style="111" customWidth="1"/>
    <col min="6355" max="6355" width="6.5703125" style="111" customWidth="1"/>
    <col min="6356" max="6356" width="7" style="111" bestFit="1" customWidth="1"/>
    <col min="6357" max="6357" width="7.42578125" style="111" bestFit="1" customWidth="1"/>
    <col min="6358" max="6358" width="7.7109375" style="111" bestFit="1" customWidth="1"/>
    <col min="6359" max="6359" width="7.28515625" style="111" bestFit="1" customWidth="1"/>
    <col min="6360" max="6360" width="7.7109375" style="111" bestFit="1" customWidth="1"/>
    <col min="6361" max="6362" width="10.28515625" style="111" bestFit="1" customWidth="1"/>
    <col min="6363" max="6363" width="23.7109375" style="111" customWidth="1"/>
    <col min="6364" max="6364" width="10.7109375" style="111" customWidth="1"/>
    <col min="6365" max="6365" width="6.5703125" style="111" customWidth="1"/>
    <col min="6366" max="6366" width="7" style="111" customWidth="1"/>
    <col min="6367" max="6367" width="7.42578125" style="111" customWidth="1"/>
    <col min="6368" max="6368" width="7.7109375" style="111" customWidth="1"/>
    <col min="6369" max="6369" width="7.28515625" style="111" customWidth="1"/>
    <col min="6370" max="6370" width="7.7109375" style="111" customWidth="1"/>
    <col min="6371" max="6372" width="10.28515625" style="111" customWidth="1"/>
    <col min="6373" max="6373" width="14.7109375" style="111" customWidth="1"/>
    <col min="6374" max="6374" width="10.7109375" style="111" customWidth="1"/>
    <col min="6375" max="6375" width="6.5703125" style="111" customWidth="1"/>
    <col min="6376" max="6376" width="7" style="111" customWidth="1"/>
    <col min="6377" max="6377" width="7.42578125" style="111" customWidth="1"/>
    <col min="6378" max="6378" width="7.7109375" style="111" customWidth="1"/>
    <col min="6379" max="6379" width="7.28515625" style="111" customWidth="1"/>
    <col min="6380" max="6380" width="7.7109375" style="111" customWidth="1"/>
    <col min="6381" max="6382" width="10.28515625" style="111" customWidth="1"/>
    <col min="6383" max="6383" width="8.85546875" style="111"/>
    <col min="6384" max="6402" width="9.28515625" style="111" customWidth="1"/>
    <col min="6403" max="6608" width="8.85546875" style="111"/>
    <col min="6609" max="6609" width="23.7109375" style="111" customWidth="1"/>
    <col min="6610" max="6610" width="10.7109375" style="111" customWidth="1"/>
    <col min="6611" max="6611" width="6.5703125" style="111" customWidth="1"/>
    <col min="6612" max="6612" width="7" style="111" bestFit="1" customWidth="1"/>
    <col min="6613" max="6613" width="7.42578125" style="111" bestFit="1" customWidth="1"/>
    <col min="6614" max="6614" width="7.7109375" style="111" bestFit="1" customWidth="1"/>
    <col min="6615" max="6615" width="7.28515625" style="111" bestFit="1" customWidth="1"/>
    <col min="6616" max="6616" width="7.7109375" style="111" bestFit="1" customWidth="1"/>
    <col min="6617" max="6618" width="10.28515625" style="111" bestFit="1" customWidth="1"/>
    <col min="6619" max="6619" width="23.7109375" style="111" customWidth="1"/>
    <col min="6620" max="6620" width="10.7109375" style="111" customWidth="1"/>
    <col min="6621" max="6621" width="6.5703125" style="111" customWidth="1"/>
    <col min="6622" max="6622" width="7" style="111" customWidth="1"/>
    <col min="6623" max="6623" width="7.42578125" style="111" customWidth="1"/>
    <col min="6624" max="6624" width="7.7109375" style="111" customWidth="1"/>
    <col min="6625" max="6625" width="7.28515625" style="111" customWidth="1"/>
    <col min="6626" max="6626" width="7.7109375" style="111" customWidth="1"/>
    <col min="6627" max="6628" width="10.28515625" style="111" customWidth="1"/>
    <col min="6629" max="6629" width="14.7109375" style="111" customWidth="1"/>
    <col min="6630" max="6630" width="10.7109375" style="111" customWidth="1"/>
    <col min="6631" max="6631" width="6.5703125" style="111" customWidth="1"/>
    <col min="6632" max="6632" width="7" style="111" customWidth="1"/>
    <col min="6633" max="6633" width="7.42578125" style="111" customWidth="1"/>
    <col min="6634" max="6634" width="7.7109375" style="111" customWidth="1"/>
    <col min="6635" max="6635" width="7.28515625" style="111" customWidth="1"/>
    <col min="6636" max="6636" width="7.7109375" style="111" customWidth="1"/>
    <col min="6637" max="6638" width="10.28515625" style="111" customWidth="1"/>
    <col min="6639" max="6639" width="8.85546875" style="111"/>
    <col min="6640" max="6658" width="9.28515625" style="111" customWidth="1"/>
    <col min="6659" max="6864" width="8.85546875" style="111"/>
    <col min="6865" max="6865" width="23.7109375" style="111" customWidth="1"/>
    <col min="6866" max="6866" width="10.7109375" style="111" customWidth="1"/>
    <col min="6867" max="6867" width="6.5703125" style="111" customWidth="1"/>
    <col min="6868" max="6868" width="7" style="111" bestFit="1" customWidth="1"/>
    <col min="6869" max="6869" width="7.42578125" style="111" bestFit="1" customWidth="1"/>
    <col min="6870" max="6870" width="7.7109375" style="111" bestFit="1" customWidth="1"/>
    <col min="6871" max="6871" width="7.28515625" style="111" bestFit="1" customWidth="1"/>
    <col min="6872" max="6872" width="7.7109375" style="111" bestFit="1" customWidth="1"/>
    <col min="6873" max="6874" width="10.28515625" style="111" bestFit="1" customWidth="1"/>
    <col min="6875" max="6875" width="23.7109375" style="111" customWidth="1"/>
    <col min="6876" max="6876" width="10.7109375" style="111" customWidth="1"/>
    <col min="6877" max="6877" width="6.5703125" style="111" customWidth="1"/>
    <col min="6878" max="6878" width="7" style="111" customWidth="1"/>
    <col min="6879" max="6879" width="7.42578125" style="111" customWidth="1"/>
    <col min="6880" max="6880" width="7.7109375" style="111" customWidth="1"/>
    <col min="6881" max="6881" width="7.28515625" style="111" customWidth="1"/>
    <col min="6882" max="6882" width="7.7109375" style="111" customWidth="1"/>
    <col min="6883" max="6884" width="10.28515625" style="111" customWidth="1"/>
    <col min="6885" max="6885" width="14.7109375" style="111" customWidth="1"/>
    <col min="6886" max="6886" width="10.7109375" style="111" customWidth="1"/>
    <col min="6887" max="6887" width="6.5703125" style="111" customWidth="1"/>
    <col min="6888" max="6888" width="7" style="111" customWidth="1"/>
    <col min="6889" max="6889" width="7.42578125" style="111" customWidth="1"/>
    <col min="6890" max="6890" width="7.7109375" style="111" customWidth="1"/>
    <col min="6891" max="6891" width="7.28515625" style="111" customWidth="1"/>
    <col min="6892" max="6892" width="7.7109375" style="111" customWidth="1"/>
    <col min="6893" max="6894" width="10.28515625" style="111" customWidth="1"/>
    <col min="6895" max="6895" width="8.85546875" style="111"/>
    <col min="6896" max="6914" width="9.28515625" style="111" customWidth="1"/>
    <col min="6915" max="7120" width="8.85546875" style="111"/>
    <col min="7121" max="7121" width="23.7109375" style="111" customWidth="1"/>
    <col min="7122" max="7122" width="10.7109375" style="111" customWidth="1"/>
    <col min="7123" max="7123" width="6.5703125" style="111" customWidth="1"/>
    <col min="7124" max="7124" width="7" style="111" bestFit="1" customWidth="1"/>
    <col min="7125" max="7125" width="7.42578125" style="111" bestFit="1" customWidth="1"/>
    <col min="7126" max="7126" width="7.7109375" style="111" bestFit="1" customWidth="1"/>
    <col min="7127" max="7127" width="7.28515625" style="111" bestFit="1" customWidth="1"/>
    <col min="7128" max="7128" width="7.7109375" style="111" bestFit="1" customWidth="1"/>
    <col min="7129" max="7130" width="10.28515625" style="111" bestFit="1" customWidth="1"/>
    <col min="7131" max="7131" width="23.7109375" style="111" customWidth="1"/>
    <col min="7132" max="7132" width="10.7109375" style="111" customWidth="1"/>
    <col min="7133" max="7133" width="6.5703125" style="111" customWidth="1"/>
    <col min="7134" max="7134" width="7" style="111" customWidth="1"/>
    <col min="7135" max="7135" width="7.42578125" style="111" customWidth="1"/>
    <col min="7136" max="7136" width="7.7109375" style="111" customWidth="1"/>
    <col min="7137" max="7137" width="7.28515625" style="111" customWidth="1"/>
    <col min="7138" max="7138" width="7.7109375" style="111" customWidth="1"/>
    <col min="7139" max="7140" width="10.28515625" style="111" customWidth="1"/>
    <col min="7141" max="7141" width="14.7109375" style="111" customWidth="1"/>
    <col min="7142" max="7142" width="10.7109375" style="111" customWidth="1"/>
    <col min="7143" max="7143" width="6.5703125" style="111" customWidth="1"/>
    <col min="7144" max="7144" width="7" style="111" customWidth="1"/>
    <col min="7145" max="7145" width="7.42578125" style="111" customWidth="1"/>
    <col min="7146" max="7146" width="7.7109375" style="111" customWidth="1"/>
    <col min="7147" max="7147" width="7.28515625" style="111" customWidth="1"/>
    <col min="7148" max="7148" width="7.7109375" style="111" customWidth="1"/>
    <col min="7149" max="7150" width="10.28515625" style="111" customWidth="1"/>
    <col min="7151" max="7151" width="8.85546875" style="111"/>
    <col min="7152" max="7170" width="9.28515625" style="111" customWidth="1"/>
    <col min="7171" max="7376" width="8.85546875" style="111"/>
    <col min="7377" max="7377" width="23.7109375" style="111" customWidth="1"/>
    <col min="7378" max="7378" width="10.7109375" style="111" customWidth="1"/>
    <col min="7379" max="7379" width="6.5703125" style="111" customWidth="1"/>
    <col min="7380" max="7380" width="7" style="111" bestFit="1" customWidth="1"/>
    <col min="7381" max="7381" width="7.42578125" style="111" bestFit="1" customWidth="1"/>
    <col min="7382" max="7382" width="7.7109375" style="111" bestFit="1" customWidth="1"/>
    <col min="7383" max="7383" width="7.28515625" style="111" bestFit="1" customWidth="1"/>
    <col min="7384" max="7384" width="7.7109375" style="111" bestFit="1" customWidth="1"/>
    <col min="7385" max="7386" width="10.28515625" style="111" bestFit="1" customWidth="1"/>
    <col min="7387" max="7387" width="23.7109375" style="111" customWidth="1"/>
    <col min="7388" max="7388" width="10.7109375" style="111" customWidth="1"/>
    <col min="7389" max="7389" width="6.5703125" style="111" customWidth="1"/>
    <col min="7390" max="7390" width="7" style="111" customWidth="1"/>
    <col min="7391" max="7391" width="7.42578125" style="111" customWidth="1"/>
    <col min="7392" max="7392" width="7.7109375" style="111" customWidth="1"/>
    <col min="7393" max="7393" width="7.28515625" style="111" customWidth="1"/>
    <col min="7394" max="7394" width="7.7109375" style="111" customWidth="1"/>
    <col min="7395" max="7396" width="10.28515625" style="111" customWidth="1"/>
    <col min="7397" max="7397" width="14.7109375" style="111" customWidth="1"/>
    <col min="7398" max="7398" width="10.7109375" style="111" customWidth="1"/>
    <col min="7399" max="7399" width="6.5703125" style="111" customWidth="1"/>
    <col min="7400" max="7400" width="7" style="111" customWidth="1"/>
    <col min="7401" max="7401" width="7.42578125" style="111" customWidth="1"/>
    <col min="7402" max="7402" width="7.7109375" style="111" customWidth="1"/>
    <col min="7403" max="7403" width="7.28515625" style="111" customWidth="1"/>
    <col min="7404" max="7404" width="7.7109375" style="111" customWidth="1"/>
    <col min="7405" max="7406" width="10.28515625" style="111" customWidth="1"/>
    <col min="7407" max="7407" width="8.85546875" style="111"/>
    <col min="7408" max="7426" width="9.28515625" style="111" customWidth="1"/>
    <col min="7427" max="7632" width="8.85546875" style="111"/>
    <col min="7633" max="7633" width="23.7109375" style="111" customWidth="1"/>
    <col min="7634" max="7634" width="10.7109375" style="111" customWidth="1"/>
    <col min="7635" max="7635" width="6.5703125" style="111" customWidth="1"/>
    <col min="7636" max="7636" width="7" style="111" bestFit="1" customWidth="1"/>
    <col min="7637" max="7637" width="7.42578125" style="111" bestFit="1" customWidth="1"/>
    <col min="7638" max="7638" width="7.7109375" style="111" bestFit="1" customWidth="1"/>
    <col min="7639" max="7639" width="7.28515625" style="111" bestFit="1" customWidth="1"/>
    <col min="7640" max="7640" width="7.7109375" style="111" bestFit="1" customWidth="1"/>
    <col min="7641" max="7642" width="10.28515625" style="111" bestFit="1" customWidth="1"/>
    <col min="7643" max="7643" width="23.7109375" style="111" customWidth="1"/>
    <col min="7644" max="7644" width="10.7109375" style="111" customWidth="1"/>
    <col min="7645" max="7645" width="6.5703125" style="111" customWidth="1"/>
    <col min="7646" max="7646" width="7" style="111" customWidth="1"/>
    <col min="7647" max="7647" width="7.42578125" style="111" customWidth="1"/>
    <col min="7648" max="7648" width="7.7109375" style="111" customWidth="1"/>
    <col min="7649" max="7649" width="7.28515625" style="111" customWidth="1"/>
    <col min="7650" max="7650" width="7.7109375" style="111" customWidth="1"/>
    <col min="7651" max="7652" width="10.28515625" style="111" customWidth="1"/>
    <col min="7653" max="7653" width="14.7109375" style="111" customWidth="1"/>
    <col min="7654" max="7654" width="10.7109375" style="111" customWidth="1"/>
    <col min="7655" max="7655" width="6.5703125" style="111" customWidth="1"/>
    <col min="7656" max="7656" width="7" style="111" customWidth="1"/>
    <col min="7657" max="7657" width="7.42578125" style="111" customWidth="1"/>
    <col min="7658" max="7658" width="7.7109375" style="111" customWidth="1"/>
    <col min="7659" max="7659" width="7.28515625" style="111" customWidth="1"/>
    <col min="7660" max="7660" width="7.7109375" style="111" customWidth="1"/>
    <col min="7661" max="7662" width="10.28515625" style="111" customWidth="1"/>
    <col min="7663" max="7663" width="8.85546875" style="111"/>
    <col min="7664" max="7682" width="9.28515625" style="111" customWidth="1"/>
    <col min="7683" max="7888" width="8.85546875" style="111"/>
    <col min="7889" max="7889" width="23.7109375" style="111" customWidth="1"/>
    <col min="7890" max="7890" width="10.7109375" style="111" customWidth="1"/>
    <col min="7891" max="7891" width="6.5703125" style="111" customWidth="1"/>
    <col min="7892" max="7892" width="7" style="111" bestFit="1" customWidth="1"/>
    <col min="7893" max="7893" width="7.42578125" style="111" bestFit="1" customWidth="1"/>
    <col min="7894" max="7894" width="7.7109375" style="111" bestFit="1" customWidth="1"/>
    <col min="7895" max="7895" width="7.28515625" style="111" bestFit="1" customWidth="1"/>
    <col min="7896" max="7896" width="7.7109375" style="111" bestFit="1" customWidth="1"/>
    <col min="7897" max="7898" width="10.28515625" style="111" bestFit="1" customWidth="1"/>
    <col min="7899" max="7899" width="23.7109375" style="111" customWidth="1"/>
    <col min="7900" max="7900" width="10.7109375" style="111" customWidth="1"/>
    <col min="7901" max="7901" width="6.5703125" style="111" customWidth="1"/>
    <col min="7902" max="7902" width="7" style="111" customWidth="1"/>
    <col min="7903" max="7903" width="7.42578125" style="111" customWidth="1"/>
    <col min="7904" max="7904" width="7.7109375" style="111" customWidth="1"/>
    <col min="7905" max="7905" width="7.28515625" style="111" customWidth="1"/>
    <col min="7906" max="7906" width="7.7109375" style="111" customWidth="1"/>
    <col min="7907" max="7908" width="10.28515625" style="111" customWidth="1"/>
    <col min="7909" max="7909" width="14.7109375" style="111" customWidth="1"/>
    <col min="7910" max="7910" width="10.7109375" style="111" customWidth="1"/>
    <col min="7911" max="7911" width="6.5703125" style="111" customWidth="1"/>
    <col min="7912" max="7912" width="7" style="111" customWidth="1"/>
    <col min="7913" max="7913" width="7.42578125" style="111" customWidth="1"/>
    <col min="7914" max="7914" width="7.7109375" style="111" customWidth="1"/>
    <col min="7915" max="7915" width="7.28515625" style="111" customWidth="1"/>
    <col min="7916" max="7916" width="7.7109375" style="111" customWidth="1"/>
    <col min="7917" max="7918" width="10.28515625" style="111" customWidth="1"/>
    <col min="7919" max="7919" width="8.85546875" style="111"/>
    <col min="7920" max="7938" width="9.28515625" style="111" customWidth="1"/>
    <col min="7939" max="8144" width="8.85546875" style="111"/>
    <col min="8145" max="8145" width="23.7109375" style="111" customWidth="1"/>
    <col min="8146" max="8146" width="10.7109375" style="111" customWidth="1"/>
    <col min="8147" max="8147" width="6.5703125" style="111" customWidth="1"/>
    <col min="8148" max="8148" width="7" style="111" bestFit="1" customWidth="1"/>
    <col min="8149" max="8149" width="7.42578125" style="111" bestFit="1" customWidth="1"/>
    <col min="8150" max="8150" width="7.7109375" style="111" bestFit="1" customWidth="1"/>
    <col min="8151" max="8151" width="7.28515625" style="111" bestFit="1" customWidth="1"/>
    <col min="8152" max="8152" width="7.7109375" style="111" bestFit="1" customWidth="1"/>
    <col min="8153" max="8154" width="10.28515625" style="111" bestFit="1" customWidth="1"/>
    <col min="8155" max="8155" width="23.7109375" style="111" customWidth="1"/>
    <col min="8156" max="8156" width="10.7109375" style="111" customWidth="1"/>
    <col min="8157" max="8157" width="6.5703125" style="111" customWidth="1"/>
    <col min="8158" max="8158" width="7" style="111" customWidth="1"/>
    <col min="8159" max="8159" width="7.42578125" style="111" customWidth="1"/>
    <col min="8160" max="8160" width="7.7109375" style="111" customWidth="1"/>
    <col min="8161" max="8161" width="7.28515625" style="111" customWidth="1"/>
    <col min="8162" max="8162" width="7.7109375" style="111" customWidth="1"/>
    <col min="8163" max="8164" width="10.28515625" style="111" customWidth="1"/>
    <col min="8165" max="8165" width="14.7109375" style="111" customWidth="1"/>
    <col min="8166" max="8166" width="10.7109375" style="111" customWidth="1"/>
    <col min="8167" max="8167" width="6.5703125" style="111" customWidth="1"/>
    <col min="8168" max="8168" width="7" style="111" customWidth="1"/>
    <col min="8169" max="8169" width="7.42578125" style="111" customWidth="1"/>
    <col min="8170" max="8170" width="7.7109375" style="111" customWidth="1"/>
    <col min="8171" max="8171" width="7.28515625" style="111" customWidth="1"/>
    <col min="8172" max="8172" width="7.7109375" style="111" customWidth="1"/>
    <col min="8173" max="8174" width="10.28515625" style="111" customWidth="1"/>
    <col min="8175" max="8175" width="8.85546875" style="111"/>
    <col min="8176" max="8194" width="9.28515625" style="111" customWidth="1"/>
    <col min="8195" max="8400" width="8.85546875" style="111"/>
    <col min="8401" max="8401" width="23.7109375" style="111" customWidth="1"/>
    <col min="8402" max="8402" width="10.7109375" style="111" customWidth="1"/>
    <col min="8403" max="8403" width="6.5703125" style="111" customWidth="1"/>
    <col min="8404" max="8404" width="7" style="111" bestFit="1" customWidth="1"/>
    <col min="8405" max="8405" width="7.42578125" style="111" bestFit="1" customWidth="1"/>
    <col min="8406" max="8406" width="7.7109375" style="111" bestFit="1" customWidth="1"/>
    <col min="8407" max="8407" width="7.28515625" style="111" bestFit="1" customWidth="1"/>
    <col min="8408" max="8408" width="7.7109375" style="111" bestFit="1" customWidth="1"/>
    <col min="8409" max="8410" width="10.28515625" style="111" bestFit="1" customWidth="1"/>
    <col min="8411" max="8411" width="23.7109375" style="111" customWidth="1"/>
    <col min="8412" max="8412" width="10.7109375" style="111" customWidth="1"/>
    <col min="8413" max="8413" width="6.5703125" style="111" customWidth="1"/>
    <col min="8414" max="8414" width="7" style="111" customWidth="1"/>
    <col min="8415" max="8415" width="7.42578125" style="111" customWidth="1"/>
    <col min="8416" max="8416" width="7.7109375" style="111" customWidth="1"/>
    <col min="8417" max="8417" width="7.28515625" style="111" customWidth="1"/>
    <col min="8418" max="8418" width="7.7109375" style="111" customWidth="1"/>
    <col min="8419" max="8420" width="10.28515625" style="111" customWidth="1"/>
    <col min="8421" max="8421" width="14.7109375" style="111" customWidth="1"/>
    <col min="8422" max="8422" width="10.7109375" style="111" customWidth="1"/>
    <col min="8423" max="8423" width="6.5703125" style="111" customWidth="1"/>
    <col min="8424" max="8424" width="7" style="111" customWidth="1"/>
    <col min="8425" max="8425" width="7.42578125" style="111" customWidth="1"/>
    <col min="8426" max="8426" width="7.7109375" style="111" customWidth="1"/>
    <col min="8427" max="8427" width="7.28515625" style="111" customWidth="1"/>
    <col min="8428" max="8428" width="7.7109375" style="111" customWidth="1"/>
    <col min="8429" max="8430" width="10.28515625" style="111" customWidth="1"/>
    <col min="8431" max="8431" width="8.85546875" style="111"/>
    <col min="8432" max="8450" width="9.28515625" style="111" customWidth="1"/>
    <col min="8451" max="8656" width="8.85546875" style="111"/>
    <col min="8657" max="8657" width="23.7109375" style="111" customWidth="1"/>
    <col min="8658" max="8658" width="10.7109375" style="111" customWidth="1"/>
    <col min="8659" max="8659" width="6.5703125" style="111" customWidth="1"/>
    <col min="8660" max="8660" width="7" style="111" bestFit="1" customWidth="1"/>
    <col min="8661" max="8661" width="7.42578125" style="111" bestFit="1" customWidth="1"/>
    <col min="8662" max="8662" width="7.7109375" style="111" bestFit="1" customWidth="1"/>
    <col min="8663" max="8663" width="7.28515625" style="111" bestFit="1" customWidth="1"/>
    <col min="8664" max="8664" width="7.7109375" style="111" bestFit="1" customWidth="1"/>
    <col min="8665" max="8666" width="10.28515625" style="111" bestFit="1" customWidth="1"/>
    <col min="8667" max="8667" width="23.7109375" style="111" customWidth="1"/>
    <col min="8668" max="8668" width="10.7109375" style="111" customWidth="1"/>
    <col min="8669" max="8669" width="6.5703125" style="111" customWidth="1"/>
    <col min="8670" max="8670" width="7" style="111" customWidth="1"/>
    <col min="8671" max="8671" width="7.42578125" style="111" customWidth="1"/>
    <col min="8672" max="8672" width="7.7109375" style="111" customWidth="1"/>
    <col min="8673" max="8673" width="7.28515625" style="111" customWidth="1"/>
    <col min="8674" max="8674" width="7.7109375" style="111" customWidth="1"/>
    <col min="8675" max="8676" width="10.28515625" style="111" customWidth="1"/>
    <col min="8677" max="8677" width="14.7109375" style="111" customWidth="1"/>
    <col min="8678" max="8678" width="10.7109375" style="111" customWidth="1"/>
    <col min="8679" max="8679" width="6.5703125" style="111" customWidth="1"/>
    <col min="8680" max="8680" width="7" style="111" customWidth="1"/>
    <col min="8681" max="8681" width="7.42578125" style="111" customWidth="1"/>
    <col min="8682" max="8682" width="7.7109375" style="111" customWidth="1"/>
    <col min="8683" max="8683" width="7.28515625" style="111" customWidth="1"/>
    <col min="8684" max="8684" width="7.7109375" style="111" customWidth="1"/>
    <col min="8685" max="8686" width="10.28515625" style="111" customWidth="1"/>
    <col min="8687" max="8687" width="8.85546875" style="111"/>
    <col min="8688" max="8706" width="9.28515625" style="111" customWidth="1"/>
    <col min="8707" max="8912" width="8.85546875" style="111"/>
    <col min="8913" max="8913" width="23.7109375" style="111" customWidth="1"/>
    <col min="8914" max="8914" width="10.7109375" style="111" customWidth="1"/>
    <col min="8915" max="8915" width="6.5703125" style="111" customWidth="1"/>
    <col min="8916" max="8916" width="7" style="111" bestFit="1" customWidth="1"/>
    <col min="8917" max="8917" width="7.42578125" style="111" bestFit="1" customWidth="1"/>
    <col min="8918" max="8918" width="7.7109375" style="111" bestFit="1" customWidth="1"/>
    <col min="8919" max="8919" width="7.28515625" style="111" bestFit="1" customWidth="1"/>
    <col min="8920" max="8920" width="7.7109375" style="111" bestFit="1" customWidth="1"/>
    <col min="8921" max="8922" width="10.28515625" style="111" bestFit="1" customWidth="1"/>
    <col min="8923" max="8923" width="23.7109375" style="111" customWidth="1"/>
    <col min="8924" max="8924" width="10.7109375" style="111" customWidth="1"/>
    <col min="8925" max="8925" width="6.5703125" style="111" customWidth="1"/>
    <col min="8926" max="8926" width="7" style="111" customWidth="1"/>
    <col min="8927" max="8927" width="7.42578125" style="111" customWidth="1"/>
    <col min="8928" max="8928" width="7.7109375" style="111" customWidth="1"/>
    <col min="8929" max="8929" width="7.28515625" style="111" customWidth="1"/>
    <col min="8930" max="8930" width="7.7109375" style="111" customWidth="1"/>
    <col min="8931" max="8932" width="10.28515625" style="111" customWidth="1"/>
    <col min="8933" max="8933" width="14.7109375" style="111" customWidth="1"/>
    <col min="8934" max="8934" width="10.7109375" style="111" customWidth="1"/>
    <col min="8935" max="8935" width="6.5703125" style="111" customWidth="1"/>
    <col min="8936" max="8936" width="7" style="111" customWidth="1"/>
    <col min="8937" max="8937" width="7.42578125" style="111" customWidth="1"/>
    <col min="8938" max="8938" width="7.7109375" style="111" customWidth="1"/>
    <col min="8939" max="8939" width="7.28515625" style="111" customWidth="1"/>
    <col min="8940" max="8940" width="7.7109375" style="111" customWidth="1"/>
    <col min="8941" max="8942" width="10.28515625" style="111" customWidth="1"/>
    <col min="8943" max="8943" width="8.85546875" style="111"/>
    <col min="8944" max="8962" width="9.28515625" style="111" customWidth="1"/>
    <col min="8963" max="9168" width="8.85546875" style="111"/>
    <col min="9169" max="9169" width="23.7109375" style="111" customWidth="1"/>
    <col min="9170" max="9170" width="10.7109375" style="111" customWidth="1"/>
    <col min="9171" max="9171" width="6.5703125" style="111" customWidth="1"/>
    <col min="9172" max="9172" width="7" style="111" bestFit="1" customWidth="1"/>
    <col min="9173" max="9173" width="7.42578125" style="111" bestFit="1" customWidth="1"/>
    <col min="9174" max="9174" width="7.7109375" style="111" bestFit="1" customWidth="1"/>
    <col min="9175" max="9175" width="7.28515625" style="111" bestFit="1" customWidth="1"/>
    <col min="9176" max="9176" width="7.7109375" style="111" bestFit="1" customWidth="1"/>
    <col min="9177" max="9178" width="10.28515625" style="111" bestFit="1" customWidth="1"/>
    <col min="9179" max="9179" width="23.7109375" style="111" customWidth="1"/>
    <col min="9180" max="9180" width="10.7109375" style="111" customWidth="1"/>
    <col min="9181" max="9181" width="6.5703125" style="111" customWidth="1"/>
    <col min="9182" max="9182" width="7" style="111" customWidth="1"/>
    <col min="9183" max="9183" width="7.42578125" style="111" customWidth="1"/>
    <col min="9184" max="9184" width="7.7109375" style="111" customWidth="1"/>
    <col min="9185" max="9185" width="7.28515625" style="111" customWidth="1"/>
    <col min="9186" max="9186" width="7.7109375" style="111" customWidth="1"/>
    <col min="9187" max="9188" width="10.28515625" style="111" customWidth="1"/>
    <col min="9189" max="9189" width="14.7109375" style="111" customWidth="1"/>
    <col min="9190" max="9190" width="10.7109375" style="111" customWidth="1"/>
    <col min="9191" max="9191" width="6.5703125" style="111" customWidth="1"/>
    <col min="9192" max="9192" width="7" style="111" customWidth="1"/>
    <col min="9193" max="9193" width="7.42578125" style="111" customWidth="1"/>
    <col min="9194" max="9194" width="7.7109375" style="111" customWidth="1"/>
    <col min="9195" max="9195" width="7.28515625" style="111" customWidth="1"/>
    <col min="9196" max="9196" width="7.7109375" style="111" customWidth="1"/>
    <col min="9197" max="9198" width="10.28515625" style="111" customWidth="1"/>
    <col min="9199" max="9199" width="8.85546875" style="111"/>
    <col min="9200" max="9218" width="9.28515625" style="111" customWidth="1"/>
    <col min="9219" max="9424" width="8.85546875" style="111"/>
    <col min="9425" max="9425" width="23.7109375" style="111" customWidth="1"/>
    <col min="9426" max="9426" width="10.7109375" style="111" customWidth="1"/>
    <col min="9427" max="9427" width="6.5703125" style="111" customWidth="1"/>
    <col min="9428" max="9428" width="7" style="111" bestFit="1" customWidth="1"/>
    <col min="9429" max="9429" width="7.42578125" style="111" bestFit="1" customWidth="1"/>
    <col min="9430" max="9430" width="7.7109375" style="111" bestFit="1" customWidth="1"/>
    <col min="9431" max="9431" width="7.28515625" style="111" bestFit="1" customWidth="1"/>
    <col min="9432" max="9432" width="7.7109375" style="111" bestFit="1" customWidth="1"/>
    <col min="9433" max="9434" width="10.28515625" style="111" bestFit="1" customWidth="1"/>
    <col min="9435" max="9435" width="23.7109375" style="111" customWidth="1"/>
    <col min="9436" max="9436" width="10.7109375" style="111" customWidth="1"/>
    <col min="9437" max="9437" width="6.5703125" style="111" customWidth="1"/>
    <col min="9438" max="9438" width="7" style="111" customWidth="1"/>
    <col min="9439" max="9439" width="7.42578125" style="111" customWidth="1"/>
    <col min="9440" max="9440" width="7.7109375" style="111" customWidth="1"/>
    <col min="9441" max="9441" width="7.28515625" style="111" customWidth="1"/>
    <col min="9442" max="9442" width="7.7109375" style="111" customWidth="1"/>
    <col min="9443" max="9444" width="10.28515625" style="111" customWidth="1"/>
    <col min="9445" max="9445" width="14.7109375" style="111" customWidth="1"/>
    <col min="9446" max="9446" width="10.7109375" style="111" customWidth="1"/>
    <col min="9447" max="9447" width="6.5703125" style="111" customWidth="1"/>
    <col min="9448" max="9448" width="7" style="111" customWidth="1"/>
    <col min="9449" max="9449" width="7.42578125" style="111" customWidth="1"/>
    <col min="9450" max="9450" width="7.7109375" style="111" customWidth="1"/>
    <col min="9451" max="9451" width="7.28515625" style="111" customWidth="1"/>
    <col min="9452" max="9452" width="7.7109375" style="111" customWidth="1"/>
    <col min="9453" max="9454" width="10.28515625" style="111" customWidth="1"/>
    <col min="9455" max="9455" width="8.85546875" style="111"/>
    <col min="9456" max="9474" width="9.28515625" style="111" customWidth="1"/>
    <col min="9475" max="9680" width="8.85546875" style="111"/>
    <col min="9681" max="9681" width="23.7109375" style="111" customWidth="1"/>
    <col min="9682" max="9682" width="10.7109375" style="111" customWidth="1"/>
    <col min="9683" max="9683" width="6.5703125" style="111" customWidth="1"/>
    <col min="9684" max="9684" width="7" style="111" bestFit="1" customWidth="1"/>
    <col min="9685" max="9685" width="7.42578125" style="111" bestFit="1" customWidth="1"/>
    <col min="9686" max="9686" width="7.7109375" style="111" bestFit="1" customWidth="1"/>
    <col min="9687" max="9687" width="7.28515625" style="111" bestFit="1" customWidth="1"/>
    <col min="9688" max="9688" width="7.7109375" style="111" bestFit="1" customWidth="1"/>
    <col min="9689" max="9690" width="10.28515625" style="111" bestFit="1" customWidth="1"/>
    <col min="9691" max="9691" width="23.7109375" style="111" customWidth="1"/>
    <col min="9692" max="9692" width="10.7109375" style="111" customWidth="1"/>
    <col min="9693" max="9693" width="6.5703125" style="111" customWidth="1"/>
    <col min="9694" max="9694" width="7" style="111" customWidth="1"/>
    <col min="9695" max="9695" width="7.42578125" style="111" customWidth="1"/>
    <col min="9696" max="9696" width="7.7109375" style="111" customWidth="1"/>
    <col min="9697" max="9697" width="7.28515625" style="111" customWidth="1"/>
    <col min="9698" max="9698" width="7.7109375" style="111" customWidth="1"/>
    <col min="9699" max="9700" width="10.28515625" style="111" customWidth="1"/>
    <col min="9701" max="9701" width="14.7109375" style="111" customWidth="1"/>
    <col min="9702" max="9702" width="10.7109375" style="111" customWidth="1"/>
    <col min="9703" max="9703" width="6.5703125" style="111" customWidth="1"/>
    <col min="9704" max="9704" width="7" style="111" customWidth="1"/>
    <col min="9705" max="9705" width="7.42578125" style="111" customWidth="1"/>
    <col min="9706" max="9706" width="7.7109375" style="111" customWidth="1"/>
    <col min="9707" max="9707" width="7.28515625" style="111" customWidth="1"/>
    <col min="9708" max="9708" width="7.7109375" style="111" customWidth="1"/>
    <col min="9709" max="9710" width="10.28515625" style="111" customWidth="1"/>
    <col min="9711" max="9711" width="8.85546875" style="111"/>
    <col min="9712" max="9730" width="9.28515625" style="111" customWidth="1"/>
    <col min="9731" max="9936" width="8.85546875" style="111"/>
    <col min="9937" max="9937" width="23.7109375" style="111" customWidth="1"/>
    <col min="9938" max="9938" width="10.7109375" style="111" customWidth="1"/>
    <col min="9939" max="9939" width="6.5703125" style="111" customWidth="1"/>
    <col min="9940" max="9940" width="7" style="111" bestFit="1" customWidth="1"/>
    <col min="9941" max="9941" width="7.42578125" style="111" bestFit="1" customWidth="1"/>
    <col min="9942" max="9942" width="7.7109375" style="111" bestFit="1" customWidth="1"/>
    <col min="9943" max="9943" width="7.28515625" style="111" bestFit="1" customWidth="1"/>
    <col min="9944" max="9944" width="7.7109375" style="111" bestFit="1" customWidth="1"/>
    <col min="9945" max="9946" width="10.28515625" style="111" bestFit="1" customWidth="1"/>
    <col min="9947" max="9947" width="23.7109375" style="111" customWidth="1"/>
    <col min="9948" max="9948" width="10.7109375" style="111" customWidth="1"/>
    <col min="9949" max="9949" width="6.5703125" style="111" customWidth="1"/>
    <col min="9950" max="9950" width="7" style="111" customWidth="1"/>
    <col min="9951" max="9951" width="7.42578125" style="111" customWidth="1"/>
    <col min="9952" max="9952" width="7.7109375" style="111" customWidth="1"/>
    <col min="9953" max="9953" width="7.28515625" style="111" customWidth="1"/>
    <col min="9954" max="9954" width="7.7109375" style="111" customWidth="1"/>
    <col min="9955" max="9956" width="10.28515625" style="111" customWidth="1"/>
    <col min="9957" max="9957" width="14.7109375" style="111" customWidth="1"/>
    <col min="9958" max="9958" width="10.7109375" style="111" customWidth="1"/>
    <col min="9959" max="9959" width="6.5703125" style="111" customWidth="1"/>
    <col min="9960" max="9960" width="7" style="111" customWidth="1"/>
    <col min="9961" max="9961" width="7.42578125" style="111" customWidth="1"/>
    <col min="9962" max="9962" width="7.7109375" style="111" customWidth="1"/>
    <col min="9963" max="9963" width="7.28515625" style="111" customWidth="1"/>
    <col min="9964" max="9964" width="7.7109375" style="111" customWidth="1"/>
    <col min="9965" max="9966" width="10.28515625" style="111" customWidth="1"/>
    <col min="9967" max="9967" width="8.85546875" style="111"/>
    <col min="9968" max="9986" width="9.28515625" style="111" customWidth="1"/>
    <col min="9987" max="10192" width="8.85546875" style="111"/>
    <col min="10193" max="10193" width="23.7109375" style="111" customWidth="1"/>
    <col min="10194" max="10194" width="10.7109375" style="111" customWidth="1"/>
    <col min="10195" max="10195" width="6.5703125" style="111" customWidth="1"/>
    <col min="10196" max="10196" width="7" style="111" bestFit="1" customWidth="1"/>
    <col min="10197" max="10197" width="7.42578125" style="111" bestFit="1" customWidth="1"/>
    <col min="10198" max="10198" width="7.7109375" style="111" bestFit="1" customWidth="1"/>
    <col min="10199" max="10199" width="7.28515625" style="111" bestFit="1" customWidth="1"/>
    <col min="10200" max="10200" width="7.7109375" style="111" bestFit="1" customWidth="1"/>
    <col min="10201" max="10202" width="10.28515625" style="111" bestFit="1" customWidth="1"/>
    <col min="10203" max="10203" width="23.7109375" style="111" customWidth="1"/>
    <col min="10204" max="10204" width="10.7109375" style="111" customWidth="1"/>
    <col min="10205" max="10205" width="6.5703125" style="111" customWidth="1"/>
    <col min="10206" max="10206" width="7" style="111" customWidth="1"/>
    <col min="10207" max="10207" width="7.42578125" style="111" customWidth="1"/>
    <col min="10208" max="10208" width="7.7109375" style="111" customWidth="1"/>
    <col min="10209" max="10209" width="7.28515625" style="111" customWidth="1"/>
    <col min="10210" max="10210" width="7.7109375" style="111" customWidth="1"/>
    <col min="10211" max="10212" width="10.28515625" style="111" customWidth="1"/>
    <col min="10213" max="10213" width="14.7109375" style="111" customWidth="1"/>
    <col min="10214" max="10214" width="10.7109375" style="111" customWidth="1"/>
    <col min="10215" max="10215" width="6.5703125" style="111" customWidth="1"/>
    <col min="10216" max="10216" width="7" style="111" customWidth="1"/>
    <col min="10217" max="10217" width="7.42578125" style="111" customWidth="1"/>
    <col min="10218" max="10218" width="7.7109375" style="111" customWidth="1"/>
    <col min="10219" max="10219" width="7.28515625" style="111" customWidth="1"/>
    <col min="10220" max="10220" width="7.7109375" style="111" customWidth="1"/>
    <col min="10221" max="10222" width="10.28515625" style="111" customWidth="1"/>
    <col min="10223" max="10223" width="8.85546875" style="111"/>
    <col min="10224" max="10242" width="9.28515625" style="111" customWidth="1"/>
    <col min="10243" max="10448" width="8.85546875" style="111"/>
    <col min="10449" max="10449" width="23.7109375" style="111" customWidth="1"/>
    <col min="10450" max="10450" width="10.7109375" style="111" customWidth="1"/>
    <col min="10451" max="10451" width="6.5703125" style="111" customWidth="1"/>
    <col min="10452" max="10452" width="7" style="111" bestFit="1" customWidth="1"/>
    <col min="10453" max="10453" width="7.42578125" style="111" bestFit="1" customWidth="1"/>
    <col min="10454" max="10454" width="7.7109375" style="111" bestFit="1" customWidth="1"/>
    <col min="10455" max="10455" width="7.28515625" style="111" bestFit="1" customWidth="1"/>
    <col min="10456" max="10456" width="7.7109375" style="111" bestFit="1" customWidth="1"/>
    <col min="10457" max="10458" width="10.28515625" style="111" bestFit="1" customWidth="1"/>
    <col min="10459" max="10459" width="23.7109375" style="111" customWidth="1"/>
    <col min="10460" max="10460" width="10.7109375" style="111" customWidth="1"/>
    <col min="10461" max="10461" width="6.5703125" style="111" customWidth="1"/>
    <col min="10462" max="10462" width="7" style="111" customWidth="1"/>
    <col min="10463" max="10463" width="7.42578125" style="111" customWidth="1"/>
    <col min="10464" max="10464" width="7.7109375" style="111" customWidth="1"/>
    <col min="10465" max="10465" width="7.28515625" style="111" customWidth="1"/>
    <col min="10466" max="10466" width="7.7109375" style="111" customWidth="1"/>
    <col min="10467" max="10468" width="10.28515625" style="111" customWidth="1"/>
    <col min="10469" max="10469" width="14.7109375" style="111" customWidth="1"/>
    <col min="10470" max="10470" width="10.7109375" style="111" customWidth="1"/>
    <col min="10471" max="10471" width="6.5703125" style="111" customWidth="1"/>
    <col min="10472" max="10472" width="7" style="111" customWidth="1"/>
    <col min="10473" max="10473" width="7.42578125" style="111" customWidth="1"/>
    <col min="10474" max="10474" width="7.7109375" style="111" customWidth="1"/>
    <col min="10475" max="10475" width="7.28515625" style="111" customWidth="1"/>
    <col min="10476" max="10476" width="7.7109375" style="111" customWidth="1"/>
    <col min="10477" max="10478" width="10.28515625" style="111" customWidth="1"/>
    <col min="10479" max="10479" width="8.85546875" style="111"/>
    <col min="10480" max="10498" width="9.28515625" style="111" customWidth="1"/>
    <col min="10499" max="10704" width="8.85546875" style="111"/>
    <col min="10705" max="10705" width="23.7109375" style="111" customWidth="1"/>
    <col min="10706" max="10706" width="10.7109375" style="111" customWidth="1"/>
    <col min="10707" max="10707" width="6.5703125" style="111" customWidth="1"/>
    <col min="10708" max="10708" width="7" style="111" bestFit="1" customWidth="1"/>
    <col min="10709" max="10709" width="7.42578125" style="111" bestFit="1" customWidth="1"/>
    <col min="10710" max="10710" width="7.7109375" style="111" bestFit="1" customWidth="1"/>
    <col min="10711" max="10711" width="7.28515625" style="111" bestFit="1" customWidth="1"/>
    <col min="10712" max="10712" width="7.7109375" style="111" bestFit="1" customWidth="1"/>
    <col min="10713" max="10714" width="10.28515625" style="111" bestFit="1" customWidth="1"/>
    <col min="10715" max="10715" width="23.7109375" style="111" customWidth="1"/>
    <col min="10716" max="10716" width="10.7109375" style="111" customWidth="1"/>
    <col min="10717" max="10717" width="6.5703125" style="111" customWidth="1"/>
    <col min="10718" max="10718" width="7" style="111" customWidth="1"/>
    <col min="10719" max="10719" width="7.42578125" style="111" customWidth="1"/>
    <col min="10720" max="10720" width="7.7109375" style="111" customWidth="1"/>
    <col min="10721" max="10721" width="7.28515625" style="111" customWidth="1"/>
    <col min="10722" max="10722" width="7.7109375" style="111" customWidth="1"/>
    <col min="10723" max="10724" width="10.28515625" style="111" customWidth="1"/>
    <col min="10725" max="10725" width="14.7109375" style="111" customWidth="1"/>
    <col min="10726" max="10726" width="10.7109375" style="111" customWidth="1"/>
    <col min="10727" max="10727" width="6.5703125" style="111" customWidth="1"/>
    <col min="10728" max="10728" width="7" style="111" customWidth="1"/>
    <col min="10729" max="10729" width="7.42578125" style="111" customWidth="1"/>
    <col min="10730" max="10730" width="7.7109375" style="111" customWidth="1"/>
    <col min="10731" max="10731" width="7.28515625" style="111" customWidth="1"/>
    <col min="10732" max="10732" width="7.7109375" style="111" customWidth="1"/>
    <col min="10733" max="10734" width="10.28515625" style="111" customWidth="1"/>
    <col min="10735" max="10735" width="8.85546875" style="111"/>
    <col min="10736" max="10754" width="9.28515625" style="111" customWidth="1"/>
    <col min="10755" max="10960" width="8.85546875" style="111"/>
    <col min="10961" max="10961" width="23.7109375" style="111" customWidth="1"/>
    <col min="10962" max="10962" width="10.7109375" style="111" customWidth="1"/>
    <col min="10963" max="10963" width="6.5703125" style="111" customWidth="1"/>
    <col min="10964" max="10964" width="7" style="111" bestFit="1" customWidth="1"/>
    <col min="10965" max="10965" width="7.42578125" style="111" bestFit="1" customWidth="1"/>
    <col min="10966" max="10966" width="7.7109375" style="111" bestFit="1" customWidth="1"/>
    <col min="10967" max="10967" width="7.28515625" style="111" bestFit="1" customWidth="1"/>
    <col min="10968" max="10968" width="7.7109375" style="111" bestFit="1" customWidth="1"/>
    <col min="10969" max="10970" width="10.28515625" style="111" bestFit="1" customWidth="1"/>
    <col min="10971" max="10971" width="23.7109375" style="111" customWidth="1"/>
    <col min="10972" max="10972" width="10.7109375" style="111" customWidth="1"/>
    <col min="10973" max="10973" width="6.5703125" style="111" customWidth="1"/>
    <col min="10974" max="10974" width="7" style="111" customWidth="1"/>
    <col min="10975" max="10975" width="7.42578125" style="111" customWidth="1"/>
    <col min="10976" max="10976" width="7.7109375" style="111" customWidth="1"/>
    <col min="10977" max="10977" width="7.28515625" style="111" customWidth="1"/>
    <col min="10978" max="10978" width="7.7109375" style="111" customWidth="1"/>
    <col min="10979" max="10980" width="10.28515625" style="111" customWidth="1"/>
    <col min="10981" max="10981" width="14.7109375" style="111" customWidth="1"/>
    <col min="10982" max="10982" width="10.7109375" style="111" customWidth="1"/>
    <col min="10983" max="10983" width="6.5703125" style="111" customWidth="1"/>
    <col min="10984" max="10984" width="7" style="111" customWidth="1"/>
    <col min="10985" max="10985" width="7.42578125" style="111" customWidth="1"/>
    <col min="10986" max="10986" width="7.7109375" style="111" customWidth="1"/>
    <col min="10987" max="10987" width="7.28515625" style="111" customWidth="1"/>
    <col min="10988" max="10988" width="7.7109375" style="111" customWidth="1"/>
    <col min="10989" max="10990" width="10.28515625" style="111" customWidth="1"/>
    <col min="10991" max="10991" width="8.85546875" style="111"/>
    <col min="10992" max="11010" width="9.28515625" style="111" customWidth="1"/>
    <col min="11011" max="11216" width="8.85546875" style="111"/>
    <col min="11217" max="11217" width="23.7109375" style="111" customWidth="1"/>
    <col min="11218" max="11218" width="10.7109375" style="111" customWidth="1"/>
    <col min="11219" max="11219" width="6.5703125" style="111" customWidth="1"/>
    <col min="11220" max="11220" width="7" style="111" bestFit="1" customWidth="1"/>
    <col min="11221" max="11221" width="7.42578125" style="111" bestFit="1" customWidth="1"/>
    <col min="11222" max="11222" width="7.7109375" style="111" bestFit="1" customWidth="1"/>
    <col min="11223" max="11223" width="7.28515625" style="111" bestFit="1" customWidth="1"/>
    <col min="11224" max="11224" width="7.7109375" style="111" bestFit="1" customWidth="1"/>
    <col min="11225" max="11226" width="10.28515625" style="111" bestFit="1" customWidth="1"/>
    <col min="11227" max="11227" width="23.7109375" style="111" customWidth="1"/>
    <col min="11228" max="11228" width="10.7109375" style="111" customWidth="1"/>
    <col min="11229" max="11229" width="6.5703125" style="111" customWidth="1"/>
    <col min="11230" max="11230" width="7" style="111" customWidth="1"/>
    <col min="11231" max="11231" width="7.42578125" style="111" customWidth="1"/>
    <col min="11232" max="11232" width="7.7109375" style="111" customWidth="1"/>
    <col min="11233" max="11233" width="7.28515625" style="111" customWidth="1"/>
    <col min="11234" max="11234" width="7.7109375" style="111" customWidth="1"/>
    <col min="11235" max="11236" width="10.28515625" style="111" customWidth="1"/>
    <col min="11237" max="11237" width="14.7109375" style="111" customWidth="1"/>
    <col min="11238" max="11238" width="10.7109375" style="111" customWidth="1"/>
    <col min="11239" max="11239" width="6.5703125" style="111" customWidth="1"/>
    <col min="11240" max="11240" width="7" style="111" customWidth="1"/>
    <col min="11241" max="11241" width="7.42578125" style="111" customWidth="1"/>
    <col min="11242" max="11242" width="7.7109375" style="111" customWidth="1"/>
    <col min="11243" max="11243" width="7.28515625" style="111" customWidth="1"/>
    <col min="11244" max="11244" width="7.7109375" style="111" customWidth="1"/>
    <col min="11245" max="11246" width="10.28515625" style="111" customWidth="1"/>
    <col min="11247" max="11247" width="8.85546875" style="111"/>
    <col min="11248" max="11266" width="9.28515625" style="111" customWidth="1"/>
    <col min="11267" max="11472" width="8.85546875" style="111"/>
    <col min="11473" max="11473" width="23.7109375" style="111" customWidth="1"/>
    <col min="11474" max="11474" width="10.7109375" style="111" customWidth="1"/>
    <col min="11475" max="11475" width="6.5703125" style="111" customWidth="1"/>
    <col min="11476" max="11476" width="7" style="111" bestFit="1" customWidth="1"/>
    <col min="11477" max="11477" width="7.42578125" style="111" bestFit="1" customWidth="1"/>
    <col min="11478" max="11478" width="7.7109375" style="111" bestFit="1" customWidth="1"/>
    <col min="11479" max="11479" width="7.28515625" style="111" bestFit="1" customWidth="1"/>
    <col min="11480" max="11480" width="7.7109375" style="111" bestFit="1" customWidth="1"/>
    <col min="11481" max="11482" width="10.28515625" style="111" bestFit="1" customWidth="1"/>
    <col min="11483" max="11483" width="23.7109375" style="111" customWidth="1"/>
    <col min="11484" max="11484" width="10.7109375" style="111" customWidth="1"/>
    <col min="11485" max="11485" width="6.5703125" style="111" customWidth="1"/>
    <col min="11486" max="11486" width="7" style="111" customWidth="1"/>
    <col min="11487" max="11487" width="7.42578125" style="111" customWidth="1"/>
    <col min="11488" max="11488" width="7.7109375" style="111" customWidth="1"/>
    <col min="11489" max="11489" width="7.28515625" style="111" customWidth="1"/>
    <col min="11490" max="11490" width="7.7109375" style="111" customWidth="1"/>
    <col min="11491" max="11492" width="10.28515625" style="111" customWidth="1"/>
    <col min="11493" max="11493" width="14.7109375" style="111" customWidth="1"/>
    <col min="11494" max="11494" width="10.7109375" style="111" customWidth="1"/>
    <col min="11495" max="11495" width="6.5703125" style="111" customWidth="1"/>
    <col min="11496" max="11496" width="7" style="111" customWidth="1"/>
    <col min="11497" max="11497" width="7.42578125" style="111" customWidth="1"/>
    <col min="11498" max="11498" width="7.7109375" style="111" customWidth="1"/>
    <col min="11499" max="11499" width="7.28515625" style="111" customWidth="1"/>
    <col min="11500" max="11500" width="7.7109375" style="111" customWidth="1"/>
    <col min="11501" max="11502" width="10.28515625" style="111" customWidth="1"/>
    <col min="11503" max="11503" width="8.85546875" style="111"/>
    <col min="11504" max="11522" width="9.28515625" style="111" customWidth="1"/>
    <col min="11523" max="11728" width="8.85546875" style="111"/>
    <col min="11729" max="11729" width="23.7109375" style="111" customWidth="1"/>
    <col min="11730" max="11730" width="10.7109375" style="111" customWidth="1"/>
    <col min="11731" max="11731" width="6.5703125" style="111" customWidth="1"/>
    <col min="11732" max="11732" width="7" style="111" bestFit="1" customWidth="1"/>
    <col min="11733" max="11733" width="7.42578125" style="111" bestFit="1" customWidth="1"/>
    <col min="11734" max="11734" width="7.7109375" style="111" bestFit="1" customWidth="1"/>
    <col min="11735" max="11735" width="7.28515625" style="111" bestFit="1" customWidth="1"/>
    <col min="11736" max="11736" width="7.7109375" style="111" bestFit="1" customWidth="1"/>
    <col min="11737" max="11738" width="10.28515625" style="111" bestFit="1" customWidth="1"/>
    <col min="11739" max="11739" width="23.7109375" style="111" customWidth="1"/>
    <col min="11740" max="11740" width="10.7109375" style="111" customWidth="1"/>
    <col min="11741" max="11741" width="6.5703125" style="111" customWidth="1"/>
    <col min="11742" max="11742" width="7" style="111" customWidth="1"/>
    <col min="11743" max="11743" width="7.42578125" style="111" customWidth="1"/>
    <col min="11744" max="11744" width="7.7109375" style="111" customWidth="1"/>
    <col min="11745" max="11745" width="7.28515625" style="111" customWidth="1"/>
    <col min="11746" max="11746" width="7.7109375" style="111" customWidth="1"/>
    <col min="11747" max="11748" width="10.28515625" style="111" customWidth="1"/>
    <col min="11749" max="11749" width="14.7109375" style="111" customWidth="1"/>
    <col min="11750" max="11750" width="10.7109375" style="111" customWidth="1"/>
    <col min="11751" max="11751" width="6.5703125" style="111" customWidth="1"/>
    <col min="11752" max="11752" width="7" style="111" customWidth="1"/>
    <col min="11753" max="11753" width="7.42578125" style="111" customWidth="1"/>
    <col min="11754" max="11754" width="7.7109375" style="111" customWidth="1"/>
    <col min="11755" max="11755" width="7.28515625" style="111" customWidth="1"/>
    <col min="11756" max="11756" width="7.7109375" style="111" customWidth="1"/>
    <col min="11757" max="11758" width="10.28515625" style="111" customWidth="1"/>
    <col min="11759" max="11759" width="8.85546875" style="111"/>
    <col min="11760" max="11778" width="9.28515625" style="111" customWidth="1"/>
    <col min="11779" max="11984" width="8.85546875" style="111"/>
    <col min="11985" max="11985" width="23.7109375" style="111" customWidth="1"/>
    <col min="11986" max="11986" width="10.7109375" style="111" customWidth="1"/>
    <col min="11987" max="11987" width="6.5703125" style="111" customWidth="1"/>
    <col min="11988" max="11988" width="7" style="111" bestFit="1" customWidth="1"/>
    <col min="11989" max="11989" width="7.42578125" style="111" bestFit="1" customWidth="1"/>
    <col min="11990" max="11990" width="7.7109375" style="111" bestFit="1" customWidth="1"/>
    <col min="11991" max="11991" width="7.28515625" style="111" bestFit="1" customWidth="1"/>
    <col min="11992" max="11992" width="7.7109375" style="111" bestFit="1" customWidth="1"/>
    <col min="11993" max="11994" width="10.28515625" style="111" bestFit="1" customWidth="1"/>
    <col min="11995" max="11995" width="23.7109375" style="111" customWidth="1"/>
    <col min="11996" max="11996" width="10.7109375" style="111" customWidth="1"/>
    <col min="11997" max="11997" width="6.5703125" style="111" customWidth="1"/>
    <col min="11998" max="11998" width="7" style="111" customWidth="1"/>
    <col min="11999" max="11999" width="7.42578125" style="111" customWidth="1"/>
    <col min="12000" max="12000" width="7.7109375" style="111" customWidth="1"/>
    <col min="12001" max="12001" width="7.28515625" style="111" customWidth="1"/>
    <col min="12002" max="12002" width="7.7109375" style="111" customWidth="1"/>
    <col min="12003" max="12004" width="10.28515625" style="111" customWidth="1"/>
    <col min="12005" max="12005" width="14.7109375" style="111" customWidth="1"/>
    <col min="12006" max="12006" width="10.7109375" style="111" customWidth="1"/>
    <col min="12007" max="12007" width="6.5703125" style="111" customWidth="1"/>
    <col min="12008" max="12008" width="7" style="111" customWidth="1"/>
    <col min="12009" max="12009" width="7.42578125" style="111" customWidth="1"/>
    <col min="12010" max="12010" width="7.7109375" style="111" customWidth="1"/>
    <col min="12011" max="12011" width="7.28515625" style="111" customWidth="1"/>
    <col min="12012" max="12012" width="7.7109375" style="111" customWidth="1"/>
    <col min="12013" max="12014" width="10.28515625" style="111" customWidth="1"/>
    <col min="12015" max="12015" width="8.85546875" style="111"/>
    <col min="12016" max="12034" width="9.28515625" style="111" customWidth="1"/>
    <col min="12035" max="12240" width="8.85546875" style="111"/>
    <col min="12241" max="12241" width="23.7109375" style="111" customWidth="1"/>
    <col min="12242" max="12242" width="10.7109375" style="111" customWidth="1"/>
    <col min="12243" max="12243" width="6.5703125" style="111" customWidth="1"/>
    <col min="12244" max="12244" width="7" style="111" bestFit="1" customWidth="1"/>
    <col min="12245" max="12245" width="7.42578125" style="111" bestFit="1" customWidth="1"/>
    <col min="12246" max="12246" width="7.7109375" style="111" bestFit="1" customWidth="1"/>
    <col min="12247" max="12247" width="7.28515625" style="111" bestFit="1" customWidth="1"/>
    <col min="12248" max="12248" width="7.7109375" style="111" bestFit="1" customWidth="1"/>
    <col min="12249" max="12250" width="10.28515625" style="111" bestFit="1" customWidth="1"/>
    <col min="12251" max="12251" width="23.7109375" style="111" customWidth="1"/>
    <col min="12252" max="12252" width="10.7109375" style="111" customWidth="1"/>
    <col min="12253" max="12253" width="6.5703125" style="111" customWidth="1"/>
    <col min="12254" max="12254" width="7" style="111" customWidth="1"/>
    <col min="12255" max="12255" width="7.42578125" style="111" customWidth="1"/>
    <col min="12256" max="12256" width="7.7109375" style="111" customWidth="1"/>
    <col min="12257" max="12257" width="7.28515625" style="111" customWidth="1"/>
    <col min="12258" max="12258" width="7.7109375" style="111" customWidth="1"/>
    <col min="12259" max="12260" width="10.28515625" style="111" customWidth="1"/>
    <col min="12261" max="12261" width="14.7109375" style="111" customWidth="1"/>
    <col min="12262" max="12262" width="10.7109375" style="111" customWidth="1"/>
    <col min="12263" max="12263" width="6.5703125" style="111" customWidth="1"/>
    <col min="12264" max="12264" width="7" style="111" customWidth="1"/>
    <col min="12265" max="12265" width="7.42578125" style="111" customWidth="1"/>
    <col min="12266" max="12266" width="7.7109375" style="111" customWidth="1"/>
    <col min="12267" max="12267" width="7.28515625" style="111" customWidth="1"/>
    <col min="12268" max="12268" width="7.7109375" style="111" customWidth="1"/>
    <col min="12269" max="12270" width="10.28515625" style="111" customWidth="1"/>
    <col min="12271" max="12271" width="8.85546875" style="111"/>
    <col min="12272" max="12290" width="9.28515625" style="111" customWidth="1"/>
    <col min="12291" max="12496" width="8.85546875" style="111"/>
    <col min="12497" max="12497" width="23.7109375" style="111" customWidth="1"/>
    <col min="12498" max="12498" width="10.7109375" style="111" customWidth="1"/>
    <col min="12499" max="12499" width="6.5703125" style="111" customWidth="1"/>
    <col min="12500" max="12500" width="7" style="111" bestFit="1" customWidth="1"/>
    <col min="12501" max="12501" width="7.42578125" style="111" bestFit="1" customWidth="1"/>
    <col min="12502" max="12502" width="7.7109375" style="111" bestFit="1" customWidth="1"/>
    <col min="12503" max="12503" width="7.28515625" style="111" bestFit="1" customWidth="1"/>
    <col min="12504" max="12504" width="7.7109375" style="111" bestFit="1" customWidth="1"/>
    <col min="12505" max="12506" width="10.28515625" style="111" bestFit="1" customWidth="1"/>
    <col min="12507" max="12507" width="23.7109375" style="111" customWidth="1"/>
    <col min="12508" max="12508" width="10.7109375" style="111" customWidth="1"/>
    <col min="12509" max="12509" width="6.5703125" style="111" customWidth="1"/>
    <col min="12510" max="12510" width="7" style="111" customWidth="1"/>
    <col min="12511" max="12511" width="7.42578125" style="111" customWidth="1"/>
    <col min="12512" max="12512" width="7.7109375" style="111" customWidth="1"/>
    <col min="12513" max="12513" width="7.28515625" style="111" customWidth="1"/>
    <col min="12514" max="12514" width="7.7109375" style="111" customWidth="1"/>
    <col min="12515" max="12516" width="10.28515625" style="111" customWidth="1"/>
    <col min="12517" max="12517" width="14.7109375" style="111" customWidth="1"/>
    <col min="12518" max="12518" width="10.7109375" style="111" customWidth="1"/>
    <col min="12519" max="12519" width="6.5703125" style="111" customWidth="1"/>
    <col min="12520" max="12520" width="7" style="111" customWidth="1"/>
    <col min="12521" max="12521" width="7.42578125" style="111" customWidth="1"/>
    <col min="12522" max="12522" width="7.7109375" style="111" customWidth="1"/>
    <col min="12523" max="12523" width="7.28515625" style="111" customWidth="1"/>
    <col min="12524" max="12524" width="7.7109375" style="111" customWidth="1"/>
    <col min="12525" max="12526" width="10.28515625" style="111" customWidth="1"/>
    <col min="12527" max="12527" width="8.85546875" style="111"/>
    <col min="12528" max="12546" width="9.28515625" style="111" customWidth="1"/>
    <col min="12547" max="12752" width="8.85546875" style="111"/>
    <col min="12753" max="12753" width="23.7109375" style="111" customWidth="1"/>
    <col min="12754" max="12754" width="10.7109375" style="111" customWidth="1"/>
    <col min="12755" max="12755" width="6.5703125" style="111" customWidth="1"/>
    <col min="12756" max="12756" width="7" style="111" bestFit="1" customWidth="1"/>
    <col min="12757" max="12757" width="7.42578125" style="111" bestFit="1" customWidth="1"/>
    <col min="12758" max="12758" width="7.7109375" style="111" bestFit="1" customWidth="1"/>
    <col min="12759" max="12759" width="7.28515625" style="111" bestFit="1" customWidth="1"/>
    <col min="12760" max="12760" width="7.7109375" style="111" bestFit="1" customWidth="1"/>
    <col min="12761" max="12762" width="10.28515625" style="111" bestFit="1" customWidth="1"/>
    <col min="12763" max="12763" width="23.7109375" style="111" customWidth="1"/>
    <col min="12764" max="12764" width="10.7109375" style="111" customWidth="1"/>
    <col min="12765" max="12765" width="6.5703125" style="111" customWidth="1"/>
    <col min="12766" max="12766" width="7" style="111" customWidth="1"/>
    <col min="12767" max="12767" width="7.42578125" style="111" customWidth="1"/>
    <col min="12768" max="12768" width="7.7109375" style="111" customWidth="1"/>
    <col min="12769" max="12769" width="7.28515625" style="111" customWidth="1"/>
    <col min="12770" max="12770" width="7.7109375" style="111" customWidth="1"/>
    <col min="12771" max="12772" width="10.28515625" style="111" customWidth="1"/>
    <col min="12773" max="12773" width="14.7109375" style="111" customWidth="1"/>
    <col min="12774" max="12774" width="10.7109375" style="111" customWidth="1"/>
    <col min="12775" max="12775" width="6.5703125" style="111" customWidth="1"/>
    <col min="12776" max="12776" width="7" style="111" customWidth="1"/>
    <col min="12777" max="12777" width="7.42578125" style="111" customWidth="1"/>
    <col min="12778" max="12778" width="7.7109375" style="111" customWidth="1"/>
    <col min="12779" max="12779" width="7.28515625" style="111" customWidth="1"/>
    <col min="12780" max="12780" width="7.7109375" style="111" customWidth="1"/>
    <col min="12781" max="12782" width="10.28515625" style="111" customWidth="1"/>
    <col min="12783" max="12783" width="8.85546875" style="111"/>
    <col min="12784" max="12802" width="9.28515625" style="111" customWidth="1"/>
    <col min="12803" max="13008" width="8.85546875" style="111"/>
    <col min="13009" max="13009" width="23.7109375" style="111" customWidth="1"/>
    <col min="13010" max="13010" width="10.7109375" style="111" customWidth="1"/>
    <col min="13011" max="13011" width="6.5703125" style="111" customWidth="1"/>
    <col min="13012" max="13012" width="7" style="111" bestFit="1" customWidth="1"/>
    <col min="13013" max="13013" width="7.42578125" style="111" bestFit="1" customWidth="1"/>
    <col min="13014" max="13014" width="7.7109375" style="111" bestFit="1" customWidth="1"/>
    <col min="13015" max="13015" width="7.28515625" style="111" bestFit="1" customWidth="1"/>
    <col min="13016" max="13016" width="7.7109375" style="111" bestFit="1" customWidth="1"/>
    <col min="13017" max="13018" width="10.28515625" style="111" bestFit="1" customWidth="1"/>
    <col min="13019" max="13019" width="23.7109375" style="111" customWidth="1"/>
    <col min="13020" max="13020" width="10.7109375" style="111" customWidth="1"/>
    <col min="13021" max="13021" width="6.5703125" style="111" customWidth="1"/>
    <col min="13022" max="13022" width="7" style="111" customWidth="1"/>
    <col min="13023" max="13023" width="7.42578125" style="111" customWidth="1"/>
    <col min="13024" max="13024" width="7.7109375" style="111" customWidth="1"/>
    <col min="13025" max="13025" width="7.28515625" style="111" customWidth="1"/>
    <col min="13026" max="13026" width="7.7109375" style="111" customWidth="1"/>
    <col min="13027" max="13028" width="10.28515625" style="111" customWidth="1"/>
    <col min="13029" max="13029" width="14.7109375" style="111" customWidth="1"/>
    <col min="13030" max="13030" width="10.7109375" style="111" customWidth="1"/>
    <col min="13031" max="13031" width="6.5703125" style="111" customWidth="1"/>
    <col min="13032" max="13032" width="7" style="111" customWidth="1"/>
    <col min="13033" max="13033" width="7.42578125" style="111" customWidth="1"/>
    <col min="13034" max="13034" width="7.7109375" style="111" customWidth="1"/>
    <col min="13035" max="13035" width="7.28515625" style="111" customWidth="1"/>
    <col min="13036" max="13036" width="7.7109375" style="111" customWidth="1"/>
    <col min="13037" max="13038" width="10.28515625" style="111" customWidth="1"/>
    <col min="13039" max="13039" width="8.85546875" style="111"/>
    <col min="13040" max="13058" width="9.28515625" style="111" customWidth="1"/>
    <col min="13059" max="13264" width="8.85546875" style="111"/>
    <col min="13265" max="13265" width="23.7109375" style="111" customWidth="1"/>
    <col min="13266" max="13266" width="10.7109375" style="111" customWidth="1"/>
    <col min="13267" max="13267" width="6.5703125" style="111" customWidth="1"/>
    <col min="13268" max="13268" width="7" style="111" bestFit="1" customWidth="1"/>
    <col min="13269" max="13269" width="7.42578125" style="111" bestFit="1" customWidth="1"/>
    <col min="13270" max="13270" width="7.7109375" style="111" bestFit="1" customWidth="1"/>
    <col min="13271" max="13271" width="7.28515625" style="111" bestFit="1" customWidth="1"/>
    <col min="13272" max="13272" width="7.7109375" style="111" bestFit="1" customWidth="1"/>
    <col min="13273" max="13274" width="10.28515625" style="111" bestFit="1" customWidth="1"/>
    <col min="13275" max="13275" width="23.7109375" style="111" customWidth="1"/>
    <col min="13276" max="13276" width="10.7109375" style="111" customWidth="1"/>
    <col min="13277" max="13277" width="6.5703125" style="111" customWidth="1"/>
    <col min="13278" max="13278" width="7" style="111" customWidth="1"/>
    <col min="13279" max="13279" width="7.42578125" style="111" customWidth="1"/>
    <col min="13280" max="13280" width="7.7109375" style="111" customWidth="1"/>
    <col min="13281" max="13281" width="7.28515625" style="111" customWidth="1"/>
    <col min="13282" max="13282" width="7.7109375" style="111" customWidth="1"/>
    <col min="13283" max="13284" width="10.28515625" style="111" customWidth="1"/>
    <col min="13285" max="13285" width="14.7109375" style="111" customWidth="1"/>
    <col min="13286" max="13286" width="10.7109375" style="111" customWidth="1"/>
    <col min="13287" max="13287" width="6.5703125" style="111" customWidth="1"/>
    <col min="13288" max="13288" width="7" style="111" customWidth="1"/>
    <col min="13289" max="13289" width="7.42578125" style="111" customWidth="1"/>
    <col min="13290" max="13290" width="7.7109375" style="111" customWidth="1"/>
    <col min="13291" max="13291" width="7.28515625" style="111" customWidth="1"/>
    <col min="13292" max="13292" width="7.7109375" style="111" customWidth="1"/>
    <col min="13293" max="13294" width="10.28515625" style="111" customWidth="1"/>
    <col min="13295" max="13295" width="8.85546875" style="111"/>
    <col min="13296" max="13314" width="9.28515625" style="111" customWidth="1"/>
    <col min="13315" max="13520" width="8.85546875" style="111"/>
    <col min="13521" max="13521" width="23.7109375" style="111" customWidth="1"/>
    <col min="13522" max="13522" width="10.7109375" style="111" customWidth="1"/>
    <col min="13523" max="13523" width="6.5703125" style="111" customWidth="1"/>
    <col min="13524" max="13524" width="7" style="111" bestFit="1" customWidth="1"/>
    <col min="13525" max="13525" width="7.42578125" style="111" bestFit="1" customWidth="1"/>
    <col min="13526" max="13526" width="7.7109375" style="111" bestFit="1" customWidth="1"/>
    <col min="13527" max="13527" width="7.28515625" style="111" bestFit="1" customWidth="1"/>
    <col min="13528" max="13528" width="7.7109375" style="111" bestFit="1" customWidth="1"/>
    <col min="13529" max="13530" width="10.28515625" style="111" bestFit="1" customWidth="1"/>
    <col min="13531" max="13531" width="23.7109375" style="111" customWidth="1"/>
    <col min="13532" max="13532" width="10.7109375" style="111" customWidth="1"/>
    <col min="13533" max="13533" width="6.5703125" style="111" customWidth="1"/>
    <col min="13534" max="13534" width="7" style="111" customWidth="1"/>
    <col min="13535" max="13535" width="7.42578125" style="111" customWidth="1"/>
    <col min="13536" max="13536" width="7.7109375" style="111" customWidth="1"/>
    <col min="13537" max="13537" width="7.28515625" style="111" customWidth="1"/>
    <col min="13538" max="13538" width="7.7109375" style="111" customWidth="1"/>
    <col min="13539" max="13540" width="10.28515625" style="111" customWidth="1"/>
    <col min="13541" max="13541" width="14.7109375" style="111" customWidth="1"/>
    <col min="13542" max="13542" width="10.7109375" style="111" customWidth="1"/>
    <col min="13543" max="13543" width="6.5703125" style="111" customWidth="1"/>
    <col min="13544" max="13544" width="7" style="111" customWidth="1"/>
    <col min="13545" max="13545" width="7.42578125" style="111" customWidth="1"/>
    <col min="13546" max="13546" width="7.7109375" style="111" customWidth="1"/>
    <col min="13547" max="13547" width="7.28515625" style="111" customWidth="1"/>
    <col min="13548" max="13548" width="7.7109375" style="111" customWidth="1"/>
    <col min="13549" max="13550" width="10.28515625" style="111" customWidth="1"/>
    <col min="13551" max="13551" width="8.85546875" style="111"/>
    <col min="13552" max="13570" width="9.28515625" style="111" customWidth="1"/>
    <col min="13571" max="13776" width="8.85546875" style="111"/>
    <col min="13777" max="13777" width="23.7109375" style="111" customWidth="1"/>
    <col min="13778" max="13778" width="10.7109375" style="111" customWidth="1"/>
    <col min="13779" max="13779" width="6.5703125" style="111" customWidth="1"/>
    <col min="13780" max="13780" width="7" style="111" bestFit="1" customWidth="1"/>
    <col min="13781" max="13781" width="7.42578125" style="111" bestFit="1" customWidth="1"/>
    <col min="13782" max="13782" width="7.7109375" style="111" bestFit="1" customWidth="1"/>
    <col min="13783" max="13783" width="7.28515625" style="111" bestFit="1" customWidth="1"/>
    <col min="13784" max="13784" width="7.7109375" style="111" bestFit="1" customWidth="1"/>
    <col min="13785" max="13786" width="10.28515625" style="111" bestFit="1" customWidth="1"/>
    <col min="13787" max="13787" width="23.7109375" style="111" customWidth="1"/>
    <col min="13788" max="13788" width="10.7109375" style="111" customWidth="1"/>
    <col min="13789" max="13789" width="6.5703125" style="111" customWidth="1"/>
    <col min="13790" max="13790" width="7" style="111" customWidth="1"/>
    <col min="13791" max="13791" width="7.42578125" style="111" customWidth="1"/>
    <col min="13792" max="13792" width="7.7109375" style="111" customWidth="1"/>
    <col min="13793" max="13793" width="7.28515625" style="111" customWidth="1"/>
    <col min="13794" max="13794" width="7.7109375" style="111" customWidth="1"/>
    <col min="13795" max="13796" width="10.28515625" style="111" customWidth="1"/>
    <col min="13797" max="13797" width="14.7109375" style="111" customWidth="1"/>
    <col min="13798" max="13798" width="10.7109375" style="111" customWidth="1"/>
    <col min="13799" max="13799" width="6.5703125" style="111" customWidth="1"/>
    <col min="13800" max="13800" width="7" style="111" customWidth="1"/>
    <col min="13801" max="13801" width="7.42578125" style="111" customWidth="1"/>
    <col min="13802" max="13802" width="7.7109375" style="111" customWidth="1"/>
    <col min="13803" max="13803" width="7.28515625" style="111" customWidth="1"/>
    <col min="13804" max="13804" width="7.7109375" style="111" customWidth="1"/>
    <col min="13805" max="13806" width="10.28515625" style="111" customWidth="1"/>
    <col min="13807" max="13807" width="8.85546875" style="111"/>
    <col min="13808" max="13826" width="9.28515625" style="111" customWidth="1"/>
    <col min="13827" max="14032" width="8.85546875" style="111"/>
    <col min="14033" max="14033" width="23.7109375" style="111" customWidth="1"/>
    <col min="14034" max="14034" width="10.7109375" style="111" customWidth="1"/>
    <col min="14035" max="14035" width="6.5703125" style="111" customWidth="1"/>
    <col min="14036" max="14036" width="7" style="111" bestFit="1" customWidth="1"/>
    <col min="14037" max="14037" width="7.42578125" style="111" bestFit="1" customWidth="1"/>
    <col min="14038" max="14038" width="7.7109375" style="111" bestFit="1" customWidth="1"/>
    <col min="14039" max="14039" width="7.28515625" style="111" bestFit="1" customWidth="1"/>
    <col min="14040" max="14040" width="7.7109375" style="111" bestFit="1" customWidth="1"/>
    <col min="14041" max="14042" width="10.28515625" style="111" bestFit="1" customWidth="1"/>
    <col min="14043" max="14043" width="23.7109375" style="111" customWidth="1"/>
    <col min="14044" max="14044" width="10.7109375" style="111" customWidth="1"/>
    <col min="14045" max="14045" width="6.5703125" style="111" customWidth="1"/>
    <col min="14046" max="14046" width="7" style="111" customWidth="1"/>
    <col min="14047" max="14047" width="7.42578125" style="111" customWidth="1"/>
    <col min="14048" max="14048" width="7.7109375" style="111" customWidth="1"/>
    <col min="14049" max="14049" width="7.28515625" style="111" customWidth="1"/>
    <col min="14050" max="14050" width="7.7109375" style="111" customWidth="1"/>
    <col min="14051" max="14052" width="10.28515625" style="111" customWidth="1"/>
    <col min="14053" max="14053" width="14.7109375" style="111" customWidth="1"/>
    <col min="14054" max="14054" width="10.7109375" style="111" customWidth="1"/>
    <col min="14055" max="14055" width="6.5703125" style="111" customWidth="1"/>
    <col min="14056" max="14056" width="7" style="111" customWidth="1"/>
    <col min="14057" max="14057" width="7.42578125" style="111" customWidth="1"/>
    <col min="14058" max="14058" width="7.7109375" style="111" customWidth="1"/>
    <col min="14059" max="14059" width="7.28515625" style="111" customWidth="1"/>
    <col min="14060" max="14060" width="7.7109375" style="111" customWidth="1"/>
    <col min="14061" max="14062" width="10.28515625" style="111" customWidth="1"/>
    <col min="14063" max="14063" width="8.85546875" style="111"/>
    <col min="14064" max="14082" width="9.28515625" style="111" customWidth="1"/>
    <col min="14083" max="14288" width="8.85546875" style="111"/>
    <col min="14289" max="14289" width="23.7109375" style="111" customWidth="1"/>
    <col min="14290" max="14290" width="10.7109375" style="111" customWidth="1"/>
    <col min="14291" max="14291" width="6.5703125" style="111" customWidth="1"/>
    <col min="14292" max="14292" width="7" style="111" bestFit="1" customWidth="1"/>
    <col min="14293" max="14293" width="7.42578125" style="111" bestFit="1" customWidth="1"/>
    <col min="14294" max="14294" width="7.7109375" style="111" bestFit="1" customWidth="1"/>
    <col min="14295" max="14295" width="7.28515625" style="111" bestFit="1" customWidth="1"/>
    <col min="14296" max="14296" width="7.7109375" style="111" bestFit="1" customWidth="1"/>
    <col min="14297" max="14298" width="10.28515625" style="111" bestFit="1" customWidth="1"/>
    <col min="14299" max="14299" width="23.7109375" style="111" customWidth="1"/>
    <col min="14300" max="14300" width="10.7109375" style="111" customWidth="1"/>
    <col min="14301" max="14301" width="6.5703125" style="111" customWidth="1"/>
    <col min="14302" max="14302" width="7" style="111" customWidth="1"/>
    <col min="14303" max="14303" width="7.42578125" style="111" customWidth="1"/>
    <col min="14304" max="14304" width="7.7109375" style="111" customWidth="1"/>
    <col min="14305" max="14305" width="7.28515625" style="111" customWidth="1"/>
    <col min="14306" max="14306" width="7.7109375" style="111" customWidth="1"/>
    <col min="14307" max="14308" width="10.28515625" style="111" customWidth="1"/>
    <col min="14309" max="14309" width="14.7109375" style="111" customWidth="1"/>
    <col min="14310" max="14310" width="10.7109375" style="111" customWidth="1"/>
    <col min="14311" max="14311" width="6.5703125" style="111" customWidth="1"/>
    <col min="14312" max="14312" width="7" style="111" customWidth="1"/>
    <col min="14313" max="14313" width="7.42578125" style="111" customWidth="1"/>
    <col min="14314" max="14314" width="7.7109375" style="111" customWidth="1"/>
    <col min="14315" max="14315" width="7.28515625" style="111" customWidth="1"/>
    <col min="14316" max="14316" width="7.7109375" style="111" customWidth="1"/>
    <col min="14317" max="14318" width="10.28515625" style="111" customWidth="1"/>
    <col min="14319" max="14319" width="8.85546875" style="111"/>
    <col min="14320" max="14338" width="9.28515625" style="111" customWidth="1"/>
    <col min="14339" max="14544" width="8.85546875" style="111"/>
    <col min="14545" max="14545" width="23.7109375" style="111" customWidth="1"/>
    <col min="14546" max="14546" width="10.7109375" style="111" customWidth="1"/>
    <col min="14547" max="14547" width="6.5703125" style="111" customWidth="1"/>
    <col min="14548" max="14548" width="7" style="111" bestFit="1" customWidth="1"/>
    <col min="14549" max="14549" width="7.42578125" style="111" bestFit="1" customWidth="1"/>
    <col min="14550" max="14550" width="7.7109375" style="111" bestFit="1" customWidth="1"/>
    <col min="14551" max="14551" width="7.28515625" style="111" bestFit="1" customWidth="1"/>
    <col min="14552" max="14552" width="7.7109375" style="111" bestFit="1" customWidth="1"/>
    <col min="14553" max="14554" width="10.28515625" style="111" bestFit="1" customWidth="1"/>
    <col min="14555" max="14555" width="23.7109375" style="111" customWidth="1"/>
    <col min="14556" max="14556" width="10.7109375" style="111" customWidth="1"/>
    <col min="14557" max="14557" width="6.5703125" style="111" customWidth="1"/>
    <col min="14558" max="14558" width="7" style="111" customWidth="1"/>
    <col min="14559" max="14559" width="7.42578125" style="111" customWidth="1"/>
    <col min="14560" max="14560" width="7.7109375" style="111" customWidth="1"/>
    <col min="14561" max="14561" width="7.28515625" style="111" customWidth="1"/>
    <col min="14562" max="14562" width="7.7109375" style="111" customWidth="1"/>
    <col min="14563" max="14564" width="10.28515625" style="111" customWidth="1"/>
    <col min="14565" max="14565" width="14.7109375" style="111" customWidth="1"/>
    <col min="14566" max="14566" width="10.7109375" style="111" customWidth="1"/>
    <col min="14567" max="14567" width="6.5703125" style="111" customWidth="1"/>
    <col min="14568" max="14568" width="7" style="111" customWidth="1"/>
    <col min="14569" max="14569" width="7.42578125" style="111" customWidth="1"/>
    <col min="14570" max="14570" width="7.7109375" style="111" customWidth="1"/>
    <col min="14571" max="14571" width="7.28515625" style="111" customWidth="1"/>
    <col min="14572" max="14572" width="7.7109375" style="111" customWidth="1"/>
    <col min="14573" max="14574" width="10.28515625" style="111" customWidth="1"/>
    <col min="14575" max="14575" width="8.85546875" style="111"/>
    <col min="14576" max="14594" width="9.28515625" style="111" customWidth="1"/>
    <col min="14595" max="14800" width="8.85546875" style="111"/>
    <col min="14801" max="14801" width="23.7109375" style="111" customWidth="1"/>
    <col min="14802" max="14802" width="10.7109375" style="111" customWidth="1"/>
    <col min="14803" max="14803" width="6.5703125" style="111" customWidth="1"/>
    <col min="14804" max="14804" width="7" style="111" bestFit="1" customWidth="1"/>
    <col min="14805" max="14805" width="7.42578125" style="111" bestFit="1" customWidth="1"/>
    <col min="14806" max="14806" width="7.7109375" style="111" bestFit="1" customWidth="1"/>
    <col min="14807" max="14807" width="7.28515625" style="111" bestFit="1" customWidth="1"/>
    <col min="14808" max="14808" width="7.7109375" style="111" bestFit="1" customWidth="1"/>
    <col min="14809" max="14810" width="10.28515625" style="111" bestFit="1" customWidth="1"/>
    <col min="14811" max="14811" width="23.7109375" style="111" customWidth="1"/>
    <col min="14812" max="14812" width="10.7109375" style="111" customWidth="1"/>
    <col min="14813" max="14813" width="6.5703125" style="111" customWidth="1"/>
    <col min="14814" max="14814" width="7" style="111" customWidth="1"/>
    <col min="14815" max="14815" width="7.42578125" style="111" customWidth="1"/>
    <col min="14816" max="14816" width="7.7109375" style="111" customWidth="1"/>
    <col min="14817" max="14817" width="7.28515625" style="111" customWidth="1"/>
    <col min="14818" max="14818" width="7.7109375" style="111" customWidth="1"/>
    <col min="14819" max="14820" width="10.28515625" style="111" customWidth="1"/>
    <col min="14821" max="14821" width="14.7109375" style="111" customWidth="1"/>
    <col min="14822" max="14822" width="10.7109375" style="111" customWidth="1"/>
    <col min="14823" max="14823" width="6.5703125" style="111" customWidth="1"/>
    <col min="14824" max="14824" width="7" style="111" customWidth="1"/>
    <col min="14825" max="14825" width="7.42578125" style="111" customWidth="1"/>
    <col min="14826" max="14826" width="7.7109375" style="111" customWidth="1"/>
    <col min="14827" max="14827" width="7.28515625" style="111" customWidth="1"/>
    <col min="14828" max="14828" width="7.7109375" style="111" customWidth="1"/>
    <col min="14829" max="14830" width="10.28515625" style="111" customWidth="1"/>
    <col min="14831" max="14831" width="8.85546875" style="111"/>
    <col min="14832" max="14850" width="9.28515625" style="111" customWidth="1"/>
    <col min="14851" max="15056" width="8.85546875" style="111"/>
    <col min="15057" max="15057" width="23.7109375" style="111" customWidth="1"/>
    <col min="15058" max="15058" width="10.7109375" style="111" customWidth="1"/>
    <col min="15059" max="15059" width="6.5703125" style="111" customWidth="1"/>
    <col min="15060" max="15060" width="7" style="111" bestFit="1" customWidth="1"/>
    <col min="15061" max="15061" width="7.42578125" style="111" bestFit="1" customWidth="1"/>
    <col min="15062" max="15062" width="7.7109375" style="111" bestFit="1" customWidth="1"/>
    <col min="15063" max="15063" width="7.28515625" style="111" bestFit="1" customWidth="1"/>
    <col min="15064" max="15064" width="7.7109375" style="111" bestFit="1" customWidth="1"/>
    <col min="15065" max="15066" width="10.28515625" style="111" bestFit="1" customWidth="1"/>
    <col min="15067" max="15067" width="23.7109375" style="111" customWidth="1"/>
    <col min="15068" max="15068" width="10.7109375" style="111" customWidth="1"/>
    <col min="15069" max="15069" width="6.5703125" style="111" customWidth="1"/>
    <col min="15070" max="15070" width="7" style="111" customWidth="1"/>
    <col min="15071" max="15071" width="7.42578125" style="111" customWidth="1"/>
    <col min="15072" max="15072" width="7.7109375" style="111" customWidth="1"/>
    <col min="15073" max="15073" width="7.28515625" style="111" customWidth="1"/>
    <col min="15074" max="15074" width="7.7109375" style="111" customWidth="1"/>
    <col min="15075" max="15076" width="10.28515625" style="111" customWidth="1"/>
    <col min="15077" max="15077" width="14.7109375" style="111" customWidth="1"/>
    <col min="15078" max="15078" width="10.7109375" style="111" customWidth="1"/>
    <col min="15079" max="15079" width="6.5703125" style="111" customWidth="1"/>
    <col min="15080" max="15080" width="7" style="111" customWidth="1"/>
    <col min="15081" max="15081" width="7.42578125" style="111" customWidth="1"/>
    <col min="15082" max="15082" width="7.7109375" style="111" customWidth="1"/>
    <col min="15083" max="15083" width="7.28515625" style="111" customWidth="1"/>
    <col min="15084" max="15084" width="7.7109375" style="111" customWidth="1"/>
    <col min="15085" max="15086" width="10.28515625" style="111" customWidth="1"/>
    <col min="15087" max="15087" width="8.85546875" style="111"/>
    <col min="15088" max="15106" width="9.28515625" style="111" customWidth="1"/>
    <col min="15107" max="15312" width="8.85546875" style="111"/>
    <col min="15313" max="15313" width="23.7109375" style="111" customWidth="1"/>
    <col min="15314" max="15314" width="10.7109375" style="111" customWidth="1"/>
    <col min="15315" max="15315" width="6.5703125" style="111" customWidth="1"/>
    <col min="15316" max="15316" width="7" style="111" bestFit="1" customWidth="1"/>
    <col min="15317" max="15317" width="7.42578125" style="111" bestFit="1" customWidth="1"/>
    <col min="15318" max="15318" width="7.7109375" style="111" bestFit="1" customWidth="1"/>
    <col min="15319" max="15319" width="7.28515625" style="111" bestFit="1" customWidth="1"/>
    <col min="15320" max="15320" width="7.7109375" style="111" bestFit="1" customWidth="1"/>
    <col min="15321" max="15322" width="10.28515625" style="111" bestFit="1" customWidth="1"/>
    <col min="15323" max="15323" width="23.7109375" style="111" customWidth="1"/>
    <col min="15324" max="15324" width="10.7109375" style="111" customWidth="1"/>
    <col min="15325" max="15325" width="6.5703125" style="111" customWidth="1"/>
    <col min="15326" max="15326" width="7" style="111" customWidth="1"/>
    <col min="15327" max="15327" width="7.42578125" style="111" customWidth="1"/>
    <col min="15328" max="15328" width="7.7109375" style="111" customWidth="1"/>
    <col min="15329" max="15329" width="7.28515625" style="111" customWidth="1"/>
    <col min="15330" max="15330" width="7.7109375" style="111" customWidth="1"/>
    <col min="15331" max="15332" width="10.28515625" style="111" customWidth="1"/>
    <col min="15333" max="15333" width="14.7109375" style="111" customWidth="1"/>
    <col min="15334" max="15334" width="10.7109375" style="111" customWidth="1"/>
    <col min="15335" max="15335" width="6.5703125" style="111" customWidth="1"/>
    <col min="15336" max="15336" width="7" style="111" customWidth="1"/>
    <col min="15337" max="15337" width="7.42578125" style="111" customWidth="1"/>
    <col min="15338" max="15338" width="7.7109375" style="111" customWidth="1"/>
    <col min="15339" max="15339" width="7.28515625" style="111" customWidth="1"/>
    <col min="15340" max="15340" width="7.7109375" style="111" customWidth="1"/>
    <col min="15341" max="15342" width="10.28515625" style="111" customWidth="1"/>
    <col min="15343" max="15343" width="8.85546875" style="111"/>
    <col min="15344" max="15362" width="9.28515625" style="111" customWidth="1"/>
    <col min="15363" max="15568" width="8.85546875" style="111"/>
    <col min="15569" max="15569" width="23.7109375" style="111" customWidth="1"/>
    <col min="15570" max="15570" width="10.7109375" style="111" customWidth="1"/>
    <col min="15571" max="15571" width="6.5703125" style="111" customWidth="1"/>
    <col min="15572" max="15572" width="7" style="111" bestFit="1" customWidth="1"/>
    <col min="15573" max="15573" width="7.42578125" style="111" bestFit="1" customWidth="1"/>
    <col min="15574" max="15574" width="7.7109375" style="111" bestFit="1" customWidth="1"/>
    <col min="15575" max="15575" width="7.28515625" style="111" bestFit="1" customWidth="1"/>
    <col min="15576" max="15576" width="7.7109375" style="111" bestFit="1" customWidth="1"/>
    <col min="15577" max="15578" width="10.28515625" style="111" bestFit="1" customWidth="1"/>
    <col min="15579" max="15579" width="23.7109375" style="111" customWidth="1"/>
    <col min="15580" max="15580" width="10.7109375" style="111" customWidth="1"/>
    <col min="15581" max="15581" width="6.5703125" style="111" customWidth="1"/>
    <col min="15582" max="15582" width="7" style="111" customWidth="1"/>
    <col min="15583" max="15583" width="7.42578125" style="111" customWidth="1"/>
    <col min="15584" max="15584" width="7.7109375" style="111" customWidth="1"/>
    <col min="15585" max="15585" width="7.28515625" style="111" customWidth="1"/>
    <col min="15586" max="15586" width="7.7109375" style="111" customWidth="1"/>
    <col min="15587" max="15588" width="10.28515625" style="111" customWidth="1"/>
    <col min="15589" max="15589" width="14.7109375" style="111" customWidth="1"/>
    <col min="15590" max="15590" width="10.7109375" style="111" customWidth="1"/>
    <col min="15591" max="15591" width="6.5703125" style="111" customWidth="1"/>
    <col min="15592" max="15592" width="7" style="111" customWidth="1"/>
    <col min="15593" max="15593" width="7.42578125" style="111" customWidth="1"/>
    <col min="15594" max="15594" width="7.7109375" style="111" customWidth="1"/>
    <col min="15595" max="15595" width="7.28515625" style="111" customWidth="1"/>
    <col min="15596" max="15596" width="7.7109375" style="111" customWidth="1"/>
    <col min="15597" max="15598" width="10.28515625" style="111" customWidth="1"/>
    <col min="15599" max="15599" width="8.85546875" style="111"/>
    <col min="15600" max="15618" width="9.28515625" style="111" customWidth="1"/>
    <col min="15619" max="15824" width="8.85546875" style="111"/>
    <col min="15825" max="15825" width="23.7109375" style="111" customWidth="1"/>
    <col min="15826" max="15826" width="10.7109375" style="111" customWidth="1"/>
    <col min="15827" max="15827" width="6.5703125" style="111" customWidth="1"/>
    <col min="15828" max="15828" width="7" style="111" bestFit="1" customWidth="1"/>
    <col min="15829" max="15829" width="7.42578125" style="111" bestFit="1" customWidth="1"/>
    <col min="15830" max="15830" width="7.7109375" style="111" bestFit="1" customWidth="1"/>
    <col min="15831" max="15831" width="7.28515625" style="111" bestFit="1" customWidth="1"/>
    <col min="15832" max="15832" width="7.7109375" style="111" bestFit="1" customWidth="1"/>
    <col min="15833" max="15834" width="10.28515625" style="111" bestFit="1" customWidth="1"/>
    <col min="15835" max="15835" width="23.7109375" style="111" customWidth="1"/>
    <col min="15836" max="15836" width="10.7109375" style="111" customWidth="1"/>
    <col min="15837" max="15837" width="6.5703125" style="111" customWidth="1"/>
    <col min="15838" max="15838" width="7" style="111" customWidth="1"/>
    <col min="15839" max="15839" width="7.42578125" style="111" customWidth="1"/>
    <col min="15840" max="15840" width="7.7109375" style="111" customWidth="1"/>
    <col min="15841" max="15841" width="7.28515625" style="111" customWidth="1"/>
    <col min="15842" max="15842" width="7.7109375" style="111" customWidth="1"/>
    <col min="15843" max="15844" width="10.28515625" style="111" customWidth="1"/>
    <col min="15845" max="15845" width="14.7109375" style="111" customWidth="1"/>
    <col min="15846" max="15846" width="10.7109375" style="111" customWidth="1"/>
    <col min="15847" max="15847" width="6.5703125" style="111" customWidth="1"/>
    <col min="15848" max="15848" width="7" style="111" customWidth="1"/>
    <col min="15849" max="15849" width="7.42578125" style="111" customWidth="1"/>
    <col min="15850" max="15850" width="7.7109375" style="111" customWidth="1"/>
    <col min="15851" max="15851" width="7.28515625" style="111" customWidth="1"/>
    <col min="15852" max="15852" width="7.7109375" style="111" customWidth="1"/>
    <col min="15853" max="15854" width="10.28515625" style="111" customWidth="1"/>
    <col min="15855" max="15855" width="8.85546875" style="111"/>
    <col min="15856" max="15874" width="9.28515625" style="111" customWidth="1"/>
    <col min="15875" max="16080" width="8.85546875" style="111"/>
    <col min="16081" max="16081" width="23.7109375" style="111" customWidth="1"/>
    <col min="16082" max="16082" width="10.7109375" style="111" customWidth="1"/>
    <col min="16083" max="16083" width="6.5703125" style="111" customWidth="1"/>
    <col min="16084" max="16084" width="7" style="111" bestFit="1" customWidth="1"/>
    <col min="16085" max="16085" width="7.42578125" style="111" bestFit="1" customWidth="1"/>
    <col min="16086" max="16086" width="7.7109375" style="111" bestFit="1" customWidth="1"/>
    <col min="16087" max="16087" width="7.28515625" style="111" bestFit="1" customWidth="1"/>
    <col min="16088" max="16088" width="7.7109375" style="111" bestFit="1" customWidth="1"/>
    <col min="16089" max="16090" width="10.28515625" style="111" bestFit="1" customWidth="1"/>
    <col min="16091" max="16091" width="23.7109375" style="111" customWidth="1"/>
    <col min="16092" max="16092" width="10.7109375" style="111" customWidth="1"/>
    <col min="16093" max="16093" width="6.5703125" style="111" customWidth="1"/>
    <col min="16094" max="16094" width="7" style="111" customWidth="1"/>
    <col min="16095" max="16095" width="7.42578125" style="111" customWidth="1"/>
    <col min="16096" max="16096" width="7.7109375" style="111" customWidth="1"/>
    <col min="16097" max="16097" width="7.28515625" style="111" customWidth="1"/>
    <col min="16098" max="16098" width="7.7109375" style="111" customWidth="1"/>
    <col min="16099" max="16100" width="10.28515625" style="111" customWidth="1"/>
    <col min="16101" max="16101" width="14.7109375" style="111" customWidth="1"/>
    <col min="16102" max="16102" width="10.7109375" style="111" customWidth="1"/>
    <col min="16103" max="16103" width="6.5703125" style="111" customWidth="1"/>
    <col min="16104" max="16104" width="7" style="111" customWidth="1"/>
    <col min="16105" max="16105" width="7.42578125" style="111" customWidth="1"/>
    <col min="16106" max="16106" width="7.7109375" style="111" customWidth="1"/>
    <col min="16107" max="16107" width="7.28515625" style="111" customWidth="1"/>
    <col min="16108" max="16108" width="7.7109375" style="111" customWidth="1"/>
    <col min="16109" max="16110" width="10.28515625" style="111" customWidth="1"/>
    <col min="16111" max="16111" width="8.85546875" style="111"/>
    <col min="16112" max="16130" width="9.28515625" style="111" customWidth="1"/>
    <col min="16131" max="16355" width="8.85546875" style="111"/>
    <col min="16356" max="16384" width="9.28515625" style="111" customWidth="1"/>
  </cols>
  <sheetData>
    <row r="1" spans="1:18" x14ac:dyDescent="0.2">
      <c r="A1" s="390" t="s">
        <v>4</v>
      </c>
      <c r="B1" s="390"/>
      <c r="C1" s="390"/>
      <c r="D1" s="390"/>
      <c r="E1" s="390"/>
      <c r="F1" s="390"/>
      <c r="G1" s="390"/>
      <c r="H1" s="390"/>
      <c r="I1" s="390"/>
      <c r="J1" s="390"/>
    </row>
    <row r="2" spans="1:18" x14ac:dyDescent="0.2">
      <c r="A2" s="390" t="s">
        <v>7</v>
      </c>
      <c r="B2" s="390"/>
      <c r="C2" s="390"/>
      <c r="D2" s="390"/>
      <c r="E2" s="390"/>
      <c r="F2" s="390"/>
      <c r="G2" s="390"/>
      <c r="H2" s="390"/>
      <c r="I2" s="390"/>
      <c r="J2" s="390"/>
    </row>
    <row r="3" spans="1:18" ht="12.75" x14ac:dyDescent="0.2">
      <c r="A3" s="382" t="s">
        <v>74</v>
      </c>
      <c r="B3" s="382"/>
      <c r="C3" s="382"/>
      <c r="D3" s="382"/>
      <c r="E3" s="382"/>
      <c r="F3" s="382"/>
      <c r="G3" s="382"/>
      <c r="H3" s="382"/>
      <c r="I3" s="382"/>
      <c r="J3" s="382"/>
    </row>
    <row r="4" spans="1:18" ht="12.75" x14ac:dyDescent="0.2">
      <c r="A4" s="382" t="s">
        <v>68</v>
      </c>
      <c r="B4" s="382"/>
      <c r="C4" s="382"/>
      <c r="D4" s="382"/>
      <c r="E4" s="382"/>
      <c r="F4" s="382"/>
      <c r="G4" s="382"/>
      <c r="H4" s="382"/>
      <c r="I4" s="382"/>
      <c r="J4" s="382"/>
    </row>
    <row r="5" spans="1:18" ht="12.75" x14ac:dyDescent="0.2">
      <c r="A5" s="395" t="s">
        <v>5</v>
      </c>
      <c r="B5" s="395"/>
      <c r="C5" s="395"/>
      <c r="D5" s="395"/>
      <c r="E5" s="395"/>
      <c r="F5" s="395"/>
      <c r="G5" s="395"/>
      <c r="H5" s="395"/>
      <c r="I5" s="395"/>
      <c r="J5" s="395"/>
    </row>
    <row r="6" spans="1:18" ht="15" x14ac:dyDescent="0.2">
      <c r="A6" s="380"/>
      <c r="B6" s="380"/>
      <c r="C6" s="380"/>
      <c r="D6" s="380"/>
      <c r="E6" s="380"/>
      <c r="F6" s="380"/>
      <c r="G6" s="380"/>
      <c r="H6" s="380"/>
      <c r="I6" s="380"/>
      <c r="J6" s="380"/>
    </row>
    <row r="7" spans="1:18" x14ac:dyDescent="0.2">
      <c r="A7" s="152"/>
      <c r="B7" s="153"/>
      <c r="C7" s="9"/>
      <c r="D7" s="9"/>
      <c r="E7" s="9"/>
      <c r="F7" s="9"/>
      <c r="G7" s="9"/>
      <c r="H7" s="9"/>
      <c r="I7" s="9"/>
    </row>
    <row r="8" spans="1:18" ht="13.5" thickBot="1" x14ac:dyDescent="0.25">
      <c r="A8" s="25" t="s">
        <v>10</v>
      </c>
      <c r="B8" s="162"/>
      <c r="C8" s="8"/>
      <c r="D8" s="8"/>
      <c r="E8" s="8"/>
      <c r="F8" s="8"/>
      <c r="G8" s="8"/>
      <c r="H8" s="8"/>
      <c r="I8" s="8"/>
    </row>
    <row r="9" spans="1:18" ht="13.5" thickBot="1" x14ac:dyDescent="0.25">
      <c r="K9" s="29"/>
    </row>
    <row r="10" spans="1:18" ht="10.15" customHeight="1" x14ac:dyDescent="0.2">
      <c r="A10" s="31" t="s">
        <v>30</v>
      </c>
      <c r="B10" s="417" t="s">
        <v>11</v>
      </c>
      <c r="C10" s="419" t="s">
        <v>60</v>
      </c>
      <c r="D10" s="421" t="s">
        <v>61</v>
      </c>
      <c r="E10" s="421" t="s">
        <v>62</v>
      </c>
      <c r="F10" s="421" t="s">
        <v>69</v>
      </c>
      <c r="G10" s="421" t="s">
        <v>70</v>
      </c>
      <c r="H10" s="425" t="s">
        <v>71</v>
      </c>
      <c r="I10" s="187" t="s">
        <v>52</v>
      </c>
      <c r="J10" s="197" t="s">
        <v>31</v>
      </c>
      <c r="K10" s="416"/>
      <c r="L10" s="416"/>
      <c r="M10" s="416"/>
      <c r="N10" s="416"/>
      <c r="O10" s="416"/>
      <c r="P10" s="416"/>
      <c r="Q10" s="115"/>
      <c r="R10" s="371"/>
    </row>
    <row r="11" spans="1:18" ht="10.9" customHeight="1" thickBot="1" x14ac:dyDescent="0.25">
      <c r="A11" s="112"/>
      <c r="B11" s="418"/>
      <c r="C11" s="420"/>
      <c r="D11" s="422"/>
      <c r="E11" s="422"/>
      <c r="F11" s="422"/>
      <c r="G11" s="422"/>
      <c r="H11" s="426"/>
      <c r="I11" s="188" t="s">
        <v>53</v>
      </c>
      <c r="J11" s="198" t="s">
        <v>32</v>
      </c>
      <c r="K11" s="416"/>
      <c r="L11" s="416"/>
      <c r="M11" s="416"/>
      <c r="N11" s="416"/>
      <c r="O11" s="416"/>
      <c r="P11" s="416"/>
      <c r="Q11" s="115"/>
      <c r="R11" s="371"/>
    </row>
    <row r="12" spans="1:18" x14ac:dyDescent="0.2">
      <c r="A12" s="74" t="s">
        <v>33</v>
      </c>
      <c r="B12" s="6" t="s">
        <v>2</v>
      </c>
      <c r="C12" s="221">
        <v>0</v>
      </c>
      <c r="D12" s="222">
        <v>0</v>
      </c>
      <c r="E12" s="222">
        <v>6.0564386025231398E-3</v>
      </c>
      <c r="F12" s="222">
        <v>0</v>
      </c>
      <c r="G12" s="222">
        <v>5.8726197580426409E-2</v>
      </c>
      <c r="H12" s="223">
        <v>4.1656524913940007E-2</v>
      </c>
      <c r="I12" s="221">
        <v>1.77E-2</v>
      </c>
      <c r="J12" s="345">
        <v>0.87958115183246077</v>
      </c>
      <c r="K12" s="181"/>
      <c r="L12" s="181"/>
      <c r="M12" s="181"/>
      <c r="N12" s="181"/>
      <c r="O12" s="181"/>
      <c r="P12" s="181"/>
      <c r="Q12" s="181"/>
      <c r="R12" s="171"/>
    </row>
    <row r="13" spans="1:18" x14ac:dyDescent="0.2">
      <c r="A13" s="3"/>
      <c r="B13" s="5" t="s">
        <v>1</v>
      </c>
      <c r="C13" s="131">
        <v>0</v>
      </c>
      <c r="D13" s="180">
        <v>1.1604966925844451E-3</v>
      </c>
      <c r="E13" s="180">
        <v>4.1572383307898475E-3</v>
      </c>
      <c r="F13" s="180">
        <v>0</v>
      </c>
      <c r="G13" s="180">
        <v>6.0251535536706591E-2</v>
      </c>
      <c r="H13" s="130">
        <v>4.9058054594386724E-2</v>
      </c>
      <c r="I13" s="131">
        <v>1.9099999999999999E-2</v>
      </c>
      <c r="J13" s="346"/>
      <c r="K13" s="181"/>
      <c r="L13" s="181"/>
      <c r="M13" s="181"/>
      <c r="N13" s="181"/>
      <c r="O13" s="181"/>
      <c r="P13" s="181"/>
      <c r="Q13" s="181"/>
      <c r="R13" s="171"/>
    </row>
    <row r="14" spans="1:18" ht="12" thickBot="1" x14ac:dyDescent="0.25">
      <c r="A14" s="58"/>
      <c r="B14" s="4" t="s">
        <v>0</v>
      </c>
      <c r="C14" s="136">
        <v>0</v>
      </c>
      <c r="D14" s="182">
        <v>0</v>
      </c>
      <c r="E14" s="182">
        <v>7.9753296469586843E-3</v>
      </c>
      <c r="F14" s="182">
        <v>0</v>
      </c>
      <c r="G14" s="182">
        <v>5.7407313742349864E-2</v>
      </c>
      <c r="H14" s="135">
        <v>3.5546527865938815E-2</v>
      </c>
      <c r="I14" s="136">
        <v>1.6799999999999999E-2</v>
      </c>
      <c r="J14" s="347"/>
      <c r="K14" s="181"/>
      <c r="L14" s="181"/>
      <c r="M14" s="181"/>
      <c r="N14" s="181"/>
      <c r="O14" s="181"/>
      <c r="P14" s="181"/>
      <c r="Q14" s="181"/>
      <c r="R14" s="171"/>
    </row>
    <row r="15" spans="1:18" ht="10.15" customHeight="1" x14ac:dyDescent="0.2">
      <c r="A15" s="74" t="s">
        <v>34</v>
      </c>
      <c r="B15" s="6" t="s">
        <v>2</v>
      </c>
      <c r="C15" s="221">
        <v>1.8041076221986363E-2</v>
      </c>
      <c r="D15" s="222">
        <v>2.8951830685172486E-2</v>
      </c>
      <c r="E15" s="222">
        <v>3.5257603972687845E-2</v>
      </c>
      <c r="F15" s="222">
        <v>0</v>
      </c>
      <c r="G15" s="222">
        <v>0.10423165205108587</v>
      </c>
      <c r="H15" s="223">
        <v>5.448541552008801E-2</v>
      </c>
      <c r="I15" s="221">
        <v>4.02E-2</v>
      </c>
      <c r="J15" s="345">
        <v>0.83944954128440363</v>
      </c>
      <c r="K15" s="181"/>
      <c r="L15" s="181"/>
      <c r="M15" s="181"/>
      <c r="N15" s="181"/>
      <c r="O15" s="181"/>
      <c r="P15" s="181"/>
      <c r="Q15" s="181"/>
      <c r="R15" s="171"/>
    </row>
    <row r="16" spans="1:18" x14ac:dyDescent="0.2">
      <c r="A16" s="3"/>
      <c r="B16" s="5" t="s">
        <v>1</v>
      </c>
      <c r="C16" s="131">
        <v>2.4455205811138025E-2</v>
      </c>
      <c r="D16" s="180">
        <v>4.1217349628564603E-2</v>
      </c>
      <c r="E16" s="180">
        <v>3.3015494636471909E-2</v>
      </c>
      <c r="F16" s="180">
        <v>0</v>
      </c>
      <c r="G16" s="180">
        <v>9.9253457349161689E-2</v>
      </c>
      <c r="H16" s="130">
        <v>6.3700707785642074E-2</v>
      </c>
      <c r="I16" s="131">
        <v>4.36E-2</v>
      </c>
      <c r="J16" s="346"/>
      <c r="K16" s="181"/>
      <c r="L16" s="181"/>
      <c r="M16" s="181"/>
      <c r="N16" s="181"/>
      <c r="O16" s="181"/>
      <c r="P16" s="181"/>
      <c r="Q16" s="181"/>
      <c r="R16" s="171"/>
    </row>
    <row r="17" spans="1:18" ht="12" thickBot="1" x14ac:dyDescent="0.25">
      <c r="A17" s="58"/>
      <c r="B17" s="4" t="s">
        <v>0</v>
      </c>
      <c r="C17" s="136">
        <v>1.1212785152725835E-2</v>
      </c>
      <c r="D17" s="182">
        <v>1.5441467599313641E-2</v>
      </c>
      <c r="E17" s="182">
        <v>3.7694300518134716E-2</v>
      </c>
      <c r="F17" s="182">
        <v>0</v>
      </c>
      <c r="G17" s="182">
        <v>0.108843537414966</v>
      </c>
      <c r="H17" s="135">
        <v>4.6425939572586561E-2</v>
      </c>
      <c r="I17" s="136">
        <v>3.6600000000000001E-2</v>
      </c>
      <c r="J17" s="347"/>
      <c r="K17" s="181"/>
      <c r="L17" s="181"/>
      <c r="M17" s="181"/>
      <c r="N17" s="181"/>
      <c r="O17" s="181"/>
      <c r="P17" s="181"/>
      <c r="Q17" s="181"/>
      <c r="R17" s="171"/>
    </row>
    <row r="18" spans="1:18" x14ac:dyDescent="0.2">
      <c r="A18" s="74" t="s">
        <v>35</v>
      </c>
      <c r="B18" s="6" t="s">
        <v>2</v>
      </c>
      <c r="C18" s="221">
        <v>3.2488190494553204E-2</v>
      </c>
      <c r="D18" s="222">
        <v>6.2281508739650437E-2</v>
      </c>
      <c r="E18" s="222">
        <v>7.0395183998446464E-2</v>
      </c>
      <c r="F18" s="222">
        <v>0</v>
      </c>
      <c r="G18" s="222">
        <v>0.11946104943543034</v>
      </c>
      <c r="H18" s="223">
        <v>2.0830621012888906E-2</v>
      </c>
      <c r="I18" s="221">
        <v>5.0900000000000001E-2</v>
      </c>
      <c r="J18" s="345">
        <v>0.92613636363636365</v>
      </c>
      <c r="K18" s="181"/>
      <c r="L18" s="181"/>
      <c r="M18" s="181"/>
      <c r="N18" s="181"/>
      <c r="O18" s="181"/>
      <c r="P18" s="181"/>
      <c r="Q18" s="181"/>
      <c r="R18" s="171"/>
    </row>
    <row r="19" spans="1:18" x14ac:dyDescent="0.2">
      <c r="A19" s="3"/>
      <c r="B19" s="5" t="s">
        <v>1</v>
      </c>
      <c r="C19" s="131">
        <v>3.1191281473130328E-2</v>
      </c>
      <c r="D19" s="180">
        <v>7.7083333333333282E-2</v>
      </c>
      <c r="E19" s="180">
        <v>6.6703724291272914E-2</v>
      </c>
      <c r="F19" s="180">
        <v>0</v>
      </c>
      <c r="G19" s="180">
        <v>0.11638769949396655</v>
      </c>
      <c r="H19" s="130">
        <v>2.5165929203539772E-2</v>
      </c>
      <c r="I19" s="131">
        <v>5.28E-2</v>
      </c>
      <c r="J19" s="346"/>
      <c r="K19" s="181"/>
      <c r="L19" s="181"/>
      <c r="M19" s="181"/>
      <c r="N19" s="181"/>
      <c r="O19" s="181"/>
      <c r="P19" s="181"/>
      <c r="Q19" s="181"/>
      <c r="R19" s="171"/>
    </row>
    <row r="20" spans="1:18" ht="12" thickBot="1" x14ac:dyDescent="0.25">
      <c r="A20" s="58"/>
      <c r="B20" s="4" t="s">
        <v>0</v>
      </c>
      <c r="C20" s="136">
        <v>3.385468224114041E-2</v>
      </c>
      <c r="D20" s="182">
        <v>4.5596868884540065E-2</v>
      </c>
      <c r="E20" s="182">
        <v>7.4459404324765388E-2</v>
      </c>
      <c r="F20" s="182">
        <v>0</v>
      </c>
      <c r="G20" s="182">
        <v>0.12238474356600626</v>
      </c>
      <c r="H20" s="135">
        <v>1.6974169741697409E-2</v>
      </c>
      <c r="I20" s="136">
        <v>4.8899999999999999E-2</v>
      </c>
      <c r="J20" s="347"/>
      <c r="K20" s="181"/>
      <c r="L20" s="181"/>
      <c r="M20" s="181"/>
      <c r="N20" s="181"/>
      <c r="O20" s="181"/>
      <c r="P20" s="181"/>
      <c r="Q20" s="181"/>
      <c r="R20" s="171"/>
    </row>
    <row r="21" spans="1:18" x14ac:dyDescent="0.2">
      <c r="A21" s="74" t="s">
        <v>36</v>
      </c>
      <c r="B21" s="6" t="s">
        <v>2</v>
      </c>
      <c r="C21" s="221">
        <v>3.3522838659086451E-2</v>
      </c>
      <c r="D21" s="222">
        <v>5.3650549027162375E-2</v>
      </c>
      <c r="E21" s="222">
        <v>5.7849629918192425E-2</v>
      </c>
      <c r="F21" s="222">
        <v>7.1700693562567142E-2</v>
      </c>
      <c r="G21" s="222">
        <v>6.6069142125480207E-2</v>
      </c>
      <c r="H21" s="223">
        <v>1.7599492627239588E-2</v>
      </c>
      <c r="I21" s="221">
        <v>5.7137225577076386E-2</v>
      </c>
      <c r="J21" s="345">
        <v>1.1657509611463779</v>
      </c>
      <c r="K21" s="181"/>
      <c r="L21" s="181"/>
      <c r="M21" s="181"/>
      <c r="N21" s="181"/>
      <c r="O21" s="181"/>
      <c r="P21" s="181"/>
      <c r="Q21" s="181"/>
      <c r="R21" s="171"/>
    </row>
    <row r="22" spans="1:18" x14ac:dyDescent="0.2">
      <c r="A22" s="3"/>
      <c r="B22" s="5" t="s">
        <v>1</v>
      </c>
      <c r="C22" s="131">
        <v>3.852050594097356E-2</v>
      </c>
      <c r="D22" s="180">
        <v>6.4587973273942056E-2</v>
      </c>
      <c r="E22" s="180">
        <v>5.4335478985232832E-2</v>
      </c>
      <c r="F22" s="180">
        <v>3.5513643659710992E-2</v>
      </c>
      <c r="G22" s="180">
        <v>6.6666666666666652E-2</v>
      </c>
      <c r="H22" s="130">
        <v>2.517006802721089E-2</v>
      </c>
      <c r="I22" s="131">
        <v>5.2759889016892221E-2</v>
      </c>
      <c r="J22" s="346"/>
      <c r="K22" s="181"/>
      <c r="L22" s="181"/>
      <c r="M22" s="181"/>
      <c r="N22" s="181"/>
      <c r="O22" s="181"/>
      <c r="P22" s="181"/>
      <c r="Q22" s="181"/>
      <c r="R22" s="171"/>
    </row>
    <row r="23" spans="1:18" ht="12" thickBot="1" x14ac:dyDescent="0.25">
      <c r="A23" s="58"/>
      <c r="B23" s="4" t="s">
        <v>0</v>
      </c>
      <c r="C23" s="136">
        <v>2.8290529695023992E-2</v>
      </c>
      <c r="D23" s="182">
        <v>4.1850220264317173E-2</v>
      </c>
      <c r="E23" s="182">
        <v>6.1572402727637421E-2</v>
      </c>
      <c r="F23" s="182">
        <v>0.10603464686845609</v>
      </c>
      <c r="G23" s="182">
        <v>6.5517241379310365E-2</v>
      </c>
      <c r="H23" s="135">
        <v>1.098901098901095E-2</v>
      </c>
      <c r="I23" s="136">
        <v>6.1504891331418336E-2</v>
      </c>
      <c r="J23" s="347"/>
      <c r="K23" s="181"/>
      <c r="L23" s="181"/>
      <c r="M23" s="181"/>
      <c r="N23" s="181"/>
      <c r="O23" s="181"/>
      <c r="P23" s="181"/>
      <c r="Q23" s="181"/>
      <c r="R23" s="171"/>
    </row>
    <row r="24" spans="1:18" x14ac:dyDescent="0.2">
      <c r="A24" s="74" t="s">
        <v>37</v>
      </c>
      <c r="B24" s="6" t="s">
        <v>2</v>
      </c>
      <c r="C24" s="221">
        <v>6.9867060561299765E-2</v>
      </c>
      <c r="D24" s="222">
        <v>0.10907886017229962</v>
      </c>
      <c r="E24" s="222">
        <v>0.12673425827107787</v>
      </c>
      <c r="F24" s="222">
        <v>0.10401459854014605</v>
      </c>
      <c r="G24" s="222">
        <v>0.14574898785425106</v>
      </c>
      <c r="H24" s="223">
        <v>7.0221752903907086E-2</v>
      </c>
      <c r="I24" s="221">
        <v>0.11052920246714772</v>
      </c>
      <c r="J24" s="345">
        <v>0.81766972745091415</v>
      </c>
      <c r="K24" s="181"/>
      <c r="L24" s="181"/>
      <c r="M24" s="181"/>
      <c r="N24" s="181"/>
      <c r="O24" s="181"/>
      <c r="P24" s="181"/>
      <c r="Q24" s="181"/>
      <c r="R24" s="171"/>
    </row>
    <row r="25" spans="1:18" x14ac:dyDescent="0.2">
      <c r="A25" s="3"/>
      <c r="B25" s="5" t="s">
        <v>1</v>
      </c>
      <c r="C25" s="131">
        <v>8.4791792395896182E-2</v>
      </c>
      <c r="D25" s="180">
        <v>0.12876566249000265</v>
      </c>
      <c r="E25" s="180">
        <v>0.12978953049109554</v>
      </c>
      <c r="F25" s="180">
        <v>0.11336515513126488</v>
      </c>
      <c r="G25" s="180">
        <v>0.15536013400335014</v>
      </c>
      <c r="H25" s="130">
        <v>8.333333333333337E-2</v>
      </c>
      <c r="I25" s="131">
        <v>0.12198828410635595</v>
      </c>
      <c r="J25" s="346"/>
      <c r="K25" s="181"/>
      <c r="L25" s="181"/>
      <c r="M25" s="181"/>
      <c r="N25" s="181"/>
      <c r="O25" s="181"/>
      <c r="P25" s="181"/>
      <c r="Q25" s="181"/>
      <c r="R25" s="171"/>
    </row>
    <row r="26" spans="1:18" ht="12" thickBot="1" x14ac:dyDescent="0.25">
      <c r="A26" s="58"/>
      <c r="B26" s="4" t="s">
        <v>0</v>
      </c>
      <c r="C26" s="136">
        <v>5.555555555555558E-2</v>
      </c>
      <c r="D26" s="182">
        <v>8.9615181866104399E-2</v>
      </c>
      <c r="E26" s="182">
        <v>0.12374670184696579</v>
      </c>
      <c r="F26" s="182">
        <v>9.570519618239659E-2</v>
      </c>
      <c r="G26" s="182">
        <v>0.13754912468738834</v>
      </c>
      <c r="H26" s="135">
        <v>5.9500959692898259E-2</v>
      </c>
      <c r="I26" s="136">
        <v>9.9746127017448755E-2</v>
      </c>
      <c r="J26" s="347"/>
      <c r="K26" s="181"/>
      <c r="L26" s="181"/>
      <c r="M26" s="181"/>
      <c r="N26" s="181"/>
      <c r="O26" s="181"/>
      <c r="P26" s="181"/>
      <c r="Q26" s="181"/>
      <c r="R26" s="171"/>
    </row>
    <row r="27" spans="1:18" x14ac:dyDescent="0.2">
      <c r="A27" s="74" t="s">
        <v>38</v>
      </c>
      <c r="B27" s="6" t="s">
        <v>2</v>
      </c>
      <c r="C27" s="221">
        <v>3.2763532763532832E-2</v>
      </c>
      <c r="D27" s="222">
        <v>5.6247447937933792E-2</v>
      </c>
      <c r="E27" s="222">
        <v>6.3105311448669599E-2</v>
      </c>
      <c r="F27" s="222">
        <v>2.3729182540546456E-2</v>
      </c>
      <c r="G27" s="222">
        <v>7.1475323995287332E-2</v>
      </c>
      <c r="H27" s="223">
        <v>4.6745373324824535E-2</v>
      </c>
      <c r="I27" s="221">
        <v>5.0071579562948151E-2</v>
      </c>
      <c r="J27" s="345">
        <v>1.3319510354096351</v>
      </c>
      <c r="K27" s="247"/>
      <c r="L27" s="247"/>
      <c r="M27" s="247"/>
      <c r="N27" s="247"/>
      <c r="O27" s="247"/>
      <c r="P27" s="247"/>
      <c r="Q27" s="247"/>
      <c r="R27" s="248"/>
    </row>
    <row r="28" spans="1:18" ht="12" x14ac:dyDescent="0.2">
      <c r="A28" s="127"/>
      <c r="B28" s="5" t="s">
        <v>1</v>
      </c>
      <c r="C28" s="131">
        <v>3.5636936404804143E-2</v>
      </c>
      <c r="D28" s="180">
        <v>5.6469189617594617E-2</v>
      </c>
      <c r="E28" s="180">
        <v>5.9458358786397936E-2</v>
      </c>
      <c r="F28" s="180">
        <v>0</v>
      </c>
      <c r="G28" s="180">
        <v>5.3754016944201011E-2</v>
      </c>
      <c r="H28" s="130">
        <v>5.1502145922746823E-2</v>
      </c>
      <c r="I28" s="131">
        <v>4.2803441279290734E-2</v>
      </c>
      <c r="J28" s="346"/>
      <c r="K28" s="247"/>
      <c r="L28" s="247"/>
      <c r="M28" s="247"/>
      <c r="N28" s="247"/>
      <c r="O28" s="247"/>
      <c r="P28" s="247"/>
      <c r="Q28" s="247"/>
      <c r="R28" s="248"/>
    </row>
    <row r="29" spans="1:18" ht="12" thickBot="1" x14ac:dyDescent="0.25">
      <c r="A29" s="58"/>
      <c r="B29" s="4" t="s">
        <v>0</v>
      </c>
      <c r="C29" s="136">
        <v>3.0532743735523282E-2</v>
      </c>
      <c r="D29" s="182">
        <v>5.6011791956201318E-2</v>
      </c>
      <c r="E29" s="182">
        <v>6.6966108615761577E-2</v>
      </c>
      <c r="F29" s="182">
        <v>4.4827586206896641E-2</v>
      </c>
      <c r="G29" s="182">
        <v>8.5863377609108116E-2</v>
      </c>
      <c r="H29" s="135">
        <v>4.2914746543778803E-2</v>
      </c>
      <c r="I29" s="136">
        <v>5.7012087931046812E-2</v>
      </c>
      <c r="J29" s="347"/>
      <c r="K29" s="247"/>
      <c r="L29" s="247"/>
      <c r="M29" s="247"/>
      <c r="N29" s="247"/>
      <c r="O29" s="247"/>
      <c r="P29" s="247"/>
      <c r="Q29" s="247"/>
      <c r="R29" s="248"/>
    </row>
    <row r="30" spans="1:18" x14ac:dyDescent="0.2">
      <c r="A30" s="74" t="s">
        <v>39</v>
      </c>
      <c r="B30" s="6" t="s">
        <v>2</v>
      </c>
      <c r="C30" s="221">
        <v>0</v>
      </c>
      <c r="D30" s="222">
        <v>0</v>
      </c>
      <c r="E30" s="222">
        <v>0</v>
      </c>
      <c r="F30" s="222">
        <v>0</v>
      </c>
      <c r="G30" s="222">
        <v>6.8133276377616458E-2</v>
      </c>
      <c r="H30" s="223">
        <v>4.4840294840294836E-2</v>
      </c>
      <c r="I30" s="221">
        <v>1.8800000000000001E-2</v>
      </c>
      <c r="J30" s="345">
        <v>0.79342723004694826</v>
      </c>
      <c r="K30" s="181"/>
      <c r="L30" s="181"/>
      <c r="M30" s="181"/>
      <c r="N30" s="181"/>
      <c r="O30" s="181"/>
      <c r="P30" s="181"/>
      <c r="Q30" s="181"/>
      <c r="R30" s="171"/>
    </row>
    <row r="31" spans="1:18" x14ac:dyDescent="0.2">
      <c r="A31" s="3"/>
      <c r="B31" s="5" t="s">
        <v>1</v>
      </c>
      <c r="C31" s="131">
        <v>0</v>
      </c>
      <c r="D31" s="180">
        <v>0</v>
      </c>
      <c r="E31" s="180">
        <v>0</v>
      </c>
      <c r="F31" s="180">
        <v>0</v>
      </c>
      <c r="G31" s="180">
        <v>7.1562207670720301E-2</v>
      </c>
      <c r="H31" s="130">
        <v>5.6068133427963129E-2</v>
      </c>
      <c r="I31" s="131">
        <v>2.1299999999999999E-2</v>
      </c>
      <c r="J31" s="346"/>
      <c r="K31" s="181"/>
      <c r="L31" s="181"/>
      <c r="M31" s="181"/>
      <c r="N31" s="181"/>
      <c r="O31" s="181"/>
      <c r="P31" s="181"/>
      <c r="Q31" s="181"/>
      <c r="R31" s="171"/>
    </row>
    <row r="32" spans="1:18" ht="12" thickBot="1" x14ac:dyDescent="0.25">
      <c r="A32" s="58"/>
      <c r="B32" s="4" t="s">
        <v>0</v>
      </c>
      <c r="C32" s="136">
        <v>0</v>
      </c>
      <c r="D32" s="182">
        <v>0</v>
      </c>
      <c r="E32" s="182">
        <v>0</v>
      </c>
      <c r="F32" s="182">
        <v>0</v>
      </c>
      <c r="G32" s="182">
        <v>6.5251572327044038E-2</v>
      </c>
      <c r="H32" s="135">
        <v>3.6275040606388753E-2</v>
      </c>
      <c r="I32" s="136">
        <v>1.6899999999999998E-2</v>
      </c>
      <c r="J32" s="347"/>
      <c r="K32" s="181"/>
      <c r="L32" s="181"/>
      <c r="M32" s="181"/>
      <c r="N32" s="181"/>
      <c r="O32" s="181"/>
      <c r="P32" s="181"/>
      <c r="Q32" s="181"/>
      <c r="R32" s="171"/>
    </row>
    <row r="33" spans="1:18" ht="10.15" customHeight="1" x14ac:dyDescent="0.2">
      <c r="A33" s="74" t="s">
        <v>40</v>
      </c>
      <c r="B33" s="6" t="s">
        <v>2</v>
      </c>
      <c r="C33" s="221">
        <v>0</v>
      </c>
      <c r="D33" s="222">
        <v>1.2123582323034787E-2</v>
      </c>
      <c r="E33" s="222">
        <v>1.463624623331905E-2</v>
      </c>
      <c r="F33" s="222">
        <v>0</v>
      </c>
      <c r="G33" s="222">
        <v>0.11326732673267326</v>
      </c>
      <c r="H33" s="223">
        <v>5.1295610787942869E-2</v>
      </c>
      <c r="I33" s="221">
        <v>3.1899999999999998E-2</v>
      </c>
      <c r="J33" s="345">
        <v>0.7777777777777779</v>
      </c>
      <c r="K33" s="181"/>
      <c r="L33" s="181"/>
      <c r="M33" s="181"/>
      <c r="N33" s="181"/>
      <c r="O33" s="181"/>
      <c r="P33" s="181"/>
      <c r="Q33" s="181"/>
      <c r="R33" s="171"/>
    </row>
    <row r="34" spans="1:18" x14ac:dyDescent="0.2">
      <c r="A34" s="3"/>
      <c r="B34" s="5" t="s">
        <v>1</v>
      </c>
      <c r="C34" s="131">
        <v>0</v>
      </c>
      <c r="D34" s="180">
        <v>1.8782870022539422E-2</v>
      </c>
      <c r="E34" s="180">
        <v>3.1066330814441656E-2</v>
      </c>
      <c r="F34" s="180">
        <v>0</v>
      </c>
      <c r="G34" s="180">
        <v>0.12181069958847734</v>
      </c>
      <c r="H34" s="130">
        <v>4.4117647058823484E-2</v>
      </c>
      <c r="I34" s="131">
        <v>3.5999999999999997E-2</v>
      </c>
      <c r="J34" s="346"/>
      <c r="K34" s="181"/>
      <c r="L34" s="181"/>
      <c r="M34" s="181"/>
      <c r="N34" s="181"/>
      <c r="O34" s="181"/>
      <c r="P34" s="181"/>
      <c r="Q34" s="181"/>
      <c r="R34" s="171"/>
    </row>
    <row r="35" spans="1:18" ht="12" thickBot="1" x14ac:dyDescent="0.25">
      <c r="A35" s="58"/>
      <c r="B35" s="4" t="s">
        <v>0</v>
      </c>
      <c r="C35" s="136">
        <v>0</v>
      </c>
      <c r="D35" s="182">
        <v>4.8939641109299048E-3</v>
      </c>
      <c r="E35" s="182">
        <v>0</v>
      </c>
      <c r="F35" s="182">
        <v>0</v>
      </c>
      <c r="G35" s="182">
        <v>0.10534351145038168</v>
      </c>
      <c r="H35" s="135">
        <v>5.7596822244289969E-2</v>
      </c>
      <c r="I35" s="136">
        <v>2.8000000000000001E-2</v>
      </c>
      <c r="J35" s="347"/>
      <c r="K35" s="181"/>
      <c r="L35" s="181"/>
      <c r="M35" s="181"/>
      <c r="N35" s="181"/>
      <c r="O35" s="181"/>
      <c r="P35" s="181"/>
      <c r="Q35" s="181"/>
      <c r="R35" s="171"/>
    </row>
    <row r="36" spans="1:18" x14ac:dyDescent="0.2">
      <c r="A36" s="74" t="s">
        <v>41</v>
      </c>
      <c r="B36" s="6" t="s">
        <v>2</v>
      </c>
      <c r="C36" s="221">
        <v>3.2108764824992808E-2</v>
      </c>
      <c r="D36" s="222">
        <v>3.1795160382667387E-2</v>
      </c>
      <c r="E36" s="222">
        <v>5.2275189599133243E-2</v>
      </c>
      <c r="F36" s="222">
        <v>0</v>
      </c>
      <c r="G36" s="222">
        <v>0.13224584911156423</v>
      </c>
      <c r="H36" s="223">
        <v>5.2757793764988015E-2</v>
      </c>
      <c r="I36" s="221">
        <v>5.0200000000000002E-2</v>
      </c>
      <c r="J36" s="345">
        <v>0.65573770491803285</v>
      </c>
      <c r="K36" s="247"/>
      <c r="L36" s="247"/>
      <c r="M36" s="247"/>
      <c r="N36" s="247"/>
      <c r="O36" s="247"/>
      <c r="P36" s="247"/>
      <c r="Q36" s="247"/>
      <c r="R36" s="248"/>
    </row>
    <row r="37" spans="1:18" ht="12" x14ac:dyDescent="0.2">
      <c r="A37" s="127"/>
      <c r="B37" s="5" t="s">
        <v>1</v>
      </c>
      <c r="C37" s="131">
        <v>4.0925266903914514E-2</v>
      </c>
      <c r="D37" s="180">
        <v>4.345403899721445E-2</v>
      </c>
      <c r="E37" s="180">
        <v>7.1846726982437548E-2</v>
      </c>
      <c r="F37" s="180">
        <v>0</v>
      </c>
      <c r="G37" s="180">
        <v>0.15006226650062271</v>
      </c>
      <c r="H37" s="130">
        <v>5.9686888454011711E-2</v>
      </c>
      <c r="I37" s="131">
        <v>6.0999999999999999E-2</v>
      </c>
      <c r="J37" s="346"/>
      <c r="K37" s="247"/>
      <c r="L37" s="247"/>
      <c r="M37" s="247"/>
      <c r="N37" s="247"/>
      <c r="O37" s="247"/>
      <c r="P37" s="247"/>
      <c r="Q37" s="247"/>
      <c r="R37" s="248"/>
    </row>
    <row r="38" spans="1:18" ht="12" thickBot="1" x14ac:dyDescent="0.25">
      <c r="A38" s="58"/>
      <c r="B38" s="4" t="s">
        <v>0</v>
      </c>
      <c r="C38" s="136">
        <v>2.3715415019762931E-2</v>
      </c>
      <c r="D38" s="182">
        <v>1.9897669130187534E-2</v>
      </c>
      <c r="E38" s="182">
        <v>3.1991174848317705E-2</v>
      </c>
      <c r="F38" s="182">
        <v>0</v>
      </c>
      <c r="G38" s="182">
        <v>0.1165845648604269</v>
      </c>
      <c r="H38" s="135">
        <v>4.7972972972972983E-2</v>
      </c>
      <c r="I38" s="136">
        <v>0.04</v>
      </c>
      <c r="J38" s="347"/>
      <c r="K38" s="247"/>
      <c r="L38" s="247"/>
      <c r="M38" s="247"/>
      <c r="N38" s="247"/>
      <c r="O38" s="247"/>
      <c r="P38" s="247"/>
      <c r="Q38" s="247"/>
      <c r="R38" s="248"/>
    </row>
    <row r="39" spans="1:18" x14ac:dyDescent="0.2">
      <c r="A39" s="74" t="s">
        <v>42</v>
      </c>
      <c r="B39" s="6" t="s">
        <v>2</v>
      </c>
      <c r="C39" s="67">
        <v>0</v>
      </c>
      <c r="D39" s="68">
        <v>0</v>
      </c>
      <c r="E39" s="68">
        <v>5.94844679444817E-3</v>
      </c>
      <c r="F39" s="68">
        <v>0</v>
      </c>
      <c r="G39" s="68">
        <v>5.1537822111388243E-2</v>
      </c>
      <c r="H39" s="210">
        <v>2.7053615346778193E-2</v>
      </c>
      <c r="I39" s="67">
        <v>1.41E-2</v>
      </c>
      <c r="J39" s="335">
        <v>0.91612903225806452</v>
      </c>
      <c r="K39" s="181"/>
      <c r="L39" s="181"/>
      <c r="M39" s="181"/>
      <c r="N39" s="181"/>
      <c r="O39" s="181"/>
      <c r="P39" s="181"/>
      <c r="Q39" s="181"/>
      <c r="R39" s="171"/>
    </row>
    <row r="40" spans="1:18" x14ac:dyDescent="0.2">
      <c r="A40" s="3"/>
      <c r="B40" s="5" t="s">
        <v>1</v>
      </c>
      <c r="C40" s="70">
        <v>0</v>
      </c>
      <c r="D40" s="71">
        <v>9.1145833333332593E-3</v>
      </c>
      <c r="E40" s="71">
        <v>1.3537117903930196E-2</v>
      </c>
      <c r="F40" s="71">
        <v>0</v>
      </c>
      <c r="G40" s="71">
        <v>3.9621791985592125E-2</v>
      </c>
      <c r="H40" s="83">
        <v>3.0895983522142068E-2</v>
      </c>
      <c r="I40" s="70">
        <v>1.55E-2</v>
      </c>
      <c r="J40" s="336"/>
      <c r="K40" s="181"/>
      <c r="L40" s="181"/>
      <c r="M40" s="181"/>
      <c r="N40" s="181"/>
      <c r="O40" s="181"/>
      <c r="P40" s="181"/>
      <c r="Q40" s="181"/>
      <c r="R40" s="171"/>
    </row>
    <row r="41" spans="1:18" ht="12" thickBot="1" x14ac:dyDescent="0.25">
      <c r="A41" s="58"/>
      <c r="B41" s="4" t="s">
        <v>0</v>
      </c>
      <c r="C41" s="87">
        <v>0</v>
      </c>
      <c r="D41" s="175">
        <v>0</v>
      </c>
      <c r="E41" s="175">
        <v>0</v>
      </c>
      <c r="F41" s="175">
        <v>0</v>
      </c>
      <c r="G41" s="175">
        <v>6.1752219220378213E-2</v>
      </c>
      <c r="H41" s="86">
        <v>2.3540489642184581E-2</v>
      </c>
      <c r="I41" s="87">
        <v>1.4200000000000001E-2</v>
      </c>
      <c r="J41" s="337"/>
      <c r="K41" s="181"/>
      <c r="L41" s="181"/>
      <c r="M41" s="181"/>
      <c r="N41" s="181"/>
      <c r="O41" s="181"/>
      <c r="P41" s="181"/>
      <c r="Q41" s="181"/>
      <c r="R41" s="171"/>
    </row>
    <row r="42" spans="1:18" x14ac:dyDescent="0.2">
      <c r="A42" s="74" t="s">
        <v>43</v>
      </c>
      <c r="B42" s="6" t="s">
        <v>2</v>
      </c>
      <c r="C42" s="67">
        <v>0</v>
      </c>
      <c r="D42" s="68">
        <v>0</v>
      </c>
      <c r="E42" s="68">
        <v>4.5376310436551215E-3</v>
      </c>
      <c r="F42" s="68">
        <v>0</v>
      </c>
      <c r="G42" s="68">
        <v>7.9220415030846869E-2</v>
      </c>
      <c r="H42" s="210">
        <v>2.7753534648280676E-2</v>
      </c>
      <c r="I42" s="67">
        <v>1.8599999999999998E-2</v>
      </c>
      <c r="J42" s="335">
        <v>0.81339712918660301</v>
      </c>
      <c r="K42" s="181"/>
      <c r="L42" s="181"/>
      <c r="M42" s="181"/>
      <c r="N42" s="181"/>
      <c r="O42" s="181"/>
      <c r="P42" s="181"/>
      <c r="Q42" s="181"/>
      <c r="R42" s="171"/>
    </row>
    <row r="43" spans="1:18" x14ac:dyDescent="0.2">
      <c r="A43" s="3"/>
      <c r="B43" s="5" t="s">
        <v>1</v>
      </c>
      <c r="C43" s="70">
        <v>0</v>
      </c>
      <c r="D43" s="71">
        <v>3.7723986167871315E-3</v>
      </c>
      <c r="E43" s="71">
        <v>6.8238213399502978E-3</v>
      </c>
      <c r="F43" s="71">
        <v>0</v>
      </c>
      <c r="G43" s="71">
        <v>8.5895117540687127E-2</v>
      </c>
      <c r="H43" s="83">
        <v>2.9169783096484658E-2</v>
      </c>
      <c r="I43" s="70">
        <v>2.0899999999999998E-2</v>
      </c>
      <c r="J43" s="336"/>
      <c r="K43" s="181"/>
      <c r="L43" s="181"/>
      <c r="M43" s="181"/>
      <c r="N43" s="181"/>
      <c r="O43" s="181"/>
      <c r="P43" s="181"/>
      <c r="Q43" s="181"/>
      <c r="R43" s="171"/>
    </row>
    <row r="44" spans="1:18" ht="12" thickBot="1" x14ac:dyDescent="0.25">
      <c r="A44" s="58"/>
      <c r="B44" s="4" t="s">
        <v>0</v>
      </c>
      <c r="C44" s="87">
        <v>0</v>
      </c>
      <c r="D44" s="175">
        <v>0</v>
      </c>
      <c r="E44" s="175">
        <v>0</v>
      </c>
      <c r="F44" s="175">
        <v>0</v>
      </c>
      <c r="G44" s="175">
        <v>7.3151546932354483E-2</v>
      </c>
      <c r="H44" s="86">
        <v>2.9132569558101507E-2</v>
      </c>
      <c r="I44" s="87">
        <v>1.7000000000000001E-2</v>
      </c>
      <c r="J44" s="337"/>
      <c r="K44" s="181"/>
      <c r="L44" s="181"/>
      <c r="M44" s="181"/>
      <c r="N44" s="181"/>
      <c r="O44" s="181"/>
      <c r="P44" s="181"/>
      <c r="Q44" s="181"/>
      <c r="R44" s="171"/>
    </row>
    <row r="45" spans="1:18" ht="12.75" x14ac:dyDescent="0.25">
      <c r="A45" s="88" t="s">
        <v>3</v>
      </c>
      <c r="B45" s="358" t="s">
        <v>2</v>
      </c>
      <c r="C45" s="237">
        <v>9.1190888119954128E-3</v>
      </c>
      <c r="D45" s="238">
        <v>2.7673760160745298E-2</v>
      </c>
      <c r="E45" s="238">
        <v>3.3881657537761845E-2</v>
      </c>
      <c r="F45" s="238">
        <v>0</v>
      </c>
      <c r="G45" s="238">
        <v>8.2552780255724101E-2</v>
      </c>
      <c r="H45" s="239">
        <v>4.065520815755852E-2</v>
      </c>
      <c r="I45" s="237">
        <v>3.2300000000000002E-2</v>
      </c>
      <c r="J45" s="368">
        <v>0.83286118980169976</v>
      </c>
      <c r="K45" s="181"/>
      <c r="L45" s="181"/>
      <c r="M45" s="181"/>
      <c r="N45" s="181"/>
      <c r="O45" s="181"/>
      <c r="P45" s="181"/>
      <c r="Q45" s="181"/>
      <c r="R45" s="171"/>
    </row>
    <row r="46" spans="1:18" ht="12.75" x14ac:dyDescent="0.25">
      <c r="A46" s="96"/>
      <c r="B46" s="358" t="s">
        <v>1</v>
      </c>
      <c r="C46" s="98">
        <v>1.2909280869827011E-2</v>
      </c>
      <c r="D46" s="99">
        <v>3.5890205596801783E-2</v>
      </c>
      <c r="E46" s="99">
        <v>3.3340889671647944E-2</v>
      </c>
      <c r="F46" s="99">
        <v>0</v>
      </c>
      <c r="G46" s="99">
        <v>8.241682024453556E-2</v>
      </c>
      <c r="H46" s="100">
        <v>4.7038970627010457E-2</v>
      </c>
      <c r="I46" s="98">
        <v>3.5299999999999998E-2</v>
      </c>
      <c r="J46" s="369"/>
      <c r="K46" s="181"/>
      <c r="L46" s="181"/>
      <c r="M46" s="181"/>
      <c r="N46" s="181"/>
      <c r="O46" s="181"/>
      <c r="P46" s="181"/>
      <c r="Q46" s="181"/>
      <c r="R46" s="171"/>
    </row>
    <row r="47" spans="1:18" ht="13.5" thickBot="1" x14ac:dyDescent="0.3">
      <c r="A47" s="103"/>
      <c r="B47" s="363" t="s">
        <v>0</v>
      </c>
      <c r="C47" s="105">
        <v>5.1921842032840448E-3</v>
      </c>
      <c r="D47" s="106">
        <v>1.9061693291930082E-2</v>
      </c>
      <c r="E47" s="106">
        <v>3.4438775510204134E-2</v>
      </c>
      <c r="F47" s="106">
        <v>0</v>
      </c>
      <c r="G47" s="106">
        <v>8.2672825573460673E-2</v>
      </c>
      <c r="H47" s="107">
        <v>3.5279751332149223E-2</v>
      </c>
      <c r="I47" s="105">
        <v>2.9399999999999999E-2</v>
      </c>
      <c r="J47" s="370"/>
      <c r="K47" s="181"/>
      <c r="L47" s="181"/>
      <c r="M47" s="181"/>
      <c r="N47" s="181"/>
      <c r="O47" s="181"/>
      <c r="P47" s="181"/>
      <c r="Q47" s="181"/>
      <c r="R47" s="171"/>
    </row>
  </sheetData>
  <sheetProtection algorithmName="SHA-512" hashValue="dKyVIBA6yJ/4gH3pFaPNpd0TWkv4ImPIZUvwfQbNe0nSe6esOoRddO9Yoes0gQUPkzmKlfXfMGTEKg07Sgk+rg==" saltValue="sprjOjQFeOp+roLCdIkXZg==" spinCount="100000" sheet="1" objects="1" scenarios="1"/>
  <mergeCells count="19">
    <mergeCell ref="G10:G11"/>
    <mergeCell ref="H10:H11"/>
    <mergeCell ref="A1:J1"/>
    <mergeCell ref="A2:J2"/>
    <mergeCell ref="A3:J3"/>
    <mergeCell ref="A4:J4"/>
    <mergeCell ref="A5:J5"/>
    <mergeCell ref="A6:J6"/>
    <mergeCell ref="B10:B11"/>
    <mergeCell ref="C10:C11"/>
    <mergeCell ref="D10:D11"/>
    <mergeCell ref="E10:E11"/>
    <mergeCell ref="F10:F11"/>
    <mergeCell ref="P10:P11"/>
    <mergeCell ref="K10:K11"/>
    <mergeCell ref="L10:L11"/>
    <mergeCell ref="M10:M11"/>
    <mergeCell ref="N10:N11"/>
    <mergeCell ref="O10:O11"/>
  </mergeCells>
  <conditionalFormatting sqref="C1:J1048576">
    <cfRule type="cellIs" dxfId="2" priority="1" operator="lessThan">
      <formula>0</formula>
    </cfRule>
  </conditionalFormatting>
  <conditionalFormatting sqref="G10:H11">
    <cfRule type="cellIs" dxfId="1" priority="11" operator="lessThan">
      <formula>0</formula>
    </cfRule>
  </conditionalFormatting>
  <conditionalFormatting sqref="K10:R11">
    <cfRule type="cellIs" dxfId="0" priority="5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Kto6 CSR, CR, Coeffcnt,YrInput</vt:lpstr>
      <vt:lpstr>Kto6 Promo &amp; Grad</vt:lpstr>
      <vt:lpstr>Kto6 Repetition</vt:lpstr>
      <vt:lpstr>Kto6 SchoolLeaver</vt:lpstr>
      <vt:lpstr>G1to6 CSR,CR,Coeffcnt,YrInput</vt:lpstr>
      <vt:lpstr>G1to6 Promo &amp; Grad</vt:lpstr>
      <vt:lpstr>G1to6 Repetition</vt:lpstr>
      <vt:lpstr>G1to6 SchoolLeaver</vt:lpstr>
      <vt:lpstr>G7toG10 CSR,CR,Coeffcnt,YrInput</vt:lpstr>
      <vt:lpstr>G7toG10 Promo &amp; Grad</vt:lpstr>
      <vt:lpstr>G7toG10 Repetition Rate</vt:lpstr>
      <vt:lpstr>G7toG10 School Leaver</vt:lpstr>
      <vt:lpstr>G7toG12 CSR,CR,Coeffcnt,YrInput</vt:lpstr>
      <vt:lpstr>G7toG12  Promo &amp; Grad</vt:lpstr>
      <vt:lpstr>G7toG12 SchoolLeaver</vt:lpstr>
      <vt:lpstr>'G1to6 CSR,CR,Coeffcnt,YrInput'!Print_Area</vt:lpstr>
      <vt:lpstr>'G1to6 Promo &amp; Grad'!Print_Area</vt:lpstr>
      <vt:lpstr>'G1to6 Repetition'!Print_Area</vt:lpstr>
      <vt:lpstr>'G1to6 SchoolLeaver'!Print_Area</vt:lpstr>
      <vt:lpstr>'G7toG10 CSR,CR,Coeffcnt,YrInput'!Print_Area</vt:lpstr>
      <vt:lpstr>'G7toG10 Promo &amp; Grad'!Print_Area</vt:lpstr>
      <vt:lpstr>'G7toG10 Repetition Rate'!Print_Area</vt:lpstr>
      <vt:lpstr>'G7toG10 School Leaver'!Print_Area</vt:lpstr>
      <vt:lpstr>'G7toG12  Promo &amp; Grad'!Print_Area</vt:lpstr>
      <vt:lpstr>'G7toG12 CSR,CR,Coeffcnt,YrInput'!Print_Area</vt:lpstr>
      <vt:lpstr>'G7toG12 SchoolLeaver'!Print_Area</vt:lpstr>
      <vt:lpstr>'Kto6 CSR, CR, Coeffcnt,YrInput'!Print_Area</vt:lpstr>
      <vt:lpstr>'Kto6 Promo &amp; Grad'!Print_Area</vt:lpstr>
      <vt:lpstr>'Kto6 Repetition'!Print_Area</vt:lpstr>
      <vt:lpstr>'Kto6 SchoolLeaver'!Print_Area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2019-05-10T05:23:59Z</cp:lastPrinted>
  <dcterms:created xsi:type="dcterms:W3CDTF">2016-01-21T01:00:19Z</dcterms:created>
  <dcterms:modified xsi:type="dcterms:W3CDTF">2025-09-25T03:36:18Z</dcterms:modified>
</cp:coreProperties>
</file>