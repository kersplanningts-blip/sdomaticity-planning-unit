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F145B912-070E-422C-BFDD-30D859105CB6}" xr6:coauthVersionLast="47" xr6:coauthVersionMax="47" xr10:uidLastSave="{00000000-0000-0000-0000-000000000000}"/>
  <bookViews>
    <workbookView xWindow="-120" yWindow="-120" windowWidth="29040" windowHeight="15720" xr2:uid="{BE4D4689-1C86-4414-9D90-DC70F8673B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" i="1" l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L5" i="1"/>
  <c r="K5" i="1"/>
  <c r="J5" i="1"/>
  <c r="I5" i="1"/>
</calcChain>
</file>

<file path=xl/sharedStrings.xml><?xml version="1.0" encoding="utf-8"?>
<sst xmlns="http://schemas.openxmlformats.org/spreadsheetml/2006/main" count="421" uniqueCount="113">
  <si>
    <t>NATIONAL SCHOOL BUILDING INVENTORY - Number of Existing Furnitures (Table 5)</t>
  </si>
  <si>
    <t>SY 2022-2023</t>
  </si>
  <si>
    <t>Number of Building by Condition are based on NSBI as of June 30, 2023</t>
  </si>
  <si>
    <t>List of Schools are based on LIS, as of January 10, 2023</t>
  </si>
  <si>
    <t>ENROLLMENT</t>
  </si>
  <si>
    <t>Kinder Modular Table</t>
  </si>
  <si>
    <t>Kinder Chair</t>
  </si>
  <si>
    <t>Arm Chair</t>
  </si>
  <si>
    <t>School Desk</t>
  </si>
  <si>
    <t>Other Classroom Table</t>
  </si>
  <si>
    <t>Other Classroom Chair</t>
  </si>
  <si>
    <t>DepEd New Design 2-Seater Table &amp; Chair (ES)</t>
  </si>
  <si>
    <t>DepEd New Design 2-Seater Table &amp; Chair (JHS)</t>
  </si>
  <si>
    <t>DepEd New Design 2-Seater Table &amp; Chair (SHS)</t>
  </si>
  <si>
    <t>Total Seat</t>
  </si>
  <si>
    <t>Total Ratio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</si>
  <si>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</si>
  <si>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</si>
  <si>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</si>
  <si>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</si>
  <si>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</si>
  <si>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</si>
  <si>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</si>
  <si>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COC NSBI</t>
  </si>
  <si>
    <t>ES</t>
  </si>
  <si>
    <t>JHS</t>
  </si>
  <si>
    <t>SHS</t>
  </si>
  <si>
    <t>Total</t>
  </si>
  <si>
    <t>Total Seat ES</t>
  </si>
  <si>
    <t>Total Seat JHS</t>
  </si>
  <si>
    <t>Total Seat SHS</t>
  </si>
  <si>
    <t>Region XI</t>
  </si>
  <si>
    <t>Mati City</t>
  </si>
  <si>
    <t>Mati Central</t>
  </si>
  <si>
    <t>Badas ES</t>
  </si>
  <si>
    <t>Purely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</si>
  <si>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</si>
  <si>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</si>
  <si>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</si>
  <si>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</si>
  <si>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</si>
  <si>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</si>
  <si>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</si>
  <si>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</si>
  <si>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</si>
  <si>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</si>
  <si>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</si>
  <si>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</si>
  <si>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JHS with SHS</t>
  </si>
  <si>
    <t>Mati SAT</t>
  </si>
  <si>
    <t>Badas NHS</t>
  </si>
  <si>
    <t>Licop Integrated School</t>
  </si>
  <si>
    <t>All Offering (K to 12)</t>
  </si>
  <si>
    <t>Culian Integrated School</t>
  </si>
  <si>
    <t>Mati North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</si>
  <si>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</si>
  <si>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</si>
  <si>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</si>
  <si>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</si>
  <si>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</si>
  <si>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</si>
  <si>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</si>
  <si>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</si>
  <si>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</si>
  <si>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</si>
  <si>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</si>
  <si>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</si>
  <si>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</si>
  <si>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</si>
  <si>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</si>
  <si>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</si>
  <si>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</si>
  <si>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</si>
  <si>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</si>
  <si>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</si>
  <si>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</si>
  <si>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</si>
  <si>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</si>
  <si>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</si>
  <si>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</si>
  <si>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</si>
  <si>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</si>
  <si>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</si>
  <si>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</si>
  <si>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</si>
  <si>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</si>
  <si>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</si>
  <si>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</si>
  <si>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</si>
  <si>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Purely JHS</t>
  </si>
  <si>
    <t>Lawigan National High School</t>
  </si>
  <si>
    <t>Mayo NHS</t>
  </si>
  <si>
    <t>Mati South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</si>
  <si>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</si>
  <si>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</si>
  <si>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</si>
  <si>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</si>
  <si>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</si>
  <si>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</si>
  <si>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</si>
  <si>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</si>
  <si>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</si>
  <si>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</si>
  <si>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</si>
  <si>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</si>
  <si>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</si>
  <si>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</si>
  <si>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</si>
  <si>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</si>
  <si>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ES and JHS 
(K to 10)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</si>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</sst>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164" fontId="0" fillId="0" borderId="0" xfId="0" applyNumberForma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0" fillId="2" borderId="0" xfId="1" applyNumberFormat="1" applyFont="1" applyFill="1"/>
    <xf numFmtId="1" fontId="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2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A6C3-4ED2-4302-B82D-016325FBE28F}">
  <dimension ref="A1:XEV78"/>
  <sheetViews>
    <sheetView tabSelected="1" workbookViewId="0">
      <pane ySplit="6" topLeftCell="L7" activePane="bottomLeft" state="frozen"/>
      <selection pane="bottomLeft" activeCell="AI4" sqref="AI4:AK4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35" customWidth="1"/>
    <col min="12" max="12" width="10.5703125" bestFit="1" customWidth="1"/>
  </cols>
  <sheetData>
    <row r="1" spans="1:16376">
      <c r="A1" s="1" t="s">
        <v>0</v>
      </c>
      <c r="M1" s="2"/>
      <c r="AO1" s="2"/>
    </row>
    <row r="2" spans="1:16376">
      <c r="A2" s="1" t="s">
        <v>1</v>
      </c>
      <c r="M2" s="2"/>
      <c r="AO2" s="2"/>
    </row>
    <row r="3" spans="1:16376">
      <c r="A3" s="1" t="s">
        <v>2</v>
      </c>
      <c r="M3" s="2"/>
      <c r="AM3" s="3"/>
      <c r="AN3" s="3"/>
      <c r="AO3" s="2"/>
    </row>
    <row r="4" spans="1:16376">
      <c r="A4" s="4" t="s">
        <v>3</v>
      </c>
      <c r="I4" s="18" t="s">
        <v>4</v>
      </c>
      <c r="J4" s="18"/>
      <c r="K4" s="18"/>
      <c r="L4" s="18"/>
      <c r="M4" s="2"/>
      <c r="N4" s="16" t="s">
        <v>5</v>
      </c>
      <c r="O4" s="16"/>
      <c r="P4" s="16"/>
      <c r="Q4" s="16" t="s">
        <v>6</v>
      </c>
      <c r="R4" s="16"/>
      <c r="S4" s="16"/>
      <c r="T4" s="16" t="s">
        <v>7</v>
      </c>
      <c r="U4" s="16"/>
      <c r="V4" s="16"/>
      <c r="W4" s="16" t="s">
        <v>8</v>
      </c>
      <c r="X4" s="16"/>
      <c r="Y4" s="16"/>
      <c r="Z4" s="16" t="s">
        <v>9</v>
      </c>
      <c r="AA4" s="16"/>
      <c r="AB4" s="16"/>
      <c r="AC4" s="16" t="s">
        <v>10</v>
      </c>
      <c r="AD4" s="16"/>
      <c r="AE4" s="16"/>
      <c r="AF4" s="16" t="s">
        <v>11</v>
      </c>
      <c r="AG4" s="16"/>
      <c r="AH4" s="16"/>
      <c r="AI4" s="16" t="s">
        <v>12</v>
      </c>
      <c r="AJ4" s="16"/>
      <c r="AK4" s="16"/>
      <c r="AL4" s="16" t="s">
        <v>13</v>
      </c>
      <c r="AM4" s="16"/>
      <c r="AN4" s="16"/>
      <c r="AO4" s="2"/>
      <c r="AP4" s="17" t="s">
        <v>14</v>
      </c>
      <c r="AQ4" s="17"/>
      <c r="AR4" s="17"/>
      <c r="AS4" s="16" t="s">
        <v>15</v>
      </c>
      <c r="AT4" s="16"/>
      <c r="AU4" s="16"/>
    </row>
    <row r="5" spans="1:16376">
      <c r="A5" s="7"/>
      <c r="B5" s="7"/>
      <c r="C5" s="7"/>
      <c r="D5" s="7"/>
      <c r="E5" s="7"/>
      <c r="F5" s="7"/>
      <c r="G5" s="7"/>
      <c r="H5" s="7"/>
      <c r="I5" s="7">
        <f>SUM(I7:I78)</f>
        <v>23163</v>
      </c>
      <c r="J5" s="7">
        <f>SUM(J7:J78)</f>
        <v>12520</v>
      </c>
      <c r="K5" s="7">
        <f>SUM(K7:K78)</f>
        <v>5290</v>
      </c>
      <c r="L5" s="7">
        <f>SUM(L7:L78)</f>
        <v>40973</v>
      </c>
      <c r="M5" s="8"/>
      <c r="N5" s="7">
        <f>SUM(N7:N78)</f>
        <v>330</v>
      </c>
      <c r="O5" s="7">
        <f>SUM(O7:O78)</f>
        <v>0</v>
      </c>
      <c r="P5" s="7">
        <f>SUM(P7:P78)</f>
        <v>0</v>
      </c>
      <c r="Q5" s="7">
        <f>SUM(Q7:Q78)</f>
        <v>794</v>
      </c>
      <c r="R5" s="7">
        <f>SUM(R7:R78)</f>
        <v>0</v>
      </c>
      <c r="S5" s="7">
        <f>SUM(S7:S78)</f>
        <v>0</v>
      </c>
      <c r="T5" s="7">
        <f>SUM(T7:T78)</f>
        <v>6200</v>
      </c>
      <c r="U5" s="7">
        <f>SUM(U7:U78)</f>
        <v>5597.898734097188</v>
      </c>
      <c r="V5" s="7">
        <f>SUM(V7:V78)</f>
        <v>2374.101265902812</v>
      </c>
      <c r="W5" s="7">
        <f>SUM(W7:W78)</f>
        <v>1599</v>
      </c>
      <c r="X5" s="7">
        <f>SUM(X7:X78)</f>
        <v>67.049724532343433</v>
      </c>
      <c r="Y5" s="7">
        <f>SUM(Y7:Y78)</f>
        <v>27.950275467656574</v>
      </c>
      <c r="Z5" s="7">
        <f>SUM(Z7:Z78)</f>
        <v>581</v>
      </c>
      <c r="AA5" s="7">
        <f>SUM(AA7:AA78)</f>
        <v>295.63184619063554</v>
      </c>
      <c r="AB5" s="7">
        <f>SUM(AB7:AB78)</f>
        <v>99.368153809364401</v>
      </c>
      <c r="AC5" s="7">
        <f>SUM(AC7:AC78)</f>
        <v>948</v>
      </c>
      <c r="AD5" s="7">
        <f>SUM(AD7:AD78)</f>
        <v>534.97937488332798</v>
      </c>
      <c r="AE5" s="7">
        <f>SUM(AE7:AE78)</f>
        <v>259.02062511667214</v>
      </c>
      <c r="AF5" s="7">
        <f>SUM(AF7:AF78)</f>
        <v>677</v>
      </c>
      <c r="AG5" s="7">
        <f>SUM(AG7:AG78)</f>
        <v>0</v>
      </c>
      <c r="AH5" s="7">
        <f>SUM(AH7:AH78)</f>
        <v>0</v>
      </c>
      <c r="AI5" s="7">
        <f>SUM(AI7:AI78)</f>
        <v>0</v>
      </c>
      <c r="AJ5" s="7">
        <f>SUM(AJ7:AJ78)</f>
        <v>564</v>
      </c>
      <c r="AK5" s="7">
        <f>SUM(AK7:AK78)</f>
        <v>0</v>
      </c>
      <c r="AL5" s="7">
        <f>SUM(AL7:AL78)</f>
        <v>0</v>
      </c>
      <c r="AM5" s="7">
        <f>SUM(AM7:AM78)</f>
        <v>0</v>
      </c>
      <c r="AN5" s="7">
        <f>SUM(AN7:AN78)</f>
        <v>439</v>
      </c>
      <c r="AO5" s="8"/>
      <c r="AP5" s="7">
        <v>11148609</v>
      </c>
      <c r="AQ5" s="7">
        <v>5236815.6104976954</v>
      </c>
      <c r="AR5" s="7">
        <v>2121240.3895023041</v>
      </c>
      <c r="AS5" s="9">
        <v>1.2619670310439626</v>
      </c>
      <c r="AT5" s="9">
        <v>1.3836570807409734</v>
      </c>
      <c r="AU5" s="9">
        <v>1.2827952048557976</v>
      </c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</row>
    <row r="6" spans="1:16376" ht="30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10">
        <v>1</v>
      </c>
      <c r="N6" s="5" t="s">
        <v>24</v>
      </c>
      <c r="O6" s="5" t="s">
        <v>25</v>
      </c>
      <c r="P6" s="5" t="s">
        <v>26</v>
      </c>
      <c r="Q6" s="5" t="s">
        <v>24</v>
      </c>
      <c r="R6" s="5" t="s">
        <v>25</v>
      </c>
      <c r="S6" s="5" t="s">
        <v>26</v>
      </c>
      <c r="T6" s="5" t="s">
        <v>24</v>
      </c>
      <c r="U6" s="5" t="s">
        <v>25</v>
      </c>
      <c r="V6" s="5" t="s">
        <v>26</v>
      </c>
      <c r="W6" s="5" t="s">
        <v>24</v>
      </c>
      <c r="X6" s="5" t="s">
        <v>25</v>
      </c>
      <c r="Y6" s="5" t="s">
        <v>26</v>
      </c>
      <c r="Z6" s="5" t="s">
        <v>24</v>
      </c>
      <c r="AA6" s="5" t="s">
        <v>25</v>
      </c>
      <c r="AB6" s="5" t="s">
        <v>26</v>
      </c>
      <c r="AC6" s="5" t="s">
        <v>24</v>
      </c>
      <c r="AD6" s="5" t="s">
        <v>25</v>
      </c>
      <c r="AE6" s="5" t="s">
        <v>26</v>
      </c>
      <c r="AF6" s="5" t="s">
        <v>24</v>
      </c>
      <c r="AG6" s="5" t="s">
        <v>25</v>
      </c>
      <c r="AH6" s="5" t="s">
        <v>26</v>
      </c>
      <c r="AI6" s="5" t="s">
        <v>24</v>
      </c>
      <c r="AJ6" s="5" t="s">
        <v>25</v>
      </c>
      <c r="AK6" s="5" t="s">
        <v>26</v>
      </c>
      <c r="AL6" s="5" t="s">
        <v>24</v>
      </c>
      <c r="AM6" s="5" t="s">
        <v>25</v>
      </c>
      <c r="AN6" s="5" t="s">
        <v>26</v>
      </c>
      <c r="AO6" s="2">
        <v>1</v>
      </c>
      <c r="AP6" s="11" t="s">
        <v>28</v>
      </c>
      <c r="AQ6" s="11" t="s">
        <v>29</v>
      </c>
      <c r="AR6" s="11" t="s">
        <v>30</v>
      </c>
      <c r="AS6" s="12" t="s">
        <v>24</v>
      </c>
      <c r="AT6" s="12" t="s">
        <v>25</v>
      </c>
      <c r="AU6" s="12" t="s">
        <v>26</v>
      </c>
    </row>
    <row r="7" spans="1:16376">
      <c r="A7" t="s">
        <v>31</v>
      </c>
      <c r="B7" t="s">
        <v>32</v>
      </c>
      <c r="C7" t="s">
        <v>33</v>
      </c>
      <c r="D7">
        <v>129374</v>
      </c>
      <c r="E7">
        <v>129374</v>
      </c>
      <c r="G7" s="13" t="s">
        <v>34</v>
      </c>
      <c r="H7" t="s">
        <v>35</v>
      </c>
      <c r="I7" s="14">
        <v>461</v>
      </c>
      <c r="J7" s="14">
        <v>0</v>
      </c>
      <c r="K7" s="14">
        <v>0</v>
      </c>
      <c r="L7">
        <v>461</v>
      </c>
      <c r="M7" s="2"/>
      <c r="N7">
        <v>10</v>
      </c>
      <c r="Q7">
        <v>10</v>
      </c>
      <c r="T7">
        <v>100</v>
      </c>
      <c r="W7">
        <v>10</v>
      </c>
      <c r="Z7">
        <v>0</v>
      </c>
      <c r="AC7">
        <v>0</v>
      </c>
      <c r="AF7">
        <v>0</v>
      </c>
      <c r="AI7">
        <v>0</v>
      </c>
      <c r="AL7">
        <v>0</v>
      </c>
      <c r="AO7" s="2"/>
      <c r="AP7" s="7">
        <v>130</v>
      </c>
      <c r="AQ7" s="7">
        <v>0</v>
      </c>
      <c r="AR7" s="7">
        <v>0</v>
      </c>
      <c r="AS7" s="9">
        <v>3.546153846153846</v>
      </c>
    </row>
    <row r="8" spans="1:16376">
      <c r="A8" t="s">
        <v>31</v>
      </c>
      <c r="B8" t="s">
        <v>32</v>
      </c>
      <c r="C8" t="s">
        <v>33</v>
      </c>
      <c r="D8">
        <v>129375</v>
      </c>
      <c r="E8">
        <v>129375</v>
      </c>
      <c r="G8" s="13" t="s">
        <v>36</v>
      </c>
      <c r="H8" t="s">
        <v>35</v>
      </c>
      <c r="I8" s="14">
        <v>192</v>
      </c>
      <c r="J8" s="14">
        <v>0</v>
      </c>
      <c r="K8" s="14">
        <v>0</v>
      </c>
      <c r="L8">
        <v>192</v>
      </c>
      <c r="M8" s="2"/>
      <c r="N8">
        <v>0</v>
      </c>
      <c r="Q8">
        <v>0</v>
      </c>
      <c r="T8">
        <v>103</v>
      </c>
      <c r="W8">
        <v>15</v>
      </c>
      <c r="Z8">
        <v>0</v>
      </c>
      <c r="AC8">
        <v>0</v>
      </c>
      <c r="AF8">
        <v>0</v>
      </c>
      <c r="AI8">
        <v>0</v>
      </c>
      <c r="AL8">
        <v>0</v>
      </c>
      <c r="AO8" s="2"/>
      <c r="AP8" s="7">
        <v>133</v>
      </c>
      <c r="AQ8" s="7">
        <v>0</v>
      </c>
      <c r="AR8" s="7">
        <v>0</v>
      </c>
      <c r="AS8" s="9">
        <v>1.4436090225563909</v>
      </c>
    </row>
    <row r="9" spans="1:16376">
      <c r="A9" t="s">
        <v>31</v>
      </c>
      <c r="B9" t="s">
        <v>32</v>
      </c>
      <c r="C9" t="s">
        <v>33</v>
      </c>
      <c r="D9">
        <v>129376</v>
      </c>
      <c r="E9">
        <v>129376</v>
      </c>
      <c r="G9" s="13" t="s">
        <v>37</v>
      </c>
      <c r="H9" t="s">
        <v>35</v>
      </c>
      <c r="I9" s="14">
        <v>304</v>
      </c>
      <c r="J9" s="14">
        <v>0</v>
      </c>
      <c r="K9" s="14">
        <v>0</v>
      </c>
      <c r="L9">
        <v>304</v>
      </c>
      <c r="M9" s="2"/>
      <c r="N9">
        <v>0</v>
      </c>
      <c r="Q9">
        <v>0</v>
      </c>
      <c r="T9">
        <v>90</v>
      </c>
      <c r="W9">
        <v>30</v>
      </c>
      <c r="Z9">
        <v>20</v>
      </c>
      <c r="AC9">
        <v>45</v>
      </c>
      <c r="AF9">
        <v>0</v>
      </c>
      <c r="AI9">
        <v>0</v>
      </c>
      <c r="AL9">
        <v>0</v>
      </c>
      <c r="AO9" s="2"/>
      <c r="AP9" s="7">
        <v>150</v>
      </c>
      <c r="AQ9" s="7">
        <v>0</v>
      </c>
      <c r="AR9" s="7">
        <v>0</v>
      </c>
      <c r="AS9" s="9">
        <v>2.0266666666666668</v>
      </c>
    </row>
    <row r="10" spans="1:16376" ht="30">
      <c r="A10" t="s">
        <v>31</v>
      </c>
      <c r="B10" t="s">
        <v>32</v>
      </c>
      <c r="C10" t="s">
        <v>33</v>
      </c>
      <c r="D10">
        <v>129377</v>
      </c>
      <c r="E10">
        <v>129377</v>
      </c>
      <c r="G10" s="13" t="s">
        <v>38</v>
      </c>
      <c r="H10" t="s">
        <v>35</v>
      </c>
      <c r="I10" s="14">
        <v>321</v>
      </c>
      <c r="J10" s="14">
        <v>0</v>
      </c>
      <c r="K10" s="14">
        <v>0</v>
      </c>
      <c r="L10">
        <v>321</v>
      </c>
      <c r="M10" s="2"/>
      <c r="N10">
        <v>6</v>
      </c>
      <c r="Q10">
        <v>22</v>
      </c>
      <c r="T10">
        <v>93</v>
      </c>
      <c r="W10">
        <v>95</v>
      </c>
      <c r="Z10">
        <v>28</v>
      </c>
      <c r="AC10">
        <v>46</v>
      </c>
      <c r="AF10">
        <v>0</v>
      </c>
      <c r="AI10">
        <v>0</v>
      </c>
      <c r="AL10">
        <v>0</v>
      </c>
      <c r="AO10" s="2"/>
      <c r="AP10" s="7">
        <v>305</v>
      </c>
      <c r="AQ10" s="7">
        <v>0</v>
      </c>
      <c r="AR10" s="7">
        <v>0</v>
      </c>
      <c r="AS10" s="9">
        <v>1.0524590163934426</v>
      </c>
    </row>
    <row r="11" spans="1:16376">
      <c r="A11" t="s">
        <v>31</v>
      </c>
      <c r="B11" t="s">
        <v>32</v>
      </c>
      <c r="C11" t="s">
        <v>33</v>
      </c>
      <c r="D11">
        <v>129380</v>
      </c>
      <c r="E11">
        <v>129380</v>
      </c>
      <c r="G11" s="13" t="s">
        <v>39</v>
      </c>
      <c r="H11" t="s">
        <v>35</v>
      </c>
      <c r="I11" s="14">
        <v>1188</v>
      </c>
      <c r="J11" s="14">
        <v>0</v>
      </c>
      <c r="K11" s="14">
        <v>0</v>
      </c>
      <c r="L11">
        <v>1188</v>
      </c>
      <c r="M11" s="2"/>
      <c r="N11">
        <v>39</v>
      </c>
      <c r="Q11">
        <v>73</v>
      </c>
      <c r="T11">
        <v>695</v>
      </c>
      <c r="W11">
        <v>190</v>
      </c>
      <c r="Z11">
        <v>65</v>
      </c>
      <c r="AC11">
        <v>130</v>
      </c>
      <c r="AF11">
        <v>0</v>
      </c>
      <c r="AI11">
        <v>0</v>
      </c>
      <c r="AL11">
        <v>0</v>
      </c>
      <c r="AO11" s="2"/>
      <c r="AP11" s="7">
        <v>1148</v>
      </c>
      <c r="AQ11" s="7">
        <v>0</v>
      </c>
      <c r="AR11" s="7">
        <v>0</v>
      </c>
      <c r="AS11" s="9">
        <v>1.0348432055749128</v>
      </c>
    </row>
    <row r="12" spans="1:16376">
      <c r="A12" t="s">
        <v>31</v>
      </c>
      <c r="B12" t="s">
        <v>32</v>
      </c>
      <c r="C12" t="s">
        <v>33</v>
      </c>
      <c r="D12">
        <v>129381</v>
      </c>
      <c r="E12">
        <v>129381</v>
      </c>
      <c r="G12" s="13" t="s">
        <v>40</v>
      </c>
      <c r="H12" t="s">
        <v>35</v>
      </c>
      <c r="I12" s="14">
        <v>1216</v>
      </c>
      <c r="J12" s="14">
        <v>0</v>
      </c>
      <c r="K12" s="14">
        <v>0</v>
      </c>
      <c r="L12">
        <v>1216</v>
      </c>
      <c r="M12" s="2"/>
      <c r="N12">
        <v>0</v>
      </c>
      <c r="Q12">
        <v>0</v>
      </c>
      <c r="T12">
        <v>0</v>
      </c>
      <c r="W12">
        <v>0</v>
      </c>
      <c r="Z12">
        <v>0</v>
      </c>
      <c r="AC12">
        <v>0</v>
      </c>
      <c r="AF12">
        <v>0</v>
      </c>
      <c r="AI12">
        <v>0</v>
      </c>
      <c r="AL12">
        <v>0</v>
      </c>
      <c r="AO12" s="2"/>
      <c r="AP12" s="7">
        <v>0</v>
      </c>
      <c r="AQ12" s="7">
        <v>0</v>
      </c>
      <c r="AR12" s="7">
        <v>0</v>
      </c>
      <c r="AS12" s="9" t="e">
        <v>#DIV/0!</v>
      </c>
    </row>
    <row r="13" spans="1:16376">
      <c r="A13" t="s">
        <v>31</v>
      </c>
      <c r="B13" t="s">
        <v>32</v>
      </c>
      <c r="C13" t="s">
        <v>33</v>
      </c>
      <c r="D13">
        <v>129382</v>
      </c>
      <c r="E13">
        <v>129382</v>
      </c>
      <c r="G13" s="13" t="s">
        <v>41</v>
      </c>
      <c r="H13" t="s">
        <v>35</v>
      </c>
      <c r="I13" s="14">
        <v>1984</v>
      </c>
      <c r="J13" s="14">
        <v>0</v>
      </c>
      <c r="K13" s="14">
        <v>0</v>
      </c>
      <c r="L13">
        <v>1984</v>
      </c>
      <c r="M13" s="2"/>
      <c r="N13">
        <v>12</v>
      </c>
      <c r="Q13">
        <v>40</v>
      </c>
      <c r="T13">
        <v>532</v>
      </c>
      <c r="W13">
        <v>151</v>
      </c>
      <c r="Z13">
        <v>70</v>
      </c>
      <c r="AC13">
        <v>147</v>
      </c>
      <c r="AF13">
        <v>275</v>
      </c>
      <c r="AI13">
        <v>0</v>
      </c>
      <c r="AL13">
        <v>0</v>
      </c>
      <c r="AO13" s="2"/>
      <c r="AP13" s="7">
        <v>1424</v>
      </c>
      <c r="AQ13" s="7">
        <v>0</v>
      </c>
      <c r="AR13" s="7">
        <v>0</v>
      </c>
      <c r="AS13" s="9">
        <v>1.3932584269662922</v>
      </c>
    </row>
    <row r="14" spans="1:16376">
      <c r="A14" t="s">
        <v>31</v>
      </c>
      <c r="B14" t="s">
        <v>32</v>
      </c>
      <c r="C14" t="s">
        <v>33</v>
      </c>
      <c r="D14">
        <v>129383</v>
      </c>
      <c r="E14">
        <v>129383</v>
      </c>
      <c r="G14" s="13" t="s">
        <v>42</v>
      </c>
      <c r="H14" t="s">
        <v>35</v>
      </c>
      <c r="I14" s="14">
        <v>982</v>
      </c>
      <c r="J14" s="14">
        <v>0</v>
      </c>
      <c r="K14" s="14">
        <v>0</v>
      </c>
      <c r="L14">
        <v>982</v>
      </c>
      <c r="M14" s="2"/>
      <c r="N14">
        <v>10</v>
      </c>
      <c r="Q14">
        <v>20</v>
      </c>
      <c r="T14">
        <v>500</v>
      </c>
      <c r="W14">
        <v>100</v>
      </c>
      <c r="Z14">
        <v>0</v>
      </c>
      <c r="AC14">
        <v>50</v>
      </c>
      <c r="AF14">
        <v>0</v>
      </c>
      <c r="AI14">
        <v>0</v>
      </c>
      <c r="AL14">
        <v>0</v>
      </c>
      <c r="AO14" s="2"/>
      <c r="AP14" s="7">
        <v>720</v>
      </c>
      <c r="AQ14" s="7">
        <v>0</v>
      </c>
      <c r="AR14" s="7">
        <v>0</v>
      </c>
      <c r="AS14" s="9">
        <v>1.3638888888888889</v>
      </c>
    </row>
    <row r="15" spans="1:16376">
      <c r="A15" t="s">
        <v>31</v>
      </c>
      <c r="B15" t="s">
        <v>32</v>
      </c>
      <c r="C15" t="s">
        <v>33</v>
      </c>
      <c r="D15">
        <v>129384</v>
      </c>
      <c r="E15">
        <v>129384</v>
      </c>
      <c r="G15" s="13" t="s">
        <v>43</v>
      </c>
      <c r="H15" t="s">
        <v>35</v>
      </c>
      <c r="I15" s="14">
        <v>126</v>
      </c>
      <c r="J15" s="14">
        <v>0</v>
      </c>
      <c r="K15" s="14">
        <v>0</v>
      </c>
      <c r="L15">
        <v>126</v>
      </c>
      <c r="M15" s="2"/>
      <c r="N15">
        <v>10</v>
      </c>
      <c r="Q15">
        <v>10</v>
      </c>
      <c r="T15">
        <v>3</v>
      </c>
      <c r="W15">
        <v>5</v>
      </c>
      <c r="Z15">
        <v>2</v>
      </c>
      <c r="AC15">
        <v>20</v>
      </c>
      <c r="AF15">
        <v>0</v>
      </c>
      <c r="AI15">
        <v>0</v>
      </c>
      <c r="AL15">
        <v>0</v>
      </c>
      <c r="AO15" s="2"/>
      <c r="AP15" s="7">
        <v>23</v>
      </c>
      <c r="AQ15" s="7">
        <v>0</v>
      </c>
      <c r="AR15" s="7">
        <v>0</v>
      </c>
      <c r="AS15" s="9">
        <v>5.4782608695652177</v>
      </c>
    </row>
    <row r="16" spans="1:16376">
      <c r="A16" t="s">
        <v>31</v>
      </c>
      <c r="B16" t="s">
        <v>32</v>
      </c>
      <c r="C16" t="s">
        <v>33</v>
      </c>
      <c r="D16">
        <v>129385</v>
      </c>
      <c r="E16">
        <v>129385</v>
      </c>
      <c r="G16" s="13" t="s">
        <v>44</v>
      </c>
      <c r="H16" t="s">
        <v>35</v>
      </c>
      <c r="I16" s="14">
        <v>806</v>
      </c>
      <c r="J16" s="14">
        <v>0</v>
      </c>
      <c r="K16" s="14">
        <v>0</v>
      </c>
      <c r="L16">
        <v>806</v>
      </c>
      <c r="M16" s="2"/>
      <c r="N16">
        <v>10</v>
      </c>
      <c r="Q16">
        <v>20</v>
      </c>
      <c r="T16">
        <v>150</v>
      </c>
      <c r="W16">
        <v>10</v>
      </c>
      <c r="Z16">
        <v>6</v>
      </c>
      <c r="AC16">
        <v>6</v>
      </c>
      <c r="AF16">
        <v>0</v>
      </c>
      <c r="AI16">
        <v>0</v>
      </c>
      <c r="AL16">
        <v>0</v>
      </c>
      <c r="AO16" s="2"/>
      <c r="AP16" s="7">
        <v>190</v>
      </c>
      <c r="AQ16" s="7">
        <v>0</v>
      </c>
      <c r="AR16" s="7">
        <v>0</v>
      </c>
      <c r="AS16" s="9">
        <v>4.242105263157895</v>
      </c>
    </row>
    <row r="17" spans="1:47">
      <c r="A17" t="s">
        <v>31</v>
      </c>
      <c r="B17" t="s">
        <v>32</v>
      </c>
      <c r="C17" t="s">
        <v>33</v>
      </c>
      <c r="D17">
        <v>129386</v>
      </c>
      <c r="E17">
        <v>129386</v>
      </c>
      <c r="G17" s="13" t="s">
        <v>45</v>
      </c>
      <c r="H17" t="s">
        <v>35</v>
      </c>
      <c r="I17" s="14">
        <v>146</v>
      </c>
      <c r="J17" s="14">
        <v>0</v>
      </c>
      <c r="K17" s="14">
        <v>0</v>
      </c>
      <c r="L17">
        <v>146</v>
      </c>
      <c r="M17" s="2"/>
      <c r="N17">
        <v>10</v>
      </c>
      <c r="Q17">
        <v>4</v>
      </c>
      <c r="T17">
        <v>50</v>
      </c>
      <c r="W17">
        <v>5</v>
      </c>
      <c r="Z17">
        <v>0</v>
      </c>
      <c r="AC17">
        <v>0</v>
      </c>
      <c r="AF17">
        <v>0</v>
      </c>
      <c r="AI17">
        <v>0</v>
      </c>
      <c r="AL17">
        <v>0</v>
      </c>
      <c r="AO17" s="2"/>
      <c r="AP17" s="7">
        <v>64</v>
      </c>
      <c r="AQ17" s="7">
        <v>0</v>
      </c>
      <c r="AR17" s="7">
        <v>0</v>
      </c>
      <c r="AS17" s="9">
        <v>2.28125</v>
      </c>
    </row>
    <row r="18" spans="1:47" ht="30">
      <c r="A18" t="s">
        <v>31</v>
      </c>
      <c r="B18" t="s">
        <v>32</v>
      </c>
      <c r="C18" t="s">
        <v>33</v>
      </c>
      <c r="D18">
        <v>205504</v>
      </c>
      <c r="E18">
        <v>205504</v>
      </c>
      <c r="G18" s="13" t="s">
        <v>46</v>
      </c>
      <c r="H18" t="s">
        <v>35</v>
      </c>
      <c r="I18" s="14">
        <v>975</v>
      </c>
      <c r="J18" s="14">
        <v>0</v>
      </c>
      <c r="K18" s="14">
        <v>0</v>
      </c>
      <c r="L18">
        <v>975</v>
      </c>
      <c r="M18" s="2"/>
      <c r="N18">
        <v>34</v>
      </c>
      <c r="Q18">
        <v>68</v>
      </c>
      <c r="T18">
        <v>335</v>
      </c>
      <c r="W18">
        <v>29</v>
      </c>
      <c r="Z18">
        <v>0</v>
      </c>
      <c r="AC18">
        <v>0</v>
      </c>
      <c r="AF18">
        <v>0</v>
      </c>
      <c r="AI18">
        <v>0</v>
      </c>
      <c r="AL18">
        <v>0</v>
      </c>
      <c r="AO18" s="2"/>
      <c r="AP18" s="7">
        <v>461</v>
      </c>
      <c r="AQ18" s="7">
        <v>0</v>
      </c>
      <c r="AR18" s="7">
        <v>0</v>
      </c>
      <c r="AS18" s="9">
        <v>2.1149674620390457</v>
      </c>
    </row>
    <row r="19" spans="1:47" ht="30">
      <c r="A19" t="s">
        <v>31</v>
      </c>
      <c r="B19" t="s">
        <v>32</v>
      </c>
      <c r="C19" t="s">
        <v>33</v>
      </c>
      <c r="D19">
        <v>304325</v>
      </c>
      <c r="E19">
        <v>304325</v>
      </c>
      <c r="G19" s="13" t="s">
        <v>47</v>
      </c>
      <c r="H19" t="s">
        <v>48</v>
      </c>
      <c r="I19" s="14">
        <v>0</v>
      </c>
      <c r="J19" s="14">
        <v>3471</v>
      </c>
      <c r="K19" s="14">
        <v>2000</v>
      </c>
      <c r="L19">
        <v>5471</v>
      </c>
      <c r="M19" s="2"/>
      <c r="O19">
        <v>0</v>
      </c>
      <c r="P19">
        <v>0</v>
      </c>
      <c r="R19">
        <v>0</v>
      </c>
      <c r="S19">
        <v>0</v>
      </c>
      <c r="U19" s="15">
        <v>1268.8722354231402</v>
      </c>
      <c r="V19" s="15">
        <v>731.12776457685982</v>
      </c>
      <c r="X19" s="15">
        <v>0</v>
      </c>
      <c r="Y19" s="15">
        <v>0</v>
      </c>
      <c r="AA19" s="15">
        <v>38.066167062694205</v>
      </c>
      <c r="AB19" s="15">
        <v>21.933832937305795</v>
      </c>
      <c r="AD19" s="15">
        <v>38.066167062694205</v>
      </c>
      <c r="AE19" s="15">
        <v>21.933832937305795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0</v>
      </c>
      <c r="AO19" s="2"/>
      <c r="AP19" s="7">
        <v>0</v>
      </c>
      <c r="AQ19" s="7">
        <v>1268.8722354231402</v>
      </c>
      <c r="AR19" s="7">
        <v>731.12776457685982</v>
      </c>
      <c r="AT19" s="9">
        <v>2.7355</v>
      </c>
      <c r="AU19" s="9">
        <v>2.7355</v>
      </c>
    </row>
    <row r="20" spans="1:47">
      <c r="A20" t="s">
        <v>31</v>
      </c>
      <c r="B20" t="s">
        <v>32</v>
      </c>
      <c r="C20" t="s">
        <v>33</v>
      </c>
      <c r="D20">
        <v>304326</v>
      </c>
      <c r="E20">
        <v>304326</v>
      </c>
      <c r="G20" s="13" t="s">
        <v>49</v>
      </c>
      <c r="H20" t="s">
        <v>48</v>
      </c>
      <c r="I20" s="14">
        <v>0</v>
      </c>
      <c r="J20" s="14">
        <v>705</v>
      </c>
      <c r="K20" s="14">
        <v>562</v>
      </c>
      <c r="L20">
        <v>1267</v>
      </c>
      <c r="M20" s="2"/>
      <c r="O20">
        <v>0</v>
      </c>
      <c r="P20">
        <v>0</v>
      </c>
      <c r="R20">
        <v>0</v>
      </c>
      <c r="S20">
        <v>0</v>
      </c>
      <c r="U20" s="15">
        <v>629.32517758484607</v>
      </c>
      <c r="V20" s="15">
        <v>501.67482241515387</v>
      </c>
      <c r="X20" s="15">
        <v>11.128650355169691</v>
      </c>
      <c r="Y20" s="15">
        <v>8.8713496448303069</v>
      </c>
      <c r="AA20" s="15">
        <v>12.797947908445146</v>
      </c>
      <c r="AB20" s="15">
        <v>10.202052091554854</v>
      </c>
      <c r="AD20" s="15">
        <v>166.92975532754537</v>
      </c>
      <c r="AE20" s="15">
        <v>133.07024467245461</v>
      </c>
      <c r="AG20">
        <v>0</v>
      </c>
      <c r="AH20">
        <v>0</v>
      </c>
      <c r="AJ20">
        <v>300</v>
      </c>
      <c r="AK20">
        <v>0</v>
      </c>
      <c r="AM20">
        <v>0</v>
      </c>
      <c r="AN20">
        <v>0</v>
      </c>
      <c r="AO20" s="2"/>
      <c r="AP20" s="7">
        <v>0</v>
      </c>
      <c r="AQ20" s="7">
        <v>1251.5824782951854</v>
      </c>
      <c r="AR20" s="7">
        <v>519.41752170481448</v>
      </c>
      <c r="AT20" s="9">
        <v>0.56328688857988785</v>
      </c>
      <c r="AU20" s="9">
        <v>1.0819812126387705</v>
      </c>
    </row>
    <row r="21" spans="1:47">
      <c r="A21" t="s">
        <v>31</v>
      </c>
      <c r="B21" t="s">
        <v>32</v>
      </c>
      <c r="C21" t="s">
        <v>33</v>
      </c>
      <c r="D21">
        <v>325104</v>
      </c>
      <c r="E21">
        <v>325104</v>
      </c>
      <c r="G21" s="13" t="s">
        <v>50</v>
      </c>
      <c r="H21" t="s">
        <v>48</v>
      </c>
      <c r="I21" s="14">
        <v>0</v>
      </c>
      <c r="J21" s="14">
        <v>642</v>
      </c>
      <c r="K21" s="14">
        <v>263</v>
      </c>
      <c r="L21">
        <v>905</v>
      </c>
      <c r="M21" s="2"/>
      <c r="O21">
        <v>0</v>
      </c>
      <c r="P21">
        <v>0</v>
      </c>
      <c r="R21">
        <v>0</v>
      </c>
      <c r="S21">
        <v>0</v>
      </c>
      <c r="U21" s="15">
        <v>519.98453038674029</v>
      </c>
      <c r="V21" s="15">
        <v>213.01546961325965</v>
      </c>
      <c r="X21" s="15">
        <v>0</v>
      </c>
      <c r="Y21" s="15">
        <v>0</v>
      </c>
      <c r="AA21" s="15">
        <v>5.6751381215469614</v>
      </c>
      <c r="AB21" s="15">
        <v>2.3248618784530386</v>
      </c>
      <c r="AD21" s="15">
        <v>0</v>
      </c>
      <c r="AE21" s="15">
        <v>0</v>
      </c>
      <c r="AG21">
        <v>0</v>
      </c>
      <c r="AH21">
        <v>0</v>
      </c>
      <c r="AJ21">
        <v>0</v>
      </c>
      <c r="AK21">
        <v>0</v>
      </c>
      <c r="AM21">
        <v>0</v>
      </c>
      <c r="AN21">
        <v>92</v>
      </c>
      <c r="AO21" s="2"/>
      <c r="AP21" s="7">
        <v>0</v>
      </c>
      <c r="AQ21" s="7">
        <v>519.98453038674029</v>
      </c>
      <c r="AR21" s="7">
        <v>397.01546961325965</v>
      </c>
      <c r="AT21" s="9">
        <v>1.2346521145975444</v>
      </c>
      <c r="AU21" s="9">
        <v>0.6624427009259698</v>
      </c>
    </row>
    <row r="22" spans="1:47">
      <c r="A22" t="s">
        <v>31</v>
      </c>
      <c r="B22" t="s">
        <v>32</v>
      </c>
      <c r="C22" t="s">
        <v>33</v>
      </c>
      <c r="D22">
        <v>500454</v>
      </c>
      <c r="E22">
        <v>500454</v>
      </c>
      <c r="G22" s="13" t="s">
        <v>51</v>
      </c>
      <c r="H22" t="s">
        <v>52</v>
      </c>
      <c r="I22" s="14">
        <v>233</v>
      </c>
      <c r="J22" s="14">
        <v>86</v>
      </c>
      <c r="K22" s="14">
        <v>38</v>
      </c>
      <c r="L22">
        <v>357</v>
      </c>
      <c r="M22" s="2"/>
      <c r="N22">
        <v>10</v>
      </c>
      <c r="Q22">
        <v>20</v>
      </c>
      <c r="T22">
        <v>35</v>
      </c>
      <c r="U22" s="15">
        <v>24.2741935483871</v>
      </c>
      <c r="V22" s="15">
        <v>10.725806451612904</v>
      </c>
      <c r="W22">
        <v>50</v>
      </c>
      <c r="X22" s="15">
        <v>34.677419354838712</v>
      </c>
      <c r="Y22" s="15">
        <v>15.32258064516129</v>
      </c>
      <c r="Z22">
        <v>6</v>
      </c>
      <c r="AA22" s="15">
        <v>4.1612903225806459</v>
      </c>
      <c r="AB22" s="15">
        <v>1.838709677419355</v>
      </c>
      <c r="AC22">
        <v>21</v>
      </c>
      <c r="AD22" s="15">
        <v>14.56451612903226</v>
      </c>
      <c r="AE22" s="15">
        <v>6.435483870967742</v>
      </c>
      <c r="AF22">
        <v>0</v>
      </c>
      <c r="AJ22">
        <v>0</v>
      </c>
      <c r="AN22">
        <v>0</v>
      </c>
      <c r="AO22" s="2"/>
      <c r="AP22" s="7">
        <v>155</v>
      </c>
      <c r="AQ22" s="7">
        <v>93.629032258064512</v>
      </c>
      <c r="AR22" s="7">
        <v>41.37096774193548</v>
      </c>
      <c r="AS22" s="9">
        <v>1.5032258064516129</v>
      </c>
      <c r="AT22" s="9">
        <v>0.91851851851851851</v>
      </c>
      <c r="AU22" s="9">
        <v>0.91851851851851862</v>
      </c>
    </row>
    <row r="23" spans="1:47">
      <c r="A23" t="s">
        <v>31</v>
      </c>
      <c r="B23" t="s">
        <v>32</v>
      </c>
      <c r="C23" t="s">
        <v>33</v>
      </c>
      <c r="D23">
        <v>501424</v>
      </c>
      <c r="E23">
        <v>501424</v>
      </c>
      <c r="G23" s="13" t="s">
        <v>53</v>
      </c>
      <c r="H23" t="s">
        <v>52</v>
      </c>
      <c r="I23" s="14">
        <v>316</v>
      </c>
      <c r="J23" s="14">
        <v>136</v>
      </c>
      <c r="K23" s="14">
        <v>12</v>
      </c>
      <c r="L23">
        <v>464</v>
      </c>
      <c r="M23" s="2"/>
      <c r="N23">
        <v>0</v>
      </c>
      <c r="Q23">
        <v>0</v>
      </c>
      <c r="T23">
        <v>50</v>
      </c>
      <c r="U23" s="15">
        <v>55.135135135135137</v>
      </c>
      <c r="V23" s="15">
        <v>4.8648648648648649</v>
      </c>
      <c r="W23">
        <v>0</v>
      </c>
      <c r="X23" s="15">
        <v>0</v>
      </c>
      <c r="Y23" s="15">
        <v>0</v>
      </c>
      <c r="Z23">
        <v>22</v>
      </c>
      <c r="AA23" s="15">
        <v>0</v>
      </c>
      <c r="AB23" s="15">
        <v>0</v>
      </c>
      <c r="AC23">
        <v>44</v>
      </c>
      <c r="AD23" s="15">
        <v>0</v>
      </c>
      <c r="AE23" s="15">
        <v>0</v>
      </c>
      <c r="AF23">
        <v>0</v>
      </c>
      <c r="AJ23">
        <v>0</v>
      </c>
      <c r="AN23">
        <v>0</v>
      </c>
      <c r="AO23" s="2"/>
      <c r="AP23" s="7">
        <v>50</v>
      </c>
      <c r="AQ23" s="7">
        <v>55.135135135135137</v>
      </c>
      <c r="AR23" s="7">
        <v>4.8648648648648649</v>
      </c>
      <c r="AS23" s="9">
        <v>6.32</v>
      </c>
      <c r="AT23" s="9">
        <v>2.4666666666666668</v>
      </c>
      <c r="AU23" s="9">
        <v>2.4666666666666668</v>
      </c>
    </row>
    <row r="24" spans="1:47">
      <c r="A24" t="s">
        <v>31</v>
      </c>
      <c r="B24" t="s">
        <v>32</v>
      </c>
      <c r="C24" t="s">
        <v>54</v>
      </c>
      <c r="D24">
        <v>101813</v>
      </c>
      <c r="E24">
        <v>101813</v>
      </c>
      <c r="G24" s="13" t="s">
        <v>55</v>
      </c>
      <c r="H24" t="s">
        <v>35</v>
      </c>
      <c r="I24" s="14">
        <v>119</v>
      </c>
      <c r="J24" s="14">
        <v>0</v>
      </c>
      <c r="K24" s="14">
        <v>0</v>
      </c>
      <c r="L24">
        <v>119</v>
      </c>
      <c r="M24" s="2"/>
      <c r="N24">
        <v>0</v>
      </c>
      <c r="Q24">
        <v>0</v>
      </c>
      <c r="T24">
        <v>55</v>
      </c>
      <c r="W24">
        <v>30</v>
      </c>
      <c r="Z24">
        <v>0</v>
      </c>
      <c r="AC24">
        <v>0</v>
      </c>
      <c r="AF24">
        <v>0</v>
      </c>
      <c r="AI24">
        <v>0</v>
      </c>
      <c r="AL24">
        <v>0</v>
      </c>
      <c r="AO24" s="2"/>
      <c r="AP24" s="7">
        <v>115</v>
      </c>
      <c r="AQ24" s="7">
        <v>0</v>
      </c>
      <c r="AR24" s="7">
        <v>0</v>
      </c>
      <c r="AS24" s="9">
        <v>1.0347826086956522</v>
      </c>
    </row>
    <row r="25" spans="1:47">
      <c r="A25" t="s">
        <v>31</v>
      </c>
      <c r="B25" t="s">
        <v>32</v>
      </c>
      <c r="C25" t="s">
        <v>54</v>
      </c>
      <c r="D25">
        <v>129387</v>
      </c>
      <c r="E25">
        <v>129387</v>
      </c>
      <c r="G25" s="13" t="s">
        <v>56</v>
      </c>
      <c r="H25" t="s">
        <v>35</v>
      </c>
      <c r="I25" s="14">
        <v>232</v>
      </c>
      <c r="J25" s="14">
        <v>0</v>
      </c>
      <c r="K25" s="14">
        <v>0</v>
      </c>
      <c r="L25">
        <v>232</v>
      </c>
      <c r="M25" s="2"/>
      <c r="N25">
        <v>10</v>
      </c>
      <c r="Q25">
        <v>15</v>
      </c>
      <c r="T25">
        <v>45</v>
      </c>
      <c r="W25">
        <v>45</v>
      </c>
      <c r="Z25">
        <v>15</v>
      </c>
      <c r="AC25">
        <v>15</v>
      </c>
      <c r="AF25">
        <v>0</v>
      </c>
      <c r="AI25">
        <v>0</v>
      </c>
      <c r="AL25">
        <v>0</v>
      </c>
      <c r="AO25" s="2"/>
      <c r="AP25" s="7">
        <v>150</v>
      </c>
      <c r="AQ25" s="7">
        <v>0</v>
      </c>
      <c r="AR25" s="7">
        <v>0</v>
      </c>
      <c r="AS25" s="9">
        <v>1.5466666666666666</v>
      </c>
    </row>
    <row r="26" spans="1:47">
      <c r="A26" t="s">
        <v>31</v>
      </c>
      <c r="B26" t="s">
        <v>32</v>
      </c>
      <c r="C26" t="s">
        <v>54</v>
      </c>
      <c r="D26">
        <v>129388</v>
      </c>
      <c r="E26">
        <v>129388</v>
      </c>
      <c r="G26" s="13" t="s">
        <v>57</v>
      </c>
      <c r="H26" t="s">
        <v>35</v>
      </c>
      <c r="I26" s="14">
        <v>370</v>
      </c>
      <c r="J26" s="14">
        <v>0</v>
      </c>
      <c r="K26" s="14">
        <v>0</v>
      </c>
      <c r="L26">
        <v>370</v>
      </c>
      <c r="M26" s="2"/>
      <c r="N26">
        <v>0</v>
      </c>
      <c r="Q26">
        <v>0</v>
      </c>
      <c r="T26">
        <v>165</v>
      </c>
      <c r="W26">
        <v>27</v>
      </c>
      <c r="Z26">
        <v>5</v>
      </c>
      <c r="AC26">
        <v>5</v>
      </c>
      <c r="AF26">
        <v>0</v>
      </c>
      <c r="AI26">
        <v>0</v>
      </c>
      <c r="AL26">
        <v>0</v>
      </c>
      <c r="AO26" s="2"/>
      <c r="AP26" s="7">
        <v>219</v>
      </c>
      <c r="AQ26" s="7">
        <v>0</v>
      </c>
      <c r="AR26" s="7">
        <v>0</v>
      </c>
      <c r="AS26" s="9">
        <v>1.6894977168949772</v>
      </c>
    </row>
    <row r="27" spans="1:47">
      <c r="A27" t="s">
        <v>31</v>
      </c>
      <c r="B27" t="s">
        <v>32</v>
      </c>
      <c r="C27" t="s">
        <v>54</v>
      </c>
      <c r="D27">
        <v>129389</v>
      </c>
      <c r="E27">
        <v>129389</v>
      </c>
      <c r="G27" s="13" t="s">
        <v>58</v>
      </c>
      <c r="H27" t="s">
        <v>35</v>
      </c>
      <c r="I27" s="14">
        <v>851</v>
      </c>
      <c r="J27" s="14">
        <v>0</v>
      </c>
      <c r="K27" s="14">
        <v>0</v>
      </c>
      <c r="L27">
        <v>851</v>
      </c>
      <c r="M27" s="2"/>
      <c r="N27">
        <v>0</v>
      </c>
      <c r="Q27">
        <v>0</v>
      </c>
      <c r="T27">
        <v>100</v>
      </c>
      <c r="W27">
        <v>5</v>
      </c>
      <c r="Z27">
        <v>50</v>
      </c>
      <c r="AC27">
        <v>60</v>
      </c>
      <c r="AF27">
        <v>0</v>
      </c>
      <c r="AI27">
        <v>0</v>
      </c>
      <c r="AL27">
        <v>0</v>
      </c>
      <c r="AO27" s="2"/>
      <c r="AP27" s="7">
        <v>110</v>
      </c>
      <c r="AQ27" s="7">
        <v>0</v>
      </c>
      <c r="AR27" s="7">
        <v>0</v>
      </c>
      <c r="AS27" s="9">
        <v>7.7363636363636363</v>
      </c>
    </row>
    <row r="28" spans="1:47">
      <c r="A28" t="s">
        <v>31</v>
      </c>
      <c r="B28" t="s">
        <v>32</v>
      </c>
      <c r="C28" t="s">
        <v>54</v>
      </c>
      <c r="D28">
        <v>129390</v>
      </c>
      <c r="E28">
        <v>129390</v>
      </c>
      <c r="G28" s="13" t="s">
        <v>59</v>
      </c>
      <c r="H28" t="s">
        <v>35</v>
      </c>
      <c r="I28" s="14">
        <v>719</v>
      </c>
      <c r="J28" s="14">
        <v>0</v>
      </c>
      <c r="K28" s="14">
        <v>0</v>
      </c>
      <c r="L28">
        <v>719</v>
      </c>
      <c r="M28" s="2"/>
      <c r="N28">
        <v>5</v>
      </c>
      <c r="Q28">
        <v>30</v>
      </c>
      <c r="T28">
        <v>30</v>
      </c>
      <c r="W28">
        <v>25</v>
      </c>
      <c r="Z28">
        <v>80</v>
      </c>
      <c r="AC28">
        <v>120</v>
      </c>
      <c r="AF28">
        <v>0</v>
      </c>
      <c r="AI28">
        <v>0</v>
      </c>
      <c r="AL28">
        <v>0</v>
      </c>
      <c r="AO28" s="2"/>
      <c r="AP28" s="7">
        <v>110</v>
      </c>
      <c r="AQ28" s="7">
        <v>0</v>
      </c>
      <c r="AR28" s="7">
        <v>0</v>
      </c>
      <c r="AS28" s="9">
        <v>6.5363636363636362</v>
      </c>
    </row>
    <row r="29" spans="1:47">
      <c r="A29" t="s">
        <v>31</v>
      </c>
      <c r="B29" t="s">
        <v>32</v>
      </c>
      <c r="C29" t="s">
        <v>54</v>
      </c>
      <c r="D29">
        <v>129391</v>
      </c>
      <c r="E29">
        <v>129391</v>
      </c>
      <c r="G29" s="13" t="s">
        <v>60</v>
      </c>
      <c r="H29" t="s">
        <v>35</v>
      </c>
      <c r="I29" s="14">
        <v>285</v>
      </c>
      <c r="J29" s="14">
        <v>0</v>
      </c>
      <c r="K29" s="14">
        <v>0</v>
      </c>
      <c r="L29">
        <v>285</v>
      </c>
      <c r="M29" s="2"/>
      <c r="N29">
        <v>10</v>
      </c>
      <c r="Q29">
        <v>30</v>
      </c>
      <c r="T29">
        <v>108</v>
      </c>
      <c r="W29">
        <v>28</v>
      </c>
      <c r="Z29">
        <v>2</v>
      </c>
      <c r="AC29">
        <v>2</v>
      </c>
      <c r="AF29">
        <v>0</v>
      </c>
      <c r="AI29">
        <v>0</v>
      </c>
      <c r="AL29">
        <v>0</v>
      </c>
      <c r="AO29" s="2"/>
      <c r="AP29" s="7">
        <v>194</v>
      </c>
      <c r="AQ29" s="7">
        <v>0</v>
      </c>
      <c r="AR29" s="7">
        <v>0</v>
      </c>
      <c r="AS29" s="9">
        <v>1.4690721649484537</v>
      </c>
    </row>
    <row r="30" spans="1:47">
      <c r="A30" t="s">
        <v>31</v>
      </c>
      <c r="B30" t="s">
        <v>32</v>
      </c>
      <c r="C30" t="s">
        <v>54</v>
      </c>
      <c r="D30">
        <v>129392</v>
      </c>
      <c r="E30">
        <v>129392</v>
      </c>
      <c r="G30" s="13" t="s">
        <v>61</v>
      </c>
      <c r="H30" t="s">
        <v>35</v>
      </c>
      <c r="I30" s="14">
        <v>349</v>
      </c>
      <c r="J30" s="14">
        <v>0</v>
      </c>
      <c r="K30" s="14">
        <v>0</v>
      </c>
      <c r="L30">
        <v>349</v>
      </c>
      <c r="M30" s="2"/>
      <c r="N30">
        <v>10</v>
      </c>
      <c r="Q30">
        <v>30</v>
      </c>
      <c r="T30">
        <v>219</v>
      </c>
      <c r="W30">
        <v>9</v>
      </c>
      <c r="Z30">
        <v>31</v>
      </c>
      <c r="AC30">
        <v>26</v>
      </c>
      <c r="AF30">
        <v>0</v>
      </c>
      <c r="AI30">
        <v>0</v>
      </c>
      <c r="AL30">
        <v>0</v>
      </c>
      <c r="AO30" s="2"/>
      <c r="AP30" s="7">
        <v>267</v>
      </c>
      <c r="AQ30" s="7">
        <v>0</v>
      </c>
      <c r="AR30" s="7">
        <v>0</v>
      </c>
      <c r="AS30" s="9">
        <v>1.3071161048689139</v>
      </c>
    </row>
    <row r="31" spans="1:47">
      <c r="A31" t="s">
        <v>31</v>
      </c>
      <c r="B31" t="s">
        <v>32</v>
      </c>
      <c r="C31" t="s">
        <v>54</v>
      </c>
      <c r="D31">
        <v>129393</v>
      </c>
      <c r="E31">
        <v>129393</v>
      </c>
      <c r="G31" s="13" t="s">
        <v>62</v>
      </c>
      <c r="H31" t="s">
        <v>35</v>
      </c>
      <c r="I31" s="14">
        <v>79</v>
      </c>
      <c r="J31" s="14">
        <v>0</v>
      </c>
      <c r="K31" s="14">
        <v>0</v>
      </c>
      <c r="L31">
        <v>79</v>
      </c>
      <c r="M31" s="2"/>
      <c r="N31">
        <v>0</v>
      </c>
      <c r="Q31">
        <v>0</v>
      </c>
      <c r="T31">
        <v>0</v>
      </c>
      <c r="W31">
        <v>0</v>
      </c>
      <c r="Z31">
        <v>6</v>
      </c>
      <c r="AC31">
        <v>30</v>
      </c>
      <c r="AF31">
        <v>0</v>
      </c>
      <c r="AI31">
        <v>0</v>
      </c>
      <c r="AL31">
        <v>0</v>
      </c>
      <c r="AO31" s="2"/>
      <c r="AP31" s="7">
        <v>0</v>
      </c>
      <c r="AQ31" s="7">
        <v>0</v>
      </c>
      <c r="AR31" s="7">
        <v>0</v>
      </c>
      <c r="AS31" s="9" t="e">
        <v>#DIV/0!</v>
      </c>
    </row>
    <row r="32" spans="1:47" ht="30">
      <c r="A32" t="s">
        <v>31</v>
      </c>
      <c r="B32" t="s">
        <v>32</v>
      </c>
      <c r="C32" t="s">
        <v>54</v>
      </c>
      <c r="D32">
        <v>129394</v>
      </c>
      <c r="E32">
        <v>129394</v>
      </c>
      <c r="G32" s="13" t="s">
        <v>63</v>
      </c>
      <c r="H32" t="s">
        <v>35</v>
      </c>
      <c r="I32" s="14">
        <v>127</v>
      </c>
      <c r="J32" s="14">
        <v>0</v>
      </c>
      <c r="K32" s="14">
        <v>0</v>
      </c>
      <c r="L32">
        <v>127</v>
      </c>
      <c r="M32" s="2"/>
      <c r="N32">
        <v>0</v>
      </c>
      <c r="Q32">
        <v>0</v>
      </c>
      <c r="T32">
        <v>0</v>
      </c>
      <c r="W32">
        <v>10</v>
      </c>
      <c r="Z32">
        <v>0</v>
      </c>
      <c r="AC32">
        <v>0</v>
      </c>
      <c r="AF32">
        <v>0</v>
      </c>
      <c r="AI32">
        <v>0</v>
      </c>
      <c r="AL32">
        <v>0</v>
      </c>
      <c r="AO32" s="2"/>
      <c r="AP32" s="7">
        <v>20</v>
      </c>
      <c r="AQ32" s="7">
        <v>0</v>
      </c>
      <c r="AR32" s="7">
        <v>0</v>
      </c>
      <c r="AS32" s="9">
        <v>6.35</v>
      </c>
    </row>
    <row r="33" spans="1:45">
      <c r="A33" t="s">
        <v>31</v>
      </c>
      <c r="B33" t="s">
        <v>32</v>
      </c>
      <c r="C33" t="s">
        <v>54</v>
      </c>
      <c r="D33">
        <v>129395</v>
      </c>
      <c r="E33">
        <v>129395</v>
      </c>
      <c r="G33" s="13" t="s">
        <v>64</v>
      </c>
      <c r="H33" t="s">
        <v>35</v>
      </c>
      <c r="I33" s="14">
        <v>773</v>
      </c>
      <c r="J33" s="14">
        <v>0</v>
      </c>
      <c r="K33" s="14">
        <v>0</v>
      </c>
      <c r="L33">
        <v>773</v>
      </c>
      <c r="M33" s="2"/>
      <c r="N33">
        <v>7</v>
      </c>
      <c r="Q33">
        <v>30</v>
      </c>
      <c r="T33">
        <v>476</v>
      </c>
      <c r="W33">
        <v>15</v>
      </c>
      <c r="Z33">
        <v>25</v>
      </c>
      <c r="AC33">
        <v>42</v>
      </c>
      <c r="AF33">
        <v>0</v>
      </c>
      <c r="AI33">
        <v>0</v>
      </c>
      <c r="AL33">
        <v>0</v>
      </c>
      <c r="AO33" s="2"/>
      <c r="AP33" s="7">
        <v>536</v>
      </c>
      <c r="AQ33" s="7">
        <v>0</v>
      </c>
      <c r="AR33" s="7">
        <v>0</v>
      </c>
      <c r="AS33" s="9">
        <v>1.4421641791044777</v>
      </c>
    </row>
    <row r="34" spans="1:45">
      <c r="A34" t="s">
        <v>31</v>
      </c>
      <c r="B34" t="s">
        <v>32</v>
      </c>
      <c r="C34" t="s">
        <v>54</v>
      </c>
      <c r="D34">
        <v>129396</v>
      </c>
      <c r="E34">
        <v>129396</v>
      </c>
      <c r="G34" s="13" t="s">
        <v>65</v>
      </c>
      <c r="H34" t="s">
        <v>35</v>
      </c>
      <c r="I34" s="14">
        <v>541</v>
      </c>
      <c r="J34" s="14">
        <v>0</v>
      </c>
      <c r="K34" s="14">
        <v>0</v>
      </c>
      <c r="L34">
        <v>541</v>
      </c>
      <c r="M34" s="2"/>
      <c r="N34">
        <v>10</v>
      </c>
      <c r="Q34">
        <v>30</v>
      </c>
      <c r="T34">
        <v>150</v>
      </c>
      <c r="W34">
        <v>50</v>
      </c>
      <c r="Z34">
        <v>0</v>
      </c>
      <c r="AC34">
        <v>0</v>
      </c>
      <c r="AF34">
        <v>174</v>
      </c>
      <c r="AI34">
        <v>0</v>
      </c>
      <c r="AL34">
        <v>0</v>
      </c>
      <c r="AO34" s="2"/>
      <c r="AP34" s="7">
        <v>628</v>
      </c>
      <c r="AQ34" s="7">
        <v>0</v>
      </c>
      <c r="AR34" s="7">
        <v>0</v>
      </c>
      <c r="AS34" s="9">
        <v>0.86146496815286622</v>
      </c>
    </row>
    <row r="35" spans="1:45">
      <c r="A35" t="s">
        <v>31</v>
      </c>
      <c r="B35" t="s">
        <v>32</v>
      </c>
      <c r="C35" t="s">
        <v>54</v>
      </c>
      <c r="D35">
        <v>129397</v>
      </c>
      <c r="E35">
        <v>129397</v>
      </c>
      <c r="G35" s="13" t="s">
        <v>66</v>
      </c>
      <c r="H35" t="s">
        <v>35</v>
      </c>
      <c r="I35" s="14">
        <v>179</v>
      </c>
      <c r="J35" s="14">
        <v>0</v>
      </c>
      <c r="K35" s="14">
        <v>0</v>
      </c>
      <c r="L35">
        <v>179</v>
      </c>
      <c r="M35" s="2"/>
      <c r="N35">
        <v>0</v>
      </c>
      <c r="Q35">
        <v>0</v>
      </c>
      <c r="T35">
        <v>3</v>
      </c>
      <c r="W35">
        <v>3</v>
      </c>
      <c r="Z35">
        <v>1</v>
      </c>
      <c r="AC35">
        <v>0</v>
      </c>
      <c r="AF35">
        <v>0</v>
      </c>
      <c r="AI35">
        <v>0</v>
      </c>
      <c r="AL35">
        <v>0</v>
      </c>
      <c r="AO35" s="2"/>
      <c r="AP35" s="7">
        <v>9</v>
      </c>
      <c r="AQ35" s="7">
        <v>0</v>
      </c>
      <c r="AR35" s="7">
        <v>0</v>
      </c>
      <c r="AS35" s="9">
        <v>19.888888888888889</v>
      </c>
    </row>
    <row r="36" spans="1:45">
      <c r="A36" t="s">
        <v>31</v>
      </c>
      <c r="B36" t="s">
        <v>32</v>
      </c>
      <c r="C36" t="s">
        <v>54</v>
      </c>
      <c r="D36">
        <v>129398</v>
      </c>
      <c r="E36">
        <v>129398</v>
      </c>
      <c r="G36" s="13" t="s">
        <v>67</v>
      </c>
      <c r="H36" t="s">
        <v>35</v>
      </c>
      <c r="I36" s="14">
        <v>591</v>
      </c>
      <c r="J36" s="14">
        <v>0</v>
      </c>
      <c r="K36" s="14">
        <v>0</v>
      </c>
      <c r="L36">
        <v>591</v>
      </c>
      <c r="M36" s="2"/>
      <c r="N36">
        <v>10</v>
      </c>
      <c r="Q36">
        <v>30</v>
      </c>
      <c r="T36">
        <v>64</v>
      </c>
      <c r="W36">
        <v>24</v>
      </c>
      <c r="Z36">
        <v>12</v>
      </c>
      <c r="AC36">
        <v>4</v>
      </c>
      <c r="AF36">
        <v>0</v>
      </c>
      <c r="AI36">
        <v>0</v>
      </c>
      <c r="AL36">
        <v>0</v>
      </c>
      <c r="AO36" s="2"/>
      <c r="AP36" s="7">
        <v>142</v>
      </c>
      <c r="AQ36" s="7">
        <v>0</v>
      </c>
      <c r="AR36" s="7">
        <v>0</v>
      </c>
      <c r="AS36" s="9">
        <v>4.1619718309859151</v>
      </c>
    </row>
    <row r="37" spans="1:45">
      <c r="A37" t="s">
        <v>31</v>
      </c>
      <c r="B37" t="s">
        <v>32</v>
      </c>
      <c r="C37" t="s">
        <v>54</v>
      </c>
      <c r="D37">
        <v>129399</v>
      </c>
      <c r="E37">
        <v>129399</v>
      </c>
      <c r="G37" s="13" t="s">
        <v>68</v>
      </c>
      <c r="H37" t="s">
        <v>35</v>
      </c>
      <c r="I37" s="14">
        <v>611</v>
      </c>
      <c r="J37" s="14">
        <v>0</v>
      </c>
      <c r="K37" s="14">
        <v>0</v>
      </c>
      <c r="L37">
        <v>611</v>
      </c>
      <c r="M37" s="2"/>
      <c r="N37">
        <v>5</v>
      </c>
      <c r="Q37">
        <v>25</v>
      </c>
      <c r="T37">
        <v>379</v>
      </c>
      <c r="W37">
        <v>54</v>
      </c>
      <c r="Z37">
        <v>0</v>
      </c>
      <c r="AC37">
        <v>0</v>
      </c>
      <c r="AF37">
        <v>13</v>
      </c>
      <c r="AI37">
        <v>0</v>
      </c>
      <c r="AL37">
        <v>0</v>
      </c>
      <c r="AO37" s="2"/>
      <c r="AP37" s="7">
        <v>538</v>
      </c>
      <c r="AQ37" s="7">
        <v>0</v>
      </c>
      <c r="AR37" s="7">
        <v>0</v>
      </c>
      <c r="AS37" s="9">
        <v>1.1356877323420074</v>
      </c>
    </row>
    <row r="38" spans="1:45">
      <c r="A38" t="s">
        <v>31</v>
      </c>
      <c r="B38" t="s">
        <v>32</v>
      </c>
      <c r="C38" t="s">
        <v>54</v>
      </c>
      <c r="D38">
        <v>129400</v>
      </c>
      <c r="E38">
        <v>129400</v>
      </c>
      <c r="G38" s="13" t="s">
        <v>69</v>
      </c>
      <c r="H38" t="s">
        <v>35</v>
      </c>
      <c r="I38" s="14">
        <v>1411</v>
      </c>
      <c r="J38" s="14">
        <v>0</v>
      </c>
      <c r="K38" s="14">
        <v>0</v>
      </c>
      <c r="L38">
        <v>1411</v>
      </c>
      <c r="M38" s="2"/>
      <c r="N38">
        <v>9</v>
      </c>
      <c r="Q38">
        <v>57</v>
      </c>
      <c r="T38">
        <v>400</v>
      </c>
      <c r="W38">
        <v>102</v>
      </c>
      <c r="Z38">
        <v>0</v>
      </c>
      <c r="AC38">
        <v>0</v>
      </c>
      <c r="AF38">
        <v>95</v>
      </c>
      <c r="AI38">
        <v>0</v>
      </c>
      <c r="AL38">
        <v>0</v>
      </c>
      <c r="AO38" s="2"/>
      <c r="AP38" s="7">
        <v>851</v>
      </c>
      <c r="AQ38" s="7">
        <v>0</v>
      </c>
      <c r="AR38" s="7">
        <v>0</v>
      </c>
      <c r="AS38" s="9">
        <v>1.6580493537015275</v>
      </c>
    </row>
    <row r="39" spans="1:45">
      <c r="A39" t="s">
        <v>31</v>
      </c>
      <c r="B39" t="s">
        <v>32</v>
      </c>
      <c r="C39" t="s">
        <v>54</v>
      </c>
      <c r="D39">
        <v>129401</v>
      </c>
      <c r="E39">
        <v>129401</v>
      </c>
      <c r="G39" s="13" t="s">
        <v>70</v>
      </c>
      <c r="H39" t="s">
        <v>35</v>
      </c>
      <c r="I39" s="14">
        <v>220</v>
      </c>
      <c r="J39" s="14">
        <v>0</v>
      </c>
      <c r="K39" s="14">
        <v>0</v>
      </c>
      <c r="L39">
        <v>220</v>
      </c>
      <c r="M39" s="2"/>
      <c r="N39">
        <v>10</v>
      </c>
      <c r="Q39">
        <v>25</v>
      </c>
      <c r="T39">
        <v>20</v>
      </c>
      <c r="W39">
        <v>20</v>
      </c>
      <c r="Z39">
        <v>3</v>
      </c>
      <c r="AC39">
        <v>3</v>
      </c>
      <c r="AF39">
        <v>0</v>
      </c>
      <c r="AI39">
        <v>0</v>
      </c>
      <c r="AL39">
        <v>0</v>
      </c>
      <c r="AO39" s="2"/>
      <c r="AP39" s="7">
        <v>85</v>
      </c>
      <c r="AQ39" s="7">
        <v>0</v>
      </c>
      <c r="AR39" s="7">
        <v>0</v>
      </c>
      <c r="AS39" s="9">
        <v>2.5882352941176472</v>
      </c>
    </row>
    <row r="40" spans="1:45">
      <c r="A40" t="s">
        <v>31</v>
      </c>
      <c r="B40" t="s">
        <v>32</v>
      </c>
      <c r="C40" t="s">
        <v>54</v>
      </c>
      <c r="D40">
        <v>129402</v>
      </c>
      <c r="E40">
        <v>129402</v>
      </c>
      <c r="G40" s="13" t="s">
        <v>71</v>
      </c>
      <c r="H40" t="s">
        <v>35</v>
      </c>
      <c r="I40" s="14">
        <v>88</v>
      </c>
      <c r="J40" s="14">
        <v>0</v>
      </c>
      <c r="K40" s="14">
        <v>0</v>
      </c>
      <c r="L40">
        <v>88</v>
      </c>
      <c r="M40" s="2"/>
      <c r="N40">
        <v>0</v>
      </c>
      <c r="Q40">
        <v>0</v>
      </c>
      <c r="T40">
        <v>0</v>
      </c>
      <c r="W40">
        <v>1</v>
      </c>
      <c r="Z40">
        <v>0</v>
      </c>
      <c r="AC40">
        <v>0</v>
      </c>
      <c r="AF40">
        <v>0</v>
      </c>
      <c r="AI40">
        <v>0</v>
      </c>
      <c r="AL40">
        <v>0</v>
      </c>
      <c r="AO40" s="2"/>
      <c r="AP40" s="7">
        <v>2</v>
      </c>
      <c r="AQ40" s="7">
        <v>0</v>
      </c>
      <c r="AR40" s="7">
        <v>0</v>
      </c>
      <c r="AS40" s="9">
        <v>44</v>
      </c>
    </row>
    <row r="41" spans="1:45">
      <c r="A41" t="s">
        <v>31</v>
      </c>
      <c r="B41" t="s">
        <v>32</v>
      </c>
      <c r="C41" t="s">
        <v>54</v>
      </c>
      <c r="D41">
        <v>129403</v>
      </c>
      <c r="E41">
        <v>129403</v>
      </c>
      <c r="F41" s="14"/>
      <c r="G41" s="13" t="s">
        <v>72</v>
      </c>
      <c r="H41" t="s">
        <v>35</v>
      </c>
      <c r="I41" s="14">
        <v>151</v>
      </c>
      <c r="J41" s="14">
        <v>0</v>
      </c>
      <c r="K41" s="14">
        <v>0</v>
      </c>
      <c r="L41">
        <v>151</v>
      </c>
      <c r="M41" s="2"/>
      <c r="N41">
        <v>0</v>
      </c>
      <c r="Q41">
        <v>0</v>
      </c>
      <c r="T41">
        <v>0</v>
      </c>
      <c r="W41">
        <v>0</v>
      </c>
      <c r="Z41">
        <v>0</v>
      </c>
      <c r="AC41">
        <v>0</v>
      </c>
      <c r="AF41">
        <v>0</v>
      </c>
      <c r="AI41">
        <v>0</v>
      </c>
      <c r="AL41">
        <v>0</v>
      </c>
      <c r="AO41" s="2"/>
      <c r="AP41" s="7">
        <v>0</v>
      </c>
      <c r="AQ41" s="7">
        <v>0</v>
      </c>
      <c r="AR41" s="7">
        <v>0</v>
      </c>
      <c r="AS41" s="9" t="e">
        <v>#DIV/0!</v>
      </c>
    </row>
    <row r="42" spans="1:45">
      <c r="A42" t="s">
        <v>31</v>
      </c>
      <c r="B42" t="s">
        <v>32</v>
      </c>
      <c r="C42" t="s">
        <v>54</v>
      </c>
      <c r="D42">
        <v>129404</v>
      </c>
      <c r="E42">
        <v>129404</v>
      </c>
      <c r="G42" s="13" t="s">
        <v>73</v>
      </c>
      <c r="H42" t="s">
        <v>35</v>
      </c>
      <c r="I42" s="14">
        <v>235</v>
      </c>
      <c r="J42" s="14">
        <v>0</v>
      </c>
      <c r="K42" s="14">
        <v>0</v>
      </c>
      <c r="L42">
        <v>235</v>
      </c>
      <c r="M42" s="2"/>
      <c r="N42">
        <v>5</v>
      </c>
      <c r="Q42">
        <v>0</v>
      </c>
      <c r="T42">
        <v>25</v>
      </c>
      <c r="W42">
        <v>0</v>
      </c>
      <c r="Z42">
        <v>6</v>
      </c>
      <c r="AC42">
        <v>0</v>
      </c>
      <c r="AF42">
        <v>0</v>
      </c>
      <c r="AI42">
        <v>0</v>
      </c>
      <c r="AL42">
        <v>0</v>
      </c>
      <c r="AO42" s="2"/>
      <c r="AP42" s="7">
        <v>25</v>
      </c>
      <c r="AQ42" s="7">
        <v>0</v>
      </c>
      <c r="AR42" s="7">
        <v>0</v>
      </c>
      <c r="AS42" s="9">
        <v>9.4</v>
      </c>
    </row>
    <row r="43" spans="1:45">
      <c r="A43" t="s">
        <v>31</v>
      </c>
      <c r="B43" t="s">
        <v>32</v>
      </c>
      <c r="C43" t="s">
        <v>54</v>
      </c>
      <c r="D43">
        <v>129405</v>
      </c>
      <c r="E43">
        <v>129405</v>
      </c>
      <c r="G43" s="13" t="s">
        <v>74</v>
      </c>
      <c r="H43" t="s">
        <v>35</v>
      </c>
      <c r="I43" s="14">
        <v>418</v>
      </c>
      <c r="J43" s="14">
        <v>0</v>
      </c>
      <c r="K43" s="14">
        <v>0</v>
      </c>
      <c r="L43">
        <v>418</v>
      </c>
      <c r="M43" s="2"/>
      <c r="N43">
        <v>10</v>
      </c>
      <c r="Q43">
        <v>10</v>
      </c>
      <c r="T43">
        <v>60</v>
      </c>
      <c r="W43">
        <v>12</v>
      </c>
      <c r="Z43">
        <v>0</v>
      </c>
      <c r="AC43">
        <v>0</v>
      </c>
      <c r="AF43">
        <v>0</v>
      </c>
      <c r="AI43">
        <v>0</v>
      </c>
      <c r="AL43">
        <v>0</v>
      </c>
      <c r="AO43" s="2"/>
      <c r="AP43" s="7">
        <v>94</v>
      </c>
      <c r="AQ43" s="7">
        <v>0</v>
      </c>
      <c r="AR43" s="7">
        <v>0</v>
      </c>
      <c r="AS43" s="9">
        <v>4.4468085106382977</v>
      </c>
    </row>
    <row r="44" spans="1:45">
      <c r="A44" t="s">
        <v>31</v>
      </c>
      <c r="B44" t="s">
        <v>32</v>
      </c>
      <c r="C44" t="s">
        <v>54</v>
      </c>
      <c r="D44">
        <v>129406</v>
      </c>
      <c r="E44">
        <v>129406</v>
      </c>
      <c r="G44" s="13" t="s">
        <v>75</v>
      </c>
      <c r="H44" t="s">
        <v>35</v>
      </c>
      <c r="I44" s="14">
        <v>183</v>
      </c>
      <c r="J44" s="14">
        <v>0</v>
      </c>
      <c r="K44" s="14">
        <v>0</v>
      </c>
      <c r="L44">
        <v>183</v>
      </c>
      <c r="M44" s="2"/>
      <c r="N44">
        <v>8</v>
      </c>
      <c r="Q44">
        <v>14</v>
      </c>
      <c r="T44">
        <v>12</v>
      </c>
      <c r="W44">
        <v>30</v>
      </c>
      <c r="Z44">
        <v>23</v>
      </c>
      <c r="AC44">
        <v>18</v>
      </c>
      <c r="AF44">
        <v>0</v>
      </c>
      <c r="AI44">
        <v>0</v>
      </c>
      <c r="AL44">
        <v>0</v>
      </c>
      <c r="AO44" s="2"/>
      <c r="AP44" s="7">
        <v>86</v>
      </c>
      <c r="AQ44" s="7">
        <v>0</v>
      </c>
      <c r="AR44" s="7">
        <v>0</v>
      </c>
      <c r="AS44" s="9">
        <v>2.1279069767441858</v>
      </c>
    </row>
    <row r="45" spans="1:45">
      <c r="A45" t="s">
        <v>31</v>
      </c>
      <c r="B45" t="s">
        <v>32</v>
      </c>
      <c r="C45" t="s">
        <v>54</v>
      </c>
      <c r="D45">
        <v>129407</v>
      </c>
      <c r="E45">
        <v>129407</v>
      </c>
      <c r="F45" s="14"/>
      <c r="G45" s="13" t="s">
        <v>76</v>
      </c>
      <c r="H45" t="s">
        <v>35</v>
      </c>
      <c r="I45" s="14">
        <v>234</v>
      </c>
      <c r="J45" s="14">
        <v>0</v>
      </c>
      <c r="K45" s="14">
        <v>0</v>
      </c>
      <c r="L45">
        <v>234</v>
      </c>
      <c r="M45" s="2"/>
      <c r="N45">
        <v>0</v>
      </c>
      <c r="Q45">
        <v>0</v>
      </c>
      <c r="T45">
        <v>0</v>
      </c>
      <c r="W45">
        <v>0</v>
      </c>
      <c r="Z45">
        <v>0</v>
      </c>
      <c r="AC45">
        <v>0</v>
      </c>
      <c r="AF45">
        <v>0</v>
      </c>
      <c r="AI45">
        <v>0</v>
      </c>
      <c r="AL45">
        <v>0</v>
      </c>
      <c r="AO45" s="2"/>
      <c r="AP45" s="7">
        <v>0</v>
      </c>
      <c r="AQ45" s="7">
        <v>0</v>
      </c>
      <c r="AR45" s="7">
        <v>0</v>
      </c>
      <c r="AS45" s="9" t="e">
        <v>#DIV/0!</v>
      </c>
    </row>
    <row r="46" spans="1:45">
      <c r="A46" t="s">
        <v>31</v>
      </c>
      <c r="B46" t="s">
        <v>32</v>
      </c>
      <c r="C46" t="s">
        <v>54</v>
      </c>
      <c r="D46">
        <v>129408</v>
      </c>
      <c r="E46">
        <v>129408</v>
      </c>
      <c r="G46" s="13" t="s">
        <v>77</v>
      </c>
      <c r="H46" t="s">
        <v>35</v>
      </c>
      <c r="I46" s="14">
        <v>155</v>
      </c>
      <c r="J46" s="14">
        <v>0</v>
      </c>
      <c r="K46" s="14">
        <v>0</v>
      </c>
      <c r="L46">
        <v>155</v>
      </c>
      <c r="M46" s="2"/>
      <c r="N46">
        <v>5</v>
      </c>
      <c r="Q46">
        <v>10</v>
      </c>
      <c r="T46">
        <v>0</v>
      </c>
      <c r="W46">
        <v>20</v>
      </c>
      <c r="Z46">
        <v>2</v>
      </c>
      <c r="AC46">
        <v>2</v>
      </c>
      <c r="AF46">
        <v>15</v>
      </c>
      <c r="AI46">
        <v>0</v>
      </c>
      <c r="AL46">
        <v>0</v>
      </c>
      <c r="AO46" s="2"/>
      <c r="AP46" s="7">
        <v>80</v>
      </c>
      <c r="AQ46" s="7">
        <v>0</v>
      </c>
      <c r="AR46" s="7">
        <v>0</v>
      </c>
      <c r="AS46" s="9">
        <v>1.9375</v>
      </c>
    </row>
    <row r="47" spans="1:45">
      <c r="A47" t="s">
        <v>31</v>
      </c>
      <c r="B47" t="s">
        <v>32</v>
      </c>
      <c r="C47" t="s">
        <v>54</v>
      </c>
      <c r="D47">
        <v>129409</v>
      </c>
      <c r="E47">
        <v>129409</v>
      </c>
      <c r="F47" s="14"/>
      <c r="G47" s="13" t="s">
        <v>78</v>
      </c>
      <c r="H47" t="s">
        <v>35</v>
      </c>
      <c r="I47" s="14">
        <v>676</v>
      </c>
      <c r="J47" s="14">
        <v>0</v>
      </c>
      <c r="K47" s="14">
        <v>0</v>
      </c>
      <c r="L47">
        <v>676</v>
      </c>
      <c r="M47" s="2"/>
      <c r="N47">
        <v>0</v>
      </c>
      <c r="Q47">
        <v>0</v>
      </c>
      <c r="T47">
        <v>0</v>
      </c>
      <c r="W47">
        <v>0</v>
      </c>
      <c r="Z47">
        <v>0</v>
      </c>
      <c r="AC47">
        <v>0</v>
      </c>
      <c r="AF47">
        <v>0</v>
      </c>
      <c r="AI47">
        <v>0</v>
      </c>
      <c r="AL47">
        <v>0</v>
      </c>
      <c r="AO47" s="2"/>
      <c r="AP47" s="7">
        <v>0</v>
      </c>
      <c r="AQ47" s="7">
        <v>0</v>
      </c>
      <c r="AR47" s="7">
        <v>0</v>
      </c>
      <c r="AS47" s="9" t="e">
        <v>#DIV/0!</v>
      </c>
    </row>
    <row r="48" spans="1:45" ht="30">
      <c r="A48" t="s">
        <v>31</v>
      </c>
      <c r="B48" t="s">
        <v>32</v>
      </c>
      <c r="C48" t="s">
        <v>54</v>
      </c>
      <c r="D48">
        <v>257001</v>
      </c>
      <c r="E48">
        <v>257001</v>
      </c>
      <c r="G48" s="13" t="s">
        <v>79</v>
      </c>
      <c r="H48" t="s">
        <v>35</v>
      </c>
      <c r="I48" s="14">
        <v>712</v>
      </c>
      <c r="J48" s="14">
        <v>0</v>
      </c>
      <c r="K48" s="14">
        <v>0</v>
      </c>
      <c r="L48">
        <v>712</v>
      </c>
      <c r="M48" s="2"/>
      <c r="N48">
        <v>0</v>
      </c>
      <c r="Q48">
        <v>0</v>
      </c>
      <c r="T48">
        <v>240</v>
      </c>
      <c r="W48">
        <v>0</v>
      </c>
      <c r="Z48">
        <v>0</v>
      </c>
      <c r="AC48">
        <v>0</v>
      </c>
      <c r="AF48">
        <v>40</v>
      </c>
      <c r="AI48">
        <v>0</v>
      </c>
      <c r="AL48">
        <v>0</v>
      </c>
      <c r="AO48" s="2"/>
      <c r="AP48" s="7">
        <v>320</v>
      </c>
      <c r="AQ48" s="7">
        <v>0</v>
      </c>
      <c r="AR48" s="7">
        <v>0</v>
      </c>
      <c r="AS48" s="9">
        <v>2.2250000000000001</v>
      </c>
    </row>
    <row r="49" spans="1:47">
      <c r="A49" t="s">
        <v>31</v>
      </c>
      <c r="B49" t="s">
        <v>32</v>
      </c>
      <c r="C49" t="s">
        <v>54</v>
      </c>
      <c r="D49">
        <v>304303</v>
      </c>
      <c r="E49">
        <v>304303</v>
      </c>
      <c r="G49" s="13" t="s">
        <v>80</v>
      </c>
      <c r="H49" t="s">
        <v>48</v>
      </c>
      <c r="I49" s="14">
        <v>0</v>
      </c>
      <c r="J49" s="14">
        <v>535</v>
      </c>
      <c r="K49" s="14">
        <v>147</v>
      </c>
      <c r="L49">
        <v>682</v>
      </c>
      <c r="M49" s="2"/>
      <c r="O49">
        <v>0</v>
      </c>
      <c r="P49">
        <v>0</v>
      </c>
      <c r="R49">
        <v>0</v>
      </c>
      <c r="S49">
        <v>0</v>
      </c>
      <c r="U49" s="15">
        <v>79.230205278592379</v>
      </c>
      <c r="V49" s="15">
        <v>21.769794721407624</v>
      </c>
      <c r="X49" s="15">
        <v>0</v>
      </c>
      <c r="Y49" s="15">
        <v>0</v>
      </c>
      <c r="AA49" s="15">
        <v>0</v>
      </c>
      <c r="AB49" s="15">
        <v>0</v>
      </c>
      <c r="AD49" s="15">
        <v>0</v>
      </c>
      <c r="AE49" s="15">
        <v>0</v>
      </c>
      <c r="AG49">
        <v>0</v>
      </c>
      <c r="AH49">
        <v>0</v>
      </c>
      <c r="AJ49">
        <v>0</v>
      </c>
      <c r="AK49">
        <v>0</v>
      </c>
      <c r="AM49">
        <v>0</v>
      </c>
      <c r="AN49">
        <v>184</v>
      </c>
      <c r="AO49" s="2"/>
      <c r="AP49" s="7">
        <v>0</v>
      </c>
      <c r="AQ49" s="7">
        <v>79.230205278592379</v>
      </c>
      <c r="AR49" s="7">
        <v>389.76979472140761</v>
      </c>
      <c r="AT49" s="9">
        <v>6.7524752475247523</v>
      </c>
      <c r="AU49" s="9">
        <v>0.37714569469158049</v>
      </c>
    </row>
    <row r="50" spans="1:47">
      <c r="A50" t="s">
        <v>31</v>
      </c>
      <c r="B50" t="s">
        <v>32</v>
      </c>
      <c r="C50" t="s">
        <v>54</v>
      </c>
      <c r="D50">
        <v>304305</v>
      </c>
      <c r="E50">
        <v>304305</v>
      </c>
      <c r="G50" s="13" t="s">
        <v>81</v>
      </c>
      <c r="H50" t="s">
        <v>48</v>
      </c>
      <c r="I50" s="14">
        <v>0</v>
      </c>
      <c r="J50" s="14">
        <v>436</v>
      </c>
      <c r="K50" s="14">
        <v>158</v>
      </c>
      <c r="L50">
        <v>594</v>
      </c>
      <c r="M50" s="2"/>
      <c r="O50">
        <v>0</v>
      </c>
      <c r="P50">
        <v>0</v>
      </c>
      <c r="R50">
        <v>0</v>
      </c>
      <c r="S50">
        <v>0</v>
      </c>
      <c r="U50" s="15">
        <v>171.75757575757575</v>
      </c>
      <c r="V50" s="15">
        <v>62.242424242424242</v>
      </c>
      <c r="X50" s="15">
        <v>0</v>
      </c>
      <c r="Y50" s="15">
        <v>0</v>
      </c>
      <c r="AA50" s="15">
        <v>19.084175084175083</v>
      </c>
      <c r="AB50" s="15">
        <v>6.9158249158249161</v>
      </c>
      <c r="AD50" s="15">
        <v>58.72053872053872</v>
      </c>
      <c r="AE50" s="15">
        <v>21.27946127946128</v>
      </c>
      <c r="AG50">
        <v>0</v>
      </c>
      <c r="AH50">
        <v>0</v>
      </c>
      <c r="AJ50">
        <v>64</v>
      </c>
      <c r="AK50">
        <v>0</v>
      </c>
      <c r="AM50">
        <v>0</v>
      </c>
      <c r="AN50">
        <v>38</v>
      </c>
      <c r="AO50" s="2"/>
      <c r="AP50" s="7">
        <v>0</v>
      </c>
      <c r="AQ50" s="7">
        <v>299.75757575757575</v>
      </c>
      <c r="AR50" s="7">
        <v>138.24242424242425</v>
      </c>
      <c r="AT50" s="9">
        <v>1.4545086938940559</v>
      </c>
      <c r="AU50" s="9">
        <v>1.1429197720298114</v>
      </c>
    </row>
    <row r="51" spans="1:47">
      <c r="A51" t="s">
        <v>31</v>
      </c>
      <c r="B51" t="s">
        <v>32</v>
      </c>
      <c r="C51" t="s">
        <v>54</v>
      </c>
      <c r="D51">
        <v>304314</v>
      </c>
      <c r="E51">
        <v>304314</v>
      </c>
      <c r="G51" s="13" t="s">
        <v>82</v>
      </c>
      <c r="H51" t="s">
        <v>48</v>
      </c>
      <c r="I51" s="14">
        <v>0</v>
      </c>
      <c r="J51" s="14">
        <v>333</v>
      </c>
      <c r="K51" s="14">
        <v>143</v>
      </c>
      <c r="L51">
        <v>476</v>
      </c>
      <c r="M51" s="2"/>
      <c r="O51">
        <v>0</v>
      </c>
      <c r="P51">
        <v>0</v>
      </c>
      <c r="R51">
        <v>0</v>
      </c>
      <c r="S51">
        <v>0</v>
      </c>
      <c r="U51" s="15">
        <v>61.563025210084028</v>
      </c>
      <c r="V51" s="15">
        <v>26.436974789915965</v>
      </c>
      <c r="X51" s="15">
        <v>0</v>
      </c>
      <c r="Y51" s="15">
        <v>0</v>
      </c>
      <c r="AA51" s="15">
        <v>49.670168067226889</v>
      </c>
      <c r="AB51" s="15">
        <v>21.329831932773107</v>
      </c>
      <c r="AD51" s="15">
        <v>0</v>
      </c>
      <c r="AE51" s="15">
        <v>0</v>
      </c>
      <c r="AG51">
        <v>0</v>
      </c>
      <c r="AH51">
        <v>0</v>
      </c>
      <c r="AJ51">
        <v>0</v>
      </c>
      <c r="AK51">
        <v>0</v>
      </c>
      <c r="AM51">
        <v>0</v>
      </c>
      <c r="AN51">
        <v>0</v>
      </c>
      <c r="AO51" s="2"/>
      <c r="AP51" s="7">
        <v>0</v>
      </c>
      <c r="AQ51" s="7">
        <v>61.563025210084028</v>
      </c>
      <c r="AR51" s="7">
        <v>26.436974789915965</v>
      </c>
      <c r="AT51" s="9">
        <v>5.4090909090909092</v>
      </c>
      <c r="AU51" s="9">
        <v>5.4090909090909092</v>
      </c>
    </row>
    <row r="52" spans="1:47">
      <c r="A52" t="s">
        <v>31</v>
      </c>
      <c r="B52" t="s">
        <v>32</v>
      </c>
      <c r="C52" t="s">
        <v>54</v>
      </c>
      <c r="D52">
        <v>304327</v>
      </c>
      <c r="E52">
        <v>304327</v>
      </c>
      <c r="G52" s="13" t="s">
        <v>83</v>
      </c>
      <c r="H52" t="s">
        <v>48</v>
      </c>
      <c r="I52" s="14">
        <v>0</v>
      </c>
      <c r="J52" s="14">
        <v>1515</v>
      </c>
      <c r="K52" s="14">
        <v>426</v>
      </c>
      <c r="L52">
        <v>1941</v>
      </c>
      <c r="M52" s="2"/>
      <c r="O52">
        <v>0</v>
      </c>
      <c r="P52">
        <v>0</v>
      </c>
      <c r="R52">
        <v>0</v>
      </c>
      <c r="S52">
        <v>0</v>
      </c>
      <c r="U52" s="15">
        <v>778.18392581143735</v>
      </c>
      <c r="V52" s="15">
        <v>218.8160741885626</v>
      </c>
      <c r="X52" s="15">
        <v>0</v>
      </c>
      <c r="Y52" s="15">
        <v>0</v>
      </c>
      <c r="AA52" s="15">
        <v>11.707882534775889</v>
      </c>
      <c r="AB52" s="15">
        <v>3.2921174652241114</v>
      </c>
      <c r="AD52" s="15">
        <v>71.808346213292111</v>
      </c>
      <c r="AE52" s="15">
        <v>20.191653786707882</v>
      </c>
      <c r="AG52">
        <v>0</v>
      </c>
      <c r="AH52">
        <v>0</v>
      </c>
      <c r="AJ52">
        <v>23</v>
      </c>
      <c r="AK52">
        <v>0</v>
      </c>
      <c r="AM52">
        <v>0</v>
      </c>
      <c r="AN52">
        <v>23</v>
      </c>
      <c r="AO52" s="2"/>
      <c r="AP52" s="7">
        <v>0</v>
      </c>
      <c r="AQ52" s="7">
        <v>824.18392581143735</v>
      </c>
      <c r="AR52" s="7">
        <v>264.8160741885626</v>
      </c>
      <c r="AT52" s="9">
        <v>1.8381819307000322</v>
      </c>
      <c r="AU52" s="9">
        <v>1.6086636783863286</v>
      </c>
    </row>
    <row r="53" spans="1:47" ht="30">
      <c r="A53" t="s">
        <v>31</v>
      </c>
      <c r="B53" t="s">
        <v>32</v>
      </c>
      <c r="C53" t="s">
        <v>54</v>
      </c>
      <c r="D53">
        <v>304328</v>
      </c>
      <c r="E53">
        <v>304328</v>
      </c>
      <c r="G53" s="13" t="s">
        <v>84</v>
      </c>
      <c r="H53" t="s">
        <v>48</v>
      </c>
      <c r="I53" s="14">
        <v>0</v>
      </c>
      <c r="J53" s="14">
        <v>386</v>
      </c>
      <c r="K53" s="14">
        <v>204</v>
      </c>
      <c r="L53">
        <v>590</v>
      </c>
      <c r="M53" s="2"/>
      <c r="O53">
        <v>0</v>
      </c>
      <c r="P53">
        <v>0</v>
      </c>
      <c r="R53">
        <v>0</v>
      </c>
      <c r="S53">
        <v>0</v>
      </c>
      <c r="U53" s="15">
        <v>65.423728813559322</v>
      </c>
      <c r="V53" s="15">
        <v>34.576271186440678</v>
      </c>
      <c r="X53" s="15">
        <v>0</v>
      </c>
      <c r="Y53" s="15">
        <v>0</v>
      </c>
      <c r="AA53" s="15">
        <v>6.5423728813559325</v>
      </c>
      <c r="AB53" s="15">
        <v>3.4576271186440675</v>
      </c>
      <c r="AD53" s="15">
        <v>0</v>
      </c>
      <c r="AE53" s="15">
        <v>0</v>
      </c>
      <c r="AG53">
        <v>0</v>
      </c>
      <c r="AH53">
        <v>0</v>
      </c>
      <c r="AJ53">
        <v>0</v>
      </c>
      <c r="AK53">
        <v>0</v>
      </c>
      <c r="AM53">
        <v>0</v>
      </c>
      <c r="AN53">
        <v>10</v>
      </c>
      <c r="AO53" s="2"/>
      <c r="AP53" s="7">
        <v>0</v>
      </c>
      <c r="AQ53" s="7">
        <v>65.423728813559322</v>
      </c>
      <c r="AR53" s="7">
        <v>54.576271186440678</v>
      </c>
      <c r="AT53" s="9">
        <v>5.9</v>
      </c>
      <c r="AU53" s="9">
        <v>3.7378881987577639</v>
      </c>
    </row>
    <row r="54" spans="1:47">
      <c r="A54" t="s">
        <v>31</v>
      </c>
      <c r="B54" t="s">
        <v>32</v>
      </c>
      <c r="C54" t="s">
        <v>54</v>
      </c>
      <c r="D54">
        <v>304338</v>
      </c>
      <c r="E54">
        <v>304338</v>
      </c>
      <c r="G54" s="13" t="s">
        <v>85</v>
      </c>
      <c r="H54" t="s">
        <v>48</v>
      </c>
      <c r="I54" s="14">
        <v>0</v>
      </c>
      <c r="J54" s="14">
        <v>218</v>
      </c>
      <c r="K54" s="14">
        <v>88</v>
      </c>
      <c r="L54">
        <v>306</v>
      </c>
      <c r="M54" s="2"/>
      <c r="O54">
        <v>0</v>
      </c>
      <c r="P54">
        <v>0</v>
      </c>
      <c r="R54">
        <v>0</v>
      </c>
      <c r="S54">
        <v>0</v>
      </c>
      <c r="U54" s="15">
        <v>142.48366013071896</v>
      </c>
      <c r="V54" s="15">
        <v>57.51633986928104</v>
      </c>
      <c r="X54" s="15">
        <v>0</v>
      </c>
      <c r="Y54" s="15">
        <v>0</v>
      </c>
      <c r="AA54" s="15">
        <v>4.9869281045751634</v>
      </c>
      <c r="AB54" s="15">
        <v>2.0130718954248366</v>
      </c>
      <c r="AD54" s="15">
        <v>8.5490196078431371</v>
      </c>
      <c r="AE54" s="15">
        <v>3.4509803921568625</v>
      </c>
      <c r="AG54">
        <v>0</v>
      </c>
      <c r="AH54">
        <v>0</v>
      </c>
      <c r="AJ54">
        <v>46</v>
      </c>
      <c r="AK54">
        <v>0</v>
      </c>
      <c r="AM54">
        <v>0</v>
      </c>
      <c r="AN54">
        <v>46</v>
      </c>
      <c r="AO54" s="2"/>
      <c r="AP54" s="7">
        <v>0</v>
      </c>
      <c r="AQ54" s="7">
        <v>234.48366013071896</v>
      </c>
      <c r="AR54" s="7">
        <v>149.51633986928104</v>
      </c>
      <c r="AT54" s="9">
        <v>0.92970230794960418</v>
      </c>
      <c r="AU54" s="9">
        <v>0.58856443434166816</v>
      </c>
    </row>
    <row r="55" spans="1:47">
      <c r="A55" t="s">
        <v>31</v>
      </c>
      <c r="B55" t="s">
        <v>32</v>
      </c>
      <c r="C55" t="s">
        <v>54</v>
      </c>
      <c r="D55">
        <v>305680</v>
      </c>
      <c r="E55">
        <v>305680</v>
      </c>
      <c r="G55" s="13" t="s">
        <v>86</v>
      </c>
      <c r="H55" t="s">
        <v>48</v>
      </c>
      <c r="I55" s="14">
        <v>0</v>
      </c>
      <c r="J55" s="14">
        <v>827</v>
      </c>
      <c r="K55" s="14">
        <v>214</v>
      </c>
      <c r="L55">
        <v>1041</v>
      </c>
      <c r="M55" s="2"/>
      <c r="O55">
        <v>0</v>
      </c>
      <c r="P55">
        <v>0</v>
      </c>
      <c r="R55">
        <v>0</v>
      </c>
      <c r="S55">
        <v>0</v>
      </c>
      <c r="U55" s="15">
        <v>317.77137367915469</v>
      </c>
      <c r="V55" s="15">
        <v>82.228626320845351</v>
      </c>
      <c r="X55" s="15">
        <v>0</v>
      </c>
      <c r="Y55" s="15">
        <v>0</v>
      </c>
      <c r="AA55" s="15">
        <v>23.8328530259366</v>
      </c>
      <c r="AB55" s="15">
        <v>6.1671469740634004</v>
      </c>
      <c r="AD55" s="15">
        <v>39.721421709894337</v>
      </c>
      <c r="AE55" s="15">
        <v>10.278578290105669</v>
      </c>
      <c r="AG55">
        <v>0</v>
      </c>
      <c r="AH55">
        <v>0</v>
      </c>
      <c r="AJ55">
        <v>0</v>
      </c>
      <c r="AK55">
        <v>0</v>
      </c>
      <c r="AM55">
        <v>0</v>
      </c>
      <c r="AN55">
        <v>0</v>
      </c>
      <c r="AO55" s="2"/>
      <c r="AP55" s="7">
        <v>0</v>
      </c>
      <c r="AQ55" s="7">
        <v>317.77137367915469</v>
      </c>
      <c r="AR55" s="7">
        <v>82.228626320845351</v>
      </c>
      <c r="AT55" s="9">
        <v>2.6024999999999996</v>
      </c>
      <c r="AU55" s="9">
        <v>2.6024999999999996</v>
      </c>
    </row>
    <row r="56" spans="1:47">
      <c r="A56" t="s">
        <v>31</v>
      </c>
      <c r="B56" t="s">
        <v>32</v>
      </c>
      <c r="C56" t="s">
        <v>54</v>
      </c>
      <c r="D56">
        <v>316104</v>
      </c>
      <c r="E56">
        <v>316104</v>
      </c>
      <c r="G56" s="13" t="s">
        <v>87</v>
      </c>
      <c r="H56" t="s">
        <v>48</v>
      </c>
      <c r="I56" s="14">
        <v>0</v>
      </c>
      <c r="J56" s="14">
        <v>368</v>
      </c>
      <c r="K56" s="14">
        <v>110</v>
      </c>
      <c r="L56">
        <v>478</v>
      </c>
      <c r="M56" s="2"/>
      <c r="O56">
        <v>0</v>
      </c>
      <c r="P56">
        <v>0</v>
      </c>
      <c r="R56">
        <v>0</v>
      </c>
      <c r="S56">
        <v>0</v>
      </c>
      <c r="U56" s="15">
        <v>423.43096234309621</v>
      </c>
      <c r="V56" s="15">
        <v>126.56903765690376</v>
      </c>
      <c r="X56" s="15">
        <v>0</v>
      </c>
      <c r="Y56" s="15">
        <v>0</v>
      </c>
      <c r="AA56" s="15">
        <v>0</v>
      </c>
      <c r="AB56" s="15">
        <v>0</v>
      </c>
      <c r="AD56" s="15">
        <v>0</v>
      </c>
      <c r="AE56" s="15">
        <v>0</v>
      </c>
      <c r="AG56">
        <v>0</v>
      </c>
      <c r="AH56">
        <v>0</v>
      </c>
      <c r="AJ56">
        <v>46</v>
      </c>
      <c r="AK56">
        <v>0</v>
      </c>
      <c r="AM56">
        <v>0</v>
      </c>
      <c r="AN56">
        <v>0</v>
      </c>
      <c r="AO56" s="2"/>
      <c r="AP56" s="7">
        <v>0</v>
      </c>
      <c r="AQ56" s="7">
        <v>515.43096234309621</v>
      </c>
      <c r="AR56" s="7">
        <v>126.56903765690376</v>
      </c>
      <c r="AT56" s="9">
        <v>0.71396564600448098</v>
      </c>
      <c r="AU56" s="9">
        <v>0.86909090909090914</v>
      </c>
    </row>
    <row r="57" spans="1:47" ht="30">
      <c r="A57" t="s">
        <v>31</v>
      </c>
      <c r="B57" t="s">
        <v>32</v>
      </c>
      <c r="C57" t="s">
        <v>54</v>
      </c>
      <c r="D57">
        <v>325101</v>
      </c>
      <c r="E57">
        <v>325101</v>
      </c>
      <c r="G57" s="13" t="s">
        <v>88</v>
      </c>
      <c r="H57" t="s">
        <v>89</v>
      </c>
      <c r="I57" s="14">
        <v>0</v>
      </c>
      <c r="J57" s="14">
        <v>295</v>
      </c>
      <c r="K57" s="14">
        <v>0</v>
      </c>
      <c r="L57">
        <v>295</v>
      </c>
      <c r="M57" s="2"/>
      <c r="O57">
        <v>0</v>
      </c>
      <c r="R57">
        <v>0</v>
      </c>
      <c r="U57">
        <v>200</v>
      </c>
      <c r="X57">
        <v>0</v>
      </c>
      <c r="AA57">
        <v>38</v>
      </c>
      <c r="AD57">
        <v>19</v>
      </c>
      <c r="AG57">
        <v>0</v>
      </c>
      <c r="AJ57">
        <v>0</v>
      </c>
      <c r="AM57">
        <v>0</v>
      </c>
      <c r="AO57" s="2"/>
      <c r="AP57" s="7">
        <v>0</v>
      </c>
      <c r="AQ57" s="7">
        <v>200</v>
      </c>
      <c r="AR57" s="7">
        <v>0</v>
      </c>
      <c r="AT57" s="9">
        <v>1.4750000000000001</v>
      </c>
      <c r="AU57" s="9"/>
    </row>
    <row r="58" spans="1:47">
      <c r="A58" t="s">
        <v>31</v>
      </c>
      <c r="B58" t="s">
        <v>32</v>
      </c>
      <c r="C58" t="s">
        <v>54</v>
      </c>
      <c r="D58">
        <v>325102</v>
      </c>
      <c r="E58">
        <v>325102</v>
      </c>
      <c r="G58" s="13" t="s">
        <v>90</v>
      </c>
      <c r="H58" t="s">
        <v>48</v>
      </c>
      <c r="I58" s="14">
        <v>0</v>
      </c>
      <c r="J58" s="14">
        <v>338</v>
      </c>
      <c r="K58" s="14">
        <v>139</v>
      </c>
      <c r="L58">
        <v>477</v>
      </c>
      <c r="M58" s="2"/>
      <c r="O58">
        <v>0</v>
      </c>
      <c r="P58">
        <v>0</v>
      </c>
      <c r="R58">
        <v>0</v>
      </c>
      <c r="S58">
        <v>0</v>
      </c>
      <c r="U58" s="15">
        <v>56.687631027253673</v>
      </c>
      <c r="V58" s="15">
        <v>23.312368972746327</v>
      </c>
      <c r="X58" s="15">
        <v>0</v>
      </c>
      <c r="Y58" s="15">
        <v>0</v>
      </c>
      <c r="AA58" s="15">
        <v>31.178197064989519</v>
      </c>
      <c r="AB58" s="15">
        <v>12.821802935010481</v>
      </c>
      <c r="AD58" s="15">
        <v>31.178197064989519</v>
      </c>
      <c r="AE58" s="15">
        <v>12.821802935010481</v>
      </c>
      <c r="AG58">
        <v>0</v>
      </c>
      <c r="AH58">
        <v>0</v>
      </c>
      <c r="AJ58">
        <v>0</v>
      </c>
      <c r="AK58">
        <v>0</v>
      </c>
      <c r="AM58">
        <v>0</v>
      </c>
      <c r="AN58">
        <v>0</v>
      </c>
      <c r="AO58" s="2"/>
      <c r="AP58" s="7">
        <v>0</v>
      </c>
      <c r="AQ58" s="7">
        <v>56.687631027253673</v>
      </c>
      <c r="AR58" s="7">
        <v>23.312368972746327</v>
      </c>
      <c r="AT58" s="9">
        <v>5.9624999999999995</v>
      </c>
      <c r="AU58" s="9">
        <v>5.9625000000000012</v>
      </c>
    </row>
    <row r="59" spans="1:47">
      <c r="A59" t="s">
        <v>31</v>
      </c>
      <c r="B59" t="s">
        <v>32</v>
      </c>
      <c r="C59" t="s">
        <v>54</v>
      </c>
      <c r="D59">
        <v>325106</v>
      </c>
      <c r="E59">
        <v>325106</v>
      </c>
      <c r="G59" s="13" t="s">
        <v>91</v>
      </c>
      <c r="H59" t="s">
        <v>48</v>
      </c>
      <c r="I59" s="14">
        <v>0</v>
      </c>
      <c r="J59" s="14">
        <v>401</v>
      </c>
      <c r="K59" s="14">
        <v>152</v>
      </c>
      <c r="L59">
        <v>553</v>
      </c>
      <c r="M59" s="2"/>
      <c r="O59">
        <v>0</v>
      </c>
      <c r="P59">
        <v>0</v>
      </c>
      <c r="R59">
        <v>0</v>
      </c>
      <c r="S59">
        <v>0</v>
      </c>
      <c r="U59" s="15">
        <v>252.3471971066908</v>
      </c>
      <c r="V59" s="15">
        <v>95.652802893309229</v>
      </c>
      <c r="X59" s="15">
        <v>0</v>
      </c>
      <c r="Y59" s="15">
        <v>0</v>
      </c>
      <c r="AA59" s="15">
        <v>8.701627486437614</v>
      </c>
      <c r="AB59" s="15">
        <v>3.2983725135623869</v>
      </c>
      <c r="AD59" s="15">
        <v>7.9764918625678121</v>
      </c>
      <c r="AE59" s="15">
        <v>3.0235081374321884</v>
      </c>
      <c r="AG59">
        <v>0</v>
      </c>
      <c r="AH59">
        <v>0</v>
      </c>
      <c r="AJ59">
        <v>39</v>
      </c>
      <c r="AK59">
        <v>0</v>
      </c>
      <c r="AM59">
        <v>0</v>
      </c>
      <c r="AN59">
        <v>0</v>
      </c>
      <c r="AO59" s="2"/>
      <c r="AP59" s="7">
        <v>0</v>
      </c>
      <c r="AQ59" s="7">
        <v>330.34719710669083</v>
      </c>
      <c r="AR59" s="7">
        <v>95.652802893309229</v>
      </c>
      <c r="AT59" s="9">
        <v>1.2138743828072824</v>
      </c>
      <c r="AU59" s="9">
        <v>1.5890804597701149</v>
      </c>
    </row>
    <row r="60" spans="1:47">
      <c r="A60" t="s">
        <v>31</v>
      </c>
      <c r="B60" t="s">
        <v>32</v>
      </c>
      <c r="C60" t="s">
        <v>92</v>
      </c>
      <c r="D60">
        <v>102157</v>
      </c>
      <c r="E60">
        <v>102157</v>
      </c>
      <c r="G60" s="13" t="s">
        <v>93</v>
      </c>
      <c r="H60" t="s">
        <v>35</v>
      </c>
      <c r="I60" s="14">
        <v>125</v>
      </c>
      <c r="J60" s="14">
        <v>0</v>
      </c>
      <c r="K60" s="14">
        <v>0</v>
      </c>
      <c r="L60">
        <v>125</v>
      </c>
      <c r="M60" s="2"/>
      <c r="N60">
        <v>0</v>
      </c>
      <c r="Q60">
        <v>0</v>
      </c>
      <c r="T60">
        <v>0</v>
      </c>
      <c r="W60">
        <v>0</v>
      </c>
      <c r="Z60">
        <v>0</v>
      </c>
      <c r="AC60">
        <v>0</v>
      </c>
      <c r="AF60">
        <v>0</v>
      </c>
      <c r="AI60">
        <v>0</v>
      </c>
      <c r="AL60">
        <v>0</v>
      </c>
      <c r="AO60" s="2"/>
      <c r="AP60" s="7">
        <v>0</v>
      </c>
      <c r="AQ60" s="7">
        <v>0</v>
      </c>
      <c r="AR60" s="7">
        <v>0</v>
      </c>
      <c r="AS60" s="9" t="e">
        <v>#DIV/0!</v>
      </c>
    </row>
    <row r="61" spans="1:47">
      <c r="A61" t="s">
        <v>31</v>
      </c>
      <c r="B61" t="s">
        <v>32</v>
      </c>
      <c r="C61" t="s">
        <v>92</v>
      </c>
      <c r="D61">
        <v>102164</v>
      </c>
      <c r="E61">
        <v>102164</v>
      </c>
      <c r="G61" s="13" t="s">
        <v>94</v>
      </c>
      <c r="H61" t="s">
        <v>35</v>
      </c>
      <c r="I61" s="14">
        <v>88</v>
      </c>
      <c r="J61" s="14">
        <v>0</v>
      </c>
      <c r="K61" s="14">
        <v>0</v>
      </c>
      <c r="L61">
        <v>88</v>
      </c>
      <c r="M61" s="2"/>
      <c r="N61">
        <v>0</v>
      </c>
      <c r="Q61">
        <v>0</v>
      </c>
      <c r="T61">
        <v>81</v>
      </c>
      <c r="W61">
        <v>0</v>
      </c>
      <c r="Z61">
        <v>7</v>
      </c>
      <c r="AC61">
        <v>25</v>
      </c>
      <c r="AF61">
        <v>0</v>
      </c>
      <c r="AI61">
        <v>0</v>
      </c>
      <c r="AL61">
        <v>0</v>
      </c>
      <c r="AO61" s="2"/>
      <c r="AP61" s="7">
        <v>81</v>
      </c>
      <c r="AQ61" s="7">
        <v>0</v>
      </c>
      <c r="AR61" s="7">
        <v>0</v>
      </c>
      <c r="AS61" s="9">
        <v>1.0864197530864197</v>
      </c>
    </row>
    <row r="62" spans="1:47">
      <c r="A62" t="s">
        <v>31</v>
      </c>
      <c r="B62" t="s">
        <v>32</v>
      </c>
      <c r="C62" t="s">
        <v>92</v>
      </c>
      <c r="D62">
        <v>129410</v>
      </c>
      <c r="E62">
        <v>129410</v>
      </c>
      <c r="G62" s="13" t="s">
        <v>95</v>
      </c>
      <c r="H62" t="s">
        <v>35</v>
      </c>
      <c r="I62" s="14">
        <v>224</v>
      </c>
      <c r="J62" s="14">
        <v>0</v>
      </c>
      <c r="K62" s="14">
        <v>0</v>
      </c>
      <c r="L62">
        <v>224</v>
      </c>
      <c r="M62" s="2"/>
      <c r="N62">
        <v>10</v>
      </c>
      <c r="Q62">
        <v>30</v>
      </c>
      <c r="T62">
        <v>60</v>
      </c>
      <c r="W62">
        <v>42</v>
      </c>
      <c r="Z62">
        <v>36</v>
      </c>
      <c r="AC62">
        <v>9</v>
      </c>
      <c r="AF62">
        <v>50</v>
      </c>
      <c r="AI62">
        <v>0</v>
      </c>
      <c r="AL62">
        <v>0</v>
      </c>
      <c r="AO62" s="2"/>
      <c r="AP62" s="7">
        <v>274</v>
      </c>
      <c r="AQ62" s="7">
        <v>0</v>
      </c>
      <c r="AR62" s="7">
        <v>0</v>
      </c>
      <c r="AS62" s="9">
        <v>0.81751824817518248</v>
      </c>
    </row>
    <row r="63" spans="1:47">
      <c r="A63" t="s">
        <v>31</v>
      </c>
      <c r="B63" t="s">
        <v>32</v>
      </c>
      <c r="C63" t="s">
        <v>92</v>
      </c>
      <c r="D63">
        <v>129412</v>
      </c>
      <c r="E63">
        <v>129412</v>
      </c>
      <c r="G63" s="13" t="s">
        <v>96</v>
      </c>
      <c r="H63" t="s">
        <v>35</v>
      </c>
      <c r="I63" s="14">
        <v>98</v>
      </c>
      <c r="J63" s="14">
        <v>0</v>
      </c>
      <c r="K63" s="14">
        <v>0</v>
      </c>
      <c r="L63">
        <v>98</v>
      </c>
      <c r="M63" s="2"/>
      <c r="N63">
        <v>0</v>
      </c>
      <c r="Q63">
        <v>24</v>
      </c>
      <c r="T63">
        <v>30</v>
      </c>
      <c r="W63">
        <v>40</v>
      </c>
      <c r="Z63">
        <v>1</v>
      </c>
      <c r="AC63">
        <v>1</v>
      </c>
      <c r="AF63">
        <v>10</v>
      </c>
      <c r="AI63">
        <v>0</v>
      </c>
      <c r="AL63">
        <v>0</v>
      </c>
      <c r="AO63" s="2"/>
      <c r="AP63" s="7">
        <v>154</v>
      </c>
      <c r="AQ63" s="7">
        <v>0</v>
      </c>
      <c r="AR63" s="7">
        <v>0</v>
      </c>
      <c r="AS63" s="9">
        <v>0.63636363636363635</v>
      </c>
    </row>
    <row r="64" spans="1:47">
      <c r="A64" t="s">
        <v>31</v>
      </c>
      <c r="B64" t="s">
        <v>32</v>
      </c>
      <c r="C64" t="s">
        <v>92</v>
      </c>
      <c r="D64">
        <v>129413</v>
      </c>
      <c r="E64">
        <v>129413</v>
      </c>
      <c r="G64" s="13" t="s">
        <v>97</v>
      </c>
      <c r="H64" t="s">
        <v>35</v>
      </c>
      <c r="I64" s="14">
        <v>307</v>
      </c>
      <c r="J64" s="14">
        <v>0</v>
      </c>
      <c r="K64" s="14">
        <v>0</v>
      </c>
      <c r="L64">
        <v>307</v>
      </c>
      <c r="M64" s="2"/>
      <c r="N64">
        <v>5</v>
      </c>
      <c r="Q64">
        <v>0</v>
      </c>
      <c r="T64">
        <v>35</v>
      </c>
      <c r="W64">
        <v>20</v>
      </c>
      <c r="Z64">
        <v>0</v>
      </c>
      <c r="AC64">
        <v>0</v>
      </c>
      <c r="AF64">
        <v>0</v>
      </c>
      <c r="AI64">
        <v>0</v>
      </c>
      <c r="AL64">
        <v>0</v>
      </c>
      <c r="AO64" s="2"/>
      <c r="AP64" s="7">
        <v>75</v>
      </c>
      <c r="AQ64" s="7">
        <v>0</v>
      </c>
      <c r="AR64" s="7">
        <v>0</v>
      </c>
      <c r="AS64" s="9">
        <v>4.0933333333333337</v>
      </c>
    </row>
    <row r="65" spans="1:47">
      <c r="A65" t="s">
        <v>31</v>
      </c>
      <c r="B65" t="s">
        <v>32</v>
      </c>
      <c r="C65" t="s">
        <v>92</v>
      </c>
      <c r="D65">
        <v>129414</v>
      </c>
      <c r="E65">
        <v>129414</v>
      </c>
      <c r="G65" s="13" t="s">
        <v>98</v>
      </c>
      <c r="H65" t="s">
        <v>35</v>
      </c>
      <c r="I65" s="14">
        <v>348</v>
      </c>
      <c r="J65" s="14">
        <v>0</v>
      </c>
      <c r="K65" s="14">
        <v>0</v>
      </c>
      <c r="L65">
        <v>348</v>
      </c>
      <c r="M65" s="2"/>
      <c r="N65">
        <v>2</v>
      </c>
      <c r="Q65">
        <v>10</v>
      </c>
      <c r="T65">
        <v>40</v>
      </c>
      <c r="W65">
        <v>80</v>
      </c>
      <c r="Z65">
        <v>2</v>
      </c>
      <c r="AC65">
        <v>30</v>
      </c>
      <c r="AF65">
        <v>5</v>
      </c>
      <c r="AI65">
        <v>0</v>
      </c>
      <c r="AL65">
        <v>0</v>
      </c>
      <c r="AO65" s="2"/>
      <c r="AP65" s="7">
        <v>220</v>
      </c>
      <c r="AQ65" s="7">
        <v>0</v>
      </c>
      <c r="AR65" s="7">
        <v>0</v>
      </c>
      <c r="AS65" s="9">
        <v>1.5818181818181818</v>
      </c>
    </row>
    <row r="66" spans="1:47">
      <c r="A66" t="s">
        <v>31</v>
      </c>
      <c r="B66" t="s">
        <v>32</v>
      </c>
      <c r="C66" t="s">
        <v>92</v>
      </c>
      <c r="D66">
        <v>129417</v>
      </c>
      <c r="E66">
        <v>129417</v>
      </c>
      <c r="G66" s="13" t="s">
        <v>99</v>
      </c>
      <c r="H66" t="s">
        <v>35</v>
      </c>
      <c r="I66" s="14">
        <v>559</v>
      </c>
      <c r="J66" s="14">
        <v>0</v>
      </c>
      <c r="K66" s="14">
        <v>0</v>
      </c>
      <c r="L66">
        <v>559</v>
      </c>
      <c r="M66" s="2"/>
      <c r="N66">
        <v>0</v>
      </c>
      <c r="Q66">
        <v>0</v>
      </c>
      <c r="T66">
        <v>60</v>
      </c>
      <c r="W66">
        <v>50</v>
      </c>
      <c r="Z66">
        <v>0</v>
      </c>
      <c r="AC66">
        <v>0</v>
      </c>
      <c r="AF66">
        <v>0</v>
      </c>
      <c r="AI66">
        <v>0</v>
      </c>
      <c r="AL66">
        <v>0</v>
      </c>
      <c r="AO66" s="2"/>
      <c r="AP66" s="7">
        <v>160</v>
      </c>
      <c r="AQ66" s="7">
        <v>0</v>
      </c>
      <c r="AR66" s="7">
        <v>0</v>
      </c>
      <c r="AS66" s="9">
        <v>3.4937499999999999</v>
      </c>
    </row>
    <row r="67" spans="1:47">
      <c r="A67" t="s">
        <v>31</v>
      </c>
      <c r="B67" t="s">
        <v>32</v>
      </c>
      <c r="C67" t="s">
        <v>92</v>
      </c>
      <c r="D67">
        <v>129418</v>
      </c>
      <c r="E67">
        <v>129418</v>
      </c>
      <c r="G67" s="13" t="s">
        <v>100</v>
      </c>
      <c r="H67" t="s">
        <v>35</v>
      </c>
      <c r="I67" s="14">
        <v>137</v>
      </c>
      <c r="J67" s="14">
        <v>0</v>
      </c>
      <c r="K67" s="14">
        <v>0</v>
      </c>
      <c r="L67">
        <v>137</v>
      </c>
      <c r="M67" s="2"/>
      <c r="N67">
        <v>0</v>
      </c>
      <c r="Q67">
        <v>0</v>
      </c>
      <c r="T67">
        <v>47</v>
      </c>
      <c r="W67">
        <v>10</v>
      </c>
      <c r="Z67">
        <v>3</v>
      </c>
      <c r="AC67">
        <v>12</v>
      </c>
      <c r="AF67">
        <v>0</v>
      </c>
      <c r="AI67">
        <v>0</v>
      </c>
      <c r="AL67">
        <v>0</v>
      </c>
      <c r="AO67" s="2"/>
      <c r="AP67" s="7">
        <v>67</v>
      </c>
      <c r="AQ67" s="7">
        <v>0</v>
      </c>
      <c r="AR67" s="7">
        <v>0</v>
      </c>
      <c r="AS67" s="9">
        <v>2.044776119402985</v>
      </c>
    </row>
    <row r="68" spans="1:47">
      <c r="A68" t="s">
        <v>31</v>
      </c>
      <c r="B68" t="s">
        <v>32</v>
      </c>
      <c r="C68" t="s">
        <v>92</v>
      </c>
      <c r="D68">
        <v>129419</v>
      </c>
      <c r="E68">
        <v>129419</v>
      </c>
      <c r="G68" s="13" t="s">
        <v>101</v>
      </c>
      <c r="H68" t="s">
        <v>35</v>
      </c>
      <c r="I68" s="14">
        <v>379</v>
      </c>
      <c r="J68" s="14">
        <v>0</v>
      </c>
      <c r="K68" s="14">
        <v>0</v>
      </c>
      <c r="L68">
        <v>379</v>
      </c>
      <c r="M68" s="2"/>
      <c r="N68">
        <v>2</v>
      </c>
      <c r="Q68">
        <v>2</v>
      </c>
      <c r="T68">
        <v>50</v>
      </c>
      <c r="W68">
        <v>100</v>
      </c>
      <c r="Z68">
        <v>0</v>
      </c>
      <c r="AC68">
        <v>0</v>
      </c>
      <c r="AF68">
        <v>0</v>
      </c>
      <c r="AI68">
        <v>0</v>
      </c>
      <c r="AL68">
        <v>0</v>
      </c>
      <c r="AO68" s="2"/>
      <c r="AP68" s="7">
        <v>252</v>
      </c>
      <c r="AQ68" s="7">
        <v>0</v>
      </c>
      <c r="AR68" s="7">
        <v>0</v>
      </c>
      <c r="AS68" s="9">
        <v>1.503968253968254</v>
      </c>
    </row>
    <row r="69" spans="1:47">
      <c r="A69" t="s">
        <v>31</v>
      </c>
      <c r="B69" t="s">
        <v>32</v>
      </c>
      <c r="C69" t="s">
        <v>92</v>
      </c>
      <c r="D69">
        <v>129420</v>
      </c>
      <c r="E69">
        <v>129420</v>
      </c>
      <c r="G69" s="13" t="s">
        <v>102</v>
      </c>
      <c r="H69" t="s">
        <v>35</v>
      </c>
      <c r="I69" s="14">
        <v>227</v>
      </c>
      <c r="J69" s="14">
        <v>0</v>
      </c>
      <c r="K69" s="14">
        <v>0</v>
      </c>
      <c r="L69">
        <v>227</v>
      </c>
      <c r="M69" s="2"/>
      <c r="N69">
        <v>1</v>
      </c>
      <c r="Q69">
        <v>25</v>
      </c>
      <c r="T69">
        <v>115</v>
      </c>
      <c r="W69">
        <v>32</v>
      </c>
      <c r="Z69">
        <v>13</v>
      </c>
      <c r="AC69">
        <v>0</v>
      </c>
      <c r="AF69">
        <v>0</v>
      </c>
      <c r="AI69">
        <v>0</v>
      </c>
      <c r="AL69">
        <v>0</v>
      </c>
      <c r="AO69" s="2"/>
      <c r="AP69" s="7">
        <v>204</v>
      </c>
      <c r="AQ69" s="7">
        <v>0</v>
      </c>
      <c r="AR69" s="7">
        <v>0</v>
      </c>
      <c r="AS69" s="9">
        <v>1.1127450980392157</v>
      </c>
    </row>
    <row r="70" spans="1:47">
      <c r="A70" t="s">
        <v>31</v>
      </c>
      <c r="B70" t="s">
        <v>32</v>
      </c>
      <c r="C70" t="s">
        <v>92</v>
      </c>
      <c r="D70">
        <v>129421</v>
      </c>
      <c r="E70">
        <v>129421</v>
      </c>
      <c r="G70" s="13" t="s">
        <v>103</v>
      </c>
      <c r="H70" t="s">
        <v>35</v>
      </c>
      <c r="I70" s="14">
        <v>124</v>
      </c>
      <c r="J70" s="14">
        <v>0</v>
      </c>
      <c r="K70" s="14">
        <v>0</v>
      </c>
      <c r="L70">
        <v>124</v>
      </c>
      <c r="M70" s="2"/>
      <c r="N70">
        <v>6</v>
      </c>
      <c r="Q70">
        <v>10</v>
      </c>
      <c r="T70">
        <v>80</v>
      </c>
      <c r="W70">
        <v>0</v>
      </c>
      <c r="Z70">
        <v>7</v>
      </c>
      <c r="AC70">
        <v>20</v>
      </c>
      <c r="AF70">
        <v>0</v>
      </c>
      <c r="AI70">
        <v>0</v>
      </c>
      <c r="AL70">
        <v>0</v>
      </c>
      <c r="AO70" s="2"/>
      <c r="AP70" s="7">
        <v>90</v>
      </c>
      <c r="AQ70" s="7">
        <v>0</v>
      </c>
      <c r="AR70" s="7">
        <v>0</v>
      </c>
      <c r="AS70" s="9">
        <v>1.3777777777777778</v>
      </c>
    </row>
    <row r="71" spans="1:47">
      <c r="A71" t="s">
        <v>31</v>
      </c>
      <c r="B71" t="s">
        <v>32</v>
      </c>
      <c r="C71" t="s">
        <v>92</v>
      </c>
      <c r="D71">
        <v>129422</v>
      </c>
      <c r="E71">
        <v>129422</v>
      </c>
      <c r="G71" s="13" t="s">
        <v>104</v>
      </c>
      <c r="H71" t="s">
        <v>35</v>
      </c>
      <c r="I71" s="14">
        <v>171</v>
      </c>
      <c r="J71" s="14">
        <v>0</v>
      </c>
      <c r="K71" s="14">
        <v>0</v>
      </c>
      <c r="L71">
        <v>171</v>
      </c>
      <c r="M71" s="2"/>
      <c r="N71">
        <v>10</v>
      </c>
      <c r="Q71">
        <v>10</v>
      </c>
      <c r="T71">
        <v>0</v>
      </c>
      <c r="W71">
        <v>0</v>
      </c>
      <c r="Z71">
        <v>0</v>
      </c>
      <c r="AC71">
        <v>0</v>
      </c>
      <c r="AF71">
        <v>0</v>
      </c>
      <c r="AI71">
        <v>0</v>
      </c>
      <c r="AL71">
        <v>0</v>
      </c>
      <c r="AO71" s="2"/>
      <c r="AP71" s="7">
        <v>10</v>
      </c>
      <c r="AQ71" s="7">
        <v>0</v>
      </c>
      <c r="AR71" s="7">
        <v>0</v>
      </c>
      <c r="AS71" s="9">
        <v>17.100000000000001</v>
      </c>
    </row>
    <row r="72" spans="1:47">
      <c r="A72" t="s">
        <v>31</v>
      </c>
      <c r="B72" t="s">
        <v>32</v>
      </c>
      <c r="C72" t="s">
        <v>92</v>
      </c>
      <c r="D72">
        <v>304313</v>
      </c>
      <c r="E72">
        <v>304313</v>
      </c>
      <c r="F72" s="14"/>
      <c r="G72" s="13" t="s">
        <v>105</v>
      </c>
      <c r="H72" t="s">
        <v>48</v>
      </c>
      <c r="I72" s="14">
        <v>0</v>
      </c>
      <c r="J72" s="14">
        <v>575</v>
      </c>
      <c r="K72" s="14">
        <v>257</v>
      </c>
      <c r="L72">
        <v>832</v>
      </c>
      <c r="M72" s="2"/>
      <c r="O72">
        <v>0</v>
      </c>
      <c r="P72">
        <v>0</v>
      </c>
      <c r="R72">
        <v>0</v>
      </c>
      <c r="S72">
        <v>0</v>
      </c>
      <c r="U72" s="15">
        <v>0</v>
      </c>
      <c r="V72" s="15">
        <v>0</v>
      </c>
      <c r="X72" s="15">
        <v>0</v>
      </c>
      <c r="Y72" s="15">
        <v>0</v>
      </c>
      <c r="AA72" s="15">
        <v>0</v>
      </c>
      <c r="AB72" s="15">
        <v>0</v>
      </c>
      <c r="AD72" s="15">
        <v>0</v>
      </c>
      <c r="AE72" s="15">
        <v>0</v>
      </c>
      <c r="AG72">
        <v>0</v>
      </c>
      <c r="AH72">
        <v>0</v>
      </c>
      <c r="AJ72">
        <v>0</v>
      </c>
      <c r="AK72">
        <v>0</v>
      </c>
      <c r="AM72">
        <v>0</v>
      </c>
      <c r="AN72">
        <v>0</v>
      </c>
      <c r="AO72" s="2"/>
      <c r="AP72" s="7">
        <v>0</v>
      </c>
      <c r="AQ72" s="7">
        <v>0</v>
      </c>
      <c r="AR72" s="7">
        <v>0</v>
      </c>
      <c r="AT72" s="9" t="e">
        <v>#DIV/0!</v>
      </c>
      <c r="AU72" s="9" t="e">
        <v>#DIV/0!</v>
      </c>
    </row>
    <row r="73" spans="1:47">
      <c r="A73" t="s">
        <v>31</v>
      </c>
      <c r="B73" t="s">
        <v>32</v>
      </c>
      <c r="C73" t="s">
        <v>92</v>
      </c>
      <c r="D73">
        <v>304318</v>
      </c>
      <c r="E73">
        <v>304318</v>
      </c>
      <c r="G73" s="13" t="s">
        <v>106</v>
      </c>
      <c r="H73" t="s">
        <v>48</v>
      </c>
      <c r="I73" s="14">
        <v>0</v>
      </c>
      <c r="J73" s="14">
        <v>333</v>
      </c>
      <c r="K73" s="14">
        <v>150</v>
      </c>
      <c r="L73">
        <v>483</v>
      </c>
      <c r="M73" s="2"/>
      <c r="O73">
        <v>0</v>
      </c>
      <c r="P73">
        <v>0</v>
      </c>
      <c r="R73">
        <v>0</v>
      </c>
      <c r="S73">
        <v>0</v>
      </c>
      <c r="U73" s="15">
        <v>230.96273291925465</v>
      </c>
      <c r="V73" s="15">
        <v>104.03726708074534</v>
      </c>
      <c r="X73" s="15">
        <v>0</v>
      </c>
      <c r="Y73" s="15">
        <v>0</v>
      </c>
      <c r="AA73" s="15">
        <v>6.8944099378881987</v>
      </c>
      <c r="AB73" s="15">
        <v>3.1055900621118009</v>
      </c>
      <c r="AD73" s="15">
        <v>6.8944099378881987</v>
      </c>
      <c r="AE73" s="15">
        <v>3.1055900621118009</v>
      </c>
      <c r="AG73">
        <v>0</v>
      </c>
      <c r="AH73">
        <v>0</v>
      </c>
      <c r="AJ73">
        <v>46</v>
      </c>
      <c r="AK73">
        <v>0</v>
      </c>
      <c r="AM73">
        <v>0</v>
      </c>
      <c r="AN73">
        <v>46</v>
      </c>
      <c r="AO73" s="2"/>
      <c r="AP73" s="7">
        <v>0</v>
      </c>
      <c r="AQ73" s="7">
        <v>322.96273291925468</v>
      </c>
      <c r="AR73" s="7">
        <v>196.03726708074532</v>
      </c>
      <c r="AT73" s="9">
        <v>1.0310787160797739</v>
      </c>
      <c r="AU73" s="9">
        <v>0.76516063620809838</v>
      </c>
    </row>
    <row r="74" spans="1:47">
      <c r="A74" t="s">
        <v>31</v>
      </c>
      <c r="B74" t="s">
        <v>32</v>
      </c>
      <c r="C74" t="s">
        <v>92</v>
      </c>
      <c r="D74">
        <v>325105</v>
      </c>
      <c r="E74">
        <v>325105</v>
      </c>
      <c r="G74" s="13" t="s">
        <v>107</v>
      </c>
      <c r="H74" t="s">
        <v>48</v>
      </c>
      <c r="I74" s="14">
        <v>0</v>
      </c>
      <c r="J74" s="14">
        <v>402</v>
      </c>
      <c r="K74" s="14">
        <v>115</v>
      </c>
      <c r="L74">
        <v>517</v>
      </c>
      <c r="M74" s="2"/>
      <c r="O74">
        <v>0</v>
      </c>
      <c r="P74">
        <v>0</v>
      </c>
      <c r="R74">
        <v>0</v>
      </c>
      <c r="S74">
        <v>0</v>
      </c>
      <c r="U74" s="15">
        <v>50.541586073500966</v>
      </c>
      <c r="V74" s="15">
        <v>14.458413926499032</v>
      </c>
      <c r="X74" s="15">
        <v>0</v>
      </c>
      <c r="Y74" s="15">
        <v>0</v>
      </c>
      <c r="AA74" s="15">
        <v>2.3326885880077368</v>
      </c>
      <c r="AB74" s="15">
        <v>0.66731141199226307</v>
      </c>
      <c r="AD74" s="15">
        <v>62.205029013539658</v>
      </c>
      <c r="AE74" s="15">
        <v>17.794970986460349</v>
      </c>
      <c r="AG74">
        <v>0</v>
      </c>
      <c r="AH74">
        <v>0</v>
      </c>
      <c r="AJ74">
        <v>0</v>
      </c>
      <c r="AK74">
        <v>0</v>
      </c>
      <c r="AM74">
        <v>0</v>
      </c>
      <c r="AN74">
        <v>0</v>
      </c>
      <c r="AO74" s="2"/>
      <c r="AP74" s="7">
        <v>0</v>
      </c>
      <c r="AQ74" s="7">
        <v>50.541586073500966</v>
      </c>
      <c r="AR74" s="7">
        <v>14.458413926499032</v>
      </c>
      <c r="AT74" s="9">
        <v>7.953846153846154</v>
      </c>
      <c r="AU74" s="9">
        <v>7.953846153846154</v>
      </c>
    </row>
    <row r="75" spans="1:47">
      <c r="A75" t="s">
        <v>31</v>
      </c>
      <c r="B75" t="s">
        <v>32</v>
      </c>
      <c r="C75" t="s">
        <v>92</v>
      </c>
      <c r="D75">
        <v>501085</v>
      </c>
      <c r="E75">
        <v>501085</v>
      </c>
      <c r="G75" s="13" t="s">
        <v>108</v>
      </c>
      <c r="H75" t="s">
        <v>109</v>
      </c>
      <c r="I75" s="14">
        <v>386</v>
      </c>
      <c r="J75" s="14">
        <v>170</v>
      </c>
      <c r="K75" s="14">
        <v>0</v>
      </c>
      <c r="L75">
        <v>556</v>
      </c>
      <c r="M75" s="2"/>
      <c r="N75">
        <v>10</v>
      </c>
      <c r="O75">
        <v>0</v>
      </c>
      <c r="Q75">
        <v>25</v>
      </c>
      <c r="R75">
        <v>0</v>
      </c>
      <c r="T75">
        <v>95</v>
      </c>
      <c r="U75">
        <v>95</v>
      </c>
      <c r="W75">
        <v>0</v>
      </c>
      <c r="X75">
        <v>0</v>
      </c>
      <c r="Z75">
        <v>25</v>
      </c>
      <c r="AA75">
        <v>25</v>
      </c>
      <c r="AC75">
        <v>0</v>
      </c>
      <c r="AD75">
        <v>0</v>
      </c>
      <c r="AF75">
        <v>0</v>
      </c>
      <c r="AG75">
        <v>0</v>
      </c>
      <c r="AJ75">
        <v>0</v>
      </c>
      <c r="AL75">
        <v>0</v>
      </c>
      <c r="AM75">
        <v>0</v>
      </c>
      <c r="AO75" s="2"/>
      <c r="AP75" s="7">
        <v>120</v>
      </c>
      <c r="AQ75" s="7">
        <v>95</v>
      </c>
      <c r="AR75" s="7">
        <v>0</v>
      </c>
      <c r="AS75" s="9">
        <v>3.2166666666666668</v>
      </c>
      <c r="AT75" s="9">
        <v>1.7894736842105263</v>
      </c>
      <c r="AU75" s="9"/>
    </row>
    <row r="76" spans="1:47">
      <c r="A76" t="s">
        <v>31</v>
      </c>
      <c r="B76" t="s">
        <v>32</v>
      </c>
      <c r="C76" t="s">
        <v>92</v>
      </c>
      <c r="D76">
        <v>501086</v>
      </c>
      <c r="E76">
        <v>501086</v>
      </c>
      <c r="G76" s="13" t="s">
        <v>110</v>
      </c>
      <c r="H76" t="s">
        <v>52</v>
      </c>
      <c r="I76" s="14">
        <v>231</v>
      </c>
      <c r="J76" s="14">
        <v>97</v>
      </c>
      <c r="K76" s="14">
        <v>0</v>
      </c>
      <c r="L76">
        <v>328</v>
      </c>
      <c r="M76" s="2"/>
      <c r="N76">
        <v>9</v>
      </c>
      <c r="Q76">
        <v>20</v>
      </c>
      <c r="T76">
        <v>100</v>
      </c>
      <c r="U76" s="15">
        <v>100</v>
      </c>
      <c r="V76" s="15">
        <v>0</v>
      </c>
      <c r="W76">
        <v>15</v>
      </c>
      <c r="X76" s="15">
        <v>15</v>
      </c>
      <c r="Y76" s="15">
        <v>0</v>
      </c>
      <c r="Z76">
        <v>7</v>
      </c>
      <c r="AA76" s="15">
        <v>7</v>
      </c>
      <c r="AB76" s="15">
        <v>0</v>
      </c>
      <c r="AC76">
        <v>0</v>
      </c>
      <c r="AD76" s="15">
        <v>0</v>
      </c>
      <c r="AE76" s="15">
        <v>0</v>
      </c>
      <c r="AF76">
        <v>0</v>
      </c>
      <c r="AJ76">
        <v>0</v>
      </c>
      <c r="AN76">
        <v>0</v>
      </c>
      <c r="AO76" s="2"/>
      <c r="AP76" s="7">
        <v>150</v>
      </c>
      <c r="AQ76" s="7">
        <v>130</v>
      </c>
      <c r="AR76" s="7">
        <v>0</v>
      </c>
      <c r="AS76" s="9">
        <v>1.54</v>
      </c>
      <c r="AT76" s="9">
        <v>0.74615384615384617</v>
      </c>
      <c r="AU76" s="9" t="e">
        <v>#DIV/0!</v>
      </c>
    </row>
    <row r="77" spans="1:47">
      <c r="A77" t="s">
        <v>31</v>
      </c>
      <c r="B77" t="s">
        <v>32</v>
      </c>
      <c r="C77" t="s">
        <v>92</v>
      </c>
      <c r="D77">
        <v>501087</v>
      </c>
      <c r="E77">
        <v>501087</v>
      </c>
      <c r="G77" s="13" t="s">
        <v>111</v>
      </c>
      <c r="H77" t="s">
        <v>52</v>
      </c>
      <c r="I77" s="14">
        <v>200</v>
      </c>
      <c r="J77" s="14">
        <v>123</v>
      </c>
      <c r="K77" s="14">
        <v>74</v>
      </c>
      <c r="L77">
        <v>397</v>
      </c>
      <c r="M77" s="2"/>
      <c r="N77">
        <v>10</v>
      </c>
      <c r="Q77">
        <v>15</v>
      </c>
      <c r="T77">
        <v>120</v>
      </c>
      <c r="U77" s="15">
        <v>74.923857868020306</v>
      </c>
      <c r="V77" s="15">
        <v>45.076142131979694</v>
      </c>
      <c r="W77">
        <v>10</v>
      </c>
      <c r="X77" s="15">
        <v>6.2436548223350252</v>
      </c>
      <c r="Y77" s="15">
        <v>3.7563451776649748</v>
      </c>
      <c r="Z77">
        <v>0</v>
      </c>
      <c r="AA77" s="15">
        <v>0</v>
      </c>
      <c r="AB77" s="15">
        <v>0</v>
      </c>
      <c r="AC77">
        <v>15</v>
      </c>
      <c r="AD77" s="15">
        <v>9.3654822335025383</v>
      </c>
      <c r="AE77" s="15">
        <v>5.6345177664974617</v>
      </c>
      <c r="AF77">
        <v>0</v>
      </c>
      <c r="AJ77">
        <v>0</v>
      </c>
      <c r="AN77">
        <v>0</v>
      </c>
      <c r="AO77" s="2"/>
      <c r="AP77" s="7">
        <v>155</v>
      </c>
      <c r="AQ77" s="7">
        <v>87.411167512690369</v>
      </c>
      <c r="AR77" s="7">
        <v>52.588832487309645</v>
      </c>
      <c r="AS77" s="9">
        <v>1.2903225806451613</v>
      </c>
      <c r="AT77" s="9">
        <v>1.407142857142857</v>
      </c>
      <c r="AU77" s="9">
        <v>1.407142857142857</v>
      </c>
    </row>
    <row r="78" spans="1:47">
      <c r="A78" t="s">
        <v>31</v>
      </c>
      <c r="B78" t="s">
        <v>32</v>
      </c>
      <c r="C78" t="s">
        <v>33</v>
      </c>
      <c r="D78">
        <v>306039</v>
      </c>
      <c r="E78">
        <v>306039</v>
      </c>
      <c r="G78" s="13" t="s">
        <v>112</v>
      </c>
      <c r="H78" t="s">
        <v>48</v>
      </c>
      <c r="I78" s="14">
        <v>0</v>
      </c>
      <c r="J78" s="14">
        <v>128</v>
      </c>
      <c r="K78" s="14">
        <v>38</v>
      </c>
      <c r="L78">
        <v>166</v>
      </c>
      <c r="M78" s="2"/>
      <c r="O78">
        <v>0</v>
      </c>
      <c r="P78">
        <v>0</v>
      </c>
      <c r="R78">
        <v>0</v>
      </c>
      <c r="S78">
        <v>0</v>
      </c>
      <c r="U78" s="15">
        <v>0</v>
      </c>
      <c r="V78" s="15">
        <v>0</v>
      </c>
      <c r="X78" s="15">
        <v>0</v>
      </c>
      <c r="Y78" s="15">
        <v>0</v>
      </c>
      <c r="AA78" s="15">
        <v>0</v>
      </c>
      <c r="AB78" s="15">
        <v>0</v>
      </c>
      <c r="AD78" s="15">
        <v>0</v>
      </c>
      <c r="AE78" s="15">
        <v>0</v>
      </c>
      <c r="AG78">
        <v>0</v>
      </c>
      <c r="AH78">
        <v>0</v>
      </c>
      <c r="AJ78">
        <v>0</v>
      </c>
      <c r="AK78">
        <v>0</v>
      </c>
      <c r="AM78">
        <v>0</v>
      </c>
      <c r="AN78">
        <v>0</v>
      </c>
      <c r="AO78" s="2"/>
      <c r="AP78" s="7">
        <v>0</v>
      </c>
      <c r="AQ78" s="7">
        <v>0</v>
      </c>
      <c r="AR78" s="7">
        <v>0</v>
      </c>
      <c r="AT78" s="9" t="e">
        <v>#DIV/0!</v>
      </c>
      <c r="AU78" s="9" t="e">
        <v>#DIV/0!</v>
      </c>
    </row>
  </sheetData>
  <mergeCells count="12">
    <mergeCell ref="AS4:AU4"/>
    <mergeCell ref="I4:L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P4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2023-09-05T07:52:05Z</dcterms:created>
  <dcterms:modified xsi:type="dcterms:W3CDTF">2023-11-23T03:18:09Z</dcterms:modified>
  <cp:category/>
  <cp:contentStatus/>
</cp:coreProperties>
</file>