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168" documentId="8_{686E06BC-6F95-4C00-B235-C4CBC6C98B92}" xr6:coauthVersionLast="47" xr6:coauthVersionMax="47" xr10:uidLastSave="{7CB2E65B-E55D-45FE-952F-E1E79F9E750D}"/>
  <bookViews>
    <workbookView xWindow="-120" yWindow="-120" windowWidth="29040" windowHeight="15720" firstSheet="2" activeTab="2" xr2:uid="{1C160EB4-3A68-46AD-A714-C36A4EECA104}"/>
  </bookViews>
  <sheets>
    <sheet name="Sheet1" sheetId="1" r:id="rId1"/>
    <sheet name="ES" sheetId="2" r:id="rId2"/>
    <sheet name="JHS" sheetId="3" r:id="rId3"/>
    <sheet name="SH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" l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3" i="4"/>
  <c r="W25" i="4"/>
  <c r="W24" i="4" s="1"/>
  <c r="W23" i="4" s="1"/>
  <c r="W22" i="4" s="1"/>
  <c r="W21" i="4" s="1"/>
  <c r="W20" i="4" s="1"/>
  <c r="W19" i="4" s="1"/>
  <c r="W18" i="4" s="1"/>
  <c r="W17" i="4" s="1"/>
  <c r="W16" i="4" s="1"/>
  <c r="W15" i="4" s="1"/>
  <c r="W14" i="4" s="1"/>
  <c r="W13" i="4" s="1"/>
  <c r="W12" i="4" s="1"/>
  <c r="W11" i="4" s="1"/>
  <c r="W10" i="4" s="1"/>
  <c r="W9" i="4" s="1"/>
  <c r="W8" i="4" s="1"/>
  <c r="W7" i="4" s="1"/>
  <c r="W6" i="4" s="1"/>
  <c r="W5" i="4" s="1"/>
  <c r="W4" i="4" s="1"/>
  <c r="W3" i="4"/>
  <c r="X4" i="3"/>
  <c r="V26" i="4" a="1"/>
  <c r="V26" i="4"/>
  <c r="V27" i="3" a="1"/>
  <c r="V27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V27" i="2"/>
  <c r="T57" i="2" a="1"/>
  <c r="T57" i="2"/>
  <c r="U4" i="2"/>
  <c r="T26" i="3"/>
  <c r="T25" i="3"/>
  <c r="T24" i="3"/>
  <c r="T23" i="3"/>
  <c r="T8" i="3"/>
  <c r="T7" i="3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4" i="2"/>
  <c r="Y7" i="1"/>
  <c r="Y79" i="1" a="1"/>
  <c r="Y79" i="1"/>
  <c r="Y8" i="1"/>
  <c r="Y9" i="1"/>
  <c r="Y10" i="1"/>
  <c r="Y11" i="1"/>
  <c r="Y12" i="1"/>
  <c r="Y13" i="1"/>
  <c r="Y14" i="1"/>
  <c r="Y15" i="1"/>
  <c r="Y16" i="1"/>
  <c r="Y17" i="1"/>
  <c r="Y18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60" i="1"/>
  <c r="Y61" i="1"/>
  <c r="Y62" i="1"/>
  <c r="Y63" i="1"/>
  <c r="Y64" i="1"/>
  <c r="Y65" i="1"/>
  <c r="Y66" i="1"/>
  <c r="Y67" i="1"/>
  <c r="Y68" i="1"/>
  <c r="Y69" i="1"/>
  <c r="Y70" i="1"/>
  <c r="Y71" i="1"/>
  <c r="Y75" i="1"/>
  <c r="Y76" i="1"/>
  <c r="Y77" i="1"/>
  <c r="Y7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<sst xmlns="http://schemas.openxmlformats.org/spreadsheetml/2006/main" count="841" uniqueCount="114">
  <si>
    <t>School Level Data on Number of Classroom</t>
  </si>
  <si>
    <t xml:space="preserve">SY 2022-2023 </t>
  </si>
  <si>
    <t>List of Schools are based on LIS, as of January 10, 2023</t>
  </si>
  <si>
    <t>Room Details are based on NSBI as of June 30, 2023</t>
  </si>
  <si>
    <t>Enrollment</t>
  </si>
  <si>
    <t>Instructional Room</t>
  </si>
  <si>
    <t>Non-Instructional Room</t>
  </si>
  <si>
    <t>Grand Total</t>
  </si>
  <si>
    <t>Ratio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</si>
  <si>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</si>
  <si>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</si>
  <si>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</si>
  <si>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</si>
  <si>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</si>
  <si>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</si>
  <si>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</si>
  <si>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Modified Curricular Offering Classification</t>
  </si>
  <si>
    <t>COC NSBI</t>
  </si>
  <si>
    <t>ES</t>
  </si>
  <si>
    <t>JHS</t>
  </si>
  <si>
    <t>SHS</t>
  </si>
  <si>
    <t>Total</t>
  </si>
  <si>
    <t>ES (CL)</t>
  </si>
  <si>
    <t>SS</t>
  </si>
  <si>
    <t>JHS (CL)</t>
  </si>
  <si>
    <t>SHS (CL)</t>
  </si>
  <si>
    <t>ES (N-CL)</t>
  </si>
  <si>
    <t>JHS (N-CL)</t>
  </si>
  <si>
    <t>SHS (N-CL)</t>
  </si>
  <si>
    <t>Region XI</t>
  </si>
  <si>
    <t>Mati City</t>
  </si>
  <si>
    <t>Mati Central</t>
  </si>
  <si>
    <t>Badas ES</t>
  </si>
  <si>
    <t>Purely ES</t>
  </si>
  <si>
    <t>No Data Found in NSBI - Room Details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</si>
  <si>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</si>
  <si>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</si>
  <si>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</si>
  <si>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</si>
  <si>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</si>
  <si>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</si>
  <si>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</si>
  <si>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</si>
  <si>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</si>
  <si>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</si>
  <si>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</si>
  <si>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</si>
  <si>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JHS with SHS</t>
  </si>
  <si>
    <t>Mati SAT</t>
  </si>
  <si>
    <t>Badas NHS</t>
  </si>
  <si>
    <t>Licop Integrated School</t>
  </si>
  <si>
    <t>All Offering (K to 12)</t>
  </si>
  <si>
    <t>Culian Integrated School</t>
  </si>
  <si>
    <t>Mati North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</si>
  <si>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</si>
  <si>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</si>
  <si>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</si>
  <si>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</si>
  <si>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</si>
  <si>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</si>
  <si>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</si>
  <si>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</si>
  <si>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</si>
  <si>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</si>
  <si>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</si>
  <si>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</si>
  <si>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</si>
  <si>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</si>
  <si>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</si>
  <si>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</si>
  <si>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</si>
  <si>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</si>
  <si>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</si>
  <si>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</si>
  <si>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</si>
  <si>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</si>
  <si>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</si>
  <si>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</si>
  <si>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</si>
  <si>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</si>
  <si>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</si>
  <si>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</si>
  <si>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</si>
  <si>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</si>
  <si>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</si>
  <si>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</si>
  <si>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</si>
  <si>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</si>
  <si>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Purely JHS</t>
  </si>
  <si>
    <t>Lawigan National High School</t>
  </si>
  <si>
    <t>Mayo NHS</t>
  </si>
  <si>
    <t>Mati South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</si>
  <si>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</si>
  <si>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</si>
  <si>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</si>
  <si>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</si>
  <si>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</si>
  <si>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</si>
  <si>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</si>
  <si>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</si>
  <si>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</si>
  <si>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</si>
  <si>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</si>
  <si>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</si>
  <si>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</si>
  <si>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</si>
  <si>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</si>
  <si>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</si>
  <si>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ES and JHS 
(K to 10)</t>
  </si>
  <si>
    <t>Lanca Integrated School</t>
  </si>
  <si>
    <t>Luban Integrated School</t>
  </si>
  <si>
    <t>Sanghay National High School</t>
  </si>
  <si>
    <t>JHS enrollment</t>
  </si>
  <si>
    <t>JHS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</si>
</sst>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top"/>
    </xf>
    <xf numFmtId="164" fontId="0" fillId="0" borderId="0" xfId="1" applyNumberFormat="1" applyFont="1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164" fontId="1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2FA6-7B00-4A19-AE04-887E689F4033}">
  <dimension ref="A1:AA79"/>
  <sheetViews>
    <sheetView workbookViewId="0">
      <pane xSplit="1" ySplit="6" topLeftCell="B59" activePane="bottomRight" state="frozen"/>
      <selection pane="bottomRight" activeCell="G72" activeCellId="2" sqref="G19:AA23 G49:AA59 G72:AA78"/>
      <selection pane="bottomLeft" activeCell="A7" sqref="A7"/>
      <selection pane="topRight" activeCell="B1" sqref="B1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41.5703125" customWidth="1"/>
    <col min="8" max="9" width="0" hidden="1" customWidth="1"/>
    <col min="10" max="10" width="11.5703125" bestFit="1" customWidth="1"/>
    <col min="11" max="12" width="10.5703125" bestFit="1" customWidth="1"/>
    <col min="13" max="13" width="11.5703125" bestFit="1" customWidth="1"/>
  </cols>
  <sheetData>
    <row r="1" spans="1:27">
      <c r="A1" s="1" t="s">
        <v>0</v>
      </c>
      <c r="J1" s="2"/>
      <c r="K1" s="2"/>
      <c r="L1" s="2"/>
      <c r="M1" s="2"/>
      <c r="N1" s="3"/>
      <c r="X1" s="3"/>
    </row>
    <row r="2" spans="1:27">
      <c r="A2" s="1" t="s">
        <v>1</v>
      </c>
      <c r="J2" s="2"/>
      <c r="K2" s="2"/>
      <c r="L2" s="2"/>
      <c r="M2" s="2"/>
      <c r="N2" s="3"/>
      <c r="X2" s="3"/>
    </row>
    <row r="3" spans="1:27">
      <c r="A3" s="1" t="s">
        <v>2</v>
      </c>
      <c r="J3" s="2"/>
      <c r="K3" s="2"/>
      <c r="L3" s="2"/>
      <c r="M3" s="2"/>
      <c r="N3" s="3"/>
      <c r="X3" s="3"/>
    </row>
    <row r="4" spans="1:27">
      <c r="A4" s="1" t="s">
        <v>3</v>
      </c>
      <c r="N4" s="3"/>
      <c r="X4" s="3"/>
    </row>
    <row r="5" spans="1:27" ht="30">
      <c r="J5" s="16" t="s">
        <v>4</v>
      </c>
      <c r="K5" s="16"/>
      <c r="L5" s="16"/>
      <c r="M5" s="16"/>
      <c r="N5" s="3"/>
      <c r="O5" s="17" t="s">
        <v>5</v>
      </c>
      <c r="P5" s="17"/>
      <c r="Q5" s="17"/>
      <c r="R5" s="17"/>
      <c r="S5" s="17" t="s">
        <v>6</v>
      </c>
      <c r="T5" s="17"/>
      <c r="U5" s="17"/>
      <c r="V5" s="17"/>
      <c r="W5" s="4" t="s">
        <v>7</v>
      </c>
      <c r="X5" s="3"/>
      <c r="Y5" s="18" t="s">
        <v>8</v>
      </c>
      <c r="Z5" s="18"/>
      <c r="AA5" s="18"/>
    </row>
    <row r="6" spans="1:27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3">
        <v>1</v>
      </c>
      <c r="O6" s="7" t="s">
        <v>22</v>
      </c>
      <c r="P6" s="7" t="s">
        <v>23</v>
      </c>
      <c r="Q6" s="8" t="s">
        <v>24</v>
      </c>
      <c r="R6" s="9" t="s">
        <v>25</v>
      </c>
      <c r="S6" s="7" t="s">
        <v>26</v>
      </c>
      <c r="T6" s="7" t="s">
        <v>23</v>
      </c>
      <c r="U6" s="8" t="s">
        <v>27</v>
      </c>
      <c r="V6" s="9" t="s">
        <v>28</v>
      </c>
      <c r="W6" s="7" t="s">
        <v>7</v>
      </c>
      <c r="X6" s="3">
        <v>1</v>
      </c>
      <c r="Y6" s="10" t="s">
        <v>18</v>
      </c>
      <c r="Z6" s="10" t="s">
        <v>19</v>
      </c>
      <c r="AA6" s="10" t="s">
        <v>20</v>
      </c>
    </row>
    <row r="7" spans="1:27">
      <c r="A7" t="s">
        <v>29</v>
      </c>
      <c r="B7" t="s">
        <v>30</v>
      </c>
      <c r="C7" t="s">
        <v>31</v>
      </c>
      <c r="D7">
        <v>129374</v>
      </c>
      <c r="E7">
        <v>129374</v>
      </c>
      <c r="G7" t="s">
        <v>32</v>
      </c>
      <c r="H7" s="11" t="s">
        <v>33</v>
      </c>
      <c r="I7" t="s">
        <v>33</v>
      </c>
      <c r="J7" s="12">
        <v>461</v>
      </c>
      <c r="K7" s="12">
        <v>0</v>
      </c>
      <c r="L7" s="12">
        <v>0</v>
      </c>
      <c r="M7" s="2">
        <v>461</v>
      </c>
      <c r="N7" s="3"/>
      <c r="O7">
        <v>15</v>
      </c>
      <c r="S7">
        <v>6</v>
      </c>
      <c r="W7">
        <v>21</v>
      </c>
      <c r="X7" s="3"/>
      <c r="Y7" s="14">
        <f>IFERROR(O7/J7, 0)</f>
        <v>3.2537960954446853E-2</v>
      </c>
    </row>
    <row r="8" spans="1:27">
      <c r="A8" t="s">
        <v>29</v>
      </c>
      <c r="B8" t="s">
        <v>30</v>
      </c>
      <c r="C8" t="s">
        <v>31</v>
      </c>
      <c r="D8">
        <v>129375</v>
      </c>
      <c r="E8" t="e">
        <v>#N/A</v>
      </c>
      <c r="F8" s="11" t="s">
        <v>34</v>
      </c>
      <c r="G8" t="s">
        <v>35</v>
      </c>
      <c r="H8" s="11" t="s">
        <v>33</v>
      </c>
      <c r="I8" t="s">
        <v>33</v>
      </c>
      <c r="J8" s="12">
        <v>192</v>
      </c>
      <c r="K8" s="12">
        <v>0</v>
      </c>
      <c r="L8" s="12">
        <v>0</v>
      </c>
      <c r="M8" s="2">
        <v>192</v>
      </c>
      <c r="N8" s="3"/>
      <c r="X8" s="3"/>
      <c r="Y8" s="14">
        <f t="shared" ref="Y8:Y71" si="0">IFERROR(O8/J8, 0)</f>
        <v>0</v>
      </c>
    </row>
    <row r="9" spans="1:27">
      <c r="A9" t="s">
        <v>29</v>
      </c>
      <c r="B9" t="s">
        <v>30</v>
      </c>
      <c r="C9" t="s">
        <v>31</v>
      </c>
      <c r="D9">
        <v>129376</v>
      </c>
      <c r="E9">
        <v>129376</v>
      </c>
      <c r="G9" t="s">
        <v>36</v>
      </c>
      <c r="H9" s="11" t="s">
        <v>33</v>
      </c>
      <c r="I9" t="s">
        <v>33</v>
      </c>
      <c r="J9" s="12">
        <v>304</v>
      </c>
      <c r="K9" s="12">
        <v>0</v>
      </c>
      <c r="L9" s="12">
        <v>0</v>
      </c>
      <c r="M9" s="2">
        <v>304</v>
      </c>
      <c r="N9" s="3"/>
      <c r="O9">
        <v>3</v>
      </c>
      <c r="S9">
        <v>1</v>
      </c>
      <c r="W9">
        <v>4</v>
      </c>
      <c r="X9" s="3"/>
      <c r="Y9" s="14">
        <f t="shared" si="0"/>
        <v>9.8684210526315784E-3</v>
      </c>
    </row>
    <row r="10" spans="1:27">
      <c r="A10" t="s">
        <v>29</v>
      </c>
      <c r="B10" t="s">
        <v>30</v>
      </c>
      <c r="C10" t="s">
        <v>31</v>
      </c>
      <c r="D10">
        <v>129377</v>
      </c>
      <c r="E10">
        <v>129377</v>
      </c>
      <c r="G10" t="s">
        <v>37</v>
      </c>
      <c r="H10" s="11" t="s">
        <v>33</v>
      </c>
      <c r="I10" t="s">
        <v>33</v>
      </c>
      <c r="J10" s="12">
        <v>321</v>
      </c>
      <c r="K10" s="12">
        <v>0</v>
      </c>
      <c r="L10" s="12">
        <v>0</v>
      </c>
      <c r="M10" s="2">
        <v>321</v>
      </c>
      <c r="N10" s="3"/>
      <c r="O10">
        <v>14</v>
      </c>
      <c r="S10">
        <v>3</v>
      </c>
      <c r="W10">
        <v>17</v>
      </c>
      <c r="X10" s="3"/>
      <c r="Y10" s="14">
        <f t="shared" si="0"/>
        <v>4.3613707165109032E-2</v>
      </c>
    </row>
    <row r="11" spans="1:27">
      <c r="A11" t="s">
        <v>29</v>
      </c>
      <c r="B11" t="s">
        <v>30</v>
      </c>
      <c r="C11" t="s">
        <v>31</v>
      </c>
      <c r="D11">
        <v>129380</v>
      </c>
      <c r="E11">
        <v>129380</v>
      </c>
      <c r="G11" t="s">
        <v>38</v>
      </c>
      <c r="H11" s="11" t="s">
        <v>33</v>
      </c>
      <c r="I11" t="s">
        <v>33</v>
      </c>
      <c r="J11" s="12">
        <v>1188</v>
      </c>
      <c r="K11" s="12">
        <v>0</v>
      </c>
      <c r="L11" s="12">
        <v>0</v>
      </c>
      <c r="M11" s="2">
        <v>1188</v>
      </c>
      <c r="N11" s="3"/>
      <c r="O11">
        <v>39</v>
      </c>
      <c r="S11">
        <v>21</v>
      </c>
      <c r="W11">
        <v>60</v>
      </c>
      <c r="X11" s="3"/>
      <c r="Y11" s="14">
        <f t="shared" si="0"/>
        <v>3.2828282828282832E-2</v>
      </c>
    </row>
    <row r="12" spans="1:27">
      <c r="A12" t="s">
        <v>29</v>
      </c>
      <c r="B12" t="s">
        <v>30</v>
      </c>
      <c r="C12" t="s">
        <v>31</v>
      </c>
      <c r="D12">
        <v>129381</v>
      </c>
      <c r="E12">
        <v>129381</v>
      </c>
      <c r="G12" t="s">
        <v>39</v>
      </c>
      <c r="H12" s="11" t="s">
        <v>33</v>
      </c>
      <c r="I12" t="s">
        <v>33</v>
      </c>
      <c r="J12" s="12">
        <v>1216</v>
      </c>
      <c r="K12" s="12">
        <v>0</v>
      </c>
      <c r="L12" s="12">
        <v>0</v>
      </c>
      <c r="M12" s="2">
        <v>1216</v>
      </c>
      <c r="N12" s="3"/>
      <c r="O12">
        <v>38</v>
      </c>
      <c r="S12">
        <v>10</v>
      </c>
      <c r="W12">
        <v>48</v>
      </c>
      <c r="X12" s="3"/>
      <c r="Y12" s="14">
        <f t="shared" si="0"/>
        <v>3.125E-2</v>
      </c>
    </row>
    <row r="13" spans="1:27">
      <c r="A13" t="s">
        <v>29</v>
      </c>
      <c r="B13" t="s">
        <v>30</v>
      </c>
      <c r="C13" t="s">
        <v>31</v>
      </c>
      <c r="D13">
        <v>129382</v>
      </c>
      <c r="E13">
        <v>129382</v>
      </c>
      <c r="G13" t="s">
        <v>40</v>
      </c>
      <c r="H13" s="11" t="s">
        <v>33</v>
      </c>
      <c r="I13" t="s">
        <v>33</v>
      </c>
      <c r="J13" s="12">
        <v>1984</v>
      </c>
      <c r="K13" s="12">
        <v>0</v>
      </c>
      <c r="L13" s="12">
        <v>0</v>
      </c>
      <c r="M13" s="2">
        <v>1984</v>
      </c>
      <c r="N13" s="3"/>
      <c r="O13">
        <v>44</v>
      </c>
      <c r="S13">
        <v>2</v>
      </c>
      <c r="W13">
        <v>46</v>
      </c>
      <c r="X13" s="3"/>
      <c r="Y13" s="14">
        <f t="shared" si="0"/>
        <v>2.2177419354838711E-2</v>
      </c>
    </row>
    <row r="14" spans="1:27">
      <c r="A14" t="s">
        <v>29</v>
      </c>
      <c r="B14" t="s">
        <v>30</v>
      </c>
      <c r="C14" t="s">
        <v>31</v>
      </c>
      <c r="D14">
        <v>129383</v>
      </c>
      <c r="E14">
        <v>129383</v>
      </c>
      <c r="G14" t="s">
        <v>41</v>
      </c>
      <c r="H14" s="11" t="s">
        <v>33</v>
      </c>
      <c r="I14" t="s">
        <v>33</v>
      </c>
      <c r="J14" s="12">
        <v>982</v>
      </c>
      <c r="K14" s="12">
        <v>0</v>
      </c>
      <c r="L14" s="12">
        <v>0</v>
      </c>
      <c r="M14" s="2">
        <v>982</v>
      </c>
      <c r="N14" s="3"/>
      <c r="O14">
        <v>35</v>
      </c>
      <c r="S14">
        <v>1</v>
      </c>
      <c r="W14">
        <v>36</v>
      </c>
      <c r="X14" s="3"/>
      <c r="Y14" s="14">
        <f t="shared" si="0"/>
        <v>3.5641547861507125E-2</v>
      </c>
    </row>
    <row r="15" spans="1:27">
      <c r="A15" t="s">
        <v>29</v>
      </c>
      <c r="B15" t="s">
        <v>30</v>
      </c>
      <c r="C15" t="s">
        <v>31</v>
      </c>
      <c r="D15">
        <v>129384</v>
      </c>
      <c r="E15">
        <v>129384</v>
      </c>
      <c r="G15" t="s">
        <v>42</v>
      </c>
      <c r="H15" s="11" t="s">
        <v>33</v>
      </c>
      <c r="I15" t="s">
        <v>33</v>
      </c>
      <c r="J15" s="12">
        <v>126</v>
      </c>
      <c r="K15" s="12">
        <v>0</v>
      </c>
      <c r="L15" s="12">
        <v>0</v>
      </c>
      <c r="M15" s="2">
        <v>126</v>
      </c>
      <c r="N15" s="3"/>
      <c r="O15">
        <v>8</v>
      </c>
      <c r="S15">
        <v>0</v>
      </c>
      <c r="W15">
        <v>8</v>
      </c>
      <c r="X15" s="3"/>
      <c r="Y15" s="14">
        <f t="shared" si="0"/>
        <v>6.3492063492063489E-2</v>
      </c>
    </row>
    <row r="16" spans="1:27">
      <c r="A16" t="s">
        <v>29</v>
      </c>
      <c r="B16" t="s">
        <v>30</v>
      </c>
      <c r="C16" t="s">
        <v>31</v>
      </c>
      <c r="D16">
        <v>129385</v>
      </c>
      <c r="E16">
        <v>129385</v>
      </c>
      <c r="G16" t="s">
        <v>43</v>
      </c>
      <c r="H16" s="11" t="s">
        <v>33</v>
      </c>
      <c r="I16" t="s">
        <v>33</v>
      </c>
      <c r="J16" s="12">
        <v>806</v>
      </c>
      <c r="K16" s="12">
        <v>0</v>
      </c>
      <c r="L16" s="12">
        <v>0</v>
      </c>
      <c r="M16" s="2">
        <v>806</v>
      </c>
      <c r="N16" s="3"/>
      <c r="O16">
        <v>12</v>
      </c>
      <c r="S16">
        <v>7</v>
      </c>
      <c r="W16">
        <v>19</v>
      </c>
      <c r="X16" s="3"/>
      <c r="Y16" s="14">
        <f t="shared" si="0"/>
        <v>1.488833746898263E-2</v>
      </c>
    </row>
    <row r="17" spans="1:27">
      <c r="A17" t="s">
        <v>29</v>
      </c>
      <c r="B17" t="s">
        <v>30</v>
      </c>
      <c r="C17" t="s">
        <v>31</v>
      </c>
      <c r="D17">
        <v>129386</v>
      </c>
      <c r="E17">
        <v>129386</v>
      </c>
      <c r="G17" t="s">
        <v>44</v>
      </c>
      <c r="H17" s="11" t="s">
        <v>33</v>
      </c>
      <c r="I17" t="s">
        <v>33</v>
      </c>
      <c r="J17" s="12">
        <v>146</v>
      </c>
      <c r="K17" s="12">
        <v>0</v>
      </c>
      <c r="L17" s="12">
        <v>0</v>
      </c>
      <c r="M17" s="2">
        <v>146</v>
      </c>
      <c r="N17" s="3"/>
      <c r="O17">
        <v>7</v>
      </c>
      <c r="S17">
        <v>0</v>
      </c>
      <c r="W17">
        <v>7</v>
      </c>
      <c r="X17" s="3"/>
      <c r="Y17" s="14">
        <f t="shared" si="0"/>
        <v>4.7945205479452052E-2</v>
      </c>
    </row>
    <row r="18" spans="1:27">
      <c r="A18" t="s">
        <v>29</v>
      </c>
      <c r="B18" t="s">
        <v>30</v>
      </c>
      <c r="C18" t="s">
        <v>31</v>
      </c>
      <c r="D18">
        <v>205504</v>
      </c>
      <c r="E18">
        <v>205504</v>
      </c>
      <c r="G18" t="s">
        <v>45</v>
      </c>
      <c r="H18" s="11" t="s">
        <v>33</v>
      </c>
      <c r="I18" t="s">
        <v>33</v>
      </c>
      <c r="J18" s="12">
        <v>975</v>
      </c>
      <c r="K18" s="12">
        <v>0</v>
      </c>
      <c r="L18" s="12">
        <v>0</v>
      </c>
      <c r="M18" s="2">
        <v>975</v>
      </c>
      <c r="N18" s="3"/>
      <c r="O18">
        <v>12</v>
      </c>
      <c r="S18">
        <v>1</v>
      </c>
      <c r="W18">
        <v>13</v>
      </c>
      <c r="X18" s="3"/>
      <c r="Y18" s="14">
        <f t="shared" si="0"/>
        <v>1.2307692307692308E-2</v>
      </c>
    </row>
    <row r="19" spans="1:27">
      <c r="A19" t="s">
        <v>29</v>
      </c>
      <c r="B19" t="s">
        <v>30</v>
      </c>
      <c r="C19" t="s">
        <v>31</v>
      </c>
      <c r="D19">
        <v>304325</v>
      </c>
      <c r="E19">
        <v>304325</v>
      </c>
      <c r="G19" t="s">
        <v>46</v>
      </c>
      <c r="H19" s="11" t="s">
        <v>47</v>
      </c>
      <c r="I19" t="s">
        <v>47</v>
      </c>
      <c r="J19" s="12">
        <v>0</v>
      </c>
      <c r="K19" s="12">
        <v>3471</v>
      </c>
      <c r="L19" s="12">
        <v>2000</v>
      </c>
      <c r="M19" s="2">
        <v>5471</v>
      </c>
      <c r="N19" s="3"/>
      <c r="P19">
        <v>109</v>
      </c>
      <c r="Q19" s="14">
        <v>69.153536830561137</v>
      </c>
      <c r="R19" s="14">
        <v>39.846463169438856</v>
      </c>
      <c r="T19">
        <v>12</v>
      </c>
      <c r="U19" s="14">
        <v>7.6132334125388406</v>
      </c>
      <c r="V19" s="14">
        <v>4.3867665874611586</v>
      </c>
      <c r="W19">
        <v>121</v>
      </c>
      <c r="X19" s="3"/>
      <c r="Y19" s="14"/>
      <c r="Z19" s="13">
        <v>50.192660550458719</v>
      </c>
      <c r="AA19" s="13">
        <v>50.192660550458719</v>
      </c>
    </row>
    <row r="20" spans="1:27">
      <c r="A20" t="s">
        <v>29</v>
      </c>
      <c r="B20" t="s">
        <v>30</v>
      </c>
      <c r="C20" t="s">
        <v>31</v>
      </c>
      <c r="D20">
        <v>304326</v>
      </c>
      <c r="E20">
        <v>304326</v>
      </c>
      <c r="G20" t="s">
        <v>48</v>
      </c>
      <c r="H20" s="11" t="s">
        <v>47</v>
      </c>
      <c r="I20" t="s">
        <v>47</v>
      </c>
      <c r="J20" s="12">
        <v>0</v>
      </c>
      <c r="K20" s="12">
        <v>705</v>
      </c>
      <c r="L20" s="12">
        <v>562</v>
      </c>
      <c r="M20" s="2">
        <v>1267</v>
      </c>
      <c r="N20" s="3"/>
      <c r="P20">
        <v>45</v>
      </c>
      <c r="Q20" s="14">
        <v>25.039463299131807</v>
      </c>
      <c r="R20" s="14">
        <v>19.960536700868193</v>
      </c>
      <c r="T20">
        <v>14</v>
      </c>
      <c r="U20" s="14">
        <v>7.790055248618784</v>
      </c>
      <c r="V20" s="14">
        <v>6.2099447513812152</v>
      </c>
      <c r="W20">
        <v>59</v>
      </c>
      <c r="X20" s="3"/>
      <c r="Y20" s="14"/>
      <c r="Z20" s="13">
        <v>28.155555555555555</v>
      </c>
      <c r="AA20" s="13">
        <v>28.155555555555555</v>
      </c>
    </row>
    <row r="21" spans="1:27">
      <c r="A21" t="s">
        <v>29</v>
      </c>
      <c r="B21" t="s">
        <v>30</v>
      </c>
      <c r="C21" t="s">
        <v>31</v>
      </c>
      <c r="D21">
        <v>325104</v>
      </c>
      <c r="E21">
        <v>325104</v>
      </c>
      <c r="G21" t="s">
        <v>49</v>
      </c>
      <c r="H21" s="11" t="s">
        <v>47</v>
      </c>
      <c r="I21" t="s">
        <v>47</v>
      </c>
      <c r="J21" s="12">
        <v>0</v>
      </c>
      <c r="K21" s="12">
        <v>642</v>
      </c>
      <c r="L21" s="12">
        <v>263</v>
      </c>
      <c r="M21" s="2">
        <v>905</v>
      </c>
      <c r="N21" s="3"/>
      <c r="P21">
        <v>21</v>
      </c>
      <c r="Q21" s="14">
        <v>14.897237569060774</v>
      </c>
      <c r="R21" s="14">
        <v>6.1027624309392259</v>
      </c>
      <c r="T21">
        <v>7</v>
      </c>
      <c r="U21" s="14">
        <v>4.9657458563535908</v>
      </c>
      <c r="V21" s="14">
        <v>2.0342541436464088</v>
      </c>
      <c r="W21">
        <v>28</v>
      </c>
      <c r="X21" s="3"/>
      <c r="Y21" s="14"/>
      <c r="Z21" s="13">
        <v>43.095238095238095</v>
      </c>
      <c r="AA21" s="13">
        <v>43.095238095238102</v>
      </c>
    </row>
    <row r="22" spans="1:27">
      <c r="A22" t="s">
        <v>29</v>
      </c>
      <c r="B22" t="s">
        <v>30</v>
      </c>
      <c r="C22" t="s">
        <v>31</v>
      </c>
      <c r="D22">
        <v>500454</v>
      </c>
      <c r="E22">
        <v>500454</v>
      </c>
      <c r="G22" t="s">
        <v>50</v>
      </c>
      <c r="H22" t="s">
        <v>51</v>
      </c>
      <c r="I22" t="s">
        <v>51</v>
      </c>
      <c r="J22" s="12">
        <v>233</v>
      </c>
      <c r="K22" s="12">
        <v>86</v>
      </c>
      <c r="L22" s="12">
        <v>38</v>
      </c>
      <c r="M22" s="2">
        <v>357</v>
      </c>
      <c r="N22" s="3"/>
      <c r="O22">
        <v>3</v>
      </c>
      <c r="P22">
        <v>3</v>
      </c>
      <c r="Q22" s="14">
        <v>2.080645161290323</v>
      </c>
      <c r="R22" s="14">
        <v>0.91935483870967749</v>
      </c>
      <c r="S22">
        <v>0</v>
      </c>
      <c r="T22">
        <v>0</v>
      </c>
      <c r="U22" s="14">
        <v>0</v>
      </c>
      <c r="V22" s="14">
        <v>0</v>
      </c>
      <c r="W22">
        <v>6</v>
      </c>
      <c r="X22" s="3"/>
      <c r="Y22" s="14">
        <f t="shared" si="0"/>
        <v>1.2875536480686695E-2</v>
      </c>
      <c r="Z22" s="13">
        <v>41.333333333333329</v>
      </c>
      <c r="AA22" s="13">
        <v>41.333333333333329</v>
      </c>
    </row>
    <row r="23" spans="1:27">
      <c r="A23" t="s">
        <v>29</v>
      </c>
      <c r="B23" t="s">
        <v>30</v>
      </c>
      <c r="C23" t="s">
        <v>31</v>
      </c>
      <c r="D23">
        <v>501424</v>
      </c>
      <c r="E23">
        <v>501424</v>
      </c>
      <c r="G23" t="s">
        <v>52</v>
      </c>
      <c r="H23" t="s">
        <v>51</v>
      </c>
      <c r="I23" t="s">
        <v>51</v>
      </c>
      <c r="J23" s="12">
        <v>316</v>
      </c>
      <c r="K23" s="12">
        <v>136</v>
      </c>
      <c r="L23" s="12">
        <v>12</v>
      </c>
      <c r="M23" s="2">
        <v>464</v>
      </c>
      <c r="N23" s="3"/>
      <c r="O23">
        <v>8</v>
      </c>
      <c r="P23">
        <v>8</v>
      </c>
      <c r="Q23" s="14">
        <v>7.3513513513513518</v>
      </c>
      <c r="R23" s="14">
        <v>0.64864864864864868</v>
      </c>
      <c r="S23">
        <v>0</v>
      </c>
      <c r="T23">
        <v>0</v>
      </c>
      <c r="U23" s="14">
        <v>0</v>
      </c>
      <c r="V23" s="14">
        <v>0</v>
      </c>
      <c r="W23">
        <v>16</v>
      </c>
      <c r="X23" s="3"/>
      <c r="Y23" s="14">
        <f t="shared" si="0"/>
        <v>2.5316455696202531E-2</v>
      </c>
      <c r="Z23" s="13">
        <v>18.5</v>
      </c>
      <c r="AA23" s="13">
        <v>18.5</v>
      </c>
    </row>
    <row r="24" spans="1:27">
      <c r="A24" t="s">
        <v>29</v>
      </c>
      <c r="B24" t="s">
        <v>30</v>
      </c>
      <c r="C24" t="s">
        <v>53</v>
      </c>
      <c r="D24">
        <v>101813</v>
      </c>
      <c r="E24">
        <v>101813</v>
      </c>
      <c r="G24" t="s">
        <v>54</v>
      </c>
      <c r="H24" s="11" t="s">
        <v>33</v>
      </c>
      <c r="I24" t="s">
        <v>33</v>
      </c>
      <c r="J24" s="12">
        <v>119</v>
      </c>
      <c r="K24" s="12">
        <v>0</v>
      </c>
      <c r="L24" s="12">
        <v>0</v>
      </c>
      <c r="M24" s="2">
        <v>119</v>
      </c>
      <c r="N24" s="3"/>
      <c r="O24">
        <v>7</v>
      </c>
      <c r="S24">
        <v>1</v>
      </c>
      <c r="W24">
        <v>8</v>
      </c>
      <c r="X24" s="3"/>
      <c r="Y24" s="14">
        <f t="shared" si="0"/>
        <v>5.8823529411764705E-2</v>
      </c>
    </row>
    <row r="25" spans="1:27">
      <c r="A25" t="s">
        <v>29</v>
      </c>
      <c r="B25" t="s">
        <v>30</v>
      </c>
      <c r="C25" t="s">
        <v>53</v>
      </c>
      <c r="D25">
        <v>129387</v>
      </c>
      <c r="E25">
        <v>129387</v>
      </c>
      <c r="G25" t="s">
        <v>55</v>
      </c>
      <c r="H25" s="11" t="s">
        <v>33</v>
      </c>
      <c r="I25" t="s">
        <v>33</v>
      </c>
      <c r="J25" s="12">
        <v>232</v>
      </c>
      <c r="K25" s="12">
        <v>0</v>
      </c>
      <c r="L25" s="12">
        <v>0</v>
      </c>
      <c r="M25" s="2">
        <v>232</v>
      </c>
      <c r="N25" s="3"/>
      <c r="O25">
        <v>5</v>
      </c>
      <c r="S25">
        <v>3</v>
      </c>
      <c r="W25">
        <v>8</v>
      </c>
      <c r="X25" s="3"/>
      <c r="Y25" s="14">
        <f t="shared" si="0"/>
        <v>2.1551724137931036E-2</v>
      </c>
    </row>
    <row r="26" spans="1:27">
      <c r="A26" t="s">
        <v>29</v>
      </c>
      <c r="B26" t="s">
        <v>30</v>
      </c>
      <c r="C26" t="s">
        <v>53</v>
      </c>
      <c r="D26">
        <v>129388</v>
      </c>
      <c r="E26">
        <v>129388</v>
      </c>
      <c r="G26" t="s">
        <v>56</v>
      </c>
      <c r="H26" s="11" t="s">
        <v>33</v>
      </c>
      <c r="I26" t="s">
        <v>33</v>
      </c>
      <c r="J26" s="12">
        <v>370</v>
      </c>
      <c r="K26" s="12">
        <v>0</v>
      </c>
      <c r="L26" s="12">
        <v>0</v>
      </c>
      <c r="M26" s="2">
        <v>370</v>
      </c>
      <c r="N26" s="3"/>
      <c r="O26">
        <v>5</v>
      </c>
      <c r="S26">
        <v>11</v>
      </c>
      <c r="W26">
        <v>16</v>
      </c>
      <c r="X26" s="3"/>
      <c r="Y26" s="14">
        <f t="shared" si="0"/>
        <v>1.3513513513513514E-2</v>
      </c>
    </row>
    <row r="27" spans="1:27">
      <c r="A27" t="s">
        <v>29</v>
      </c>
      <c r="B27" t="s">
        <v>30</v>
      </c>
      <c r="C27" t="s">
        <v>53</v>
      </c>
      <c r="D27">
        <v>129389</v>
      </c>
      <c r="E27">
        <v>129389</v>
      </c>
      <c r="G27" t="s">
        <v>57</v>
      </c>
      <c r="H27" s="11" t="s">
        <v>33</v>
      </c>
      <c r="I27" t="s">
        <v>33</v>
      </c>
      <c r="J27" s="12">
        <v>851</v>
      </c>
      <c r="K27" s="12">
        <v>0</v>
      </c>
      <c r="L27" s="12">
        <v>0</v>
      </c>
      <c r="M27" s="2">
        <v>851</v>
      </c>
      <c r="N27" s="3"/>
      <c r="O27">
        <v>15</v>
      </c>
      <c r="S27">
        <v>1</v>
      </c>
      <c r="W27">
        <v>16</v>
      </c>
      <c r="X27" s="3"/>
      <c r="Y27" s="14">
        <f t="shared" si="0"/>
        <v>1.7626321974148061E-2</v>
      </c>
    </row>
    <row r="28" spans="1:27">
      <c r="A28" t="s">
        <v>29</v>
      </c>
      <c r="B28" t="s">
        <v>30</v>
      </c>
      <c r="C28" t="s">
        <v>53</v>
      </c>
      <c r="D28">
        <v>129390</v>
      </c>
      <c r="E28">
        <v>129390</v>
      </c>
      <c r="G28" t="s">
        <v>58</v>
      </c>
      <c r="H28" s="11" t="s">
        <v>33</v>
      </c>
      <c r="I28" t="s">
        <v>33</v>
      </c>
      <c r="J28" s="12">
        <v>719</v>
      </c>
      <c r="K28" s="12">
        <v>0</v>
      </c>
      <c r="L28" s="12">
        <v>0</v>
      </c>
      <c r="M28" s="2">
        <v>719</v>
      </c>
      <c r="N28" s="3"/>
      <c r="O28">
        <v>23</v>
      </c>
      <c r="S28">
        <v>1</v>
      </c>
      <c r="W28">
        <v>24</v>
      </c>
      <c r="X28" s="3"/>
      <c r="Y28" s="14">
        <f t="shared" si="0"/>
        <v>3.1988873435326845E-2</v>
      </c>
    </row>
    <row r="29" spans="1:27">
      <c r="A29" t="s">
        <v>29</v>
      </c>
      <c r="B29" t="s">
        <v>30</v>
      </c>
      <c r="C29" t="s">
        <v>53</v>
      </c>
      <c r="D29">
        <v>129391</v>
      </c>
      <c r="E29">
        <v>129391</v>
      </c>
      <c r="G29" t="s">
        <v>59</v>
      </c>
      <c r="H29" s="11" t="s">
        <v>33</v>
      </c>
      <c r="I29" t="s">
        <v>33</v>
      </c>
      <c r="J29" s="12">
        <v>285</v>
      </c>
      <c r="K29" s="12">
        <v>0</v>
      </c>
      <c r="L29" s="12">
        <v>0</v>
      </c>
      <c r="M29" s="2">
        <v>285</v>
      </c>
      <c r="N29" s="3"/>
      <c r="O29">
        <v>9</v>
      </c>
      <c r="S29">
        <v>2</v>
      </c>
      <c r="W29">
        <v>11</v>
      </c>
      <c r="X29" s="3"/>
      <c r="Y29" s="14">
        <f t="shared" si="0"/>
        <v>3.1578947368421054E-2</v>
      </c>
    </row>
    <row r="30" spans="1:27">
      <c r="A30" t="s">
        <v>29</v>
      </c>
      <c r="B30" t="s">
        <v>30</v>
      </c>
      <c r="C30" t="s">
        <v>53</v>
      </c>
      <c r="D30">
        <v>129392</v>
      </c>
      <c r="E30">
        <v>129392</v>
      </c>
      <c r="G30" t="s">
        <v>60</v>
      </c>
      <c r="H30" s="11" t="s">
        <v>33</v>
      </c>
      <c r="I30" t="s">
        <v>33</v>
      </c>
      <c r="J30" s="12">
        <v>349</v>
      </c>
      <c r="K30" s="12">
        <v>0</v>
      </c>
      <c r="L30" s="12">
        <v>0</v>
      </c>
      <c r="M30" s="2">
        <v>349</v>
      </c>
      <c r="N30" s="3"/>
      <c r="O30">
        <v>7</v>
      </c>
      <c r="S30">
        <v>0</v>
      </c>
      <c r="W30">
        <v>7</v>
      </c>
      <c r="X30" s="3"/>
      <c r="Y30" s="14">
        <f t="shared" si="0"/>
        <v>2.0057306590257881E-2</v>
      </c>
    </row>
    <row r="31" spans="1:27">
      <c r="A31" t="s">
        <v>29</v>
      </c>
      <c r="B31" t="s">
        <v>30</v>
      </c>
      <c r="C31" t="s">
        <v>53</v>
      </c>
      <c r="D31">
        <v>129393</v>
      </c>
      <c r="E31">
        <v>129393</v>
      </c>
      <c r="G31" t="s">
        <v>61</v>
      </c>
      <c r="H31" s="11" t="s">
        <v>33</v>
      </c>
      <c r="I31" t="s">
        <v>33</v>
      </c>
      <c r="J31" s="12">
        <v>79</v>
      </c>
      <c r="K31" s="12">
        <v>0</v>
      </c>
      <c r="L31" s="12">
        <v>0</v>
      </c>
      <c r="M31" s="2">
        <v>79</v>
      </c>
      <c r="N31" s="3"/>
      <c r="O31">
        <v>0</v>
      </c>
      <c r="S31">
        <v>2</v>
      </c>
      <c r="W31">
        <v>2</v>
      </c>
      <c r="X31" s="3"/>
      <c r="Y31" s="14">
        <f t="shared" si="0"/>
        <v>0</v>
      </c>
    </row>
    <row r="32" spans="1:27">
      <c r="A32" t="s">
        <v>29</v>
      </c>
      <c r="B32" t="s">
        <v>30</v>
      </c>
      <c r="C32" t="s">
        <v>53</v>
      </c>
      <c r="D32">
        <v>129394</v>
      </c>
      <c r="E32">
        <v>129394</v>
      </c>
      <c r="G32" t="s">
        <v>62</v>
      </c>
      <c r="H32" s="11" t="s">
        <v>33</v>
      </c>
      <c r="I32" t="s">
        <v>33</v>
      </c>
      <c r="J32" s="12">
        <v>127</v>
      </c>
      <c r="K32" s="12">
        <v>0</v>
      </c>
      <c r="L32" s="12">
        <v>0</v>
      </c>
      <c r="M32" s="2">
        <v>127</v>
      </c>
      <c r="N32" s="3"/>
      <c r="O32">
        <v>2</v>
      </c>
      <c r="S32">
        <v>1</v>
      </c>
      <c r="W32">
        <v>3</v>
      </c>
      <c r="X32" s="3"/>
      <c r="Y32" s="14">
        <f t="shared" si="0"/>
        <v>1.5748031496062992E-2</v>
      </c>
    </row>
    <row r="33" spans="1:25">
      <c r="A33" t="s">
        <v>29</v>
      </c>
      <c r="B33" t="s">
        <v>30</v>
      </c>
      <c r="C33" t="s">
        <v>53</v>
      </c>
      <c r="D33">
        <v>129395</v>
      </c>
      <c r="E33">
        <v>129395</v>
      </c>
      <c r="G33" t="s">
        <v>63</v>
      </c>
      <c r="H33" s="11" t="s">
        <v>33</v>
      </c>
      <c r="I33" t="s">
        <v>33</v>
      </c>
      <c r="J33" s="12">
        <v>773</v>
      </c>
      <c r="K33" s="12">
        <v>0</v>
      </c>
      <c r="L33" s="12">
        <v>0</v>
      </c>
      <c r="M33" s="2">
        <v>773</v>
      </c>
      <c r="N33" s="3"/>
      <c r="O33">
        <v>22</v>
      </c>
      <c r="S33">
        <v>3</v>
      </c>
      <c r="W33">
        <v>25</v>
      </c>
      <c r="X33" s="3"/>
      <c r="Y33" s="14">
        <f t="shared" si="0"/>
        <v>2.8460543337645538E-2</v>
      </c>
    </row>
    <row r="34" spans="1:25">
      <c r="A34" t="s">
        <v>29</v>
      </c>
      <c r="B34" t="s">
        <v>30</v>
      </c>
      <c r="C34" t="s">
        <v>53</v>
      </c>
      <c r="D34">
        <v>129396</v>
      </c>
      <c r="E34">
        <v>129396</v>
      </c>
      <c r="G34" t="s">
        <v>64</v>
      </c>
      <c r="H34" s="11" t="s">
        <v>33</v>
      </c>
      <c r="I34" t="s">
        <v>33</v>
      </c>
      <c r="J34" s="12">
        <v>541</v>
      </c>
      <c r="K34" s="12">
        <v>0</v>
      </c>
      <c r="L34" s="12">
        <v>0</v>
      </c>
      <c r="M34" s="2">
        <v>541</v>
      </c>
      <c r="N34" s="3"/>
      <c r="O34">
        <v>15</v>
      </c>
      <c r="S34">
        <v>6</v>
      </c>
      <c r="W34">
        <v>21</v>
      </c>
      <c r="X34" s="3"/>
      <c r="Y34" s="14">
        <f t="shared" si="0"/>
        <v>2.7726432532347505E-2</v>
      </c>
    </row>
    <row r="35" spans="1:25">
      <c r="A35" t="s">
        <v>29</v>
      </c>
      <c r="B35" t="s">
        <v>30</v>
      </c>
      <c r="C35" t="s">
        <v>53</v>
      </c>
      <c r="D35">
        <v>129397</v>
      </c>
      <c r="E35">
        <v>129397</v>
      </c>
      <c r="G35" t="s">
        <v>65</v>
      </c>
      <c r="H35" s="11" t="s">
        <v>33</v>
      </c>
      <c r="I35" t="s">
        <v>33</v>
      </c>
      <c r="J35" s="12">
        <v>179</v>
      </c>
      <c r="K35" s="12">
        <v>0</v>
      </c>
      <c r="L35" s="12">
        <v>0</v>
      </c>
      <c r="M35" s="2">
        <v>179</v>
      </c>
      <c r="N35" s="3"/>
      <c r="O35">
        <v>9</v>
      </c>
      <c r="S35">
        <v>1</v>
      </c>
      <c r="W35">
        <v>10</v>
      </c>
      <c r="X35" s="3"/>
      <c r="Y35" s="14">
        <f t="shared" si="0"/>
        <v>5.027932960893855E-2</v>
      </c>
    </row>
    <row r="36" spans="1:25">
      <c r="A36" t="s">
        <v>29</v>
      </c>
      <c r="B36" t="s">
        <v>30</v>
      </c>
      <c r="C36" t="s">
        <v>53</v>
      </c>
      <c r="D36">
        <v>129398</v>
      </c>
      <c r="E36">
        <v>129398</v>
      </c>
      <c r="G36" t="s">
        <v>66</v>
      </c>
      <c r="H36" s="11" t="s">
        <v>33</v>
      </c>
      <c r="I36" t="s">
        <v>33</v>
      </c>
      <c r="J36" s="12">
        <v>591</v>
      </c>
      <c r="K36" s="12">
        <v>0</v>
      </c>
      <c r="L36" s="12">
        <v>0</v>
      </c>
      <c r="M36" s="2">
        <v>591</v>
      </c>
      <c r="N36" s="3"/>
      <c r="O36">
        <v>14</v>
      </c>
      <c r="S36">
        <v>2</v>
      </c>
      <c r="W36">
        <v>16</v>
      </c>
      <c r="X36" s="3"/>
      <c r="Y36" s="14">
        <f t="shared" si="0"/>
        <v>2.3688663282571912E-2</v>
      </c>
    </row>
    <row r="37" spans="1:25">
      <c r="A37" t="s">
        <v>29</v>
      </c>
      <c r="B37" t="s">
        <v>30</v>
      </c>
      <c r="C37" t="s">
        <v>53</v>
      </c>
      <c r="D37">
        <v>129399</v>
      </c>
      <c r="E37">
        <v>129399</v>
      </c>
      <c r="G37" t="s">
        <v>67</v>
      </c>
      <c r="H37" s="11" t="s">
        <v>33</v>
      </c>
      <c r="I37" t="s">
        <v>33</v>
      </c>
      <c r="J37" s="12">
        <v>611</v>
      </c>
      <c r="K37" s="12">
        <v>0</v>
      </c>
      <c r="L37" s="12">
        <v>0</v>
      </c>
      <c r="M37" s="2">
        <v>611</v>
      </c>
      <c r="N37" s="3"/>
      <c r="O37">
        <v>18</v>
      </c>
      <c r="S37">
        <v>2</v>
      </c>
      <c r="W37">
        <v>20</v>
      </c>
      <c r="X37" s="3"/>
      <c r="Y37" s="14">
        <f t="shared" si="0"/>
        <v>2.9459901800327332E-2</v>
      </c>
    </row>
    <row r="38" spans="1:25">
      <c r="A38" t="s">
        <v>29</v>
      </c>
      <c r="B38" t="s">
        <v>30</v>
      </c>
      <c r="C38" t="s">
        <v>53</v>
      </c>
      <c r="D38">
        <v>129400</v>
      </c>
      <c r="E38">
        <v>129400</v>
      </c>
      <c r="G38" t="s">
        <v>68</v>
      </c>
      <c r="H38" s="11" t="s">
        <v>33</v>
      </c>
      <c r="I38" t="s">
        <v>33</v>
      </c>
      <c r="J38" s="12">
        <v>1411</v>
      </c>
      <c r="K38" s="12">
        <v>0</v>
      </c>
      <c r="L38" s="12">
        <v>0</v>
      </c>
      <c r="M38" s="2">
        <v>1411</v>
      </c>
      <c r="N38" s="3"/>
      <c r="O38">
        <v>41</v>
      </c>
      <c r="S38">
        <v>10</v>
      </c>
      <c r="W38">
        <v>51</v>
      </c>
      <c r="X38" s="3"/>
      <c r="Y38" s="14">
        <f t="shared" si="0"/>
        <v>2.9057406094968107E-2</v>
      </c>
    </row>
    <row r="39" spans="1:25">
      <c r="A39" t="s">
        <v>29</v>
      </c>
      <c r="B39" t="s">
        <v>30</v>
      </c>
      <c r="C39" t="s">
        <v>53</v>
      </c>
      <c r="D39">
        <v>129401</v>
      </c>
      <c r="E39">
        <v>129401</v>
      </c>
      <c r="G39" t="s">
        <v>69</v>
      </c>
      <c r="H39" s="11" t="s">
        <v>33</v>
      </c>
      <c r="I39" t="s">
        <v>33</v>
      </c>
      <c r="J39" s="12">
        <v>220</v>
      </c>
      <c r="K39" s="12">
        <v>0</v>
      </c>
      <c r="L39" s="12">
        <v>0</v>
      </c>
      <c r="M39" s="2">
        <v>220</v>
      </c>
      <c r="N39" s="3"/>
      <c r="O39">
        <v>5</v>
      </c>
      <c r="S39">
        <v>1</v>
      </c>
      <c r="W39">
        <v>6</v>
      </c>
      <c r="X39" s="3"/>
      <c r="Y39" s="14">
        <f t="shared" si="0"/>
        <v>2.2727272727272728E-2</v>
      </c>
    </row>
    <row r="40" spans="1:25">
      <c r="A40" t="s">
        <v>29</v>
      </c>
      <c r="B40" t="s">
        <v>30</v>
      </c>
      <c r="C40" t="s">
        <v>53</v>
      </c>
      <c r="D40">
        <v>129402</v>
      </c>
      <c r="E40" t="e">
        <v>#N/A</v>
      </c>
      <c r="F40" s="11" t="s">
        <v>34</v>
      </c>
      <c r="G40" t="s">
        <v>70</v>
      </c>
      <c r="H40" s="11" t="s">
        <v>33</v>
      </c>
      <c r="I40" t="s">
        <v>33</v>
      </c>
      <c r="J40" s="12">
        <v>88</v>
      </c>
      <c r="K40" s="12">
        <v>0</v>
      </c>
      <c r="L40" s="12">
        <v>0</v>
      </c>
      <c r="M40" s="2">
        <v>88</v>
      </c>
      <c r="N40" s="3"/>
      <c r="X40" s="3"/>
      <c r="Y40" s="14">
        <f t="shared" si="0"/>
        <v>0</v>
      </c>
    </row>
    <row r="41" spans="1:25">
      <c r="A41" t="s">
        <v>29</v>
      </c>
      <c r="B41" t="s">
        <v>30</v>
      </c>
      <c r="C41" t="s">
        <v>53</v>
      </c>
      <c r="D41">
        <v>129403</v>
      </c>
      <c r="E41" t="e">
        <v>#N/A</v>
      </c>
      <c r="F41" s="11" t="s">
        <v>34</v>
      </c>
      <c r="G41" t="s">
        <v>71</v>
      </c>
      <c r="H41" s="11" t="s">
        <v>33</v>
      </c>
      <c r="I41" t="s">
        <v>33</v>
      </c>
      <c r="J41" s="12">
        <v>151</v>
      </c>
      <c r="K41" s="12">
        <v>0</v>
      </c>
      <c r="L41" s="12">
        <v>0</v>
      </c>
      <c r="M41" s="2">
        <v>151</v>
      </c>
      <c r="N41" s="3"/>
      <c r="X41" s="3"/>
      <c r="Y41" s="14">
        <f t="shared" si="0"/>
        <v>0</v>
      </c>
    </row>
    <row r="42" spans="1:25">
      <c r="A42" t="s">
        <v>29</v>
      </c>
      <c r="B42" t="s">
        <v>30</v>
      </c>
      <c r="C42" t="s">
        <v>53</v>
      </c>
      <c r="D42">
        <v>129404</v>
      </c>
      <c r="E42">
        <v>129404</v>
      </c>
      <c r="G42" t="s">
        <v>72</v>
      </c>
      <c r="H42" s="11" t="s">
        <v>33</v>
      </c>
      <c r="I42" t="s">
        <v>33</v>
      </c>
      <c r="J42" s="12">
        <v>235</v>
      </c>
      <c r="K42" s="12">
        <v>0</v>
      </c>
      <c r="L42" s="12">
        <v>0</v>
      </c>
      <c r="M42" s="2">
        <v>235</v>
      </c>
      <c r="N42" s="3"/>
      <c r="O42">
        <v>10</v>
      </c>
      <c r="S42">
        <v>2</v>
      </c>
      <c r="W42">
        <v>12</v>
      </c>
      <c r="X42" s="3"/>
      <c r="Y42" s="14">
        <f t="shared" si="0"/>
        <v>4.2553191489361701E-2</v>
      </c>
    </row>
    <row r="43" spans="1:25">
      <c r="A43" t="s">
        <v>29</v>
      </c>
      <c r="B43" t="s">
        <v>30</v>
      </c>
      <c r="C43" t="s">
        <v>53</v>
      </c>
      <c r="D43">
        <v>129405</v>
      </c>
      <c r="E43">
        <v>129405</v>
      </c>
      <c r="G43" t="s">
        <v>73</v>
      </c>
      <c r="H43" s="11" t="s">
        <v>33</v>
      </c>
      <c r="I43" t="s">
        <v>33</v>
      </c>
      <c r="J43" s="12">
        <v>418</v>
      </c>
      <c r="K43" s="12">
        <v>0</v>
      </c>
      <c r="L43" s="12">
        <v>0</v>
      </c>
      <c r="M43" s="2">
        <v>418</v>
      </c>
      <c r="N43" s="3"/>
      <c r="O43">
        <v>7</v>
      </c>
      <c r="S43">
        <v>1</v>
      </c>
      <c r="W43">
        <v>8</v>
      </c>
      <c r="X43" s="3"/>
      <c r="Y43" s="14">
        <f t="shared" si="0"/>
        <v>1.6746411483253589E-2</v>
      </c>
    </row>
    <row r="44" spans="1:25">
      <c r="A44" t="s">
        <v>29</v>
      </c>
      <c r="B44" t="s">
        <v>30</v>
      </c>
      <c r="C44" t="s">
        <v>53</v>
      </c>
      <c r="D44">
        <v>129406</v>
      </c>
      <c r="E44">
        <v>129406</v>
      </c>
      <c r="G44" t="s">
        <v>74</v>
      </c>
      <c r="H44" s="11" t="s">
        <v>33</v>
      </c>
      <c r="I44" t="s">
        <v>33</v>
      </c>
      <c r="J44" s="12">
        <v>183</v>
      </c>
      <c r="K44" s="12">
        <v>0</v>
      </c>
      <c r="L44" s="12">
        <v>0</v>
      </c>
      <c r="M44" s="2">
        <v>183</v>
      </c>
      <c r="N44" s="3"/>
      <c r="O44">
        <v>7</v>
      </c>
      <c r="S44">
        <v>0</v>
      </c>
      <c r="W44">
        <v>7</v>
      </c>
      <c r="X44" s="3"/>
      <c r="Y44" s="14">
        <f t="shared" si="0"/>
        <v>3.825136612021858E-2</v>
      </c>
    </row>
    <row r="45" spans="1:25">
      <c r="A45" t="s">
        <v>29</v>
      </c>
      <c r="B45" t="s">
        <v>30</v>
      </c>
      <c r="C45" t="s">
        <v>53</v>
      </c>
      <c r="D45">
        <v>129407</v>
      </c>
      <c r="E45" t="e">
        <v>#N/A</v>
      </c>
      <c r="F45" s="11" t="s">
        <v>34</v>
      </c>
      <c r="G45" t="s">
        <v>75</v>
      </c>
      <c r="H45" s="11" t="s">
        <v>33</v>
      </c>
      <c r="I45" t="s">
        <v>33</v>
      </c>
      <c r="J45" s="12">
        <v>234</v>
      </c>
      <c r="K45" s="12">
        <v>0</v>
      </c>
      <c r="L45" s="12">
        <v>0</v>
      </c>
      <c r="M45" s="2">
        <v>234</v>
      </c>
      <c r="N45" s="3"/>
      <c r="X45" s="3"/>
      <c r="Y45" s="14">
        <f t="shared" si="0"/>
        <v>0</v>
      </c>
    </row>
    <row r="46" spans="1:25">
      <c r="A46" t="s">
        <v>29</v>
      </c>
      <c r="B46" t="s">
        <v>30</v>
      </c>
      <c r="C46" t="s">
        <v>53</v>
      </c>
      <c r="D46">
        <v>129408</v>
      </c>
      <c r="E46">
        <v>129408</v>
      </c>
      <c r="G46" t="s">
        <v>76</v>
      </c>
      <c r="H46" s="11" t="s">
        <v>33</v>
      </c>
      <c r="I46" t="s">
        <v>33</v>
      </c>
      <c r="J46" s="12">
        <v>155</v>
      </c>
      <c r="K46" s="12">
        <v>0</v>
      </c>
      <c r="L46" s="12">
        <v>0</v>
      </c>
      <c r="M46" s="2">
        <v>155</v>
      </c>
      <c r="N46" s="3"/>
      <c r="O46">
        <v>8</v>
      </c>
      <c r="S46">
        <v>1</v>
      </c>
      <c r="W46">
        <v>9</v>
      </c>
      <c r="X46" s="3"/>
      <c r="Y46" s="14">
        <f t="shared" si="0"/>
        <v>5.1612903225806452E-2</v>
      </c>
    </row>
    <row r="47" spans="1:25">
      <c r="A47" t="s">
        <v>29</v>
      </c>
      <c r="B47" t="s">
        <v>30</v>
      </c>
      <c r="C47" t="s">
        <v>53</v>
      </c>
      <c r="D47">
        <v>129409</v>
      </c>
      <c r="E47" t="e">
        <v>#N/A</v>
      </c>
      <c r="F47" s="11" t="s">
        <v>34</v>
      </c>
      <c r="G47" t="s">
        <v>77</v>
      </c>
      <c r="H47" s="11" t="s">
        <v>33</v>
      </c>
      <c r="I47" t="s">
        <v>33</v>
      </c>
      <c r="J47" s="12">
        <v>676</v>
      </c>
      <c r="K47" s="12">
        <v>0</v>
      </c>
      <c r="L47" s="12">
        <v>0</v>
      </c>
      <c r="M47" s="2">
        <v>676</v>
      </c>
      <c r="N47" s="3"/>
      <c r="X47" s="3"/>
      <c r="Y47" s="14">
        <f t="shared" si="0"/>
        <v>0</v>
      </c>
    </row>
    <row r="48" spans="1:25">
      <c r="A48" t="s">
        <v>29</v>
      </c>
      <c r="B48" t="s">
        <v>30</v>
      </c>
      <c r="C48" t="s">
        <v>53</v>
      </c>
      <c r="D48">
        <v>257001</v>
      </c>
      <c r="E48">
        <v>257001</v>
      </c>
      <c r="G48" t="s">
        <v>78</v>
      </c>
      <c r="H48" s="11" t="s">
        <v>33</v>
      </c>
      <c r="I48" t="s">
        <v>33</v>
      </c>
      <c r="J48" s="12">
        <v>712</v>
      </c>
      <c r="K48" s="12">
        <v>0</v>
      </c>
      <c r="L48" s="12">
        <v>0</v>
      </c>
      <c r="M48" s="2">
        <v>712</v>
      </c>
      <c r="N48" s="3"/>
      <c r="O48">
        <v>14</v>
      </c>
      <c r="S48">
        <v>1</v>
      </c>
      <c r="W48">
        <v>15</v>
      </c>
      <c r="X48" s="3"/>
      <c r="Y48" s="14">
        <f t="shared" si="0"/>
        <v>1.9662921348314606E-2</v>
      </c>
    </row>
    <row r="49" spans="1:27">
      <c r="A49" t="s">
        <v>29</v>
      </c>
      <c r="B49" t="s">
        <v>30</v>
      </c>
      <c r="C49" t="s">
        <v>53</v>
      </c>
      <c r="D49">
        <v>304303</v>
      </c>
      <c r="E49">
        <v>304303</v>
      </c>
      <c r="G49" t="s">
        <v>79</v>
      </c>
      <c r="H49" s="11" t="s">
        <v>47</v>
      </c>
      <c r="I49" t="s">
        <v>47</v>
      </c>
      <c r="J49" s="12">
        <v>0</v>
      </c>
      <c r="K49" s="12">
        <v>535</v>
      </c>
      <c r="L49" s="12">
        <v>147</v>
      </c>
      <c r="M49" s="2">
        <v>682</v>
      </c>
      <c r="N49" s="3"/>
      <c r="P49">
        <v>23</v>
      </c>
      <c r="Q49" s="14">
        <v>18.042521994134898</v>
      </c>
      <c r="R49" s="14">
        <v>4.9574780058651031</v>
      </c>
      <c r="T49">
        <v>5</v>
      </c>
      <c r="U49" s="14">
        <v>3.9222873900293251</v>
      </c>
      <c r="V49" s="14">
        <v>1.0777126099706744</v>
      </c>
      <c r="W49">
        <v>28</v>
      </c>
      <c r="X49" s="3"/>
      <c r="Y49" s="14"/>
      <c r="Z49" s="13">
        <v>29.652173913043477</v>
      </c>
      <c r="AA49" s="13">
        <v>29.652173913043477</v>
      </c>
    </row>
    <row r="50" spans="1:27">
      <c r="A50" t="s">
        <v>29</v>
      </c>
      <c r="B50" t="s">
        <v>30</v>
      </c>
      <c r="C50" t="s">
        <v>53</v>
      </c>
      <c r="D50">
        <v>304305</v>
      </c>
      <c r="E50">
        <v>304305</v>
      </c>
      <c r="G50" t="s">
        <v>80</v>
      </c>
      <c r="H50" s="11" t="s">
        <v>47</v>
      </c>
      <c r="I50" t="s">
        <v>47</v>
      </c>
      <c r="J50" s="12">
        <v>0</v>
      </c>
      <c r="K50" s="12">
        <v>436</v>
      </c>
      <c r="L50" s="12">
        <v>158</v>
      </c>
      <c r="M50" s="2">
        <v>594</v>
      </c>
      <c r="N50" s="3"/>
      <c r="P50">
        <v>19</v>
      </c>
      <c r="Q50" s="14">
        <v>13.946127946127946</v>
      </c>
      <c r="R50" s="14">
        <v>5.0538720538720536</v>
      </c>
      <c r="T50">
        <v>7</v>
      </c>
      <c r="U50" s="14">
        <v>5.1380471380471384</v>
      </c>
      <c r="V50" s="14">
        <v>1.861952861952862</v>
      </c>
      <c r="W50">
        <v>26</v>
      </c>
      <c r="X50" s="3"/>
      <c r="Y50" s="14"/>
      <c r="Z50" s="13">
        <v>31.263157894736842</v>
      </c>
      <c r="AA50" s="13">
        <v>31.263157894736842</v>
      </c>
    </row>
    <row r="51" spans="1:27">
      <c r="A51" t="s">
        <v>29</v>
      </c>
      <c r="B51" t="s">
        <v>30</v>
      </c>
      <c r="C51" t="s">
        <v>53</v>
      </c>
      <c r="D51">
        <v>304314</v>
      </c>
      <c r="E51">
        <v>304314</v>
      </c>
      <c r="G51" t="s">
        <v>81</v>
      </c>
      <c r="H51" s="11" t="s">
        <v>47</v>
      </c>
      <c r="I51" t="s">
        <v>47</v>
      </c>
      <c r="J51" s="12">
        <v>0</v>
      </c>
      <c r="K51" s="12">
        <v>333</v>
      </c>
      <c r="L51" s="12">
        <v>143</v>
      </c>
      <c r="M51" s="2">
        <v>476</v>
      </c>
      <c r="N51" s="3"/>
      <c r="P51">
        <v>15</v>
      </c>
      <c r="Q51" s="14">
        <v>10.493697478991596</v>
      </c>
      <c r="R51" s="14">
        <v>4.5063025210084033</v>
      </c>
      <c r="T51">
        <v>4</v>
      </c>
      <c r="U51" s="14">
        <v>2.7983193277310923</v>
      </c>
      <c r="V51" s="14">
        <v>1.2016806722689075</v>
      </c>
      <c r="W51">
        <v>19</v>
      </c>
      <c r="X51" s="3"/>
      <c r="Y51" s="14"/>
      <c r="Z51" s="13">
        <v>31.733333333333334</v>
      </c>
      <c r="AA51" s="13">
        <v>31.733333333333334</v>
      </c>
    </row>
    <row r="52" spans="1:27">
      <c r="A52" t="s">
        <v>29</v>
      </c>
      <c r="B52" t="s">
        <v>30</v>
      </c>
      <c r="C52" t="s">
        <v>53</v>
      </c>
      <c r="D52">
        <v>304327</v>
      </c>
      <c r="E52">
        <v>304327</v>
      </c>
      <c r="G52" t="s">
        <v>82</v>
      </c>
      <c r="H52" s="11" t="s">
        <v>47</v>
      </c>
      <c r="I52" t="s">
        <v>47</v>
      </c>
      <c r="J52" s="12">
        <v>0</v>
      </c>
      <c r="K52" s="12">
        <v>1515</v>
      </c>
      <c r="L52" s="12">
        <v>426</v>
      </c>
      <c r="M52" s="2">
        <v>1941</v>
      </c>
      <c r="N52" s="3"/>
      <c r="P52">
        <v>41</v>
      </c>
      <c r="Q52" s="14">
        <v>32.001545595054097</v>
      </c>
      <c r="R52" s="14">
        <v>8.998454404945905</v>
      </c>
      <c r="T52">
        <v>14</v>
      </c>
      <c r="U52" s="14">
        <v>10.927357032457497</v>
      </c>
      <c r="V52" s="14">
        <v>3.072642967542504</v>
      </c>
      <c r="W52">
        <v>55</v>
      </c>
      <c r="X52" s="3"/>
      <c r="Y52" s="14"/>
      <c r="Z52" s="13">
        <v>47.341463414634148</v>
      </c>
      <c r="AA52" s="13">
        <v>47.341463414634141</v>
      </c>
    </row>
    <row r="53" spans="1:27">
      <c r="A53" t="s">
        <v>29</v>
      </c>
      <c r="B53" t="s">
        <v>30</v>
      </c>
      <c r="C53" t="s">
        <v>53</v>
      </c>
      <c r="D53">
        <v>304328</v>
      </c>
      <c r="E53">
        <v>304328</v>
      </c>
      <c r="G53" t="s">
        <v>83</v>
      </c>
      <c r="H53" s="11" t="s">
        <v>47</v>
      </c>
      <c r="I53" t="s">
        <v>47</v>
      </c>
      <c r="J53" s="12">
        <v>0</v>
      </c>
      <c r="K53" s="12">
        <v>386</v>
      </c>
      <c r="L53" s="12">
        <v>204</v>
      </c>
      <c r="M53" s="2">
        <v>590</v>
      </c>
      <c r="N53" s="3"/>
      <c r="P53">
        <v>27</v>
      </c>
      <c r="Q53" s="14">
        <v>17.664406779661018</v>
      </c>
      <c r="R53" s="14">
        <v>9.335593220338982</v>
      </c>
      <c r="T53">
        <v>4</v>
      </c>
      <c r="U53" s="14">
        <v>2.6169491525423729</v>
      </c>
      <c r="V53" s="14">
        <v>1.3830508474576271</v>
      </c>
      <c r="W53">
        <v>31</v>
      </c>
      <c r="X53" s="3"/>
      <c r="Y53" s="14"/>
      <c r="Z53" s="13">
        <v>21.851851851851851</v>
      </c>
      <c r="AA53" s="13">
        <v>21.851851851851855</v>
      </c>
    </row>
    <row r="54" spans="1:27">
      <c r="A54" t="s">
        <v>29</v>
      </c>
      <c r="B54" t="s">
        <v>30</v>
      </c>
      <c r="C54" t="s">
        <v>53</v>
      </c>
      <c r="D54">
        <v>304338</v>
      </c>
      <c r="E54">
        <v>304338</v>
      </c>
      <c r="G54" t="s">
        <v>84</v>
      </c>
      <c r="H54" s="11" t="s">
        <v>47</v>
      </c>
      <c r="I54" t="s">
        <v>47</v>
      </c>
      <c r="J54" s="12">
        <v>0</v>
      </c>
      <c r="K54" s="12">
        <v>218</v>
      </c>
      <c r="L54" s="12">
        <v>88</v>
      </c>
      <c r="M54" s="2">
        <v>306</v>
      </c>
      <c r="N54" s="3"/>
      <c r="P54">
        <v>17</v>
      </c>
      <c r="Q54" s="14">
        <v>12.111111111111111</v>
      </c>
      <c r="R54" s="14">
        <v>4.8888888888888884</v>
      </c>
      <c r="T54">
        <v>7</v>
      </c>
      <c r="U54" s="14">
        <v>4.9869281045751634</v>
      </c>
      <c r="V54" s="14">
        <v>2.0130718954248366</v>
      </c>
      <c r="W54">
        <v>24</v>
      </c>
      <c r="X54" s="3"/>
      <c r="Y54" s="14"/>
      <c r="Z54" s="13">
        <v>18</v>
      </c>
      <c r="AA54" s="13">
        <v>18.000000000000004</v>
      </c>
    </row>
    <row r="55" spans="1:27">
      <c r="A55" t="s">
        <v>29</v>
      </c>
      <c r="B55" t="s">
        <v>30</v>
      </c>
      <c r="C55" t="s">
        <v>53</v>
      </c>
      <c r="D55">
        <v>305680</v>
      </c>
      <c r="E55">
        <v>305680</v>
      </c>
      <c r="G55" t="s">
        <v>85</v>
      </c>
      <c r="H55" s="11" t="s">
        <v>47</v>
      </c>
      <c r="I55" t="s">
        <v>47</v>
      </c>
      <c r="J55" s="12">
        <v>0</v>
      </c>
      <c r="K55" s="12">
        <v>827</v>
      </c>
      <c r="L55" s="12">
        <v>214</v>
      </c>
      <c r="M55" s="2">
        <v>1041</v>
      </c>
      <c r="N55" s="3"/>
      <c r="P55">
        <v>22</v>
      </c>
      <c r="Q55" s="14">
        <v>17.477425552353505</v>
      </c>
      <c r="R55" s="14">
        <v>4.5225744476464937</v>
      </c>
      <c r="T55">
        <v>3</v>
      </c>
      <c r="U55" s="14">
        <v>2.3832853025936602</v>
      </c>
      <c r="V55" s="14">
        <v>0.61671469740634011</v>
      </c>
      <c r="W55">
        <v>25</v>
      </c>
      <c r="X55" s="3"/>
      <c r="Y55" s="14"/>
      <c r="Z55" s="13">
        <v>47.31818181818182</v>
      </c>
      <c r="AA55" s="13">
        <v>47.31818181818182</v>
      </c>
    </row>
    <row r="56" spans="1:27">
      <c r="A56" t="s">
        <v>29</v>
      </c>
      <c r="B56" t="s">
        <v>30</v>
      </c>
      <c r="C56" t="s">
        <v>53</v>
      </c>
      <c r="D56">
        <v>316104</v>
      </c>
      <c r="E56">
        <v>316104</v>
      </c>
      <c r="G56" t="s">
        <v>86</v>
      </c>
      <c r="H56" s="11" t="s">
        <v>47</v>
      </c>
      <c r="I56" t="s">
        <v>47</v>
      </c>
      <c r="J56" s="12">
        <v>0</v>
      </c>
      <c r="K56" s="12">
        <v>368</v>
      </c>
      <c r="L56" s="12">
        <v>110</v>
      </c>
      <c r="M56" s="2">
        <v>478</v>
      </c>
      <c r="N56" s="3"/>
      <c r="P56">
        <v>19</v>
      </c>
      <c r="Q56" s="14">
        <v>14.627615062761507</v>
      </c>
      <c r="R56" s="14">
        <v>4.3723849372384933</v>
      </c>
      <c r="T56">
        <v>7</v>
      </c>
      <c r="U56" s="14">
        <v>5.3891213389121342</v>
      </c>
      <c r="V56" s="14">
        <v>1.610878661087866</v>
      </c>
      <c r="W56">
        <v>26</v>
      </c>
      <c r="X56" s="3"/>
      <c r="Y56" s="14"/>
      <c r="Z56" s="13">
        <v>25.157894736842106</v>
      </c>
      <c r="AA56" s="13">
        <v>25.157894736842106</v>
      </c>
    </row>
    <row r="57" spans="1:27">
      <c r="A57" t="s">
        <v>29</v>
      </c>
      <c r="B57" t="s">
        <v>30</v>
      </c>
      <c r="C57" t="s">
        <v>53</v>
      </c>
      <c r="D57">
        <v>325101</v>
      </c>
      <c r="E57">
        <v>325101</v>
      </c>
      <c r="G57" t="s">
        <v>87</v>
      </c>
      <c r="H57" s="11" t="s">
        <v>88</v>
      </c>
      <c r="I57" t="s">
        <v>88</v>
      </c>
      <c r="J57" s="12">
        <v>0</v>
      </c>
      <c r="K57" s="12">
        <v>295</v>
      </c>
      <c r="L57" s="12">
        <v>0</v>
      </c>
      <c r="M57" s="2">
        <v>295</v>
      </c>
      <c r="N57" s="3"/>
      <c r="P57">
        <v>10</v>
      </c>
      <c r="Q57">
        <v>10</v>
      </c>
      <c r="T57">
        <v>3</v>
      </c>
      <c r="U57">
        <v>3</v>
      </c>
      <c r="W57">
        <v>13</v>
      </c>
      <c r="X57" s="3"/>
      <c r="Y57" s="14"/>
      <c r="Z57" s="13">
        <v>29.5</v>
      </c>
    </row>
    <row r="58" spans="1:27">
      <c r="A58" t="s">
        <v>29</v>
      </c>
      <c r="B58" t="s">
        <v>30</v>
      </c>
      <c r="C58" t="s">
        <v>53</v>
      </c>
      <c r="D58">
        <v>325102</v>
      </c>
      <c r="E58">
        <v>325102</v>
      </c>
      <c r="G58" t="s">
        <v>89</v>
      </c>
      <c r="H58" s="11" t="s">
        <v>47</v>
      </c>
      <c r="I58" t="s">
        <v>47</v>
      </c>
      <c r="J58" s="12">
        <v>0</v>
      </c>
      <c r="K58" s="12">
        <v>338</v>
      </c>
      <c r="L58" s="12">
        <v>139</v>
      </c>
      <c r="M58" s="2">
        <v>477</v>
      </c>
      <c r="N58" s="3"/>
      <c r="P58">
        <v>16</v>
      </c>
      <c r="Q58" s="14">
        <v>11.337526205450734</v>
      </c>
      <c r="R58" s="14">
        <v>4.6624737945492658</v>
      </c>
      <c r="T58">
        <v>2</v>
      </c>
      <c r="U58" s="14">
        <v>1.4171907756813418</v>
      </c>
      <c r="V58" s="14">
        <v>0.58280922431865823</v>
      </c>
      <c r="W58">
        <v>18</v>
      </c>
      <c r="X58" s="3"/>
      <c r="Y58" s="14"/>
      <c r="Z58" s="13">
        <v>29.8125</v>
      </c>
      <c r="AA58" s="13">
        <v>29.812500000000004</v>
      </c>
    </row>
    <row r="59" spans="1:27">
      <c r="A59" t="s">
        <v>29</v>
      </c>
      <c r="B59" t="s">
        <v>30</v>
      </c>
      <c r="C59" t="s">
        <v>53</v>
      </c>
      <c r="D59">
        <v>325106</v>
      </c>
      <c r="E59">
        <v>325106</v>
      </c>
      <c r="G59" t="s">
        <v>90</v>
      </c>
      <c r="H59" s="11" t="s">
        <v>47</v>
      </c>
      <c r="I59" t="s">
        <v>47</v>
      </c>
      <c r="J59" s="12">
        <v>0</v>
      </c>
      <c r="K59" s="12">
        <v>401</v>
      </c>
      <c r="L59" s="12">
        <v>152</v>
      </c>
      <c r="M59" s="2">
        <v>553</v>
      </c>
      <c r="N59" s="3"/>
      <c r="P59">
        <v>15</v>
      </c>
      <c r="Q59" s="14">
        <v>10.877034358047016</v>
      </c>
      <c r="R59" s="14">
        <v>4.1229656419529839</v>
      </c>
      <c r="T59">
        <v>1</v>
      </c>
      <c r="U59" s="14">
        <v>0.72513562386980113</v>
      </c>
      <c r="V59" s="14">
        <v>0.27486437613019893</v>
      </c>
      <c r="W59">
        <v>16</v>
      </c>
      <c r="X59" s="3"/>
      <c r="Y59" s="14"/>
      <c r="Z59" s="13">
        <v>36.866666666666667</v>
      </c>
      <c r="AA59" s="13">
        <v>36.866666666666667</v>
      </c>
    </row>
    <row r="60" spans="1:27">
      <c r="A60" t="s">
        <v>29</v>
      </c>
      <c r="B60" t="s">
        <v>30</v>
      </c>
      <c r="C60" t="s">
        <v>91</v>
      </c>
      <c r="D60">
        <v>102157</v>
      </c>
      <c r="E60">
        <v>102157</v>
      </c>
      <c r="G60" t="s">
        <v>92</v>
      </c>
      <c r="H60" s="11" t="s">
        <v>33</v>
      </c>
      <c r="I60" t="s">
        <v>33</v>
      </c>
      <c r="J60" s="12">
        <v>125</v>
      </c>
      <c r="K60" s="12">
        <v>0</v>
      </c>
      <c r="L60" s="12">
        <v>0</v>
      </c>
      <c r="M60" s="2">
        <v>125</v>
      </c>
      <c r="N60" s="3"/>
      <c r="O60">
        <v>3</v>
      </c>
      <c r="S60">
        <v>0</v>
      </c>
      <c r="W60">
        <v>3</v>
      </c>
      <c r="X60" s="3"/>
      <c r="Y60" s="14">
        <f t="shared" si="0"/>
        <v>2.4E-2</v>
      </c>
    </row>
    <row r="61" spans="1:27">
      <c r="A61" t="s">
        <v>29</v>
      </c>
      <c r="B61" t="s">
        <v>30</v>
      </c>
      <c r="C61" t="s">
        <v>91</v>
      </c>
      <c r="D61">
        <v>102164</v>
      </c>
      <c r="E61">
        <v>102164</v>
      </c>
      <c r="G61" t="s">
        <v>93</v>
      </c>
      <c r="H61" s="11" t="s">
        <v>33</v>
      </c>
      <c r="I61" t="s">
        <v>33</v>
      </c>
      <c r="J61" s="12">
        <v>88</v>
      </c>
      <c r="K61" s="12">
        <v>0</v>
      </c>
      <c r="L61" s="12">
        <v>0</v>
      </c>
      <c r="M61" s="2">
        <v>88</v>
      </c>
      <c r="N61" s="3"/>
      <c r="O61">
        <v>3</v>
      </c>
      <c r="S61">
        <v>0</v>
      </c>
      <c r="W61">
        <v>3</v>
      </c>
      <c r="X61" s="3"/>
      <c r="Y61" s="14">
        <f t="shared" si="0"/>
        <v>3.4090909090909088E-2</v>
      </c>
    </row>
    <row r="62" spans="1:27">
      <c r="A62" t="s">
        <v>29</v>
      </c>
      <c r="B62" t="s">
        <v>30</v>
      </c>
      <c r="C62" t="s">
        <v>91</v>
      </c>
      <c r="D62">
        <v>129410</v>
      </c>
      <c r="E62">
        <v>129410</v>
      </c>
      <c r="G62" t="s">
        <v>94</v>
      </c>
      <c r="H62" s="11" t="s">
        <v>33</v>
      </c>
      <c r="I62" t="s">
        <v>33</v>
      </c>
      <c r="J62" s="12">
        <v>224</v>
      </c>
      <c r="K62" s="12">
        <v>0</v>
      </c>
      <c r="L62" s="12">
        <v>0</v>
      </c>
      <c r="M62" s="2">
        <v>224</v>
      </c>
      <c r="N62" s="3"/>
      <c r="O62">
        <v>9</v>
      </c>
      <c r="S62">
        <v>2</v>
      </c>
      <c r="W62">
        <v>11</v>
      </c>
      <c r="X62" s="3"/>
      <c r="Y62" s="14">
        <f t="shared" si="0"/>
        <v>4.0178571428571432E-2</v>
      </c>
    </row>
    <row r="63" spans="1:27">
      <c r="A63" t="s">
        <v>29</v>
      </c>
      <c r="B63" t="s">
        <v>30</v>
      </c>
      <c r="C63" t="s">
        <v>91</v>
      </c>
      <c r="D63">
        <v>129412</v>
      </c>
      <c r="E63">
        <v>129412</v>
      </c>
      <c r="G63" t="s">
        <v>95</v>
      </c>
      <c r="H63" s="11" t="s">
        <v>33</v>
      </c>
      <c r="I63" t="s">
        <v>33</v>
      </c>
      <c r="J63" s="12">
        <v>98</v>
      </c>
      <c r="K63" s="12">
        <v>0</v>
      </c>
      <c r="L63" s="12">
        <v>0</v>
      </c>
      <c r="M63" s="2">
        <v>98</v>
      </c>
      <c r="N63" s="3"/>
      <c r="O63">
        <v>7</v>
      </c>
      <c r="S63">
        <v>0</v>
      </c>
      <c r="W63">
        <v>7</v>
      </c>
      <c r="X63" s="3"/>
      <c r="Y63" s="14">
        <f t="shared" si="0"/>
        <v>7.1428571428571425E-2</v>
      </c>
    </row>
    <row r="64" spans="1:27">
      <c r="A64" t="s">
        <v>29</v>
      </c>
      <c r="B64" t="s">
        <v>30</v>
      </c>
      <c r="C64" t="s">
        <v>91</v>
      </c>
      <c r="D64">
        <v>129413</v>
      </c>
      <c r="E64">
        <v>129413</v>
      </c>
      <c r="G64" t="s">
        <v>96</v>
      </c>
      <c r="H64" s="11" t="s">
        <v>33</v>
      </c>
      <c r="I64" t="s">
        <v>33</v>
      </c>
      <c r="J64" s="12">
        <v>307</v>
      </c>
      <c r="K64" s="12">
        <v>0</v>
      </c>
      <c r="L64" s="12">
        <v>0</v>
      </c>
      <c r="M64" s="2">
        <v>307</v>
      </c>
      <c r="N64" s="3"/>
      <c r="O64">
        <v>13</v>
      </c>
      <c r="S64">
        <v>3</v>
      </c>
      <c r="W64">
        <v>16</v>
      </c>
      <c r="X64" s="3"/>
      <c r="Y64" s="14">
        <f t="shared" si="0"/>
        <v>4.2345276872964167E-2</v>
      </c>
    </row>
    <row r="65" spans="1:27">
      <c r="A65" t="s">
        <v>29</v>
      </c>
      <c r="B65" t="s">
        <v>30</v>
      </c>
      <c r="C65" t="s">
        <v>91</v>
      </c>
      <c r="D65">
        <v>129414</v>
      </c>
      <c r="E65">
        <v>129414</v>
      </c>
      <c r="G65" t="s">
        <v>97</v>
      </c>
      <c r="H65" s="11" t="s">
        <v>33</v>
      </c>
      <c r="I65" t="s">
        <v>33</v>
      </c>
      <c r="J65" s="12">
        <v>348</v>
      </c>
      <c r="K65" s="12">
        <v>0</v>
      </c>
      <c r="L65" s="12">
        <v>0</v>
      </c>
      <c r="M65" s="2">
        <v>348</v>
      </c>
      <c r="N65" s="3"/>
      <c r="O65">
        <v>11</v>
      </c>
      <c r="S65">
        <v>1</v>
      </c>
      <c r="W65">
        <v>12</v>
      </c>
      <c r="X65" s="3"/>
      <c r="Y65" s="14">
        <f t="shared" si="0"/>
        <v>3.1609195402298854E-2</v>
      </c>
    </row>
    <row r="66" spans="1:27">
      <c r="A66" t="s">
        <v>29</v>
      </c>
      <c r="B66" t="s">
        <v>30</v>
      </c>
      <c r="C66" t="s">
        <v>91</v>
      </c>
      <c r="D66">
        <v>129417</v>
      </c>
      <c r="E66">
        <v>129417</v>
      </c>
      <c r="G66" t="s">
        <v>98</v>
      </c>
      <c r="H66" s="11" t="s">
        <v>33</v>
      </c>
      <c r="I66" t="s">
        <v>33</v>
      </c>
      <c r="J66" s="12">
        <v>559</v>
      </c>
      <c r="K66" s="12">
        <v>0</v>
      </c>
      <c r="L66" s="12">
        <v>0</v>
      </c>
      <c r="M66" s="2">
        <v>559</v>
      </c>
      <c r="N66" s="3"/>
      <c r="O66">
        <v>17</v>
      </c>
      <c r="S66">
        <v>2</v>
      </c>
      <c r="W66">
        <v>19</v>
      </c>
      <c r="X66" s="3"/>
      <c r="Y66" s="14">
        <f t="shared" si="0"/>
        <v>3.041144901610018E-2</v>
      </c>
    </row>
    <row r="67" spans="1:27">
      <c r="A67" t="s">
        <v>29</v>
      </c>
      <c r="B67" t="s">
        <v>30</v>
      </c>
      <c r="C67" t="s">
        <v>91</v>
      </c>
      <c r="D67">
        <v>129418</v>
      </c>
      <c r="E67">
        <v>129418</v>
      </c>
      <c r="G67" t="s">
        <v>99</v>
      </c>
      <c r="H67" s="11" t="s">
        <v>33</v>
      </c>
      <c r="I67" t="s">
        <v>33</v>
      </c>
      <c r="J67" s="12">
        <v>137</v>
      </c>
      <c r="K67" s="12">
        <v>0</v>
      </c>
      <c r="L67" s="12">
        <v>0</v>
      </c>
      <c r="M67" s="2">
        <v>137</v>
      </c>
      <c r="N67" s="3"/>
      <c r="O67">
        <v>6</v>
      </c>
      <c r="S67">
        <v>0</v>
      </c>
      <c r="W67">
        <v>6</v>
      </c>
      <c r="X67" s="3"/>
      <c r="Y67" s="14">
        <f t="shared" si="0"/>
        <v>4.3795620437956206E-2</v>
      </c>
    </row>
    <row r="68" spans="1:27">
      <c r="A68" t="s">
        <v>29</v>
      </c>
      <c r="B68" t="s">
        <v>30</v>
      </c>
      <c r="C68" t="s">
        <v>91</v>
      </c>
      <c r="D68">
        <v>129419</v>
      </c>
      <c r="E68">
        <v>129419</v>
      </c>
      <c r="G68" t="s">
        <v>100</v>
      </c>
      <c r="H68" s="11" t="s">
        <v>33</v>
      </c>
      <c r="I68" t="s">
        <v>33</v>
      </c>
      <c r="J68" s="12">
        <v>379</v>
      </c>
      <c r="K68" s="12">
        <v>0</v>
      </c>
      <c r="L68" s="12">
        <v>0</v>
      </c>
      <c r="M68" s="2">
        <v>379</v>
      </c>
      <c r="N68" s="3"/>
      <c r="O68">
        <v>13</v>
      </c>
      <c r="S68">
        <v>2</v>
      </c>
      <c r="W68">
        <v>15</v>
      </c>
      <c r="X68" s="3"/>
      <c r="Y68" s="14">
        <f t="shared" si="0"/>
        <v>3.430079155672823E-2</v>
      </c>
    </row>
    <row r="69" spans="1:27">
      <c r="A69" t="s">
        <v>29</v>
      </c>
      <c r="B69" t="s">
        <v>30</v>
      </c>
      <c r="C69" t="s">
        <v>91</v>
      </c>
      <c r="D69">
        <v>129420</v>
      </c>
      <c r="E69">
        <v>129420</v>
      </c>
      <c r="G69" t="s">
        <v>101</v>
      </c>
      <c r="H69" s="11" t="s">
        <v>33</v>
      </c>
      <c r="I69" t="s">
        <v>33</v>
      </c>
      <c r="J69" s="12">
        <v>227</v>
      </c>
      <c r="K69" s="12">
        <v>0</v>
      </c>
      <c r="L69" s="12">
        <v>0</v>
      </c>
      <c r="M69" s="2">
        <v>227</v>
      </c>
      <c r="N69" s="3"/>
      <c r="O69">
        <v>7</v>
      </c>
      <c r="S69">
        <v>5</v>
      </c>
      <c r="W69">
        <v>12</v>
      </c>
      <c r="X69" s="3"/>
      <c r="Y69" s="14">
        <f t="shared" si="0"/>
        <v>3.0837004405286344E-2</v>
      </c>
    </row>
    <row r="70" spans="1:27">
      <c r="A70" t="s">
        <v>29</v>
      </c>
      <c r="B70" t="s">
        <v>30</v>
      </c>
      <c r="C70" t="s">
        <v>91</v>
      </c>
      <c r="D70">
        <v>129421</v>
      </c>
      <c r="E70">
        <v>129421</v>
      </c>
      <c r="G70" t="s">
        <v>102</v>
      </c>
      <c r="H70" s="11" t="s">
        <v>33</v>
      </c>
      <c r="I70" t="s">
        <v>33</v>
      </c>
      <c r="J70" s="12">
        <v>124</v>
      </c>
      <c r="K70" s="12">
        <v>0</v>
      </c>
      <c r="L70" s="12">
        <v>0</v>
      </c>
      <c r="M70" s="2">
        <v>124</v>
      </c>
      <c r="N70" s="3"/>
      <c r="O70">
        <v>7</v>
      </c>
      <c r="S70">
        <v>1</v>
      </c>
      <c r="W70">
        <v>8</v>
      </c>
      <c r="X70" s="3"/>
      <c r="Y70" s="14">
        <f t="shared" si="0"/>
        <v>5.6451612903225805E-2</v>
      </c>
    </row>
    <row r="71" spans="1:27">
      <c r="A71" t="s">
        <v>29</v>
      </c>
      <c r="B71" t="s">
        <v>30</v>
      </c>
      <c r="C71" t="s">
        <v>91</v>
      </c>
      <c r="D71">
        <v>129422</v>
      </c>
      <c r="E71">
        <v>129422</v>
      </c>
      <c r="G71" t="s">
        <v>103</v>
      </c>
      <c r="H71" s="11" t="s">
        <v>33</v>
      </c>
      <c r="I71" t="s">
        <v>33</v>
      </c>
      <c r="J71" s="12">
        <v>171</v>
      </c>
      <c r="K71" s="12">
        <v>0</v>
      </c>
      <c r="L71" s="12">
        <v>0</v>
      </c>
      <c r="M71" s="2">
        <v>171</v>
      </c>
      <c r="N71" s="3"/>
      <c r="O71">
        <v>7</v>
      </c>
      <c r="S71">
        <v>1</v>
      </c>
      <c r="W71">
        <v>8</v>
      </c>
      <c r="X71" s="3"/>
      <c r="Y71" s="14">
        <f t="shared" si="0"/>
        <v>4.0935672514619881E-2</v>
      </c>
    </row>
    <row r="72" spans="1:27">
      <c r="A72" t="s">
        <v>29</v>
      </c>
      <c r="B72" t="s">
        <v>30</v>
      </c>
      <c r="C72" t="s">
        <v>91</v>
      </c>
      <c r="D72">
        <v>304313</v>
      </c>
      <c r="E72" t="e">
        <v>#N/A</v>
      </c>
      <c r="F72" s="11" t="s">
        <v>34</v>
      </c>
      <c r="G72" t="s">
        <v>104</v>
      </c>
      <c r="H72" s="11" t="s">
        <v>47</v>
      </c>
      <c r="I72" t="s">
        <v>47</v>
      </c>
      <c r="J72" s="12">
        <v>0</v>
      </c>
      <c r="K72" s="12">
        <v>575</v>
      </c>
      <c r="L72" s="12">
        <v>257</v>
      </c>
      <c r="M72" s="2">
        <v>832</v>
      </c>
      <c r="N72" s="3"/>
      <c r="Q72" s="14">
        <v>0</v>
      </c>
      <c r="R72" s="14">
        <v>0</v>
      </c>
      <c r="U72" s="14">
        <v>0</v>
      </c>
      <c r="V72" s="14">
        <v>0</v>
      </c>
      <c r="X72" s="3"/>
      <c r="Y72" s="14"/>
      <c r="Z72" s="13" t="e">
        <v>#DIV/0!</v>
      </c>
      <c r="AA72" s="13" t="e">
        <v>#DIV/0!</v>
      </c>
    </row>
    <row r="73" spans="1:27">
      <c r="A73" t="s">
        <v>29</v>
      </c>
      <c r="B73" t="s">
        <v>30</v>
      </c>
      <c r="C73" t="s">
        <v>91</v>
      </c>
      <c r="D73">
        <v>304318</v>
      </c>
      <c r="E73">
        <v>304318</v>
      </c>
      <c r="G73" t="s">
        <v>105</v>
      </c>
      <c r="H73" s="11" t="s">
        <v>47</v>
      </c>
      <c r="I73" t="s">
        <v>47</v>
      </c>
      <c r="J73" s="12">
        <v>0</v>
      </c>
      <c r="K73" s="12">
        <v>333</v>
      </c>
      <c r="L73" s="12">
        <v>150</v>
      </c>
      <c r="M73" s="2">
        <v>483</v>
      </c>
      <c r="N73" s="3"/>
      <c r="P73">
        <v>12</v>
      </c>
      <c r="Q73" s="14">
        <v>8.2732919254658377</v>
      </c>
      <c r="R73" s="14">
        <v>3.7267080745341614</v>
      </c>
      <c r="T73">
        <v>6</v>
      </c>
      <c r="U73" s="14">
        <v>4.1366459627329188</v>
      </c>
      <c r="V73" s="14">
        <v>1.8633540372670807</v>
      </c>
      <c r="W73">
        <v>18</v>
      </c>
      <c r="X73" s="3"/>
      <c r="Y73" s="14"/>
      <c r="Z73" s="13">
        <v>40.250000000000007</v>
      </c>
      <c r="AA73" s="13">
        <v>40.25</v>
      </c>
    </row>
    <row r="74" spans="1:27">
      <c r="A74" t="s">
        <v>29</v>
      </c>
      <c r="B74" t="s">
        <v>30</v>
      </c>
      <c r="C74" t="s">
        <v>91</v>
      </c>
      <c r="D74">
        <v>325105</v>
      </c>
      <c r="E74">
        <v>325105</v>
      </c>
      <c r="G74" t="s">
        <v>106</v>
      </c>
      <c r="H74" s="11" t="s">
        <v>47</v>
      </c>
      <c r="I74" t="s">
        <v>47</v>
      </c>
      <c r="J74" s="12">
        <v>0</v>
      </c>
      <c r="K74" s="12">
        <v>402</v>
      </c>
      <c r="L74" s="12">
        <v>115</v>
      </c>
      <c r="M74" s="2">
        <v>517</v>
      </c>
      <c r="N74" s="3"/>
      <c r="P74">
        <v>9</v>
      </c>
      <c r="Q74" s="14">
        <v>6.9980657640232113</v>
      </c>
      <c r="R74" s="14">
        <v>2.0019342359767891</v>
      </c>
      <c r="T74">
        <v>0</v>
      </c>
      <c r="U74" s="14">
        <v>0</v>
      </c>
      <c r="V74" s="14">
        <v>0</v>
      </c>
      <c r="W74">
        <v>9</v>
      </c>
      <c r="X74" s="3"/>
      <c r="Y74" s="14"/>
      <c r="Z74" s="13">
        <v>57.444444444444443</v>
      </c>
      <c r="AA74" s="13">
        <v>57.444444444444443</v>
      </c>
    </row>
    <row r="75" spans="1:27">
      <c r="A75" t="s">
        <v>29</v>
      </c>
      <c r="B75" t="s">
        <v>30</v>
      </c>
      <c r="C75" t="s">
        <v>91</v>
      </c>
      <c r="D75">
        <v>501085</v>
      </c>
      <c r="E75">
        <v>501085</v>
      </c>
      <c r="G75" t="s">
        <v>107</v>
      </c>
      <c r="H75" s="15" t="s">
        <v>108</v>
      </c>
      <c r="I75" t="s">
        <v>108</v>
      </c>
      <c r="J75" s="12">
        <v>386</v>
      </c>
      <c r="K75" s="12">
        <v>170</v>
      </c>
      <c r="L75" s="12">
        <v>0</v>
      </c>
      <c r="M75" s="2">
        <v>556</v>
      </c>
      <c r="N75" s="3"/>
      <c r="O75">
        <v>18</v>
      </c>
      <c r="P75">
        <v>18</v>
      </c>
      <c r="Q75">
        <v>18</v>
      </c>
      <c r="S75">
        <v>2</v>
      </c>
      <c r="T75">
        <v>2</v>
      </c>
      <c r="U75">
        <v>2</v>
      </c>
      <c r="W75">
        <v>40</v>
      </c>
      <c r="X75" s="3"/>
      <c r="Y75" s="14">
        <f t="shared" ref="Y72:Y78" si="1">IFERROR(O75/J75, 0)</f>
        <v>4.6632124352331605E-2</v>
      </c>
      <c r="Z75" s="13">
        <v>9.4444444444444446</v>
      </c>
    </row>
    <row r="76" spans="1:27">
      <c r="A76" t="s">
        <v>29</v>
      </c>
      <c r="B76" t="s">
        <v>30</v>
      </c>
      <c r="C76" t="s">
        <v>91</v>
      </c>
      <c r="D76">
        <v>501086</v>
      </c>
      <c r="E76">
        <v>501086</v>
      </c>
      <c r="G76" t="s">
        <v>109</v>
      </c>
      <c r="H76" t="s">
        <v>51</v>
      </c>
      <c r="I76" t="s">
        <v>51</v>
      </c>
      <c r="J76" s="12">
        <v>231</v>
      </c>
      <c r="K76" s="12">
        <v>97</v>
      </c>
      <c r="L76" s="12">
        <v>0</v>
      </c>
      <c r="M76" s="2">
        <v>328</v>
      </c>
      <c r="N76" s="3"/>
      <c r="O76">
        <v>10</v>
      </c>
      <c r="P76">
        <v>10</v>
      </c>
      <c r="Q76" s="14">
        <v>10</v>
      </c>
      <c r="R76" s="14">
        <v>0</v>
      </c>
      <c r="S76">
        <v>5</v>
      </c>
      <c r="T76">
        <v>5</v>
      </c>
      <c r="U76" s="14">
        <v>5</v>
      </c>
      <c r="V76" s="14">
        <v>0</v>
      </c>
      <c r="W76">
        <v>30</v>
      </c>
      <c r="X76" s="3"/>
      <c r="Y76" s="14">
        <f t="shared" si="1"/>
        <v>4.3290043290043288E-2</v>
      </c>
      <c r="Z76" s="13">
        <v>9.6999999999999993</v>
      </c>
      <c r="AA76" s="13" t="e">
        <v>#DIV/0!</v>
      </c>
    </row>
    <row r="77" spans="1:27">
      <c r="A77" t="s">
        <v>29</v>
      </c>
      <c r="B77" t="s">
        <v>30</v>
      </c>
      <c r="C77" t="s">
        <v>91</v>
      </c>
      <c r="D77">
        <v>501087</v>
      </c>
      <c r="E77">
        <v>501087</v>
      </c>
      <c r="G77" t="s">
        <v>110</v>
      </c>
      <c r="H77" t="s">
        <v>51</v>
      </c>
      <c r="I77" t="s">
        <v>51</v>
      </c>
      <c r="J77" s="12">
        <v>200</v>
      </c>
      <c r="K77" s="12">
        <v>123</v>
      </c>
      <c r="L77" s="12">
        <v>74</v>
      </c>
      <c r="M77" s="2">
        <v>397</v>
      </c>
      <c r="N77" s="3"/>
      <c r="O77">
        <v>8</v>
      </c>
      <c r="P77">
        <v>8</v>
      </c>
      <c r="Q77" s="14">
        <v>4.9949238578680202</v>
      </c>
      <c r="R77" s="14">
        <v>3.0050761421319798</v>
      </c>
      <c r="S77">
        <v>1</v>
      </c>
      <c r="T77">
        <v>1</v>
      </c>
      <c r="U77" s="14">
        <v>0.62436548223350252</v>
      </c>
      <c r="V77" s="14">
        <v>0.37563451776649748</v>
      </c>
      <c r="W77">
        <v>18</v>
      </c>
      <c r="X77" s="3"/>
      <c r="Y77" s="14">
        <f t="shared" si="1"/>
        <v>0.04</v>
      </c>
      <c r="Z77" s="13">
        <v>24.625</v>
      </c>
      <c r="AA77" s="13">
        <v>24.625</v>
      </c>
    </row>
    <row r="78" spans="1:27">
      <c r="A78" t="s">
        <v>29</v>
      </c>
      <c r="B78" t="s">
        <v>30</v>
      </c>
      <c r="C78" t="s">
        <v>31</v>
      </c>
      <c r="D78">
        <v>306039</v>
      </c>
      <c r="E78">
        <v>306039</v>
      </c>
      <c r="G78" t="s">
        <v>111</v>
      </c>
      <c r="H78" s="11" t="s">
        <v>47</v>
      </c>
      <c r="I78" t="s">
        <v>47</v>
      </c>
      <c r="J78" s="12">
        <v>0</v>
      </c>
      <c r="K78" s="12">
        <v>128</v>
      </c>
      <c r="L78" s="12">
        <v>38</v>
      </c>
      <c r="M78" s="2">
        <v>166</v>
      </c>
      <c r="N78" s="3"/>
      <c r="P78">
        <v>10</v>
      </c>
      <c r="Q78" s="14">
        <v>7.7108433734939759</v>
      </c>
      <c r="R78" s="14">
        <v>2.2891566265060241</v>
      </c>
      <c r="T78">
        <v>0</v>
      </c>
      <c r="U78" s="14">
        <v>0</v>
      </c>
      <c r="V78" s="14">
        <v>0</v>
      </c>
      <c r="W78">
        <v>10</v>
      </c>
      <c r="X78" s="3"/>
      <c r="Y78" s="14">
        <f t="shared" si="1"/>
        <v>0</v>
      </c>
      <c r="Z78" s="13">
        <v>16.600000000000001</v>
      </c>
      <c r="AA78" s="13">
        <v>16.600000000000001</v>
      </c>
    </row>
    <row r="79" spans="1:27">
      <c r="Y79" cm="1">
        <f t="array" ref="Y79">SUMPRODUCT((Y7:Y78&lt;=45)*1)</f>
        <v>72</v>
      </c>
    </row>
  </sheetData>
  <mergeCells count="4">
    <mergeCell ref="J5:M5"/>
    <mergeCell ref="O5:R5"/>
    <mergeCell ref="S5:V5"/>
    <mergeCell ref="Y5:A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AD9D-810D-4459-A043-46E4E277AA92}">
  <dimension ref="A1:W57"/>
  <sheetViews>
    <sheetView workbookViewId="0">
      <selection activeCell="AF27" sqref="AF27"/>
    </sheetView>
  </sheetViews>
  <sheetFormatPr defaultRowHeight="15"/>
  <cols>
    <col min="1" max="1" width="3.28515625" bestFit="1" customWidth="1"/>
    <col min="2" max="2" width="32.140625" customWidth="1"/>
    <col min="3" max="3" width="23.140625" customWidth="1"/>
    <col min="4" max="4" width="21.42578125" customWidth="1"/>
    <col min="5" max="5" width="16.5703125" customWidth="1"/>
    <col min="6" max="8" width="0" hidden="1" customWidth="1"/>
    <col min="9" max="9" width="15.140625" hidden="1" customWidth="1"/>
    <col min="10" max="10" width="20.5703125" customWidth="1"/>
    <col min="11" max="19" width="0" hidden="1" customWidth="1"/>
    <col min="20" max="20" width="23.42578125" customWidth="1"/>
    <col min="22" max="23" width="0" hidden="1" customWidth="1"/>
  </cols>
  <sheetData>
    <row r="1" spans="1:23">
      <c r="E1" t="s">
        <v>4</v>
      </c>
      <c r="J1" t="s">
        <v>5</v>
      </c>
      <c r="N1" t="s">
        <v>6</v>
      </c>
      <c r="R1" t="s">
        <v>7</v>
      </c>
      <c r="T1" t="s">
        <v>8</v>
      </c>
    </row>
    <row r="2" spans="1:23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23</v>
      </c>
      <c r="P2" t="s">
        <v>27</v>
      </c>
      <c r="Q2" t="s">
        <v>28</v>
      </c>
      <c r="R2" t="s">
        <v>7</v>
      </c>
      <c r="S2">
        <v>1</v>
      </c>
      <c r="T2" t="s">
        <v>18</v>
      </c>
      <c r="V2" t="s">
        <v>19</v>
      </c>
      <c r="W2" t="s">
        <v>20</v>
      </c>
    </row>
    <row r="4" spans="1:23">
      <c r="A4">
        <v>1</v>
      </c>
      <c r="B4" t="s">
        <v>32</v>
      </c>
      <c r="C4" t="s">
        <v>33</v>
      </c>
      <c r="D4" t="s">
        <v>33</v>
      </c>
      <c r="E4">
        <v>461</v>
      </c>
      <c r="F4">
        <v>0</v>
      </c>
      <c r="G4">
        <v>0</v>
      </c>
      <c r="H4">
        <v>461</v>
      </c>
      <c r="J4">
        <v>15</v>
      </c>
      <c r="N4">
        <v>6</v>
      </c>
      <c r="R4">
        <v>21</v>
      </c>
      <c r="T4">
        <f>IFERROR(E4/J4, 0)</f>
        <v>30.733333333333334</v>
      </c>
      <c r="U4" t="str">
        <f>IF(E4/J4&lt;=45,"Within Standard","Congested")</f>
        <v>Within Standard</v>
      </c>
    </row>
    <row r="5" spans="1:23">
      <c r="A5">
        <v>2</v>
      </c>
      <c r="B5" t="s">
        <v>35</v>
      </c>
      <c r="C5" t="s">
        <v>33</v>
      </c>
      <c r="D5" t="s">
        <v>33</v>
      </c>
      <c r="E5">
        <v>192</v>
      </c>
      <c r="F5">
        <v>0</v>
      </c>
      <c r="G5">
        <v>0</v>
      </c>
      <c r="H5">
        <v>192</v>
      </c>
      <c r="T5">
        <f t="shared" ref="T5:T56" si="0">IFERROR(E5/J5, 0)</f>
        <v>0</v>
      </c>
      <c r="U5" t="e">
        <f t="shared" ref="U5:U56" si="1">IF(E5/J5&lt;=45,"Within Standard","Congested")</f>
        <v>#DIV/0!</v>
      </c>
    </row>
    <row r="6" spans="1:23">
      <c r="A6">
        <v>3</v>
      </c>
      <c r="B6" t="s">
        <v>36</v>
      </c>
      <c r="C6" t="s">
        <v>33</v>
      </c>
      <c r="D6" t="s">
        <v>33</v>
      </c>
      <c r="E6">
        <v>304</v>
      </c>
      <c r="F6">
        <v>0</v>
      </c>
      <c r="G6">
        <v>0</v>
      </c>
      <c r="H6">
        <v>304</v>
      </c>
      <c r="J6">
        <v>3</v>
      </c>
      <c r="N6">
        <v>1</v>
      </c>
      <c r="R6">
        <v>4</v>
      </c>
      <c r="T6">
        <f t="shared" si="0"/>
        <v>101.33333333333333</v>
      </c>
      <c r="U6" t="str">
        <f t="shared" si="1"/>
        <v>Congested</v>
      </c>
    </row>
    <row r="7" spans="1:23">
      <c r="A7">
        <v>4</v>
      </c>
      <c r="B7" t="s">
        <v>37</v>
      </c>
      <c r="C7" t="s">
        <v>33</v>
      </c>
      <c r="D7" t="s">
        <v>33</v>
      </c>
      <c r="E7">
        <v>321</v>
      </c>
      <c r="F7">
        <v>0</v>
      </c>
      <c r="G7">
        <v>0</v>
      </c>
      <c r="H7">
        <v>321</v>
      </c>
      <c r="J7">
        <v>14</v>
      </c>
      <c r="N7">
        <v>3</v>
      </c>
      <c r="R7">
        <v>17</v>
      </c>
      <c r="T7">
        <f t="shared" si="0"/>
        <v>22.928571428571427</v>
      </c>
      <c r="U7" t="str">
        <f t="shared" si="1"/>
        <v>Within Standard</v>
      </c>
    </row>
    <row r="8" spans="1:23">
      <c r="A8">
        <v>5</v>
      </c>
      <c r="B8" t="s">
        <v>38</v>
      </c>
      <c r="C8" t="s">
        <v>33</v>
      </c>
      <c r="D8" t="s">
        <v>33</v>
      </c>
      <c r="E8">
        <v>1188</v>
      </c>
      <c r="F8">
        <v>0</v>
      </c>
      <c r="G8">
        <v>0</v>
      </c>
      <c r="H8">
        <v>1188</v>
      </c>
      <c r="J8">
        <v>39</v>
      </c>
      <c r="N8">
        <v>21</v>
      </c>
      <c r="R8">
        <v>60</v>
      </c>
      <c r="T8">
        <f t="shared" si="0"/>
        <v>30.46153846153846</v>
      </c>
      <c r="U8" t="str">
        <f t="shared" si="1"/>
        <v>Within Standard</v>
      </c>
    </row>
    <row r="9" spans="1:23">
      <c r="A9">
        <v>6</v>
      </c>
      <c r="B9" t="s">
        <v>39</v>
      </c>
      <c r="C9" t="s">
        <v>33</v>
      </c>
      <c r="D9" t="s">
        <v>33</v>
      </c>
      <c r="E9">
        <v>1216</v>
      </c>
      <c r="F9">
        <v>0</v>
      </c>
      <c r="G9">
        <v>0</v>
      </c>
      <c r="H9">
        <v>1216</v>
      </c>
      <c r="J9">
        <v>38</v>
      </c>
      <c r="N9">
        <v>10</v>
      </c>
      <c r="R9">
        <v>48</v>
      </c>
      <c r="T9">
        <f t="shared" si="0"/>
        <v>32</v>
      </c>
      <c r="U9" t="str">
        <f t="shared" si="1"/>
        <v>Within Standard</v>
      </c>
    </row>
    <row r="10" spans="1:23">
      <c r="A10">
        <v>7</v>
      </c>
      <c r="B10" t="s">
        <v>40</v>
      </c>
      <c r="C10" t="s">
        <v>33</v>
      </c>
      <c r="D10" t="s">
        <v>33</v>
      </c>
      <c r="E10">
        <v>1984</v>
      </c>
      <c r="F10">
        <v>0</v>
      </c>
      <c r="G10">
        <v>0</v>
      </c>
      <c r="H10">
        <v>1984</v>
      </c>
      <c r="J10">
        <v>44</v>
      </c>
      <c r="N10">
        <v>2</v>
      </c>
      <c r="R10">
        <v>46</v>
      </c>
      <c r="T10">
        <f t="shared" si="0"/>
        <v>45.090909090909093</v>
      </c>
      <c r="U10" t="str">
        <f t="shared" si="1"/>
        <v>Congested</v>
      </c>
    </row>
    <row r="11" spans="1:23">
      <c r="A11">
        <v>8</v>
      </c>
      <c r="B11" t="s">
        <v>41</v>
      </c>
      <c r="C11" t="s">
        <v>33</v>
      </c>
      <c r="D11" t="s">
        <v>33</v>
      </c>
      <c r="E11">
        <v>982</v>
      </c>
      <c r="F11">
        <v>0</v>
      </c>
      <c r="G11">
        <v>0</v>
      </c>
      <c r="H11">
        <v>982</v>
      </c>
      <c r="J11">
        <v>35</v>
      </c>
      <c r="N11">
        <v>1</v>
      </c>
      <c r="R11">
        <v>36</v>
      </c>
      <c r="T11">
        <f t="shared" si="0"/>
        <v>28.057142857142857</v>
      </c>
      <c r="U11" t="str">
        <f t="shared" si="1"/>
        <v>Within Standard</v>
      </c>
    </row>
    <row r="12" spans="1:23">
      <c r="A12">
        <v>9</v>
      </c>
      <c r="B12" t="s">
        <v>42</v>
      </c>
      <c r="C12" t="s">
        <v>33</v>
      </c>
      <c r="D12" t="s">
        <v>33</v>
      </c>
      <c r="E12">
        <v>126</v>
      </c>
      <c r="F12">
        <v>0</v>
      </c>
      <c r="G12">
        <v>0</v>
      </c>
      <c r="H12">
        <v>126</v>
      </c>
      <c r="J12">
        <v>8</v>
      </c>
      <c r="N12">
        <v>0</v>
      </c>
      <c r="R12">
        <v>8</v>
      </c>
      <c r="T12">
        <f t="shared" si="0"/>
        <v>15.75</v>
      </c>
      <c r="U12" t="str">
        <f t="shared" si="1"/>
        <v>Within Standard</v>
      </c>
    </row>
    <row r="13" spans="1:23">
      <c r="A13">
        <v>10</v>
      </c>
      <c r="B13" t="s">
        <v>43</v>
      </c>
      <c r="C13" t="s">
        <v>33</v>
      </c>
      <c r="D13" t="s">
        <v>33</v>
      </c>
      <c r="E13">
        <v>806</v>
      </c>
      <c r="F13">
        <v>0</v>
      </c>
      <c r="G13">
        <v>0</v>
      </c>
      <c r="H13">
        <v>806</v>
      </c>
      <c r="J13">
        <v>12</v>
      </c>
      <c r="N13">
        <v>7</v>
      </c>
      <c r="R13">
        <v>19</v>
      </c>
      <c r="T13">
        <f t="shared" si="0"/>
        <v>67.166666666666671</v>
      </c>
      <c r="U13" t="str">
        <f t="shared" si="1"/>
        <v>Congested</v>
      </c>
    </row>
    <row r="14" spans="1:23">
      <c r="A14">
        <v>11</v>
      </c>
      <c r="B14" t="s">
        <v>44</v>
      </c>
      <c r="C14" t="s">
        <v>33</v>
      </c>
      <c r="D14" t="s">
        <v>33</v>
      </c>
      <c r="E14">
        <v>146</v>
      </c>
      <c r="F14">
        <v>0</v>
      </c>
      <c r="G14">
        <v>0</v>
      </c>
      <c r="H14">
        <v>146</v>
      </c>
      <c r="J14">
        <v>7</v>
      </c>
      <c r="N14">
        <v>0</v>
      </c>
      <c r="R14">
        <v>7</v>
      </c>
      <c r="T14">
        <f t="shared" si="0"/>
        <v>20.857142857142858</v>
      </c>
      <c r="U14" t="str">
        <f t="shared" si="1"/>
        <v>Within Standard</v>
      </c>
    </row>
    <row r="15" spans="1:23">
      <c r="A15">
        <v>12</v>
      </c>
      <c r="B15" t="s">
        <v>45</v>
      </c>
      <c r="C15" t="s">
        <v>33</v>
      </c>
      <c r="D15" t="s">
        <v>33</v>
      </c>
      <c r="E15">
        <v>975</v>
      </c>
      <c r="F15">
        <v>0</v>
      </c>
      <c r="G15">
        <v>0</v>
      </c>
      <c r="H15">
        <v>975</v>
      </c>
      <c r="J15">
        <v>12</v>
      </c>
      <c r="N15">
        <v>1</v>
      </c>
      <c r="R15">
        <v>13</v>
      </c>
      <c r="T15">
        <f t="shared" si="0"/>
        <v>81.25</v>
      </c>
      <c r="U15" t="str">
        <f t="shared" si="1"/>
        <v>Congested</v>
      </c>
    </row>
    <row r="16" spans="1:23">
      <c r="A16">
        <v>13</v>
      </c>
      <c r="B16" t="s">
        <v>54</v>
      </c>
      <c r="C16" t="s">
        <v>33</v>
      </c>
      <c r="D16" t="s">
        <v>33</v>
      </c>
      <c r="E16">
        <v>119</v>
      </c>
      <c r="F16">
        <v>0</v>
      </c>
      <c r="G16">
        <v>0</v>
      </c>
      <c r="H16">
        <v>119</v>
      </c>
      <c r="J16">
        <v>7</v>
      </c>
      <c r="N16">
        <v>1</v>
      </c>
      <c r="R16">
        <v>8</v>
      </c>
      <c r="T16">
        <f t="shared" si="0"/>
        <v>17</v>
      </c>
      <c r="U16" t="str">
        <f t="shared" si="1"/>
        <v>Within Standard</v>
      </c>
    </row>
    <row r="17" spans="1:22">
      <c r="A17">
        <v>14</v>
      </c>
      <c r="B17" t="s">
        <v>55</v>
      </c>
      <c r="C17" t="s">
        <v>33</v>
      </c>
      <c r="D17" t="s">
        <v>33</v>
      </c>
      <c r="E17">
        <v>232</v>
      </c>
      <c r="F17">
        <v>0</v>
      </c>
      <c r="G17">
        <v>0</v>
      </c>
      <c r="H17">
        <v>232</v>
      </c>
      <c r="J17">
        <v>5</v>
      </c>
      <c r="N17">
        <v>3</v>
      </c>
      <c r="R17">
        <v>8</v>
      </c>
      <c r="T17">
        <f t="shared" si="0"/>
        <v>46.4</v>
      </c>
      <c r="U17" t="str">
        <f t="shared" si="1"/>
        <v>Congested</v>
      </c>
    </row>
    <row r="18" spans="1:22">
      <c r="A18">
        <v>15</v>
      </c>
      <c r="B18" t="s">
        <v>56</v>
      </c>
      <c r="C18" t="s">
        <v>33</v>
      </c>
      <c r="D18" t="s">
        <v>33</v>
      </c>
      <c r="E18">
        <v>370</v>
      </c>
      <c r="F18">
        <v>0</v>
      </c>
      <c r="G18">
        <v>0</v>
      </c>
      <c r="H18">
        <v>370</v>
      </c>
      <c r="J18">
        <v>5</v>
      </c>
      <c r="N18">
        <v>11</v>
      </c>
      <c r="R18">
        <v>16</v>
      </c>
      <c r="T18">
        <f t="shared" si="0"/>
        <v>74</v>
      </c>
      <c r="U18" t="str">
        <f t="shared" si="1"/>
        <v>Congested</v>
      </c>
    </row>
    <row r="19" spans="1:22">
      <c r="A19">
        <v>16</v>
      </c>
      <c r="B19" t="s">
        <v>57</v>
      </c>
      <c r="C19" t="s">
        <v>33</v>
      </c>
      <c r="D19" t="s">
        <v>33</v>
      </c>
      <c r="E19">
        <v>851</v>
      </c>
      <c r="F19">
        <v>0</v>
      </c>
      <c r="G19">
        <v>0</v>
      </c>
      <c r="H19">
        <v>851</v>
      </c>
      <c r="J19">
        <v>15</v>
      </c>
      <c r="N19">
        <v>1</v>
      </c>
      <c r="R19">
        <v>16</v>
      </c>
      <c r="T19">
        <f t="shared" si="0"/>
        <v>56.733333333333334</v>
      </c>
      <c r="U19" t="str">
        <f t="shared" si="1"/>
        <v>Congested</v>
      </c>
    </row>
    <row r="20" spans="1:22">
      <c r="A20">
        <v>17</v>
      </c>
      <c r="B20" t="s">
        <v>58</v>
      </c>
      <c r="C20" t="s">
        <v>33</v>
      </c>
      <c r="D20" t="s">
        <v>33</v>
      </c>
      <c r="E20">
        <v>719</v>
      </c>
      <c r="F20">
        <v>0</v>
      </c>
      <c r="G20">
        <v>0</v>
      </c>
      <c r="H20">
        <v>719</v>
      </c>
      <c r="J20">
        <v>23</v>
      </c>
      <c r="N20">
        <v>1</v>
      </c>
      <c r="R20">
        <v>24</v>
      </c>
      <c r="T20">
        <f t="shared" si="0"/>
        <v>31.260869565217391</v>
      </c>
      <c r="U20" t="str">
        <f t="shared" si="1"/>
        <v>Within Standard</v>
      </c>
    </row>
    <row r="21" spans="1:22">
      <c r="A21">
        <v>18</v>
      </c>
      <c r="B21" t="s">
        <v>59</v>
      </c>
      <c r="C21" t="s">
        <v>33</v>
      </c>
      <c r="D21" t="s">
        <v>33</v>
      </c>
      <c r="E21">
        <v>285</v>
      </c>
      <c r="F21">
        <v>0</v>
      </c>
      <c r="G21">
        <v>0</v>
      </c>
      <c r="H21">
        <v>285</v>
      </c>
      <c r="J21">
        <v>9</v>
      </c>
      <c r="N21">
        <v>2</v>
      </c>
      <c r="R21">
        <v>11</v>
      </c>
      <c r="T21">
        <f t="shared" si="0"/>
        <v>31.666666666666668</v>
      </c>
      <c r="U21" t="str">
        <f t="shared" si="1"/>
        <v>Within Standard</v>
      </c>
    </row>
    <row r="22" spans="1:22">
      <c r="A22">
        <v>19</v>
      </c>
      <c r="B22" t="s">
        <v>60</v>
      </c>
      <c r="C22" t="s">
        <v>33</v>
      </c>
      <c r="D22" t="s">
        <v>33</v>
      </c>
      <c r="E22">
        <v>349</v>
      </c>
      <c r="F22">
        <v>0</v>
      </c>
      <c r="G22">
        <v>0</v>
      </c>
      <c r="H22">
        <v>349</v>
      </c>
      <c r="J22">
        <v>7</v>
      </c>
      <c r="N22">
        <v>0</v>
      </c>
      <c r="R22">
        <v>7</v>
      </c>
      <c r="T22">
        <f t="shared" si="0"/>
        <v>49.857142857142854</v>
      </c>
      <c r="U22" t="str">
        <f t="shared" si="1"/>
        <v>Congested</v>
      </c>
    </row>
    <row r="23" spans="1:22">
      <c r="A23">
        <v>20</v>
      </c>
      <c r="B23" t="s">
        <v>61</v>
      </c>
      <c r="C23" t="s">
        <v>33</v>
      </c>
      <c r="D23" t="s">
        <v>33</v>
      </c>
      <c r="E23">
        <v>79</v>
      </c>
      <c r="F23">
        <v>0</v>
      </c>
      <c r="G23">
        <v>0</v>
      </c>
      <c r="H23">
        <v>79</v>
      </c>
      <c r="J23">
        <v>0</v>
      </c>
      <c r="N23">
        <v>2</v>
      </c>
      <c r="R23">
        <v>2</v>
      </c>
      <c r="T23">
        <f t="shared" si="0"/>
        <v>0</v>
      </c>
      <c r="U23" t="e">
        <f t="shared" si="1"/>
        <v>#DIV/0!</v>
      </c>
    </row>
    <row r="24" spans="1:22">
      <c r="A24">
        <v>21</v>
      </c>
      <c r="B24" t="s">
        <v>62</v>
      </c>
      <c r="C24" t="s">
        <v>33</v>
      </c>
      <c r="D24" t="s">
        <v>33</v>
      </c>
      <c r="E24">
        <v>127</v>
      </c>
      <c r="F24">
        <v>0</v>
      </c>
      <c r="G24">
        <v>0</v>
      </c>
      <c r="H24">
        <v>127</v>
      </c>
      <c r="J24">
        <v>2</v>
      </c>
      <c r="N24">
        <v>1</v>
      </c>
      <c r="R24">
        <v>3</v>
      </c>
      <c r="T24">
        <f t="shared" si="0"/>
        <v>63.5</v>
      </c>
      <c r="U24" t="str">
        <f t="shared" si="1"/>
        <v>Congested</v>
      </c>
    </row>
    <row r="25" spans="1:22">
      <c r="A25">
        <v>22</v>
      </c>
      <c r="B25" t="s">
        <v>63</v>
      </c>
      <c r="C25" t="s">
        <v>33</v>
      </c>
      <c r="D25" t="s">
        <v>33</v>
      </c>
      <c r="E25">
        <v>773</v>
      </c>
      <c r="F25">
        <v>0</v>
      </c>
      <c r="G25">
        <v>0</v>
      </c>
      <c r="H25">
        <v>773</v>
      </c>
      <c r="J25">
        <v>22</v>
      </c>
      <c r="N25">
        <v>3</v>
      </c>
      <c r="R25">
        <v>25</v>
      </c>
      <c r="T25">
        <f t="shared" si="0"/>
        <v>35.136363636363633</v>
      </c>
      <c r="U25" t="str">
        <f t="shared" si="1"/>
        <v>Within Standard</v>
      </c>
    </row>
    <row r="26" spans="1:22">
      <c r="A26">
        <v>23</v>
      </c>
      <c r="B26" t="s">
        <v>64</v>
      </c>
      <c r="C26" t="s">
        <v>33</v>
      </c>
      <c r="D26" t="s">
        <v>33</v>
      </c>
      <c r="E26">
        <v>541</v>
      </c>
      <c r="F26">
        <v>0</v>
      </c>
      <c r="G26">
        <v>0</v>
      </c>
      <c r="H26">
        <v>541</v>
      </c>
      <c r="J26">
        <v>15</v>
      </c>
      <c r="N26">
        <v>6</v>
      </c>
      <c r="R26">
        <v>21</v>
      </c>
      <c r="T26">
        <f t="shared" si="0"/>
        <v>36.06666666666667</v>
      </c>
      <c r="U26" t="str">
        <f t="shared" si="1"/>
        <v>Within Standard</v>
      </c>
    </row>
    <row r="27" spans="1:22">
      <c r="A27">
        <v>24</v>
      </c>
      <c r="B27" t="s">
        <v>65</v>
      </c>
      <c r="C27" t="s">
        <v>33</v>
      </c>
      <c r="D27" t="s">
        <v>33</v>
      </c>
      <c r="E27">
        <v>179</v>
      </c>
      <c r="F27">
        <v>0</v>
      </c>
      <c r="G27">
        <v>0</v>
      </c>
      <c r="H27">
        <v>179</v>
      </c>
      <c r="J27">
        <v>9</v>
      </c>
      <c r="N27">
        <v>1</v>
      </c>
      <c r="R27">
        <v>10</v>
      </c>
      <c r="T27">
        <f t="shared" si="0"/>
        <v>19.888888888888889</v>
      </c>
      <c r="U27" t="str">
        <f t="shared" si="1"/>
        <v>Within Standard</v>
      </c>
      <c r="V27" t="e">
        <f>SUMPRODUCT(V4:V26,ES!T57)</f>
        <v>#VALUE!</v>
      </c>
    </row>
    <row r="28" spans="1:22">
      <c r="A28">
        <v>25</v>
      </c>
      <c r="B28" t="s">
        <v>66</v>
      </c>
      <c r="C28" t="s">
        <v>33</v>
      </c>
      <c r="D28" t="s">
        <v>33</v>
      </c>
      <c r="E28">
        <v>591</v>
      </c>
      <c r="F28">
        <v>0</v>
      </c>
      <c r="G28">
        <v>0</v>
      </c>
      <c r="H28">
        <v>591</v>
      </c>
      <c r="J28">
        <v>14</v>
      </c>
      <c r="N28">
        <v>2</v>
      </c>
      <c r="R28">
        <v>16</v>
      </c>
      <c r="T28">
        <f t="shared" si="0"/>
        <v>42.214285714285715</v>
      </c>
      <c r="U28" t="str">
        <f t="shared" si="1"/>
        <v>Within Standard</v>
      </c>
    </row>
    <row r="29" spans="1:22">
      <c r="A29">
        <v>26</v>
      </c>
      <c r="B29" t="s">
        <v>67</v>
      </c>
      <c r="C29" t="s">
        <v>33</v>
      </c>
      <c r="D29" t="s">
        <v>33</v>
      </c>
      <c r="E29">
        <v>611</v>
      </c>
      <c r="F29">
        <v>0</v>
      </c>
      <c r="G29">
        <v>0</v>
      </c>
      <c r="H29">
        <v>611</v>
      </c>
      <c r="J29">
        <v>18</v>
      </c>
      <c r="N29">
        <v>2</v>
      </c>
      <c r="R29">
        <v>20</v>
      </c>
      <c r="T29">
        <f t="shared" si="0"/>
        <v>33.944444444444443</v>
      </c>
      <c r="U29" t="str">
        <f t="shared" si="1"/>
        <v>Within Standard</v>
      </c>
    </row>
    <row r="30" spans="1:22">
      <c r="A30">
        <v>27</v>
      </c>
      <c r="B30" t="s">
        <v>68</v>
      </c>
      <c r="C30" t="s">
        <v>33</v>
      </c>
      <c r="D30" t="s">
        <v>33</v>
      </c>
      <c r="E30">
        <v>1411</v>
      </c>
      <c r="F30">
        <v>0</v>
      </c>
      <c r="G30">
        <v>0</v>
      </c>
      <c r="H30">
        <v>1411</v>
      </c>
      <c r="J30">
        <v>41</v>
      </c>
      <c r="N30">
        <v>10</v>
      </c>
      <c r="R30">
        <v>51</v>
      </c>
      <c r="T30">
        <f t="shared" si="0"/>
        <v>34.414634146341463</v>
      </c>
      <c r="U30" t="str">
        <f t="shared" si="1"/>
        <v>Within Standard</v>
      </c>
    </row>
    <row r="31" spans="1:22">
      <c r="A31">
        <v>28</v>
      </c>
      <c r="B31" t="s">
        <v>69</v>
      </c>
      <c r="C31" t="s">
        <v>33</v>
      </c>
      <c r="D31" t="s">
        <v>33</v>
      </c>
      <c r="E31">
        <v>220</v>
      </c>
      <c r="F31">
        <v>0</v>
      </c>
      <c r="G31">
        <v>0</v>
      </c>
      <c r="H31">
        <v>220</v>
      </c>
      <c r="J31">
        <v>5</v>
      </c>
      <c r="N31">
        <v>1</v>
      </c>
      <c r="R31">
        <v>6</v>
      </c>
      <c r="T31">
        <f t="shared" si="0"/>
        <v>44</v>
      </c>
      <c r="U31" t="str">
        <f t="shared" si="1"/>
        <v>Within Standard</v>
      </c>
    </row>
    <row r="32" spans="1:22">
      <c r="A32">
        <v>29</v>
      </c>
      <c r="B32" t="s">
        <v>70</v>
      </c>
      <c r="C32" t="s">
        <v>33</v>
      </c>
      <c r="D32" t="s">
        <v>33</v>
      </c>
      <c r="E32">
        <v>88</v>
      </c>
      <c r="F32">
        <v>0</v>
      </c>
      <c r="G32">
        <v>0</v>
      </c>
      <c r="H32">
        <v>88</v>
      </c>
      <c r="T32">
        <f t="shared" si="0"/>
        <v>0</v>
      </c>
      <c r="U32" t="e">
        <f t="shared" si="1"/>
        <v>#DIV/0!</v>
      </c>
    </row>
    <row r="33" spans="1:21">
      <c r="A33">
        <v>30</v>
      </c>
      <c r="B33" t="s">
        <v>71</v>
      </c>
      <c r="C33" t="s">
        <v>33</v>
      </c>
      <c r="D33" t="s">
        <v>33</v>
      </c>
      <c r="E33">
        <v>151</v>
      </c>
      <c r="F33">
        <v>0</v>
      </c>
      <c r="G33">
        <v>0</v>
      </c>
      <c r="H33">
        <v>151</v>
      </c>
      <c r="T33">
        <f t="shared" si="0"/>
        <v>0</v>
      </c>
      <c r="U33" t="e">
        <f t="shared" si="1"/>
        <v>#DIV/0!</v>
      </c>
    </row>
    <row r="34" spans="1:21">
      <c r="A34">
        <v>31</v>
      </c>
      <c r="B34" t="s">
        <v>72</v>
      </c>
      <c r="C34" t="s">
        <v>33</v>
      </c>
      <c r="D34" t="s">
        <v>33</v>
      </c>
      <c r="E34">
        <v>235</v>
      </c>
      <c r="F34">
        <v>0</v>
      </c>
      <c r="G34">
        <v>0</v>
      </c>
      <c r="H34">
        <v>235</v>
      </c>
      <c r="J34">
        <v>10</v>
      </c>
      <c r="N34">
        <v>2</v>
      </c>
      <c r="R34">
        <v>12</v>
      </c>
      <c r="T34">
        <f t="shared" si="0"/>
        <v>23.5</v>
      </c>
      <c r="U34" t="str">
        <f t="shared" si="1"/>
        <v>Within Standard</v>
      </c>
    </row>
    <row r="35" spans="1:21">
      <c r="A35">
        <v>32</v>
      </c>
      <c r="B35" t="s">
        <v>73</v>
      </c>
      <c r="C35" t="s">
        <v>33</v>
      </c>
      <c r="D35" t="s">
        <v>33</v>
      </c>
      <c r="E35">
        <v>418</v>
      </c>
      <c r="F35">
        <v>0</v>
      </c>
      <c r="G35">
        <v>0</v>
      </c>
      <c r="H35">
        <v>418</v>
      </c>
      <c r="J35">
        <v>7</v>
      </c>
      <c r="N35">
        <v>1</v>
      </c>
      <c r="R35">
        <v>8</v>
      </c>
      <c r="T35">
        <f t="shared" si="0"/>
        <v>59.714285714285715</v>
      </c>
      <c r="U35" t="str">
        <f t="shared" si="1"/>
        <v>Congested</v>
      </c>
    </row>
    <row r="36" spans="1:21">
      <c r="A36">
        <v>33</v>
      </c>
      <c r="B36" t="s">
        <v>74</v>
      </c>
      <c r="C36" t="s">
        <v>33</v>
      </c>
      <c r="D36" t="s">
        <v>33</v>
      </c>
      <c r="E36">
        <v>183</v>
      </c>
      <c r="F36">
        <v>0</v>
      </c>
      <c r="G36">
        <v>0</v>
      </c>
      <c r="H36">
        <v>183</v>
      </c>
      <c r="J36">
        <v>7</v>
      </c>
      <c r="N36">
        <v>0</v>
      </c>
      <c r="R36">
        <v>7</v>
      </c>
      <c r="T36">
        <f t="shared" si="0"/>
        <v>26.142857142857142</v>
      </c>
      <c r="U36" t="str">
        <f t="shared" si="1"/>
        <v>Within Standard</v>
      </c>
    </row>
    <row r="37" spans="1:21">
      <c r="A37">
        <v>34</v>
      </c>
      <c r="B37" t="s">
        <v>75</v>
      </c>
      <c r="C37" t="s">
        <v>33</v>
      </c>
      <c r="D37" t="s">
        <v>33</v>
      </c>
      <c r="E37">
        <v>234</v>
      </c>
      <c r="F37">
        <v>0</v>
      </c>
      <c r="G37">
        <v>0</v>
      </c>
      <c r="H37">
        <v>234</v>
      </c>
      <c r="T37">
        <f t="shared" si="0"/>
        <v>0</v>
      </c>
      <c r="U37" t="e">
        <f t="shared" si="1"/>
        <v>#DIV/0!</v>
      </c>
    </row>
    <row r="38" spans="1:21">
      <c r="A38">
        <v>35</v>
      </c>
      <c r="B38" t="s">
        <v>76</v>
      </c>
      <c r="C38" t="s">
        <v>33</v>
      </c>
      <c r="D38" t="s">
        <v>33</v>
      </c>
      <c r="E38">
        <v>155</v>
      </c>
      <c r="F38">
        <v>0</v>
      </c>
      <c r="G38">
        <v>0</v>
      </c>
      <c r="H38">
        <v>155</v>
      </c>
      <c r="J38">
        <v>8</v>
      </c>
      <c r="N38">
        <v>1</v>
      </c>
      <c r="R38">
        <v>9</v>
      </c>
      <c r="T38">
        <f t="shared" si="0"/>
        <v>19.375</v>
      </c>
      <c r="U38" t="str">
        <f t="shared" si="1"/>
        <v>Within Standard</v>
      </c>
    </row>
    <row r="39" spans="1:21">
      <c r="A39">
        <v>36</v>
      </c>
      <c r="B39" t="s">
        <v>77</v>
      </c>
      <c r="C39" t="s">
        <v>33</v>
      </c>
      <c r="D39" t="s">
        <v>33</v>
      </c>
      <c r="E39">
        <v>676</v>
      </c>
      <c r="F39">
        <v>0</v>
      </c>
      <c r="G39">
        <v>0</v>
      </c>
      <c r="H39">
        <v>676</v>
      </c>
      <c r="T39">
        <f t="shared" si="0"/>
        <v>0</v>
      </c>
      <c r="U39" t="e">
        <f t="shared" si="1"/>
        <v>#DIV/0!</v>
      </c>
    </row>
    <row r="40" spans="1:21">
      <c r="A40">
        <v>37</v>
      </c>
      <c r="B40" t="s">
        <v>78</v>
      </c>
      <c r="C40" t="s">
        <v>33</v>
      </c>
      <c r="D40" t="s">
        <v>33</v>
      </c>
      <c r="E40">
        <v>712</v>
      </c>
      <c r="F40">
        <v>0</v>
      </c>
      <c r="G40">
        <v>0</v>
      </c>
      <c r="H40">
        <v>712</v>
      </c>
      <c r="J40">
        <v>14</v>
      </c>
      <c r="N40">
        <v>1</v>
      </c>
      <c r="R40">
        <v>15</v>
      </c>
      <c r="T40">
        <f t="shared" si="0"/>
        <v>50.857142857142854</v>
      </c>
      <c r="U40" t="str">
        <f t="shared" si="1"/>
        <v>Congested</v>
      </c>
    </row>
    <row r="41" spans="1:21">
      <c r="A41">
        <v>38</v>
      </c>
      <c r="B41" t="s">
        <v>92</v>
      </c>
      <c r="C41" t="s">
        <v>33</v>
      </c>
      <c r="D41" t="s">
        <v>33</v>
      </c>
      <c r="E41">
        <v>125</v>
      </c>
      <c r="F41">
        <v>0</v>
      </c>
      <c r="G41">
        <v>0</v>
      </c>
      <c r="H41">
        <v>125</v>
      </c>
      <c r="J41">
        <v>3</v>
      </c>
      <c r="N41">
        <v>0</v>
      </c>
      <c r="R41">
        <v>3</v>
      </c>
      <c r="T41">
        <f t="shared" si="0"/>
        <v>41.666666666666664</v>
      </c>
      <c r="U41" t="str">
        <f t="shared" si="1"/>
        <v>Within Standard</v>
      </c>
    </row>
    <row r="42" spans="1:21">
      <c r="A42">
        <v>39</v>
      </c>
      <c r="B42" t="s">
        <v>93</v>
      </c>
      <c r="C42" t="s">
        <v>33</v>
      </c>
      <c r="D42" t="s">
        <v>33</v>
      </c>
      <c r="E42">
        <v>88</v>
      </c>
      <c r="F42">
        <v>0</v>
      </c>
      <c r="G42">
        <v>0</v>
      </c>
      <c r="H42">
        <v>88</v>
      </c>
      <c r="J42">
        <v>3</v>
      </c>
      <c r="N42">
        <v>0</v>
      </c>
      <c r="R42">
        <v>3</v>
      </c>
      <c r="T42">
        <f t="shared" si="0"/>
        <v>29.333333333333332</v>
      </c>
      <c r="U42" t="str">
        <f t="shared" si="1"/>
        <v>Within Standard</v>
      </c>
    </row>
    <row r="43" spans="1:21">
      <c r="A43">
        <v>40</v>
      </c>
      <c r="B43" t="s">
        <v>94</v>
      </c>
      <c r="C43" t="s">
        <v>33</v>
      </c>
      <c r="D43" t="s">
        <v>33</v>
      </c>
      <c r="E43">
        <v>224</v>
      </c>
      <c r="F43">
        <v>0</v>
      </c>
      <c r="G43">
        <v>0</v>
      </c>
      <c r="H43">
        <v>224</v>
      </c>
      <c r="J43">
        <v>9</v>
      </c>
      <c r="N43">
        <v>2</v>
      </c>
      <c r="R43">
        <v>11</v>
      </c>
      <c r="T43">
        <f t="shared" si="0"/>
        <v>24.888888888888889</v>
      </c>
      <c r="U43" t="str">
        <f t="shared" si="1"/>
        <v>Within Standard</v>
      </c>
    </row>
    <row r="44" spans="1:21">
      <c r="A44">
        <v>41</v>
      </c>
      <c r="B44" t="s">
        <v>95</v>
      </c>
      <c r="C44" t="s">
        <v>33</v>
      </c>
      <c r="D44" t="s">
        <v>33</v>
      </c>
      <c r="E44">
        <v>98</v>
      </c>
      <c r="F44">
        <v>0</v>
      </c>
      <c r="G44">
        <v>0</v>
      </c>
      <c r="H44">
        <v>98</v>
      </c>
      <c r="J44">
        <v>7</v>
      </c>
      <c r="N44">
        <v>0</v>
      </c>
      <c r="R44">
        <v>7</v>
      </c>
      <c r="T44">
        <f t="shared" si="0"/>
        <v>14</v>
      </c>
      <c r="U44" t="str">
        <f t="shared" si="1"/>
        <v>Within Standard</v>
      </c>
    </row>
    <row r="45" spans="1:21">
      <c r="A45">
        <v>42</v>
      </c>
      <c r="B45" t="s">
        <v>96</v>
      </c>
      <c r="C45" t="s">
        <v>33</v>
      </c>
      <c r="D45" t="s">
        <v>33</v>
      </c>
      <c r="E45">
        <v>307</v>
      </c>
      <c r="F45">
        <v>0</v>
      </c>
      <c r="G45">
        <v>0</v>
      </c>
      <c r="H45">
        <v>307</v>
      </c>
      <c r="J45">
        <v>13</v>
      </c>
      <c r="N45">
        <v>3</v>
      </c>
      <c r="R45">
        <v>16</v>
      </c>
      <c r="T45">
        <f t="shared" si="0"/>
        <v>23.615384615384617</v>
      </c>
      <c r="U45" t="str">
        <f t="shared" si="1"/>
        <v>Within Standard</v>
      </c>
    </row>
    <row r="46" spans="1:21">
      <c r="A46">
        <v>43</v>
      </c>
      <c r="B46" t="s">
        <v>97</v>
      </c>
      <c r="C46" t="s">
        <v>33</v>
      </c>
      <c r="D46" t="s">
        <v>33</v>
      </c>
      <c r="E46">
        <v>348</v>
      </c>
      <c r="F46">
        <v>0</v>
      </c>
      <c r="G46">
        <v>0</v>
      </c>
      <c r="H46">
        <v>348</v>
      </c>
      <c r="J46">
        <v>11</v>
      </c>
      <c r="N46">
        <v>1</v>
      </c>
      <c r="R46">
        <v>12</v>
      </c>
      <c r="T46">
        <f t="shared" si="0"/>
        <v>31.636363636363637</v>
      </c>
      <c r="U46" t="str">
        <f t="shared" si="1"/>
        <v>Within Standard</v>
      </c>
    </row>
    <row r="47" spans="1:21">
      <c r="A47">
        <v>44</v>
      </c>
      <c r="B47" t="s">
        <v>98</v>
      </c>
      <c r="C47" t="s">
        <v>33</v>
      </c>
      <c r="D47" t="s">
        <v>33</v>
      </c>
      <c r="E47">
        <v>559</v>
      </c>
      <c r="F47">
        <v>0</v>
      </c>
      <c r="G47">
        <v>0</v>
      </c>
      <c r="H47">
        <v>559</v>
      </c>
      <c r="J47">
        <v>17</v>
      </c>
      <c r="N47">
        <v>2</v>
      </c>
      <c r="R47">
        <v>19</v>
      </c>
      <c r="T47">
        <f t="shared" si="0"/>
        <v>32.882352941176471</v>
      </c>
      <c r="U47" t="str">
        <f t="shared" si="1"/>
        <v>Within Standard</v>
      </c>
    </row>
    <row r="48" spans="1:21">
      <c r="A48">
        <v>45</v>
      </c>
      <c r="B48" t="s">
        <v>99</v>
      </c>
      <c r="C48" t="s">
        <v>33</v>
      </c>
      <c r="D48" t="s">
        <v>33</v>
      </c>
      <c r="E48">
        <v>137</v>
      </c>
      <c r="F48">
        <v>0</v>
      </c>
      <c r="G48">
        <v>0</v>
      </c>
      <c r="H48">
        <v>137</v>
      </c>
      <c r="J48">
        <v>6</v>
      </c>
      <c r="N48">
        <v>0</v>
      </c>
      <c r="R48">
        <v>6</v>
      </c>
      <c r="T48">
        <f t="shared" si="0"/>
        <v>22.833333333333332</v>
      </c>
      <c r="U48" t="str">
        <f t="shared" si="1"/>
        <v>Within Standard</v>
      </c>
    </row>
    <row r="49" spans="1:23">
      <c r="A49">
        <v>46</v>
      </c>
      <c r="B49" t="s">
        <v>100</v>
      </c>
      <c r="C49" t="s">
        <v>33</v>
      </c>
      <c r="D49" t="s">
        <v>33</v>
      </c>
      <c r="E49">
        <v>379</v>
      </c>
      <c r="F49">
        <v>0</v>
      </c>
      <c r="G49">
        <v>0</v>
      </c>
      <c r="H49">
        <v>379</v>
      </c>
      <c r="J49">
        <v>13</v>
      </c>
      <c r="N49">
        <v>2</v>
      </c>
      <c r="R49">
        <v>15</v>
      </c>
      <c r="T49">
        <f t="shared" si="0"/>
        <v>29.153846153846153</v>
      </c>
      <c r="U49" t="str">
        <f t="shared" si="1"/>
        <v>Within Standard</v>
      </c>
    </row>
    <row r="50" spans="1:23">
      <c r="A50">
        <v>47</v>
      </c>
      <c r="B50" t="s">
        <v>101</v>
      </c>
      <c r="C50" t="s">
        <v>33</v>
      </c>
      <c r="D50" t="s">
        <v>33</v>
      </c>
      <c r="E50">
        <v>227</v>
      </c>
      <c r="F50">
        <v>0</v>
      </c>
      <c r="G50">
        <v>0</v>
      </c>
      <c r="H50">
        <v>227</v>
      </c>
      <c r="J50">
        <v>7</v>
      </c>
      <c r="N50">
        <v>5</v>
      </c>
      <c r="R50">
        <v>12</v>
      </c>
      <c r="T50">
        <f t="shared" si="0"/>
        <v>32.428571428571431</v>
      </c>
      <c r="U50" t="str">
        <f t="shared" si="1"/>
        <v>Within Standard</v>
      </c>
    </row>
    <row r="51" spans="1:23">
      <c r="A51">
        <v>48</v>
      </c>
      <c r="B51" t="s">
        <v>102</v>
      </c>
      <c r="C51" t="s">
        <v>33</v>
      </c>
      <c r="D51" t="s">
        <v>33</v>
      </c>
      <c r="E51">
        <v>124</v>
      </c>
      <c r="F51">
        <v>0</v>
      </c>
      <c r="G51">
        <v>0</v>
      </c>
      <c r="H51">
        <v>124</v>
      </c>
      <c r="J51">
        <v>7</v>
      </c>
      <c r="N51">
        <v>1</v>
      </c>
      <c r="R51">
        <v>8</v>
      </c>
      <c r="T51">
        <f t="shared" si="0"/>
        <v>17.714285714285715</v>
      </c>
      <c r="U51" t="str">
        <f t="shared" si="1"/>
        <v>Within Standard</v>
      </c>
    </row>
    <row r="52" spans="1:23">
      <c r="A52">
        <v>49</v>
      </c>
      <c r="B52" t="s">
        <v>103</v>
      </c>
      <c r="C52" t="s">
        <v>33</v>
      </c>
      <c r="D52" t="s">
        <v>33</v>
      </c>
      <c r="E52">
        <v>171</v>
      </c>
      <c r="F52">
        <v>0</v>
      </c>
      <c r="G52">
        <v>0</v>
      </c>
      <c r="H52">
        <v>171</v>
      </c>
      <c r="J52">
        <v>7</v>
      </c>
      <c r="N52">
        <v>1</v>
      </c>
      <c r="R52">
        <v>8</v>
      </c>
      <c r="T52">
        <f t="shared" si="0"/>
        <v>24.428571428571427</v>
      </c>
      <c r="U52" t="str">
        <f t="shared" si="1"/>
        <v>Within Standard</v>
      </c>
    </row>
    <row r="53" spans="1:23">
      <c r="A53">
        <v>50</v>
      </c>
      <c r="B53" t="s">
        <v>107</v>
      </c>
      <c r="C53" t="s">
        <v>108</v>
      </c>
      <c r="D53" t="s">
        <v>108</v>
      </c>
      <c r="E53">
        <v>386</v>
      </c>
      <c r="F53">
        <v>170</v>
      </c>
      <c r="G53">
        <v>0</v>
      </c>
      <c r="H53">
        <v>556</v>
      </c>
      <c r="J53">
        <v>18</v>
      </c>
      <c r="K53">
        <v>18</v>
      </c>
      <c r="L53">
        <v>18</v>
      </c>
      <c r="N53">
        <v>2</v>
      </c>
      <c r="O53">
        <v>2</v>
      </c>
      <c r="P53">
        <v>2</v>
      </c>
      <c r="R53">
        <v>40</v>
      </c>
      <c r="T53">
        <f t="shared" si="0"/>
        <v>21.444444444444443</v>
      </c>
      <c r="U53" t="str">
        <f t="shared" si="1"/>
        <v>Within Standard</v>
      </c>
      <c r="V53">
        <v>9.4444444444444446</v>
      </c>
    </row>
    <row r="54" spans="1:23">
      <c r="A54">
        <v>51</v>
      </c>
      <c r="B54" t="s">
        <v>109</v>
      </c>
      <c r="C54" t="s">
        <v>51</v>
      </c>
      <c r="D54" t="s">
        <v>51</v>
      </c>
      <c r="E54">
        <v>231</v>
      </c>
      <c r="F54">
        <v>97</v>
      </c>
      <c r="G54">
        <v>0</v>
      </c>
      <c r="H54">
        <v>328</v>
      </c>
      <c r="J54">
        <v>10</v>
      </c>
      <c r="K54">
        <v>10</v>
      </c>
      <c r="L54">
        <v>10</v>
      </c>
      <c r="M54">
        <v>0</v>
      </c>
      <c r="N54">
        <v>5</v>
      </c>
      <c r="O54">
        <v>5</v>
      </c>
      <c r="P54">
        <v>5</v>
      </c>
      <c r="Q54">
        <v>0</v>
      </c>
      <c r="R54">
        <v>30</v>
      </c>
      <c r="T54">
        <f t="shared" si="0"/>
        <v>23.1</v>
      </c>
      <c r="U54" t="str">
        <f t="shared" si="1"/>
        <v>Within Standard</v>
      </c>
      <c r="V54">
        <v>9.6999999999999993</v>
      </c>
      <c r="W54" t="e">
        <v>#DIV/0!</v>
      </c>
    </row>
    <row r="55" spans="1:23">
      <c r="A55">
        <v>52</v>
      </c>
      <c r="B55" t="s">
        <v>110</v>
      </c>
      <c r="C55" t="s">
        <v>51</v>
      </c>
      <c r="D55" t="s">
        <v>51</v>
      </c>
      <c r="E55">
        <v>200</v>
      </c>
      <c r="F55">
        <v>123</v>
      </c>
      <c r="G55">
        <v>74</v>
      </c>
      <c r="H55">
        <v>397</v>
      </c>
      <c r="J55">
        <v>8</v>
      </c>
      <c r="K55">
        <v>8</v>
      </c>
      <c r="L55">
        <v>4.9949238578680202</v>
      </c>
      <c r="M55">
        <v>3.0050761421319798</v>
      </c>
      <c r="N55">
        <v>1</v>
      </c>
      <c r="O55">
        <v>1</v>
      </c>
      <c r="P55">
        <v>0.62436548223350252</v>
      </c>
      <c r="Q55">
        <v>0.37563451776649748</v>
      </c>
      <c r="R55">
        <v>18</v>
      </c>
      <c r="T55">
        <f t="shared" si="0"/>
        <v>25</v>
      </c>
      <c r="U55" t="str">
        <f t="shared" si="1"/>
        <v>Within Standard</v>
      </c>
      <c r="V55">
        <v>24.625</v>
      </c>
      <c r="W55">
        <v>24.625</v>
      </c>
    </row>
    <row r="56" spans="1:23">
      <c r="A56">
        <v>53</v>
      </c>
      <c r="B56" t="s">
        <v>111</v>
      </c>
      <c r="C56" t="s">
        <v>47</v>
      </c>
      <c r="D56" t="s">
        <v>47</v>
      </c>
      <c r="E56">
        <v>0</v>
      </c>
      <c r="F56">
        <v>128</v>
      </c>
      <c r="G56">
        <v>38</v>
      </c>
      <c r="H56">
        <v>166</v>
      </c>
      <c r="K56">
        <v>10</v>
      </c>
      <c r="L56">
        <v>7.7108433734939759</v>
      </c>
      <c r="M56">
        <v>2.2891566265060241</v>
      </c>
      <c r="O56">
        <v>0</v>
      </c>
      <c r="P56">
        <v>0</v>
      </c>
      <c r="Q56">
        <v>0</v>
      </c>
      <c r="R56">
        <v>10</v>
      </c>
      <c r="T56">
        <f t="shared" si="0"/>
        <v>0</v>
      </c>
      <c r="U56" t="e">
        <f t="shared" si="1"/>
        <v>#DIV/0!</v>
      </c>
      <c r="V56">
        <v>16.600000000000001</v>
      </c>
      <c r="W56">
        <v>16.600000000000001</v>
      </c>
    </row>
    <row r="57" spans="1:23">
      <c r="T57" cm="1">
        <f t="array" ref="T57">SUMPRODUCT((T4:T56&lt;=45)*1)</f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073B-B030-4853-98CD-58BA7466F1BD}">
  <dimension ref="A1:X27"/>
  <sheetViews>
    <sheetView tabSelected="1" workbookViewId="0">
      <selection activeCell="AC10" sqref="AC10"/>
    </sheetView>
  </sheetViews>
  <sheetFormatPr defaultRowHeight="15"/>
  <cols>
    <col min="1" max="1" width="3.28515625" bestFit="1" customWidth="1"/>
    <col min="2" max="2" width="39.85546875" customWidth="1"/>
    <col min="3" max="3" width="21.7109375" customWidth="1"/>
    <col min="4" max="4" width="19.7109375" customWidth="1"/>
    <col min="5" max="5" width="0" hidden="1" customWidth="1"/>
    <col min="6" max="6" width="20.5703125" customWidth="1"/>
    <col min="7" max="11" width="0" hidden="1" customWidth="1"/>
    <col min="12" max="12" width="15.85546875" customWidth="1"/>
    <col min="13" max="21" width="0" hidden="1" customWidth="1"/>
    <col min="22" max="22" width="14" customWidth="1"/>
    <col min="23" max="23" width="0" hidden="1" customWidth="1"/>
    <col min="24" max="24" width="19.7109375" customWidth="1"/>
  </cols>
  <sheetData>
    <row r="1" spans="1:24">
      <c r="E1" t="s">
        <v>4</v>
      </c>
      <c r="J1" t="s">
        <v>5</v>
      </c>
      <c r="N1" t="s">
        <v>6</v>
      </c>
      <c r="R1" t="s">
        <v>7</v>
      </c>
      <c r="T1" t="s">
        <v>8</v>
      </c>
    </row>
    <row r="2" spans="1:24">
      <c r="B2" t="s">
        <v>15</v>
      </c>
      <c r="C2" t="s">
        <v>16</v>
      </c>
      <c r="D2" t="s">
        <v>17</v>
      </c>
      <c r="E2" t="s">
        <v>18</v>
      </c>
      <c r="F2" t="s">
        <v>112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23</v>
      </c>
      <c r="P2" t="s">
        <v>27</v>
      </c>
      <c r="Q2" t="s">
        <v>28</v>
      </c>
      <c r="R2" t="s">
        <v>7</v>
      </c>
      <c r="S2">
        <v>1</v>
      </c>
      <c r="T2" t="s">
        <v>18</v>
      </c>
      <c r="V2" t="s">
        <v>113</v>
      </c>
      <c r="W2" t="s">
        <v>20</v>
      </c>
    </row>
    <row r="4" spans="1:24">
      <c r="A4">
        <v>1</v>
      </c>
      <c r="B4" t="s">
        <v>46</v>
      </c>
      <c r="C4" s="11" t="s">
        <v>47</v>
      </c>
      <c r="D4" t="s">
        <v>47</v>
      </c>
      <c r="E4" s="12">
        <v>0</v>
      </c>
      <c r="F4" s="12">
        <v>3471</v>
      </c>
      <c r="G4" s="12">
        <v>2000</v>
      </c>
      <c r="H4" s="2">
        <v>5471</v>
      </c>
      <c r="I4" s="3"/>
      <c r="K4">
        <v>109</v>
      </c>
      <c r="L4" s="14">
        <v>69.153536830561137</v>
      </c>
      <c r="M4" s="14">
        <v>39.846463169438856</v>
      </c>
      <c r="O4">
        <v>12</v>
      </c>
      <c r="P4" s="14">
        <v>7.6132334125388406</v>
      </c>
      <c r="Q4" s="14">
        <v>4.3867665874611586</v>
      </c>
      <c r="R4">
        <v>121</v>
      </c>
      <c r="S4" s="3"/>
      <c r="T4" s="14"/>
      <c r="U4" s="13">
        <v>50.192660550458719</v>
      </c>
      <c r="V4" s="13">
        <f>IFERROR(F4/L4, "")</f>
        <v>50.192660550458719</v>
      </c>
      <c r="X4" t="str">
        <f>IFERROR(
   IF(V4&gt;40,"Congested","Within Standard"),
"")</f>
        <v>Congested</v>
      </c>
    </row>
    <row r="5" spans="1:24">
      <c r="A5">
        <v>2</v>
      </c>
      <c r="B5" t="s">
        <v>48</v>
      </c>
      <c r="C5" s="11" t="s">
        <v>47</v>
      </c>
      <c r="D5" t="s">
        <v>47</v>
      </c>
      <c r="E5" s="12">
        <v>0</v>
      </c>
      <c r="F5" s="12">
        <v>705</v>
      </c>
      <c r="G5" s="12">
        <v>562</v>
      </c>
      <c r="H5" s="2">
        <v>1267</v>
      </c>
      <c r="I5" s="3"/>
      <c r="K5">
        <v>45</v>
      </c>
      <c r="L5" s="14">
        <v>25.039463299131807</v>
      </c>
      <c r="M5" s="14">
        <v>19.960536700868193</v>
      </c>
      <c r="O5">
        <v>14</v>
      </c>
      <c r="P5" s="14">
        <v>7.790055248618784</v>
      </c>
      <c r="Q5" s="14">
        <v>6.2099447513812152</v>
      </c>
      <c r="R5">
        <v>59</v>
      </c>
      <c r="S5" s="3"/>
      <c r="T5" s="14"/>
      <c r="U5" s="13">
        <v>28.155555555555555</v>
      </c>
      <c r="V5" s="13">
        <f t="shared" ref="V5:V26" si="0">IFERROR(F5/L5, "")</f>
        <v>28.155555555555555</v>
      </c>
      <c r="X5" t="str">
        <f t="shared" ref="X5:X26" si="1">IFERROR(
   IF(V5&gt;40,"Congested","Within Standard"),
"")</f>
        <v>Within Standard</v>
      </c>
    </row>
    <row r="6" spans="1:24">
      <c r="A6">
        <v>3</v>
      </c>
      <c r="B6" t="s">
        <v>49</v>
      </c>
      <c r="C6" s="11" t="s">
        <v>47</v>
      </c>
      <c r="D6" t="s">
        <v>47</v>
      </c>
      <c r="E6" s="12">
        <v>0</v>
      </c>
      <c r="F6" s="12">
        <v>642</v>
      </c>
      <c r="G6" s="12">
        <v>263</v>
      </c>
      <c r="H6" s="2">
        <v>905</v>
      </c>
      <c r="I6" s="3"/>
      <c r="K6">
        <v>21</v>
      </c>
      <c r="L6" s="14">
        <v>14.897237569060774</v>
      </c>
      <c r="M6" s="14">
        <v>6.1027624309392259</v>
      </c>
      <c r="O6">
        <v>7</v>
      </c>
      <c r="P6" s="14">
        <v>4.9657458563535908</v>
      </c>
      <c r="Q6" s="14">
        <v>2.0342541436464088</v>
      </c>
      <c r="R6">
        <v>28</v>
      </c>
      <c r="S6" s="3"/>
      <c r="T6" s="14"/>
      <c r="U6" s="13">
        <v>43.095238095238095</v>
      </c>
      <c r="V6" s="13">
        <f t="shared" si="0"/>
        <v>43.095238095238095</v>
      </c>
      <c r="X6" t="str">
        <f t="shared" si="1"/>
        <v>Congested</v>
      </c>
    </row>
    <row r="7" spans="1:24">
      <c r="A7">
        <v>4</v>
      </c>
      <c r="B7" t="s">
        <v>50</v>
      </c>
      <c r="C7" t="s">
        <v>51</v>
      </c>
      <c r="D7" t="s">
        <v>51</v>
      </c>
      <c r="E7" s="12">
        <v>233</v>
      </c>
      <c r="F7" s="12">
        <v>86</v>
      </c>
      <c r="G7" s="12">
        <v>38</v>
      </c>
      <c r="H7" s="2">
        <v>357</v>
      </c>
      <c r="I7" s="3"/>
      <c r="J7">
        <v>3</v>
      </c>
      <c r="K7">
        <v>3</v>
      </c>
      <c r="L7" s="14">
        <v>2.080645161290323</v>
      </c>
      <c r="M7" s="14">
        <v>0.91935483870967749</v>
      </c>
      <c r="N7">
        <v>0</v>
      </c>
      <c r="O7">
        <v>0</v>
      </c>
      <c r="P7" s="14">
        <v>0</v>
      </c>
      <c r="Q7" s="14">
        <v>0</v>
      </c>
      <c r="R7">
        <v>6</v>
      </c>
      <c r="S7" s="3"/>
      <c r="T7" s="14">
        <f t="shared" ref="T7:T8" si="2">IFERROR(J7/E7, 0)</f>
        <v>1.2875536480686695E-2</v>
      </c>
      <c r="U7" s="13">
        <v>41.333333333333329</v>
      </c>
      <c r="V7" s="13">
        <f t="shared" si="0"/>
        <v>41.333333333333329</v>
      </c>
      <c r="X7" t="str">
        <f t="shared" si="1"/>
        <v>Congested</v>
      </c>
    </row>
    <row r="8" spans="1:24">
      <c r="A8">
        <v>5</v>
      </c>
      <c r="B8" t="s">
        <v>52</v>
      </c>
      <c r="C8" t="s">
        <v>51</v>
      </c>
      <c r="D8" t="s">
        <v>51</v>
      </c>
      <c r="E8" s="12">
        <v>316</v>
      </c>
      <c r="F8" s="12">
        <v>136</v>
      </c>
      <c r="G8" s="12">
        <v>12</v>
      </c>
      <c r="H8" s="2">
        <v>464</v>
      </c>
      <c r="I8" s="3"/>
      <c r="J8">
        <v>8</v>
      </c>
      <c r="K8">
        <v>8</v>
      </c>
      <c r="L8" s="14">
        <v>7.3513513513513518</v>
      </c>
      <c r="M8" s="14">
        <v>0.64864864864864868</v>
      </c>
      <c r="N8">
        <v>0</v>
      </c>
      <c r="O8">
        <v>0</v>
      </c>
      <c r="P8" s="14">
        <v>0</v>
      </c>
      <c r="Q8" s="14">
        <v>0</v>
      </c>
      <c r="R8">
        <v>16</v>
      </c>
      <c r="S8" s="3"/>
      <c r="T8" s="14">
        <f t="shared" si="2"/>
        <v>2.5316455696202531E-2</v>
      </c>
      <c r="U8" s="13">
        <v>18.5</v>
      </c>
      <c r="V8" s="13">
        <f t="shared" si="0"/>
        <v>18.5</v>
      </c>
      <c r="X8" t="str">
        <f t="shared" si="1"/>
        <v>Within Standard</v>
      </c>
    </row>
    <row r="9" spans="1:24">
      <c r="A9">
        <v>6</v>
      </c>
      <c r="B9" t="s">
        <v>79</v>
      </c>
      <c r="C9" s="11" t="s">
        <v>47</v>
      </c>
      <c r="D9" t="s">
        <v>47</v>
      </c>
      <c r="E9" s="12">
        <v>0</v>
      </c>
      <c r="F9" s="12">
        <v>535</v>
      </c>
      <c r="G9" s="12">
        <v>147</v>
      </c>
      <c r="H9" s="2">
        <v>682</v>
      </c>
      <c r="I9" s="3"/>
      <c r="K9">
        <v>23</v>
      </c>
      <c r="L9" s="14">
        <v>18.042521994134898</v>
      </c>
      <c r="M9" s="14">
        <v>4.9574780058651031</v>
      </c>
      <c r="O9">
        <v>5</v>
      </c>
      <c r="P9" s="14">
        <v>3.9222873900293251</v>
      </c>
      <c r="Q9" s="14">
        <v>1.0777126099706744</v>
      </c>
      <c r="R9">
        <v>28</v>
      </c>
      <c r="S9" s="3"/>
      <c r="T9" s="14"/>
      <c r="U9" s="13">
        <v>29.652173913043477</v>
      </c>
      <c r="V9" s="13">
        <f t="shared" si="0"/>
        <v>29.652173913043477</v>
      </c>
      <c r="X9" t="str">
        <f t="shared" si="1"/>
        <v>Within Standard</v>
      </c>
    </row>
    <row r="10" spans="1:24">
      <c r="A10">
        <v>7</v>
      </c>
      <c r="B10" t="s">
        <v>80</v>
      </c>
      <c r="C10" s="11" t="s">
        <v>47</v>
      </c>
      <c r="D10" t="s">
        <v>47</v>
      </c>
      <c r="E10" s="12">
        <v>0</v>
      </c>
      <c r="F10" s="12">
        <v>436</v>
      </c>
      <c r="G10" s="12">
        <v>158</v>
      </c>
      <c r="H10" s="2">
        <v>594</v>
      </c>
      <c r="I10" s="3"/>
      <c r="K10">
        <v>19</v>
      </c>
      <c r="L10" s="14">
        <v>13.946127946127946</v>
      </c>
      <c r="M10" s="14">
        <v>5.0538720538720536</v>
      </c>
      <c r="O10">
        <v>7</v>
      </c>
      <c r="P10" s="14">
        <v>5.1380471380471384</v>
      </c>
      <c r="Q10" s="14">
        <v>1.861952861952862</v>
      </c>
      <c r="R10">
        <v>26</v>
      </c>
      <c r="S10" s="3"/>
      <c r="T10" s="14"/>
      <c r="U10" s="13">
        <v>31.263157894736842</v>
      </c>
      <c r="V10" s="13">
        <f t="shared" si="0"/>
        <v>31.263157894736842</v>
      </c>
      <c r="X10" t="str">
        <f t="shared" si="1"/>
        <v>Within Standard</v>
      </c>
    </row>
    <row r="11" spans="1:24">
      <c r="A11">
        <v>8</v>
      </c>
      <c r="B11" t="s">
        <v>81</v>
      </c>
      <c r="C11" s="11" t="s">
        <v>47</v>
      </c>
      <c r="D11" t="s">
        <v>47</v>
      </c>
      <c r="E11" s="12">
        <v>0</v>
      </c>
      <c r="F11" s="12">
        <v>333</v>
      </c>
      <c r="G11" s="12">
        <v>143</v>
      </c>
      <c r="H11" s="2">
        <v>476</v>
      </c>
      <c r="I11" s="3"/>
      <c r="K11">
        <v>15</v>
      </c>
      <c r="L11" s="14">
        <v>10.493697478991596</v>
      </c>
      <c r="M11" s="14">
        <v>4.5063025210084033</v>
      </c>
      <c r="O11">
        <v>4</v>
      </c>
      <c r="P11" s="14">
        <v>2.7983193277310923</v>
      </c>
      <c r="Q11" s="14">
        <v>1.2016806722689075</v>
      </c>
      <c r="R11">
        <v>19</v>
      </c>
      <c r="S11" s="3"/>
      <c r="T11" s="14"/>
      <c r="U11" s="13">
        <v>31.733333333333334</v>
      </c>
      <c r="V11" s="13">
        <f t="shared" si="0"/>
        <v>31.733333333333334</v>
      </c>
      <c r="X11" t="str">
        <f t="shared" si="1"/>
        <v>Within Standard</v>
      </c>
    </row>
    <row r="12" spans="1:24">
      <c r="A12">
        <v>9</v>
      </c>
      <c r="B12" t="s">
        <v>82</v>
      </c>
      <c r="C12" s="11" t="s">
        <v>47</v>
      </c>
      <c r="D12" t="s">
        <v>47</v>
      </c>
      <c r="E12" s="12">
        <v>0</v>
      </c>
      <c r="F12" s="12">
        <v>1515</v>
      </c>
      <c r="G12" s="12">
        <v>426</v>
      </c>
      <c r="H12" s="2">
        <v>1941</v>
      </c>
      <c r="I12" s="3"/>
      <c r="K12">
        <v>41</v>
      </c>
      <c r="L12" s="14">
        <v>32.001545595054097</v>
      </c>
      <c r="M12" s="14">
        <v>8.998454404945905</v>
      </c>
      <c r="O12">
        <v>14</v>
      </c>
      <c r="P12" s="14">
        <v>10.927357032457497</v>
      </c>
      <c r="Q12" s="14">
        <v>3.072642967542504</v>
      </c>
      <c r="R12">
        <v>55</v>
      </c>
      <c r="S12" s="3"/>
      <c r="T12" s="14"/>
      <c r="U12" s="13">
        <v>47.341463414634148</v>
      </c>
      <c r="V12" s="13">
        <f t="shared" si="0"/>
        <v>47.341463414634148</v>
      </c>
      <c r="X12" t="str">
        <f t="shared" si="1"/>
        <v>Congested</v>
      </c>
    </row>
    <row r="13" spans="1:24">
      <c r="A13">
        <v>10</v>
      </c>
      <c r="B13" t="s">
        <v>83</v>
      </c>
      <c r="C13" s="11" t="s">
        <v>47</v>
      </c>
      <c r="D13" t="s">
        <v>47</v>
      </c>
      <c r="E13" s="12">
        <v>0</v>
      </c>
      <c r="F13" s="12">
        <v>386</v>
      </c>
      <c r="G13" s="12">
        <v>204</v>
      </c>
      <c r="H13" s="2">
        <v>590</v>
      </c>
      <c r="I13" s="3"/>
      <c r="K13">
        <v>27</v>
      </c>
      <c r="L13" s="14">
        <v>17.664406779661018</v>
      </c>
      <c r="M13" s="14">
        <v>9.335593220338982</v>
      </c>
      <c r="O13">
        <v>4</v>
      </c>
      <c r="P13" s="14">
        <v>2.6169491525423729</v>
      </c>
      <c r="Q13" s="14">
        <v>1.3830508474576271</v>
      </c>
      <c r="R13">
        <v>31</v>
      </c>
      <c r="S13" s="3"/>
      <c r="T13" s="14"/>
      <c r="U13" s="13">
        <v>21.851851851851851</v>
      </c>
      <c r="V13" s="13">
        <f t="shared" si="0"/>
        <v>21.851851851851851</v>
      </c>
      <c r="X13" t="str">
        <f t="shared" si="1"/>
        <v>Within Standard</v>
      </c>
    </row>
    <row r="14" spans="1:24">
      <c r="A14">
        <v>11</v>
      </c>
      <c r="B14" t="s">
        <v>84</v>
      </c>
      <c r="C14" s="11" t="s">
        <v>47</v>
      </c>
      <c r="D14" t="s">
        <v>47</v>
      </c>
      <c r="E14" s="12">
        <v>0</v>
      </c>
      <c r="F14" s="12">
        <v>218</v>
      </c>
      <c r="G14" s="12">
        <v>88</v>
      </c>
      <c r="H14" s="2">
        <v>306</v>
      </c>
      <c r="I14" s="3"/>
      <c r="K14">
        <v>17</v>
      </c>
      <c r="L14" s="14">
        <v>12.111111111111111</v>
      </c>
      <c r="M14" s="14">
        <v>4.8888888888888884</v>
      </c>
      <c r="O14">
        <v>7</v>
      </c>
      <c r="P14" s="14">
        <v>4.9869281045751634</v>
      </c>
      <c r="Q14" s="14">
        <v>2.0130718954248366</v>
      </c>
      <c r="R14">
        <v>24</v>
      </c>
      <c r="S14" s="3"/>
      <c r="T14" s="14"/>
      <c r="U14" s="13">
        <v>18</v>
      </c>
      <c r="V14" s="13">
        <f t="shared" si="0"/>
        <v>18</v>
      </c>
      <c r="X14" t="str">
        <f t="shared" si="1"/>
        <v>Within Standard</v>
      </c>
    </row>
    <row r="15" spans="1:24">
      <c r="A15">
        <v>12</v>
      </c>
      <c r="B15" t="s">
        <v>85</v>
      </c>
      <c r="C15" s="11" t="s">
        <v>47</v>
      </c>
      <c r="D15" t="s">
        <v>47</v>
      </c>
      <c r="E15" s="12">
        <v>0</v>
      </c>
      <c r="F15" s="12">
        <v>827</v>
      </c>
      <c r="G15" s="12">
        <v>214</v>
      </c>
      <c r="H15" s="2">
        <v>1041</v>
      </c>
      <c r="I15" s="3"/>
      <c r="K15">
        <v>22</v>
      </c>
      <c r="L15" s="14">
        <v>17.477425552353505</v>
      </c>
      <c r="M15" s="14">
        <v>4.5225744476464937</v>
      </c>
      <c r="O15">
        <v>3</v>
      </c>
      <c r="P15" s="14">
        <v>2.3832853025936602</v>
      </c>
      <c r="Q15" s="14">
        <v>0.61671469740634011</v>
      </c>
      <c r="R15">
        <v>25</v>
      </c>
      <c r="S15" s="3"/>
      <c r="T15" s="14"/>
      <c r="U15" s="13">
        <v>47.31818181818182</v>
      </c>
      <c r="V15" s="13">
        <f t="shared" si="0"/>
        <v>47.31818181818182</v>
      </c>
      <c r="X15" t="str">
        <f t="shared" si="1"/>
        <v>Congested</v>
      </c>
    </row>
    <row r="16" spans="1:24">
      <c r="A16">
        <v>13</v>
      </c>
      <c r="B16" t="s">
        <v>86</v>
      </c>
      <c r="C16" s="11" t="s">
        <v>47</v>
      </c>
      <c r="D16" t="s">
        <v>47</v>
      </c>
      <c r="E16" s="12">
        <v>0</v>
      </c>
      <c r="F16" s="12">
        <v>368</v>
      </c>
      <c r="G16" s="12">
        <v>110</v>
      </c>
      <c r="H16" s="2">
        <v>478</v>
      </c>
      <c r="I16" s="3"/>
      <c r="K16">
        <v>19</v>
      </c>
      <c r="L16" s="14">
        <v>14.627615062761507</v>
      </c>
      <c r="M16" s="14">
        <v>4.3723849372384933</v>
      </c>
      <c r="O16">
        <v>7</v>
      </c>
      <c r="P16" s="14">
        <v>5.3891213389121342</v>
      </c>
      <c r="Q16" s="14">
        <v>1.610878661087866</v>
      </c>
      <c r="R16">
        <v>26</v>
      </c>
      <c r="S16" s="3"/>
      <c r="T16" s="14"/>
      <c r="U16" s="13">
        <v>25.157894736842106</v>
      </c>
      <c r="V16" s="13">
        <f t="shared" si="0"/>
        <v>25.157894736842106</v>
      </c>
      <c r="X16" t="str">
        <f t="shared" si="1"/>
        <v>Within Standard</v>
      </c>
    </row>
    <row r="17" spans="1:24">
      <c r="A17">
        <v>14</v>
      </c>
      <c r="B17" t="s">
        <v>87</v>
      </c>
      <c r="C17" s="11" t="s">
        <v>88</v>
      </c>
      <c r="D17" t="s">
        <v>88</v>
      </c>
      <c r="E17" s="12">
        <v>0</v>
      </c>
      <c r="F17" s="12">
        <v>295</v>
      </c>
      <c r="G17" s="12">
        <v>0</v>
      </c>
      <c r="H17" s="2">
        <v>295</v>
      </c>
      <c r="I17" s="3"/>
      <c r="K17">
        <v>10</v>
      </c>
      <c r="L17">
        <v>10</v>
      </c>
      <c r="O17">
        <v>3</v>
      </c>
      <c r="P17">
        <v>3</v>
      </c>
      <c r="R17">
        <v>13</v>
      </c>
      <c r="S17" s="3"/>
      <c r="T17" s="14"/>
      <c r="U17" s="13">
        <v>29.5</v>
      </c>
      <c r="V17" s="13">
        <f t="shared" si="0"/>
        <v>29.5</v>
      </c>
      <c r="X17" t="str">
        <f t="shared" si="1"/>
        <v>Within Standard</v>
      </c>
    </row>
    <row r="18" spans="1:24">
      <c r="A18">
        <v>15</v>
      </c>
      <c r="B18" t="s">
        <v>89</v>
      </c>
      <c r="C18" s="11" t="s">
        <v>47</v>
      </c>
      <c r="D18" t="s">
        <v>47</v>
      </c>
      <c r="E18" s="12">
        <v>0</v>
      </c>
      <c r="F18" s="12">
        <v>338</v>
      </c>
      <c r="G18" s="12">
        <v>139</v>
      </c>
      <c r="H18" s="2">
        <v>477</v>
      </c>
      <c r="I18" s="3"/>
      <c r="K18">
        <v>16</v>
      </c>
      <c r="L18" s="14">
        <v>11.337526205450734</v>
      </c>
      <c r="M18" s="14">
        <v>4.6624737945492658</v>
      </c>
      <c r="O18">
        <v>2</v>
      </c>
      <c r="P18" s="14">
        <v>1.4171907756813418</v>
      </c>
      <c r="Q18" s="14">
        <v>0.58280922431865823</v>
      </c>
      <c r="R18">
        <v>18</v>
      </c>
      <c r="S18" s="3"/>
      <c r="T18" s="14"/>
      <c r="U18" s="13">
        <v>29.8125</v>
      </c>
      <c r="V18" s="13">
        <f t="shared" si="0"/>
        <v>29.8125</v>
      </c>
      <c r="X18" t="str">
        <f t="shared" si="1"/>
        <v>Within Standard</v>
      </c>
    </row>
    <row r="19" spans="1:24">
      <c r="A19">
        <v>16</v>
      </c>
      <c r="B19" t="s">
        <v>90</v>
      </c>
      <c r="C19" s="11" t="s">
        <v>47</v>
      </c>
      <c r="D19" t="s">
        <v>47</v>
      </c>
      <c r="E19" s="12">
        <v>0</v>
      </c>
      <c r="F19" s="12">
        <v>401</v>
      </c>
      <c r="G19" s="12">
        <v>152</v>
      </c>
      <c r="H19" s="2">
        <v>553</v>
      </c>
      <c r="I19" s="3"/>
      <c r="K19">
        <v>15</v>
      </c>
      <c r="L19" s="14">
        <v>10.877034358047016</v>
      </c>
      <c r="M19" s="14">
        <v>4.1229656419529839</v>
      </c>
      <c r="O19">
        <v>1</v>
      </c>
      <c r="P19" s="14">
        <v>0.72513562386980113</v>
      </c>
      <c r="Q19" s="14">
        <v>0.27486437613019893</v>
      </c>
      <c r="R19">
        <v>16</v>
      </c>
      <c r="S19" s="3"/>
      <c r="T19" s="14"/>
      <c r="U19" s="13">
        <v>36.866666666666667</v>
      </c>
      <c r="V19" s="13">
        <f t="shared" si="0"/>
        <v>36.866666666666667</v>
      </c>
      <c r="X19" t="str">
        <f t="shared" si="1"/>
        <v>Within Standard</v>
      </c>
    </row>
    <row r="20" spans="1:24">
      <c r="A20">
        <v>17</v>
      </c>
      <c r="B20" t="s">
        <v>104</v>
      </c>
      <c r="C20" s="11" t="s">
        <v>47</v>
      </c>
      <c r="D20" t="s">
        <v>47</v>
      </c>
      <c r="E20" s="12">
        <v>0</v>
      </c>
      <c r="F20" s="12">
        <v>575</v>
      </c>
      <c r="G20" s="12">
        <v>257</v>
      </c>
      <c r="H20" s="2">
        <v>832</v>
      </c>
      <c r="I20" s="3"/>
      <c r="L20" s="14">
        <v>0</v>
      </c>
      <c r="M20" s="14">
        <v>0</v>
      </c>
      <c r="P20" s="14">
        <v>0</v>
      </c>
      <c r="Q20" s="14">
        <v>0</v>
      </c>
      <c r="S20" s="3"/>
      <c r="T20" s="14"/>
      <c r="U20" s="13" t="e">
        <v>#DIV/0!</v>
      </c>
      <c r="V20" s="13" t="str">
        <f t="shared" si="0"/>
        <v/>
      </c>
      <c r="X20" t="str">
        <f t="shared" si="1"/>
        <v>Congested</v>
      </c>
    </row>
    <row r="21" spans="1:24">
      <c r="A21">
        <v>18</v>
      </c>
      <c r="B21" t="s">
        <v>105</v>
      </c>
      <c r="C21" s="11" t="s">
        <v>47</v>
      </c>
      <c r="D21" t="s">
        <v>47</v>
      </c>
      <c r="E21" s="12">
        <v>0</v>
      </c>
      <c r="F21" s="12">
        <v>333</v>
      </c>
      <c r="G21" s="12">
        <v>150</v>
      </c>
      <c r="H21" s="2">
        <v>483</v>
      </c>
      <c r="I21" s="3"/>
      <c r="K21">
        <v>12</v>
      </c>
      <c r="L21" s="14">
        <v>8.2732919254658377</v>
      </c>
      <c r="M21" s="14">
        <v>3.7267080745341614</v>
      </c>
      <c r="O21">
        <v>6</v>
      </c>
      <c r="P21" s="14">
        <v>4.1366459627329188</v>
      </c>
      <c r="Q21" s="14">
        <v>1.8633540372670807</v>
      </c>
      <c r="R21">
        <v>18</v>
      </c>
      <c r="S21" s="3"/>
      <c r="T21" s="14"/>
      <c r="U21" s="13">
        <v>40.250000000000007</v>
      </c>
      <c r="V21" s="13">
        <f t="shared" si="0"/>
        <v>40.250000000000007</v>
      </c>
      <c r="X21" t="str">
        <f t="shared" si="1"/>
        <v>Congested</v>
      </c>
    </row>
    <row r="22" spans="1:24">
      <c r="A22">
        <v>19</v>
      </c>
      <c r="B22" t="s">
        <v>106</v>
      </c>
      <c r="C22" s="11" t="s">
        <v>47</v>
      </c>
      <c r="D22" t="s">
        <v>47</v>
      </c>
      <c r="E22" s="12">
        <v>0</v>
      </c>
      <c r="F22" s="12">
        <v>402</v>
      </c>
      <c r="G22" s="12">
        <v>115</v>
      </c>
      <c r="H22" s="2">
        <v>517</v>
      </c>
      <c r="I22" s="3"/>
      <c r="K22">
        <v>9</v>
      </c>
      <c r="L22" s="14">
        <v>6.9980657640232113</v>
      </c>
      <c r="M22" s="14">
        <v>2.0019342359767891</v>
      </c>
      <c r="O22">
        <v>0</v>
      </c>
      <c r="P22" s="14">
        <v>0</v>
      </c>
      <c r="Q22" s="14">
        <v>0</v>
      </c>
      <c r="R22">
        <v>9</v>
      </c>
      <c r="S22" s="3"/>
      <c r="T22" s="14"/>
      <c r="U22" s="13">
        <v>57.444444444444443</v>
      </c>
      <c r="V22" s="13">
        <f t="shared" si="0"/>
        <v>57.444444444444443</v>
      </c>
      <c r="X22" t="str">
        <f t="shared" si="1"/>
        <v>Congested</v>
      </c>
    </row>
    <row r="23" spans="1:24">
      <c r="A23">
        <v>20</v>
      </c>
      <c r="B23" t="s">
        <v>107</v>
      </c>
      <c r="C23" s="15" t="s">
        <v>108</v>
      </c>
      <c r="D23" t="s">
        <v>108</v>
      </c>
      <c r="E23" s="12">
        <v>386</v>
      </c>
      <c r="F23" s="12">
        <v>170</v>
      </c>
      <c r="G23" s="12">
        <v>0</v>
      </c>
      <c r="H23" s="2">
        <v>556</v>
      </c>
      <c r="I23" s="3"/>
      <c r="J23">
        <v>18</v>
      </c>
      <c r="K23">
        <v>18</v>
      </c>
      <c r="L23">
        <v>18</v>
      </c>
      <c r="N23">
        <v>2</v>
      </c>
      <c r="O23">
        <v>2</v>
      </c>
      <c r="P23">
        <v>2</v>
      </c>
      <c r="R23">
        <v>40</v>
      </c>
      <c r="S23" s="3"/>
      <c r="T23" s="14">
        <f t="shared" ref="T23:T26" si="3">IFERROR(J23/E23, 0)</f>
        <v>4.6632124352331605E-2</v>
      </c>
      <c r="U23" s="13">
        <v>9.4444444444444446</v>
      </c>
      <c r="V23" s="13">
        <f t="shared" si="0"/>
        <v>9.4444444444444446</v>
      </c>
      <c r="X23" t="str">
        <f t="shared" si="1"/>
        <v>Within Standard</v>
      </c>
    </row>
    <row r="24" spans="1:24">
      <c r="A24">
        <v>21</v>
      </c>
      <c r="B24" t="s">
        <v>109</v>
      </c>
      <c r="C24" t="s">
        <v>51</v>
      </c>
      <c r="D24" t="s">
        <v>51</v>
      </c>
      <c r="E24" s="12">
        <v>231</v>
      </c>
      <c r="F24" s="12">
        <v>97</v>
      </c>
      <c r="G24" s="12">
        <v>0</v>
      </c>
      <c r="H24" s="2">
        <v>328</v>
      </c>
      <c r="I24" s="3"/>
      <c r="J24">
        <v>10</v>
      </c>
      <c r="K24">
        <v>10</v>
      </c>
      <c r="L24" s="14">
        <v>10</v>
      </c>
      <c r="M24" s="14">
        <v>0</v>
      </c>
      <c r="N24">
        <v>5</v>
      </c>
      <c r="O24">
        <v>5</v>
      </c>
      <c r="P24" s="14">
        <v>5</v>
      </c>
      <c r="Q24" s="14">
        <v>0</v>
      </c>
      <c r="R24">
        <v>30</v>
      </c>
      <c r="S24" s="3"/>
      <c r="T24" s="14">
        <f t="shared" si="3"/>
        <v>4.3290043290043288E-2</v>
      </c>
      <c r="U24" s="13">
        <v>9.6999999999999993</v>
      </c>
      <c r="V24" s="13">
        <f t="shared" si="0"/>
        <v>9.6999999999999993</v>
      </c>
      <c r="X24" t="str">
        <f t="shared" si="1"/>
        <v>Within Standard</v>
      </c>
    </row>
    <row r="25" spans="1:24">
      <c r="A25">
        <v>22</v>
      </c>
      <c r="B25" t="s">
        <v>110</v>
      </c>
      <c r="C25" t="s">
        <v>51</v>
      </c>
      <c r="D25" t="s">
        <v>51</v>
      </c>
      <c r="E25" s="12">
        <v>200</v>
      </c>
      <c r="F25" s="12">
        <v>123</v>
      </c>
      <c r="G25" s="12">
        <v>74</v>
      </c>
      <c r="H25" s="2">
        <v>397</v>
      </c>
      <c r="I25" s="3"/>
      <c r="J25">
        <v>8</v>
      </c>
      <c r="K25">
        <v>8</v>
      </c>
      <c r="L25" s="14">
        <v>4.9949238578680202</v>
      </c>
      <c r="M25" s="14">
        <v>3.0050761421319798</v>
      </c>
      <c r="N25">
        <v>1</v>
      </c>
      <c r="O25">
        <v>1</v>
      </c>
      <c r="P25" s="14">
        <v>0.62436548223350252</v>
      </c>
      <c r="Q25" s="14">
        <v>0.37563451776649748</v>
      </c>
      <c r="R25">
        <v>18</v>
      </c>
      <c r="S25" s="3"/>
      <c r="T25" s="14">
        <f t="shared" si="3"/>
        <v>0.04</v>
      </c>
      <c r="U25" s="13">
        <v>24.625</v>
      </c>
      <c r="V25" s="13">
        <f t="shared" si="0"/>
        <v>24.625</v>
      </c>
      <c r="X25" t="str">
        <f t="shared" si="1"/>
        <v>Within Standard</v>
      </c>
    </row>
    <row r="26" spans="1:24">
      <c r="A26">
        <v>23</v>
      </c>
      <c r="B26" t="s">
        <v>111</v>
      </c>
      <c r="C26" s="11" t="s">
        <v>47</v>
      </c>
      <c r="D26" t="s">
        <v>47</v>
      </c>
      <c r="E26" s="12">
        <v>0</v>
      </c>
      <c r="F26" s="12">
        <v>128</v>
      </c>
      <c r="G26" s="12">
        <v>38</v>
      </c>
      <c r="H26" s="2">
        <v>166</v>
      </c>
      <c r="I26" s="3"/>
      <c r="K26">
        <v>10</v>
      </c>
      <c r="L26" s="14">
        <v>7.7108433734939759</v>
      </c>
      <c r="M26" s="14">
        <v>2.2891566265060241</v>
      </c>
      <c r="O26">
        <v>0</v>
      </c>
      <c r="P26" s="14">
        <v>0</v>
      </c>
      <c r="Q26" s="14">
        <v>0</v>
      </c>
      <c r="R26">
        <v>10</v>
      </c>
      <c r="S26" s="3"/>
      <c r="T26" s="14">
        <f t="shared" si="3"/>
        <v>0</v>
      </c>
      <c r="U26" s="13">
        <v>16.600000000000001</v>
      </c>
      <c r="V26" s="13">
        <f t="shared" si="0"/>
        <v>16.600000000000001</v>
      </c>
      <c r="X26" t="str">
        <f t="shared" si="1"/>
        <v>Within Standard</v>
      </c>
    </row>
    <row r="27" spans="1:24">
      <c r="V27" cm="1">
        <f t="array" ref="V27">SUMPRODUCT((V4:V26&lt;=45)*1)</f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2808-09BD-4474-BC06-83D997F97AD7}">
  <dimension ref="A1:W26"/>
  <sheetViews>
    <sheetView workbookViewId="0">
      <selection activeCell="AE20" sqref="AE20"/>
    </sheetView>
  </sheetViews>
  <sheetFormatPr defaultRowHeight="15"/>
  <cols>
    <col min="1" max="1" width="3.28515625" bestFit="1" customWidth="1"/>
    <col min="2" max="2" width="39.5703125" customWidth="1"/>
    <col min="3" max="3" width="27.42578125" customWidth="1"/>
    <col min="4" max="4" width="17.85546875" customWidth="1"/>
    <col min="5" max="6" width="0" hidden="1" customWidth="1"/>
    <col min="7" max="7" width="18.85546875" customWidth="1"/>
    <col min="8" max="12" width="0" hidden="1" customWidth="1"/>
    <col min="13" max="13" width="22.5703125" customWidth="1"/>
    <col min="14" max="21" width="0" hidden="1" customWidth="1"/>
    <col min="22" max="22" width="16.85546875" customWidth="1"/>
    <col min="23" max="23" width="16.7109375" customWidth="1"/>
  </cols>
  <sheetData>
    <row r="1" spans="1:23">
      <c r="E1" s="16" t="s">
        <v>4</v>
      </c>
      <c r="F1" s="16"/>
      <c r="G1" s="16"/>
      <c r="H1" s="16"/>
      <c r="I1" s="3"/>
      <c r="J1" s="17" t="s">
        <v>5</v>
      </c>
      <c r="K1" s="17"/>
      <c r="L1" s="17"/>
      <c r="M1" s="17"/>
      <c r="N1" s="17" t="s">
        <v>6</v>
      </c>
      <c r="O1" s="17"/>
      <c r="P1" s="17"/>
      <c r="Q1" s="17"/>
      <c r="R1" s="4" t="s">
        <v>7</v>
      </c>
      <c r="S1" s="3"/>
      <c r="T1" s="18" t="s">
        <v>8</v>
      </c>
      <c r="U1" s="18"/>
      <c r="V1" s="18"/>
    </row>
    <row r="2" spans="1:23">
      <c r="B2" s="5" t="s">
        <v>15</v>
      </c>
      <c r="C2" s="5" t="s">
        <v>16</v>
      </c>
      <c r="D2" s="5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3">
        <v>1</v>
      </c>
      <c r="J2" s="7" t="s">
        <v>22</v>
      </c>
      <c r="K2" s="7" t="s">
        <v>23</v>
      </c>
      <c r="L2" s="8" t="s">
        <v>24</v>
      </c>
      <c r="M2" s="9" t="s">
        <v>25</v>
      </c>
      <c r="N2" s="7" t="s">
        <v>26</v>
      </c>
      <c r="O2" s="7" t="s">
        <v>23</v>
      </c>
      <c r="P2" s="8" t="s">
        <v>27</v>
      </c>
      <c r="Q2" s="9" t="s">
        <v>28</v>
      </c>
      <c r="R2" s="7" t="s">
        <v>7</v>
      </c>
      <c r="S2" s="3">
        <v>1</v>
      </c>
      <c r="T2" s="10" t="s">
        <v>18</v>
      </c>
      <c r="U2" s="10" t="s">
        <v>19</v>
      </c>
      <c r="V2" s="10" t="s">
        <v>20</v>
      </c>
    </row>
    <row r="3" spans="1:23">
      <c r="A3">
        <v>1</v>
      </c>
      <c r="B3" t="s">
        <v>46</v>
      </c>
      <c r="C3" t="s">
        <v>47</v>
      </c>
      <c r="D3" t="s">
        <v>47</v>
      </c>
      <c r="E3">
        <v>0</v>
      </c>
      <c r="F3">
        <v>3471</v>
      </c>
      <c r="G3">
        <v>2000</v>
      </c>
      <c r="H3">
        <v>5471</v>
      </c>
      <c r="K3">
        <v>109</v>
      </c>
      <c r="L3">
        <v>69.153536830561137</v>
      </c>
      <c r="M3">
        <v>39.846463169438856</v>
      </c>
      <c r="O3">
        <v>12</v>
      </c>
      <c r="P3">
        <v>7.6132334125388406</v>
      </c>
      <c r="Q3">
        <v>4.3867665874611586</v>
      </c>
      <c r="R3">
        <v>121</v>
      </c>
      <c r="U3">
        <v>50.192660550458719</v>
      </c>
      <c r="V3">
        <f>IFERROR(G3/M3, "")</f>
        <v>50.192660550458719</v>
      </c>
      <c r="W3" t="str">
        <f>IFERROR(
   IF(W4&gt;40,"Congested","Within Standard"),
"")</f>
        <v>Congested</v>
      </c>
    </row>
    <row r="4" spans="1:23">
      <c r="A4">
        <v>2</v>
      </c>
      <c r="B4" t="s">
        <v>48</v>
      </c>
      <c r="C4" t="s">
        <v>47</v>
      </c>
      <c r="D4" t="s">
        <v>47</v>
      </c>
      <c r="E4">
        <v>0</v>
      </c>
      <c r="F4">
        <v>705</v>
      </c>
      <c r="G4">
        <v>562</v>
      </c>
      <c r="H4">
        <v>1267</v>
      </c>
      <c r="K4">
        <v>45</v>
      </c>
      <c r="L4">
        <v>25.039463299131807</v>
      </c>
      <c r="M4">
        <v>19.960536700868193</v>
      </c>
      <c r="O4">
        <v>14</v>
      </c>
      <c r="P4">
        <v>7.790055248618784</v>
      </c>
      <c r="Q4">
        <v>6.2099447513812152</v>
      </c>
      <c r="R4">
        <v>59</v>
      </c>
      <c r="U4">
        <v>28.155555555555555</v>
      </c>
      <c r="V4">
        <f t="shared" ref="V4:V25" si="0">IFERROR(G4/M4, "")</f>
        <v>28.155555555555555</v>
      </c>
      <c r="W4" t="str">
        <f t="shared" ref="W4:W25" si="1">IFERROR(
   IF(W5&gt;40,"Congested","Within Standard"),
"")</f>
        <v>Congested</v>
      </c>
    </row>
    <row r="5" spans="1:23">
      <c r="A5">
        <v>3</v>
      </c>
      <c r="B5" t="s">
        <v>49</v>
      </c>
      <c r="C5" t="s">
        <v>47</v>
      </c>
      <c r="D5" t="s">
        <v>47</v>
      </c>
      <c r="E5">
        <v>0</v>
      </c>
      <c r="F5">
        <v>642</v>
      </c>
      <c r="G5">
        <v>263</v>
      </c>
      <c r="H5">
        <v>905</v>
      </c>
      <c r="K5">
        <v>21</v>
      </c>
      <c r="L5">
        <v>14.897237569060774</v>
      </c>
      <c r="M5">
        <v>6.1027624309392259</v>
      </c>
      <c r="O5">
        <v>7</v>
      </c>
      <c r="P5">
        <v>4.9657458563535908</v>
      </c>
      <c r="Q5">
        <v>2.0342541436464088</v>
      </c>
      <c r="R5">
        <v>28</v>
      </c>
      <c r="U5">
        <v>43.095238095238095</v>
      </c>
      <c r="V5">
        <f t="shared" si="0"/>
        <v>43.095238095238102</v>
      </c>
      <c r="W5" t="str">
        <f t="shared" si="1"/>
        <v>Congested</v>
      </c>
    </row>
    <row r="6" spans="1:23">
      <c r="A6">
        <v>4</v>
      </c>
      <c r="B6" t="s">
        <v>50</v>
      </c>
      <c r="C6" t="s">
        <v>51</v>
      </c>
      <c r="D6" t="s">
        <v>51</v>
      </c>
      <c r="E6">
        <v>233</v>
      </c>
      <c r="F6">
        <v>86</v>
      </c>
      <c r="G6">
        <v>38</v>
      </c>
      <c r="H6">
        <v>357</v>
      </c>
      <c r="J6">
        <v>3</v>
      </c>
      <c r="K6">
        <v>3</v>
      </c>
      <c r="L6">
        <v>2.080645161290323</v>
      </c>
      <c r="M6">
        <v>0.91935483870967749</v>
      </c>
      <c r="N6">
        <v>0</v>
      </c>
      <c r="O6">
        <v>0</v>
      </c>
      <c r="P6">
        <v>0</v>
      </c>
      <c r="Q6">
        <v>0</v>
      </c>
      <c r="R6">
        <v>6</v>
      </c>
      <c r="T6">
        <v>1.2875536480686695E-2</v>
      </c>
      <c r="U6">
        <v>41.333333333333329</v>
      </c>
      <c r="V6">
        <f t="shared" si="0"/>
        <v>41.333333333333329</v>
      </c>
      <c r="W6" t="str">
        <f t="shared" si="1"/>
        <v>Congested</v>
      </c>
    </row>
    <row r="7" spans="1:23">
      <c r="A7">
        <v>5</v>
      </c>
      <c r="B7" t="s">
        <v>52</v>
      </c>
      <c r="C7" t="s">
        <v>51</v>
      </c>
      <c r="D7" t="s">
        <v>51</v>
      </c>
      <c r="E7">
        <v>316</v>
      </c>
      <c r="F7">
        <v>136</v>
      </c>
      <c r="G7">
        <v>12</v>
      </c>
      <c r="H7">
        <v>464</v>
      </c>
      <c r="J7">
        <v>8</v>
      </c>
      <c r="K7">
        <v>8</v>
      </c>
      <c r="L7">
        <v>7.3513513513513518</v>
      </c>
      <c r="M7">
        <v>0.64864864864864868</v>
      </c>
      <c r="N7">
        <v>0</v>
      </c>
      <c r="O7">
        <v>0</v>
      </c>
      <c r="P7">
        <v>0</v>
      </c>
      <c r="Q7">
        <v>0</v>
      </c>
      <c r="R7">
        <v>16</v>
      </c>
      <c r="T7">
        <v>2.5316455696202531E-2</v>
      </c>
      <c r="U7">
        <v>18.5</v>
      </c>
      <c r="V7">
        <f t="shared" si="0"/>
        <v>18.5</v>
      </c>
      <c r="W7" t="str">
        <f t="shared" si="1"/>
        <v>Congested</v>
      </c>
    </row>
    <row r="8" spans="1:23">
      <c r="A8">
        <v>6</v>
      </c>
      <c r="B8" t="s">
        <v>79</v>
      </c>
      <c r="C8" t="s">
        <v>47</v>
      </c>
      <c r="D8" t="s">
        <v>47</v>
      </c>
      <c r="E8">
        <v>0</v>
      </c>
      <c r="F8">
        <v>535</v>
      </c>
      <c r="G8">
        <v>147</v>
      </c>
      <c r="H8">
        <v>682</v>
      </c>
      <c r="K8">
        <v>23</v>
      </c>
      <c r="L8">
        <v>18.042521994134898</v>
      </c>
      <c r="M8">
        <v>4.9574780058651031</v>
      </c>
      <c r="O8">
        <v>5</v>
      </c>
      <c r="P8">
        <v>3.9222873900293251</v>
      </c>
      <c r="Q8">
        <v>1.0777126099706744</v>
      </c>
      <c r="R8">
        <v>28</v>
      </c>
      <c r="U8">
        <v>29.652173913043477</v>
      </c>
      <c r="V8">
        <f t="shared" si="0"/>
        <v>29.652173913043477</v>
      </c>
      <c r="W8" t="str">
        <f t="shared" si="1"/>
        <v>Congested</v>
      </c>
    </row>
    <row r="9" spans="1:23">
      <c r="A9">
        <v>7</v>
      </c>
      <c r="B9" t="s">
        <v>80</v>
      </c>
      <c r="C9" t="s">
        <v>47</v>
      </c>
      <c r="D9" t="s">
        <v>47</v>
      </c>
      <c r="E9">
        <v>0</v>
      </c>
      <c r="F9">
        <v>436</v>
      </c>
      <c r="G9">
        <v>158</v>
      </c>
      <c r="H9">
        <v>594</v>
      </c>
      <c r="K9">
        <v>19</v>
      </c>
      <c r="L9">
        <v>13.946127946127946</v>
      </c>
      <c r="M9">
        <v>5.0538720538720536</v>
      </c>
      <c r="O9">
        <v>7</v>
      </c>
      <c r="P9">
        <v>5.1380471380471384</v>
      </c>
      <c r="Q9">
        <v>1.861952861952862</v>
      </c>
      <c r="R9">
        <v>26</v>
      </c>
      <c r="U9">
        <v>31.263157894736842</v>
      </c>
      <c r="V9">
        <f t="shared" si="0"/>
        <v>31.263157894736842</v>
      </c>
      <c r="W9" t="str">
        <f t="shared" si="1"/>
        <v>Congested</v>
      </c>
    </row>
    <row r="10" spans="1:23">
      <c r="A10">
        <v>8</v>
      </c>
      <c r="B10" t="s">
        <v>81</v>
      </c>
      <c r="C10" t="s">
        <v>47</v>
      </c>
      <c r="D10" t="s">
        <v>47</v>
      </c>
      <c r="E10">
        <v>0</v>
      </c>
      <c r="F10">
        <v>333</v>
      </c>
      <c r="G10">
        <v>143</v>
      </c>
      <c r="H10">
        <v>476</v>
      </c>
      <c r="K10">
        <v>15</v>
      </c>
      <c r="L10">
        <v>10.493697478991596</v>
      </c>
      <c r="M10">
        <v>4.5063025210084033</v>
      </c>
      <c r="O10">
        <v>4</v>
      </c>
      <c r="P10">
        <v>2.7983193277310923</v>
      </c>
      <c r="Q10">
        <v>1.2016806722689075</v>
      </c>
      <c r="R10">
        <v>19</v>
      </c>
      <c r="U10">
        <v>31.733333333333334</v>
      </c>
      <c r="V10">
        <f t="shared" si="0"/>
        <v>31.733333333333334</v>
      </c>
      <c r="W10" t="str">
        <f t="shared" si="1"/>
        <v>Congested</v>
      </c>
    </row>
    <row r="11" spans="1:23">
      <c r="A11">
        <v>9</v>
      </c>
      <c r="B11" t="s">
        <v>82</v>
      </c>
      <c r="C11" t="s">
        <v>47</v>
      </c>
      <c r="D11" t="s">
        <v>47</v>
      </c>
      <c r="E11">
        <v>0</v>
      </c>
      <c r="F11">
        <v>1515</v>
      </c>
      <c r="G11">
        <v>426</v>
      </c>
      <c r="H11">
        <v>1941</v>
      </c>
      <c r="K11">
        <v>41</v>
      </c>
      <c r="L11">
        <v>32.001545595054097</v>
      </c>
      <c r="M11">
        <v>8.998454404945905</v>
      </c>
      <c r="O11">
        <v>14</v>
      </c>
      <c r="P11">
        <v>10.927357032457497</v>
      </c>
      <c r="Q11">
        <v>3.072642967542504</v>
      </c>
      <c r="R11">
        <v>55</v>
      </c>
      <c r="U11">
        <v>47.341463414634148</v>
      </c>
      <c r="V11">
        <f t="shared" si="0"/>
        <v>47.341463414634141</v>
      </c>
      <c r="W11" t="str">
        <f t="shared" si="1"/>
        <v>Congested</v>
      </c>
    </row>
    <row r="12" spans="1:23">
      <c r="A12">
        <v>10</v>
      </c>
      <c r="B12" t="s">
        <v>83</v>
      </c>
      <c r="C12" t="s">
        <v>47</v>
      </c>
      <c r="D12" t="s">
        <v>47</v>
      </c>
      <c r="E12">
        <v>0</v>
      </c>
      <c r="F12">
        <v>386</v>
      </c>
      <c r="G12">
        <v>204</v>
      </c>
      <c r="H12">
        <v>590</v>
      </c>
      <c r="K12">
        <v>27</v>
      </c>
      <c r="L12">
        <v>17.664406779661018</v>
      </c>
      <c r="M12">
        <v>9.335593220338982</v>
      </c>
      <c r="O12">
        <v>4</v>
      </c>
      <c r="P12">
        <v>2.6169491525423729</v>
      </c>
      <c r="Q12">
        <v>1.3830508474576271</v>
      </c>
      <c r="R12">
        <v>31</v>
      </c>
      <c r="U12">
        <v>21.851851851851851</v>
      </c>
      <c r="V12">
        <f t="shared" si="0"/>
        <v>21.851851851851855</v>
      </c>
      <c r="W12" t="str">
        <f t="shared" si="1"/>
        <v>Congested</v>
      </c>
    </row>
    <row r="13" spans="1:23">
      <c r="A13">
        <v>11</v>
      </c>
      <c r="B13" t="s">
        <v>84</v>
      </c>
      <c r="C13" t="s">
        <v>47</v>
      </c>
      <c r="D13" t="s">
        <v>47</v>
      </c>
      <c r="E13">
        <v>0</v>
      </c>
      <c r="F13">
        <v>218</v>
      </c>
      <c r="G13">
        <v>88</v>
      </c>
      <c r="H13">
        <v>306</v>
      </c>
      <c r="K13">
        <v>17</v>
      </c>
      <c r="L13">
        <v>12.111111111111111</v>
      </c>
      <c r="M13">
        <v>4.8888888888888884</v>
      </c>
      <c r="O13">
        <v>7</v>
      </c>
      <c r="P13">
        <v>4.9869281045751634</v>
      </c>
      <c r="Q13">
        <v>2.0130718954248366</v>
      </c>
      <c r="R13">
        <v>24</v>
      </c>
      <c r="U13">
        <v>18</v>
      </c>
      <c r="V13">
        <f t="shared" si="0"/>
        <v>18.000000000000004</v>
      </c>
      <c r="W13" t="str">
        <f t="shared" si="1"/>
        <v>Congested</v>
      </c>
    </row>
    <row r="14" spans="1:23">
      <c r="A14">
        <v>12</v>
      </c>
      <c r="B14" t="s">
        <v>85</v>
      </c>
      <c r="C14" t="s">
        <v>47</v>
      </c>
      <c r="D14" t="s">
        <v>47</v>
      </c>
      <c r="E14">
        <v>0</v>
      </c>
      <c r="F14">
        <v>827</v>
      </c>
      <c r="G14">
        <v>214</v>
      </c>
      <c r="H14">
        <v>1041</v>
      </c>
      <c r="K14">
        <v>22</v>
      </c>
      <c r="L14">
        <v>17.477425552353505</v>
      </c>
      <c r="M14">
        <v>4.5225744476464937</v>
      </c>
      <c r="O14">
        <v>3</v>
      </c>
      <c r="P14">
        <v>2.3832853025936602</v>
      </c>
      <c r="Q14">
        <v>0.61671469740634011</v>
      </c>
      <c r="R14">
        <v>25</v>
      </c>
      <c r="U14">
        <v>47.31818181818182</v>
      </c>
      <c r="V14">
        <f t="shared" si="0"/>
        <v>47.31818181818182</v>
      </c>
      <c r="W14" t="str">
        <f t="shared" si="1"/>
        <v>Congested</v>
      </c>
    </row>
    <row r="15" spans="1:23">
      <c r="A15">
        <v>13</v>
      </c>
      <c r="B15" t="s">
        <v>86</v>
      </c>
      <c r="C15" t="s">
        <v>47</v>
      </c>
      <c r="D15" t="s">
        <v>47</v>
      </c>
      <c r="E15">
        <v>0</v>
      </c>
      <c r="F15">
        <v>368</v>
      </c>
      <c r="G15">
        <v>110</v>
      </c>
      <c r="H15">
        <v>478</v>
      </c>
      <c r="K15">
        <v>19</v>
      </c>
      <c r="L15">
        <v>14.627615062761507</v>
      </c>
      <c r="M15">
        <v>4.3723849372384933</v>
      </c>
      <c r="O15">
        <v>7</v>
      </c>
      <c r="P15">
        <v>5.3891213389121342</v>
      </c>
      <c r="Q15">
        <v>1.610878661087866</v>
      </c>
      <c r="R15">
        <v>26</v>
      </c>
      <c r="U15">
        <v>25.157894736842106</v>
      </c>
      <c r="V15">
        <f t="shared" si="0"/>
        <v>25.157894736842106</v>
      </c>
      <c r="W15" t="str">
        <f t="shared" si="1"/>
        <v>Congested</v>
      </c>
    </row>
    <row r="16" spans="1:23">
      <c r="A16">
        <v>14</v>
      </c>
      <c r="B16" t="s">
        <v>87</v>
      </c>
      <c r="C16" t="s">
        <v>88</v>
      </c>
      <c r="D16" t="s">
        <v>88</v>
      </c>
      <c r="E16">
        <v>0</v>
      </c>
      <c r="F16">
        <v>295</v>
      </c>
      <c r="G16">
        <v>0</v>
      </c>
      <c r="H16">
        <v>295</v>
      </c>
      <c r="K16">
        <v>10</v>
      </c>
      <c r="L16">
        <v>10</v>
      </c>
      <c r="O16">
        <v>3</v>
      </c>
      <c r="P16">
        <v>3</v>
      </c>
      <c r="R16">
        <v>13</v>
      </c>
      <c r="U16">
        <v>29.5</v>
      </c>
      <c r="V16" t="str">
        <f t="shared" si="0"/>
        <v/>
      </c>
      <c r="W16" t="str">
        <f t="shared" si="1"/>
        <v>Congested</v>
      </c>
    </row>
    <row r="17" spans="1:23">
      <c r="A17">
        <v>15</v>
      </c>
      <c r="B17" t="s">
        <v>89</v>
      </c>
      <c r="C17" t="s">
        <v>47</v>
      </c>
      <c r="D17" t="s">
        <v>47</v>
      </c>
      <c r="E17">
        <v>0</v>
      </c>
      <c r="F17">
        <v>338</v>
      </c>
      <c r="G17">
        <v>139</v>
      </c>
      <c r="H17">
        <v>477</v>
      </c>
      <c r="K17">
        <v>16</v>
      </c>
      <c r="L17">
        <v>11.337526205450734</v>
      </c>
      <c r="M17">
        <v>4.6624737945492658</v>
      </c>
      <c r="O17">
        <v>2</v>
      </c>
      <c r="P17">
        <v>1.4171907756813418</v>
      </c>
      <c r="Q17">
        <v>0.58280922431865823</v>
      </c>
      <c r="R17">
        <v>18</v>
      </c>
      <c r="U17">
        <v>29.8125</v>
      </c>
      <c r="V17">
        <f t="shared" si="0"/>
        <v>29.812500000000004</v>
      </c>
      <c r="W17" t="str">
        <f t="shared" si="1"/>
        <v>Congested</v>
      </c>
    </row>
    <row r="18" spans="1:23">
      <c r="A18">
        <v>16</v>
      </c>
      <c r="B18" t="s">
        <v>90</v>
      </c>
      <c r="C18" t="s">
        <v>47</v>
      </c>
      <c r="D18" t="s">
        <v>47</v>
      </c>
      <c r="E18">
        <v>0</v>
      </c>
      <c r="F18">
        <v>401</v>
      </c>
      <c r="G18">
        <v>152</v>
      </c>
      <c r="H18">
        <v>553</v>
      </c>
      <c r="K18">
        <v>15</v>
      </c>
      <c r="L18">
        <v>10.877034358047016</v>
      </c>
      <c r="M18">
        <v>4.1229656419529839</v>
      </c>
      <c r="O18">
        <v>1</v>
      </c>
      <c r="P18">
        <v>0.72513562386980113</v>
      </c>
      <c r="Q18">
        <v>0.27486437613019893</v>
      </c>
      <c r="R18">
        <v>16</v>
      </c>
      <c r="U18">
        <v>36.866666666666667</v>
      </c>
      <c r="V18">
        <f t="shared" si="0"/>
        <v>36.866666666666667</v>
      </c>
      <c r="W18" t="str">
        <f t="shared" si="1"/>
        <v>Congested</v>
      </c>
    </row>
    <row r="19" spans="1:23">
      <c r="A19">
        <v>17</v>
      </c>
      <c r="B19" t="s">
        <v>104</v>
      </c>
      <c r="C19" t="s">
        <v>47</v>
      </c>
      <c r="D19" t="s">
        <v>47</v>
      </c>
      <c r="E19">
        <v>0</v>
      </c>
      <c r="F19">
        <v>575</v>
      </c>
      <c r="G19">
        <v>257</v>
      </c>
      <c r="H19">
        <v>832</v>
      </c>
      <c r="L19">
        <v>0</v>
      </c>
      <c r="M19">
        <v>0</v>
      </c>
      <c r="P19">
        <v>0</v>
      </c>
      <c r="Q19">
        <v>0</v>
      </c>
      <c r="U19" t="e">
        <v>#DIV/0!</v>
      </c>
      <c r="V19" t="str">
        <f t="shared" si="0"/>
        <v/>
      </c>
      <c r="W19" t="str">
        <f t="shared" si="1"/>
        <v>Congested</v>
      </c>
    </row>
    <row r="20" spans="1:23">
      <c r="A20">
        <v>18</v>
      </c>
      <c r="B20" t="s">
        <v>105</v>
      </c>
      <c r="C20" t="s">
        <v>47</v>
      </c>
      <c r="D20" t="s">
        <v>47</v>
      </c>
      <c r="E20">
        <v>0</v>
      </c>
      <c r="F20">
        <v>333</v>
      </c>
      <c r="G20">
        <v>150</v>
      </c>
      <c r="H20">
        <v>483</v>
      </c>
      <c r="K20">
        <v>12</v>
      </c>
      <c r="L20">
        <v>8.2732919254658377</v>
      </c>
      <c r="M20">
        <v>3.7267080745341614</v>
      </c>
      <c r="O20">
        <v>6</v>
      </c>
      <c r="P20">
        <v>4.1366459627329188</v>
      </c>
      <c r="Q20">
        <v>1.8633540372670807</v>
      </c>
      <c r="R20">
        <v>18</v>
      </c>
      <c r="U20">
        <v>40.250000000000007</v>
      </c>
      <c r="V20">
        <f t="shared" si="0"/>
        <v>40.25</v>
      </c>
      <c r="W20" t="str">
        <f t="shared" si="1"/>
        <v>Congested</v>
      </c>
    </row>
    <row r="21" spans="1:23">
      <c r="A21">
        <v>19</v>
      </c>
      <c r="B21" t="s">
        <v>106</v>
      </c>
      <c r="C21" t="s">
        <v>47</v>
      </c>
      <c r="D21" t="s">
        <v>47</v>
      </c>
      <c r="E21">
        <v>0</v>
      </c>
      <c r="F21">
        <v>402</v>
      </c>
      <c r="G21">
        <v>115</v>
      </c>
      <c r="H21">
        <v>517</v>
      </c>
      <c r="K21">
        <v>9</v>
      </c>
      <c r="L21">
        <v>6.9980657640232113</v>
      </c>
      <c r="M21">
        <v>2.0019342359767891</v>
      </c>
      <c r="O21">
        <v>0</v>
      </c>
      <c r="P21">
        <v>0</v>
      </c>
      <c r="Q21">
        <v>0</v>
      </c>
      <c r="R21">
        <v>9</v>
      </c>
      <c r="U21">
        <v>57.444444444444443</v>
      </c>
      <c r="V21">
        <f t="shared" si="0"/>
        <v>57.444444444444443</v>
      </c>
      <c r="W21" t="str">
        <f t="shared" si="1"/>
        <v>Congested</v>
      </c>
    </row>
    <row r="22" spans="1:23">
      <c r="A22">
        <v>20</v>
      </c>
      <c r="B22" t="s">
        <v>107</v>
      </c>
      <c r="C22" t="s">
        <v>108</v>
      </c>
      <c r="D22" t="s">
        <v>108</v>
      </c>
      <c r="E22">
        <v>386</v>
      </c>
      <c r="F22">
        <v>170</v>
      </c>
      <c r="G22">
        <v>0</v>
      </c>
      <c r="H22">
        <v>556</v>
      </c>
      <c r="J22">
        <v>18</v>
      </c>
      <c r="K22">
        <v>18</v>
      </c>
      <c r="L22">
        <v>18</v>
      </c>
      <c r="N22">
        <v>2</v>
      </c>
      <c r="O22">
        <v>2</v>
      </c>
      <c r="P22">
        <v>2</v>
      </c>
      <c r="R22">
        <v>40</v>
      </c>
      <c r="T22">
        <v>4.6632124352331605E-2</v>
      </c>
      <c r="U22">
        <v>9.4444444444444446</v>
      </c>
      <c r="V22" t="str">
        <f t="shared" si="0"/>
        <v/>
      </c>
      <c r="W22" t="str">
        <f t="shared" si="1"/>
        <v>Congested</v>
      </c>
    </row>
    <row r="23" spans="1:23">
      <c r="A23">
        <v>21</v>
      </c>
      <c r="B23" t="s">
        <v>109</v>
      </c>
      <c r="C23" t="s">
        <v>51</v>
      </c>
      <c r="D23" t="s">
        <v>51</v>
      </c>
      <c r="E23">
        <v>231</v>
      </c>
      <c r="F23">
        <v>97</v>
      </c>
      <c r="G23">
        <v>0</v>
      </c>
      <c r="H23">
        <v>328</v>
      </c>
      <c r="J23">
        <v>10</v>
      </c>
      <c r="K23">
        <v>10</v>
      </c>
      <c r="L23">
        <v>10</v>
      </c>
      <c r="M23">
        <v>0</v>
      </c>
      <c r="N23">
        <v>5</v>
      </c>
      <c r="O23">
        <v>5</v>
      </c>
      <c r="P23">
        <v>5</v>
      </c>
      <c r="Q23">
        <v>0</v>
      </c>
      <c r="R23">
        <v>30</v>
      </c>
      <c r="T23">
        <v>4.3290043290043288E-2</v>
      </c>
      <c r="U23">
        <v>9.6999999999999993</v>
      </c>
      <c r="V23" t="str">
        <f t="shared" si="0"/>
        <v/>
      </c>
      <c r="W23" t="str">
        <f t="shared" si="1"/>
        <v>Congested</v>
      </c>
    </row>
    <row r="24" spans="1:23">
      <c r="A24">
        <v>22</v>
      </c>
      <c r="B24" t="s">
        <v>110</v>
      </c>
      <c r="C24" t="s">
        <v>51</v>
      </c>
      <c r="D24" t="s">
        <v>51</v>
      </c>
      <c r="E24">
        <v>200</v>
      </c>
      <c r="F24">
        <v>123</v>
      </c>
      <c r="G24">
        <v>74</v>
      </c>
      <c r="H24">
        <v>397</v>
      </c>
      <c r="J24">
        <v>8</v>
      </c>
      <c r="K24">
        <v>8</v>
      </c>
      <c r="L24">
        <v>4.9949238578680202</v>
      </c>
      <c r="M24">
        <v>3.0050761421319798</v>
      </c>
      <c r="N24">
        <v>1</v>
      </c>
      <c r="O24">
        <v>1</v>
      </c>
      <c r="P24">
        <v>0.62436548223350252</v>
      </c>
      <c r="Q24">
        <v>0.37563451776649748</v>
      </c>
      <c r="R24">
        <v>18</v>
      </c>
      <c r="T24">
        <v>0.04</v>
      </c>
      <c r="U24">
        <v>24.625</v>
      </c>
      <c r="V24">
        <f t="shared" si="0"/>
        <v>24.625</v>
      </c>
      <c r="W24" t="str">
        <f t="shared" si="1"/>
        <v>Congested</v>
      </c>
    </row>
    <row r="25" spans="1:23">
      <c r="A25">
        <v>23</v>
      </c>
      <c r="B25" t="s">
        <v>111</v>
      </c>
      <c r="C25" t="s">
        <v>47</v>
      </c>
      <c r="D25" t="s">
        <v>47</v>
      </c>
      <c r="E25">
        <v>0</v>
      </c>
      <c r="F25">
        <v>128</v>
      </c>
      <c r="G25">
        <v>38</v>
      </c>
      <c r="H25">
        <v>166</v>
      </c>
      <c r="K25">
        <v>10</v>
      </c>
      <c r="L25">
        <v>7.7108433734939759</v>
      </c>
      <c r="M25">
        <v>2.2891566265060241</v>
      </c>
      <c r="O25">
        <v>0</v>
      </c>
      <c r="P25">
        <v>0</v>
      </c>
      <c r="Q25">
        <v>0</v>
      </c>
      <c r="R25">
        <v>10</v>
      </c>
      <c r="T25">
        <v>0</v>
      </c>
      <c r="U25">
        <v>16.600000000000001</v>
      </c>
      <c r="V25">
        <f t="shared" si="0"/>
        <v>16.600000000000001</v>
      </c>
      <c r="W25" t="str">
        <f t="shared" si="1"/>
        <v>Within Standard</v>
      </c>
    </row>
    <row r="26" spans="1:23">
      <c r="V26" cm="1">
        <f t="array" ref="V26">SUMPRODUCT((V3:V25&lt;=45)*1)</f>
        <v>15</v>
      </c>
    </row>
  </sheetData>
  <mergeCells count="4">
    <mergeCell ref="E1:H1"/>
    <mergeCell ref="J1:M1"/>
    <mergeCell ref="N1:Q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2023-09-05T08:22:32Z</dcterms:created>
  <dcterms:modified xsi:type="dcterms:W3CDTF">2026-01-27T01:42:47Z</dcterms:modified>
  <cp:category/>
  <cp:contentStatus/>
</cp:coreProperties>
</file>