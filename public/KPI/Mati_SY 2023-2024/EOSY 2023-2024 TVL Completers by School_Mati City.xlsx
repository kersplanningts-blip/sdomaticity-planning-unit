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EOSY 2023-2024/"/>
    </mc:Choice>
  </mc:AlternateContent>
  <xr:revisionPtr revIDLastSave="0" documentId="8_{CA8E5DFD-0D3D-4D1A-98E0-1374EEA1FFD3}" xr6:coauthVersionLast="47" xr6:coauthVersionMax="47" xr10:uidLastSave="{00000000-0000-0000-0000-000000000000}"/>
  <bookViews>
    <workbookView xWindow="-105" yWindow="0" windowWidth="21060" windowHeight="15585" xr2:uid="{1AE9CCD9-25E5-4C8E-B1F4-D9917D480E3A}"/>
  </bookViews>
  <sheets>
    <sheet name="TVL DB" sheetId="1" r:id="rId1"/>
  </sheets>
  <definedNames>
    <definedName name="_xlnm._FilterDatabase" localSheetId="0" hidden="1">'TVL DB'!$A$7:$L$46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1" l="1"/>
  <c r="M46" i="1"/>
  <c r="O46" i="1" s="1"/>
  <c r="N45" i="1"/>
  <c r="M45" i="1"/>
  <c r="N44" i="1"/>
  <c r="M44" i="1"/>
  <c r="N43" i="1"/>
  <c r="M43" i="1"/>
  <c r="O43" i="1" s="1"/>
  <c r="N42" i="1"/>
  <c r="M42" i="1"/>
  <c r="O42" i="1" s="1"/>
  <c r="N41" i="1"/>
  <c r="M41" i="1"/>
  <c r="N40" i="1"/>
  <c r="M40" i="1"/>
  <c r="O40" i="1" s="1"/>
  <c r="N39" i="1"/>
  <c r="M39" i="1"/>
  <c r="O39" i="1" s="1"/>
  <c r="N38" i="1"/>
  <c r="M38" i="1"/>
  <c r="N37" i="1"/>
  <c r="M37" i="1"/>
  <c r="N36" i="1"/>
  <c r="M36" i="1"/>
  <c r="N35" i="1"/>
  <c r="M35" i="1"/>
  <c r="N34" i="1"/>
  <c r="M34" i="1"/>
  <c r="N33" i="1"/>
  <c r="M33" i="1"/>
  <c r="O33" i="1" s="1"/>
  <c r="N32" i="1"/>
  <c r="M32" i="1"/>
  <c r="N31" i="1"/>
  <c r="M31" i="1"/>
  <c r="O31" i="1" s="1"/>
  <c r="N30" i="1"/>
  <c r="M30" i="1"/>
  <c r="N29" i="1"/>
  <c r="M29" i="1"/>
  <c r="N28" i="1"/>
  <c r="M28" i="1"/>
  <c r="O28" i="1" s="1"/>
  <c r="N27" i="1"/>
  <c r="M27" i="1"/>
  <c r="O27" i="1" s="1"/>
  <c r="N26" i="1"/>
  <c r="M26" i="1"/>
  <c r="N25" i="1"/>
  <c r="M25" i="1"/>
  <c r="N24" i="1"/>
  <c r="M24" i="1"/>
  <c r="N23" i="1"/>
  <c r="M23" i="1"/>
  <c r="O23" i="1" s="1"/>
  <c r="N22" i="1"/>
  <c r="M22" i="1"/>
  <c r="O22" i="1" s="1"/>
  <c r="N21" i="1"/>
  <c r="M21" i="1"/>
  <c r="O21" i="1" s="1"/>
  <c r="N20" i="1"/>
  <c r="M20" i="1"/>
  <c r="N19" i="1"/>
  <c r="M19" i="1"/>
  <c r="N18" i="1"/>
  <c r="M18" i="1"/>
  <c r="N17" i="1"/>
  <c r="M17" i="1"/>
  <c r="O17" i="1" s="1"/>
  <c r="N16" i="1"/>
  <c r="M16" i="1"/>
  <c r="N15" i="1"/>
  <c r="M15" i="1"/>
  <c r="O15" i="1" s="1"/>
  <c r="N14" i="1"/>
  <c r="M14" i="1"/>
  <c r="N13" i="1"/>
  <c r="M13" i="1"/>
  <c r="N12" i="1"/>
  <c r="M12" i="1"/>
  <c r="N11" i="1"/>
  <c r="M11" i="1"/>
  <c r="O11" i="1" s="1"/>
  <c r="N10" i="1"/>
  <c r="M10" i="1"/>
  <c r="O10" i="1" s="1"/>
  <c r="N9" i="1"/>
  <c r="M9" i="1"/>
  <c r="O9" i="1" s="1"/>
  <c r="N8" i="1"/>
  <c r="M8" i="1"/>
  <c r="O13" i="1" l="1"/>
  <c r="O19" i="1"/>
  <c r="O25" i="1"/>
  <c r="O36" i="1"/>
  <c r="O12" i="1"/>
  <c r="O24" i="1"/>
  <c r="O8" i="1"/>
  <c r="O20" i="1"/>
  <c r="O38" i="1"/>
  <c r="O29" i="1"/>
  <c r="O35" i="1"/>
  <c r="O32" i="1"/>
  <c r="O18" i="1"/>
  <c r="O30" i="1"/>
  <c r="O41" i="1"/>
  <c r="O14" i="1"/>
  <c r="O26" i="1"/>
  <c r="O37" i="1"/>
  <c r="O44" i="1"/>
  <c r="O16" i="1"/>
  <c r="O34" i="1"/>
  <c r="O45" i="1"/>
</calcChain>
</file>

<file path=xl/sharedStrings.xml><?xml version="1.0" encoding="utf-8"?>
<sst xmlns="http://schemas.openxmlformats.org/spreadsheetml/2006/main" count="301" uniqueCount="73">
  <si>
    <t>END OF SCHOOL YEAR DATABASE OF TVL BY SPECIALIZATION (COMPLETERS/GRADUATES)</t>
  </si>
  <si>
    <t>SY 2023-2024</t>
  </si>
  <si>
    <t>Based on official cut-off date of EOSY as of August 16, 2024</t>
  </si>
  <si>
    <t>Grade 11</t>
  </si>
  <si>
    <t>Grade 12</t>
  </si>
  <si>
    <t>Grand Total</t>
  </si>
  <si>
    <t>Male</t>
  </si>
  <si>
    <t>Female</t>
  </si>
  <si>
    <t>Total</t>
  </si>
  <si>
    <t>Region</t>
  </si>
  <si>
    <t>Division</t>
  </si>
  <si>
    <t>District</t>
  </si>
  <si>
    <t>School ID</t>
  </si>
  <si>
    <t>School Name</t>
  </si>
  <si>
    <t>Sector</t>
  </si>
  <si>
    <t>Curricular Class</t>
  </si>
  <si>
    <t>Program Offering/Specialization</t>
  </si>
  <si>
    <t>Grade 11 Male - Completer</t>
  </si>
  <si>
    <t>Grade 11 Female - Completer</t>
  </si>
  <si>
    <t>Grade 12 Male - Completer</t>
  </si>
  <si>
    <t>Grade 12 Female - Completer</t>
  </si>
  <si>
    <t>Region XI</t>
  </si>
  <si>
    <t>Public</t>
  </si>
  <si>
    <t>Grade 7-10 &amp; Grade 11-12</t>
  </si>
  <si>
    <t>Shielded Metal Arc Welding (NC I), Shielded Metal Arc Welding (NC II)</t>
  </si>
  <si>
    <t>Computer System Servicing (NC II)</t>
  </si>
  <si>
    <t>Shielded Metal Arc Welding (NC II),Shielded Metal Arc Welding (NC I)</t>
  </si>
  <si>
    <t>Housekeeping (NC II)</t>
  </si>
  <si>
    <t>Front Office Services (NC II)</t>
  </si>
  <si>
    <t>Computer Hardware Servicing (NC II), Computer Programming (NC IV)</t>
  </si>
  <si>
    <t>Private</t>
  </si>
  <si>
    <t>Grade 11-12</t>
  </si>
  <si>
    <t>Food and Beverage Services (NC II)</t>
  </si>
  <si>
    <t>Cookery (NC II)</t>
  </si>
  <si>
    <t>Bread and Pastry Production (NC II), Cookery (NC II), Food and Beverage Services (NC II)</t>
  </si>
  <si>
    <t>Horticulture (NC II)</t>
  </si>
  <si>
    <t>Electrical Installation and Maintenance (NC II)</t>
  </si>
  <si>
    <t>Automotive Servicing (NC I)</t>
  </si>
  <si>
    <t>Motorcycle/ Small Engine Servicing (NC II)</t>
  </si>
  <si>
    <t>Mati City</t>
  </si>
  <si>
    <t>Mati Central</t>
  </si>
  <si>
    <t>Mati National Comprehensive High School</t>
  </si>
  <si>
    <t>Local Guiding Services (NC II), Tourism Promotion Services (NC II), Travel Services (NC II), Wellness Massage (NC II)</t>
  </si>
  <si>
    <t>MATI SCHOOL OF ARTS &amp; TRADES</t>
  </si>
  <si>
    <t>Beauty/ Nail Care (NC II), Hairdressing (NC II), Wellness Massage (NC II)</t>
  </si>
  <si>
    <t>Dressmaking (NC II), Tailoring (NC II)</t>
  </si>
  <si>
    <t>Driving (NC II)</t>
  </si>
  <si>
    <t>Mati Polytechnic College</t>
  </si>
  <si>
    <t>Don Bosco Training Center-Mati, Inc.</t>
  </si>
  <si>
    <t>Animal Production (NC II)</t>
  </si>
  <si>
    <t>Carpentry (NC II)</t>
  </si>
  <si>
    <t>Automotive Servicing (NC II)</t>
  </si>
  <si>
    <t>Animal Production (Poultry-Chicken) (NC II)</t>
  </si>
  <si>
    <t>Christian Academy in Davao Oriental Technological Colleges, Inc.</t>
  </si>
  <si>
    <t>Kinder, Grade 1-6  &amp; Grade 11-12</t>
  </si>
  <si>
    <t>Computer Programming (.Net Technology) (NC III),Computer Programming (Java) (NC III)</t>
  </si>
  <si>
    <t>Career Centre Academie and Technological Institute, Inc.</t>
  </si>
  <si>
    <t>Beauty/ Nail Care (NC II)</t>
  </si>
  <si>
    <t>Dressmaking (NC II)</t>
  </si>
  <si>
    <t>Hairdressing (NC II),Hairdressing (NC III)</t>
  </si>
  <si>
    <t>Dvo. Oriental Institute of Technology, Inc.</t>
  </si>
  <si>
    <t>Mati North</t>
  </si>
  <si>
    <t>Taguibo Agri. Voc. High School</t>
  </si>
  <si>
    <t>Don Salvador Lopez NHS</t>
  </si>
  <si>
    <t>Lawigan National High School</t>
  </si>
  <si>
    <t>Mayo NHS</t>
  </si>
  <si>
    <t>Food (Fish) Processing (NC II)</t>
  </si>
  <si>
    <t>Mati Doctors Academy</t>
  </si>
  <si>
    <t>Kinder, Grade 1-6, Grade 7-10 &amp; Grade 11-12 attached to Tertiary</t>
  </si>
  <si>
    <t>Mati South</t>
  </si>
  <si>
    <t>Dawan NHS</t>
  </si>
  <si>
    <t>Sanghay National High School</t>
  </si>
  <si>
    <t>Agricultural Crops Production (NC I),Agricultural Crops Production (NC III),Agricultural Crops Production (NC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</si>
</sst>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44D7-E040-4A56-94AF-51648C96BCCC}">
  <dimension ref="A1:O46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7" max="7" width="58.85546875" hidden="1" customWidth="1"/>
    <col min="8" max="8" width="55.42578125" customWidth="1"/>
  </cols>
  <sheetData>
    <row r="1" spans="1:15" x14ac:dyDescent="0.25">
      <c r="A1" s="1" t="s">
        <v>0</v>
      </c>
    </row>
    <row r="2" spans="1:15" x14ac:dyDescent="0.25">
      <c r="A2" s="1" t="s">
        <v>1</v>
      </c>
    </row>
    <row r="3" spans="1:15" x14ac:dyDescent="0.25">
      <c r="A3" s="1" t="s">
        <v>2</v>
      </c>
    </row>
    <row r="5" spans="1:15" x14ac:dyDescent="0.25">
      <c r="I5" s="2" t="s">
        <v>3</v>
      </c>
      <c r="J5" s="2"/>
      <c r="K5" s="2" t="s">
        <v>4</v>
      </c>
      <c r="L5" s="2"/>
      <c r="M5" s="2" t="s">
        <v>5</v>
      </c>
      <c r="N5" s="2"/>
      <c r="O5" s="2"/>
    </row>
    <row r="6" spans="1:15" x14ac:dyDescent="0.25">
      <c r="I6" s="3" t="s">
        <v>6</v>
      </c>
      <c r="J6" s="3" t="s">
        <v>7</v>
      </c>
      <c r="K6" s="3" t="s">
        <v>6</v>
      </c>
      <c r="L6" s="3" t="s">
        <v>7</v>
      </c>
      <c r="M6" s="3" t="s">
        <v>6</v>
      </c>
      <c r="N6" s="3" t="s">
        <v>7</v>
      </c>
      <c r="O6" s="3" t="s">
        <v>8</v>
      </c>
    </row>
    <row r="7" spans="1:15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  <c r="K7" s="1" t="s">
        <v>19</v>
      </c>
      <c r="L7" s="1" t="s">
        <v>20</v>
      </c>
      <c r="M7" s="1" t="s">
        <v>6</v>
      </c>
      <c r="N7" s="1" t="s">
        <v>7</v>
      </c>
      <c r="O7" s="1" t="s">
        <v>8</v>
      </c>
    </row>
    <row r="8" spans="1:15" x14ac:dyDescent="0.25">
      <c r="A8" t="s">
        <v>21</v>
      </c>
      <c r="B8" t="s">
        <v>39</v>
      </c>
      <c r="C8" t="s">
        <v>40</v>
      </c>
      <c r="D8">
        <v>304325</v>
      </c>
      <c r="E8" t="s">
        <v>41</v>
      </c>
      <c r="F8" t="s">
        <v>22</v>
      </c>
      <c r="G8" t="s">
        <v>23</v>
      </c>
      <c r="H8" t="s">
        <v>37</v>
      </c>
      <c r="I8">
        <v>135</v>
      </c>
      <c r="J8">
        <v>2</v>
      </c>
      <c r="K8">
        <v>128</v>
      </c>
      <c r="L8">
        <v>14</v>
      </c>
      <c r="M8" s="4">
        <f>I8+K8</f>
        <v>263</v>
      </c>
      <c r="N8" s="4">
        <f>J8+L8</f>
        <v>16</v>
      </c>
      <c r="O8">
        <f>SUM(M8:N8)</f>
        <v>279</v>
      </c>
    </row>
    <row r="9" spans="1:15" x14ac:dyDescent="0.25">
      <c r="A9" t="s">
        <v>21</v>
      </c>
      <c r="B9" t="s">
        <v>39</v>
      </c>
      <c r="C9" t="s">
        <v>40</v>
      </c>
      <c r="D9">
        <v>304325</v>
      </c>
      <c r="E9" t="s">
        <v>41</v>
      </c>
      <c r="F9" t="s">
        <v>22</v>
      </c>
      <c r="G9" t="s">
        <v>23</v>
      </c>
      <c r="H9" t="s">
        <v>34</v>
      </c>
      <c r="I9">
        <v>35</v>
      </c>
      <c r="J9">
        <v>107</v>
      </c>
      <c r="K9">
        <v>35</v>
      </c>
      <c r="L9">
        <v>104</v>
      </c>
      <c r="M9" s="4">
        <f>I9+K9</f>
        <v>70</v>
      </c>
      <c r="N9" s="4">
        <f>J9+L9</f>
        <v>211</v>
      </c>
      <c r="O9">
        <f>SUM(M9:N9)</f>
        <v>281</v>
      </c>
    </row>
    <row r="10" spans="1:15" x14ac:dyDescent="0.25">
      <c r="A10" t="s">
        <v>21</v>
      </c>
      <c r="B10" t="s">
        <v>39</v>
      </c>
      <c r="C10" t="s">
        <v>40</v>
      </c>
      <c r="D10">
        <v>304325</v>
      </c>
      <c r="E10" t="s">
        <v>41</v>
      </c>
      <c r="F10" t="s">
        <v>22</v>
      </c>
      <c r="G10" t="s">
        <v>23</v>
      </c>
      <c r="H10" t="s">
        <v>29</v>
      </c>
      <c r="I10">
        <v>63</v>
      </c>
      <c r="J10">
        <v>25</v>
      </c>
      <c r="K10">
        <v>69</v>
      </c>
      <c r="L10">
        <v>42</v>
      </c>
      <c r="M10" s="4">
        <f>I10+K10</f>
        <v>132</v>
      </c>
      <c r="N10" s="4">
        <f>J10+L10</f>
        <v>67</v>
      </c>
      <c r="O10">
        <f>SUM(M10:N10)</f>
        <v>199</v>
      </c>
    </row>
    <row r="11" spans="1:15" x14ac:dyDescent="0.25">
      <c r="A11" t="s">
        <v>21</v>
      </c>
      <c r="B11" t="s">
        <v>39</v>
      </c>
      <c r="C11" t="s">
        <v>40</v>
      </c>
      <c r="D11">
        <v>304325</v>
      </c>
      <c r="E11" t="s">
        <v>41</v>
      </c>
      <c r="F11" t="s">
        <v>22</v>
      </c>
      <c r="G11" t="s">
        <v>23</v>
      </c>
      <c r="H11" t="s">
        <v>42</v>
      </c>
      <c r="I11">
        <v>6</v>
      </c>
      <c r="J11">
        <v>42</v>
      </c>
      <c r="K11">
        <v>11</v>
      </c>
      <c r="L11">
        <v>34</v>
      </c>
      <c r="M11" s="4">
        <f>I11+K11</f>
        <v>17</v>
      </c>
      <c r="N11" s="4">
        <f>J11+L11</f>
        <v>76</v>
      </c>
      <c r="O11">
        <f>SUM(M11:N11)</f>
        <v>93</v>
      </c>
    </row>
    <row r="12" spans="1:15" x14ac:dyDescent="0.25">
      <c r="A12" t="s">
        <v>21</v>
      </c>
      <c r="B12" t="s">
        <v>39</v>
      </c>
      <c r="C12" t="s">
        <v>40</v>
      </c>
      <c r="D12">
        <v>304326</v>
      </c>
      <c r="E12" t="s">
        <v>43</v>
      </c>
      <c r="F12" t="s">
        <v>22</v>
      </c>
      <c r="G12" t="s">
        <v>23</v>
      </c>
      <c r="H12" t="s">
        <v>37</v>
      </c>
      <c r="I12">
        <v>49</v>
      </c>
      <c r="J12">
        <v>1</v>
      </c>
      <c r="K12">
        <v>42</v>
      </c>
      <c r="L12">
        <v>4</v>
      </c>
      <c r="M12" s="4">
        <f>I12+K12</f>
        <v>91</v>
      </c>
      <c r="N12" s="4">
        <f>J12+L12</f>
        <v>5</v>
      </c>
      <c r="O12">
        <f>SUM(M12:N12)</f>
        <v>96</v>
      </c>
    </row>
    <row r="13" spans="1:15" x14ac:dyDescent="0.25">
      <c r="A13" t="s">
        <v>21</v>
      </c>
      <c r="B13" t="s">
        <v>39</v>
      </c>
      <c r="C13" t="s">
        <v>40</v>
      </c>
      <c r="D13">
        <v>304326</v>
      </c>
      <c r="E13" t="s">
        <v>43</v>
      </c>
      <c r="F13" t="s">
        <v>22</v>
      </c>
      <c r="G13" t="s">
        <v>23</v>
      </c>
      <c r="H13" t="s">
        <v>44</v>
      </c>
      <c r="I13">
        <v>1</v>
      </c>
      <c r="J13">
        <v>20</v>
      </c>
      <c r="K13">
        <v>2</v>
      </c>
      <c r="L13">
        <v>44</v>
      </c>
      <c r="M13" s="4">
        <f>I13+K13</f>
        <v>3</v>
      </c>
      <c r="N13" s="4">
        <f>J13+L13</f>
        <v>64</v>
      </c>
      <c r="O13">
        <f>SUM(M13:N13)</f>
        <v>67</v>
      </c>
    </row>
    <row r="14" spans="1:15" x14ac:dyDescent="0.25">
      <c r="A14" t="s">
        <v>21</v>
      </c>
      <c r="B14" t="s">
        <v>39</v>
      </c>
      <c r="C14" t="s">
        <v>40</v>
      </c>
      <c r="D14">
        <v>304326</v>
      </c>
      <c r="E14" t="s">
        <v>43</v>
      </c>
      <c r="F14" t="s">
        <v>22</v>
      </c>
      <c r="G14" t="s">
        <v>23</v>
      </c>
      <c r="H14" t="s">
        <v>34</v>
      </c>
      <c r="I14">
        <v>4</v>
      </c>
      <c r="J14">
        <v>18</v>
      </c>
      <c r="K14">
        <v>7</v>
      </c>
      <c r="L14">
        <v>36</v>
      </c>
      <c r="M14" s="4">
        <f>I14+K14</f>
        <v>11</v>
      </c>
      <c r="N14" s="4">
        <f>J14+L14</f>
        <v>54</v>
      </c>
      <c r="O14">
        <f>SUM(M14:N14)</f>
        <v>65</v>
      </c>
    </row>
    <row r="15" spans="1:15" x14ac:dyDescent="0.25">
      <c r="A15" t="s">
        <v>21</v>
      </c>
      <c r="B15" t="s">
        <v>39</v>
      </c>
      <c r="C15" t="s">
        <v>40</v>
      </c>
      <c r="D15">
        <v>304326</v>
      </c>
      <c r="E15" t="s">
        <v>43</v>
      </c>
      <c r="F15" t="s">
        <v>22</v>
      </c>
      <c r="G15" t="s">
        <v>23</v>
      </c>
      <c r="H15" t="s">
        <v>45</v>
      </c>
      <c r="I15">
        <v>0</v>
      </c>
      <c r="J15">
        <v>11</v>
      </c>
      <c r="K15">
        <v>0</v>
      </c>
      <c r="L15">
        <v>18</v>
      </c>
      <c r="M15" s="4">
        <f>I15+K15</f>
        <v>0</v>
      </c>
      <c r="N15" s="4">
        <f>J15+L15</f>
        <v>29</v>
      </c>
      <c r="O15">
        <f>SUM(M15:N15)</f>
        <v>29</v>
      </c>
    </row>
    <row r="16" spans="1:15" x14ac:dyDescent="0.25">
      <c r="A16" t="s">
        <v>21</v>
      </c>
      <c r="B16" t="s">
        <v>39</v>
      </c>
      <c r="C16" t="s">
        <v>40</v>
      </c>
      <c r="D16">
        <v>304326</v>
      </c>
      <c r="E16" t="s">
        <v>43</v>
      </c>
      <c r="F16" t="s">
        <v>22</v>
      </c>
      <c r="G16" t="s">
        <v>23</v>
      </c>
      <c r="H16" t="s">
        <v>36</v>
      </c>
      <c r="I16">
        <v>21</v>
      </c>
      <c r="J16">
        <v>1</v>
      </c>
      <c r="K16">
        <v>33</v>
      </c>
      <c r="L16">
        <v>0</v>
      </c>
      <c r="M16" s="4">
        <f>I16+K16</f>
        <v>54</v>
      </c>
      <c r="N16" s="4">
        <f>J16+L16</f>
        <v>1</v>
      </c>
      <c r="O16">
        <f>SUM(M16:N16)</f>
        <v>55</v>
      </c>
    </row>
    <row r="17" spans="1:15" x14ac:dyDescent="0.25">
      <c r="A17" t="s">
        <v>21</v>
      </c>
      <c r="B17" t="s">
        <v>39</v>
      </c>
      <c r="C17" t="s">
        <v>40</v>
      </c>
      <c r="D17">
        <v>304326</v>
      </c>
      <c r="E17" t="s">
        <v>43</v>
      </c>
      <c r="F17" t="s">
        <v>22</v>
      </c>
      <c r="G17" t="s">
        <v>23</v>
      </c>
      <c r="H17" t="s">
        <v>24</v>
      </c>
      <c r="I17">
        <v>10</v>
      </c>
      <c r="J17">
        <v>5</v>
      </c>
      <c r="K17">
        <v>23</v>
      </c>
      <c r="L17">
        <v>5</v>
      </c>
      <c r="M17" s="4">
        <f>I17+K17</f>
        <v>33</v>
      </c>
      <c r="N17" s="4">
        <f>J17+L17</f>
        <v>10</v>
      </c>
      <c r="O17">
        <f>SUM(M17:N17)</f>
        <v>43</v>
      </c>
    </row>
    <row r="18" spans="1:15" x14ac:dyDescent="0.25">
      <c r="A18" t="s">
        <v>21</v>
      </c>
      <c r="B18" t="s">
        <v>39</v>
      </c>
      <c r="C18" t="s">
        <v>40</v>
      </c>
      <c r="D18">
        <v>304326</v>
      </c>
      <c r="E18" t="s">
        <v>43</v>
      </c>
      <c r="F18" t="s">
        <v>22</v>
      </c>
      <c r="G18" t="s">
        <v>23</v>
      </c>
      <c r="H18" t="s">
        <v>46</v>
      </c>
      <c r="I18">
        <v>0</v>
      </c>
      <c r="J18">
        <v>0</v>
      </c>
      <c r="K18">
        <v>34</v>
      </c>
      <c r="L18">
        <v>12</v>
      </c>
      <c r="M18" s="4">
        <f>I18+K18</f>
        <v>34</v>
      </c>
      <c r="N18" s="4">
        <f>J18+L18</f>
        <v>12</v>
      </c>
      <c r="O18">
        <f>SUM(M18:N18)</f>
        <v>46</v>
      </c>
    </row>
    <row r="19" spans="1:15" x14ac:dyDescent="0.25">
      <c r="A19" t="s">
        <v>21</v>
      </c>
      <c r="B19" t="s">
        <v>39</v>
      </c>
      <c r="C19" t="s">
        <v>40</v>
      </c>
      <c r="D19">
        <v>304326</v>
      </c>
      <c r="E19" t="s">
        <v>43</v>
      </c>
      <c r="F19" t="s">
        <v>22</v>
      </c>
      <c r="G19" t="s">
        <v>23</v>
      </c>
      <c r="H19" t="s">
        <v>38</v>
      </c>
      <c r="I19">
        <v>42</v>
      </c>
      <c r="J19">
        <v>5</v>
      </c>
      <c r="K19">
        <v>0</v>
      </c>
      <c r="L19">
        <v>0</v>
      </c>
      <c r="M19" s="4">
        <f>I19+K19</f>
        <v>42</v>
      </c>
      <c r="N19" s="4">
        <f>J19+L19</f>
        <v>5</v>
      </c>
      <c r="O19">
        <f>SUM(M19:N19)</f>
        <v>47</v>
      </c>
    </row>
    <row r="20" spans="1:15" x14ac:dyDescent="0.25">
      <c r="A20" t="s">
        <v>21</v>
      </c>
      <c r="B20" t="s">
        <v>39</v>
      </c>
      <c r="C20" t="s">
        <v>40</v>
      </c>
      <c r="D20">
        <v>405424</v>
      </c>
      <c r="E20" t="s">
        <v>47</v>
      </c>
      <c r="F20" t="s">
        <v>30</v>
      </c>
      <c r="G20" t="s">
        <v>23</v>
      </c>
      <c r="H20" t="s">
        <v>33</v>
      </c>
      <c r="I20">
        <v>7</v>
      </c>
      <c r="J20">
        <v>3</v>
      </c>
      <c r="K20">
        <v>0</v>
      </c>
      <c r="L20">
        <v>0</v>
      </c>
      <c r="M20" s="4">
        <f>I20+K20</f>
        <v>7</v>
      </c>
      <c r="N20" s="4">
        <f>J20+L20</f>
        <v>3</v>
      </c>
      <c r="O20">
        <f>SUM(M20:N20)</f>
        <v>10</v>
      </c>
    </row>
    <row r="21" spans="1:15" x14ac:dyDescent="0.25">
      <c r="A21" t="s">
        <v>21</v>
      </c>
      <c r="B21" t="s">
        <v>39</v>
      </c>
      <c r="C21" t="s">
        <v>40</v>
      </c>
      <c r="D21">
        <v>405424</v>
      </c>
      <c r="E21" t="s">
        <v>47</v>
      </c>
      <c r="F21" t="s">
        <v>30</v>
      </c>
      <c r="G21" t="s">
        <v>23</v>
      </c>
      <c r="H21" t="s">
        <v>32</v>
      </c>
      <c r="M21" s="4">
        <f>I21+K21</f>
        <v>0</v>
      </c>
      <c r="N21" s="4">
        <f>J21+L21</f>
        <v>0</v>
      </c>
      <c r="O21">
        <f>SUM(M21:N21)</f>
        <v>0</v>
      </c>
    </row>
    <row r="22" spans="1:15" x14ac:dyDescent="0.25">
      <c r="A22" t="s">
        <v>21</v>
      </c>
      <c r="B22" t="s">
        <v>39</v>
      </c>
      <c r="C22" t="s">
        <v>40</v>
      </c>
      <c r="D22">
        <v>405424</v>
      </c>
      <c r="E22" t="s">
        <v>47</v>
      </c>
      <c r="F22" t="s">
        <v>30</v>
      </c>
      <c r="G22" t="s">
        <v>23</v>
      </c>
      <c r="H22" t="s">
        <v>27</v>
      </c>
      <c r="I22">
        <v>0</v>
      </c>
      <c r="J22">
        <v>0</v>
      </c>
      <c r="K22">
        <v>2</v>
      </c>
      <c r="L22">
        <v>4</v>
      </c>
      <c r="M22" s="4">
        <f>I22+K22</f>
        <v>2</v>
      </c>
      <c r="N22" s="4">
        <f>J22+L22</f>
        <v>4</v>
      </c>
      <c r="O22">
        <f>SUM(M22:N22)</f>
        <v>6</v>
      </c>
    </row>
    <row r="23" spans="1:15" x14ac:dyDescent="0.25">
      <c r="A23" t="s">
        <v>21</v>
      </c>
      <c r="B23" t="s">
        <v>39</v>
      </c>
      <c r="C23" t="s">
        <v>40</v>
      </c>
      <c r="D23">
        <v>405812</v>
      </c>
      <c r="E23" t="s">
        <v>48</v>
      </c>
      <c r="F23" t="s">
        <v>30</v>
      </c>
      <c r="G23" t="s">
        <v>31</v>
      </c>
      <c r="H23" t="s">
        <v>49</v>
      </c>
      <c r="I23">
        <v>0</v>
      </c>
      <c r="J23">
        <v>8</v>
      </c>
      <c r="K23">
        <v>0</v>
      </c>
      <c r="L23">
        <v>0</v>
      </c>
      <c r="M23" s="4">
        <f>I23+K23</f>
        <v>0</v>
      </c>
      <c r="N23" s="4">
        <f>J23+L23</f>
        <v>8</v>
      </c>
      <c r="O23">
        <f>SUM(M23:N23)</f>
        <v>8</v>
      </c>
    </row>
    <row r="24" spans="1:15" x14ac:dyDescent="0.25">
      <c r="A24" t="s">
        <v>21</v>
      </c>
      <c r="B24" t="s">
        <v>39</v>
      </c>
      <c r="C24" t="s">
        <v>40</v>
      </c>
      <c r="D24">
        <v>405812</v>
      </c>
      <c r="E24" t="s">
        <v>48</v>
      </c>
      <c r="F24" t="s">
        <v>30</v>
      </c>
      <c r="G24" t="s">
        <v>31</v>
      </c>
      <c r="H24" t="s">
        <v>50</v>
      </c>
      <c r="I24">
        <v>0</v>
      </c>
      <c r="J24">
        <v>0</v>
      </c>
      <c r="K24">
        <v>7</v>
      </c>
      <c r="L24">
        <v>2</v>
      </c>
      <c r="M24" s="4">
        <f>I24+K24</f>
        <v>7</v>
      </c>
      <c r="N24" s="4">
        <f>J24+L24</f>
        <v>2</v>
      </c>
      <c r="O24">
        <f>SUM(M24:N24)</f>
        <v>9</v>
      </c>
    </row>
    <row r="25" spans="1:15" x14ac:dyDescent="0.25">
      <c r="A25" t="s">
        <v>21</v>
      </c>
      <c r="B25" t="s">
        <v>39</v>
      </c>
      <c r="C25" t="s">
        <v>40</v>
      </c>
      <c r="D25">
        <v>405812</v>
      </c>
      <c r="E25" t="s">
        <v>48</v>
      </c>
      <c r="F25" t="s">
        <v>30</v>
      </c>
      <c r="G25" t="s">
        <v>31</v>
      </c>
      <c r="H25" t="s">
        <v>38</v>
      </c>
      <c r="I25">
        <v>25</v>
      </c>
      <c r="J25">
        <v>5</v>
      </c>
      <c r="K25">
        <v>0</v>
      </c>
      <c r="L25">
        <v>0</v>
      </c>
      <c r="M25" s="4">
        <f>I25+K25</f>
        <v>25</v>
      </c>
      <c r="N25" s="4">
        <f>J25+L25</f>
        <v>5</v>
      </c>
      <c r="O25">
        <f>SUM(M25:N25)</f>
        <v>30</v>
      </c>
    </row>
    <row r="26" spans="1:15" x14ac:dyDescent="0.25">
      <c r="A26" t="s">
        <v>21</v>
      </c>
      <c r="B26" t="s">
        <v>39</v>
      </c>
      <c r="C26" t="s">
        <v>40</v>
      </c>
      <c r="D26">
        <v>405812</v>
      </c>
      <c r="E26" t="s">
        <v>48</v>
      </c>
      <c r="F26" t="s">
        <v>30</v>
      </c>
      <c r="G26" t="s">
        <v>31</v>
      </c>
      <c r="H26" t="s">
        <v>51</v>
      </c>
      <c r="I26">
        <v>35</v>
      </c>
      <c r="J26">
        <v>3</v>
      </c>
      <c r="K26">
        <v>72</v>
      </c>
      <c r="L26">
        <v>11</v>
      </c>
      <c r="M26" s="4">
        <f>I26+K26</f>
        <v>107</v>
      </c>
      <c r="N26" s="4">
        <f>J26+L26</f>
        <v>14</v>
      </c>
      <c r="O26">
        <f>SUM(M26:N26)</f>
        <v>121</v>
      </c>
    </row>
    <row r="27" spans="1:15" x14ac:dyDescent="0.25">
      <c r="A27" t="s">
        <v>21</v>
      </c>
      <c r="B27" t="s">
        <v>39</v>
      </c>
      <c r="C27" t="s">
        <v>40</v>
      </c>
      <c r="D27">
        <v>405812</v>
      </c>
      <c r="E27" t="s">
        <v>48</v>
      </c>
      <c r="F27" t="s">
        <v>30</v>
      </c>
      <c r="G27" t="s">
        <v>31</v>
      </c>
      <c r="H27" t="s">
        <v>52</v>
      </c>
      <c r="I27">
        <v>0</v>
      </c>
      <c r="J27">
        <v>0</v>
      </c>
      <c r="K27">
        <v>0</v>
      </c>
      <c r="L27">
        <v>11</v>
      </c>
      <c r="M27" s="4">
        <f>I27+K27</f>
        <v>0</v>
      </c>
      <c r="N27" s="4">
        <f>J27+L27</f>
        <v>11</v>
      </c>
      <c r="O27">
        <f>SUM(M27:N27)</f>
        <v>11</v>
      </c>
    </row>
    <row r="28" spans="1:15" x14ac:dyDescent="0.25">
      <c r="A28" t="s">
        <v>21</v>
      </c>
      <c r="B28" t="s">
        <v>39</v>
      </c>
      <c r="C28" t="s">
        <v>40</v>
      </c>
      <c r="D28">
        <v>407899</v>
      </c>
      <c r="E28" t="s">
        <v>53</v>
      </c>
      <c r="F28" t="s">
        <v>30</v>
      </c>
      <c r="G28" t="s">
        <v>54</v>
      </c>
      <c r="H28" t="s">
        <v>25</v>
      </c>
      <c r="I28">
        <v>4</v>
      </c>
      <c r="J28">
        <v>2</v>
      </c>
      <c r="K28">
        <v>4</v>
      </c>
      <c r="L28">
        <v>9</v>
      </c>
      <c r="M28" s="4">
        <f>I28+K28</f>
        <v>8</v>
      </c>
      <c r="N28" s="4">
        <f>J28+L28</f>
        <v>11</v>
      </c>
      <c r="O28">
        <f>SUM(M28:N28)</f>
        <v>19</v>
      </c>
    </row>
    <row r="29" spans="1:15" x14ac:dyDescent="0.25">
      <c r="A29" t="s">
        <v>21</v>
      </c>
      <c r="B29" t="s">
        <v>39</v>
      </c>
      <c r="C29" t="s">
        <v>40</v>
      </c>
      <c r="D29">
        <v>407899</v>
      </c>
      <c r="E29" t="s">
        <v>53</v>
      </c>
      <c r="F29" t="s">
        <v>30</v>
      </c>
      <c r="G29" t="s">
        <v>54</v>
      </c>
      <c r="H29" t="s">
        <v>55</v>
      </c>
      <c r="M29" s="4">
        <f>I29+K29</f>
        <v>0</v>
      </c>
      <c r="N29" s="4">
        <f>J29+L29</f>
        <v>0</v>
      </c>
      <c r="O29">
        <f>SUM(M29:N29)</f>
        <v>0</v>
      </c>
    </row>
    <row r="30" spans="1:15" x14ac:dyDescent="0.25">
      <c r="A30" t="s">
        <v>21</v>
      </c>
      <c r="B30" t="s">
        <v>39</v>
      </c>
      <c r="C30" t="s">
        <v>40</v>
      </c>
      <c r="D30">
        <v>410494</v>
      </c>
      <c r="E30" t="s">
        <v>56</v>
      </c>
      <c r="F30" t="s">
        <v>30</v>
      </c>
      <c r="G30" t="s">
        <v>31</v>
      </c>
      <c r="H30" t="s">
        <v>57</v>
      </c>
      <c r="I30">
        <v>4</v>
      </c>
      <c r="J30">
        <v>5</v>
      </c>
      <c r="K30">
        <v>0</v>
      </c>
      <c r="L30">
        <v>0</v>
      </c>
      <c r="M30" s="4">
        <f>I30+K30</f>
        <v>4</v>
      </c>
      <c r="N30" s="4">
        <f>J30+L30</f>
        <v>5</v>
      </c>
      <c r="O30">
        <f>SUM(M30:N30)</f>
        <v>9</v>
      </c>
    </row>
    <row r="31" spans="1:15" x14ac:dyDescent="0.25">
      <c r="A31" t="s">
        <v>21</v>
      </c>
      <c r="B31" t="s">
        <v>39</v>
      </c>
      <c r="C31" t="s">
        <v>40</v>
      </c>
      <c r="D31">
        <v>410494</v>
      </c>
      <c r="E31" t="s">
        <v>56</v>
      </c>
      <c r="F31" t="s">
        <v>30</v>
      </c>
      <c r="G31" t="s">
        <v>31</v>
      </c>
      <c r="H31" t="s">
        <v>58</v>
      </c>
      <c r="I31">
        <v>4</v>
      </c>
      <c r="J31">
        <v>7</v>
      </c>
      <c r="K31">
        <v>0</v>
      </c>
      <c r="L31">
        <v>0</v>
      </c>
      <c r="M31" s="4">
        <f>I31+K31</f>
        <v>4</v>
      </c>
      <c r="N31" s="4">
        <f>J31+L31</f>
        <v>7</v>
      </c>
      <c r="O31">
        <f>SUM(M31:N31)</f>
        <v>11</v>
      </c>
    </row>
    <row r="32" spans="1:15" x14ac:dyDescent="0.25">
      <c r="A32" t="s">
        <v>21</v>
      </c>
      <c r="B32" t="s">
        <v>39</v>
      </c>
      <c r="C32" t="s">
        <v>40</v>
      </c>
      <c r="D32">
        <v>410494</v>
      </c>
      <c r="E32" t="s">
        <v>56</v>
      </c>
      <c r="F32" t="s">
        <v>30</v>
      </c>
      <c r="G32" t="s">
        <v>31</v>
      </c>
      <c r="H32" t="s">
        <v>59</v>
      </c>
      <c r="I32">
        <v>0</v>
      </c>
      <c r="J32">
        <v>0</v>
      </c>
      <c r="K32">
        <v>2</v>
      </c>
      <c r="L32">
        <v>4</v>
      </c>
      <c r="M32" s="4">
        <f>I32+K32</f>
        <v>2</v>
      </c>
      <c r="N32" s="4">
        <f>J32+L32</f>
        <v>4</v>
      </c>
      <c r="O32">
        <f>SUM(M32:N32)</f>
        <v>6</v>
      </c>
    </row>
    <row r="33" spans="1:15" x14ac:dyDescent="0.25">
      <c r="A33" t="s">
        <v>21</v>
      </c>
      <c r="B33" t="s">
        <v>39</v>
      </c>
      <c r="C33" t="s">
        <v>40</v>
      </c>
      <c r="D33">
        <v>410843</v>
      </c>
      <c r="E33" t="s">
        <v>60</v>
      </c>
      <c r="F33" t="s">
        <v>30</v>
      </c>
      <c r="G33" t="s">
        <v>31</v>
      </c>
      <c r="H33" t="s">
        <v>33</v>
      </c>
      <c r="I33">
        <v>45</v>
      </c>
      <c r="J33">
        <v>56</v>
      </c>
      <c r="K33">
        <v>0</v>
      </c>
      <c r="L33">
        <v>0</v>
      </c>
      <c r="M33" s="4">
        <f>I33+K33</f>
        <v>45</v>
      </c>
      <c r="N33" s="4">
        <f>J33+L33</f>
        <v>56</v>
      </c>
      <c r="O33">
        <f>SUM(M33:N33)</f>
        <v>101</v>
      </c>
    </row>
    <row r="34" spans="1:15" x14ac:dyDescent="0.25">
      <c r="A34" t="s">
        <v>21</v>
      </c>
      <c r="B34" t="s">
        <v>39</v>
      </c>
      <c r="C34" t="s">
        <v>61</v>
      </c>
      <c r="D34">
        <v>304338</v>
      </c>
      <c r="E34" t="s">
        <v>62</v>
      </c>
      <c r="F34" t="s">
        <v>22</v>
      </c>
      <c r="G34" t="s">
        <v>23</v>
      </c>
      <c r="H34" t="s">
        <v>35</v>
      </c>
      <c r="I34">
        <v>18</v>
      </c>
      <c r="J34">
        <v>9</v>
      </c>
      <c r="K34">
        <v>23</v>
      </c>
      <c r="L34">
        <v>13</v>
      </c>
      <c r="M34" s="4">
        <f>I34+K34</f>
        <v>41</v>
      </c>
      <c r="N34" s="4">
        <f>J34+L34</f>
        <v>22</v>
      </c>
      <c r="O34">
        <f>SUM(M34:N34)</f>
        <v>63</v>
      </c>
    </row>
    <row r="35" spans="1:15" x14ac:dyDescent="0.25">
      <c r="A35" t="s">
        <v>21</v>
      </c>
      <c r="B35" t="s">
        <v>39</v>
      </c>
      <c r="C35" t="s">
        <v>61</v>
      </c>
      <c r="D35">
        <v>316104</v>
      </c>
      <c r="E35" t="s">
        <v>63</v>
      </c>
      <c r="F35" t="s">
        <v>22</v>
      </c>
      <c r="G35" t="s">
        <v>23</v>
      </c>
      <c r="H35" t="s">
        <v>34</v>
      </c>
      <c r="I35">
        <v>3</v>
      </c>
      <c r="J35">
        <v>16</v>
      </c>
      <c r="K35">
        <v>4</v>
      </c>
      <c r="L35">
        <v>34</v>
      </c>
      <c r="M35" s="4">
        <f>I35+K35</f>
        <v>7</v>
      </c>
      <c r="N35" s="4">
        <f>J35+L35</f>
        <v>50</v>
      </c>
      <c r="O35">
        <f>SUM(M35:N35)</f>
        <v>57</v>
      </c>
    </row>
    <row r="36" spans="1:15" x14ac:dyDescent="0.25">
      <c r="A36" t="s">
        <v>21</v>
      </c>
      <c r="B36" t="s">
        <v>39</v>
      </c>
      <c r="C36" t="s">
        <v>61</v>
      </c>
      <c r="D36">
        <v>316104</v>
      </c>
      <c r="E36" t="s">
        <v>63</v>
      </c>
      <c r="F36" t="s">
        <v>22</v>
      </c>
      <c r="G36" t="s">
        <v>23</v>
      </c>
      <c r="H36" t="s">
        <v>50</v>
      </c>
      <c r="I36">
        <v>23</v>
      </c>
      <c r="J36">
        <v>9</v>
      </c>
      <c r="K36">
        <v>28</v>
      </c>
      <c r="L36">
        <v>3</v>
      </c>
      <c r="M36" s="4">
        <f>I36+K36</f>
        <v>51</v>
      </c>
      <c r="N36" s="4">
        <f>J36+L36</f>
        <v>12</v>
      </c>
      <c r="O36">
        <f>SUM(M36:N36)</f>
        <v>63</v>
      </c>
    </row>
    <row r="37" spans="1:15" x14ac:dyDescent="0.25">
      <c r="A37" t="s">
        <v>21</v>
      </c>
      <c r="B37" t="s">
        <v>39</v>
      </c>
      <c r="C37" t="s">
        <v>61</v>
      </c>
      <c r="D37">
        <v>325102</v>
      </c>
      <c r="E37" t="s">
        <v>64</v>
      </c>
      <c r="F37" t="s">
        <v>22</v>
      </c>
      <c r="G37" t="s">
        <v>23</v>
      </c>
      <c r="H37" t="s">
        <v>42</v>
      </c>
      <c r="I37">
        <v>30</v>
      </c>
      <c r="J37">
        <v>24</v>
      </c>
      <c r="K37">
        <v>44</v>
      </c>
      <c r="L37">
        <v>36</v>
      </c>
      <c r="M37" s="4">
        <f>I37+K37</f>
        <v>74</v>
      </c>
      <c r="N37" s="4">
        <f>J37+L37</f>
        <v>60</v>
      </c>
      <c r="O37">
        <f>SUM(M37:N37)</f>
        <v>134</v>
      </c>
    </row>
    <row r="38" spans="1:15" x14ac:dyDescent="0.25">
      <c r="A38" t="s">
        <v>21</v>
      </c>
      <c r="B38" t="s">
        <v>39</v>
      </c>
      <c r="C38" t="s">
        <v>61</v>
      </c>
      <c r="D38">
        <v>325106</v>
      </c>
      <c r="E38" t="s">
        <v>65</v>
      </c>
      <c r="F38" t="s">
        <v>22</v>
      </c>
      <c r="G38" t="s">
        <v>23</v>
      </c>
      <c r="H38" t="s">
        <v>66</v>
      </c>
      <c r="I38">
        <v>29</v>
      </c>
      <c r="J38">
        <v>44</v>
      </c>
      <c r="K38">
        <v>23</v>
      </c>
      <c r="L38">
        <v>38</v>
      </c>
      <c r="M38" s="4">
        <f>I38+K38</f>
        <v>52</v>
      </c>
      <c r="N38" s="4">
        <f>J38+L38</f>
        <v>82</v>
      </c>
      <c r="O38">
        <f>SUM(M38:N38)</f>
        <v>134</v>
      </c>
    </row>
    <row r="39" spans="1:15" x14ac:dyDescent="0.25">
      <c r="A39" t="s">
        <v>21</v>
      </c>
      <c r="B39" t="s">
        <v>39</v>
      </c>
      <c r="C39" t="s">
        <v>61</v>
      </c>
      <c r="D39">
        <v>465513</v>
      </c>
      <c r="E39" t="s">
        <v>67</v>
      </c>
      <c r="F39" t="s">
        <v>30</v>
      </c>
      <c r="G39" t="s">
        <v>68</v>
      </c>
      <c r="H39" t="s">
        <v>33</v>
      </c>
      <c r="I39">
        <v>11</v>
      </c>
      <c r="J39">
        <v>13</v>
      </c>
      <c r="K39">
        <v>0</v>
      </c>
      <c r="L39">
        <v>0</v>
      </c>
      <c r="M39" s="4">
        <f>I39+K39</f>
        <v>11</v>
      </c>
      <c r="N39" s="4">
        <f>J39+L39</f>
        <v>13</v>
      </c>
      <c r="O39">
        <f>SUM(M39:N39)</f>
        <v>24</v>
      </c>
    </row>
    <row r="40" spans="1:15" x14ac:dyDescent="0.25">
      <c r="A40" t="s">
        <v>21</v>
      </c>
      <c r="B40" t="s">
        <v>39</v>
      </c>
      <c r="C40" t="s">
        <v>61</v>
      </c>
      <c r="D40">
        <v>465513</v>
      </c>
      <c r="E40" t="s">
        <v>67</v>
      </c>
      <c r="F40" t="s">
        <v>30</v>
      </c>
      <c r="G40" t="s">
        <v>68</v>
      </c>
      <c r="H40" t="s">
        <v>32</v>
      </c>
      <c r="M40" s="4">
        <f>I40+K40</f>
        <v>0</v>
      </c>
      <c r="N40" s="4">
        <f>J40+L40</f>
        <v>0</v>
      </c>
      <c r="O40">
        <f>SUM(M40:N40)</f>
        <v>0</v>
      </c>
    </row>
    <row r="41" spans="1:15" x14ac:dyDescent="0.25">
      <c r="A41" t="s">
        <v>21</v>
      </c>
      <c r="B41" t="s">
        <v>39</v>
      </c>
      <c r="C41" t="s">
        <v>61</v>
      </c>
      <c r="D41">
        <v>465513</v>
      </c>
      <c r="E41" t="s">
        <v>67</v>
      </c>
      <c r="F41" t="s">
        <v>30</v>
      </c>
      <c r="G41" t="s">
        <v>68</v>
      </c>
      <c r="H41" t="s">
        <v>28</v>
      </c>
      <c r="M41" s="4">
        <f>I41+K41</f>
        <v>0</v>
      </c>
      <c r="N41" s="4">
        <f>J41+L41</f>
        <v>0</v>
      </c>
      <c r="O41">
        <f>SUM(M41:N41)</f>
        <v>0</v>
      </c>
    </row>
    <row r="42" spans="1:15" x14ac:dyDescent="0.25">
      <c r="A42" t="s">
        <v>21</v>
      </c>
      <c r="B42" t="s">
        <v>39</v>
      </c>
      <c r="C42" t="s">
        <v>61</v>
      </c>
      <c r="D42">
        <v>465513</v>
      </c>
      <c r="E42" t="s">
        <v>67</v>
      </c>
      <c r="F42" t="s">
        <v>30</v>
      </c>
      <c r="G42" t="s">
        <v>68</v>
      </c>
      <c r="H42" t="s">
        <v>27</v>
      </c>
      <c r="I42">
        <v>0</v>
      </c>
      <c r="J42">
        <v>0</v>
      </c>
      <c r="K42">
        <v>28</v>
      </c>
      <c r="L42">
        <v>22</v>
      </c>
      <c r="M42" s="4">
        <f>I42+K42</f>
        <v>28</v>
      </c>
      <c r="N42" s="4">
        <f>J42+L42</f>
        <v>22</v>
      </c>
      <c r="O42">
        <f>SUM(M42:N42)</f>
        <v>50</v>
      </c>
    </row>
    <row r="43" spans="1:15" x14ac:dyDescent="0.25">
      <c r="A43" t="s">
        <v>21</v>
      </c>
      <c r="B43" t="s">
        <v>39</v>
      </c>
      <c r="C43" t="s">
        <v>69</v>
      </c>
      <c r="D43">
        <v>304313</v>
      </c>
      <c r="E43" t="s">
        <v>70</v>
      </c>
      <c r="F43" t="s">
        <v>22</v>
      </c>
      <c r="G43" t="s">
        <v>23</v>
      </c>
      <c r="H43" t="s">
        <v>37</v>
      </c>
      <c r="I43">
        <v>27</v>
      </c>
      <c r="J43">
        <v>10</v>
      </c>
      <c r="K43">
        <v>36</v>
      </c>
      <c r="L43">
        <v>6</v>
      </c>
      <c r="M43" s="4">
        <f>I43+K43</f>
        <v>63</v>
      </c>
      <c r="N43" s="4">
        <f>J43+L43</f>
        <v>16</v>
      </c>
      <c r="O43">
        <f>SUM(M43:N43)</f>
        <v>79</v>
      </c>
    </row>
    <row r="44" spans="1:15" x14ac:dyDescent="0.25">
      <c r="A44" t="s">
        <v>21</v>
      </c>
      <c r="B44" t="s">
        <v>39</v>
      </c>
      <c r="C44" t="s">
        <v>40</v>
      </c>
      <c r="D44">
        <v>306039</v>
      </c>
      <c r="E44" t="s">
        <v>71</v>
      </c>
      <c r="F44" t="s">
        <v>22</v>
      </c>
      <c r="G44" t="s">
        <v>23</v>
      </c>
      <c r="H44" t="s">
        <v>72</v>
      </c>
      <c r="I44">
        <v>1</v>
      </c>
      <c r="J44">
        <v>8</v>
      </c>
      <c r="K44">
        <v>0</v>
      </c>
      <c r="L44">
        <v>0</v>
      </c>
      <c r="M44" s="4">
        <f>I44+K44</f>
        <v>1</v>
      </c>
      <c r="N44" s="4">
        <f>J44+L44</f>
        <v>8</v>
      </c>
      <c r="O44">
        <f>SUM(M44:N44)</f>
        <v>9</v>
      </c>
    </row>
    <row r="45" spans="1:15" x14ac:dyDescent="0.25">
      <c r="A45" t="s">
        <v>21</v>
      </c>
      <c r="B45" t="s">
        <v>39</v>
      </c>
      <c r="C45" t="s">
        <v>40</v>
      </c>
      <c r="D45">
        <v>306039</v>
      </c>
      <c r="E45" t="s">
        <v>71</v>
      </c>
      <c r="F45" t="s">
        <v>22</v>
      </c>
      <c r="G45" t="s">
        <v>23</v>
      </c>
      <c r="H45" t="s">
        <v>52</v>
      </c>
      <c r="I45">
        <v>0</v>
      </c>
      <c r="J45">
        <v>0</v>
      </c>
      <c r="K45">
        <v>1</v>
      </c>
      <c r="L45">
        <v>8</v>
      </c>
      <c r="M45" s="4">
        <f>I45+K45</f>
        <v>1</v>
      </c>
      <c r="N45" s="4">
        <f>J45+L45</f>
        <v>8</v>
      </c>
      <c r="O45">
        <f>SUM(M45:N45)</f>
        <v>9</v>
      </c>
    </row>
    <row r="46" spans="1:15" x14ac:dyDescent="0.25">
      <c r="A46" t="s">
        <v>21</v>
      </c>
      <c r="B46" t="s">
        <v>39</v>
      </c>
      <c r="C46" t="s">
        <v>40</v>
      </c>
      <c r="D46">
        <v>306039</v>
      </c>
      <c r="E46" t="s">
        <v>71</v>
      </c>
      <c r="F46" t="s">
        <v>22</v>
      </c>
      <c r="G46" t="s">
        <v>23</v>
      </c>
      <c r="H46" t="s">
        <v>26</v>
      </c>
      <c r="I46">
        <v>7</v>
      </c>
      <c r="J46">
        <v>3</v>
      </c>
      <c r="K46">
        <v>10</v>
      </c>
      <c r="L46">
        <v>3</v>
      </c>
      <c r="M46" s="4">
        <f>I46+K46</f>
        <v>17</v>
      </c>
      <c r="N46" s="4">
        <f>J46+L46</f>
        <v>6</v>
      </c>
      <c r="O46">
        <f>SUM(M46:N46)</f>
        <v>23</v>
      </c>
    </row>
  </sheetData>
  <autoFilter ref="A7:L46" xr:uid="{00000000-0001-0000-0000-000000000000}"/>
  <mergeCells count="3">
    <mergeCell ref="I5:J5"/>
    <mergeCell ref="K5:L5"/>
    <mergeCell ref="M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TVL 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2024-09-27T07:12:15Z</dcterms:created>
  <dcterms:modified xsi:type="dcterms:W3CDTF">2024-09-27T07:13:06Z</dcterms:modified>
</cp:coreProperties>
</file>