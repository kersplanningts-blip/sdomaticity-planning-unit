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3-2024/NSBI 2023-2024/"/>
    </mc:Choice>
  </mc:AlternateContent>
  <xr:revisionPtr revIDLastSave="96" documentId="8_{1B08D717-85BD-4DC8-9739-DBB992761941}" xr6:coauthVersionLast="47" xr6:coauthVersionMax="47" xr10:uidLastSave="{AA0E1B0F-BB23-4779-BAAE-5DC3B01543AA}"/>
  <bookViews>
    <workbookView xWindow="-105" yWindow="0" windowWidth="20430" windowHeight="15585" xr2:uid="{147A59C9-E278-4452-BF3A-1BD181D9ACA3}"/>
  </bookViews>
  <sheets>
    <sheet name="DB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9" i="1" l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" i="1"/>
</calcChain>
</file>

<file path=xl/sharedStrings.xml><?xml version="1.0" encoding="utf-8"?>
<sst xmlns="http://schemas.openxmlformats.org/spreadsheetml/2006/main" count="485" uniqueCount="109">
  <si>
    <t>TABLE 5 - NUMBER OF EXISTING FURNITURES</t>
  </si>
  <si>
    <t>SY 2023-2024</t>
  </si>
  <si>
    <t>List of Schools is based on LIS, as of January 31, 2024</t>
  </si>
  <si>
    <t>Based on NSBI, generated as of July 28, 2024</t>
  </si>
  <si>
    <t>Kinder Modular Table</t>
  </si>
  <si>
    <t>Kinder Chair</t>
  </si>
  <si>
    <t>Arm Chair</t>
  </si>
  <si>
    <t>School Desk</t>
  </si>
  <si>
    <t>Other Classroom Table</t>
  </si>
  <si>
    <t>Other Classroom Chair</t>
  </si>
  <si>
    <t>DepEd New Design 2-Seater Table &amp; Chair (ES)</t>
  </si>
  <si>
    <t>DepEd New Design 2-Seater Table &amp; Chair (JHS)</t>
  </si>
  <si>
    <t>DepEd New Design 2-Seater Table &amp; Chair (SHS)</t>
  </si>
  <si>
    <t>Region</t>
  </si>
  <si>
    <t>Division</t>
  </si>
  <si>
    <t>District</t>
  </si>
  <si>
    <t>LIS SCHOOL ID</t>
  </si>
  <si>
    <t>NSBI SCHOOL ID</t>
  </si>
  <si>
    <t>Remarks</t>
  </si>
  <si>
    <t>School Name</t>
  </si>
  <si>
    <t>Modified COC</t>
  </si>
  <si>
    <t>NSBI COC</t>
  </si>
  <si>
    <t>ES</t>
  </si>
  <si>
    <t>JHS</t>
  </si>
  <si>
    <t>SHS</t>
  </si>
  <si>
    <t>Total Chairs</t>
  </si>
  <si>
    <t>Total Enrollment</t>
  </si>
  <si>
    <t>SEAT-LEARNER RATIO</t>
  </si>
  <si>
    <t>Region XI</t>
  </si>
  <si>
    <t>Mati City</t>
  </si>
  <si>
    <t>Mati Central</t>
  </si>
  <si>
    <t>Badas ES</t>
  </si>
  <si>
    <t>Purely ES</t>
  </si>
  <si>
    <t>Baso ES</t>
  </si>
  <si>
    <t>Belsonda ES</t>
  </si>
  <si>
    <t>Bagong Lipunan Improvement Site and Services Elementary School</t>
  </si>
  <si>
    <t>Rabat-Rocamora Mati CES I</t>
  </si>
  <si>
    <t>Rabat-Rocamora Mati CES II</t>
  </si>
  <si>
    <t>Mayor Luisito G. Rabat MS</t>
  </si>
  <si>
    <t>Mayor Santiago Garcia MS</t>
  </si>
  <si>
    <t>Sudlon Elementary School</t>
  </si>
  <si>
    <t>Tagawisan ES</t>
  </si>
  <si>
    <t>Onotan Daganio Tagbobolo ES</t>
  </si>
  <si>
    <t>Rabat Rocamora Mati Central School SPED Center</t>
  </si>
  <si>
    <t>Mati National Comprehensive High School</t>
  </si>
  <si>
    <t>JHS with SHS</t>
  </si>
  <si>
    <t>Mati SAT</t>
  </si>
  <si>
    <t>Badas NHS</t>
  </si>
  <si>
    <t>Licop Integrated School</t>
  </si>
  <si>
    <t>All Offering</t>
  </si>
  <si>
    <t>Culian Integrated School</t>
  </si>
  <si>
    <t>Mati North</t>
  </si>
  <si>
    <t>Bugakan Elementary School</t>
  </si>
  <si>
    <t>Alberto  V. Ravelo ES</t>
  </si>
  <si>
    <t>Antonino Vicentino ES</t>
  </si>
  <si>
    <t>Benito G. Rabat Exec. ES</t>
  </si>
  <si>
    <t>Bobon ES</t>
  </si>
  <si>
    <t>Buso ES</t>
  </si>
  <si>
    <t>Cabubuanan Elementary School</t>
  </si>
  <si>
    <t>Cangusan ES</t>
  </si>
  <si>
    <t>Serafin Vizconde Sr. Elementary School</t>
  </si>
  <si>
    <t>Don Luis Rabat Sr. MS</t>
  </si>
  <si>
    <t>Don Salvador Lopez Sr. ES</t>
  </si>
  <si>
    <t>Gavino Dawang ES</t>
  </si>
  <si>
    <t>Gov. Leopoldo Lopez Sr. MS</t>
  </si>
  <si>
    <t>Don Enrique Lopez ES</t>
  </si>
  <si>
    <t>Matiao Central ES</t>
  </si>
  <si>
    <t>Pedro Malintad Elementary School</t>
  </si>
  <si>
    <t>Sta. Cruz ES</t>
  </si>
  <si>
    <t>Tagabakid ES</t>
  </si>
  <si>
    <t>Tagbinonga ES</t>
  </si>
  <si>
    <t>Taguibo ES</t>
  </si>
  <si>
    <t>Tamia ES</t>
  </si>
  <si>
    <t>Tamisan Elementary School</t>
  </si>
  <si>
    <t>Fausta Salazar Como MS</t>
  </si>
  <si>
    <t>Vicente Almario Sr. MS</t>
  </si>
  <si>
    <t>Jose C. Martinez Jr. Elementary School</t>
  </si>
  <si>
    <t>Bobon NHS</t>
  </si>
  <si>
    <t>Buso National High School</t>
  </si>
  <si>
    <t>Don Enrique Lopez NHS</t>
  </si>
  <si>
    <t>Matiao NHS</t>
  </si>
  <si>
    <t>Davao Oriental Regional Science High School</t>
  </si>
  <si>
    <t>Taguibo Agri. Voc. High School</t>
  </si>
  <si>
    <t>City of Mati National High School</t>
  </si>
  <si>
    <t>Don Salvador Lopez NHS</t>
  </si>
  <si>
    <t>Doña Rosa Garcia Rabat Memorial National High School</t>
  </si>
  <si>
    <t>Lawigan National High School</t>
  </si>
  <si>
    <t>Mayo NHS</t>
  </si>
  <si>
    <t>Mati South</t>
  </si>
  <si>
    <t>Catmonan Elementary School</t>
  </si>
  <si>
    <t>Talucanga Elementary School</t>
  </si>
  <si>
    <t>Brigido Rodriguez Sr. ES</t>
  </si>
  <si>
    <t>Asuncion Rondina Perez MS</t>
  </si>
  <si>
    <t>Dawan Central ES</t>
  </si>
  <si>
    <t>Francisco Hinayon ES</t>
  </si>
  <si>
    <t>Macambol ES</t>
  </si>
  <si>
    <t>Magum ES</t>
  </si>
  <si>
    <t>Gelacio  G. Ytac ES</t>
  </si>
  <si>
    <t>Sanghay ES</t>
  </si>
  <si>
    <t>Paciano A. Genon EMS</t>
  </si>
  <si>
    <t>Wagon ES</t>
  </si>
  <si>
    <t>Dawan NHS</t>
  </si>
  <si>
    <t>Libudon NHS</t>
  </si>
  <si>
    <t>Macambol NHS</t>
  </si>
  <si>
    <t>Cabuaya Integrated School</t>
  </si>
  <si>
    <t>ES and JHS</t>
  </si>
  <si>
    <t>Lanca Integrated School</t>
  </si>
  <si>
    <t>Luban Integrated School</t>
  </si>
  <si>
    <t>Sanghay National 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</si>
</sst>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(* #,##0_);_(* \(#,##0\);_(* &quot;-&quot;??_);_(@_)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B0F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65" fontId="0" fillId="0" borderId="0" xfId="1" applyNumberFormat="1" applyFont="1"/>
    <xf numFmtId="0" fontId="0" fillId="0" borderId="0" xfId="0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65" fontId="2" fillId="0" borderId="0" xfId="1" applyNumberFormat="1" applyFont="1"/>
    <xf numFmtId="0" fontId="2" fillId="0" borderId="0" xfId="0" applyFont="1" applyAlignment="1">
      <alignment horizontal="center" vertical="center"/>
    </xf>
    <xf numFmtId="0" fontId="5" fillId="0" borderId="0" xfId="0" applyFont="1"/>
    <xf numFmtId="1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7225A-B832-4324-AF8F-BE10BE706E22}">
  <sheetPr codeName="Sheet1"/>
  <dimension ref="A1:AN79"/>
  <sheetViews>
    <sheetView tabSelected="1" workbookViewId="0">
      <pane xSplit="9" ySplit="7" topLeftCell="AB8" activePane="bottomRight" state="frozen"/>
      <selection pane="bottomRight" activeCell="AN7" sqref="AN7"/>
      <selection pane="bottomLeft" activeCell="A8" sqref="A8"/>
      <selection pane="topRight" activeCell="J1" sqref="J1"/>
    </sheetView>
  </sheetViews>
  <sheetFormatPr defaultRowHeight="15"/>
  <cols>
    <col min="2" max="2" width="25.5703125" bestFit="1" customWidth="1"/>
    <col min="3" max="3" width="0" hidden="1" customWidth="1"/>
    <col min="5" max="6" width="0" hidden="1" customWidth="1"/>
    <col min="7" max="7" width="25.5703125" bestFit="1" customWidth="1"/>
    <col min="9" max="9" width="0" hidden="1" customWidth="1"/>
    <col min="38" max="38" width="13.140625" customWidth="1"/>
    <col min="39" max="39" width="11.5703125" customWidth="1"/>
    <col min="40" max="40" width="14.85546875" customWidth="1"/>
  </cols>
  <sheetData>
    <row r="1" spans="1:40">
      <c r="A1" s="1" t="s">
        <v>0</v>
      </c>
      <c r="F1" s="2"/>
    </row>
    <row r="2" spans="1:40">
      <c r="A2" s="1" t="s">
        <v>1</v>
      </c>
      <c r="F2" s="3"/>
    </row>
    <row r="3" spans="1:40">
      <c r="A3" s="1" t="s">
        <v>2</v>
      </c>
      <c r="H3" s="4"/>
      <c r="I3" s="4"/>
    </row>
    <row r="4" spans="1:40">
      <c r="A4" s="1" t="s">
        <v>3</v>
      </c>
      <c r="H4" s="4"/>
      <c r="I4" s="4"/>
    </row>
    <row r="5" spans="1:40">
      <c r="A5" s="5"/>
      <c r="B5" s="5"/>
      <c r="C5" s="5"/>
      <c r="D5" s="5"/>
      <c r="E5" s="5"/>
      <c r="F5" s="5"/>
      <c r="G5" s="5"/>
      <c r="H5" s="6"/>
      <c r="I5" s="6"/>
      <c r="J5" s="12" t="s">
        <v>4</v>
      </c>
      <c r="K5" s="12"/>
      <c r="L5" s="12"/>
      <c r="M5" s="11" t="s">
        <v>5</v>
      </c>
      <c r="N5" s="11"/>
      <c r="O5" s="11"/>
      <c r="P5" s="11" t="s">
        <v>6</v>
      </c>
      <c r="Q5" s="11"/>
      <c r="R5" s="11"/>
      <c r="S5" s="11" t="s">
        <v>7</v>
      </c>
      <c r="T5" s="11"/>
      <c r="U5" s="11"/>
      <c r="V5" s="12" t="s">
        <v>8</v>
      </c>
      <c r="W5" s="12"/>
      <c r="X5" s="12"/>
      <c r="Y5" s="12" t="s">
        <v>9</v>
      </c>
      <c r="Z5" s="12"/>
      <c r="AA5" s="12"/>
      <c r="AB5" s="11" t="s">
        <v>10</v>
      </c>
      <c r="AC5" s="11"/>
      <c r="AD5" s="11"/>
      <c r="AE5" s="11" t="s">
        <v>11</v>
      </c>
      <c r="AF5" s="11"/>
      <c r="AG5" s="11"/>
      <c r="AH5" s="11" t="s">
        <v>12</v>
      </c>
      <c r="AI5" s="11"/>
      <c r="AJ5" s="11"/>
      <c r="AK5" s="5"/>
    </row>
    <row r="6" spans="1:40" ht="14.45" customHeight="1">
      <c r="A6" s="1"/>
      <c r="B6" s="1"/>
      <c r="C6" s="1"/>
      <c r="D6" s="1"/>
      <c r="E6" s="1"/>
      <c r="G6" s="1"/>
      <c r="H6" s="7"/>
      <c r="I6" s="7"/>
      <c r="J6" s="7">
        <v>207828</v>
      </c>
      <c r="K6" s="7">
        <v>0</v>
      </c>
      <c r="L6" s="7">
        <v>0</v>
      </c>
      <c r="M6" s="7">
        <v>787635</v>
      </c>
      <c r="N6" s="7">
        <v>0</v>
      </c>
      <c r="O6" s="7">
        <v>0</v>
      </c>
      <c r="P6" s="7">
        <v>6637657</v>
      </c>
      <c r="Q6" s="7">
        <v>4197307.039755323</v>
      </c>
      <c r="R6" s="7">
        <v>1718714.9602446812</v>
      </c>
      <c r="S6" s="7">
        <v>1104326</v>
      </c>
      <c r="T6" s="7">
        <v>75184.279400931526</v>
      </c>
      <c r="U6" s="7">
        <v>25310.720599068431</v>
      </c>
      <c r="V6" s="7">
        <v>681142</v>
      </c>
      <c r="W6" s="7">
        <v>261339.02873484403</v>
      </c>
      <c r="X6" s="7">
        <v>109260.97126515678</v>
      </c>
      <c r="Y6" s="7">
        <v>1741456</v>
      </c>
      <c r="Z6" s="7">
        <v>825089.95926441101</v>
      </c>
      <c r="AA6" s="7">
        <v>354723.04073558917</v>
      </c>
      <c r="AB6" s="7">
        <v>724982</v>
      </c>
      <c r="AC6" s="7">
        <v>0</v>
      </c>
      <c r="AD6" s="7">
        <v>0</v>
      </c>
      <c r="AE6" s="7">
        <v>0</v>
      </c>
      <c r="AF6" s="7">
        <v>401398</v>
      </c>
      <c r="AG6" s="7">
        <v>0</v>
      </c>
      <c r="AH6" s="7">
        <v>0</v>
      </c>
      <c r="AI6" s="7">
        <v>0</v>
      </c>
      <c r="AJ6" s="7">
        <v>186012</v>
      </c>
    </row>
    <row r="7" spans="1:40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8" t="s">
        <v>22</v>
      </c>
      <c r="K7" s="8" t="s">
        <v>23</v>
      </c>
      <c r="L7" s="8" t="s">
        <v>24</v>
      </c>
      <c r="M7" s="8" t="s">
        <v>22</v>
      </c>
      <c r="N7" s="8" t="s">
        <v>23</v>
      </c>
      <c r="O7" s="8" t="s">
        <v>24</v>
      </c>
      <c r="P7" s="8" t="s">
        <v>22</v>
      </c>
      <c r="Q7" s="8" t="s">
        <v>23</v>
      </c>
      <c r="R7" s="8" t="s">
        <v>24</v>
      </c>
      <c r="S7" s="8" t="s">
        <v>22</v>
      </c>
      <c r="T7" s="8" t="s">
        <v>23</v>
      </c>
      <c r="U7" s="8" t="s">
        <v>24</v>
      </c>
      <c r="V7" s="8" t="s">
        <v>22</v>
      </c>
      <c r="W7" s="8" t="s">
        <v>23</v>
      </c>
      <c r="X7" s="8" t="s">
        <v>24</v>
      </c>
      <c r="Y7" s="8" t="s">
        <v>22</v>
      </c>
      <c r="Z7" s="8" t="s">
        <v>23</v>
      </c>
      <c r="AA7" s="8" t="s">
        <v>24</v>
      </c>
      <c r="AB7" s="8" t="s">
        <v>22</v>
      </c>
      <c r="AC7" s="8" t="s">
        <v>23</v>
      </c>
      <c r="AD7" s="8" t="s">
        <v>24</v>
      </c>
      <c r="AE7" s="8" t="s">
        <v>22</v>
      </c>
      <c r="AF7" s="8" t="s">
        <v>23</v>
      </c>
      <c r="AG7" s="8" t="s">
        <v>24</v>
      </c>
      <c r="AH7" s="8" t="s">
        <v>22</v>
      </c>
      <c r="AI7" s="8" t="s">
        <v>23</v>
      </c>
      <c r="AJ7" s="8" t="s">
        <v>24</v>
      </c>
      <c r="AK7" s="8" t="s">
        <v>18</v>
      </c>
      <c r="AL7" t="s">
        <v>25</v>
      </c>
      <c r="AM7" t="s">
        <v>26</v>
      </c>
      <c r="AN7" s="13" t="s">
        <v>27</v>
      </c>
    </row>
    <row r="8" spans="1:40">
      <c r="A8" t="s">
        <v>28</v>
      </c>
      <c r="B8" t="s">
        <v>29</v>
      </c>
      <c r="C8" t="s">
        <v>30</v>
      </c>
      <c r="D8">
        <v>129374</v>
      </c>
      <c r="E8">
        <v>129374</v>
      </c>
      <c r="G8" t="s">
        <v>31</v>
      </c>
      <c r="H8" t="s">
        <v>32</v>
      </c>
      <c r="I8" s="9" t="s">
        <v>32</v>
      </c>
      <c r="J8">
        <v>10</v>
      </c>
      <c r="M8">
        <v>10</v>
      </c>
      <c r="P8">
        <v>100</v>
      </c>
      <c r="S8">
        <v>10</v>
      </c>
      <c r="V8">
        <v>0</v>
      </c>
      <c r="Y8">
        <v>0</v>
      </c>
      <c r="AB8">
        <v>0</v>
      </c>
      <c r="AE8">
        <v>0</v>
      </c>
      <c r="AH8">
        <v>0</v>
      </c>
      <c r="AK8">
        <v>0</v>
      </c>
      <c r="AL8">
        <f>SUM(J8:U8,Y8:AJ8)</f>
        <v>130</v>
      </c>
      <c r="AM8">
        <v>443</v>
      </c>
      <c r="AN8">
        <f>AL8/AM8</f>
        <v>0.29345372460496616</v>
      </c>
    </row>
    <row r="9" spans="1:40">
      <c r="A9" t="s">
        <v>28</v>
      </c>
      <c r="B9" t="s">
        <v>29</v>
      </c>
      <c r="C9" t="s">
        <v>30</v>
      </c>
      <c r="D9">
        <v>129375</v>
      </c>
      <c r="E9">
        <v>129375</v>
      </c>
      <c r="G9" t="s">
        <v>33</v>
      </c>
      <c r="H9" t="s">
        <v>32</v>
      </c>
      <c r="I9" s="9" t="s">
        <v>32</v>
      </c>
      <c r="J9">
        <v>0</v>
      </c>
      <c r="M9">
        <v>0</v>
      </c>
      <c r="P9">
        <v>103</v>
      </c>
      <c r="S9">
        <v>15</v>
      </c>
      <c r="V9">
        <v>0</v>
      </c>
      <c r="Y9">
        <v>0</v>
      </c>
      <c r="AB9">
        <v>0</v>
      </c>
      <c r="AE9">
        <v>0</v>
      </c>
      <c r="AH9">
        <v>0</v>
      </c>
      <c r="AK9">
        <v>0</v>
      </c>
      <c r="AL9">
        <f t="shared" ref="AL9:AL72" si="0">SUM(J9:U9,Y9:AJ9)</f>
        <v>118</v>
      </c>
      <c r="AM9">
        <v>186</v>
      </c>
      <c r="AN9">
        <f t="shared" ref="AN9:AN72" si="1">AL9/AM9</f>
        <v>0.63440860215053763</v>
      </c>
    </row>
    <row r="10" spans="1:40">
      <c r="A10" t="s">
        <v>28</v>
      </c>
      <c r="B10" t="s">
        <v>29</v>
      </c>
      <c r="C10" t="s">
        <v>30</v>
      </c>
      <c r="D10">
        <v>129376</v>
      </c>
      <c r="E10">
        <v>129376</v>
      </c>
      <c r="G10" t="s">
        <v>34</v>
      </c>
      <c r="H10" t="s">
        <v>32</v>
      </c>
      <c r="I10" s="9" t="s">
        <v>32</v>
      </c>
      <c r="J10">
        <v>0</v>
      </c>
      <c r="M10">
        <v>0</v>
      </c>
      <c r="P10">
        <v>163</v>
      </c>
      <c r="S10">
        <v>41</v>
      </c>
      <c r="V10">
        <v>28</v>
      </c>
      <c r="Y10">
        <v>50</v>
      </c>
      <c r="AB10">
        <v>0</v>
      </c>
      <c r="AE10">
        <v>0</v>
      </c>
      <c r="AH10">
        <v>0</v>
      </c>
      <c r="AK10">
        <v>0</v>
      </c>
      <c r="AL10">
        <f t="shared" si="0"/>
        <v>254</v>
      </c>
      <c r="AM10">
        <v>293</v>
      </c>
      <c r="AN10">
        <f t="shared" si="1"/>
        <v>0.86689419795221845</v>
      </c>
    </row>
    <row r="11" spans="1:40">
      <c r="A11" t="s">
        <v>28</v>
      </c>
      <c r="B11" t="s">
        <v>29</v>
      </c>
      <c r="C11" t="s">
        <v>30</v>
      </c>
      <c r="D11">
        <v>129377</v>
      </c>
      <c r="E11">
        <v>129377</v>
      </c>
      <c r="G11" t="s">
        <v>35</v>
      </c>
      <c r="H11" t="s">
        <v>32</v>
      </c>
      <c r="I11" s="9" t="s">
        <v>32</v>
      </c>
      <c r="J11">
        <v>6</v>
      </c>
      <c r="M11">
        <v>22</v>
      </c>
      <c r="P11">
        <v>93</v>
      </c>
      <c r="S11">
        <v>95</v>
      </c>
      <c r="V11">
        <v>28</v>
      </c>
      <c r="Y11">
        <v>46</v>
      </c>
      <c r="AB11">
        <v>0</v>
      </c>
      <c r="AE11">
        <v>0</v>
      </c>
      <c r="AH11">
        <v>0</v>
      </c>
      <c r="AK11">
        <v>0</v>
      </c>
      <c r="AL11">
        <f t="shared" si="0"/>
        <v>262</v>
      </c>
      <c r="AM11">
        <v>305</v>
      </c>
      <c r="AN11">
        <f t="shared" si="1"/>
        <v>0.85901639344262293</v>
      </c>
    </row>
    <row r="12" spans="1:40">
      <c r="A12" t="s">
        <v>28</v>
      </c>
      <c r="B12" t="s">
        <v>29</v>
      </c>
      <c r="C12" t="s">
        <v>30</v>
      </c>
      <c r="D12">
        <v>129380</v>
      </c>
      <c r="E12">
        <v>129380</v>
      </c>
      <c r="G12" t="s">
        <v>36</v>
      </c>
      <c r="H12" t="s">
        <v>32</v>
      </c>
      <c r="I12" s="9" t="s">
        <v>32</v>
      </c>
      <c r="J12">
        <v>39</v>
      </c>
      <c r="M12">
        <v>73</v>
      </c>
      <c r="P12">
        <v>690</v>
      </c>
      <c r="S12">
        <v>190</v>
      </c>
      <c r="V12">
        <v>64</v>
      </c>
      <c r="Y12">
        <v>127</v>
      </c>
      <c r="AB12">
        <v>0</v>
      </c>
      <c r="AE12">
        <v>0</v>
      </c>
      <c r="AH12">
        <v>0</v>
      </c>
      <c r="AK12">
        <v>0</v>
      </c>
      <c r="AL12">
        <f t="shared" si="0"/>
        <v>1119</v>
      </c>
      <c r="AM12">
        <v>1105</v>
      </c>
      <c r="AN12">
        <f t="shared" si="1"/>
        <v>1.0126696832579185</v>
      </c>
    </row>
    <row r="13" spans="1:40">
      <c r="A13" t="s">
        <v>28</v>
      </c>
      <c r="B13" t="s">
        <v>29</v>
      </c>
      <c r="C13" t="s">
        <v>30</v>
      </c>
      <c r="D13">
        <v>129381</v>
      </c>
      <c r="E13">
        <v>129381</v>
      </c>
      <c r="G13" t="s">
        <v>37</v>
      </c>
      <c r="H13" t="s">
        <v>32</v>
      </c>
      <c r="I13" s="9" t="s">
        <v>32</v>
      </c>
      <c r="J13">
        <v>31</v>
      </c>
      <c r="M13">
        <v>44</v>
      </c>
      <c r="P13">
        <v>305</v>
      </c>
      <c r="S13">
        <v>130</v>
      </c>
      <c r="V13">
        <v>225</v>
      </c>
      <c r="Y13">
        <v>214</v>
      </c>
      <c r="AB13">
        <v>120</v>
      </c>
      <c r="AE13">
        <v>0</v>
      </c>
      <c r="AH13">
        <v>0</v>
      </c>
      <c r="AK13">
        <v>0</v>
      </c>
      <c r="AL13">
        <f t="shared" si="0"/>
        <v>844</v>
      </c>
      <c r="AM13">
        <v>1247</v>
      </c>
      <c r="AN13">
        <f t="shared" si="1"/>
        <v>0.67682437850842025</v>
      </c>
    </row>
    <row r="14" spans="1:40">
      <c r="A14" t="s">
        <v>28</v>
      </c>
      <c r="B14" t="s">
        <v>29</v>
      </c>
      <c r="C14" t="s">
        <v>30</v>
      </c>
      <c r="D14">
        <v>129382</v>
      </c>
      <c r="E14">
        <v>129382</v>
      </c>
      <c r="G14" t="s">
        <v>38</v>
      </c>
      <c r="H14" t="s">
        <v>32</v>
      </c>
      <c r="I14" s="9" t="s">
        <v>32</v>
      </c>
      <c r="J14">
        <v>10</v>
      </c>
      <c r="M14">
        <v>37</v>
      </c>
      <c r="P14">
        <v>427</v>
      </c>
      <c r="S14">
        <v>140</v>
      </c>
      <c r="V14">
        <v>60</v>
      </c>
      <c r="Y14">
        <v>135</v>
      </c>
      <c r="AB14">
        <v>250</v>
      </c>
      <c r="AE14">
        <v>0</v>
      </c>
      <c r="AH14">
        <v>0</v>
      </c>
      <c r="AK14">
        <v>0</v>
      </c>
      <c r="AL14">
        <f t="shared" si="0"/>
        <v>999</v>
      </c>
      <c r="AM14">
        <v>1975</v>
      </c>
      <c r="AN14">
        <f t="shared" si="1"/>
        <v>0.50582278481012655</v>
      </c>
    </row>
    <row r="15" spans="1:40">
      <c r="A15" t="s">
        <v>28</v>
      </c>
      <c r="B15" t="s">
        <v>29</v>
      </c>
      <c r="C15" t="s">
        <v>30</v>
      </c>
      <c r="D15">
        <v>129383</v>
      </c>
      <c r="E15">
        <v>129383</v>
      </c>
      <c r="G15" t="s">
        <v>39</v>
      </c>
      <c r="H15" t="s">
        <v>32</v>
      </c>
      <c r="I15" s="9" t="s">
        <v>32</v>
      </c>
      <c r="J15">
        <v>15</v>
      </c>
      <c r="M15">
        <v>30</v>
      </c>
      <c r="P15">
        <v>500</v>
      </c>
      <c r="S15">
        <v>100</v>
      </c>
      <c r="V15">
        <v>0</v>
      </c>
      <c r="Y15">
        <v>50</v>
      </c>
      <c r="AB15">
        <v>0</v>
      </c>
      <c r="AE15">
        <v>0</v>
      </c>
      <c r="AH15">
        <v>0</v>
      </c>
      <c r="AK15">
        <v>0</v>
      </c>
      <c r="AL15">
        <f t="shared" si="0"/>
        <v>695</v>
      </c>
      <c r="AM15">
        <v>974</v>
      </c>
      <c r="AN15">
        <f t="shared" si="1"/>
        <v>0.71355236139630385</v>
      </c>
    </row>
    <row r="16" spans="1:40">
      <c r="A16" t="s">
        <v>28</v>
      </c>
      <c r="B16" t="s">
        <v>29</v>
      </c>
      <c r="C16" t="s">
        <v>30</v>
      </c>
      <c r="D16">
        <v>129384</v>
      </c>
      <c r="E16">
        <v>129384</v>
      </c>
      <c r="G16" t="s">
        <v>40</v>
      </c>
      <c r="H16" t="s">
        <v>32</v>
      </c>
      <c r="I16" s="9" t="s">
        <v>32</v>
      </c>
      <c r="J16">
        <v>10</v>
      </c>
      <c r="M16">
        <v>10</v>
      </c>
      <c r="P16">
        <v>3</v>
      </c>
      <c r="S16">
        <v>5</v>
      </c>
      <c r="V16">
        <v>2</v>
      </c>
      <c r="Y16">
        <v>20</v>
      </c>
      <c r="AB16">
        <v>0</v>
      </c>
      <c r="AE16">
        <v>0</v>
      </c>
      <c r="AH16">
        <v>0</v>
      </c>
      <c r="AK16">
        <v>0</v>
      </c>
      <c r="AL16">
        <f t="shared" si="0"/>
        <v>48</v>
      </c>
      <c r="AM16">
        <v>118</v>
      </c>
      <c r="AN16">
        <f t="shared" si="1"/>
        <v>0.40677966101694918</v>
      </c>
    </row>
    <row r="17" spans="1:40">
      <c r="A17" t="s">
        <v>28</v>
      </c>
      <c r="B17" t="s">
        <v>29</v>
      </c>
      <c r="C17" t="s">
        <v>30</v>
      </c>
      <c r="D17">
        <v>129385</v>
      </c>
      <c r="E17">
        <v>129385</v>
      </c>
      <c r="G17" t="s">
        <v>41</v>
      </c>
      <c r="H17" t="s">
        <v>32</v>
      </c>
      <c r="I17" s="9" t="s">
        <v>32</v>
      </c>
      <c r="J17">
        <v>10</v>
      </c>
      <c r="M17">
        <v>20</v>
      </c>
      <c r="P17">
        <v>150</v>
      </c>
      <c r="S17">
        <v>10</v>
      </c>
      <c r="V17">
        <v>6</v>
      </c>
      <c r="Y17">
        <v>6</v>
      </c>
      <c r="AB17">
        <v>0</v>
      </c>
      <c r="AE17">
        <v>0</v>
      </c>
      <c r="AH17">
        <v>0</v>
      </c>
      <c r="AK17">
        <v>0</v>
      </c>
      <c r="AL17">
        <f t="shared" si="0"/>
        <v>196</v>
      </c>
      <c r="AM17">
        <v>844</v>
      </c>
      <c r="AN17">
        <f t="shared" si="1"/>
        <v>0.23222748815165878</v>
      </c>
    </row>
    <row r="18" spans="1:40">
      <c r="A18" t="s">
        <v>28</v>
      </c>
      <c r="B18" t="s">
        <v>29</v>
      </c>
      <c r="C18" t="s">
        <v>30</v>
      </c>
      <c r="D18">
        <v>129386</v>
      </c>
      <c r="E18">
        <v>129386</v>
      </c>
      <c r="G18" t="s">
        <v>42</v>
      </c>
      <c r="H18" t="s">
        <v>32</v>
      </c>
      <c r="I18" s="9" t="s">
        <v>32</v>
      </c>
      <c r="J18">
        <v>10</v>
      </c>
      <c r="M18">
        <v>4</v>
      </c>
      <c r="P18">
        <v>50</v>
      </c>
      <c r="S18">
        <v>5</v>
      </c>
      <c r="V18">
        <v>0</v>
      </c>
      <c r="Y18">
        <v>0</v>
      </c>
      <c r="AB18">
        <v>0</v>
      </c>
      <c r="AE18">
        <v>0</v>
      </c>
      <c r="AH18">
        <v>0</v>
      </c>
      <c r="AK18">
        <v>0</v>
      </c>
      <c r="AL18">
        <f t="shared" si="0"/>
        <v>69</v>
      </c>
      <c r="AM18">
        <v>143</v>
      </c>
      <c r="AN18">
        <f t="shared" si="1"/>
        <v>0.4825174825174825</v>
      </c>
    </row>
    <row r="19" spans="1:40">
      <c r="A19" t="s">
        <v>28</v>
      </c>
      <c r="B19" t="s">
        <v>29</v>
      </c>
      <c r="C19" t="s">
        <v>30</v>
      </c>
      <c r="D19">
        <v>205504</v>
      </c>
      <c r="E19">
        <v>205504</v>
      </c>
      <c r="G19" t="s">
        <v>43</v>
      </c>
      <c r="H19" t="s">
        <v>32</v>
      </c>
      <c r="I19" s="9" t="s">
        <v>32</v>
      </c>
      <c r="J19">
        <v>34</v>
      </c>
      <c r="M19">
        <v>68</v>
      </c>
      <c r="P19">
        <v>335</v>
      </c>
      <c r="S19">
        <v>29</v>
      </c>
      <c r="V19">
        <v>0</v>
      </c>
      <c r="Y19">
        <v>0</v>
      </c>
      <c r="AB19">
        <v>0</v>
      </c>
      <c r="AE19">
        <v>0</v>
      </c>
      <c r="AH19">
        <v>0</v>
      </c>
      <c r="AK19">
        <v>0</v>
      </c>
      <c r="AL19">
        <f t="shared" si="0"/>
        <v>466</v>
      </c>
      <c r="AM19">
        <v>1012</v>
      </c>
      <c r="AN19">
        <f t="shared" si="1"/>
        <v>0.46047430830039526</v>
      </c>
    </row>
    <row r="20" spans="1:40">
      <c r="A20" t="s">
        <v>28</v>
      </c>
      <c r="B20" t="s">
        <v>29</v>
      </c>
      <c r="C20" t="s">
        <v>30</v>
      </c>
      <c r="D20">
        <v>304325</v>
      </c>
      <c r="E20">
        <v>304325</v>
      </c>
      <c r="G20" t="s">
        <v>44</v>
      </c>
      <c r="H20" t="s">
        <v>45</v>
      </c>
      <c r="I20" s="9" t="s">
        <v>45</v>
      </c>
      <c r="Q20" s="10">
        <v>1265.946606888119</v>
      </c>
      <c r="R20" s="10">
        <v>734.05339311188095</v>
      </c>
      <c r="T20" s="10">
        <v>0</v>
      </c>
      <c r="U20" s="10">
        <v>0</v>
      </c>
      <c r="W20" s="10">
        <v>37.978398206643575</v>
      </c>
      <c r="X20" s="10">
        <v>22.021601793356432</v>
      </c>
      <c r="Z20" s="10">
        <v>37.978398206643575</v>
      </c>
      <c r="AA20" s="10">
        <v>22.021601793356432</v>
      </c>
      <c r="AF20">
        <v>0</v>
      </c>
      <c r="AJ20">
        <v>0</v>
      </c>
      <c r="AK20">
        <v>1</v>
      </c>
      <c r="AL20">
        <f t="shared" si="0"/>
        <v>2060</v>
      </c>
      <c r="AM20">
        <v>4887</v>
      </c>
      <c r="AN20">
        <f t="shared" si="1"/>
        <v>0.42152649887456517</v>
      </c>
    </row>
    <row r="21" spans="1:40">
      <c r="A21" t="s">
        <v>28</v>
      </c>
      <c r="B21" t="s">
        <v>29</v>
      </c>
      <c r="C21" t="s">
        <v>30</v>
      </c>
      <c r="D21">
        <v>304326</v>
      </c>
      <c r="E21">
        <v>304326</v>
      </c>
      <c r="G21" t="s">
        <v>46</v>
      </c>
      <c r="H21" t="s">
        <v>45</v>
      </c>
      <c r="I21" s="9" t="s">
        <v>45</v>
      </c>
      <c r="Q21" s="10">
        <v>326.87782805429862</v>
      </c>
      <c r="R21" s="10">
        <v>273.12217194570133</v>
      </c>
      <c r="T21" s="10">
        <v>10.895927601809953</v>
      </c>
      <c r="U21" s="10">
        <v>9.1040723981900449</v>
      </c>
      <c r="W21" s="10">
        <v>10.895927601809953</v>
      </c>
      <c r="X21" s="10">
        <v>9.1040723981900449</v>
      </c>
      <c r="Z21" s="10">
        <v>12.530316742081446</v>
      </c>
      <c r="AA21" s="10">
        <v>10.469683257918552</v>
      </c>
      <c r="AF21">
        <v>300</v>
      </c>
      <c r="AJ21">
        <v>0</v>
      </c>
      <c r="AK21">
        <v>1</v>
      </c>
      <c r="AL21">
        <f t="shared" si="0"/>
        <v>943</v>
      </c>
      <c r="AM21">
        <v>1102</v>
      </c>
      <c r="AN21">
        <f t="shared" si="1"/>
        <v>0.85571687840290378</v>
      </c>
    </row>
    <row r="22" spans="1:40">
      <c r="A22" t="s">
        <v>28</v>
      </c>
      <c r="B22" t="s">
        <v>29</v>
      </c>
      <c r="C22" t="s">
        <v>30</v>
      </c>
      <c r="D22">
        <v>325104</v>
      </c>
      <c r="E22">
        <v>325104</v>
      </c>
      <c r="G22" t="s">
        <v>47</v>
      </c>
      <c r="H22" t="s">
        <v>45</v>
      </c>
      <c r="I22" s="9" t="s">
        <v>45</v>
      </c>
      <c r="Q22" s="10">
        <v>511.76727272727277</v>
      </c>
      <c r="R22" s="10">
        <v>221.23272727272726</v>
      </c>
      <c r="T22" s="10">
        <v>0</v>
      </c>
      <c r="U22" s="10">
        <v>0</v>
      </c>
      <c r="W22" s="10">
        <v>5.5854545454545459</v>
      </c>
      <c r="X22" s="10">
        <v>2.4145454545454546</v>
      </c>
      <c r="Z22" s="10">
        <v>0</v>
      </c>
      <c r="AA22" s="10">
        <v>0</v>
      </c>
      <c r="AF22">
        <v>0</v>
      </c>
      <c r="AJ22">
        <v>92</v>
      </c>
      <c r="AK22">
        <v>1</v>
      </c>
      <c r="AL22">
        <f t="shared" si="0"/>
        <v>825</v>
      </c>
      <c r="AM22">
        <v>825</v>
      </c>
      <c r="AN22">
        <f t="shared" si="1"/>
        <v>1</v>
      </c>
    </row>
    <row r="23" spans="1:40">
      <c r="A23" t="s">
        <v>28</v>
      </c>
      <c r="B23" t="s">
        <v>29</v>
      </c>
      <c r="C23" t="s">
        <v>30</v>
      </c>
      <c r="D23">
        <v>500454</v>
      </c>
      <c r="E23">
        <v>500454</v>
      </c>
      <c r="G23" t="s">
        <v>48</v>
      </c>
      <c r="H23" t="s">
        <v>49</v>
      </c>
      <c r="I23" s="9" t="s">
        <v>49</v>
      </c>
      <c r="J23">
        <v>10</v>
      </c>
      <c r="M23">
        <v>30</v>
      </c>
      <c r="P23">
        <v>31</v>
      </c>
      <c r="Q23" s="10">
        <v>22.700787401574804</v>
      </c>
      <c r="R23" s="10">
        <v>8.2992125984251981</v>
      </c>
      <c r="S23">
        <v>33</v>
      </c>
      <c r="T23" s="10">
        <v>0</v>
      </c>
      <c r="U23" s="10">
        <v>0</v>
      </c>
      <c r="V23">
        <v>6</v>
      </c>
      <c r="W23" s="10">
        <v>5.1259842519685037</v>
      </c>
      <c r="X23" s="10">
        <v>1.8740157480314963</v>
      </c>
      <c r="Y23">
        <v>5</v>
      </c>
      <c r="Z23" s="10">
        <v>4.393700787401575</v>
      </c>
      <c r="AA23" s="10">
        <v>1.6062992125984255</v>
      </c>
      <c r="AB23">
        <v>37</v>
      </c>
      <c r="AF23">
        <v>25</v>
      </c>
      <c r="AJ23">
        <v>18</v>
      </c>
      <c r="AK23">
        <v>0</v>
      </c>
      <c r="AL23">
        <f t="shared" si="0"/>
        <v>226</v>
      </c>
      <c r="AM23">
        <v>369</v>
      </c>
      <c r="AN23">
        <f t="shared" si="1"/>
        <v>0.61246612466124661</v>
      </c>
    </row>
    <row r="24" spans="1:40">
      <c r="A24" t="s">
        <v>28</v>
      </c>
      <c r="B24" t="s">
        <v>29</v>
      </c>
      <c r="C24" t="s">
        <v>30</v>
      </c>
      <c r="D24">
        <v>501424</v>
      </c>
      <c r="E24">
        <v>501424</v>
      </c>
      <c r="G24" t="s">
        <v>50</v>
      </c>
      <c r="H24" t="s">
        <v>49</v>
      </c>
      <c r="I24" s="9" t="s">
        <v>49</v>
      </c>
      <c r="J24">
        <v>0</v>
      </c>
      <c r="M24">
        <v>0</v>
      </c>
      <c r="P24">
        <v>30</v>
      </c>
      <c r="Q24" s="10">
        <v>22.012987012987011</v>
      </c>
      <c r="R24" s="10">
        <v>7.987012987012986</v>
      </c>
      <c r="S24">
        <v>0</v>
      </c>
      <c r="T24" s="10">
        <v>0</v>
      </c>
      <c r="U24" s="10">
        <v>0</v>
      </c>
      <c r="V24">
        <v>0</v>
      </c>
      <c r="W24" s="10">
        <v>0</v>
      </c>
      <c r="X24" s="10">
        <v>0</v>
      </c>
      <c r="Y24">
        <v>0</v>
      </c>
      <c r="Z24" s="10">
        <v>0</v>
      </c>
      <c r="AA24" s="10">
        <v>0</v>
      </c>
      <c r="AB24">
        <v>0</v>
      </c>
      <c r="AF24">
        <v>0</v>
      </c>
      <c r="AJ24">
        <v>0</v>
      </c>
      <c r="AK24">
        <v>0</v>
      </c>
      <c r="AL24">
        <f t="shared" si="0"/>
        <v>60</v>
      </c>
      <c r="AM24">
        <v>463</v>
      </c>
      <c r="AN24">
        <f t="shared" si="1"/>
        <v>0.12958963282937366</v>
      </c>
    </row>
    <row r="25" spans="1:40">
      <c r="A25" t="s">
        <v>28</v>
      </c>
      <c r="B25" t="s">
        <v>29</v>
      </c>
      <c r="C25" t="s">
        <v>51</v>
      </c>
      <c r="D25">
        <v>101813</v>
      </c>
      <c r="E25">
        <v>101813</v>
      </c>
      <c r="G25" t="s">
        <v>52</v>
      </c>
      <c r="H25" t="s">
        <v>32</v>
      </c>
      <c r="I25" s="9" t="s">
        <v>32</v>
      </c>
      <c r="J25">
        <v>0</v>
      </c>
      <c r="M25">
        <v>0</v>
      </c>
      <c r="P25">
        <v>70</v>
      </c>
      <c r="S25">
        <v>30</v>
      </c>
      <c r="V25">
        <v>0</v>
      </c>
      <c r="Y25">
        <v>0</v>
      </c>
      <c r="AB25">
        <v>0</v>
      </c>
      <c r="AE25">
        <v>0</v>
      </c>
      <c r="AH25">
        <v>0</v>
      </c>
      <c r="AK25">
        <v>0</v>
      </c>
      <c r="AL25">
        <f t="shared" si="0"/>
        <v>100</v>
      </c>
      <c r="AM25">
        <v>118</v>
      </c>
      <c r="AN25">
        <f t="shared" si="1"/>
        <v>0.84745762711864403</v>
      </c>
    </row>
    <row r="26" spans="1:40">
      <c r="A26" t="s">
        <v>28</v>
      </c>
      <c r="B26" t="s">
        <v>29</v>
      </c>
      <c r="C26" t="s">
        <v>51</v>
      </c>
      <c r="D26">
        <v>129387</v>
      </c>
      <c r="E26">
        <v>129387</v>
      </c>
      <c r="G26" t="s">
        <v>53</v>
      </c>
      <c r="H26" t="s">
        <v>32</v>
      </c>
      <c r="I26" s="9" t="s">
        <v>32</v>
      </c>
      <c r="J26">
        <v>10</v>
      </c>
      <c r="M26">
        <v>15</v>
      </c>
      <c r="P26">
        <v>45</v>
      </c>
      <c r="S26">
        <v>45</v>
      </c>
      <c r="V26">
        <v>15</v>
      </c>
      <c r="Y26">
        <v>15</v>
      </c>
      <c r="AB26">
        <v>0</v>
      </c>
      <c r="AE26">
        <v>0</v>
      </c>
      <c r="AH26">
        <v>0</v>
      </c>
      <c r="AK26">
        <v>0</v>
      </c>
      <c r="AL26">
        <f t="shared" si="0"/>
        <v>130</v>
      </c>
      <c r="AM26">
        <v>219</v>
      </c>
      <c r="AN26">
        <f t="shared" si="1"/>
        <v>0.59360730593607303</v>
      </c>
    </row>
    <row r="27" spans="1:40">
      <c r="A27" t="s">
        <v>28</v>
      </c>
      <c r="B27" t="s">
        <v>29</v>
      </c>
      <c r="C27" t="s">
        <v>51</v>
      </c>
      <c r="D27">
        <v>129388</v>
      </c>
      <c r="E27">
        <v>129388</v>
      </c>
      <c r="G27" t="s">
        <v>54</v>
      </c>
      <c r="H27" t="s">
        <v>32</v>
      </c>
      <c r="I27" s="9" t="s">
        <v>32</v>
      </c>
      <c r="J27">
        <v>0</v>
      </c>
      <c r="M27">
        <v>0</v>
      </c>
      <c r="P27">
        <v>135</v>
      </c>
      <c r="S27">
        <v>21</v>
      </c>
      <c r="V27">
        <v>5</v>
      </c>
      <c r="Y27">
        <v>5</v>
      </c>
      <c r="AB27">
        <v>0</v>
      </c>
      <c r="AE27">
        <v>0</v>
      </c>
      <c r="AH27">
        <v>0</v>
      </c>
      <c r="AK27">
        <v>0</v>
      </c>
      <c r="AL27">
        <f t="shared" si="0"/>
        <v>161</v>
      </c>
      <c r="AM27">
        <v>364</v>
      </c>
      <c r="AN27">
        <f t="shared" si="1"/>
        <v>0.44230769230769229</v>
      </c>
    </row>
    <row r="28" spans="1:40">
      <c r="A28" t="s">
        <v>28</v>
      </c>
      <c r="B28" t="s">
        <v>29</v>
      </c>
      <c r="C28" t="s">
        <v>51</v>
      </c>
      <c r="D28">
        <v>129389</v>
      </c>
      <c r="E28">
        <v>129389</v>
      </c>
      <c r="G28" t="s">
        <v>55</v>
      </c>
      <c r="H28" t="s">
        <v>32</v>
      </c>
      <c r="I28" s="9" t="s">
        <v>32</v>
      </c>
      <c r="J28">
        <v>0</v>
      </c>
      <c r="M28">
        <v>0</v>
      </c>
      <c r="P28">
        <v>100</v>
      </c>
      <c r="S28">
        <v>5</v>
      </c>
      <c r="V28">
        <v>225</v>
      </c>
      <c r="Y28">
        <v>225</v>
      </c>
      <c r="AB28">
        <v>0</v>
      </c>
      <c r="AE28">
        <v>0</v>
      </c>
      <c r="AH28">
        <v>0</v>
      </c>
      <c r="AK28">
        <v>0</v>
      </c>
      <c r="AL28">
        <f t="shared" si="0"/>
        <v>330</v>
      </c>
      <c r="AM28">
        <v>935</v>
      </c>
      <c r="AN28">
        <f t="shared" si="1"/>
        <v>0.35294117647058826</v>
      </c>
    </row>
    <row r="29" spans="1:40">
      <c r="A29" t="s">
        <v>28</v>
      </c>
      <c r="B29" t="s">
        <v>29</v>
      </c>
      <c r="C29" t="s">
        <v>51</v>
      </c>
      <c r="D29">
        <v>129390</v>
      </c>
      <c r="E29">
        <v>129390</v>
      </c>
      <c r="G29" t="s">
        <v>56</v>
      </c>
      <c r="H29" t="s">
        <v>32</v>
      </c>
      <c r="I29" s="9" t="s">
        <v>32</v>
      </c>
      <c r="J29">
        <v>5</v>
      </c>
      <c r="M29">
        <v>30</v>
      </c>
      <c r="P29">
        <v>20</v>
      </c>
      <c r="S29">
        <v>25</v>
      </c>
      <c r="V29">
        <v>80</v>
      </c>
      <c r="Y29">
        <v>120</v>
      </c>
      <c r="AB29">
        <v>0</v>
      </c>
      <c r="AE29">
        <v>0</v>
      </c>
      <c r="AH29">
        <v>0</v>
      </c>
      <c r="AK29">
        <v>0</v>
      </c>
      <c r="AL29">
        <f t="shared" si="0"/>
        <v>200</v>
      </c>
      <c r="AM29">
        <v>701</v>
      </c>
      <c r="AN29">
        <f t="shared" si="1"/>
        <v>0.28530670470756064</v>
      </c>
    </row>
    <row r="30" spans="1:40">
      <c r="A30" t="s">
        <v>28</v>
      </c>
      <c r="B30" t="s">
        <v>29</v>
      </c>
      <c r="C30" t="s">
        <v>51</v>
      </c>
      <c r="D30">
        <v>129391</v>
      </c>
      <c r="E30">
        <v>129391</v>
      </c>
      <c r="G30" t="s">
        <v>57</v>
      </c>
      <c r="H30" t="s">
        <v>32</v>
      </c>
      <c r="I30" s="9" t="s">
        <v>32</v>
      </c>
      <c r="J30">
        <v>10</v>
      </c>
      <c r="M30">
        <v>30</v>
      </c>
      <c r="P30">
        <v>108</v>
      </c>
      <c r="S30">
        <v>28</v>
      </c>
      <c r="V30">
        <v>2</v>
      </c>
      <c r="Y30">
        <v>2</v>
      </c>
      <c r="AB30">
        <v>0</v>
      </c>
      <c r="AE30">
        <v>0</v>
      </c>
      <c r="AH30">
        <v>0</v>
      </c>
      <c r="AK30">
        <v>0</v>
      </c>
      <c r="AL30">
        <f t="shared" si="0"/>
        <v>178</v>
      </c>
      <c r="AM30">
        <v>296</v>
      </c>
      <c r="AN30">
        <f t="shared" si="1"/>
        <v>0.60135135135135132</v>
      </c>
    </row>
    <row r="31" spans="1:40">
      <c r="A31" t="s">
        <v>28</v>
      </c>
      <c r="B31" t="s">
        <v>29</v>
      </c>
      <c r="C31" t="s">
        <v>51</v>
      </c>
      <c r="D31">
        <v>129392</v>
      </c>
      <c r="E31">
        <v>129392</v>
      </c>
      <c r="G31" t="s">
        <v>58</v>
      </c>
      <c r="H31" t="s">
        <v>32</v>
      </c>
      <c r="I31" s="9" t="s">
        <v>32</v>
      </c>
      <c r="J31">
        <v>10</v>
      </c>
      <c r="M31">
        <v>30</v>
      </c>
      <c r="P31">
        <v>219</v>
      </c>
      <c r="S31">
        <v>9</v>
      </c>
      <c r="V31">
        <v>31</v>
      </c>
      <c r="Y31">
        <v>26</v>
      </c>
      <c r="AB31">
        <v>0</v>
      </c>
      <c r="AE31">
        <v>0</v>
      </c>
      <c r="AH31">
        <v>0</v>
      </c>
      <c r="AK31">
        <v>0</v>
      </c>
      <c r="AL31">
        <f t="shared" si="0"/>
        <v>294</v>
      </c>
      <c r="AM31">
        <v>369</v>
      </c>
      <c r="AN31">
        <f t="shared" si="1"/>
        <v>0.7967479674796748</v>
      </c>
    </row>
    <row r="32" spans="1:40">
      <c r="A32" t="s">
        <v>28</v>
      </c>
      <c r="B32" t="s">
        <v>29</v>
      </c>
      <c r="C32" t="s">
        <v>51</v>
      </c>
      <c r="D32">
        <v>129393</v>
      </c>
      <c r="E32">
        <v>129393</v>
      </c>
      <c r="G32" t="s">
        <v>59</v>
      </c>
      <c r="H32" t="s">
        <v>32</v>
      </c>
      <c r="I32" s="9" t="s">
        <v>32</v>
      </c>
      <c r="J32">
        <v>0</v>
      </c>
      <c r="M32">
        <v>0</v>
      </c>
      <c r="P32">
        <v>0</v>
      </c>
      <c r="S32">
        <v>0</v>
      </c>
      <c r="V32">
        <v>6</v>
      </c>
      <c r="Y32">
        <v>30</v>
      </c>
      <c r="AB32">
        <v>0</v>
      </c>
      <c r="AE32">
        <v>0</v>
      </c>
      <c r="AH32">
        <v>0</v>
      </c>
      <c r="AK32">
        <v>0</v>
      </c>
      <c r="AL32">
        <f t="shared" si="0"/>
        <v>30</v>
      </c>
      <c r="AM32">
        <v>81</v>
      </c>
      <c r="AN32">
        <f t="shared" si="1"/>
        <v>0.37037037037037035</v>
      </c>
    </row>
    <row r="33" spans="1:40">
      <c r="A33" t="s">
        <v>28</v>
      </c>
      <c r="B33" t="s">
        <v>29</v>
      </c>
      <c r="C33" t="s">
        <v>51</v>
      </c>
      <c r="D33">
        <v>129394</v>
      </c>
      <c r="E33">
        <v>129394</v>
      </c>
      <c r="G33" t="s">
        <v>60</v>
      </c>
      <c r="H33" t="s">
        <v>32</v>
      </c>
      <c r="I33" s="9" t="s">
        <v>32</v>
      </c>
      <c r="J33">
        <v>0</v>
      </c>
      <c r="M33">
        <v>0</v>
      </c>
      <c r="P33">
        <v>0</v>
      </c>
      <c r="S33">
        <v>10</v>
      </c>
      <c r="V33">
        <v>0</v>
      </c>
      <c r="Y33">
        <v>0</v>
      </c>
      <c r="AB33">
        <v>0</v>
      </c>
      <c r="AE33">
        <v>0</v>
      </c>
      <c r="AH33">
        <v>0</v>
      </c>
      <c r="AK33">
        <v>0</v>
      </c>
      <c r="AL33">
        <f t="shared" si="0"/>
        <v>10</v>
      </c>
      <c r="AM33">
        <v>118</v>
      </c>
      <c r="AN33">
        <f t="shared" si="1"/>
        <v>8.4745762711864403E-2</v>
      </c>
    </row>
    <row r="34" spans="1:40">
      <c r="A34" t="s">
        <v>28</v>
      </c>
      <c r="B34" t="s">
        <v>29</v>
      </c>
      <c r="C34" t="s">
        <v>51</v>
      </c>
      <c r="D34">
        <v>129395</v>
      </c>
      <c r="E34">
        <v>129395</v>
      </c>
      <c r="G34" t="s">
        <v>61</v>
      </c>
      <c r="H34" t="s">
        <v>32</v>
      </c>
      <c r="I34" s="9" t="s">
        <v>32</v>
      </c>
      <c r="J34">
        <v>7</v>
      </c>
      <c r="M34">
        <v>30</v>
      </c>
      <c r="P34">
        <v>476</v>
      </c>
      <c r="S34">
        <v>15</v>
      </c>
      <c r="V34">
        <v>25</v>
      </c>
      <c r="Y34">
        <v>42</v>
      </c>
      <c r="AB34">
        <v>0</v>
      </c>
      <c r="AE34">
        <v>0</v>
      </c>
      <c r="AH34">
        <v>0</v>
      </c>
      <c r="AK34">
        <v>0</v>
      </c>
      <c r="AL34">
        <f t="shared" si="0"/>
        <v>570</v>
      </c>
      <c r="AM34">
        <v>789</v>
      </c>
      <c r="AN34">
        <f t="shared" si="1"/>
        <v>0.72243346007604559</v>
      </c>
    </row>
    <row r="35" spans="1:40">
      <c r="A35" t="s">
        <v>28</v>
      </c>
      <c r="B35" t="s">
        <v>29</v>
      </c>
      <c r="C35" t="s">
        <v>51</v>
      </c>
      <c r="D35">
        <v>129396</v>
      </c>
      <c r="E35">
        <v>129396</v>
      </c>
      <c r="G35" t="s">
        <v>62</v>
      </c>
      <c r="H35" t="s">
        <v>32</v>
      </c>
      <c r="I35" s="9" t="s">
        <v>32</v>
      </c>
      <c r="J35">
        <v>10</v>
      </c>
      <c r="M35">
        <v>30</v>
      </c>
      <c r="P35">
        <v>150</v>
      </c>
      <c r="S35">
        <v>50</v>
      </c>
      <c r="V35">
        <v>0</v>
      </c>
      <c r="Y35">
        <v>0</v>
      </c>
      <c r="AB35">
        <v>174</v>
      </c>
      <c r="AE35">
        <v>0</v>
      </c>
      <c r="AH35">
        <v>0</v>
      </c>
      <c r="AK35">
        <v>0</v>
      </c>
      <c r="AL35">
        <f t="shared" si="0"/>
        <v>414</v>
      </c>
      <c r="AM35">
        <v>488</v>
      </c>
      <c r="AN35">
        <f t="shared" si="1"/>
        <v>0.84836065573770492</v>
      </c>
    </row>
    <row r="36" spans="1:40">
      <c r="A36" t="s">
        <v>28</v>
      </c>
      <c r="B36" t="s">
        <v>29</v>
      </c>
      <c r="C36" t="s">
        <v>51</v>
      </c>
      <c r="D36">
        <v>129397</v>
      </c>
      <c r="E36">
        <v>129397</v>
      </c>
      <c r="G36" t="s">
        <v>63</v>
      </c>
      <c r="H36" t="s">
        <v>32</v>
      </c>
      <c r="I36" s="9" t="s">
        <v>32</v>
      </c>
      <c r="J36">
        <v>0</v>
      </c>
      <c r="M36">
        <v>3</v>
      </c>
      <c r="P36">
        <v>0</v>
      </c>
      <c r="S36">
        <v>0</v>
      </c>
      <c r="V36">
        <v>4</v>
      </c>
      <c r="Y36">
        <v>6</v>
      </c>
      <c r="AB36">
        <v>0</v>
      </c>
      <c r="AE36">
        <v>0</v>
      </c>
      <c r="AH36">
        <v>0</v>
      </c>
      <c r="AK36">
        <v>0</v>
      </c>
      <c r="AL36">
        <f t="shared" si="0"/>
        <v>9</v>
      </c>
      <c r="AM36">
        <v>175</v>
      </c>
      <c r="AN36">
        <f t="shared" si="1"/>
        <v>5.1428571428571428E-2</v>
      </c>
    </row>
    <row r="37" spans="1:40">
      <c r="A37" t="s">
        <v>28</v>
      </c>
      <c r="B37" t="s">
        <v>29</v>
      </c>
      <c r="C37" t="s">
        <v>51</v>
      </c>
      <c r="D37">
        <v>129398</v>
      </c>
      <c r="E37">
        <v>129398</v>
      </c>
      <c r="G37" t="s">
        <v>64</v>
      </c>
      <c r="H37" t="s">
        <v>32</v>
      </c>
      <c r="I37" s="9" t="s">
        <v>32</v>
      </c>
      <c r="J37">
        <v>13</v>
      </c>
      <c r="M37">
        <v>70</v>
      </c>
      <c r="P37">
        <v>100</v>
      </c>
      <c r="S37">
        <v>100</v>
      </c>
      <c r="V37">
        <v>5</v>
      </c>
      <c r="Y37">
        <v>40</v>
      </c>
      <c r="AB37">
        <v>0</v>
      </c>
      <c r="AE37">
        <v>0</v>
      </c>
      <c r="AH37">
        <v>0</v>
      </c>
      <c r="AK37">
        <v>0</v>
      </c>
      <c r="AL37">
        <f t="shared" si="0"/>
        <v>323</v>
      </c>
      <c r="AM37">
        <v>625</v>
      </c>
      <c r="AN37">
        <f t="shared" si="1"/>
        <v>0.51680000000000004</v>
      </c>
    </row>
    <row r="38" spans="1:40">
      <c r="A38" t="s">
        <v>28</v>
      </c>
      <c r="B38" t="s">
        <v>29</v>
      </c>
      <c r="C38" t="s">
        <v>51</v>
      </c>
      <c r="D38">
        <v>129399</v>
      </c>
      <c r="E38">
        <v>129399</v>
      </c>
      <c r="G38" t="s">
        <v>65</v>
      </c>
      <c r="H38" t="s">
        <v>32</v>
      </c>
      <c r="I38" s="9" t="s">
        <v>32</v>
      </c>
      <c r="J38">
        <v>5</v>
      </c>
      <c r="M38">
        <v>25</v>
      </c>
      <c r="P38">
        <v>439</v>
      </c>
      <c r="S38">
        <v>54</v>
      </c>
      <c r="V38">
        <v>0</v>
      </c>
      <c r="Y38">
        <v>0</v>
      </c>
      <c r="AB38">
        <v>13</v>
      </c>
      <c r="AE38">
        <v>0</v>
      </c>
      <c r="AH38">
        <v>0</v>
      </c>
      <c r="AK38">
        <v>0</v>
      </c>
      <c r="AL38">
        <f t="shared" si="0"/>
        <v>536</v>
      </c>
      <c r="AM38">
        <v>637</v>
      </c>
      <c r="AN38">
        <f t="shared" si="1"/>
        <v>0.84144427001569855</v>
      </c>
    </row>
    <row r="39" spans="1:40">
      <c r="A39" t="s">
        <v>28</v>
      </c>
      <c r="B39" t="s">
        <v>29</v>
      </c>
      <c r="C39" t="s">
        <v>51</v>
      </c>
      <c r="D39">
        <v>129400</v>
      </c>
      <c r="E39">
        <v>129400</v>
      </c>
      <c r="G39" t="s">
        <v>66</v>
      </c>
      <c r="H39" t="s">
        <v>32</v>
      </c>
      <c r="I39" s="9" t="s">
        <v>32</v>
      </c>
      <c r="J39">
        <v>9</v>
      </c>
      <c r="M39">
        <v>57</v>
      </c>
      <c r="P39">
        <v>400</v>
      </c>
      <c r="S39">
        <v>102</v>
      </c>
      <c r="V39">
        <v>0</v>
      </c>
      <c r="Y39">
        <v>0</v>
      </c>
      <c r="AB39">
        <v>95</v>
      </c>
      <c r="AE39">
        <v>0</v>
      </c>
      <c r="AH39">
        <v>0</v>
      </c>
      <c r="AK39">
        <v>0</v>
      </c>
      <c r="AL39">
        <f t="shared" si="0"/>
        <v>663</v>
      </c>
      <c r="AM39">
        <v>1412</v>
      </c>
      <c r="AN39">
        <f t="shared" si="1"/>
        <v>0.46954674220963172</v>
      </c>
    </row>
    <row r="40" spans="1:40">
      <c r="A40" t="s">
        <v>28</v>
      </c>
      <c r="B40" t="s">
        <v>29</v>
      </c>
      <c r="C40" t="s">
        <v>51</v>
      </c>
      <c r="D40">
        <v>129401</v>
      </c>
      <c r="E40">
        <v>129401</v>
      </c>
      <c r="G40" t="s">
        <v>67</v>
      </c>
      <c r="H40" t="s">
        <v>32</v>
      </c>
      <c r="I40" s="9" t="s">
        <v>32</v>
      </c>
      <c r="J40">
        <v>10</v>
      </c>
      <c r="M40">
        <v>25</v>
      </c>
      <c r="P40">
        <v>20</v>
      </c>
      <c r="S40">
        <v>20</v>
      </c>
      <c r="V40">
        <v>3</v>
      </c>
      <c r="Y40">
        <v>3</v>
      </c>
      <c r="AB40">
        <v>0</v>
      </c>
      <c r="AE40">
        <v>0</v>
      </c>
      <c r="AH40">
        <v>0</v>
      </c>
      <c r="AK40">
        <v>0</v>
      </c>
      <c r="AL40">
        <f t="shared" si="0"/>
        <v>78</v>
      </c>
      <c r="AM40">
        <v>219</v>
      </c>
      <c r="AN40">
        <f t="shared" si="1"/>
        <v>0.35616438356164382</v>
      </c>
    </row>
    <row r="41" spans="1:40">
      <c r="A41" t="s">
        <v>28</v>
      </c>
      <c r="B41" t="s">
        <v>29</v>
      </c>
      <c r="C41" t="s">
        <v>51</v>
      </c>
      <c r="D41">
        <v>129402</v>
      </c>
      <c r="E41">
        <v>129402</v>
      </c>
      <c r="G41" t="s">
        <v>68</v>
      </c>
      <c r="H41" t="s">
        <v>32</v>
      </c>
      <c r="I41" s="9" t="s">
        <v>32</v>
      </c>
      <c r="J41">
        <v>0</v>
      </c>
      <c r="M41">
        <v>0</v>
      </c>
      <c r="P41">
        <v>0</v>
      </c>
      <c r="S41">
        <v>25</v>
      </c>
      <c r="V41">
        <v>5</v>
      </c>
      <c r="Y41">
        <v>5</v>
      </c>
      <c r="AB41">
        <v>0</v>
      </c>
      <c r="AE41">
        <v>0</v>
      </c>
      <c r="AH41">
        <v>0</v>
      </c>
      <c r="AK41">
        <v>0</v>
      </c>
      <c r="AL41">
        <f t="shared" si="0"/>
        <v>30</v>
      </c>
      <c r="AM41">
        <v>103</v>
      </c>
      <c r="AN41">
        <f t="shared" si="1"/>
        <v>0.29126213592233008</v>
      </c>
    </row>
    <row r="42" spans="1:40">
      <c r="A42" t="s">
        <v>28</v>
      </c>
      <c r="B42" t="s">
        <v>29</v>
      </c>
      <c r="C42" t="s">
        <v>51</v>
      </c>
      <c r="D42">
        <v>129403</v>
      </c>
      <c r="E42">
        <v>129403</v>
      </c>
      <c r="G42" t="s">
        <v>69</v>
      </c>
      <c r="H42" t="s">
        <v>32</v>
      </c>
      <c r="I42" s="9" t="s">
        <v>32</v>
      </c>
      <c r="J42">
        <v>0</v>
      </c>
      <c r="M42">
        <v>10</v>
      </c>
      <c r="P42">
        <v>10</v>
      </c>
      <c r="S42">
        <v>50</v>
      </c>
      <c r="V42">
        <v>6</v>
      </c>
      <c r="Y42">
        <v>0</v>
      </c>
      <c r="AB42">
        <v>0</v>
      </c>
      <c r="AE42">
        <v>0</v>
      </c>
      <c r="AH42">
        <v>0</v>
      </c>
      <c r="AK42">
        <v>0</v>
      </c>
      <c r="AL42">
        <f t="shared" si="0"/>
        <v>70</v>
      </c>
      <c r="AM42">
        <v>131</v>
      </c>
      <c r="AN42">
        <f t="shared" si="1"/>
        <v>0.53435114503816794</v>
      </c>
    </row>
    <row r="43" spans="1:40">
      <c r="A43" t="s">
        <v>28</v>
      </c>
      <c r="B43" t="s">
        <v>29</v>
      </c>
      <c r="C43" t="s">
        <v>51</v>
      </c>
      <c r="D43">
        <v>129404</v>
      </c>
      <c r="E43">
        <v>129404</v>
      </c>
      <c r="G43" t="s">
        <v>70</v>
      </c>
      <c r="H43" t="s">
        <v>32</v>
      </c>
      <c r="I43" s="9" t="s">
        <v>32</v>
      </c>
      <c r="J43">
        <v>5</v>
      </c>
      <c r="M43">
        <v>0</v>
      </c>
      <c r="P43">
        <v>35</v>
      </c>
      <c r="S43">
        <v>0</v>
      </c>
      <c r="V43">
        <v>6</v>
      </c>
      <c r="Y43">
        <v>0</v>
      </c>
      <c r="AB43">
        <v>0</v>
      </c>
      <c r="AE43">
        <v>0</v>
      </c>
      <c r="AH43">
        <v>0</v>
      </c>
      <c r="AK43">
        <v>0</v>
      </c>
      <c r="AL43">
        <f t="shared" si="0"/>
        <v>40</v>
      </c>
      <c r="AM43">
        <v>249</v>
      </c>
      <c r="AN43">
        <f t="shared" si="1"/>
        <v>0.1606425702811245</v>
      </c>
    </row>
    <row r="44" spans="1:40">
      <c r="A44" t="s">
        <v>28</v>
      </c>
      <c r="B44" t="s">
        <v>29</v>
      </c>
      <c r="C44" t="s">
        <v>51</v>
      </c>
      <c r="D44">
        <v>129405</v>
      </c>
      <c r="E44">
        <v>129405</v>
      </c>
      <c r="G44" t="s">
        <v>71</v>
      </c>
      <c r="H44" t="s">
        <v>32</v>
      </c>
      <c r="I44" s="9" t="s">
        <v>32</v>
      </c>
      <c r="J44">
        <v>10</v>
      </c>
      <c r="M44">
        <v>10</v>
      </c>
      <c r="P44">
        <v>75</v>
      </c>
      <c r="S44">
        <v>0</v>
      </c>
      <c r="V44">
        <v>0</v>
      </c>
      <c r="Y44">
        <v>0</v>
      </c>
      <c r="AB44">
        <v>0</v>
      </c>
      <c r="AE44">
        <v>0</v>
      </c>
      <c r="AH44">
        <v>0</v>
      </c>
      <c r="AK44">
        <v>0</v>
      </c>
      <c r="AL44">
        <f t="shared" si="0"/>
        <v>95</v>
      </c>
      <c r="AM44">
        <v>422</v>
      </c>
      <c r="AN44">
        <f t="shared" si="1"/>
        <v>0.22511848341232227</v>
      </c>
    </row>
    <row r="45" spans="1:40">
      <c r="A45" t="s">
        <v>28</v>
      </c>
      <c r="B45" t="s">
        <v>29</v>
      </c>
      <c r="C45" t="s">
        <v>51</v>
      </c>
      <c r="D45">
        <v>129406</v>
      </c>
      <c r="E45">
        <v>129406</v>
      </c>
      <c r="G45" t="s">
        <v>72</v>
      </c>
      <c r="H45" t="s">
        <v>32</v>
      </c>
      <c r="I45" s="9" t="s">
        <v>32</v>
      </c>
      <c r="J45">
        <v>8</v>
      </c>
      <c r="M45">
        <v>14</v>
      </c>
      <c r="P45">
        <v>11</v>
      </c>
      <c r="S45">
        <v>28</v>
      </c>
      <c r="V45">
        <v>21</v>
      </c>
      <c r="Y45">
        <v>16</v>
      </c>
      <c r="AB45">
        <v>0</v>
      </c>
      <c r="AE45">
        <v>0</v>
      </c>
      <c r="AH45">
        <v>0</v>
      </c>
      <c r="AK45">
        <v>0</v>
      </c>
      <c r="AL45">
        <f t="shared" si="0"/>
        <v>77</v>
      </c>
      <c r="AM45">
        <v>196</v>
      </c>
      <c r="AN45">
        <f t="shared" si="1"/>
        <v>0.39285714285714285</v>
      </c>
    </row>
    <row r="46" spans="1:40">
      <c r="A46" t="s">
        <v>28</v>
      </c>
      <c r="B46" t="s">
        <v>29</v>
      </c>
      <c r="C46" t="s">
        <v>51</v>
      </c>
      <c r="D46">
        <v>129407</v>
      </c>
      <c r="E46">
        <v>129407</v>
      </c>
      <c r="G46" t="s">
        <v>73</v>
      </c>
      <c r="H46" t="s">
        <v>32</v>
      </c>
      <c r="I46" s="9" t="s">
        <v>32</v>
      </c>
      <c r="J46">
        <v>0</v>
      </c>
      <c r="M46">
        <v>0</v>
      </c>
      <c r="P46">
        <v>30</v>
      </c>
      <c r="S46">
        <v>15</v>
      </c>
      <c r="V46">
        <v>276</v>
      </c>
      <c r="Y46">
        <v>276</v>
      </c>
      <c r="AB46">
        <v>10</v>
      </c>
      <c r="AE46">
        <v>0</v>
      </c>
      <c r="AH46">
        <v>0</v>
      </c>
      <c r="AK46">
        <v>1</v>
      </c>
      <c r="AL46">
        <f t="shared" si="0"/>
        <v>331</v>
      </c>
      <c r="AM46">
        <v>243</v>
      </c>
      <c r="AN46">
        <f t="shared" si="1"/>
        <v>1.3621399176954732</v>
      </c>
    </row>
    <row r="47" spans="1:40">
      <c r="A47" t="s">
        <v>28</v>
      </c>
      <c r="B47" t="s">
        <v>29</v>
      </c>
      <c r="C47" t="s">
        <v>51</v>
      </c>
      <c r="D47">
        <v>129408</v>
      </c>
      <c r="E47">
        <v>129408</v>
      </c>
      <c r="G47" t="s">
        <v>74</v>
      </c>
      <c r="H47" t="s">
        <v>32</v>
      </c>
      <c r="I47" s="9" t="s">
        <v>32</v>
      </c>
      <c r="J47">
        <v>15</v>
      </c>
      <c r="M47">
        <v>30</v>
      </c>
      <c r="P47">
        <v>0</v>
      </c>
      <c r="S47">
        <v>40</v>
      </c>
      <c r="V47">
        <v>95</v>
      </c>
      <c r="Y47">
        <v>95</v>
      </c>
      <c r="AB47">
        <v>32</v>
      </c>
      <c r="AE47">
        <v>0</v>
      </c>
      <c r="AH47">
        <v>0</v>
      </c>
      <c r="AK47">
        <v>0</v>
      </c>
      <c r="AL47">
        <f t="shared" si="0"/>
        <v>212</v>
      </c>
      <c r="AM47">
        <v>150</v>
      </c>
      <c r="AN47">
        <f t="shared" si="1"/>
        <v>1.4133333333333333</v>
      </c>
    </row>
    <row r="48" spans="1:40">
      <c r="A48" t="s">
        <v>28</v>
      </c>
      <c r="B48" t="s">
        <v>29</v>
      </c>
      <c r="C48" t="s">
        <v>51</v>
      </c>
      <c r="D48">
        <v>129409</v>
      </c>
      <c r="E48">
        <v>129409</v>
      </c>
      <c r="G48" t="s">
        <v>75</v>
      </c>
      <c r="H48" t="s">
        <v>32</v>
      </c>
      <c r="I48" s="9" t="s">
        <v>32</v>
      </c>
      <c r="J48">
        <v>0</v>
      </c>
      <c r="M48">
        <v>0</v>
      </c>
      <c r="P48">
        <v>81</v>
      </c>
      <c r="S48">
        <v>10</v>
      </c>
      <c r="V48">
        <v>0</v>
      </c>
      <c r="Y48">
        <v>0</v>
      </c>
      <c r="AB48">
        <v>322</v>
      </c>
      <c r="AE48">
        <v>0</v>
      </c>
      <c r="AH48">
        <v>0</v>
      </c>
      <c r="AK48">
        <v>0</v>
      </c>
      <c r="AL48">
        <f t="shared" si="0"/>
        <v>413</v>
      </c>
      <c r="AM48">
        <v>672</v>
      </c>
      <c r="AN48">
        <f t="shared" si="1"/>
        <v>0.61458333333333337</v>
      </c>
    </row>
    <row r="49" spans="1:40">
      <c r="A49" t="s">
        <v>28</v>
      </c>
      <c r="B49" t="s">
        <v>29</v>
      </c>
      <c r="C49" t="s">
        <v>51</v>
      </c>
      <c r="D49">
        <v>257001</v>
      </c>
      <c r="E49">
        <v>257001</v>
      </c>
      <c r="G49" t="s">
        <v>76</v>
      </c>
      <c r="H49" t="s">
        <v>32</v>
      </c>
      <c r="I49" s="9" t="s">
        <v>32</v>
      </c>
      <c r="J49">
        <v>0</v>
      </c>
      <c r="M49">
        <v>0</v>
      </c>
      <c r="P49">
        <v>240</v>
      </c>
      <c r="S49">
        <v>0</v>
      </c>
      <c r="V49">
        <v>0</v>
      </c>
      <c r="Y49">
        <v>0</v>
      </c>
      <c r="AB49">
        <v>40</v>
      </c>
      <c r="AE49">
        <v>0</v>
      </c>
      <c r="AH49">
        <v>0</v>
      </c>
      <c r="AK49">
        <v>0</v>
      </c>
      <c r="AL49">
        <f t="shared" si="0"/>
        <v>280</v>
      </c>
      <c r="AM49">
        <v>721</v>
      </c>
      <c r="AN49">
        <f t="shared" si="1"/>
        <v>0.38834951456310679</v>
      </c>
    </row>
    <row r="50" spans="1:40">
      <c r="A50" t="s">
        <v>28</v>
      </c>
      <c r="B50" t="s">
        <v>29</v>
      </c>
      <c r="C50" t="s">
        <v>51</v>
      </c>
      <c r="D50">
        <v>304303</v>
      </c>
      <c r="E50">
        <v>304303</v>
      </c>
      <c r="G50" t="s">
        <v>77</v>
      </c>
      <c r="H50" t="s">
        <v>45</v>
      </c>
      <c r="I50" s="9" t="s">
        <v>45</v>
      </c>
      <c r="Q50" s="10">
        <v>42.395209580838326</v>
      </c>
      <c r="R50" s="10">
        <v>17.604790419161674</v>
      </c>
      <c r="T50" s="10">
        <v>0</v>
      </c>
      <c r="U50" s="10">
        <v>0</v>
      </c>
      <c r="W50" s="10">
        <v>0</v>
      </c>
      <c r="X50" s="10">
        <v>0</v>
      </c>
      <c r="Z50" s="10">
        <v>0</v>
      </c>
      <c r="AA50" s="10">
        <v>0</v>
      </c>
      <c r="AF50">
        <v>225</v>
      </c>
      <c r="AJ50">
        <v>124</v>
      </c>
      <c r="AK50">
        <v>1</v>
      </c>
      <c r="AL50">
        <f t="shared" si="0"/>
        <v>409</v>
      </c>
      <c r="AM50">
        <v>668</v>
      </c>
      <c r="AN50">
        <f t="shared" si="1"/>
        <v>0.61227544910179643</v>
      </c>
    </row>
    <row r="51" spans="1:40">
      <c r="A51" t="s">
        <v>28</v>
      </c>
      <c r="B51" t="s">
        <v>29</v>
      </c>
      <c r="C51" t="s">
        <v>51</v>
      </c>
      <c r="D51">
        <v>304305</v>
      </c>
      <c r="E51">
        <v>304305</v>
      </c>
      <c r="G51" t="s">
        <v>78</v>
      </c>
      <c r="H51" t="s">
        <v>45</v>
      </c>
      <c r="I51" s="9" t="s">
        <v>45</v>
      </c>
      <c r="Q51" s="10">
        <v>0</v>
      </c>
      <c r="R51" s="10">
        <v>0</v>
      </c>
      <c r="T51" s="10">
        <v>0</v>
      </c>
      <c r="U51" s="10">
        <v>0</v>
      </c>
      <c r="W51" s="10">
        <v>0</v>
      </c>
      <c r="X51" s="10">
        <v>0</v>
      </c>
      <c r="Z51" s="10">
        <v>0</v>
      </c>
      <c r="AA51" s="10">
        <v>0</v>
      </c>
      <c r="AF51">
        <v>180</v>
      </c>
      <c r="AJ51">
        <v>0</v>
      </c>
      <c r="AK51">
        <v>1</v>
      </c>
      <c r="AL51">
        <f t="shared" si="0"/>
        <v>180</v>
      </c>
      <c r="AM51">
        <v>531</v>
      </c>
      <c r="AN51">
        <f t="shared" si="1"/>
        <v>0.33898305084745761</v>
      </c>
    </row>
    <row r="52" spans="1:40">
      <c r="A52" t="s">
        <v>28</v>
      </c>
      <c r="B52" t="s">
        <v>29</v>
      </c>
      <c r="C52" t="s">
        <v>51</v>
      </c>
      <c r="D52">
        <v>304314</v>
      </c>
      <c r="E52">
        <v>304314</v>
      </c>
      <c r="G52" t="s">
        <v>79</v>
      </c>
      <c r="H52" t="s">
        <v>45</v>
      </c>
      <c r="I52" s="9" t="s">
        <v>45</v>
      </c>
      <c r="Q52" s="10">
        <v>70.023419203747068</v>
      </c>
      <c r="R52" s="10">
        <v>29.976580796252929</v>
      </c>
      <c r="T52" s="10">
        <v>0</v>
      </c>
      <c r="U52" s="10">
        <v>0</v>
      </c>
      <c r="W52" s="10">
        <v>45.515222482435597</v>
      </c>
      <c r="X52" s="10">
        <v>19.484777517564403</v>
      </c>
      <c r="Z52" s="10">
        <v>0</v>
      </c>
      <c r="AA52" s="10">
        <v>0</v>
      </c>
      <c r="AF52">
        <v>0</v>
      </c>
      <c r="AJ52">
        <v>0</v>
      </c>
      <c r="AK52">
        <v>1</v>
      </c>
      <c r="AL52">
        <f t="shared" si="0"/>
        <v>100</v>
      </c>
      <c r="AM52">
        <v>426</v>
      </c>
      <c r="AN52">
        <f t="shared" si="1"/>
        <v>0.23474178403755869</v>
      </c>
    </row>
    <row r="53" spans="1:40">
      <c r="A53" t="s">
        <v>28</v>
      </c>
      <c r="B53" t="s">
        <v>29</v>
      </c>
      <c r="C53" t="s">
        <v>51</v>
      </c>
      <c r="D53">
        <v>304327</v>
      </c>
      <c r="E53">
        <v>304327</v>
      </c>
      <c r="G53" t="s">
        <v>80</v>
      </c>
      <c r="H53" t="s">
        <v>45</v>
      </c>
      <c r="I53" s="9" t="s">
        <v>45</v>
      </c>
      <c r="Q53" s="10">
        <v>737.53018223234619</v>
      </c>
      <c r="R53" s="10">
        <v>259.46981776765375</v>
      </c>
      <c r="T53" s="10">
        <v>0</v>
      </c>
      <c r="U53" s="10">
        <v>0</v>
      </c>
      <c r="W53" s="10">
        <v>355.0797266514806</v>
      </c>
      <c r="X53" s="10">
        <v>124.92027334851936</v>
      </c>
      <c r="Z53" s="10">
        <v>406.86218678815487</v>
      </c>
      <c r="AA53" s="10">
        <v>143.1378132118451</v>
      </c>
      <c r="AF53">
        <v>23</v>
      </c>
      <c r="AJ53">
        <v>23</v>
      </c>
      <c r="AK53">
        <v>1</v>
      </c>
      <c r="AL53">
        <f t="shared" si="0"/>
        <v>1592.9999999999998</v>
      </c>
      <c r="AM53">
        <v>1754</v>
      </c>
      <c r="AN53">
        <f t="shared" si="1"/>
        <v>0.90820980615735447</v>
      </c>
    </row>
    <row r="54" spans="1:40">
      <c r="A54" t="s">
        <v>28</v>
      </c>
      <c r="B54" t="s">
        <v>29</v>
      </c>
      <c r="C54" t="s">
        <v>51</v>
      </c>
      <c r="D54">
        <v>304328</v>
      </c>
      <c r="E54">
        <v>304328</v>
      </c>
      <c r="G54" t="s">
        <v>81</v>
      </c>
      <c r="H54" t="s">
        <v>45</v>
      </c>
      <c r="I54" s="9" t="s">
        <v>45</v>
      </c>
      <c r="Q54" s="10">
        <v>62.302839116719241</v>
      </c>
      <c r="R54" s="10">
        <v>37.697160883280759</v>
      </c>
      <c r="T54" s="10">
        <v>0</v>
      </c>
      <c r="U54" s="10">
        <v>0</v>
      </c>
      <c r="W54" s="10">
        <v>6.2302839116719246</v>
      </c>
      <c r="X54" s="10">
        <v>3.7697160883280754</v>
      </c>
      <c r="Z54" s="10">
        <v>0</v>
      </c>
      <c r="AA54" s="10">
        <v>0</v>
      </c>
      <c r="AF54">
        <v>0</v>
      </c>
      <c r="AJ54">
        <v>10</v>
      </c>
      <c r="AK54">
        <v>1</v>
      </c>
      <c r="AL54">
        <f t="shared" si="0"/>
        <v>110</v>
      </c>
      <c r="AM54">
        <v>634</v>
      </c>
      <c r="AN54">
        <f t="shared" si="1"/>
        <v>0.17350157728706625</v>
      </c>
    </row>
    <row r="55" spans="1:40">
      <c r="A55" t="s">
        <v>28</v>
      </c>
      <c r="B55" t="s">
        <v>29</v>
      </c>
      <c r="C55" t="s">
        <v>51</v>
      </c>
      <c r="D55">
        <v>304338</v>
      </c>
      <c r="E55">
        <v>304338</v>
      </c>
      <c r="G55" t="s">
        <v>82</v>
      </c>
      <c r="H55" t="s">
        <v>45</v>
      </c>
      <c r="I55" s="9" t="s">
        <v>45</v>
      </c>
      <c r="Q55" s="10">
        <v>140.67796610169492</v>
      </c>
      <c r="R55" s="10">
        <v>59.322033898305079</v>
      </c>
      <c r="T55" s="10">
        <v>158.26271186440678</v>
      </c>
      <c r="U55" s="10">
        <v>66.737288135593218</v>
      </c>
      <c r="W55" s="10">
        <v>4.9237288135593218</v>
      </c>
      <c r="X55" s="10">
        <v>2.0762711864406778</v>
      </c>
      <c r="Z55" s="10">
        <v>8.4406779661016955</v>
      </c>
      <c r="AA55" s="10">
        <v>3.5593220338983049</v>
      </c>
      <c r="AF55">
        <v>46</v>
      </c>
      <c r="AJ55">
        <v>46</v>
      </c>
      <c r="AK55">
        <v>1</v>
      </c>
      <c r="AL55">
        <f t="shared" si="0"/>
        <v>529</v>
      </c>
      <c r="AM55">
        <v>236</v>
      </c>
      <c r="AN55">
        <f t="shared" si="1"/>
        <v>2.2415254237288136</v>
      </c>
    </row>
    <row r="56" spans="1:40">
      <c r="A56" t="s">
        <v>28</v>
      </c>
      <c r="B56" t="s">
        <v>29</v>
      </c>
      <c r="C56" t="s">
        <v>51</v>
      </c>
      <c r="D56">
        <v>305680</v>
      </c>
      <c r="E56">
        <v>305680</v>
      </c>
      <c r="G56" t="s">
        <v>83</v>
      </c>
      <c r="H56" t="s">
        <v>45</v>
      </c>
      <c r="I56" s="9" t="s">
        <v>45</v>
      </c>
      <c r="Q56" s="10">
        <v>315.22965350523771</v>
      </c>
      <c r="R56" s="10">
        <v>84.770346494762279</v>
      </c>
      <c r="T56" s="10">
        <v>0</v>
      </c>
      <c r="U56" s="10">
        <v>0</v>
      </c>
      <c r="W56" s="10">
        <v>23.642224012892829</v>
      </c>
      <c r="X56" s="10">
        <v>6.3577759871071713</v>
      </c>
      <c r="Z56" s="10">
        <v>39.403706688154713</v>
      </c>
      <c r="AA56" s="10">
        <v>10.596293311845285</v>
      </c>
      <c r="AF56">
        <v>0</v>
      </c>
      <c r="AJ56">
        <v>0</v>
      </c>
      <c r="AK56">
        <v>1</v>
      </c>
      <c r="AL56">
        <f t="shared" si="0"/>
        <v>450</v>
      </c>
      <c r="AM56">
        <v>1237</v>
      </c>
      <c r="AN56">
        <f t="shared" si="1"/>
        <v>0.36378334680679064</v>
      </c>
    </row>
    <row r="57" spans="1:40">
      <c r="A57" t="s">
        <v>28</v>
      </c>
      <c r="B57" t="s">
        <v>29</v>
      </c>
      <c r="C57" t="s">
        <v>51</v>
      </c>
      <c r="D57">
        <v>316104</v>
      </c>
      <c r="E57">
        <v>316104</v>
      </c>
      <c r="G57" t="s">
        <v>84</v>
      </c>
      <c r="H57" t="s">
        <v>45</v>
      </c>
      <c r="I57" s="9" t="s">
        <v>45</v>
      </c>
      <c r="Q57" s="10">
        <v>0</v>
      </c>
      <c r="R57" s="10">
        <v>0</v>
      </c>
      <c r="T57" s="10">
        <v>0</v>
      </c>
      <c r="U57" s="10">
        <v>0</v>
      </c>
      <c r="W57" s="10">
        <v>375.76832151300238</v>
      </c>
      <c r="X57" s="10">
        <v>174.23167848699765</v>
      </c>
      <c r="Z57" s="10">
        <v>0</v>
      </c>
      <c r="AA57" s="10">
        <v>0</v>
      </c>
      <c r="AF57">
        <v>46</v>
      </c>
      <c r="AJ57">
        <v>0</v>
      </c>
      <c r="AK57">
        <v>1</v>
      </c>
      <c r="AL57">
        <f t="shared" si="0"/>
        <v>46</v>
      </c>
      <c r="AM57">
        <v>423</v>
      </c>
      <c r="AN57">
        <f t="shared" si="1"/>
        <v>0.10874704491725769</v>
      </c>
    </row>
    <row r="58" spans="1:40">
      <c r="A58" t="s">
        <v>28</v>
      </c>
      <c r="B58" t="s">
        <v>29</v>
      </c>
      <c r="C58" t="s">
        <v>51</v>
      </c>
      <c r="D58">
        <v>325101</v>
      </c>
      <c r="E58">
        <v>325101</v>
      </c>
      <c r="G58" t="s">
        <v>85</v>
      </c>
      <c r="H58" t="s">
        <v>45</v>
      </c>
      <c r="I58" s="9" t="s">
        <v>45</v>
      </c>
      <c r="Q58" s="10">
        <v>184.61538461538461</v>
      </c>
      <c r="R58" s="10">
        <v>15.384615384615385</v>
      </c>
      <c r="T58" s="10">
        <v>0</v>
      </c>
      <c r="U58" s="10">
        <v>0</v>
      </c>
      <c r="W58" s="10">
        <v>35.07692307692308</v>
      </c>
      <c r="X58" s="10">
        <v>2.9230769230769234</v>
      </c>
      <c r="Z58" s="10">
        <v>17.53846153846154</v>
      </c>
      <c r="AA58" s="10">
        <v>1.4615384615384617</v>
      </c>
      <c r="AF58">
        <v>0</v>
      </c>
      <c r="AJ58">
        <v>0</v>
      </c>
      <c r="AK58">
        <v>1</v>
      </c>
      <c r="AL58">
        <f t="shared" si="0"/>
        <v>219</v>
      </c>
      <c r="AM58">
        <v>209</v>
      </c>
      <c r="AN58">
        <f t="shared" si="1"/>
        <v>1.0478468899521531</v>
      </c>
    </row>
    <row r="59" spans="1:40">
      <c r="A59" t="s">
        <v>28</v>
      </c>
      <c r="B59" t="s">
        <v>29</v>
      </c>
      <c r="C59" t="s">
        <v>51</v>
      </c>
      <c r="D59">
        <v>325102</v>
      </c>
      <c r="E59">
        <v>325102</v>
      </c>
      <c r="G59" t="s">
        <v>86</v>
      </c>
      <c r="H59" t="s">
        <v>45</v>
      </c>
      <c r="I59" s="9" t="s">
        <v>45</v>
      </c>
      <c r="Q59" s="10">
        <v>53.583138173302103</v>
      </c>
      <c r="R59" s="10">
        <v>26.41686182669789</v>
      </c>
      <c r="T59" s="10">
        <v>0</v>
      </c>
      <c r="U59" s="10">
        <v>0</v>
      </c>
      <c r="W59" s="10">
        <v>29.470725995316158</v>
      </c>
      <c r="X59" s="10">
        <v>14.52927400468384</v>
      </c>
      <c r="Z59" s="10">
        <v>29.470725995316158</v>
      </c>
      <c r="AA59" s="10">
        <v>14.52927400468384</v>
      </c>
      <c r="AF59">
        <v>0</v>
      </c>
      <c r="AJ59">
        <v>0</v>
      </c>
      <c r="AK59">
        <v>1</v>
      </c>
      <c r="AL59">
        <f t="shared" si="0"/>
        <v>124</v>
      </c>
      <c r="AM59">
        <v>429</v>
      </c>
      <c r="AN59">
        <f t="shared" si="1"/>
        <v>0.28904428904428903</v>
      </c>
    </row>
    <row r="60" spans="1:40">
      <c r="A60" t="s">
        <v>28</v>
      </c>
      <c r="B60" t="s">
        <v>29</v>
      </c>
      <c r="C60" t="s">
        <v>51</v>
      </c>
      <c r="D60">
        <v>325106</v>
      </c>
      <c r="E60">
        <v>325106</v>
      </c>
      <c r="G60" t="s">
        <v>87</v>
      </c>
      <c r="H60" t="s">
        <v>45</v>
      </c>
      <c r="I60" s="9" t="s">
        <v>45</v>
      </c>
      <c r="Q60" s="10">
        <v>248.25477707006368</v>
      </c>
      <c r="R60" s="10">
        <v>99.745222929936304</v>
      </c>
      <c r="T60" s="10">
        <v>0</v>
      </c>
      <c r="U60" s="10">
        <v>0</v>
      </c>
      <c r="W60" s="10">
        <v>8.5605095541401273</v>
      </c>
      <c r="X60" s="10">
        <v>3.4394904458598727</v>
      </c>
      <c r="Z60" s="10">
        <v>7.8471337579617826</v>
      </c>
      <c r="AA60" s="10">
        <v>3.1528662420382165</v>
      </c>
      <c r="AF60">
        <v>39</v>
      </c>
      <c r="AJ60">
        <v>0</v>
      </c>
      <c r="AK60">
        <v>1</v>
      </c>
      <c r="AL60">
        <f t="shared" si="0"/>
        <v>398</v>
      </c>
      <c r="AM60">
        <v>471</v>
      </c>
      <c r="AN60">
        <f t="shared" si="1"/>
        <v>0.84501061571125269</v>
      </c>
    </row>
    <row r="61" spans="1:40">
      <c r="A61" t="s">
        <v>28</v>
      </c>
      <c r="B61" t="s">
        <v>29</v>
      </c>
      <c r="C61" t="s">
        <v>88</v>
      </c>
      <c r="D61">
        <v>102157</v>
      </c>
      <c r="E61">
        <v>102157</v>
      </c>
      <c r="G61" t="s">
        <v>89</v>
      </c>
      <c r="H61" t="s">
        <v>32</v>
      </c>
      <c r="I61" s="9" t="s">
        <v>32</v>
      </c>
      <c r="J61">
        <v>0</v>
      </c>
      <c r="M61">
        <v>0</v>
      </c>
      <c r="P61">
        <v>0</v>
      </c>
      <c r="S61">
        <v>0</v>
      </c>
      <c r="V61">
        <v>0</v>
      </c>
      <c r="Y61">
        <v>0</v>
      </c>
      <c r="AB61">
        <v>0</v>
      </c>
      <c r="AE61">
        <v>0</v>
      </c>
      <c r="AH61">
        <v>0</v>
      </c>
      <c r="AK61">
        <v>0</v>
      </c>
      <c r="AL61">
        <f t="shared" si="0"/>
        <v>0</v>
      </c>
      <c r="AM61">
        <v>152</v>
      </c>
      <c r="AN61">
        <f t="shared" si="1"/>
        <v>0</v>
      </c>
    </row>
    <row r="62" spans="1:40">
      <c r="A62" t="s">
        <v>28</v>
      </c>
      <c r="B62" t="s">
        <v>29</v>
      </c>
      <c r="C62" t="s">
        <v>88</v>
      </c>
      <c r="D62">
        <v>102164</v>
      </c>
      <c r="E62">
        <v>102164</v>
      </c>
      <c r="G62" t="s">
        <v>90</v>
      </c>
      <c r="H62" t="s">
        <v>32</v>
      </c>
      <c r="I62" s="9" t="s">
        <v>32</v>
      </c>
      <c r="J62">
        <v>0</v>
      </c>
      <c r="M62">
        <v>0</v>
      </c>
      <c r="P62">
        <v>89</v>
      </c>
      <c r="S62">
        <v>0</v>
      </c>
      <c r="V62">
        <v>0</v>
      </c>
      <c r="Y62">
        <v>0</v>
      </c>
      <c r="AB62">
        <v>0</v>
      </c>
      <c r="AE62">
        <v>0</v>
      </c>
      <c r="AH62">
        <v>0</v>
      </c>
      <c r="AK62">
        <v>0</v>
      </c>
      <c r="AL62">
        <f t="shared" si="0"/>
        <v>89</v>
      </c>
      <c r="AM62">
        <v>97</v>
      </c>
      <c r="AN62">
        <f t="shared" si="1"/>
        <v>0.91752577319587625</v>
      </c>
    </row>
    <row r="63" spans="1:40">
      <c r="A63" t="s">
        <v>28</v>
      </c>
      <c r="B63" t="s">
        <v>29</v>
      </c>
      <c r="C63" t="s">
        <v>88</v>
      </c>
      <c r="D63">
        <v>129410</v>
      </c>
      <c r="E63">
        <v>129410</v>
      </c>
      <c r="G63" t="s">
        <v>91</v>
      </c>
      <c r="H63" t="s">
        <v>32</v>
      </c>
      <c r="I63" s="9" t="s">
        <v>32</v>
      </c>
      <c r="J63">
        <v>10</v>
      </c>
      <c r="M63">
        <v>30</v>
      </c>
      <c r="P63">
        <v>60</v>
      </c>
      <c r="S63">
        <v>42</v>
      </c>
      <c r="V63">
        <v>36</v>
      </c>
      <c r="Y63">
        <v>9</v>
      </c>
      <c r="AB63">
        <v>50</v>
      </c>
      <c r="AE63">
        <v>0</v>
      </c>
      <c r="AH63">
        <v>0</v>
      </c>
      <c r="AK63">
        <v>0</v>
      </c>
      <c r="AL63">
        <f t="shared" si="0"/>
        <v>201</v>
      </c>
      <c r="AM63">
        <v>211</v>
      </c>
      <c r="AN63">
        <f t="shared" si="1"/>
        <v>0.95260663507109</v>
      </c>
    </row>
    <row r="64" spans="1:40">
      <c r="A64" t="s">
        <v>28</v>
      </c>
      <c r="B64" t="s">
        <v>29</v>
      </c>
      <c r="C64" t="s">
        <v>88</v>
      </c>
      <c r="D64">
        <v>129412</v>
      </c>
      <c r="E64">
        <v>129412</v>
      </c>
      <c r="G64" t="s">
        <v>92</v>
      </c>
      <c r="H64" t="s">
        <v>32</v>
      </c>
      <c r="I64" s="9" t="s">
        <v>32</v>
      </c>
      <c r="J64">
        <v>8</v>
      </c>
      <c r="M64">
        <v>10</v>
      </c>
      <c r="P64">
        <v>30</v>
      </c>
      <c r="S64">
        <v>40</v>
      </c>
      <c r="V64">
        <v>0</v>
      </c>
      <c r="Y64">
        <v>0</v>
      </c>
      <c r="AB64">
        <v>0</v>
      </c>
      <c r="AE64">
        <v>0</v>
      </c>
      <c r="AH64">
        <v>0</v>
      </c>
      <c r="AK64">
        <v>0</v>
      </c>
      <c r="AL64">
        <f t="shared" si="0"/>
        <v>88</v>
      </c>
      <c r="AM64">
        <v>99</v>
      </c>
      <c r="AN64">
        <f t="shared" si="1"/>
        <v>0.88888888888888884</v>
      </c>
    </row>
    <row r="65" spans="1:40">
      <c r="A65" t="s">
        <v>28</v>
      </c>
      <c r="B65" t="s">
        <v>29</v>
      </c>
      <c r="C65" t="s">
        <v>88</v>
      </c>
      <c r="D65">
        <v>129413</v>
      </c>
      <c r="E65">
        <v>129413</v>
      </c>
      <c r="G65" t="s">
        <v>93</v>
      </c>
      <c r="H65" t="s">
        <v>32</v>
      </c>
      <c r="I65" s="9" t="s">
        <v>32</v>
      </c>
      <c r="J65">
        <v>5</v>
      </c>
      <c r="M65">
        <v>0</v>
      </c>
      <c r="P65">
        <v>35</v>
      </c>
      <c r="S65">
        <v>20</v>
      </c>
      <c r="V65">
        <v>0</v>
      </c>
      <c r="Y65">
        <v>0</v>
      </c>
      <c r="AB65">
        <v>0</v>
      </c>
      <c r="AE65">
        <v>0</v>
      </c>
      <c r="AH65">
        <v>0</v>
      </c>
      <c r="AK65">
        <v>0</v>
      </c>
      <c r="AL65">
        <f t="shared" si="0"/>
        <v>60</v>
      </c>
      <c r="AM65">
        <v>301</v>
      </c>
      <c r="AN65">
        <f t="shared" si="1"/>
        <v>0.19933554817275748</v>
      </c>
    </row>
    <row r="66" spans="1:40">
      <c r="A66" t="s">
        <v>28</v>
      </c>
      <c r="B66" t="s">
        <v>29</v>
      </c>
      <c r="C66" t="s">
        <v>88</v>
      </c>
      <c r="D66">
        <v>129414</v>
      </c>
      <c r="E66">
        <v>129414</v>
      </c>
      <c r="G66" t="s">
        <v>94</v>
      </c>
      <c r="H66" t="s">
        <v>32</v>
      </c>
      <c r="I66" s="9" t="s">
        <v>32</v>
      </c>
      <c r="J66">
        <v>2</v>
      </c>
      <c r="M66">
        <v>10</v>
      </c>
      <c r="P66">
        <v>35</v>
      </c>
      <c r="S66">
        <v>70</v>
      </c>
      <c r="V66">
        <v>2</v>
      </c>
      <c r="Y66">
        <v>30</v>
      </c>
      <c r="AB66">
        <v>90</v>
      </c>
      <c r="AE66">
        <v>0</v>
      </c>
      <c r="AH66">
        <v>0</v>
      </c>
      <c r="AK66">
        <v>0</v>
      </c>
      <c r="AL66">
        <f t="shared" si="0"/>
        <v>237</v>
      </c>
      <c r="AM66">
        <v>328</v>
      </c>
      <c r="AN66">
        <f t="shared" si="1"/>
        <v>0.72256097560975607</v>
      </c>
    </row>
    <row r="67" spans="1:40">
      <c r="A67" t="s">
        <v>28</v>
      </c>
      <c r="B67" t="s">
        <v>29</v>
      </c>
      <c r="C67" t="s">
        <v>88</v>
      </c>
      <c r="D67">
        <v>129417</v>
      </c>
      <c r="E67">
        <v>129417</v>
      </c>
      <c r="G67" t="s">
        <v>95</v>
      </c>
      <c r="H67" t="s">
        <v>32</v>
      </c>
      <c r="I67" s="9" t="s">
        <v>32</v>
      </c>
      <c r="J67">
        <v>0</v>
      </c>
      <c r="M67">
        <v>30</v>
      </c>
      <c r="P67">
        <v>60</v>
      </c>
      <c r="S67">
        <v>50</v>
      </c>
      <c r="V67">
        <v>0</v>
      </c>
      <c r="Y67">
        <v>0</v>
      </c>
      <c r="AB67">
        <v>0</v>
      </c>
      <c r="AE67">
        <v>0</v>
      </c>
      <c r="AH67">
        <v>0</v>
      </c>
      <c r="AK67">
        <v>0</v>
      </c>
      <c r="AL67">
        <f t="shared" si="0"/>
        <v>140</v>
      </c>
      <c r="AM67">
        <v>573</v>
      </c>
      <c r="AN67">
        <f t="shared" si="1"/>
        <v>0.24432809773123909</v>
      </c>
    </row>
    <row r="68" spans="1:40">
      <c r="A68" t="s">
        <v>28</v>
      </c>
      <c r="B68" t="s">
        <v>29</v>
      </c>
      <c r="C68" t="s">
        <v>88</v>
      </c>
      <c r="D68">
        <v>129418</v>
      </c>
      <c r="E68">
        <v>129418</v>
      </c>
      <c r="G68" t="s">
        <v>96</v>
      </c>
      <c r="H68" t="s">
        <v>32</v>
      </c>
      <c r="I68" s="9" t="s">
        <v>32</v>
      </c>
      <c r="J68">
        <v>0</v>
      </c>
      <c r="M68">
        <v>0</v>
      </c>
      <c r="P68">
        <v>47</v>
      </c>
      <c r="S68">
        <v>10</v>
      </c>
      <c r="V68">
        <v>3</v>
      </c>
      <c r="Y68">
        <v>12</v>
      </c>
      <c r="AB68">
        <v>0</v>
      </c>
      <c r="AE68">
        <v>0</v>
      </c>
      <c r="AH68">
        <v>0</v>
      </c>
      <c r="AK68">
        <v>0</v>
      </c>
      <c r="AL68">
        <f t="shared" si="0"/>
        <v>69</v>
      </c>
      <c r="AM68">
        <v>151</v>
      </c>
      <c r="AN68">
        <f t="shared" si="1"/>
        <v>0.45695364238410596</v>
      </c>
    </row>
    <row r="69" spans="1:40">
      <c r="A69" t="s">
        <v>28</v>
      </c>
      <c r="B69" t="s">
        <v>29</v>
      </c>
      <c r="C69" t="s">
        <v>88</v>
      </c>
      <c r="D69">
        <v>129419</v>
      </c>
      <c r="E69">
        <v>129419</v>
      </c>
      <c r="G69" t="s">
        <v>97</v>
      </c>
      <c r="H69" t="s">
        <v>32</v>
      </c>
      <c r="I69" s="9" t="s">
        <v>32</v>
      </c>
      <c r="J69">
        <v>2</v>
      </c>
      <c r="M69">
        <v>2</v>
      </c>
      <c r="P69">
        <v>50</v>
      </c>
      <c r="S69">
        <v>100</v>
      </c>
      <c r="V69">
        <v>0</v>
      </c>
      <c r="Y69">
        <v>0</v>
      </c>
      <c r="AB69">
        <v>0</v>
      </c>
      <c r="AE69">
        <v>0</v>
      </c>
      <c r="AH69">
        <v>0</v>
      </c>
      <c r="AK69">
        <v>0</v>
      </c>
      <c r="AL69">
        <f t="shared" si="0"/>
        <v>154</v>
      </c>
      <c r="AM69">
        <v>379</v>
      </c>
      <c r="AN69">
        <f t="shared" si="1"/>
        <v>0.40633245382585753</v>
      </c>
    </row>
    <row r="70" spans="1:40">
      <c r="A70" t="s">
        <v>28</v>
      </c>
      <c r="B70" t="s">
        <v>29</v>
      </c>
      <c r="C70" t="s">
        <v>88</v>
      </c>
      <c r="D70">
        <v>129420</v>
      </c>
      <c r="E70">
        <v>129420</v>
      </c>
      <c r="G70" t="s">
        <v>98</v>
      </c>
      <c r="H70" t="s">
        <v>32</v>
      </c>
      <c r="I70" s="9" t="s">
        <v>32</v>
      </c>
      <c r="J70">
        <v>1</v>
      </c>
      <c r="M70">
        <v>25</v>
      </c>
      <c r="P70">
        <v>115</v>
      </c>
      <c r="S70">
        <v>32</v>
      </c>
      <c r="V70">
        <v>13</v>
      </c>
      <c r="Y70">
        <v>0</v>
      </c>
      <c r="AB70">
        <v>0</v>
      </c>
      <c r="AE70">
        <v>0</v>
      </c>
      <c r="AH70">
        <v>0</v>
      </c>
      <c r="AK70">
        <v>0</v>
      </c>
      <c r="AL70">
        <f t="shared" si="0"/>
        <v>173</v>
      </c>
      <c r="AM70">
        <v>228</v>
      </c>
      <c r="AN70">
        <f t="shared" si="1"/>
        <v>0.75877192982456143</v>
      </c>
    </row>
    <row r="71" spans="1:40">
      <c r="A71" t="s">
        <v>28</v>
      </c>
      <c r="B71" t="s">
        <v>29</v>
      </c>
      <c r="C71" t="s">
        <v>88</v>
      </c>
      <c r="D71">
        <v>129421</v>
      </c>
      <c r="E71">
        <v>129421</v>
      </c>
      <c r="G71" t="s">
        <v>99</v>
      </c>
      <c r="H71" t="s">
        <v>32</v>
      </c>
      <c r="I71" s="9" t="s">
        <v>32</v>
      </c>
      <c r="J71">
        <v>6</v>
      </c>
      <c r="M71">
        <v>10</v>
      </c>
      <c r="P71">
        <v>90</v>
      </c>
      <c r="S71">
        <v>0</v>
      </c>
      <c r="V71">
        <v>7</v>
      </c>
      <c r="Y71">
        <v>20</v>
      </c>
      <c r="AB71">
        <v>0</v>
      </c>
      <c r="AE71">
        <v>0</v>
      </c>
      <c r="AH71">
        <v>0</v>
      </c>
      <c r="AK71">
        <v>0</v>
      </c>
      <c r="AL71">
        <f t="shared" si="0"/>
        <v>126</v>
      </c>
      <c r="AM71">
        <v>100</v>
      </c>
      <c r="AN71">
        <f t="shared" si="1"/>
        <v>1.26</v>
      </c>
    </row>
    <row r="72" spans="1:40">
      <c r="A72" t="s">
        <v>28</v>
      </c>
      <c r="B72" t="s">
        <v>29</v>
      </c>
      <c r="C72" t="s">
        <v>88</v>
      </c>
      <c r="D72">
        <v>129422</v>
      </c>
      <c r="E72">
        <v>129422</v>
      </c>
      <c r="G72" t="s">
        <v>100</v>
      </c>
      <c r="H72" t="s">
        <v>32</v>
      </c>
      <c r="I72" s="9" t="s">
        <v>32</v>
      </c>
      <c r="J72">
        <v>10</v>
      </c>
      <c r="M72">
        <v>10</v>
      </c>
      <c r="P72">
        <v>0</v>
      </c>
      <c r="S72">
        <v>0</v>
      </c>
      <c r="V72">
        <v>0</v>
      </c>
      <c r="Y72">
        <v>0</v>
      </c>
      <c r="AB72">
        <v>0</v>
      </c>
      <c r="AE72">
        <v>0</v>
      </c>
      <c r="AH72">
        <v>0</v>
      </c>
      <c r="AK72">
        <v>0</v>
      </c>
      <c r="AL72">
        <f t="shared" si="0"/>
        <v>20</v>
      </c>
      <c r="AM72">
        <v>193</v>
      </c>
      <c r="AN72">
        <f t="shared" si="1"/>
        <v>0.10362694300518134</v>
      </c>
    </row>
    <row r="73" spans="1:40">
      <c r="A73" t="s">
        <v>28</v>
      </c>
      <c r="B73" t="s">
        <v>29</v>
      </c>
      <c r="C73" t="s">
        <v>88</v>
      </c>
      <c r="D73">
        <v>304313</v>
      </c>
      <c r="E73">
        <v>304313</v>
      </c>
      <c r="G73" t="s">
        <v>101</v>
      </c>
      <c r="H73" t="s">
        <v>45</v>
      </c>
      <c r="I73" s="9" t="s">
        <v>45</v>
      </c>
      <c r="Q73" s="10">
        <v>196.92098092643053</v>
      </c>
      <c r="R73" s="10">
        <v>95.079019073569469</v>
      </c>
      <c r="T73" s="10">
        <v>0</v>
      </c>
      <c r="U73" s="10">
        <v>0</v>
      </c>
      <c r="W73" s="10">
        <v>188.15395095367847</v>
      </c>
      <c r="X73" s="10">
        <v>90.846049046321525</v>
      </c>
      <c r="Z73" s="10">
        <v>91.042234332425068</v>
      </c>
      <c r="AA73" s="10">
        <v>43.957765667574932</v>
      </c>
      <c r="AF73">
        <v>0</v>
      </c>
      <c r="AJ73">
        <v>0</v>
      </c>
      <c r="AK73">
        <v>1</v>
      </c>
      <c r="AL73">
        <f t="shared" ref="AL73:AL79" si="2">SUM(J73:U73,Y73:AJ73)</f>
        <v>427</v>
      </c>
      <c r="AM73">
        <v>734</v>
      </c>
      <c r="AN73">
        <f t="shared" ref="AN73:AN79" si="3">AL73/AM73</f>
        <v>0.58174386920980925</v>
      </c>
    </row>
    <row r="74" spans="1:40">
      <c r="A74" t="s">
        <v>28</v>
      </c>
      <c r="B74" t="s">
        <v>29</v>
      </c>
      <c r="C74" t="s">
        <v>88</v>
      </c>
      <c r="D74">
        <v>304318</v>
      </c>
      <c r="E74">
        <v>304318</v>
      </c>
      <c r="G74" t="s">
        <v>102</v>
      </c>
      <c r="H74" t="s">
        <v>45</v>
      </c>
      <c r="I74" s="9" t="s">
        <v>45</v>
      </c>
      <c r="Q74" s="10">
        <v>234.66584158415841</v>
      </c>
      <c r="R74" s="10">
        <v>100.33415841584159</v>
      </c>
      <c r="T74" s="10">
        <v>0</v>
      </c>
      <c r="U74" s="10">
        <v>0</v>
      </c>
      <c r="W74" s="10">
        <v>7.0049504950495045</v>
      </c>
      <c r="X74" s="10">
        <v>2.995049504950495</v>
      </c>
      <c r="Z74" s="10">
        <v>7.0049504950495045</v>
      </c>
      <c r="AA74" s="10">
        <v>2.995049504950495</v>
      </c>
      <c r="AF74">
        <v>46</v>
      </c>
      <c r="AJ74">
        <v>46</v>
      </c>
      <c r="AK74">
        <v>1</v>
      </c>
      <c r="AL74">
        <f t="shared" si="2"/>
        <v>437</v>
      </c>
      <c r="AM74">
        <v>402</v>
      </c>
      <c r="AN74">
        <f t="shared" si="3"/>
        <v>1.0870646766169154</v>
      </c>
    </row>
    <row r="75" spans="1:40">
      <c r="A75" t="s">
        <v>28</v>
      </c>
      <c r="B75" t="s">
        <v>29</v>
      </c>
      <c r="C75" t="s">
        <v>88</v>
      </c>
      <c r="D75">
        <v>325105</v>
      </c>
      <c r="E75">
        <v>325105</v>
      </c>
      <c r="G75" t="s">
        <v>103</v>
      </c>
      <c r="H75" t="s">
        <v>45</v>
      </c>
      <c r="I75" s="9" t="s">
        <v>45</v>
      </c>
      <c r="Q75" s="10">
        <v>49.214285714285715</v>
      </c>
      <c r="R75" s="10">
        <v>15.785714285714285</v>
      </c>
      <c r="T75" s="10">
        <v>0</v>
      </c>
      <c r="U75" s="10">
        <v>0</v>
      </c>
      <c r="W75" s="10">
        <v>2.2714285714285714</v>
      </c>
      <c r="X75" s="10">
        <v>0.72857142857142854</v>
      </c>
      <c r="Z75" s="10">
        <v>60.571428571428569</v>
      </c>
      <c r="AA75" s="10">
        <v>19.428571428571427</v>
      </c>
      <c r="AF75">
        <v>0</v>
      </c>
      <c r="AJ75">
        <v>0</v>
      </c>
      <c r="AK75">
        <v>1</v>
      </c>
      <c r="AL75">
        <f t="shared" si="2"/>
        <v>145</v>
      </c>
      <c r="AM75">
        <v>489</v>
      </c>
      <c r="AN75">
        <f t="shared" si="3"/>
        <v>0.29652351738241312</v>
      </c>
    </row>
    <row r="76" spans="1:40">
      <c r="A76" t="s">
        <v>28</v>
      </c>
      <c r="B76" t="s">
        <v>29</v>
      </c>
      <c r="C76" t="s">
        <v>88</v>
      </c>
      <c r="D76">
        <v>501085</v>
      </c>
      <c r="E76">
        <v>501085</v>
      </c>
      <c r="G76" t="s">
        <v>104</v>
      </c>
      <c r="H76" t="s">
        <v>105</v>
      </c>
      <c r="I76" s="9" t="s">
        <v>105</v>
      </c>
      <c r="J76" s="9">
        <v>10</v>
      </c>
      <c r="M76">
        <v>25</v>
      </c>
      <c r="P76">
        <v>95</v>
      </c>
      <c r="Q76">
        <v>95</v>
      </c>
      <c r="S76">
        <v>0</v>
      </c>
      <c r="T76">
        <v>0</v>
      </c>
      <c r="V76">
        <v>25</v>
      </c>
      <c r="W76">
        <v>25</v>
      </c>
      <c r="Y76">
        <v>0</v>
      </c>
      <c r="Z76">
        <v>0</v>
      </c>
      <c r="AB76">
        <v>0</v>
      </c>
      <c r="AF76">
        <v>0</v>
      </c>
      <c r="AK76">
        <v>0</v>
      </c>
      <c r="AL76">
        <f t="shared" si="2"/>
        <v>225</v>
      </c>
      <c r="AM76">
        <v>543</v>
      </c>
      <c r="AN76">
        <f t="shared" si="3"/>
        <v>0.4143646408839779</v>
      </c>
    </row>
    <row r="77" spans="1:40">
      <c r="A77" t="s">
        <v>28</v>
      </c>
      <c r="B77" t="s">
        <v>29</v>
      </c>
      <c r="C77" t="s">
        <v>88</v>
      </c>
      <c r="D77">
        <v>501086</v>
      </c>
      <c r="E77">
        <v>501086</v>
      </c>
      <c r="G77" t="s">
        <v>106</v>
      </c>
      <c r="H77" t="s">
        <v>105</v>
      </c>
      <c r="I77" s="9" t="s">
        <v>105</v>
      </c>
      <c r="J77" s="9">
        <v>9</v>
      </c>
      <c r="M77">
        <v>20</v>
      </c>
      <c r="P77">
        <v>100</v>
      </c>
      <c r="Q77">
        <v>100</v>
      </c>
      <c r="S77">
        <v>15</v>
      </c>
      <c r="T77">
        <v>15</v>
      </c>
      <c r="V77">
        <v>7</v>
      </c>
      <c r="W77">
        <v>7</v>
      </c>
      <c r="Y77">
        <v>0</v>
      </c>
      <c r="Z77">
        <v>0</v>
      </c>
      <c r="AB77">
        <v>0</v>
      </c>
      <c r="AF77">
        <v>0</v>
      </c>
      <c r="AK77">
        <v>0</v>
      </c>
      <c r="AL77">
        <f t="shared" si="2"/>
        <v>259</v>
      </c>
      <c r="AM77">
        <v>311</v>
      </c>
      <c r="AN77">
        <f t="shared" si="3"/>
        <v>0.83279742765273312</v>
      </c>
    </row>
    <row r="78" spans="1:40">
      <c r="A78" t="s">
        <v>28</v>
      </c>
      <c r="B78" t="s">
        <v>29</v>
      </c>
      <c r="C78" t="s">
        <v>88</v>
      </c>
      <c r="D78">
        <v>501087</v>
      </c>
      <c r="E78">
        <v>501087</v>
      </c>
      <c r="G78" t="s">
        <v>107</v>
      </c>
      <c r="H78" t="s">
        <v>49</v>
      </c>
      <c r="I78" s="9" t="s">
        <v>49</v>
      </c>
      <c r="J78">
        <v>10</v>
      </c>
      <c r="M78">
        <v>15</v>
      </c>
      <c r="P78">
        <v>120</v>
      </c>
      <c r="Q78" s="10">
        <v>78.795180722891558</v>
      </c>
      <c r="R78" s="10">
        <v>41.204819277108435</v>
      </c>
      <c r="S78">
        <v>10</v>
      </c>
      <c r="T78" s="10">
        <v>6.5662650602409638</v>
      </c>
      <c r="U78" s="10">
        <v>3.4337349397590362</v>
      </c>
      <c r="V78">
        <v>0</v>
      </c>
      <c r="W78" s="10">
        <v>0</v>
      </c>
      <c r="X78" s="10">
        <v>0</v>
      </c>
      <c r="Y78">
        <v>15</v>
      </c>
      <c r="Z78" s="10">
        <v>9.8493975903614448</v>
      </c>
      <c r="AA78" s="10">
        <v>5.1506024096385543</v>
      </c>
      <c r="AB78">
        <v>0</v>
      </c>
      <c r="AF78">
        <v>0</v>
      </c>
      <c r="AJ78">
        <v>0</v>
      </c>
      <c r="AK78">
        <v>0</v>
      </c>
      <c r="AL78">
        <f t="shared" si="2"/>
        <v>315</v>
      </c>
      <c r="AM78">
        <v>358</v>
      </c>
      <c r="AN78">
        <f t="shared" si="3"/>
        <v>0.87988826815642462</v>
      </c>
    </row>
    <row r="79" spans="1:40">
      <c r="A79" t="s">
        <v>28</v>
      </c>
      <c r="B79" t="s">
        <v>29</v>
      </c>
      <c r="C79" t="s">
        <v>30</v>
      </c>
      <c r="D79">
        <v>306039</v>
      </c>
      <c r="E79">
        <v>306039</v>
      </c>
      <c r="G79" t="s">
        <v>108</v>
      </c>
      <c r="H79" t="s">
        <v>45</v>
      </c>
      <c r="I79" s="9" t="s">
        <v>45</v>
      </c>
      <c r="Q79" s="10">
        <v>0</v>
      </c>
      <c r="R79" s="10">
        <v>0</v>
      </c>
      <c r="T79" s="10">
        <v>0</v>
      </c>
      <c r="U79" s="10">
        <v>0</v>
      </c>
      <c r="W79" s="10">
        <v>0</v>
      </c>
      <c r="X79" s="10">
        <v>0</v>
      </c>
      <c r="Z79" s="10">
        <v>0</v>
      </c>
      <c r="AA79" s="10">
        <v>0</v>
      </c>
      <c r="AF79">
        <v>0</v>
      </c>
      <c r="AJ79">
        <v>0</v>
      </c>
      <c r="AK79">
        <v>1</v>
      </c>
      <c r="AL79">
        <f t="shared" si="2"/>
        <v>0</v>
      </c>
      <c r="AM79">
        <v>141</v>
      </c>
      <c r="AN79">
        <f t="shared" si="3"/>
        <v>0</v>
      </c>
    </row>
  </sheetData>
  <mergeCells count="9">
    <mergeCell ref="AB5:AD5"/>
    <mergeCell ref="AE5:AG5"/>
    <mergeCell ref="AH5:AJ5"/>
    <mergeCell ref="J5:L5"/>
    <mergeCell ref="M5:O5"/>
    <mergeCell ref="P5:R5"/>
    <mergeCell ref="S5:U5"/>
    <mergeCell ref="V5:X5"/>
    <mergeCell ref="Y5:A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xhLa</dc:creator>
  <cp:keywords/>
  <dc:description/>
  <cp:lastModifiedBy>Yvonne Razaga</cp:lastModifiedBy>
  <cp:revision/>
  <dcterms:created xsi:type="dcterms:W3CDTF">2024-11-15T02:01:24Z</dcterms:created>
  <dcterms:modified xsi:type="dcterms:W3CDTF">2026-01-26T05:16:46Z</dcterms:modified>
  <cp:category/>
  <cp:contentStatus/>
</cp:coreProperties>
</file>