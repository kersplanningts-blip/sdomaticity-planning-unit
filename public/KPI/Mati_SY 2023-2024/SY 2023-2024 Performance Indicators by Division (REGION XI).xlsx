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11RO_Key Performance Indicators, by SY/SY 2023-2024_KPI/"/>
    </mc:Choice>
  </mc:AlternateContent>
  <xr:revisionPtr revIDLastSave="33" documentId="13_ncr:1_{68FE8F4F-9F09-4D61-AB43-5C39C1B18B23}" xr6:coauthVersionLast="47" xr6:coauthVersionMax="47" xr10:uidLastSave="{322DC72D-B6CB-4E4B-9CA7-8741381C0DBB}"/>
  <workbookProtection workbookAlgorithmName="SHA-512" workbookHashValue="4nb6m2Ao81VXaMnoewRuE8m1TMcHpBaCjTskdPnIYcvvyujQ0baZbgS+sYLS+9m8nlSGu+26M7xDTuYBhd848A==" workbookSaltValue="KO9TLV/YOJw2Ew0qtNHszQ==" workbookSpinCount="100000" lockStructure="1"/>
  <bookViews>
    <workbookView xWindow="-105" yWindow="0" windowWidth="20985" windowHeight="15585" tabRatio="916" xr2:uid="{00000000-000D-0000-FFFF-FFFF00000000}"/>
  </bookViews>
  <sheets>
    <sheet name="GER-NER KINDER" sheetId="47" r:id="rId1"/>
    <sheet name="GER-NER G1toG6wLSENs" sheetId="28" r:id="rId2"/>
    <sheet name="GER-NER KtoG6wLSENs" sheetId="38" r:id="rId3"/>
    <sheet name="GER-NER G7toG10wLSENs" sheetId="30" r:id="rId4"/>
    <sheet name="GER-NER G11toG12" sheetId="26" r:id="rId5"/>
    <sheet name="GER-NER G7toG12wLSENs" sheetId="41" r:id="rId6"/>
    <sheet name="AIR-NIR Kinder" sheetId="48" r:id="rId7"/>
    <sheet name="AIR-NIR Grade1" sheetId="49" r:id="rId8"/>
    <sheet name="TransitionKtoG1" sheetId="50" r:id="rId9"/>
    <sheet name="TransitionG3toG4" sheetId="51" r:id="rId10"/>
    <sheet name="TransitionElem" sheetId="52" r:id="rId11"/>
    <sheet name="TransitionJHS" sheetId="53" r:id="rId12"/>
    <sheet name="TransitionSHS" sheetId="54" r:id="rId13"/>
    <sheet name="RetentionElem" sheetId="55" r:id="rId14"/>
    <sheet name="RetentionJHSonly" sheetId="56" r:id="rId15"/>
    <sheet name="RetentionSec" sheetId="57" r:id="rId16"/>
    <sheet name="Kto6CSR, CR, Coeffcnt,YrInput" sheetId="58" r:id="rId17"/>
    <sheet name="Kto6 SchoolLeaver" sheetId="59" r:id="rId18"/>
    <sheet name="Kto6 Repetition" sheetId="60" r:id="rId19"/>
    <sheet name="Kto6 Promo &amp; Grad" sheetId="61" r:id="rId20"/>
    <sheet name="G1toG6 CSR,CR, Coeffcnt,YrInput" sheetId="62" r:id="rId21"/>
    <sheet name="G1toG6 SchoolLeaver" sheetId="63" r:id="rId22"/>
    <sheet name="G1toG6 Repetition" sheetId="64" r:id="rId23"/>
    <sheet name="G1toG6 Promo &amp; Grad " sheetId="65" r:id="rId24"/>
    <sheet name="JHS CSR &amp; Completion Rate" sheetId="66" r:id="rId25"/>
    <sheet name="JHS School Leaver" sheetId="67" r:id="rId26"/>
    <sheet name="JHS Repetition Rate" sheetId="68" r:id="rId27"/>
    <sheet name="JHS Promo &amp; Grad" sheetId="69" r:id="rId28"/>
    <sheet name="JHS&amp;SHS CSR &amp; Completion Rate" sheetId="70" r:id="rId29"/>
    <sheet name="JHS&amp;SHS SchoolLeaver" sheetId="71" r:id="rId30"/>
    <sheet name="JHS&amp;SHS Promo &amp; Grad" sheetId="72" r:id="rId31"/>
  </sheets>
  <definedNames>
    <definedName name="__xlnm.Print_Area_4">#REF!</definedName>
    <definedName name="_Fill" localSheetId="7" hidden="1">#REF!</definedName>
    <definedName name="_Fill" localSheetId="6" hidden="1">#REF!</definedName>
    <definedName name="_Fill" localSheetId="23" hidden="1">#REF!</definedName>
    <definedName name="_Fill" localSheetId="22" hidden="1">#REF!</definedName>
    <definedName name="_Fill" localSheetId="21" hidden="1">#REF!</definedName>
    <definedName name="_Fill" localSheetId="4" hidden="1">#REF!</definedName>
    <definedName name="_Fill" localSheetId="1" hidden="1">#REF!</definedName>
    <definedName name="_Fill" localSheetId="3" hidden="1">#REF!</definedName>
    <definedName name="_Fill" localSheetId="5" hidden="1">#REF!</definedName>
    <definedName name="_Fill" localSheetId="0" hidden="1">#REF!</definedName>
    <definedName name="_Fill" localSheetId="2" hidden="1">#REF!</definedName>
    <definedName name="_Fill" localSheetId="30" hidden="1">#REF!</definedName>
    <definedName name="_Fill" localSheetId="29" hidden="1">#REF!</definedName>
    <definedName name="_Fill" localSheetId="19" hidden="1">#REF!</definedName>
    <definedName name="_Fill" localSheetId="18" hidden="1">#REF!</definedName>
    <definedName name="_Fill" localSheetId="17" hidden="1">#REF!</definedName>
    <definedName name="_Fill" localSheetId="13" hidden="1">#REF!</definedName>
    <definedName name="_Fill" localSheetId="14" hidden="1">#REF!</definedName>
    <definedName name="_Fill" localSheetId="15" hidden="1">#REF!</definedName>
    <definedName name="_Fill" localSheetId="10" hidden="1">#REF!</definedName>
    <definedName name="_Fill" localSheetId="9" hidden="1">#REF!</definedName>
    <definedName name="_Fill" localSheetId="11" hidden="1">#REF!</definedName>
    <definedName name="_Fill" localSheetId="8" hidden="1">#REF!</definedName>
    <definedName name="_Fill" localSheetId="12" hidden="1">#REF!</definedName>
    <definedName name="_Fill" hidden="1">#REF!</definedName>
    <definedName name="_xlnm._FilterDatabase" localSheetId="4" hidden="1">'GER-NER G11toG12'!#REF!</definedName>
    <definedName name="_xlnm._FilterDatabase" localSheetId="3" hidden="1">'GER-NER G7toG10wLSENs'!#REF!</definedName>
    <definedName name="_xlnm._FilterDatabase" localSheetId="5" hidden="1">'GER-NER G7toG12wLSENs'!#REF!</definedName>
    <definedName name="_xlnm._FilterDatabase" localSheetId="13" hidden="1">RetentionElem!$A$7:$L$47</definedName>
    <definedName name="_xlnm._FilterDatabase" localSheetId="14" hidden="1">RetentionJHSonly!$A$7:$L$47</definedName>
    <definedName name="_xlnm._FilterDatabase" localSheetId="15" hidden="1">RetentionSec!$A$7:$L$47</definedName>
    <definedName name="_xlnm._FilterDatabase" localSheetId="10" hidden="1">TransitionElem!$A$7:$L$47</definedName>
    <definedName name="_xlnm._FilterDatabase" localSheetId="9" hidden="1">TransitionG3toG4!$A$7:$L$47</definedName>
    <definedName name="_xlnm._FilterDatabase" localSheetId="11" hidden="1">TransitionJHS!$A$7:$L$47</definedName>
    <definedName name="_xlnm._FilterDatabase" localSheetId="8" hidden="1">TransitionKtoG1!$A$7:$L$47</definedName>
    <definedName name="_xlnm._FilterDatabase" localSheetId="12" hidden="1">TransitionSHS!$A$7:$L$47</definedName>
    <definedName name="AgeProfileWorks" localSheetId="7">#REF!</definedName>
    <definedName name="AgeProfileWorks" localSheetId="6">#REF!</definedName>
    <definedName name="AgeProfileWorks" localSheetId="4">#REF!</definedName>
    <definedName name="AgeProfileWorks" localSheetId="1">#REF!</definedName>
    <definedName name="AgeProfileWorks" localSheetId="3">#REF!</definedName>
    <definedName name="AgeProfileWorks" localSheetId="5">#REF!</definedName>
    <definedName name="AgeProfileWorks" localSheetId="0">#REF!</definedName>
    <definedName name="AgeProfileWorks" localSheetId="2">#REF!</definedName>
    <definedName name="AgeProfileWorks">#REF!</definedName>
    <definedName name="cmd_shifting" localSheetId="7">#REF!</definedName>
    <definedName name="cmd_shifting" localSheetId="6">#REF!</definedName>
    <definedName name="cmd_shifting" localSheetId="4">#REF!</definedName>
    <definedName name="cmd_shifting" localSheetId="1">#REF!</definedName>
    <definedName name="cmd_shifting" localSheetId="3">#REF!</definedName>
    <definedName name="cmd_shifting" localSheetId="5">#REF!</definedName>
    <definedName name="cmd_shifting" localSheetId="0">#REF!</definedName>
    <definedName name="cmd_shifting" localSheetId="2">#REF!</definedName>
    <definedName name="cmd_shifting">#REF!</definedName>
    <definedName name="_xlnm.Print_Area" localSheetId="7">'AIR-NIR Grade1'!$A$1:$U$7</definedName>
    <definedName name="_xlnm.Print_Area" localSheetId="6">'AIR-NIR Kinder'!$A$1:$U$7</definedName>
    <definedName name="_xlnm.Print_Area" localSheetId="20">'G1toG6 CSR,CR, Coeffcnt,YrInput'!$A$1:$N$8</definedName>
    <definedName name="_xlnm.Print_Area" localSheetId="23">'G1toG6 Promo &amp; Grad '!$A$1:$J$8</definedName>
    <definedName name="_xlnm.Print_Area" localSheetId="22">'G1toG6 Repetition'!$A$1:$J$8</definedName>
    <definedName name="_xlnm.Print_Area" localSheetId="21">'G1toG6 SchoolLeaver'!$A$1:$J$8</definedName>
    <definedName name="_xlnm.Print_Area" localSheetId="4">'GER-NER G11toG12'!$A$1:$U$7</definedName>
    <definedName name="_xlnm.Print_Area" localSheetId="1">'GER-NER G1toG6wLSENs'!$A$1:$U$7</definedName>
    <definedName name="_xlnm.Print_Area" localSheetId="3">'GER-NER G7toG10wLSENs'!$A$1:$U$7</definedName>
    <definedName name="_xlnm.Print_Area" localSheetId="5">'GER-NER G7toG12wLSENs'!$A$8:$U$45</definedName>
    <definedName name="_xlnm.Print_Area" localSheetId="0">'GER-NER KINDER'!$A$1:$U$7</definedName>
    <definedName name="_xlnm.Print_Area" localSheetId="2">'GER-NER KtoG6wLSENs'!$A$8:$U$45</definedName>
    <definedName name="_xlnm.Print_Area" localSheetId="24">'JHS CSR &amp; Completion Rate'!$A$1:$L$8</definedName>
    <definedName name="_xlnm.Print_Area" localSheetId="27">'JHS Promo &amp; Grad'!$A$1:$H$8</definedName>
    <definedName name="_xlnm.Print_Area" localSheetId="26">'JHS Repetition Rate'!$A$1:$H$8</definedName>
    <definedName name="_xlnm.Print_Area" localSheetId="25">'JHS School Leaver'!$A$1:$H$8</definedName>
    <definedName name="_xlnm.Print_Area" localSheetId="28">'JHS&amp;SHS CSR &amp; Completion Rate'!$A$1:$N$8</definedName>
    <definedName name="_xlnm.Print_Area" localSheetId="30">'JHS&amp;SHS Promo &amp; Grad'!$A$1:$J$8</definedName>
    <definedName name="_xlnm.Print_Area" localSheetId="29">'JHS&amp;SHS SchoolLeaver'!$A$1:$J$8</definedName>
    <definedName name="_xlnm.Print_Area" localSheetId="19">'Kto6 Promo &amp; Grad'!$A$1:$K$8</definedName>
    <definedName name="_xlnm.Print_Area" localSheetId="18">'Kto6 Repetition'!$A$1:$K$8</definedName>
    <definedName name="_xlnm.Print_Area" localSheetId="17">'Kto6 SchoolLeaver'!$A$1:$K$8</definedName>
    <definedName name="_xlnm.Print_Area" localSheetId="16">'Kto6CSR, CR, Coeffcnt,YrInput'!$A$1:$O$8</definedName>
    <definedName name="_xlnm.Print_Area" localSheetId="13">RetentionElem!#REF!</definedName>
    <definedName name="_xlnm.Print_Area" localSheetId="14">RetentionJHSonly!#REF!</definedName>
    <definedName name="_xlnm.Print_Area" localSheetId="15">RetentionSec!#REF!</definedName>
    <definedName name="_xlnm.Print_Area" localSheetId="10">TransitionElem!#REF!</definedName>
    <definedName name="_xlnm.Print_Area" localSheetId="9">TransitionG3toG4!#REF!</definedName>
    <definedName name="_xlnm.Print_Area" localSheetId="11">TransitionJHS!#REF!</definedName>
    <definedName name="_xlnm.Print_Area" localSheetId="8">TransitionKtoG1!#REF!</definedName>
    <definedName name="_xlnm.Print_Area" localSheetId="12">TransitionSHS!#REF!</definedName>
    <definedName name="_xlnm.Print_Area">#REF!</definedName>
    <definedName name="PRINT_AREA_MI" localSheetId="7">#REF!</definedName>
    <definedName name="PRINT_AREA_MI" localSheetId="6">#REF!</definedName>
    <definedName name="PRINT_AREA_MI" localSheetId="23">#REF!</definedName>
    <definedName name="PRINT_AREA_MI" localSheetId="22">#REF!</definedName>
    <definedName name="PRINT_AREA_MI" localSheetId="21">#REF!</definedName>
    <definedName name="PRINT_AREA_MI" localSheetId="4">#REF!</definedName>
    <definedName name="PRINT_AREA_MI" localSheetId="1">#REF!</definedName>
    <definedName name="PRINT_AREA_MI" localSheetId="3">#REF!</definedName>
    <definedName name="PRINT_AREA_MI" localSheetId="5">#REF!</definedName>
    <definedName name="PRINT_AREA_MI" localSheetId="0">#REF!</definedName>
    <definedName name="PRINT_AREA_MI" localSheetId="2">#REF!</definedName>
    <definedName name="PRINT_AREA_MI" localSheetId="30">#REF!</definedName>
    <definedName name="PRINT_AREA_MI" localSheetId="29">#REF!</definedName>
    <definedName name="PRINT_AREA_MI" localSheetId="19">#REF!</definedName>
    <definedName name="PRINT_AREA_MI" localSheetId="18">#REF!</definedName>
    <definedName name="PRINT_AREA_MI" localSheetId="17">#REF!</definedName>
    <definedName name="PRINT_AREA_MI" localSheetId="13">#REF!</definedName>
    <definedName name="PRINT_AREA_MI" localSheetId="14">#REF!</definedName>
    <definedName name="PRINT_AREA_MI" localSheetId="15">#REF!</definedName>
    <definedName name="PRINT_AREA_MI" localSheetId="10">#REF!</definedName>
    <definedName name="PRINT_AREA_MI" localSheetId="9">#REF!</definedName>
    <definedName name="PRINT_AREA_MI" localSheetId="11">#REF!</definedName>
    <definedName name="PRINT_AREA_MI" localSheetId="8">#REF!</definedName>
    <definedName name="PRINT_AREA_MI" localSheetId="12">#REF!</definedName>
    <definedName name="PRINT_AREA_MI">#REF!</definedName>
    <definedName name="_xlnm.Print_Titles" localSheetId="7">'AIR-NIR Grade1'!$1:$7</definedName>
    <definedName name="_xlnm.Print_Titles" localSheetId="6">'AIR-NIR Kinder'!$1:$7</definedName>
    <definedName name="_xlnm.Print_Titles" localSheetId="4">'GER-NER G11toG12'!$1:$7</definedName>
    <definedName name="_xlnm.Print_Titles" localSheetId="1">'GER-NER G1toG6wLSENs'!$1:$7</definedName>
    <definedName name="_xlnm.Print_Titles" localSheetId="3">'GER-NER G7toG10wLSENs'!$1:$7</definedName>
    <definedName name="_xlnm.Print_Titles" localSheetId="5">'GER-NER G7toG12wLSENs'!$1:$7</definedName>
    <definedName name="_xlnm.Print_Titles" localSheetId="0">'GER-NER KINDER'!$1:$7</definedName>
    <definedName name="_xlnm.Print_Titles" localSheetId="2">'GER-NER KtoG6wLSENs'!$1:$7</definedName>
    <definedName name="_xlnm.Print_Titles" localSheetId="13">RetentionElem!#REF!</definedName>
    <definedName name="_xlnm.Print_Titles" localSheetId="14">RetentionJHSonly!#REF!</definedName>
    <definedName name="_xlnm.Print_Titles" localSheetId="15">RetentionSec!#REF!</definedName>
    <definedName name="_xlnm.Print_Titles" localSheetId="10">TransitionElem!#REF!</definedName>
    <definedName name="_xlnm.Print_Titles" localSheetId="9">TransitionG3toG4!#REF!</definedName>
    <definedName name="_xlnm.Print_Titles" localSheetId="11">TransitionJHS!#REF!</definedName>
    <definedName name="_xlnm.Print_Titles" localSheetId="8">TransitionKtoG1!#REF!</definedName>
    <definedName name="_xlnm.Print_Titles" localSheetId="12">TransitionSHS!#REF!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72" l="1"/>
  <c r="N44" i="70"/>
  <c r="M44" i="70"/>
  <c r="L44" i="70"/>
  <c r="N41" i="70"/>
  <c r="M41" i="70"/>
  <c r="L41" i="70"/>
  <c r="N38" i="70"/>
  <c r="M38" i="70"/>
  <c r="L38" i="70"/>
  <c r="N35" i="70"/>
  <c r="M35" i="70"/>
  <c r="L35" i="70"/>
  <c r="N32" i="70"/>
  <c r="M32" i="70"/>
  <c r="L32" i="70"/>
  <c r="N29" i="70"/>
  <c r="M29" i="70"/>
  <c r="L29" i="70"/>
  <c r="N26" i="70"/>
  <c r="M26" i="70"/>
  <c r="L26" i="70"/>
  <c r="N23" i="70"/>
  <c r="M23" i="70"/>
  <c r="L23" i="70"/>
  <c r="N20" i="70"/>
  <c r="M20" i="70"/>
  <c r="L20" i="70"/>
  <c r="N17" i="70"/>
  <c r="M17" i="70"/>
  <c r="L17" i="70"/>
  <c r="N14" i="70"/>
  <c r="M14" i="70"/>
  <c r="L14" i="70"/>
  <c r="N11" i="70"/>
  <c r="M11" i="70"/>
  <c r="L11" i="70"/>
  <c r="A5" i="69" l="1"/>
  <c r="A5" i="68" s="1"/>
  <c r="A5" i="65"/>
  <c r="A5" i="64"/>
  <c r="N44" i="62"/>
  <c r="M44" i="62"/>
  <c r="L44" i="62"/>
  <c r="N41" i="62"/>
  <c r="M41" i="62"/>
  <c r="L41" i="62"/>
  <c r="N38" i="62"/>
  <c r="M38" i="62"/>
  <c r="L38" i="62"/>
  <c r="N35" i="62"/>
  <c r="M35" i="62"/>
  <c r="L35" i="62"/>
  <c r="N32" i="62"/>
  <c r="M32" i="62"/>
  <c r="L32" i="62"/>
  <c r="N29" i="62"/>
  <c r="M29" i="62"/>
  <c r="L29" i="62"/>
  <c r="N26" i="62"/>
  <c r="M26" i="62"/>
  <c r="L26" i="62"/>
  <c r="N23" i="62"/>
  <c r="M23" i="62"/>
  <c r="L23" i="62"/>
  <c r="N20" i="62"/>
  <c r="M20" i="62"/>
  <c r="L20" i="62"/>
  <c r="N17" i="62"/>
  <c r="M17" i="62"/>
  <c r="L17" i="62"/>
  <c r="N14" i="62"/>
  <c r="M14" i="62"/>
  <c r="L14" i="62"/>
  <c r="N11" i="62"/>
  <c r="M11" i="62"/>
  <c r="L11" i="6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Revised from Total Enrollment to New Entrants</t>
        </r>
      </text>
    </comment>
  </commentList>
</comments>
</file>

<file path=xl/sharedStrings.xml><?xml version="1.0" encoding="utf-8"?>
<sst xmlns="http://schemas.openxmlformats.org/spreadsheetml/2006/main" count="2211" uniqueCount="159">
  <si>
    <t xml:space="preserve">   Female (F)</t>
  </si>
  <si>
    <t xml:space="preserve">   Male (M)</t>
  </si>
  <si>
    <t>Total (MF)</t>
  </si>
  <si>
    <t>TOTAL</t>
  </si>
  <si>
    <t>Tagum City</t>
  </si>
  <si>
    <t>Panabo City</t>
  </si>
  <si>
    <t>Total</t>
  </si>
  <si>
    <t>Mati City</t>
  </si>
  <si>
    <t>Island Garden City of Samal</t>
  </si>
  <si>
    <t>Digos City</t>
  </si>
  <si>
    <t>Davao Oriental</t>
  </si>
  <si>
    <t>Davao del Sur</t>
  </si>
  <si>
    <t>Davao del Norte</t>
  </si>
  <si>
    <t>Davao City</t>
  </si>
  <si>
    <t>REGION XI - DAVAO REGION</t>
  </si>
  <si>
    <t>Region XI - Davao Region</t>
  </si>
  <si>
    <t>Private</t>
  </si>
  <si>
    <t>Public</t>
  </si>
  <si>
    <t xml:space="preserve">Both </t>
  </si>
  <si>
    <t>Gender Parity Index (NER)</t>
  </si>
  <si>
    <t>Gender Parity Index (GER)</t>
  </si>
  <si>
    <t>Population</t>
  </si>
  <si>
    <t>Region/Division</t>
  </si>
  <si>
    <t>DEPARTMENT OF EDUCATION</t>
  </si>
  <si>
    <t>(Age 5)</t>
  </si>
  <si>
    <t>(Ages 6-11)</t>
  </si>
  <si>
    <t>(Ages 12-15)</t>
  </si>
  <si>
    <t>Davao Occidental</t>
  </si>
  <si>
    <t>(Ages 5-11)</t>
  </si>
  <si>
    <t>(Ages 16- 17)</t>
  </si>
  <si>
    <t>(Ages 12-17)</t>
  </si>
  <si>
    <t>Total Enrollment (All Ages)</t>
  </si>
  <si>
    <t>Total Enrollment (Ages 6-11)</t>
  </si>
  <si>
    <t>Gross Enrollment Rate (GER)</t>
  </si>
  <si>
    <t>Net Enrollment Rate (NER)</t>
  </si>
  <si>
    <t>Total Enrollment (Age 5)</t>
  </si>
  <si>
    <t>Total Enrollment (Ages 12-17)</t>
  </si>
  <si>
    <t>Total Enrollment (Ages 16-17)</t>
  </si>
  <si>
    <t>Total Enrollment (Ages 12-15)</t>
  </si>
  <si>
    <t>Total Enrollment (Ages 5-11)</t>
  </si>
  <si>
    <r>
      <t xml:space="preserve">GROSS AND NET ENROLMENT RATE IN </t>
    </r>
    <r>
      <rPr>
        <b/>
        <i/>
        <sz val="8"/>
        <color rgb="FFFF0000"/>
        <rFont val="Arial"/>
        <family val="2"/>
      </rPr>
      <t>KINDERGARTEN</t>
    </r>
  </si>
  <si>
    <r>
      <t xml:space="preserve">GROSS AND NET ENROLMENT RATE IN ELEMENTARY </t>
    </r>
    <r>
      <rPr>
        <b/>
        <i/>
        <sz val="8"/>
        <color rgb="FFFF0000"/>
        <rFont val="Arial"/>
        <family val="2"/>
      </rPr>
      <t>(GRADE 1 TO GRADE 6)</t>
    </r>
  </si>
  <si>
    <r>
      <t xml:space="preserve">GROSS AND NET ENROLMENT RATE IN ELEMENTARY </t>
    </r>
    <r>
      <rPr>
        <b/>
        <i/>
        <sz val="8"/>
        <color rgb="FFFF0000"/>
        <rFont val="Arial"/>
        <family val="2"/>
      </rPr>
      <t>(KINDERGARTEN TO GRADE 6)</t>
    </r>
  </si>
  <si>
    <r>
      <t xml:space="preserve">GROSS AND NET ENROLMENT RATE IN </t>
    </r>
    <r>
      <rPr>
        <b/>
        <i/>
        <sz val="8"/>
        <color rgb="FFFF0000"/>
        <rFont val="Arial"/>
        <family val="2"/>
      </rPr>
      <t>JUNIOR HIGH SCHOOL</t>
    </r>
  </si>
  <si>
    <r>
      <t xml:space="preserve">GROSS AND NET ENROLMENT RATE IN </t>
    </r>
    <r>
      <rPr>
        <b/>
        <i/>
        <sz val="8"/>
        <color rgb="FFFF0000"/>
        <rFont val="Arial"/>
        <family val="2"/>
      </rPr>
      <t>SENIOR HIGH SCHOOL</t>
    </r>
  </si>
  <si>
    <r>
      <t xml:space="preserve">GROSS AND NET ENROLMENT RATE IN </t>
    </r>
    <r>
      <rPr>
        <b/>
        <i/>
        <sz val="8"/>
        <color rgb="FFFF0000"/>
        <rFont val="Arial"/>
        <family val="2"/>
      </rPr>
      <t>JUNIOR HIGH SCHOOL TO SENIOR HIGH SCHOOL</t>
    </r>
  </si>
  <si>
    <t>Davao de Oro (Compostela Valley)</t>
  </si>
  <si>
    <t>(Based on Learners' School Address)</t>
  </si>
  <si>
    <t>SY 2023-2024</t>
  </si>
  <si>
    <t>Gender Parity Index (NIR)</t>
  </si>
  <si>
    <t>Gender Parity Index (AIR)</t>
  </si>
  <si>
    <t>Net Intake Rate (NIR)</t>
  </si>
  <si>
    <t>Apparent Intake Rate (AIR)</t>
  </si>
  <si>
    <t>New Entrants to Kinder (Age 5)</t>
  </si>
  <si>
    <t>New Entrants to Kinder (All Ages)</t>
  </si>
  <si>
    <r>
      <t xml:space="preserve">APPARENT (GROSS) AND NET INTAKE RATE IN </t>
    </r>
    <r>
      <rPr>
        <b/>
        <i/>
        <sz val="8"/>
        <color rgb="FFFF0000"/>
        <rFont val="Arial"/>
        <family val="2"/>
      </rPr>
      <t>KINDERGARTEN EDUCATION</t>
    </r>
  </si>
  <si>
    <t>(Age 6)</t>
  </si>
  <si>
    <t>New Entrants to Gr1 (Age 6)</t>
  </si>
  <si>
    <t>New Entrants to Gr1 (All Ages)</t>
  </si>
  <si>
    <r>
      <t xml:space="preserve">APPARENT (GROSS) AND NET INTAKE RATE IN </t>
    </r>
    <r>
      <rPr>
        <b/>
        <i/>
        <sz val="8"/>
        <color rgb="FFFF0000"/>
        <rFont val="Arial"/>
        <family val="2"/>
      </rPr>
      <t>ELEMENTARY EDUCATION</t>
    </r>
  </si>
  <si>
    <t>Gender Parity Index</t>
  </si>
  <si>
    <t>Transition Rate</t>
  </si>
  <si>
    <t>Kindergarten Enrolment (Previous SY)</t>
  </si>
  <si>
    <t>New Entrants to Grade 1</t>
  </si>
  <si>
    <t>SY 2023 - 2024</t>
  </si>
  <si>
    <t>(PUBLIC including SUCs/LUCs and PRIVATE)</t>
  </si>
  <si>
    <t>KINDERGARTEN TO GRADE 1 TRANSITION RATE</t>
  </si>
  <si>
    <t>ENHANCED BASIC EDUCATION INFORMATION SYSTEM</t>
  </si>
  <si>
    <t>Grade 3 Enrolment (Previous SY)</t>
  </si>
  <si>
    <t>New Entrants to Grade 4</t>
  </si>
  <si>
    <t>GRADE 3 TO GRADE 4 TRANSITION RATE</t>
  </si>
  <si>
    <t>Grade 4 Enrolment (Previous SY)</t>
  </si>
  <si>
    <t>New Entrants to Grade 5</t>
  </si>
  <si>
    <t>TRANSITION RATE IN ELEMENTARY EDUCATION</t>
  </si>
  <si>
    <t>Grade 6 Enrolment (Previous SY)</t>
  </si>
  <si>
    <t>New Entrants to Grade 7 (Year 1)</t>
  </si>
  <si>
    <t>ELEMENTARY TO JUNIOR HIGH SCHOOL TRANSITION RATE</t>
  </si>
  <si>
    <t>Grade 10 Enrolment (Previous SY)</t>
  </si>
  <si>
    <t>Grade 11 Enrolment (Current SY)</t>
  </si>
  <si>
    <t>JUNIOR HIGH SCHOOL TO SENIOR HIGH SCHOOL TRANSITION RATE</t>
  </si>
  <si>
    <t>Retention Rate</t>
  </si>
  <si>
    <t>Grades 1 to 5 Enrolment (Previous SY)</t>
  </si>
  <si>
    <t>Grades 2 to 6 Enrolment (Current SY)</t>
  </si>
  <si>
    <t>(PUBLIC including SUCs and PRIVATE)</t>
  </si>
  <si>
    <t>RETENTION RATE IN ELEMENTARY EDUCATION</t>
  </si>
  <si>
    <t>Grades 7 to 9 Enrolment (Previous SY)</t>
  </si>
  <si>
    <t>Grades 8 to 10 Enrolment (Current SY)</t>
  </si>
  <si>
    <t>RETENTION RATE IN SECONDARY EDUCATION (JHS only)</t>
  </si>
  <si>
    <t>Grades 7 to 11 Enrolment (Previous SY)</t>
  </si>
  <si>
    <t>Grades 8 to 12 Enrolment (Current SY)</t>
  </si>
  <si>
    <t>RETENTION RATE IN SECONDARY EDUCATION</t>
  </si>
  <si>
    <t>BASIC EDUCATION INFORMATION SYSTEM</t>
  </si>
  <si>
    <t>COHORT SURVIVAL RATES &amp; COMPLETION RATES IN PUBLIC AND PRIVATE ELEMENTARY SCHOOLS</t>
  </si>
  <si>
    <t>(KINDERGARTEN TO GRADE 6)</t>
  </si>
  <si>
    <t>Note:  Computed using UNESCO's template for assessing internal efficiency   (Including SUCs)</t>
  </si>
  <si>
    <t>Sex</t>
  </si>
  <si>
    <t>Survival Rates</t>
  </si>
  <si>
    <t>(CSR)</t>
  </si>
  <si>
    <t>Completion</t>
  </si>
  <si>
    <t>Coefficient</t>
  </si>
  <si>
    <t>Years Input</t>
  </si>
  <si>
    <t>GPI</t>
  </si>
  <si>
    <t>Kinder</t>
  </si>
  <si>
    <t>Grade I</t>
  </si>
  <si>
    <t>Grade II</t>
  </si>
  <si>
    <t>Grade III</t>
  </si>
  <si>
    <t>Grade IV</t>
  </si>
  <si>
    <t>Grade V</t>
  </si>
  <si>
    <t>Grade VI</t>
  </si>
  <si>
    <t>Rate</t>
  </si>
  <si>
    <t>of Efficiency</t>
  </si>
  <si>
    <t>Per Graduate</t>
  </si>
  <si>
    <t>Cohort</t>
  </si>
  <si>
    <t>Total (M &amp; F)</t>
  </si>
  <si>
    <t>REGION/DIVISION</t>
  </si>
  <si>
    <t>Gender</t>
  </si>
  <si>
    <t>Parity Index</t>
  </si>
  <si>
    <t>Region XI - Davao City</t>
  </si>
  <si>
    <t>Region XI - Davao de Oro (Compostela Valley)</t>
  </si>
  <si>
    <t>Region XI - Davao del Norte</t>
  </si>
  <si>
    <t>Region XI - Davao del Sur</t>
  </si>
  <si>
    <t>Region XI - Davao Occidental</t>
  </si>
  <si>
    <t>Region XI - Davao Oriental</t>
  </si>
  <si>
    <t>Region XI - Digos City</t>
  </si>
  <si>
    <t>Region XI - Island Garden City of Samal</t>
  </si>
  <si>
    <t>Region XI - Mati City</t>
  </si>
  <si>
    <t>Region XI - Panabo City</t>
  </si>
  <si>
    <t>Region XI - Tagum City</t>
  </si>
  <si>
    <t>SCHOOL LEAVER RATES IN PUBLIC AND PRIVATE ELEMENTARY SCHOOLS</t>
  </si>
  <si>
    <t>Ave. School</t>
  </si>
  <si>
    <t>Leaver Rate</t>
  </si>
  <si>
    <t>School Leaver Rate</t>
  </si>
  <si>
    <t>REPETITION RATES IN PUBLIC AND PRIVATE ELEMENTARY SCHOOLS</t>
  </si>
  <si>
    <t>Ave. Repetition</t>
  </si>
  <si>
    <t>Repetition Rate</t>
  </si>
  <si>
    <t>PROMOTION RATES AND GRADUATION RATES IN PUBLIC AND PRIVATE ELEMENTARY SCHOOLS</t>
  </si>
  <si>
    <t xml:space="preserve">Grade VI
</t>
  </si>
  <si>
    <t>Ave. Promotion</t>
  </si>
  <si>
    <t>Grad. Rate</t>
  </si>
  <si>
    <t>(GRADE 1 TO GRADE 6)</t>
  </si>
  <si>
    <t>Graduation</t>
  </si>
  <si>
    <t>COHORT SURVIVAL RATE AND COMPLETION RATE IN PUBLIC AND PRIVATE JUNIOR HIGH SCHOOL</t>
  </si>
  <si>
    <t>(GRADE 7 TO GRADE 10)</t>
  </si>
  <si>
    <t>Note:   Computed using UNESCO's template for assessing internal efficiency   (Including SUCs)</t>
  </si>
  <si>
    <t>Grade 7</t>
  </si>
  <si>
    <t>Grade 8</t>
  </si>
  <si>
    <t>Grade 9</t>
  </si>
  <si>
    <t>Grade 10</t>
  </si>
  <si>
    <t>SCHOOL LEAVER RATE IN PUBLIC AND PRIVATE JUNIOR HIGH SCHOOL</t>
  </si>
  <si>
    <t>REPETITION RATE IN PUBLIC AND PRIVATE JUNIOR HIGH SCHOOL</t>
  </si>
  <si>
    <t>PROMOTION RATE AND GRADUATION RATE IN PUBLIC AND PRIVATE JUNIOR HIGH SCHOOL</t>
  </si>
  <si>
    <t xml:space="preserve"> COHORT SURVIVAL RATE AND COMPLETION RATE IN PUBLIC AND PRIVATE JHS to SHS</t>
  </si>
  <si>
    <t>(Grade 7 to Grade 12)</t>
  </si>
  <si>
    <t>Grade10</t>
  </si>
  <si>
    <t>Grade 11</t>
  </si>
  <si>
    <t>Grade 12</t>
  </si>
  <si>
    <t>SCHOOL LEAVER RATE IN PUBLIC AND PRIVATE JHS to SHS</t>
  </si>
  <si>
    <t>PROMOTION RATE AND GRADUATION RATE IN PUBLIC AND PRIVATE JHS to SHS</t>
  </si>
  <si>
    <t xml:space="preserve">Grade 12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</si>
</sst>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_);_(@_)"/>
    <numFmt numFmtId="165" formatCode="_(* #,##0.00_);_(* \(#,##0.00\);_(* &quot;-&quot;??_);_(@_)"/>
    <numFmt numFmtId="166" formatCode="0.00_)"/>
    <numFmt numFmtId="167" formatCode="_-&quot;$&quot;* #,##0_-;\-&quot;$&quot;* #,##0_-;_-&quot;$&quot;* &quot;-&quot;_-;_-@_-"/>
    <numFmt numFmtId="168" formatCode="_-&quot;$&quot;* #,##0.00_-;\-&quot;$&quot;* #,##0.00_-;_-&quot;$&quot;* &quot;-&quot;??_-;_-@_-"/>
    <numFmt numFmtId="169" formatCode="0.0000000%"/>
  </numFmts>
  <fonts count="34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rgb="FFFF0000"/>
      <name val="Arial"/>
      <family val="2"/>
    </font>
    <font>
      <sz val="10"/>
      <name val="Arial"/>
      <family val="2"/>
    </font>
    <font>
      <sz val="8"/>
      <color rgb="FF0000FF"/>
      <name val="Arial"/>
      <family val="2"/>
    </font>
    <font>
      <b/>
      <sz val="8"/>
      <color rgb="FFFF0000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b/>
      <sz val="8"/>
      <color indexed="14"/>
      <name val="Arial"/>
      <family val="2"/>
    </font>
    <font>
      <b/>
      <i/>
      <sz val="8"/>
      <color indexed="10"/>
      <name val="Arial"/>
      <family val="2"/>
    </font>
    <font>
      <b/>
      <i/>
      <sz val="16"/>
      <name val="Helv"/>
    </font>
    <font>
      <b/>
      <i/>
      <sz val="8"/>
      <color rgb="FFFF0000"/>
      <name val="Arial"/>
      <family val="2"/>
    </font>
    <font>
      <b/>
      <sz val="8"/>
      <color indexed="72"/>
      <name val="Arial"/>
      <family val="2"/>
    </font>
    <font>
      <b/>
      <sz val="9"/>
      <color indexed="81"/>
      <name val="Tahoma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i/>
      <sz val="10"/>
      <color rgb="FF0000FF"/>
      <name val="Arial"/>
      <family val="2"/>
    </font>
    <font>
      <b/>
      <i/>
      <sz val="10"/>
      <color rgb="FFC00000"/>
      <name val="Arial"/>
      <family val="2"/>
    </font>
    <font>
      <sz val="8"/>
      <name val="Arial Narrow"/>
      <family val="2"/>
    </font>
    <font>
      <b/>
      <sz val="9"/>
      <name val="Arial"/>
      <family val="2"/>
    </font>
    <font>
      <b/>
      <sz val="8"/>
      <name val="Arial Narrow"/>
      <family val="2"/>
    </font>
    <font>
      <sz val="8"/>
      <color rgb="FFC00000"/>
      <name val="Arial"/>
      <family val="2"/>
    </font>
    <font>
      <b/>
      <sz val="9"/>
      <color rgb="FFFF0000"/>
      <name val="Arial"/>
      <family val="2"/>
    </font>
    <font>
      <b/>
      <sz val="11"/>
      <name val="Arial"/>
      <family val="2"/>
    </font>
    <font>
      <b/>
      <sz val="8"/>
      <color rgb="FFC00000"/>
      <name val="Arial"/>
      <family val="2"/>
    </font>
    <font>
      <b/>
      <sz val="8"/>
      <color indexed="12"/>
      <name val="Arial"/>
      <family val="2"/>
    </font>
    <font>
      <b/>
      <sz val="8"/>
      <color indexed="10"/>
      <name val="Arial"/>
      <family val="2"/>
    </font>
    <font>
      <b/>
      <sz val="10"/>
      <color rgb="FFC00000"/>
      <name val="Arial"/>
      <family val="2"/>
    </font>
    <font>
      <sz val="9"/>
      <name val="Arial"/>
      <family val="2"/>
    </font>
    <font>
      <b/>
      <u/>
      <sz val="10"/>
      <color indexed="10"/>
      <name val="Arial"/>
      <family val="2"/>
    </font>
    <font>
      <b/>
      <sz val="9"/>
      <color rgb="FFC00000"/>
      <name val="Arial"/>
      <family val="2"/>
    </font>
    <font>
      <b/>
      <i/>
      <sz val="11"/>
      <color rgb="FF0000FF"/>
      <name val="Arial"/>
      <family val="2"/>
    </font>
    <font>
      <b/>
      <sz val="11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5" tint="0.79998168889431442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</borders>
  <cellStyleXfs count="25">
    <xf numFmtId="0" fontId="0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38" fontId="2" fillId="2" borderId="0" applyNumberFormat="0" applyBorder="0" applyAlignment="0" applyProtection="0"/>
    <xf numFmtId="10" fontId="2" fillId="3" borderId="37" applyNumberFormat="0" applyBorder="0" applyAlignment="0" applyProtection="0"/>
    <xf numFmtId="166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658">
    <xf numFmtId="0" fontId="0" fillId="0" borderId="0" xfId="0"/>
    <xf numFmtId="0" fontId="2" fillId="0" borderId="0" xfId="0" applyFont="1"/>
    <xf numFmtId="10" fontId="5" fillId="0" borderId="0" xfId="1" applyNumberFormat="1" applyFont="1" applyFill="1"/>
    <xf numFmtId="4" fontId="2" fillId="0" borderId="0" xfId="0" applyNumberFormat="1" applyFont="1"/>
    <xf numFmtId="10" fontId="2" fillId="0" borderId="0" xfId="1" applyNumberFormat="1" applyFont="1" applyFill="1"/>
    <xf numFmtId="3" fontId="2" fillId="0" borderId="0" xfId="0" applyNumberFormat="1" applyFont="1"/>
    <xf numFmtId="49" fontId="2" fillId="0" borderId="0" xfId="0" applyNumberFormat="1" applyFont="1"/>
    <xf numFmtId="4" fontId="6" fillId="0" borderId="1" xfId="0" applyNumberFormat="1" applyFont="1" applyBorder="1"/>
    <xf numFmtId="4" fontId="7" fillId="0" borderId="2" xfId="0" applyNumberFormat="1" applyFont="1" applyBorder="1"/>
    <xf numFmtId="4" fontId="8" fillId="0" borderId="3" xfId="0" applyNumberFormat="1" applyFont="1" applyBorder="1"/>
    <xf numFmtId="10" fontId="6" fillId="0" borderId="1" xfId="1" applyNumberFormat="1" applyFont="1" applyFill="1" applyBorder="1"/>
    <xf numFmtId="10" fontId="7" fillId="0" borderId="2" xfId="1" applyNumberFormat="1" applyFont="1" applyFill="1" applyBorder="1"/>
    <xf numFmtId="10" fontId="8" fillId="0" borderId="3" xfId="1" applyNumberFormat="1" applyFont="1" applyFill="1" applyBorder="1"/>
    <xf numFmtId="3" fontId="8" fillId="0" borderId="3" xfId="0" applyNumberFormat="1" applyFont="1" applyBorder="1"/>
    <xf numFmtId="0" fontId="8" fillId="0" borderId="1" xfId="0" applyFont="1" applyBorder="1"/>
    <xf numFmtId="49" fontId="8" fillId="0" borderId="3" xfId="0" applyNumberFormat="1" applyFont="1" applyBorder="1"/>
    <xf numFmtId="4" fontId="6" fillId="0" borderId="5" xfId="0" applyNumberFormat="1" applyFont="1" applyBorder="1"/>
    <xf numFmtId="4" fontId="7" fillId="0" borderId="6" xfId="0" applyNumberFormat="1" applyFont="1" applyBorder="1"/>
    <xf numFmtId="4" fontId="8" fillId="0" borderId="7" xfId="0" applyNumberFormat="1" applyFont="1" applyBorder="1"/>
    <xf numFmtId="10" fontId="6" fillId="0" borderId="5" xfId="1" applyNumberFormat="1" applyFont="1" applyFill="1" applyBorder="1"/>
    <xf numFmtId="10" fontId="7" fillId="0" borderId="6" xfId="1" applyNumberFormat="1" applyFont="1" applyFill="1" applyBorder="1"/>
    <xf numFmtId="10" fontId="8" fillId="0" borderId="7" xfId="1" applyNumberFormat="1" applyFont="1" applyFill="1" applyBorder="1"/>
    <xf numFmtId="3" fontId="8" fillId="0" borderId="7" xfId="0" applyNumberFormat="1" applyFont="1" applyBorder="1"/>
    <xf numFmtId="0" fontId="8" fillId="0" borderId="5" xfId="0" applyFont="1" applyBorder="1"/>
    <xf numFmtId="49" fontId="8" fillId="0" borderId="7" xfId="0" applyNumberFormat="1" applyFont="1" applyBorder="1"/>
    <xf numFmtId="4" fontId="3" fillId="0" borderId="9" xfId="0" applyNumberFormat="1" applyFont="1" applyBorder="1"/>
    <xf numFmtId="4" fontId="5" fillId="0" borderId="10" xfId="0" applyNumberFormat="1" applyFont="1" applyBorder="1"/>
    <xf numFmtId="4" fontId="2" fillId="0" borderId="11" xfId="0" applyNumberFormat="1" applyFont="1" applyBorder="1"/>
    <xf numFmtId="10" fontId="3" fillId="0" borderId="9" xfId="1" applyNumberFormat="1" applyFont="1" applyFill="1" applyBorder="1"/>
    <xf numFmtId="10" fontId="5" fillId="0" borderId="10" xfId="1" applyNumberFormat="1" applyFont="1" applyFill="1" applyBorder="1"/>
    <xf numFmtId="10" fontId="2" fillId="0" borderId="11" xfId="1" applyNumberFormat="1" applyFont="1" applyFill="1" applyBorder="1"/>
    <xf numFmtId="3" fontId="2" fillId="0" borderId="12" xfId="0" applyNumberFormat="1" applyFont="1" applyBorder="1"/>
    <xf numFmtId="3" fontId="2" fillId="0" borderId="11" xfId="0" applyNumberFormat="1" applyFont="1" applyBorder="1"/>
    <xf numFmtId="0" fontId="2" fillId="0" borderId="9" xfId="0" applyFont="1" applyBorder="1"/>
    <xf numFmtId="49" fontId="2" fillId="0" borderId="11" xfId="0" applyNumberFormat="1" applyFont="1" applyBorder="1"/>
    <xf numFmtId="4" fontId="3" fillId="0" borderId="5" xfId="0" applyNumberFormat="1" applyFont="1" applyBorder="1"/>
    <xf numFmtId="4" fontId="5" fillId="0" borderId="6" xfId="0" applyNumberFormat="1" applyFont="1" applyBorder="1"/>
    <xf numFmtId="4" fontId="2" fillId="0" borderId="7" xfId="0" applyNumberFormat="1" applyFont="1" applyBorder="1"/>
    <xf numFmtId="10" fontId="3" fillId="0" borderId="5" xfId="1" applyNumberFormat="1" applyFont="1" applyFill="1" applyBorder="1"/>
    <xf numFmtId="10" fontId="5" fillId="0" borderId="6" xfId="1" applyNumberFormat="1" applyFont="1" applyFill="1" applyBorder="1"/>
    <xf numFmtId="10" fontId="2" fillId="0" borderId="7" xfId="1" applyNumberFormat="1" applyFont="1" applyFill="1" applyBorder="1"/>
    <xf numFmtId="3" fontId="2" fillId="0" borderId="13" xfId="0" applyNumberFormat="1" applyFont="1" applyBorder="1"/>
    <xf numFmtId="3" fontId="2" fillId="0" borderId="7" xfId="0" applyNumberFormat="1" applyFont="1" applyBorder="1"/>
    <xf numFmtId="0" fontId="2" fillId="0" borderId="5" xfId="0" applyFont="1" applyBorder="1"/>
    <xf numFmtId="49" fontId="2" fillId="0" borderId="7" xfId="0" applyNumberFormat="1" applyFont="1" applyBorder="1"/>
    <xf numFmtId="4" fontId="2" fillId="0" borderId="14" xfId="0" applyNumberFormat="1" applyFont="1" applyBorder="1"/>
    <xf numFmtId="10" fontId="2" fillId="0" borderId="14" xfId="1" applyNumberFormat="1" applyFont="1" applyFill="1" applyBorder="1"/>
    <xf numFmtId="3" fontId="2" fillId="0" borderId="15" xfId="0" applyNumberFormat="1" applyFont="1" applyBorder="1"/>
    <xf numFmtId="3" fontId="2" fillId="0" borderId="14" xfId="0" applyNumberFormat="1" applyFont="1" applyBorder="1"/>
    <xf numFmtId="4" fontId="3" fillId="0" borderId="16" xfId="0" applyNumberFormat="1" applyFont="1" applyBorder="1"/>
    <xf numFmtId="4" fontId="5" fillId="0" borderId="17" xfId="0" applyNumberFormat="1" applyFont="1" applyBorder="1"/>
    <xf numFmtId="4" fontId="2" fillId="0" borderId="18" xfId="0" applyNumberFormat="1" applyFont="1" applyBorder="1"/>
    <xf numFmtId="10" fontId="3" fillId="0" borderId="16" xfId="1" applyNumberFormat="1" applyFont="1" applyFill="1" applyBorder="1"/>
    <xf numFmtId="10" fontId="5" fillId="0" borderId="17" xfId="1" applyNumberFormat="1" applyFont="1" applyFill="1" applyBorder="1"/>
    <xf numFmtId="10" fontId="2" fillId="0" borderId="18" xfId="1" applyNumberFormat="1" applyFont="1" applyFill="1" applyBorder="1"/>
    <xf numFmtId="3" fontId="2" fillId="0" borderId="19" xfId="0" applyNumberFormat="1" applyFont="1" applyBorder="1"/>
    <xf numFmtId="3" fontId="2" fillId="0" borderId="18" xfId="0" applyNumberFormat="1" applyFont="1" applyBorder="1"/>
    <xf numFmtId="0" fontId="2" fillId="0" borderId="16" xfId="0" applyFont="1" applyBorder="1"/>
    <xf numFmtId="49" fontId="2" fillId="0" borderId="18" xfId="0" applyNumberFormat="1" applyFont="1" applyBorder="1"/>
    <xf numFmtId="4" fontId="6" fillId="0" borderId="0" xfId="0" applyNumberFormat="1" applyFont="1"/>
    <xf numFmtId="4" fontId="7" fillId="0" borderId="0" xfId="0" applyNumberFormat="1" applyFont="1"/>
    <xf numFmtId="4" fontId="8" fillId="0" borderId="0" xfId="0" applyNumberFormat="1" applyFont="1"/>
    <xf numFmtId="4" fontId="6" fillId="0" borderId="0" xfId="1" applyNumberFormat="1" applyFont="1" applyFill="1"/>
    <xf numFmtId="4" fontId="7" fillId="0" borderId="0" xfId="1" applyNumberFormat="1" applyFont="1" applyFill="1"/>
    <xf numFmtId="4" fontId="8" fillId="0" borderId="0" xfId="1" applyNumberFormat="1" applyFont="1" applyFill="1"/>
    <xf numFmtId="10" fontId="6" fillId="0" borderId="0" xfId="1" applyNumberFormat="1" applyFont="1" applyFill="1"/>
    <xf numFmtId="10" fontId="7" fillId="0" borderId="0" xfId="1" applyNumberFormat="1" applyFont="1" applyFill="1"/>
    <xf numFmtId="10" fontId="8" fillId="0" borderId="0" xfId="1" applyNumberFormat="1" applyFont="1" applyFill="1"/>
    <xf numFmtId="3" fontId="8" fillId="0" borderId="0" xfId="1" applyNumberFormat="1" applyFont="1" applyFill="1"/>
    <xf numFmtId="0" fontId="8" fillId="0" borderId="0" xfId="0" quotePrefix="1" applyFont="1"/>
    <xf numFmtId="4" fontId="6" fillId="0" borderId="0" xfId="0" applyNumberFormat="1" applyFont="1" applyAlignment="1">
      <alignment vertical="center"/>
    </xf>
    <xf numFmtId="4" fontId="7" fillId="0" borderId="0" xfId="0" applyNumberFormat="1" applyFont="1" applyAlignment="1">
      <alignment vertical="center"/>
    </xf>
    <xf numFmtId="4" fontId="8" fillId="0" borderId="0" xfId="0" applyNumberFormat="1" applyFont="1" applyAlignment="1">
      <alignment vertical="center"/>
    </xf>
    <xf numFmtId="4" fontId="6" fillId="0" borderId="0" xfId="1" applyNumberFormat="1" applyFont="1" applyFill="1" applyBorder="1" applyAlignment="1">
      <alignment vertical="center"/>
    </xf>
    <xf numFmtId="4" fontId="7" fillId="0" borderId="0" xfId="1" applyNumberFormat="1" applyFont="1" applyFill="1" applyBorder="1" applyAlignment="1">
      <alignment vertical="center"/>
    </xf>
    <xf numFmtId="4" fontId="8" fillId="0" borderId="0" xfId="1" applyNumberFormat="1" applyFont="1" applyFill="1" applyBorder="1" applyAlignment="1">
      <alignment vertical="center"/>
    </xf>
    <xf numFmtId="10" fontId="6" fillId="0" borderId="0" xfId="1" applyNumberFormat="1" applyFont="1" applyFill="1" applyBorder="1" applyAlignment="1">
      <alignment vertical="center"/>
    </xf>
    <xf numFmtId="10" fontId="7" fillId="0" borderId="0" xfId="1" applyNumberFormat="1" applyFont="1" applyFill="1" applyBorder="1" applyAlignment="1">
      <alignment vertical="center"/>
    </xf>
    <xf numFmtId="10" fontId="8" fillId="0" borderId="0" xfId="1" applyNumberFormat="1" applyFont="1" applyFill="1" applyBorder="1" applyAlignment="1">
      <alignment vertical="center"/>
    </xf>
    <xf numFmtId="3" fontId="8" fillId="0" borderId="0" xfId="1" applyNumberFormat="1" applyFont="1" applyFill="1" applyBorder="1" applyAlignment="1">
      <alignment vertical="center"/>
    </xf>
    <xf numFmtId="3" fontId="8" fillId="0" borderId="0" xfId="0" applyNumberFormat="1" applyFont="1" applyAlignment="1">
      <alignment vertical="center"/>
    </xf>
    <xf numFmtId="3" fontId="8" fillId="0" borderId="21" xfId="0" applyNumberFormat="1" applyFont="1" applyBorder="1"/>
    <xf numFmtId="3" fontId="8" fillId="0" borderId="13" xfId="0" applyNumberFormat="1" applyFont="1" applyBorder="1"/>
    <xf numFmtId="49" fontId="2" fillId="0" borderId="14" xfId="0" applyNumberFormat="1" applyFont="1" applyBorder="1"/>
    <xf numFmtId="0" fontId="2" fillId="0" borderId="20" xfId="0" applyFont="1" applyBorder="1"/>
    <xf numFmtId="10" fontId="5" fillId="0" borderId="23" xfId="1" applyNumberFormat="1" applyFont="1" applyFill="1" applyBorder="1"/>
    <xf numFmtId="4" fontId="5" fillId="0" borderId="23" xfId="0" applyNumberFormat="1" applyFont="1" applyBorder="1"/>
    <xf numFmtId="10" fontId="3" fillId="0" borderId="20" xfId="1" applyNumberFormat="1" applyFont="1" applyFill="1" applyBorder="1"/>
    <xf numFmtId="0" fontId="2" fillId="0" borderId="0" xfId="0" applyFont="1" applyAlignment="1">
      <alignment horizontal="center"/>
    </xf>
    <xf numFmtId="10" fontId="6" fillId="0" borderId="24" xfId="4" applyNumberFormat="1" applyFont="1" applyFill="1" applyBorder="1" applyAlignment="1">
      <alignment horizontal="center" vertical="center"/>
    </xf>
    <xf numFmtId="10" fontId="7" fillId="0" borderId="25" xfId="4" applyNumberFormat="1" applyFont="1" applyFill="1" applyBorder="1" applyAlignment="1">
      <alignment horizontal="center" vertical="center"/>
    </xf>
    <xf numFmtId="10" fontId="8" fillId="0" borderId="26" xfId="4" applyNumberFormat="1" applyFont="1" applyFill="1" applyBorder="1" applyAlignment="1">
      <alignment horizontal="center" vertical="center"/>
    </xf>
    <xf numFmtId="10" fontId="6" fillId="0" borderId="27" xfId="4" applyNumberFormat="1" applyFont="1" applyFill="1" applyBorder="1" applyAlignment="1">
      <alignment horizontal="center" vertical="center"/>
    </xf>
    <xf numFmtId="10" fontId="8" fillId="0" borderId="28" xfId="4" applyNumberFormat="1" applyFont="1" applyFill="1" applyBorder="1" applyAlignment="1">
      <alignment horizontal="center" vertical="center"/>
    </xf>
    <xf numFmtId="10" fontId="6" fillId="0" borderId="26" xfId="4" applyNumberFormat="1" applyFont="1" applyFill="1" applyBorder="1" applyAlignment="1">
      <alignment horizontal="center" vertical="center"/>
    </xf>
    <xf numFmtId="10" fontId="8" fillId="0" borderId="29" xfId="4" applyNumberFormat="1" applyFont="1" applyFill="1" applyBorder="1" applyAlignment="1">
      <alignment horizontal="center" vertical="center"/>
    </xf>
    <xf numFmtId="3" fontId="8" fillId="0" borderId="22" xfId="0" applyNumberFormat="1" applyFont="1" applyBorder="1" applyAlignment="1">
      <alignment horizontal="center" vertical="center"/>
    </xf>
    <xf numFmtId="3" fontId="8" fillId="0" borderId="28" xfId="0" applyNumberFormat="1" applyFont="1" applyBorder="1" applyAlignment="1">
      <alignment horizontal="center"/>
    </xf>
    <xf numFmtId="3" fontId="8" fillId="0" borderId="31" xfId="0" applyNumberFormat="1" applyFont="1" applyBorder="1" applyAlignment="1">
      <alignment horizontal="center"/>
    </xf>
    <xf numFmtId="3" fontId="8" fillId="0" borderId="19" xfId="0" applyNumberFormat="1" applyFont="1" applyBorder="1" applyAlignment="1">
      <alignment horizontal="center"/>
    </xf>
    <xf numFmtId="10" fontId="7" fillId="0" borderId="0" xfId="1" applyNumberFormat="1" applyFont="1" applyFill="1" applyAlignment="1">
      <alignment horizontal="center" vertical="top"/>
    </xf>
    <xf numFmtId="4" fontId="8" fillId="0" borderId="0" xfId="0" applyNumberFormat="1" applyFont="1" applyAlignment="1">
      <alignment horizontal="center" vertical="top"/>
    </xf>
    <xf numFmtId="4" fontId="8" fillId="0" borderId="0" xfId="1" applyNumberFormat="1" applyFont="1" applyFill="1" applyAlignment="1">
      <alignment horizontal="center" vertical="top"/>
    </xf>
    <xf numFmtId="10" fontId="8" fillId="0" borderId="0" xfId="1" applyNumberFormat="1" applyFont="1" applyFill="1" applyAlignment="1">
      <alignment horizontal="center" vertical="top"/>
    </xf>
    <xf numFmtId="0" fontId="9" fillId="0" borderId="0" xfId="1" applyNumberFormat="1" applyFont="1" applyFill="1" applyAlignment="1">
      <alignment horizontal="center" vertical="center" wrapText="1"/>
    </xf>
    <xf numFmtId="3" fontId="8" fillId="0" borderId="0" xfId="0" applyNumberFormat="1" applyFont="1" applyAlignment="1">
      <alignment horizontal="center" vertical="top"/>
    </xf>
    <xf numFmtId="3" fontId="8" fillId="0" borderId="0" xfId="1" applyNumberFormat="1" applyFont="1" applyFill="1" applyAlignment="1">
      <alignment horizontal="center" vertical="top"/>
    </xf>
    <xf numFmtId="0" fontId="10" fillId="0" borderId="0" xfId="0" applyFont="1" applyAlignment="1">
      <alignment horizontal="left" vertical="top"/>
    </xf>
    <xf numFmtId="4" fontId="3" fillId="0" borderId="20" xfId="0" applyNumberFormat="1" applyFont="1" applyBorder="1"/>
    <xf numFmtId="0" fontId="8" fillId="0" borderId="0" xfId="0" applyFont="1" applyAlignment="1">
      <alignment horizontal="center" vertical="top"/>
    </xf>
    <xf numFmtId="3" fontId="2" fillId="0" borderId="0" xfId="11" applyNumberFormat="1" applyFont="1"/>
    <xf numFmtId="3" fontId="7" fillId="0" borderId="25" xfId="0" applyNumberFormat="1" applyFont="1" applyBorder="1" applyAlignment="1">
      <alignment horizontal="center"/>
    </xf>
    <xf numFmtId="3" fontId="7" fillId="0" borderId="6" xfId="0" applyNumberFormat="1" applyFont="1" applyBorder="1"/>
    <xf numFmtId="3" fontId="7" fillId="0" borderId="2" xfId="0" applyNumberFormat="1" applyFont="1" applyBorder="1"/>
    <xf numFmtId="3" fontId="8" fillId="0" borderId="7" xfId="11" applyNumberFormat="1" applyFont="1" applyBorder="1"/>
    <xf numFmtId="3" fontId="7" fillId="0" borderId="6" xfId="11" applyNumberFormat="1" applyFont="1" applyBorder="1"/>
    <xf numFmtId="3" fontId="6" fillId="0" borderId="5" xfId="11" applyNumberFormat="1" applyFont="1" applyBorder="1"/>
    <xf numFmtId="3" fontId="7" fillId="0" borderId="8" xfId="11" applyNumberFormat="1" applyFont="1" applyBorder="1"/>
    <xf numFmtId="3" fontId="8" fillId="0" borderId="3" xfId="11" applyNumberFormat="1" applyFont="1" applyBorder="1"/>
    <xf numFmtId="3" fontId="7" fillId="0" borderId="2" xfId="11" applyNumberFormat="1" applyFont="1" applyBorder="1"/>
    <xf numFmtId="3" fontId="6" fillId="0" borderId="1" xfId="11" applyNumberFormat="1" applyFont="1" applyBorder="1"/>
    <xf numFmtId="3" fontId="7" fillId="0" borderId="4" xfId="11" applyNumberFormat="1" applyFont="1" applyBorder="1"/>
    <xf numFmtId="3" fontId="6" fillId="0" borderId="40" xfId="11" applyNumberFormat="1" applyFont="1" applyBorder="1"/>
    <xf numFmtId="3" fontId="6" fillId="0" borderId="41" xfId="11" applyNumberFormat="1" applyFont="1" applyBorder="1"/>
    <xf numFmtId="3" fontId="5" fillId="0" borderId="17" xfId="0" applyNumberFormat="1" applyFont="1" applyBorder="1" applyAlignment="1">
      <alignment horizontal="right" vertical="center" wrapText="1"/>
    </xf>
    <xf numFmtId="3" fontId="5" fillId="0" borderId="6" xfId="0" applyNumberFormat="1" applyFont="1" applyBorder="1" applyAlignment="1">
      <alignment horizontal="right" vertical="center" wrapText="1"/>
    </xf>
    <xf numFmtId="3" fontId="5" fillId="0" borderId="23" xfId="0" applyNumberFormat="1" applyFont="1" applyBorder="1" applyAlignment="1">
      <alignment horizontal="right" vertical="center" wrapText="1"/>
    </xf>
    <xf numFmtId="3" fontId="5" fillId="0" borderId="10" xfId="0" applyNumberFormat="1" applyFont="1" applyBorder="1" applyAlignment="1">
      <alignment horizontal="right" vertical="center" wrapText="1"/>
    </xf>
    <xf numFmtId="3" fontId="5" fillId="0" borderId="0" xfId="11" applyNumberFormat="1" applyFont="1"/>
    <xf numFmtId="3" fontId="7" fillId="0" borderId="0" xfId="0" applyNumberFormat="1" applyFont="1"/>
    <xf numFmtId="3" fontId="7" fillId="0" borderId="0" xfId="1" applyNumberFormat="1" applyFont="1" applyFill="1" applyBorder="1" applyAlignment="1">
      <alignment vertical="center"/>
    </xf>
    <xf numFmtId="3" fontId="6" fillId="0" borderId="30" xfId="0" applyNumberFormat="1" applyFont="1" applyBorder="1" applyAlignment="1">
      <alignment horizontal="center"/>
    </xf>
    <xf numFmtId="3" fontId="3" fillId="0" borderId="16" xfId="0" applyNumberFormat="1" applyFont="1" applyBorder="1" applyAlignment="1">
      <alignment horizontal="right" vertical="center" wrapText="1"/>
    </xf>
    <xf numFmtId="3" fontId="3" fillId="0" borderId="5" xfId="0" applyNumberFormat="1" applyFont="1" applyBorder="1" applyAlignment="1">
      <alignment horizontal="right" vertical="center" wrapText="1"/>
    </xf>
    <xf numFmtId="3" fontId="3" fillId="0" borderId="20" xfId="0" applyNumberFormat="1" applyFont="1" applyBorder="1" applyAlignment="1">
      <alignment horizontal="right" vertical="center" wrapText="1"/>
    </xf>
    <xf numFmtId="3" fontId="3" fillId="0" borderId="9" xfId="0" applyNumberFormat="1" applyFont="1" applyBorder="1" applyAlignment="1">
      <alignment horizontal="right" vertical="center" wrapText="1"/>
    </xf>
    <xf numFmtId="3" fontId="3" fillId="0" borderId="0" xfId="11" applyNumberFormat="1" applyFont="1"/>
    <xf numFmtId="3" fontId="6" fillId="0" borderId="5" xfId="0" applyNumberFormat="1" applyFont="1" applyBorder="1"/>
    <xf numFmtId="3" fontId="6" fillId="0" borderId="1" xfId="0" applyNumberFormat="1" applyFont="1" applyBorder="1"/>
    <xf numFmtId="3" fontId="6" fillId="0" borderId="0" xfId="0" applyNumberFormat="1" applyFont="1"/>
    <xf numFmtId="3" fontId="6" fillId="0" borderId="0" xfId="1" applyNumberFormat="1" applyFont="1" applyFill="1" applyBorder="1" applyAlignment="1">
      <alignment vertical="center"/>
    </xf>
    <xf numFmtId="3" fontId="6" fillId="0" borderId="27" xfId="0" applyNumberFormat="1" applyFont="1" applyBorder="1" applyAlignment="1">
      <alignment horizontal="center"/>
    </xf>
    <xf numFmtId="49" fontId="2" fillId="0" borderId="7" xfId="11" applyNumberFormat="1" applyFont="1" applyBorder="1"/>
    <xf numFmtId="0" fontId="2" fillId="0" borderId="0" xfId="11" applyFont="1"/>
    <xf numFmtId="4" fontId="2" fillId="0" borderId="0" xfId="11" applyNumberFormat="1" applyFont="1"/>
    <xf numFmtId="49" fontId="2" fillId="0" borderId="0" xfId="11" applyNumberFormat="1" applyFont="1"/>
    <xf numFmtId="4" fontId="6" fillId="0" borderId="1" xfId="11" applyNumberFormat="1" applyFont="1" applyBorder="1"/>
    <xf numFmtId="4" fontId="7" fillId="0" borderId="2" xfId="11" applyNumberFormat="1" applyFont="1" applyBorder="1"/>
    <xf numFmtId="4" fontId="8" fillId="0" borderId="3" xfId="11" applyNumberFormat="1" applyFont="1" applyBorder="1"/>
    <xf numFmtId="0" fontId="8" fillId="0" borderId="1" xfId="11" applyFont="1" applyBorder="1"/>
    <xf numFmtId="49" fontId="8" fillId="0" borderId="3" xfId="11" applyNumberFormat="1" applyFont="1" applyBorder="1"/>
    <xf numFmtId="4" fontId="6" fillId="0" borderId="5" xfId="11" applyNumberFormat="1" applyFont="1" applyBorder="1"/>
    <xf numFmtId="4" fontId="7" fillId="0" borderId="6" xfId="11" applyNumberFormat="1" applyFont="1" applyBorder="1"/>
    <xf numFmtId="4" fontId="8" fillId="0" borderId="7" xfId="11" applyNumberFormat="1" applyFont="1" applyBorder="1"/>
    <xf numFmtId="0" fontId="8" fillId="0" borderId="5" xfId="11" applyFont="1" applyBorder="1"/>
    <xf numFmtId="49" fontId="8" fillId="0" borderId="7" xfId="11" applyNumberFormat="1" applyFont="1" applyBorder="1"/>
    <xf numFmtId="4" fontId="3" fillId="0" borderId="9" xfId="11" applyNumberFormat="1" applyFont="1" applyBorder="1"/>
    <xf numFmtId="4" fontId="5" fillId="0" borderId="10" xfId="11" applyNumberFormat="1" applyFont="1" applyBorder="1"/>
    <xf numFmtId="4" fontId="2" fillId="0" borderId="11" xfId="11" applyNumberFormat="1" applyFont="1" applyBorder="1"/>
    <xf numFmtId="3" fontId="2" fillId="0" borderId="12" xfId="11" applyNumberFormat="1" applyFont="1" applyBorder="1"/>
    <xf numFmtId="3" fontId="3" fillId="0" borderId="9" xfId="11" applyNumberFormat="1" applyFont="1" applyBorder="1" applyAlignment="1">
      <alignment horizontal="right" vertical="center" wrapText="1"/>
    </xf>
    <xf numFmtId="3" fontId="5" fillId="0" borderId="10" xfId="11" applyNumberFormat="1" applyFont="1" applyBorder="1" applyAlignment="1">
      <alignment horizontal="right" vertical="center" wrapText="1"/>
    </xf>
    <xf numFmtId="3" fontId="2" fillId="0" borderId="11" xfId="11" applyNumberFormat="1" applyFont="1" applyBorder="1"/>
    <xf numFmtId="0" fontId="2" fillId="0" borderId="9" xfId="11" applyFont="1" applyBorder="1"/>
    <xf numFmtId="49" fontId="2" fillId="0" borderId="11" xfId="11" applyNumberFormat="1" applyFont="1" applyBorder="1"/>
    <xf numFmtId="4" fontId="3" fillId="0" borderId="5" xfId="11" applyNumberFormat="1" applyFont="1" applyBorder="1"/>
    <xf numFmtId="4" fontId="5" fillId="0" borderId="6" xfId="11" applyNumberFormat="1" applyFont="1" applyBorder="1"/>
    <xf numFmtId="4" fontId="2" fillId="0" borderId="7" xfId="11" applyNumberFormat="1" applyFont="1" applyBorder="1"/>
    <xf numFmtId="3" fontId="2" fillId="0" borderId="13" xfId="11" applyNumberFormat="1" applyFont="1" applyBorder="1"/>
    <xf numFmtId="3" fontId="3" fillId="0" borderId="5" xfId="11" applyNumberFormat="1" applyFont="1" applyBorder="1" applyAlignment="1">
      <alignment horizontal="right" vertical="center" wrapText="1"/>
    </xf>
    <xf numFmtId="3" fontId="5" fillId="0" borderId="6" xfId="11" applyNumberFormat="1" applyFont="1" applyBorder="1" applyAlignment="1">
      <alignment horizontal="right" vertical="center" wrapText="1"/>
    </xf>
    <xf numFmtId="3" fontId="2" fillId="0" borderId="7" xfId="11" applyNumberFormat="1" applyFont="1" applyBorder="1"/>
    <xf numFmtId="0" fontId="2" fillId="0" borderId="5" xfId="11" applyFont="1" applyBorder="1"/>
    <xf numFmtId="4" fontId="3" fillId="0" borderId="20" xfId="11" applyNumberFormat="1" applyFont="1" applyBorder="1"/>
    <xf numFmtId="4" fontId="5" fillId="0" borderId="23" xfId="11" applyNumberFormat="1" applyFont="1" applyBorder="1"/>
    <xf numFmtId="4" fontId="2" fillId="0" borderId="14" xfId="11" applyNumberFormat="1" applyFont="1" applyBorder="1"/>
    <xf numFmtId="3" fontId="2" fillId="0" borderId="15" xfId="11" applyNumberFormat="1" applyFont="1" applyBorder="1"/>
    <xf numFmtId="3" fontId="3" fillId="0" borderId="20" xfId="11" applyNumberFormat="1" applyFont="1" applyBorder="1" applyAlignment="1">
      <alignment horizontal="right" vertical="center" wrapText="1"/>
    </xf>
    <xf numFmtId="3" fontId="5" fillId="0" borderId="23" xfId="11" applyNumberFormat="1" applyFont="1" applyBorder="1" applyAlignment="1">
      <alignment horizontal="right" vertical="center" wrapText="1"/>
    </xf>
    <xf numFmtId="3" fontId="2" fillId="0" borderId="14" xfId="11" applyNumberFormat="1" applyFont="1" applyBorder="1"/>
    <xf numFmtId="0" fontId="2" fillId="0" borderId="20" xfId="11" applyFont="1" applyBorder="1"/>
    <xf numFmtId="49" fontId="2" fillId="0" borderId="14" xfId="11" applyNumberFormat="1" applyFont="1" applyBorder="1"/>
    <xf numFmtId="4" fontId="3" fillId="0" borderId="16" xfId="11" applyNumberFormat="1" applyFont="1" applyBorder="1"/>
    <xf numFmtId="4" fontId="5" fillId="0" borderId="17" xfId="11" applyNumberFormat="1" applyFont="1" applyBorder="1"/>
    <xf numFmtId="4" fontId="2" fillId="0" borderId="18" xfId="11" applyNumberFormat="1" applyFont="1" applyBorder="1"/>
    <xf numFmtId="3" fontId="2" fillId="0" borderId="19" xfId="11" applyNumberFormat="1" applyFont="1" applyBorder="1"/>
    <xf numFmtId="3" fontId="3" fillId="0" borderId="16" xfId="11" applyNumberFormat="1" applyFont="1" applyBorder="1" applyAlignment="1">
      <alignment horizontal="right" vertical="center" wrapText="1"/>
    </xf>
    <xf numFmtId="3" fontId="5" fillId="0" borderId="17" xfId="11" applyNumberFormat="1" applyFont="1" applyBorder="1" applyAlignment="1">
      <alignment horizontal="right" vertical="center" wrapText="1"/>
    </xf>
    <xf numFmtId="3" fontId="2" fillId="0" borderId="18" xfId="11" applyNumberFormat="1" applyFont="1" applyBorder="1"/>
    <xf numFmtId="0" fontId="2" fillId="0" borderId="16" xfId="11" applyFont="1" applyBorder="1"/>
    <xf numFmtId="49" fontId="2" fillId="0" borderId="18" xfId="11" applyNumberFormat="1" applyFont="1" applyBorder="1"/>
    <xf numFmtId="4" fontId="6" fillId="0" borderId="0" xfId="11" applyNumberFormat="1" applyFont="1"/>
    <xf numFmtId="4" fontId="7" fillId="0" borderId="0" xfId="11" applyNumberFormat="1" applyFont="1"/>
    <xf numFmtId="4" fontId="8" fillId="0" borderId="0" xfId="11" applyNumberFormat="1" applyFont="1"/>
    <xf numFmtId="3" fontId="6" fillId="0" borderId="0" xfId="11" applyNumberFormat="1" applyFont="1"/>
    <xf numFmtId="3" fontId="7" fillId="0" borderId="0" xfId="11" applyNumberFormat="1" applyFont="1"/>
    <xf numFmtId="0" fontId="8" fillId="0" borderId="0" xfId="11" quotePrefix="1" applyFont="1"/>
    <xf numFmtId="4" fontId="6" fillId="0" borderId="0" xfId="11" applyNumberFormat="1" applyFont="1" applyAlignment="1">
      <alignment vertical="center"/>
    </xf>
    <xf numFmtId="4" fontId="7" fillId="0" borderId="0" xfId="11" applyNumberFormat="1" applyFont="1" applyAlignment="1">
      <alignment vertical="center"/>
    </xf>
    <xf numFmtId="4" fontId="8" fillId="0" borderId="0" xfId="11" applyNumberFormat="1" applyFont="1" applyAlignment="1">
      <alignment vertical="center"/>
    </xf>
    <xf numFmtId="3" fontId="8" fillId="0" borderId="0" xfId="11" applyNumberFormat="1" applyFont="1" applyAlignment="1">
      <alignment vertical="center"/>
    </xf>
    <xf numFmtId="3" fontId="8" fillId="0" borderId="21" xfId="11" applyNumberFormat="1" applyFont="1" applyBorder="1"/>
    <xf numFmtId="3" fontId="8" fillId="0" borderId="13" xfId="11" applyNumberFormat="1" applyFont="1" applyBorder="1"/>
    <xf numFmtId="0" fontId="8" fillId="0" borderId="0" xfId="11" applyFont="1"/>
    <xf numFmtId="0" fontId="2" fillId="0" borderId="0" xfId="11" applyFont="1" applyAlignment="1">
      <alignment horizontal="center"/>
    </xf>
    <xf numFmtId="3" fontId="8" fillId="0" borderId="22" xfId="11" applyNumberFormat="1" applyFont="1" applyBorder="1" applyAlignment="1">
      <alignment horizontal="center" vertical="center"/>
    </xf>
    <xf numFmtId="3" fontId="6" fillId="0" borderId="27" xfId="11" applyNumberFormat="1" applyFont="1" applyBorder="1" applyAlignment="1">
      <alignment horizontal="center"/>
    </xf>
    <xf numFmtId="3" fontId="7" fillId="0" borderId="25" xfId="11" applyNumberFormat="1" applyFont="1" applyBorder="1" applyAlignment="1">
      <alignment horizontal="center"/>
    </xf>
    <xf numFmtId="3" fontId="8" fillId="0" borderId="28" xfId="11" applyNumberFormat="1" applyFont="1" applyBorder="1" applyAlignment="1">
      <alignment horizontal="center"/>
    </xf>
    <xf numFmtId="3" fontId="6" fillId="0" borderId="30" xfId="11" applyNumberFormat="1" applyFont="1" applyBorder="1" applyAlignment="1">
      <alignment horizontal="center"/>
    </xf>
    <xf numFmtId="3" fontId="8" fillId="0" borderId="31" xfId="11" applyNumberFormat="1" applyFont="1" applyBorder="1" applyAlignment="1">
      <alignment horizontal="center"/>
    </xf>
    <xf numFmtId="3" fontId="8" fillId="0" borderId="19" xfId="11" applyNumberFormat="1" applyFont="1" applyBorder="1" applyAlignment="1">
      <alignment horizontal="center"/>
    </xf>
    <xf numFmtId="0" fontId="8" fillId="0" borderId="0" xfId="11" applyFont="1" applyAlignment="1">
      <alignment horizontal="center" vertical="top"/>
    </xf>
    <xf numFmtId="10" fontId="8" fillId="0" borderId="0" xfId="11" applyNumberFormat="1" applyFont="1" applyAlignment="1">
      <alignment horizontal="center" vertical="top"/>
    </xf>
    <xf numFmtId="0" fontId="10" fillId="0" borderId="0" xfId="11" applyFont="1" applyAlignment="1">
      <alignment horizontal="left" vertical="top"/>
    </xf>
    <xf numFmtId="3" fontId="8" fillId="0" borderId="21" xfId="11" applyNumberFormat="1" applyFont="1" applyBorder="1" applyAlignment="1">
      <alignment horizontal="center" vertical="center"/>
    </xf>
    <xf numFmtId="4" fontId="8" fillId="0" borderId="0" xfId="11" applyNumberFormat="1" applyFont="1" applyAlignment="1">
      <alignment horizontal="center" vertical="top"/>
    </xf>
    <xf numFmtId="3" fontId="8" fillId="0" borderId="0" xfId="11" applyNumberFormat="1" applyFont="1" applyAlignment="1">
      <alignment horizontal="center" vertical="top"/>
    </xf>
    <xf numFmtId="2" fontId="2" fillId="0" borderId="0" xfId="11" applyNumberFormat="1" applyFont="1"/>
    <xf numFmtId="10" fontId="2" fillId="0" borderId="0" xfId="1" applyNumberFormat="1" applyFont="1"/>
    <xf numFmtId="165" fontId="8" fillId="0" borderId="41" xfId="23" applyFont="1" applyFill="1" applyBorder="1"/>
    <xf numFmtId="165" fontId="8" fillId="0" borderId="40" xfId="23" applyFont="1" applyFill="1" applyBorder="1"/>
    <xf numFmtId="10" fontId="8" fillId="0" borderId="14" xfId="1" applyNumberFormat="1" applyFont="1" applyFill="1" applyBorder="1"/>
    <xf numFmtId="165" fontId="2" fillId="0" borderId="44" xfId="23" applyFont="1" applyFill="1" applyBorder="1"/>
    <xf numFmtId="3" fontId="3" fillId="0" borderId="44" xfId="11" applyNumberFormat="1" applyFont="1" applyBorder="1" applyAlignment="1">
      <alignment horizontal="right" vertical="center" wrapText="1"/>
    </xf>
    <xf numFmtId="3" fontId="5" fillId="0" borderId="45" xfId="11" applyNumberFormat="1" applyFont="1" applyBorder="1" applyAlignment="1">
      <alignment horizontal="right" vertical="center" wrapText="1"/>
    </xf>
    <xf numFmtId="165" fontId="2" fillId="0" borderId="40" xfId="23" applyFont="1" applyFill="1" applyBorder="1"/>
    <xf numFmtId="3" fontId="3" fillId="0" borderId="40" xfId="11" applyNumberFormat="1" applyFont="1" applyBorder="1" applyAlignment="1">
      <alignment horizontal="right" vertical="center" wrapText="1"/>
    </xf>
    <xf numFmtId="3" fontId="5" fillId="0" borderId="46" xfId="11" applyNumberFormat="1" applyFont="1" applyBorder="1" applyAlignment="1">
      <alignment horizontal="right" vertical="center" wrapText="1"/>
    </xf>
    <xf numFmtId="165" fontId="2" fillId="0" borderId="47" xfId="23" applyFont="1" applyFill="1" applyBorder="1"/>
    <xf numFmtId="3" fontId="3" fillId="0" borderId="48" xfId="11" applyNumberFormat="1" applyFont="1" applyBorder="1" applyAlignment="1">
      <alignment horizontal="right" vertical="center" wrapText="1"/>
    </xf>
    <xf numFmtId="3" fontId="5" fillId="0" borderId="49" xfId="11" applyNumberFormat="1" applyFont="1" applyBorder="1" applyAlignment="1">
      <alignment horizontal="right" vertical="center" wrapText="1"/>
    </xf>
    <xf numFmtId="3" fontId="3" fillId="0" borderId="50" xfId="11" applyNumberFormat="1" applyFont="1" applyBorder="1" applyAlignment="1">
      <alignment horizontal="right" vertical="center" wrapText="1"/>
    </xf>
    <xf numFmtId="3" fontId="5" fillId="0" borderId="51" xfId="11" applyNumberFormat="1" applyFont="1" applyBorder="1" applyAlignment="1">
      <alignment horizontal="right" vertical="center" wrapText="1"/>
    </xf>
    <xf numFmtId="0" fontId="8" fillId="0" borderId="20" xfId="11" applyFont="1" applyBorder="1"/>
    <xf numFmtId="0" fontId="2" fillId="0" borderId="53" xfId="11" applyFont="1" applyBorder="1"/>
    <xf numFmtId="0" fontId="2" fillId="0" borderId="54" xfId="11" applyFont="1" applyBorder="1"/>
    <xf numFmtId="0" fontId="2" fillId="0" borderId="55" xfId="11" applyFont="1" applyBorder="1"/>
    <xf numFmtId="0" fontId="2" fillId="0" borderId="56" xfId="11" applyFont="1" applyBorder="1"/>
    <xf numFmtId="0" fontId="6" fillId="0" borderId="57" xfId="11" applyFont="1" applyBorder="1" applyAlignment="1">
      <alignment horizontal="center" vertical="center" wrapText="1"/>
    </xf>
    <xf numFmtId="0" fontId="7" fillId="0" borderId="58" xfId="11" applyFont="1" applyBorder="1" applyAlignment="1">
      <alignment horizontal="center" vertical="center" wrapText="1"/>
    </xf>
    <xf numFmtId="0" fontId="13" fillId="0" borderId="59" xfId="11" applyFont="1" applyBorder="1" applyAlignment="1">
      <alignment horizontal="center" vertical="center" wrapText="1"/>
    </xf>
    <xf numFmtId="0" fontId="6" fillId="0" borderId="60" xfId="11" applyFont="1" applyBorder="1" applyAlignment="1">
      <alignment horizontal="center" vertical="center" wrapText="1"/>
    </xf>
    <xf numFmtId="0" fontId="13" fillId="0" borderId="58" xfId="11" applyFont="1" applyBorder="1" applyAlignment="1">
      <alignment horizontal="center" vertical="center" wrapText="1"/>
    </xf>
    <xf numFmtId="0" fontId="3" fillId="0" borderId="0" xfId="11" applyFont="1"/>
    <xf numFmtId="0" fontId="5" fillId="0" borderId="0" xfId="11" applyFont="1"/>
    <xf numFmtId="0" fontId="13" fillId="0" borderId="0" xfId="11" applyFont="1" applyAlignment="1">
      <alignment horizontal="center" vertical="center" wrapText="1"/>
    </xf>
    <xf numFmtId="0" fontId="2" fillId="0" borderId="0" xfId="12" applyFont="1"/>
    <xf numFmtId="2" fontId="2" fillId="0" borderId="0" xfId="12" applyNumberFormat="1" applyFont="1"/>
    <xf numFmtId="3" fontId="2" fillId="0" borderId="0" xfId="12" applyNumberFormat="1" applyFont="1"/>
    <xf numFmtId="49" fontId="2" fillId="0" borderId="0" xfId="12" applyNumberFormat="1" applyFont="1"/>
    <xf numFmtId="165" fontId="8" fillId="0" borderId="41" xfId="24" applyFont="1" applyFill="1" applyBorder="1"/>
    <xf numFmtId="165" fontId="8" fillId="0" borderId="40" xfId="24" applyFont="1" applyFill="1" applyBorder="1"/>
    <xf numFmtId="165" fontId="2" fillId="0" borderId="44" xfId="24" applyFont="1" applyFill="1" applyBorder="1"/>
    <xf numFmtId="165" fontId="2" fillId="0" borderId="40" xfId="24" applyFont="1" applyFill="1" applyBorder="1"/>
    <xf numFmtId="165" fontId="2" fillId="0" borderId="47" xfId="24" applyFont="1" applyFill="1" applyBorder="1"/>
    <xf numFmtId="0" fontId="13" fillId="0" borderId="57" xfId="11" applyFont="1" applyBorder="1" applyAlignment="1">
      <alignment horizontal="center" vertical="center" wrapText="1"/>
    </xf>
    <xf numFmtId="0" fontId="13" fillId="0" borderId="65" xfId="11" applyFont="1" applyBorder="1" applyAlignment="1">
      <alignment horizontal="center" vertical="center" wrapText="1"/>
    </xf>
    <xf numFmtId="0" fontId="13" fillId="0" borderId="60" xfId="11" applyFont="1" applyBorder="1" applyAlignment="1">
      <alignment horizontal="center" vertical="center" wrapText="1"/>
    </xf>
    <xf numFmtId="3" fontId="16" fillId="0" borderId="0" xfId="11" applyNumberFormat="1" applyFont="1" applyAlignment="1">
      <alignment horizontal="center" vertical="center"/>
    </xf>
    <xf numFmtId="3" fontId="15" fillId="0" borderId="0" xfId="11" applyNumberFormat="1" applyFont="1" applyAlignment="1">
      <alignment horizontal="center" vertical="center"/>
    </xf>
    <xf numFmtId="3" fontId="17" fillId="0" borderId="22" xfId="11" applyNumberFormat="1" applyFont="1" applyBorder="1" applyAlignment="1">
      <alignment horizontal="left" vertical="center"/>
    </xf>
    <xf numFmtId="3" fontId="18" fillId="0" borderId="0" xfId="11" applyNumberFormat="1" applyFont="1" applyAlignment="1">
      <alignment vertical="center"/>
    </xf>
    <xf numFmtId="10" fontId="8" fillId="0" borderId="0" xfId="1" applyNumberFormat="1" applyFont="1"/>
    <xf numFmtId="165" fontId="8" fillId="0" borderId="0" xfId="5" applyFont="1"/>
    <xf numFmtId="10" fontId="8" fillId="0" borderId="42" xfId="1" applyNumberFormat="1" applyFont="1" applyBorder="1" applyAlignment="1">
      <alignment horizontal="center"/>
    </xf>
    <xf numFmtId="10" fontId="8" fillId="0" borderId="19" xfId="1" applyNumberFormat="1" applyFont="1" applyBorder="1" applyAlignment="1">
      <alignment horizontal="center"/>
    </xf>
    <xf numFmtId="165" fontId="8" fillId="0" borderId="19" xfId="5" applyFont="1" applyBorder="1" applyAlignment="1">
      <alignment horizontal="center"/>
    </xf>
    <xf numFmtId="4" fontId="8" fillId="0" borderId="66" xfId="11" applyNumberFormat="1" applyFont="1" applyBorder="1" applyAlignment="1">
      <alignment horizontal="center"/>
    </xf>
    <xf numFmtId="4" fontId="8" fillId="0" borderId="17" xfId="11" applyNumberFormat="1" applyFont="1" applyBorder="1" applyAlignment="1">
      <alignment horizontal="center"/>
    </xf>
    <xf numFmtId="4" fontId="8" fillId="0" borderId="16" xfId="11" applyNumberFormat="1" applyFont="1" applyBorder="1" applyAlignment="1">
      <alignment horizontal="center"/>
    </xf>
    <xf numFmtId="10" fontId="8" fillId="0" borderId="4" xfId="1" applyNumberFormat="1" applyFont="1" applyBorder="1" applyAlignment="1">
      <alignment horizontal="center"/>
    </xf>
    <xf numFmtId="10" fontId="8" fillId="0" borderId="2" xfId="1" applyNumberFormat="1" applyFont="1" applyBorder="1" applyAlignment="1">
      <alignment horizontal="center"/>
    </xf>
    <xf numFmtId="10" fontId="8" fillId="0" borderId="67" xfId="1" applyNumberFormat="1" applyFont="1" applyBorder="1" applyAlignment="1">
      <alignment horizontal="center"/>
    </xf>
    <xf numFmtId="10" fontId="8" fillId="0" borderId="68" xfId="1" applyNumberFormat="1" applyFont="1" applyBorder="1" applyAlignment="1">
      <alignment horizontal="center"/>
    </xf>
    <xf numFmtId="10" fontId="8" fillId="0" borderId="21" xfId="1" applyNumberFormat="1" applyFont="1" applyBorder="1" applyAlignment="1">
      <alignment horizontal="center"/>
    </xf>
    <xf numFmtId="165" fontId="8" fillId="0" borderId="21" xfId="5" applyFont="1" applyBorder="1" applyAlignment="1">
      <alignment horizontal="center"/>
    </xf>
    <xf numFmtId="4" fontId="8" fillId="0" borderId="22" xfId="11" applyNumberFormat="1" applyFont="1" applyBorder="1" applyAlignment="1">
      <alignment horizontal="center"/>
    </xf>
    <xf numFmtId="4" fontId="8" fillId="0" borderId="2" xfId="11" applyNumberFormat="1" applyFont="1" applyBorder="1" applyAlignment="1">
      <alignment horizontal="center"/>
    </xf>
    <xf numFmtId="4" fontId="8" fillId="0" borderId="1" xfId="11" applyNumberFormat="1" applyFont="1" applyBorder="1" applyAlignment="1">
      <alignment horizontal="center"/>
    </xf>
    <xf numFmtId="4" fontId="2" fillId="0" borderId="17" xfId="1" applyNumberFormat="1" applyFont="1" applyBorder="1"/>
    <xf numFmtId="165" fontId="2" fillId="0" borderId="16" xfId="5" applyFont="1" applyBorder="1"/>
    <xf numFmtId="10" fontId="2" fillId="0" borderId="8" xfId="1" applyNumberFormat="1" applyFont="1" applyBorder="1"/>
    <xf numFmtId="10" fontId="2" fillId="0" borderId="6" xfId="1" applyNumberFormat="1" applyFont="1" applyBorder="1"/>
    <xf numFmtId="4" fontId="2" fillId="0" borderId="6" xfId="1" applyNumberFormat="1" applyFont="1" applyBorder="1"/>
    <xf numFmtId="165" fontId="2" fillId="0" borderId="5" xfId="5" applyFont="1" applyBorder="1"/>
    <xf numFmtId="49" fontId="8" fillId="0" borderId="11" xfId="11" applyNumberFormat="1" applyFont="1" applyBorder="1"/>
    <xf numFmtId="10" fontId="2" fillId="0" borderId="70" xfId="1" applyNumberFormat="1" applyFont="1" applyBorder="1"/>
    <xf numFmtId="10" fontId="2" fillId="0" borderId="10" xfId="1" applyNumberFormat="1" applyFont="1" applyBorder="1"/>
    <xf numFmtId="4" fontId="2" fillId="0" borderId="10" xfId="1" applyNumberFormat="1" applyFont="1" applyBorder="1"/>
    <xf numFmtId="165" fontId="2" fillId="0" borderId="9" xfId="5" applyFont="1" applyBorder="1"/>
    <xf numFmtId="165" fontId="2" fillId="0" borderId="20" xfId="5" applyFont="1" applyBorder="1"/>
    <xf numFmtId="4" fontId="2" fillId="0" borderId="23" xfId="1" applyNumberFormat="1" applyFont="1" applyBorder="1"/>
    <xf numFmtId="4" fontId="2" fillId="0" borderId="6" xfId="1" applyNumberFormat="1" applyFont="1" applyFill="1" applyBorder="1"/>
    <xf numFmtId="10" fontId="8" fillId="0" borderId="69" xfId="1" applyNumberFormat="1" applyFont="1" applyBorder="1"/>
    <xf numFmtId="10" fontId="8" fillId="0" borderId="17" xfId="1" applyNumberFormat="1" applyFont="1" applyBorder="1"/>
    <xf numFmtId="4" fontId="8" fillId="0" borderId="17" xfId="1" applyNumberFormat="1" applyFont="1" applyBorder="1"/>
    <xf numFmtId="10" fontId="8" fillId="0" borderId="8" xfId="1" applyNumberFormat="1" applyFont="1" applyBorder="1"/>
    <xf numFmtId="10" fontId="8" fillId="0" borderId="6" xfId="1" applyNumberFormat="1" applyFont="1" applyBorder="1"/>
    <xf numFmtId="10" fontId="21" fillId="0" borderId="56" xfId="1" applyNumberFormat="1" applyFont="1" applyBorder="1" applyAlignment="1">
      <alignment horizontal="center"/>
    </xf>
    <xf numFmtId="10" fontId="21" fillId="0" borderId="67" xfId="1" applyNumberFormat="1" applyFont="1" applyBorder="1" applyAlignment="1">
      <alignment horizontal="center"/>
    </xf>
    <xf numFmtId="49" fontId="8" fillId="0" borderId="14" xfId="11" applyNumberFormat="1" applyFont="1" applyBorder="1"/>
    <xf numFmtId="0" fontId="2" fillId="0" borderId="23" xfId="11" applyFont="1" applyBorder="1"/>
    <xf numFmtId="10" fontId="2" fillId="0" borderId="71" xfId="1" applyNumberFormat="1" applyFont="1" applyBorder="1"/>
    <xf numFmtId="10" fontId="2" fillId="0" borderId="23" xfId="1" applyNumberFormat="1" applyFont="1" applyBorder="1"/>
    <xf numFmtId="10" fontId="8" fillId="0" borderId="20" xfId="1" applyNumberFormat="1" applyFont="1" applyBorder="1"/>
    <xf numFmtId="10" fontId="8" fillId="0" borderId="71" xfId="1" applyNumberFormat="1" applyFont="1" applyBorder="1"/>
    <xf numFmtId="10" fontId="2" fillId="0" borderId="72" xfId="11" applyNumberFormat="1" applyFont="1" applyBorder="1"/>
    <xf numFmtId="4" fontId="2" fillId="0" borderId="69" xfId="1" applyNumberFormat="1" applyFont="1" applyBorder="1"/>
    <xf numFmtId="0" fontId="2" fillId="0" borderId="6" xfId="11" applyFont="1" applyBorder="1"/>
    <xf numFmtId="10" fontId="8" fillId="0" borderId="5" xfId="1" applyNumberFormat="1" applyFont="1" applyBorder="1"/>
    <xf numFmtId="4" fontId="2" fillId="0" borderId="8" xfId="1" applyNumberFormat="1" applyFont="1" applyBorder="1"/>
    <xf numFmtId="0" fontId="2" fillId="0" borderId="10" xfId="11" applyFont="1" applyBorder="1"/>
    <xf numFmtId="10" fontId="8" fillId="0" borderId="9" xfId="1" applyNumberFormat="1" applyFont="1" applyBorder="1"/>
    <xf numFmtId="10" fontId="8" fillId="0" borderId="70" xfId="1" applyNumberFormat="1" applyFont="1" applyBorder="1"/>
    <xf numFmtId="49" fontId="8" fillId="4" borderId="14" xfId="11" applyNumberFormat="1" applyFont="1" applyFill="1" applyBorder="1"/>
    <xf numFmtId="0" fontId="8" fillId="4" borderId="23" xfId="11" applyFont="1" applyFill="1" applyBorder="1"/>
    <xf numFmtId="10" fontId="8" fillId="4" borderId="71" xfId="1" applyNumberFormat="1" applyFont="1" applyFill="1" applyBorder="1"/>
    <xf numFmtId="10" fontId="8" fillId="4" borderId="23" xfId="1" applyNumberFormat="1" applyFont="1" applyFill="1" applyBorder="1"/>
    <xf numFmtId="10" fontId="8" fillId="4" borderId="20" xfId="1" applyNumberFormat="1" applyFont="1" applyFill="1" applyBorder="1"/>
    <xf numFmtId="10" fontId="8" fillId="4" borderId="72" xfId="11" applyNumberFormat="1" applyFont="1" applyFill="1" applyBorder="1"/>
    <xf numFmtId="4" fontId="8" fillId="4" borderId="23" xfId="1" applyNumberFormat="1" applyFont="1" applyFill="1" applyBorder="1"/>
    <xf numFmtId="165" fontId="8" fillId="4" borderId="20" xfId="5" applyFont="1" applyFill="1" applyBorder="1"/>
    <xf numFmtId="49" fontId="8" fillId="4" borderId="7" xfId="11" applyNumberFormat="1" applyFont="1" applyFill="1" applyBorder="1"/>
    <xf numFmtId="0" fontId="8" fillId="4" borderId="6" xfId="11" applyFont="1" applyFill="1" applyBorder="1"/>
    <xf numFmtId="10" fontId="8" fillId="4" borderId="8" xfId="1" applyNumberFormat="1" applyFont="1" applyFill="1" applyBorder="1"/>
    <xf numFmtId="10" fontId="8" fillId="4" borderId="6" xfId="1" applyNumberFormat="1" applyFont="1" applyFill="1" applyBorder="1"/>
    <xf numFmtId="10" fontId="8" fillId="4" borderId="5" xfId="1" applyNumberFormat="1" applyFont="1" applyFill="1" applyBorder="1"/>
    <xf numFmtId="4" fontId="8" fillId="4" borderId="6" xfId="1" applyNumberFormat="1" applyFont="1" applyFill="1" applyBorder="1"/>
    <xf numFmtId="165" fontId="8" fillId="4" borderId="5" xfId="5" applyFont="1" applyFill="1" applyBorder="1"/>
    <xf numFmtId="49" fontId="8" fillId="4" borderId="3" xfId="11" applyNumberFormat="1" applyFont="1" applyFill="1" applyBorder="1"/>
    <xf numFmtId="0" fontId="8" fillId="4" borderId="2" xfId="11" applyFont="1" applyFill="1" applyBorder="1"/>
    <xf numFmtId="10" fontId="8" fillId="4" borderId="70" xfId="1" applyNumberFormat="1" applyFont="1" applyFill="1" applyBorder="1"/>
    <xf numFmtId="10" fontId="8" fillId="4" borderId="10" xfId="1" applyNumberFormat="1" applyFont="1" applyFill="1" applyBorder="1"/>
    <xf numFmtId="10" fontId="8" fillId="4" borderId="9" xfId="1" applyNumberFormat="1" applyFont="1" applyFill="1" applyBorder="1"/>
    <xf numFmtId="4" fontId="8" fillId="4" borderId="10" xfId="1" applyNumberFormat="1" applyFont="1" applyFill="1" applyBorder="1"/>
    <xf numFmtId="165" fontId="8" fillId="4" borderId="9" xfId="5" applyFont="1" applyFill="1" applyBorder="1"/>
    <xf numFmtId="49" fontId="8" fillId="0" borderId="0" xfId="14" applyNumberFormat="1" applyFont="1"/>
    <xf numFmtId="0" fontId="2" fillId="0" borderId="0" xfId="14" applyFont="1"/>
    <xf numFmtId="49" fontId="8" fillId="0" borderId="52" xfId="11" applyNumberFormat="1" applyFont="1" applyBorder="1" applyAlignment="1">
      <alignment horizontal="center" vertical="center" wrapText="1"/>
    </xf>
    <xf numFmtId="49" fontId="8" fillId="0" borderId="38" xfId="11" applyNumberFormat="1" applyFont="1" applyBorder="1" applyAlignment="1">
      <alignment vertical="center" wrapText="1"/>
    </xf>
    <xf numFmtId="10" fontId="2" fillId="0" borderId="71" xfId="1" applyNumberFormat="1" applyFont="1" applyFill="1" applyBorder="1"/>
    <xf numFmtId="10" fontId="2" fillId="0" borderId="23" xfId="1" applyNumberFormat="1" applyFont="1" applyFill="1" applyBorder="1"/>
    <xf numFmtId="10" fontId="8" fillId="0" borderId="20" xfId="1" applyNumberFormat="1" applyFont="1" applyFill="1" applyBorder="1"/>
    <xf numFmtId="10" fontId="8" fillId="0" borderId="71" xfId="1" applyNumberFormat="1" applyFont="1" applyFill="1" applyBorder="1"/>
    <xf numFmtId="4" fontId="2" fillId="0" borderId="23" xfId="1" applyNumberFormat="1" applyFont="1" applyFill="1" applyBorder="1"/>
    <xf numFmtId="165" fontId="2" fillId="0" borderId="20" xfId="5" applyFont="1" applyFill="1" applyBorder="1"/>
    <xf numFmtId="49" fontId="23" fillId="0" borderId="7" xfId="11" applyNumberFormat="1" applyFont="1" applyBorder="1"/>
    <xf numFmtId="10" fontId="2" fillId="0" borderId="8" xfId="1" applyNumberFormat="1" applyFont="1" applyFill="1" applyBorder="1"/>
    <xf numFmtId="10" fontId="2" fillId="0" borderId="6" xfId="1" applyNumberFormat="1" applyFont="1" applyFill="1" applyBorder="1"/>
    <xf numFmtId="10" fontId="8" fillId="0" borderId="5" xfId="1" applyNumberFormat="1" applyFont="1" applyFill="1" applyBorder="1"/>
    <xf numFmtId="10" fontId="8" fillId="0" borderId="8" xfId="1" applyNumberFormat="1" applyFont="1" applyFill="1" applyBorder="1"/>
    <xf numFmtId="165" fontId="2" fillId="0" borderId="5" xfId="5" applyFont="1" applyFill="1" applyBorder="1"/>
    <xf numFmtId="10" fontId="2" fillId="0" borderId="70" xfId="1" applyNumberFormat="1" applyFont="1" applyFill="1" applyBorder="1"/>
    <xf numFmtId="10" fontId="2" fillId="0" borderId="10" xfId="1" applyNumberFormat="1" applyFont="1" applyFill="1" applyBorder="1"/>
    <xf numFmtId="10" fontId="8" fillId="0" borderId="9" xfId="1" applyNumberFormat="1" applyFont="1" applyFill="1" applyBorder="1"/>
    <xf numFmtId="10" fontId="8" fillId="0" borderId="70" xfId="1" applyNumberFormat="1" applyFont="1" applyFill="1" applyBorder="1"/>
    <xf numFmtId="4" fontId="2" fillId="0" borderId="10" xfId="1" applyNumberFormat="1" applyFont="1" applyFill="1" applyBorder="1"/>
    <xf numFmtId="165" fontId="2" fillId="0" borderId="9" xfId="5" applyFont="1" applyFill="1" applyBorder="1"/>
    <xf numFmtId="49" fontId="8" fillId="0" borderId="0" xfId="11" applyNumberFormat="1" applyFont="1"/>
    <xf numFmtId="0" fontId="22" fillId="0" borderId="0" xfId="14" applyFont="1"/>
    <xf numFmtId="3" fontId="8" fillId="0" borderId="0" xfId="14" applyNumberFormat="1" applyFont="1" applyAlignment="1">
      <alignment vertical="center"/>
    </xf>
    <xf numFmtId="0" fontId="8" fillId="0" borderId="0" xfId="14" quotePrefix="1" applyFont="1"/>
    <xf numFmtId="169" fontId="8" fillId="0" borderId="0" xfId="1" applyNumberFormat="1" applyFont="1" applyFill="1" applyBorder="1" applyAlignment="1">
      <alignment vertical="center"/>
    </xf>
    <xf numFmtId="4" fontId="2" fillId="0" borderId="0" xfId="14" applyNumberFormat="1" applyFont="1"/>
    <xf numFmtId="3" fontId="18" fillId="0" borderId="22" xfId="11" applyNumberFormat="1" applyFont="1" applyBorder="1" applyAlignment="1">
      <alignment vertical="center"/>
    </xf>
    <xf numFmtId="10" fontId="8" fillId="0" borderId="18" xfId="1" applyNumberFormat="1" applyFont="1" applyBorder="1" applyAlignment="1">
      <alignment horizontal="center"/>
    </xf>
    <xf numFmtId="10" fontId="8" fillId="0" borderId="17" xfId="1" applyNumberFormat="1" applyFont="1" applyBorder="1" applyAlignment="1">
      <alignment horizontal="center"/>
    </xf>
    <xf numFmtId="10" fontId="8" fillId="0" borderId="19" xfId="1" applyNumberFormat="1" applyFont="1" applyFill="1" applyBorder="1" applyAlignment="1">
      <alignment horizontal="center"/>
    </xf>
    <xf numFmtId="4" fontId="2" fillId="0" borderId="47" xfId="14" applyNumberFormat="1" applyFont="1" applyBorder="1" applyAlignment="1">
      <alignment horizontal="center"/>
    </xf>
    <xf numFmtId="10" fontId="8" fillId="0" borderId="3" xfId="1" applyNumberFormat="1" applyFont="1" applyBorder="1" applyAlignment="1">
      <alignment horizontal="center"/>
    </xf>
    <xf numFmtId="10" fontId="8" fillId="0" borderId="21" xfId="1" applyNumberFormat="1" applyFont="1" applyFill="1" applyBorder="1" applyAlignment="1">
      <alignment horizontal="center"/>
    </xf>
    <xf numFmtId="4" fontId="2" fillId="0" borderId="41" xfId="14" applyNumberFormat="1" applyFont="1" applyBorder="1" applyAlignment="1">
      <alignment horizontal="center"/>
    </xf>
    <xf numFmtId="10" fontId="8" fillId="0" borderId="69" xfId="1" applyNumberFormat="1" applyFont="1" applyBorder="1" applyAlignment="1">
      <alignment horizontal="center"/>
    </xf>
    <xf numFmtId="4" fontId="19" fillId="0" borderId="16" xfId="11" applyNumberFormat="1" applyFont="1" applyBorder="1" applyAlignment="1">
      <alignment horizontal="center"/>
    </xf>
    <xf numFmtId="10" fontId="8" fillId="0" borderId="6" xfId="1" applyNumberFormat="1" applyFont="1" applyBorder="1" applyAlignment="1">
      <alignment horizontal="center"/>
    </xf>
    <xf numFmtId="4" fontId="19" fillId="0" borderId="5" xfId="11" applyNumberFormat="1" applyFont="1" applyBorder="1" applyAlignment="1">
      <alignment horizontal="center"/>
    </xf>
    <xf numFmtId="10" fontId="8" fillId="0" borderId="23" xfId="1" applyNumberFormat="1" applyFont="1" applyBorder="1"/>
    <xf numFmtId="2" fontId="2" fillId="0" borderId="20" xfId="11" applyNumberFormat="1" applyFont="1" applyBorder="1"/>
    <xf numFmtId="10" fontId="2" fillId="0" borderId="5" xfId="1" applyNumberFormat="1" applyFont="1" applyBorder="1"/>
    <xf numFmtId="10" fontId="8" fillId="0" borderId="10" xfId="1" applyNumberFormat="1" applyFont="1" applyBorder="1"/>
    <xf numFmtId="10" fontId="2" fillId="0" borderId="9" xfId="1" applyNumberFormat="1" applyFont="1" applyBorder="1"/>
    <xf numFmtId="10" fontId="8" fillId="0" borderId="23" xfId="1" applyNumberFormat="1" applyFont="1" applyFill="1" applyBorder="1"/>
    <xf numFmtId="10" fontId="8" fillId="0" borderId="6" xfId="1" applyNumberFormat="1" applyFont="1" applyFill="1" applyBorder="1"/>
    <xf numFmtId="10" fontId="2" fillId="0" borderId="5" xfId="1" applyNumberFormat="1" applyFont="1" applyFill="1" applyBorder="1"/>
    <xf numFmtId="0" fontId="8" fillId="0" borderId="0" xfId="14" applyFont="1"/>
    <xf numFmtId="2" fontId="2" fillId="4" borderId="20" xfId="11" applyNumberFormat="1" applyFont="1" applyFill="1" applyBorder="1"/>
    <xf numFmtId="10" fontId="2" fillId="4" borderId="5" xfId="1" applyNumberFormat="1" applyFont="1" applyFill="1" applyBorder="1"/>
    <xf numFmtId="10" fontId="8" fillId="4" borderId="2" xfId="1" applyNumberFormat="1" applyFont="1" applyFill="1" applyBorder="1"/>
    <xf numFmtId="10" fontId="2" fillId="4" borderId="1" xfId="1" applyNumberFormat="1" applyFont="1" applyFill="1" applyBorder="1"/>
    <xf numFmtId="10" fontId="8" fillId="0" borderId="10" xfId="1" applyNumberFormat="1" applyFont="1" applyFill="1" applyBorder="1"/>
    <xf numFmtId="10" fontId="2" fillId="0" borderId="9" xfId="1" applyNumberFormat="1" applyFont="1" applyFill="1" applyBorder="1"/>
    <xf numFmtId="49" fontId="8" fillId="0" borderId="14" xfId="11" applyNumberFormat="1" applyFont="1" applyBorder="1" applyAlignment="1">
      <alignment wrapText="1"/>
    </xf>
    <xf numFmtId="49" fontId="8" fillId="0" borderId="7" xfId="11" applyNumberFormat="1" applyFont="1" applyBorder="1" applyAlignment="1">
      <alignment wrapText="1"/>
    </xf>
    <xf numFmtId="2" fontId="2" fillId="0" borderId="0" xfId="14" applyNumberFormat="1" applyFont="1"/>
    <xf numFmtId="2" fontId="2" fillId="0" borderId="23" xfId="11" applyNumberFormat="1" applyFont="1" applyBorder="1"/>
    <xf numFmtId="2" fontId="2" fillId="4" borderId="23" xfId="11" applyNumberFormat="1" applyFont="1" applyFill="1" applyBorder="1"/>
    <xf numFmtId="10" fontId="2" fillId="4" borderId="6" xfId="1" applyNumberFormat="1" applyFont="1" applyFill="1" applyBorder="1"/>
    <xf numFmtId="10" fontId="2" fillId="4" borderId="10" xfId="1" applyNumberFormat="1" applyFont="1" applyFill="1" applyBorder="1"/>
    <xf numFmtId="0" fontId="8" fillId="0" borderId="0" xfId="14" applyFont="1" applyAlignment="1">
      <alignment horizontal="center"/>
    </xf>
    <xf numFmtId="0" fontId="26" fillId="0" borderId="0" xfId="14" applyFont="1" applyAlignment="1">
      <alignment horizontal="center"/>
    </xf>
    <xf numFmtId="0" fontId="27" fillId="0" borderId="0" xfId="14" applyFont="1" applyAlignment="1">
      <alignment horizontal="center"/>
    </xf>
    <xf numFmtId="0" fontId="8" fillId="0" borderId="0" xfId="14" applyFont="1" applyAlignment="1">
      <alignment horizontal="center" vertical="top"/>
    </xf>
    <xf numFmtId="4" fontId="8" fillId="0" borderId="0" xfId="14" applyNumberFormat="1" applyFont="1"/>
    <xf numFmtId="0" fontId="26" fillId="0" borderId="0" xfId="14" applyFont="1" applyAlignment="1">
      <alignment horizontal="center" vertical="top"/>
    </xf>
    <xf numFmtId="10" fontId="26" fillId="0" borderId="0" xfId="1" applyNumberFormat="1" applyFont="1" applyFill="1" applyAlignment="1">
      <alignment horizontal="center" vertical="top"/>
    </xf>
    <xf numFmtId="4" fontId="26" fillId="0" borderId="0" xfId="14" applyNumberFormat="1" applyFont="1"/>
    <xf numFmtId="0" fontId="27" fillId="0" borderId="0" xfId="14" applyFont="1" applyAlignment="1">
      <alignment horizontal="center" vertical="top"/>
    </xf>
    <xf numFmtId="10" fontId="27" fillId="0" borderId="0" xfId="1" applyNumberFormat="1" applyFont="1" applyFill="1" applyAlignment="1">
      <alignment horizontal="center" vertical="top"/>
    </xf>
    <xf numFmtId="4" fontId="27" fillId="0" borderId="0" xfId="14" applyNumberFormat="1" applyFont="1"/>
    <xf numFmtId="10" fontId="8" fillId="0" borderId="0" xfId="1" applyNumberFormat="1" applyFont="1" applyBorder="1" applyAlignment="1">
      <alignment vertical="center"/>
    </xf>
    <xf numFmtId="3" fontId="26" fillId="0" borderId="0" xfId="14" applyNumberFormat="1" applyFont="1" applyAlignment="1">
      <alignment vertical="center"/>
    </xf>
    <xf numFmtId="0" fontId="26" fillId="0" borderId="0" xfId="14" quotePrefix="1" applyFont="1"/>
    <xf numFmtId="10" fontId="26" fillId="0" borderId="0" xfId="1" applyNumberFormat="1" applyFont="1" applyBorder="1" applyAlignment="1">
      <alignment vertical="center"/>
    </xf>
    <xf numFmtId="3" fontId="27" fillId="0" borderId="0" xfId="14" applyNumberFormat="1" applyFont="1" applyAlignment="1">
      <alignment vertical="center"/>
    </xf>
    <xf numFmtId="0" fontId="27" fillId="0" borderId="0" xfId="14" quotePrefix="1" applyFont="1"/>
    <xf numFmtId="10" fontId="27" fillId="0" borderId="0" xfId="1" applyNumberFormat="1" applyFont="1" applyBorder="1" applyAlignment="1">
      <alignment vertical="center"/>
    </xf>
    <xf numFmtId="10" fontId="26" fillId="0" borderId="0" xfId="1" applyNumberFormat="1" applyFont="1"/>
    <xf numFmtId="10" fontId="27" fillId="0" borderId="0" xfId="1" applyNumberFormat="1" applyFont="1"/>
    <xf numFmtId="10" fontId="8" fillId="0" borderId="56" xfId="1" applyNumberFormat="1" applyFont="1" applyBorder="1" applyAlignment="1">
      <alignment horizontal="center"/>
    </xf>
    <xf numFmtId="4" fontId="2" fillId="0" borderId="16" xfId="14" applyNumberFormat="1" applyFont="1" applyBorder="1" applyAlignment="1">
      <alignment horizontal="center"/>
    </xf>
    <xf numFmtId="4" fontId="2" fillId="0" borderId="1" xfId="14" applyNumberFormat="1" applyFont="1" applyBorder="1" applyAlignment="1">
      <alignment horizontal="center"/>
    </xf>
    <xf numFmtId="4" fontId="19" fillId="0" borderId="9" xfId="11" applyNumberFormat="1" applyFont="1" applyBorder="1" applyAlignment="1">
      <alignment horizontal="center"/>
    </xf>
    <xf numFmtId="2" fontId="2" fillId="0" borderId="6" xfId="11" applyNumberFormat="1" applyFont="1" applyBorder="1"/>
    <xf numFmtId="2" fontId="2" fillId="4" borderId="6" xfId="11" applyNumberFormat="1" applyFont="1" applyFill="1" applyBorder="1"/>
    <xf numFmtId="0" fontId="28" fillId="0" borderId="0" xfId="11" applyFont="1" applyAlignment="1">
      <alignment horizontal="left" vertical="top"/>
    </xf>
    <xf numFmtId="0" fontId="15" fillId="0" borderId="0" xfId="11" applyFont="1" applyAlignment="1">
      <alignment horizontal="center" vertical="top"/>
    </xf>
    <xf numFmtId="10" fontId="8" fillId="0" borderId="16" xfId="1" applyNumberFormat="1" applyFont="1" applyBorder="1"/>
    <xf numFmtId="4" fontId="8" fillId="0" borderId="6" xfId="1" applyNumberFormat="1" applyFont="1" applyBorder="1"/>
    <xf numFmtId="4" fontId="8" fillId="0" borderId="10" xfId="1" applyNumberFormat="1" applyFont="1" applyBorder="1"/>
    <xf numFmtId="4" fontId="8" fillId="0" borderId="6" xfId="1" applyNumberFormat="1" applyFont="1" applyFill="1" applyBorder="1"/>
    <xf numFmtId="4" fontId="21" fillId="0" borderId="17" xfId="1" applyNumberFormat="1" applyFont="1" applyBorder="1" applyAlignment="1">
      <alignment horizontal="center"/>
    </xf>
    <xf numFmtId="4" fontId="21" fillId="0" borderId="2" xfId="1" applyNumberFormat="1" applyFont="1" applyBorder="1" applyAlignment="1">
      <alignment horizontal="center"/>
    </xf>
    <xf numFmtId="4" fontId="2" fillId="0" borderId="70" xfId="1" applyNumberFormat="1" applyFont="1" applyBorder="1"/>
    <xf numFmtId="4" fontId="8" fillId="4" borderId="8" xfId="1" applyNumberFormat="1" applyFont="1" applyFill="1" applyBorder="1"/>
    <xf numFmtId="4" fontId="8" fillId="4" borderId="70" xfId="1" applyNumberFormat="1" applyFont="1" applyFill="1" applyBorder="1"/>
    <xf numFmtId="10" fontId="8" fillId="0" borderId="69" xfId="1" applyNumberFormat="1" applyFont="1" applyFill="1" applyBorder="1"/>
    <xf numFmtId="10" fontId="8" fillId="0" borderId="17" xfId="1" applyNumberFormat="1" applyFont="1" applyFill="1" applyBorder="1"/>
    <xf numFmtId="10" fontId="8" fillId="0" borderId="16" xfId="1" applyNumberFormat="1" applyFont="1" applyFill="1" applyBorder="1"/>
    <xf numFmtId="4" fontId="8" fillId="0" borderId="17" xfId="1" applyNumberFormat="1" applyFont="1" applyFill="1" applyBorder="1"/>
    <xf numFmtId="4" fontId="8" fillId="0" borderId="10" xfId="1" applyNumberFormat="1" applyFont="1" applyFill="1" applyBorder="1"/>
    <xf numFmtId="4" fontId="2" fillId="0" borderId="8" xfId="1" applyNumberFormat="1" applyFont="1" applyFill="1" applyBorder="1"/>
    <xf numFmtId="4" fontId="2" fillId="0" borderId="70" xfId="1" applyNumberFormat="1" applyFont="1" applyFill="1" applyBorder="1"/>
    <xf numFmtId="0" fontId="15" fillId="0" borderId="0" xfId="14" applyFont="1" applyAlignment="1">
      <alignment horizontal="center" vertical="top"/>
    </xf>
    <xf numFmtId="2" fontId="8" fillId="0" borderId="19" xfId="11" applyNumberFormat="1" applyFont="1" applyBorder="1" applyAlignment="1">
      <alignment horizontal="center"/>
    </xf>
    <xf numFmtId="2" fontId="8" fillId="0" borderId="21" xfId="11" applyNumberFormat="1" applyFont="1" applyBorder="1" applyAlignment="1">
      <alignment horizontal="center"/>
    </xf>
    <xf numFmtId="2" fontId="2" fillId="0" borderId="16" xfId="1" applyNumberFormat="1" applyFont="1" applyBorder="1"/>
    <xf numFmtId="2" fontId="2" fillId="0" borderId="5" xfId="1" applyNumberFormat="1" applyFont="1" applyBorder="1"/>
    <xf numFmtId="2" fontId="2" fillId="0" borderId="9" xfId="1" applyNumberFormat="1" applyFont="1" applyBorder="1"/>
    <xf numFmtId="10" fontId="8" fillId="4" borderId="69" xfId="1" applyNumberFormat="1" applyFont="1" applyFill="1" applyBorder="1"/>
    <xf numFmtId="10" fontId="8" fillId="4" borderId="17" xfId="1" applyNumberFormat="1" applyFont="1" applyFill="1" applyBorder="1"/>
    <xf numFmtId="10" fontId="8" fillId="4" borderId="16" xfId="1" applyNumberFormat="1" applyFont="1" applyFill="1" applyBorder="1"/>
    <xf numFmtId="2" fontId="8" fillId="4" borderId="16" xfId="1" applyNumberFormat="1" applyFont="1" applyFill="1" applyBorder="1"/>
    <xf numFmtId="2" fontId="8" fillId="4" borderId="5" xfId="1" applyNumberFormat="1" applyFont="1" applyFill="1" applyBorder="1"/>
    <xf numFmtId="10" fontId="8" fillId="4" borderId="4" xfId="1" applyNumberFormat="1" applyFont="1" applyFill="1" applyBorder="1"/>
    <xf numFmtId="10" fontId="8" fillId="4" borderId="1" xfId="1" applyNumberFormat="1" applyFont="1" applyFill="1" applyBorder="1"/>
    <xf numFmtId="2" fontId="8" fillId="4" borderId="1" xfId="1" applyNumberFormat="1" applyFont="1" applyFill="1" applyBorder="1"/>
    <xf numFmtId="2" fontId="8" fillId="0" borderId="0" xfId="14" applyNumberFormat="1" applyFont="1"/>
    <xf numFmtId="0" fontId="29" fillId="0" borderId="0" xfId="11" applyFont="1"/>
    <xf numFmtId="0" fontId="8" fillId="0" borderId="0" xfId="11" applyFont="1" applyAlignment="1">
      <alignment vertical="top"/>
    </xf>
    <xf numFmtId="10" fontId="8" fillId="0" borderId="0" xfId="11" applyNumberFormat="1" applyFont="1" applyAlignment="1">
      <alignment vertical="top"/>
    </xf>
    <xf numFmtId="2" fontId="8" fillId="0" borderId="0" xfId="11" applyNumberFormat="1" applyFont="1" applyAlignment="1">
      <alignment vertical="top"/>
    </xf>
    <xf numFmtId="3" fontId="30" fillId="0" borderId="0" xfId="11" applyNumberFormat="1" applyFont="1" applyAlignment="1">
      <alignment vertical="center"/>
    </xf>
    <xf numFmtId="10" fontId="8" fillId="0" borderId="0" xfId="17" applyNumberFormat="1" applyFont="1" applyAlignment="1">
      <alignment horizontal="center" vertical="top"/>
    </xf>
    <xf numFmtId="10" fontId="31" fillId="0" borderId="0" xfId="17" applyNumberFormat="1" applyFont="1" applyAlignment="1">
      <alignment horizontal="center" vertical="top"/>
    </xf>
    <xf numFmtId="165" fontId="25" fillId="0" borderId="0" xfId="5" applyFont="1" applyAlignment="1">
      <alignment horizontal="center" vertical="top"/>
    </xf>
    <xf numFmtId="165" fontId="8" fillId="0" borderId="0" xfId="5" applyFont="1" applyAlignment="1">
      <alignment horizontal="center" vertical="top"/>
    </xf>
    <xf numFmtId="165" fontId="8" fillId="0" borderId="0" xfId="5" applyFont="1" applyAlignment="1"/>
    <xf numFmtId="3" fontId="32" fillId="0" borderId="22" xfId="11" applyNumberFormat="1" applyFont="1" applyBorder="1" applyAlignment="1">
      <alignment vertical="center"/>
    </xf>
    <xf numFmtId="3" fontId="33" fillId="0" borderId="22" xfId="11" applyNumberFormat="1" applyFont="1" applyBorder="1" applyAlignment="1">
      <alignment vertical="center"/>
    </xf>
    <xf numFmtId="10" fontId="8" fillId="0" borderId="0" xfId="17" applyNumberFormat="1" applyFont="1"/>
    <xf numFmtId="10" fontId="8" fillId="0" borderId="47" xfId="17" applyNumberFormat="1" applyFont="1" applyBorder="1" applyAlignment="1"/>
    <xf numFmtId="10" fontId="8" fillId="0" borderId="19" xfId="17" applyNumberFormat="1" applyFont="1" applyBorder="1" applyAlignment="1">
      <alignment horizontal="center"/>
    </xf>
    <xf numFmtId="165" fontId="8" fillId="0" borderId="66" xfId="5" applyFont="1" applyBorder="1" applyAlignment="1">
      <alignment horizontal="center"/>
    </xf>
    <xf numFmtId="165" fontId="8" fillId="0" borderId="56" xfId="5" applyFont="1" applyBorder="1" applyAlignment="1">
      <alignment horizontal="center"/>
    </xf>
    <xf numFmtId="165" fontId="8" fillId="0" borderId="16" xfId="5" applyFont="1" applyBorder="1" applyAlignment="1">
      <alignment horizontal="center"/>
    </xf>
    <xf numFmtId="10" fontId="8" fillId="0" borderId="74" xfId="17" applyNumberFormat="1" applyFont="1" applyBorder="1" applyAlignment="1">
      <alignment horizontal="center"/>
    </xf>
    <xf numFmtId="10" fontId="8" fillId="0" borderId="75" xfId="17" applyNumberFormat="1" applyFont="1" applyBorder="1" applyAlignment="1">
      <alignment horizontal="center"/>
    </xf>
    <xf numFmtId="10" fontId="8" fillId="0" borderId="76" xfId="17" applyNumberFormat="1" applyFont="1" applyBorder="1" applyAlignment="1">
      <alignment horizontal="center"/>
    </xf>
    <xf numFmtId="10" fontId="8" fillId="0" borderId="77" xfId="17" applyNumberFormat="1" applyFont="1" applyBorder="1" applyAlignment="1">
      <alignment horizontal="center"/>
    </xf>
    <xf numFmtId="10" fontId="8" fillId="0" borderId="21" xfId="17" applyNumberFormat="1" applyFont="1" applyBorder="1" applyAlignment="1">
      <alignment horizontal="center"/>
    </xf>
    <xf numFmtId="165" fontId="8" fillId="0" borderId="22" xfId="5" applyFont="1" applyBorder="1" applyAlignment="1">
      <alignment horizontal="center"/>
    </xf>
    <xf numFmtId="165" fontId="8" fillId="0" borderId="67" xfId="5" applyFont="1" applyBorder="1" applyAlignment="1">
      <alignment horizontal="center"/>
    </xf>
    <xf numFmtId="165" fontId="8" fillId="0" borderId="1" xfId="5" applyFont="1" applyBorder="1" applyAlignment="1">
      <alignment horizontal="center"/>
    </xf>
    <xf numFmtId="2" fontId="2" fillId="0" borderId="66" xfId="5" applyNumberFormat="1" applyFont="1" applyBorder="1"/>
    <xf numFmtId="2" fontId="2" fillId="0" borderId="56" xfId="5" applyNumberFormat="1" applyFont="1" applyBorder="1"/>
    <xf numFmtId="165" fontId="2" fillId="0" borderId="0" xfId="5" applyFont="1" applyBorder="1"/>
    <xf numFmtId="165" fontId="2" fillId="0" borderId="54" xfId="5" applyFont="1" applyBorder="1"/>
    <xf numFmtId="165" fontId="2" fillId="0" borderId="78" xfId="5" applyFont="1" applyBorder="1"/>
    <xf numFmtId="165" fontId="2" fillId="0" borderId="53" xfId="5" applyFont="1" applyBorder="1"/>
    <xf numFmtId="165" fontId="2" fillId="0" borderId="72" xfId="5" applyFont="1" applyBorder="1"/>
    <xf numFmtId="165" fontId="2" fillId="0" borderId="55" xfId="5" applyFont="1" applyBorder="1"/>
    <xf numFmtId="4" fontId="8" fillId="0" borderId="23" xfId="1" applyNumberFormat="1" applyFont="1" applyBorder="1"/>
    <xf numFmtId="0" fontId="8" fillId="4" borderId="5" xfId="11" applyFont="1" applyFill="1" applyBorder="1"/>
    <xf numFmtId="165" fontId="8" fillId="4" borderId="72" xfId="5" applyFont="1" applyFill="1" applyBorder="1"/>
    <xf numFmtId="165" fontId="8" fillId="4" borderId="55" xfId="5" applyFont="1" applyFill="1" applyBorder="1"/>
    <xf numFmtId="165" fontId="8" fillId="4" borderId="0" xfId="5" applyFont="1" applyFill="1" applyBorder="1"/>
    <xf numFmtId="165" fontId="8" fillId="4" borderId="54" xfId="5" applyFont="1" applyFill="1" applyBorder="1"/>
    <xf numFmtId="0" fontId="8" fillId="4" borderId="9" xfId="11" applyFont="1" applyFill="1" applyBorder="1"/>
    <xf numFmtId="165" fontId="8" fillId="4" borderId="78" xfId="5" applyFont="1" applyFill="1" applyBorder="1"/>
    <xf numFmtId="165" fontId="8" fillId="4" borderId="53" xfId="5" applyFont="1" applyFill="1" applyBorder="1"/>
    <xf numFmtId="4" fontId="8" fillId="0" borderId="23" xfId="1" applyNumberFormat="1" applyFont="1" applyFill="1" applyBorder="1"/>
    <xf numFmtId="165" fontId="2" fillId="0" borderId="72" xfId="5" applyFont="1" applyFill="1" applyBorder="1"/>
    <xf numFmtId="165" fontId="2" fillId="0" borderId="55" xfId="5" applyFont="1" applyFill="1" applyBorder="1"/>
    <xf numFmtId="165" fontId="2" fillId="0" borderId="0" xfId="5" applyFont="1" applyFill="1" applyBorder="1"/>
    <xf numFmtId="165" fontId="2" fillId="0" borderId="54" xfId="5" applyFont="1" applyFill="1" applyBorder="1"/>
    <xf numFmtId="165" fontId="2" fillId="0" borderId="78" xfId="5" applyFont="1" applyFill="1" applyBorder="1"/>
    <xf numFmtId="165" fontId="2" fillId="0" borderId="53" xfId="5" applyFont="1" applyFill="1" applyBorder="1"/>
    <xf numFmtId="4" fontId="8" fillId="0" borderId="0" xfId="17" applyNumberFormat="1" applyFont="1" applyAlignment="1">
      <alignment horizontal="center" vertical="top"/>
    </xf>
    <xf numFmtId="10" fontId="8" fillId="0" borderId="0" xfId="17" applyNumberFormat="1" applyFont="1" applyBorder="1" applyAlignment="1">
      <alignment vertical="center"/>
    </xf>
    <xf numFmtId="4" fontId="8" fillId="0" borderId="0" xfId="17" applyNumberFormat="1" applyFont="1" applyBorder="1" applyAlignment="1">
      <alignment vertical="center"/>
    </xf>
    <xf numFmtId="4" fontId="8" fillId="0" borderId="0" xfId="17" applyNumberFormat="1" applyFont="1"/>
    <xf numFmtId="4" fontId="8" fillId="0" borderId="47" xfId="11" applyNumberFormat="1" applyFont="1" applyBorder="1" applyAlignment="1">
      <alignment horizontal="center"/>
    </xf>
    <xf numFmtId="4" fontId="8" fillId="0" borderId="41" xfId="11" applyNumberFormat="1" applyFont="1" applyBorder="1" applyAlignment="1">
      <alignment horizontal="center"/>
    </xf>
    <xf numFmtId="10" fontId="2" fillId="0" borderId="69" xfId="1" applyNumberFormat="1" applyFont="1" applyBorder="1"/>
    <xf numFmtId="10" fontId="2" fillId="0" borderId="17" xfId="1" applyNumberFormat="1" applyFont="1" applyBorder="1"/>
    <xf numFmtId="10" fontId="2" fillId="0" borderId="0" xfId="17" applyNumberFormat="1" applyFont="1"/>
    <xf numFmtId="2" fontId="2" fillId="0" borderId="17" xfId="1" applyNumberFormat="1" applyFont="1" applyBorder="1"/>
    <xf numFmtId="2" fontId="2" fillId="0" borderId="6" xfId="1" applyNumberFormat="1" applyFont="1" applyBorder="1"/>
    <xf numFmtId="2" fontId="2" fillId="0" borderId="10" xfId="1" applyNumberFormat="1" applyFont="1" applyBorder="1"/>
    <xf numFmtId="0" fontId="8" fillId="4" borderId="16" xfId="11" applyFont="1" applyFill="1" applyBorder="1"/>
    <xf numFmtId="2" fontId="8" fillId="4" borderId="17" xfId="1" applyNumberFormat="1" applyFont="1" applyFill="1" applyBorder="1"/>
    <xf numFmtId="2" fontId="8" fillId="4" borderId="6" xfId="1" applyNumberFormat="1" applyFont="1" applyFill="1" applyBorder="1"/>
    <xf numFmtId="2" fontId="8" fillId="4" borderId="10" xfId="1" applyNumberFormat="1" applyFont="1" applyFill="1" applyBorder="1"/>
    <xf numFmtId="10" fontId="2" fillId="0" borderId="69" xfId="1" applyNumberFormat="1" applyFont="1" applyFill="1" applyBorder="1"/>
    <xf numFmtId="10" fontId="2" fillId="0" borderId="17" xfId="1" applyNumberFormat="1" applyFont="1" applyFill="1" applyBorder="1"/>
    <xf numFmtId="2" fontId="2" fillId="0" borderId="17" xfId="1" applyNumberFormat="1" applyFont="1" applyFill="1" applyBorder="1"/>
    <xf numFmtId="2" fontId="2" fillId="0" borderId="6" xfId="1" applyNumberFormat="1" applyFont="1" applyFill="1" applyBorder="1"/>
    <xf numFmtId="2" fontId="2" fillId="0" borderId="10" xfId="1" applyNumberFormat="1" applyFont="1" applyFill="1" applyBorder="1"/>
    <xf numFmtId="3" fontId="8" fillId="0" borderId="0" xfId="11" applyNumberFormat="1" applyFont="1" applyAlignment="1">
      <alignment horizontal="center"/>
    </xf>
    <xf numFmtId="10" fontId="8" fillId="0" borderId="19" xfId="17" applyNumberFormat="1" applyFont="1" applyFill="1" applyBorder="1" applyAlignment="1">
      <alignment horizontal="center"/>
    </xf>
    <xf numFmtId="10" fontId="8" fillId="0" borderId="21" xfId="17" applyNumberFormat="1" applyFont="1" applyFill="1" applyBorder="1" applyAlignment="1">
      <alignment horizontal="center"/>
    </xf>
    <xf numFmtId="10" fontId="8" fillId="0" borderId="0" xfId="17" applyNumberFormat="1" applyFont="1" applyAlignment="1"/>
    <xf numFmtId="4" fontId="2" fillId="0" borderId="0" xfId="17" applyNumberFormat="1" applyFont="1" applyAlignment="1">
      <alignment horizontal="center" vertical="top"/>
    </xf>
    <xf numFmtId="4" fontId="2" fillId="0" borderId="0" xfId="17" applyNumberFormat="1" applyFont="1" applyBorder="1" applyAlignment="1">
      <alignment vertical="center"/>
    </xf>
    <xf numFmtId="4" fontId="2" fillId="0" borderId="0" xfId="17" applyNumberFormat="1" applyFont="1"/>
    <xf numFmtId="10" fontId="8" fillId="0" borderId="52" xfId="17" applyNumberFormat="1" applyFont="1" applyBorder="1" applyAlignment="1">
      <alignment horizontal="center"/>
    </xf>
    <xf numFmtId="10" fontId="8" fillId="0" borderId="39" xfId="17" applyNumberFormat="1" applyFont="1" applyBorder="1" applyAlignment="1">
      <alignment horizontal="center"/>
    </xf>
    <xf numFmtId="2" fontId="2" fillId="0" borderId="13" xfId="11" applyNumberFormat="1" applyFont="1" applyBorder="1"/>
    <xf numFmtId="2" fontId="2" fillId="0" borderId="12" xfId="11" applyNumberFormat="1" applyFont="1" applyBorder="1"/>
    <xf numFmtId="2" fontId="2" fillId="0" borderId="19" xfId="11" applyNumberFormat="1" applyFont="1" applyBorder="1" applyAlignment="1">
      <alignment horizontal="center"/>
    </xf>
    <xf numFmtId="2" fontId="2" fillId="0" borderId="21" xfId="11" applyNumberFormat="1" applyFont="1" applyBorder="1" applyAlignment="1">
      <alignment horizontal="center"/>
    </xf>
    <xf numFmtId="3" fontId="4" fillId="0" borderId="0" xfId="11" applyNumberFormat="1" applyAlignment="1">
      <alignment horizontal="center" vertical="center"/>
    </xf>
    <xf numFmtId="165" fontId="2" fillId="0" borderId="0" xfId="5" applyFont="1"/>
    <xf numFmtId="4" fontId="2" fillId="0" borderId="66" xfId="11" applyNumberFormat="1" applyFont="1" applyBorder="1" applyAlignment="1">
      <alignment horizontal="center"/>
    </xf>
    <xf numFmtId="4" fontId="2" fillId="0" borderId="17" xfId="11" applyNumberFormat="1" applyFont="1" applyBorder="1" applyAlignment="1">
      <alignment horizontal="center"/>
    </xf>
    <xf numFmtId="4" fontId="2" fillId="0" borderId="16" xfId="11" applyNumberFormat="1" applyFont="1" applyBorder="1" applyAlignment="1">
      <alignment horizontal="center"/>
    </xf>
    <xf numFmtId="4" fontId="2" fillId="0" borderId="22" xfId="11" applyNumberFormat="1" applyFont="1" applyBorder="1" applyAlignment="1">
      <alignment horizontal="center"/>
    </xf>
    <xf numFmtId="4" fontId="2" fillId="0" borderId="2" xfId="11" applyNumberFormat="1" applyFont="1" applyBorder="1" applyAlignment="1">
      <alignment horizontal="center"/>
    </xf>
    <xf numFmtId="4" fontId="2" fillId="0" borderId="1" xfId="11" applyNumberFormat="1" applyFont="1" applyBorder="1" applyAlignment="1">
      <alignment horizontal="center"/>
    </xf>
    <xf numFmtId="0" fontId="19" fillId="0" borderId="16" xfId="11" applyFont="1" applyBorder="1"/>
    <xf numFmtId="0" fontId="19" fillId="0" borderId="5" xfId="11" applyFont="1" applyBorder="1"/>
    <xf numFmtId="0" fontId="19" fillId="0" borderId="9" xfId="11" applyFont="1" applyBorder="1"/>
    <xf numFmtId="0" fontId="21" fillId="4" borderId="5" xfId="11" applyFont="1" applyFill="1" applyBorder="1"/>
    <xf numFmtId="4" fontId="2" fillId="4" borderId="8" xfId="1" applyNumberFormat="1" applyFont="1" applyFill="1" applyBorder="1"/>
    <xf numFmtId="4" fontId="2" fillId="4" borderId="6" xfId="1" applyNumberFormat="1" applyFont="1" applyFill="1" applyBorder="1"/>
    <xf numFmtId="165" fontId="2" fillId="4" borderId="20" xfId="5" applyFont="1" applyFill="1" applyBorder="1"/>
    <xf numFmtId="165" fontId="2" fillId="4" borderId="5" xfId="5" applyFont="1" applyFill="1" applyBorder="1"/>
    <xf numFmtId="0" fontId="21" fillId="4" borderId="9" xfId="11" applyFont="1" applyFill="1" applyBorder="1"/>
    <xf numFmtId="4" fontId="2" fillId="4" borderId="70" xfId="1" applyNumberFormat="1" applyFont="1" applyFill="1" applyBorder="1"/>
    <xf numFmtId="4" fontId="2" fillId="4" borderId="10" xfId="1" applyNumberFormat="1" applyFont="1" applyFill="1" applyBorder="1"/>
    <xf numFmtId="165" fontId="2" fillId="4" borderId="9" xfId="5" applyFont="1" applyFill="1" applyBorder="1"/>
    <xf numFmtId="2" fontId="2" fillId="4" borderId="17" xfId="1" applyNumberFormat="1" applyFont="1" applyFill="1" applyBorder="1"/>
    <xf numFmtId="2" fontId="2" fillId="4" borderId="6" xfId="1" applyNumberFormat="1" applyFont="1" applyFill="1" applyBorder="1"/>
    <xf numFmtId="2" fontId="2" fillId="4" borderId="10" xfId="1" applyNumberFormat="1" applyFont="1" applyFill="1" applyBorder="1"/>
    <xf numFmtId="10" fontId="8" fillId="0" borderId="34" xfId="4" applyNumberFormat="1" applyFont="1" applyFill="1" applyBorder="1" applyAlignment="1">
      <alignment horizontal="center" vertical="center"/>
    </xf>
    <xf numFmtId="10" fontId="8" fillId="0" borderId="33" xfId="4" applyNumberFormat="1" applyFont="1" applyFill="1" applyBorder="1" applyAlignment="1">
      <alignment horizontal="center" vertical="center"/>
    </xf>
    <xf numFmtId="10" fontId="8" fillId="0" borderId="32" xfId="4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top"/>
    </xf>
    <xf numFmtId="49" fontId="8" fillId="0" borderId="35" xfId="0" applyNumberFormat="1" applyFont="1" applyBorder="1" applyAlignment="1">
      <alignment horizontal="center" vertical="center" wrapText="1"/>
    </xf>
    <xf numFmtId="49" fontId="8" fillId="0" borderId="32" xfId="0" applyNumberFormat="1" applyFont="1" applyBorder="1" applyAlignment="1">
      <alignment horizontal="center" vertical="center" wrapText="1"/>
    </xf>
    <xf numFmtId="49" fontId="8" fillId="0" borderId="28" xfId="0" applyNumberFormat="1" applyFont="1" applyBorder="1" applyAlignment="1">
      <alignment horizontal="center" vertical="center" wrapText="1"/>
    </xf>
    <xf numFmtId="49" fontId="8" fillId="0" borderId="27" xfId="0" applyNumberFormat="1" applyFont="1" applyBorder="1" applyAlignment="1">
      <alignment horizontal="center" vertical="center" wrapText="1"/>
    </xf>
    <xf numFmtId="3" fontId="8" fillId="0" borderId="34" xfId="0" applyNumberFormat="1" applyFont="1" applyBorder="1" applyAlignment="1">
      <alignment horizontal="center" vertical="center"/>
    </xf>
    <xf numFmtId="3" fontId="8" fillId="0" borderId="33" xfId="0" applyNumberFormat="1" applyFont="1" applyBorder="1" applyAlignment="1">
      <alignment horizontal="center" vertical="center"/>
    </xf>
    <xf numFmtId="3" fontId="8" fillId="0" borderId="36" xfId="0" applyNumberFormat="1" applyFont="1" applyBorder="1" applyAlignment="1">
      <alignment horizontal="center" vertical="center"/>
    </xf>
    <xf numFmtId="3" fontId="8" fillId="0" borderId="35" xfId="0" applyNumberFormat="1" applyFont="1" applyBorder="1" applyAlignment="1">
      <alignment horizontal="center" vertical="center"/>
    </xf>
    <xf numFmtId="3" fontId="8" fillId="0" borderId="32" xfId="0" applyNumberFormat="1" applyFont="1" applyBorder="1" applyAlignment="1">
      <alignment horizontal="center" vertical="center"/>
    </xf>
    <xf numFmtId="10" fontId="8" fillId="0" borderId="35" xfId="4" applyNumberFormat="1" applyFont="1" applyFill="1" applyBorder="1" applyAlignment="1">
      <alignment horizontal="center" vertical="center"/>
    </xf>
    <xf numFmtId="10" fontId="8" fillId="0" borderId="36" xfId="4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11" applyFont="1" applyAlignment="1">
      <alignment horizontal="center" vertical="center"/>
    </xf>
    <xf numFmtId="0" fontId="8" fillId="0" borderId="0" xfId="11" applyFont="1" applyAlignment="1">
      <alignment horizontal="center"/>
    </xf>
    <xf numFmtId="0" fontId="7" fillId="0" borderId="0" xfId="11" applyFont="1" applyAlignment="1">
      <alignment horizontal="center"/>
    </xf>
    <xf numFmtId="0" fontId="8" fillId="0" borderId="0" xfId="11" applyFont="1" applyAlignment="1">
      <alignment horizontal="center" vertical="top"/>
    </xf>
    <xf numFmtId="49" fontId="8" fillId="0" borderId="35" xfId="11" applyNumberFormat="1" applyFont="1" applyBorder="1" applyAlignment="1">
      <alignment horizontal="center" vertical="center" wrapText="1"/>
    </xf>
    <xf numFmtId="49" fontId="8" fillId="0" borderId="32" xfId="11" applyNumberFormat="1" applyFont="1" applyBorder="1" applyAlignment="1">
      <alignment horizontal="center" vertical="center" wrapText="1"/>
    </xf>
    <xf numFmtId="49" fontId="8" fillId="0" borderId="28" xfId="11" applyNumberFormat="1" applyFont="1" applyBorder="1" applyAlignment="1">
      <alignment horizontal="center" vertical="center" wrapText="1"/>
    </xf>
    <xf numFmtId="49" fontId="8" fillId="0" borderId="27" xfId="11" applyNumberFormat="1" applyFont="1" applyBorder="1" applyAlignment="1">
      <alignment horizontal="center" vertical="center" wrapText="1"/>
    </xf>
    <xf numFmtId="3" fontId="8" fillId="0" borderId="35" xfId="11" applyNumberFormat="1" applyFont="1" applyBorder="1" applyAlignment="1">
      <alignment horizontal="center" vertical="center"/>
    </xf>
    <xf numFmtId="3" fontId="8" fillId="0" borderId="33" xfId="11" applyNumberFormat="1" applyFont="1" applyBorder="1" applyAlignment="1">
      <alignment horizontal="center" vertical="center"/>
    </xf>
    <xf numFmtId="3" fontId="8" fillId="0" borderId="32" xfId="11" applyNumberFormat="1" applyFont="1" applyBorder="1" applyAlignment="1">
      <alignment horizontal="center" vertical="center"/>
    </xf>
    <xf numFmtId="3" fontId="8" fillId="0" borderId="36" xfId="11" applyNumberFormat="1" applyFont="1" applyBorder="1" applyAlignment="1">
      <alignment horizontal="center" vertical="center"/>
    </xf>
    <xf numFmtId="3" fontId="8" fillId="0" borderId="43" xfId="11" applyNumberFormat="1" applyFont="1" applyBorder="1" applyAlignment="1">
      <alignment horizontal="center" vertical="center"/>
    </xf>
    <xf numFmtId="3" fontId="8" fillId="0" borderId="42" xfId="11" applyNumberFormat="1" applyFont="1" applyBorder="1" applyAlignment="1">
      <alignment horizontal="center" vertical="center"/>
    </xf>
    <xf numFmtId="0" fontId="13" fillId="0" borderId="0" xfId="11" applyFont="1" applyAlignment="1">
      <alignment horizontal="center" vertical="center" wrapText="1"/>
    </xf>
    <xf numFmtId="0" fontId="2" fillId="0" borderId="0" xfId="11" applyFont="1"/>
    <xf numFmtId="49" fontId="8" fillId="0" borderId="52" xfId="11" applyNumberFormat="1" applyFont="1" applyBorder="1" applyAlignment="1">
      <alignment horizontal="center" vertical="center"/>
    </xf>
    <xf numFmtId="49" fontId="8" fillId="0" borderId="47" xfId="11" applyNumberFormat="1" applyFont="1" applyBorder="1" applyAlignment="1">
      <alignment horizontal="center" vertical="center"/>
    </xf>
    <xf numFmtId="49" fontId="8" fillId="0" borderId="39" xfId="11" applyNumberFormat="1" applyFont="1" applyBorder="1" applyAlignment="1">
      <alignment horizontal="center" vertical="center"/>
    </xf>
    <xf numFmtId="49" fontId="8" fillId="0" borderId="41" xfId="11" applyNumberFormat="1" applyFont="1" applyBorder="1" applyAlignment="1">
      <alignment horizontal="center" vertical="center"/>
    </xf>
    <xf numFmtId="0" fontId="13" fillId="0" borderId="64" xfId="11" applyFont="1" applyBorder="1" applyAlignment="1">
      <alignment horizontal="center" vertical="center" wrapText="1"/>
    </xf>
    <xf numFmtId="0" fontId="13" fillId="0" borderId="62" xfId="11" applyFont="1" applyBorder="1" applyAlignment="1">
      <alignment horizontal="center" vertical="center" wrapText="1"/>
    </xf>
    <xf numFmtId="0" fontId="13" fillId="0" borderId="63" xfId="11" applyFont="1" applyBorder="1" applyAlignment="1">
      <alignment horizontal="center" vertical="center" wrapText="1"/>
    </xf>
    <xf numFmtId="0" fontId="13" fillId="0" borderId="61" xfId="11" applyFont="1" applyBorder="1" applyAlignment="1">
      <alignment horizontal="center" vertical="center" wrapText="1"/>
    </xf>
    <xf numFmtId="0" fontId="8" fillId="0" borderId="47" xfId="11" applyFont="1" applyBorder="1" applyAlignment="1">
      <alignment horizontal="center" vertical="center" wrapText="1"/>
    </xf>
    <xf numFmtId="0" fontId="8" fillId="0" borderId="41" xfId="11" applyFont="1" applyBorder="1" applyAlignment="1">
      <alignment horizontal="center" vertical="center" wrapText="1"/>
    </xf>
    <xf numFmtId="0" fontId="6" fillId="0" borderId="64" xfId="11" applyFont="1" applyBorder="1" applyAlignment="1">
      <alignment horizontal="center" vertical="center" wrapText="1"/>
    </xf>
    <xf numFmtId="0" fontId="6" fillId="0" borderId="62" xfId="11" applyFont="1" applyBorder="1" applyAlignment="1">
      <alignment horizontal="center" vertical="center" wrapText="1"/>
    </xf>
    <xf numFmtId="0" fontId="13" fillId="0" borderId="47" xfId="11" applyFont="1" applyBorder="1" applyAlignment="1">
      <alignment horizontal="center" vertical="center" wrapText="1"/>
    </xf>
    <xf numFmtId="0" fontId="13" fillId="0" borderId="41" xfId="11" applyFont="1" applyBorder="1" applyAlignment="1">
      <alignment horizontal="center" vertical="center" wrapText="1"/>
    </xf>
    <xf numFmtId="0" fontId="13" fillId="0" borderId="0" xfId="11" applyFont="1" applyAlignment="1">
      <alignment horizontal="center" vertical="top" wrapText="1"/>
    </xf>
    <xf numFmtId="49" fontId="8" fillId="0" borderId="16" xfId="11" applyNumberFormat="1" applyFont="1" applyBorder="1" applyAlignment="1">
      <alignment horizontal="center" vertical="center" wrapText="1"/>
    </xf>
    <xf numFmtId="49" fontId="8" fillId="0" borderId="1" xfId="11" applyNumberFormat="1" applyFont="1" applyBorder="1" applyAlignment="1">
      <alignment horizontal="center" vertical="center" wrapText="1"/>
    </xf>
    <xf numFmtId="10" fontId="8" fillId="0" borderId="43" xfId="1" applyNumberFormat="1" applyFont="1" applyBorder="1" applyAlignment="1">
      <alignment horizontal="center"/>
    </xf>
    <xf numFmtId="3" fontId="15" fillId="0" borderId="0" xfId="11" applyNumberFormat="1" applyFont="1" applyAlignment="1">
      <alignment horizontal="center" vertical="center"/>
    </xf>
    <xf numFmtId="0" fontId="15" fillId="0" borderId="0" xfId="11" applyFont="1" applyAlignment="1">
      <alignment horizontal="center"/>
    </xf>
    <xf numFmtId="0" fontId="15" fillId="0" borderId="0" xfId="11" applyFont="1" applyAlignment="1">
      <alignment horizontal="center" vertical="top"/>
    </xf>
    <xf numFmtId="10" fontId="8" fillId="0" borderId="36" xfId="1" applyNumberFormat="1" applyFont="1" applyBorder="1" applyAlignment="1">
      <alignment horizontal="center"/>
    </xf>
    <xf numFmtId="10" fontId="8" fillId="0" borderId="34" xfId="1" applyNumberFormat="1" applyFont="1" applyBorder="1" applyAlignment="1">
      <alignment horizontal="center"/>
    </xf>
    <xf numFmtId="3" fontId="24" fillId="0" borderId="0" xfId="14" applyNumberFormat="1" applyFont="1" applyAlignment="1">
      <alignment horizontal="center" vertical="center"/>
    </xf>
    <xf numFmtId="0" fontId="8" fillId="0" borderId="0" xfId="14" applyFont="1" applyAlignment="1">
      <alignment horizontal="center" vertical="center"/>
    </xf>
    <xf numFmtId="0" fontId="15" fillId="0" borderId="0" xfId="14" applyFont="1" applyAlignment="1">
      <alignment horizontal="center"/>
    </xf>
    <xf numFmtId="0" fontId="20" fillId="0" borderId="0" xfId="14" applyFont="1" applyAlignment="1">
      <alignment horizontal="center" vertical="top"/>
    </xf>
    <xf numFmtId="0" fontId="27" fillId="0" borderId="0" xfId="14" applyFont="1" applyAlignment="1">
      <alignment horizontal="center"/>
    </xf>
    <xf numFmtId="0" fontId="8" fillId="0" borderId="0" xfId="14" applyFont="1" applyAlignment="1">
      <alignment horizontal="center" vertical="top"/>
    </xf>
    <xf numFmtId="0" fontId="26" fillId="0" borderId="0" xfId="14" applyFont="1" applyAlignment="1">
      <alignment horizontal="center" vertical="top"/>
    </xf>
    <xf numFmtId="0" fontId="27" fillId="0" borderId="0" xfId="14" applyFont="1" applyAlignment="1">
      <alignment horizontal="center" vertical="top"/>
    </xf>
    <xf numFmtId="0" fontId="8" fillId="0" borderId="0" xfId="14" applyFont="1" applyAlignment="1">
      <alignment horizontal="center"/>
    </xf>
    <xf numFmtId="0" fontId="26" fillId="0" borderId="0" xfId="14" applyFont="1" applyAlignment="1">
      <alignment horizontal="center"/>
    </xf>
    <xf numFmtId="0" fontId="27" fillId="0" borderId="0" xfId="14" applyFont="1" applyAlignment="1">
      <alignment horizontal="center" vertical="center"/>
    </xf>
    <xf numFmtId="0" fontId="26" fillId="0" borderId="0" xfId="14" applyFont="1" applyAlignment="1">
      <alignment horizontal="center" vertical="center"/>
    </xf>
    <xf numFmtId="10" fontId="8" fillId="0" borderId="73" xfId="1" applyNumberFormat="1" applyFont="1" applyBorder="1" applyAlignment="1">
      <alignment horizontal="center"/>
    </xf>
    <xf numFmtId="0" fontId="15" fillId="0" borderId="0" xfId="14" applyFont="1" applyAlignment="1">
      <alignment horizontal="center" vertical="top"/>
    </xf>
    <xf numFmtId="10" fontId="8" fillId="0" borderId="52" xfId="17" applyNumberFormat="1" applyFont="1" applyBorder="1" applyAlignment="1">
      <alignment horizontal="center"/>
    </xf>
    <xf numFmtId="10" fontId="8" fillId="0" borderId="66" xfId="17" applyNumberFormat="1" applyFont="1" applyBorder="1" applyAlignment="1">
      <alignment horizontal="center"/>
    </xf>
    <xf numFmtId="10" fontId="8" fillId="0" borderId="18" xfId="17" applyNumberFormat="1" applyFont="1" applyBorder="1" applyAlignment="1">
      <alignment horizontal="center" vertical="center"/>
    </xf>
    <xf numFmtId="10" fontId="8" fillId="0" borderId="3" xfId="17" applyNumberFormat="1" applyFont="1" applyBorder="1" applyAlignment="1">
      <alignment horizontal="center" vertical="center"/>
    </xf>
    <xf numFmtId="10" fontId="8" fillId="0" borderId="17" xfId="17" applyNumberFormat="1" applyFont="1" applyBorder="1" applyAlignment="1">
      <alignment horizontal="center" vertical="center"/>
    </xf>
    <xf numFmtId="10" fontId="8" fillId="0" borderId="2" xfId="17" applyNumberFormat="1" applyFont="1" applyBorder="1" applyAlignment="1">
      <alignment horizontal="center" vertical="center"/>
    </xf>
    <xf numFmtId="10" fontId="8" fillId="0" borderId="56" xfId="17" applyNumberFormat="1" applyFont="1" applyBorder="1" applyAlignment="1">
      <alignment horizontal="center" vertical="center"/>
    </xf>
    <xf numFmtId="10" fontId="8" fillId="0" borderId="67" xfId="17" applyNumberFormat="1" applyFont="1" applyBorder="1" applyAlignment="1">
      <alignment horizontal="center" vertical="center"/>
    </xf>
    <xf numFmtId="0" fontId="20" fillId="0" borderId="0" xfId="11" applyFont="1" applyAlignment="1">
      <alignment horizontal="center" vertical="top"/>
    </xf>
    <xf numFmtId="49" fontId="8" fillId="0" borderId="79" xfId="11" applyNumberFormat="1" applyFont="1" applyBorder="1" applyAlignment="1">
      <alignment horizontal="center" vertical="center" wrapText="1"/>
    </xf>
    <xf numFmtId="49" fontId="8" fillId="0" borderId="80" xfId="11" applyNumberFormat="1" applyFont="1" applyBorder="1" applyAlignment="1">
      <alignment horizontal="center" vertical="center" wrapText="1"/>
    </xf>
    <xf numFmtId="0" fontId="8" fillId="0" borderId="47" xfId="1" applyNumberFormat="1" applyFont="1" applyBorder="1" applyAlignment="1">
      <alignment horizontal="center" vertical="center"/>
    </xf>
    <xf numFmtId="0" fontId="8" fillId="0" borderId="41" xfId="1" applyNumberFormat="1" applyFont="1" applyBorder="1" applyAlignment="1">
      <alignment horizontal="center" vertical="center"/>
    </xf>
    <xf numFmtId="49" fontId="8" fillId="0" borderId="16" xfId="14" applyNumberFormat="1" applyFont="1" applyBorder="1" applyAlignment="1">
      <alignment horizontal="center" vertical="center" wrapText="1"/>
    </xf>
    <xf numFmtId="49" fontId="8" fillId="0" borderId="1" xfId="14" applyNumberFormat="1" applyFont="1" applyBorder="1" applyAlignment="1">
      <alignment horizontal="center" vertical="center" wrapText="1"/>
    </xf>
    <xf numFmtId="0" fontId="8" fillId="0" borderId="18" xfId="1" applyNumberFormat="1" applyFont="1" applyBorder="1" applyAlignment="1">
      <alignment horizontal="center" vertical="center"/>
    </xf>
    <xf numFmtId="0" fontId="8" fillId="0" borderId="3" xfId="1" applyNumberFormat="1" applyFont="1" applyBorder="1" applyAlignment="1">
      <alignment horizontal="center" vertical="center"/>
    </xf>
    <xf numFmtId="0" fontId="8" fillId="0" borderId="17" xfId="1" applyNumberFormat="1" applyFont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8" fillId="0" borderId="56" xfId="1" applyNumberFormat="1" applyFont="1" applyBorder="1" applyAlignment="1">
      <alignment horizontal="center" vertical="center"/>
    </xf>
    <xf numFmtId="0" fontId="8" fillId="0" borderId="67" xfId="1" applyNumberFormat="1" applyFont="1" applyBorder="1" applyAlignment="1">
      <alignment horizontal="center" vertical="center"/>
    </xf>
  </cellXfs>
  <cellStyles count="25">
    <cellStyle name="Comma 2" xfId="5" xr:uid="{00000000-0005-0000-0000-000000000000}"/>
    <cellStyle name="Comma 3" xfId="6" xr:uid="{00000000-0005-0000-0000-000001000000}"/>
    <cellStyle name="Comma 3 2" xfId="24" xr:uid="{DA289844-B71E-43FB-BEB9-C8B8567B65CE}"/>
    <cellStyle name="Comma 4" xfId="23" xr:uid="{5E9F3B2F-57E2-47FE-B817-CFA8D648DCAD}"/>
    <cellStyle name="Excel Built-in Normal" xfId="7" xr:uid="{00000000-0005-0000-0000-000002000000}"/>
    <cellStyle name="Grey" xfId="8" xr:uid="{00000000-0005-0000-0000-000003000000}"/>
    <cellStyle name="Input [yellow]" xfId="9" xr:uid="{00000000-0005-0000-0000-000004000000}"/>
    <cellStyle name="Normal" xfId="0" builtinId="0"/>
    <cellStyle name="Normal - Style1" xfId="10" xr:uid="{00000000-0005-0000-0000-000006000000}"/>
    <cellStyle name="Normal 2" xfId="11" xr:uid="{00000000-0005-0000-0000-000007000000}"/>
    <cellStyle name="Normal 2 2" xfId="3" xr:uid="{00000000-0005-0000-0000-000008000000}"/>
    <cellStyle name="Normal 3" xfId="12" xr:uid="{00000000-0005-0000-0000-000009000000}"/>
    <cellStyle name="Normal 4" xfId="13" xr:uid="{00000000-0005-0000-0000-00000A000000}"/>
    <cellStyle name="Normal 5" xfId="14" xr:uid="{00000000-0005-0000-0000-00000B000000}"/>
    <cellStyle name="Percent" xfId="1" builtinId="5"/>
    <cellStyle name="Percent [2]" xfId="15" xr:uid="{00000000-0005-0000-0000-00000D000000}"/>
    <cellStyle name="Percent [2] 2" xfId="16" xr:uid="{00000000-0005-0000-0000-00000E000000}"/>
    <cellStyle name="Percent 2" xfId="17" xr:uid="{00000000-0005-0000-0000-00000F000000}"/>
    <cellStyle name="Percent 2 2" xfId="2" xr:uid="{00000000-0005-0000-0000-000010000000}"/>
    <cellStyle name="Percent 3" xfId="4" xr:uid="{00000000-0005-0000-0000-000011000000}"/>
    <cellStyle name="Percent 4" xfId="18" xr:uid="{00000000-0005-0000-0000-000012000000}"/>
    <cellStyle name="Tusental (0)_pldt" xfId="19" xr:uid="{00000000-0005-0000-0000-000013000000}"/>
    <cellStyle name="Tusental_pldt" xfId="20" xr:uid="{00000000-0005-0000-0000-000014000000}"/>
    <cellStyle name="Valuta (0)_pldt" xfId="21" xr:uid="{00000000-0005-0000-0000-000015000000}"/>
    <cellStyle name="Valuta_pldt" xfId="22" xr:uid="{00000000-0005-0000-0000-000016000000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99FFCC"/>
      <color rgb="FFFFFFCC"/>
      <color rgb="FFCCFFFF"/>
      <color rgb="FF66CCFF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1">
    <tabColor theme="8" tint="-0.249977111117893"/>
  </sheetPr>
  <dimension ref="A1:U45"/>
  <sheetViews>
    <sheetView showGridLines="0" tabSelected="1" zoomScaleNormal="100" workbookViewId="0">
      <pane xSplit="2" ySplit="7" topLeftCell="C8" activePane="bottomRight" state="frozen"/>
      <selection activeCell="C8" sqref="C8"/>
      <selection pane="topRight" activeCell="C8" sqref="C8"/>
      <selection pane="bottomLeft" activeCell="C8" sqref="C8"/>
      <selection pane="bottomRight" activeCell="D29" sqref="D29"/>
    </sheetView>
  </sheetViews>
  <sheetFormatPr defaultColWidth="9.140625" defaultRowHeight="11.25" x14ac:dyDescent="0.2"/>
  <cols>
    <col min="1" max="1" width="34" style="6" customWidth="1"/>
    <col min="2" max="2" width="10.7109375" style="1" customWidth="1"/>
    <col min="3" max="9" width="8.7109375" style="5" customWidth="1"/>
    <col min="10" max="15" width="7.7109375" style="4" customWidth="1"/>
    <col min="16" max="19" width="7.28515625" style="3" customWidth="1"/>
    <col min="20" max="21" width="7.28515625" style="2" customWidth="1"/>
    <col min="22" max="16384" width="9.140625" style="1"/>
  </cols>
  <sheetData>
    <row r="1" spans="1:21" x14ac:dyDescent="0.2">
      <c r="A1" s="568" t="s">
        <v>23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568"/>
      <c r="O1" s="568"/>
      <c r="P1" s="568"/>
      <c r="Q1" s="568"/>
      <c r="R1" s="568"/>
      <c r="S1" s="568"/>
      <c r="T1" s="568"/>
      <c r="U1" s="568"/>
    </row>
    <row r="2" spans="1:21" x14ac:dyDescent="0.2">
      <c r="A2" s="569" t="s">
        <v>40</v>
      </c>
      <c r="B2" s="569"/>
      <c r="C2" s="569"/>
      <c r="D2" s="569"/>
      <c r="E2" s="569"/>
      <c r="F2" s="569"/>
      <c r="G2" s="569"/>
      <c r="H2" s="569"/>
      <c r="I2" s="569"/>
      <c r="J2" s="569"/>
      <c r="K2" s="569"/>
      <c r="L2" s="569"/>
      <c r="M2" s="569"/>
      <c r="N2" s="569"/>
      <c r="O2" s="569"/>
      <c r="P2" s="569"/>
      <c r="Q2" s="569"/>
      <c r="R2" s="569"/>
      <c r="S2" s="569"/>
      <c r="T2" s="569"/>
      <c r="U2" s="569"/>
    </row>
    <row r="3" spans="1:21" x14ac:dyDescent="0.2">
      <c r="A3" s="570" t="s">
        <v>47</v>
      </c>
      <c r="B3" s="570"/>
      <c r="C3" s="570"/>
      <c r="D3" s="570"/>
      <c r="E3" s="570"/>
      <c r="F3" s="570"/>
      <c r="G3" s="570"/>
      <c r="H3" s="570"/>
      <c r="I3" s="570"/>
      <c r="J3" s="570"/>
      <c r="K3" s="570"/>
      <c r="L3" s="570"/>
      <c r="M3" s="570"/>
      <c r="N3" s="570"/>
      <c r="O3" s="570"/>
      <c r="P3" s="570"/>
      <c r="Q3" s="570"/>
      <c r="R3" s="570"/>
      <c r="S3" s="570"/>
      <c r="T3" s="570"/>
      <c r="U3" s="570"/>
    </row>
    <row r="4" spans="1:21" x14ac:dyDescent="0.2">
      <c r="A4" s="571" t="s">
        <v>48</v>
      </c>
      <c r="B4" s="571"/>
      <c r="C4" s="571"/>
      <c r="D4" s="571"/>
      <c r="E4" s="571"/>
      <c r="F4" s="571"/>
      <c r="G4" s="571"/>
      <c r="H4" s="571"/>
      <c r="I4" s="571"/>
      <c r="J4" s="571"/>
      <c r="K4" s="571"/>
      <c r="L4" s="571"/>
      <c r="M4" s="571"/>
      <c r="N4" s="571"/>
      <c r="O4" s="571"/>
      <c r="P4" s="571"/>
      <c r="Q4" s="571"/>
      <c r="R4" s="571"/>
      <c r="S4" s="571"/>
      <c r="T4" s="571"/>
      <c r="U4" s="571"/>
    </row>
    <row r="5" spans="1:21" ht="12" thickBot="1" x14ac:dyDescent="0.25">
      <c r="A5" s="107"/>
      <c r="B5" s="109"/>
      <c r="C5" s="107"/>
      <c r="D5" s="109"/>
      <c r="E5" s="107"/>
      <c r="F5" s="109"/>
      <c r="G5" s="107"/>
      <c r="H5" s="109"/>
      <c r="I5" s="107"/>
      <c r="J5" s="109"/>
      <c r="K5" s="107"/>
      <c r="L5" s="109"/>
      <c r="M5" s="107"/>
      <c r="N5" s="109"/>
      <c r="O5" s="107"/>
      <c r="P5" s="109"/>
      <c r="Q5" s="107"/>
      <c r="R5" s="109"/>
      <c r="S5" s="107"/>
      <c r="T5" s="109"/>
      <c r="U5" s="107"/>
    </row>
    <row r="6" spans="1:21" ht="11.25" customHeight="1" x14ac:dyDescent="0.2">
      <c r="A6" s="572" t="s">
        <v>22</v>
      </c>
      <c r="B6" s="573"/>
      <c r="C6" s="576" t="s">
        <v>31</v>
      </c>
      <c r="D6" s="577"/>
      <c r="E6" s="578"/>
      <c r="F6" s="579" t="s">
        <v>35</v>
      </c>
      <c r="G6" s="577"/>
      <c r="H6" s="580"/>
      <c r="I6" s="99" t="s">
        <v>21</v>
      </c>
      <c r="J6" s="581" t="s">
        <v>33</v>
      </c>
      <c r="K6" s="566"/>
      <c r="L6" s="567"/>
      <c r="M6" s="565" t="s">
        <v>34</v>
      </c>
      <c r="N6" s="566"/>
      <c r="O6" s="582"/>
      <c r="P6" s="581" t="s">
        <v>20</v>
      </c>
      <c r="Q6" s="566"/>
      <c r="R6" s="567"/>
      <c r="S6" s="565" t="s">
        <v>19</v>
      </c>
      <c r="T6" s="566"/>
      <c r="U6" s="567"/>
    </row>
    <row r="7" spans="1:21" s="88" customFormat="1" ht="12" customHeight="1" thickBot="1" x14ac:dyDescent="0.25">
      <c r="A7" s="574"/>
      <c r="B7" s="575"/>
      <c r="C7" s="98" t="s">
        <v>6</v>
      </c>
      <c r="D7" s="111" t="s">
        <v>17</v>
      </c>
      <c r="E7" s="131" t="s">
        <v>16</v>
      </c>
      <c r="F7" s="97" t="s">
        <v>6</v>
      </c>
      <c r="G7" s="111" t="s">
        <v>17</v>
      </c>
      <c r="H7" s="141" t="s">
        <v>16</v>
      </c>
      <c r="I7" s="96" t="s">
        <v>24</v>
      </c>
      <c r="J7" s="95" t="s">
        <v>18</v>
      </c>
      <c r="K7" s="90" t="s">
        <v>17</v>
      </c>
      <c r="L7" s="89" t="s">
        <v>16</v>
      </c>
      <c r="M7" s="91" t="s">
        <v>18</v>
      </c>
      <c r="N7" s="90" t="s">
        <v>17</v>
      </c>
      <c r="O7" s="94" t="s">
        <v>16</v>
      </c>
      <c r="P7" s="93" t="s">
        <v>18</v>
      </c>
      <c r="Q7" s="90" t="s">
        <v>17</v>
      </c>
      <c r="R7" s="92" t="s">
        <v>16</v>
      </c>
      <c r="S7" s="91" t="s">
        <v>18</v>
      </c>
      <c r="T7" s="90" t="s">
        <v>17</v>
      </c>
      <c r="U7" s="89" t="s">
        <v>16</v>
      </c>
    </row>
    <row r="8" spans="1:21" x14ac:dyDescent="0.2">
      <c r="A8" s="80" t="s">
        <v>14</v>
      </c>
      <c r="B8" s="69"/>
      <c r="C8" s="79"/>
      <c r="D8" s="130"/>
      <c r="E8" s="140"/>
      <c r="F8" s="79"/>
      <c r="G8" s="130"/>
      <c r="H8" s="140"/>
      <c r="I8" s="79"/>
      <c r="J8" s="78"/>
      <c r="K8" s="77"/>
      <c r="L8" s="76"/>
      <c r="M8" s="78"/>
      <c r="N8" s="77"/>
      <c r="O8" s="76"/>
      <c r="P8" s="75"/>
      <c r="Q8" s="74"/>
      <c r="R8" s="73"/>
      <c r="S8" s="72"/>
      <c r="T8" s="71"/>
      <c r="U8" s="70"/>
    </row>
    <row r="9" spans="1:21" ht="12" thickBot="1" x14ac:dyDescent="0.25">
      <c r="A9" s="69"/>
      <c r="B9" s="69"/>
      <c r="C9" s="68"/>
      <c r="D9" s="129"/>
      <c r="E9" s="139"/>
      <c r="F9" s="68"/>
      <c r="G9" s="129"/>
      <c r="H9" s="139"/>
      <c r="I9" s="68"/>
      <c r="J9" s="67"/>
      <c r="K9" s="66"/>
      <c r="L9" s="65"/>
      <c r="M9" s="67"/>
      <c r="N9" s="66"/>
      <c r="O9" s="65"/>
      <c r="P9" s="64"/>
      <c r="Q9" s="63"/>
      <c r="R9" s="62"/>
      <c r="S9" s="61"/>
      <c r="T9" s="60"/>
      <c r="U9" s="59"/>
    </row>
    <row r="10" spans="1:21" x14ac:dyDescent="0.2">
      <c r="A10" s="58" t="s">
        <v>13</v>
      </c>
      <c r="B10" s="57" t="s">
        <v>2</v>
      </c>
      <c r="C10" s="56">
        <v>34825</v>
      </c>
      <c r="D10" s="124">
        <v>30107</v>
      </c>
      <c r="E10" s="132">
        <v>4718</v>
      </c>
      <c r="F10" s="56">
        <v>27566</v>
      </c>
      <c r="G10" s="124">
        <v>23527</v>
      </c>
      <c r="H10" s="132">
        <v>4039</v>
      </c>
      <c r="I10" s="55">
        <v>35303</v>
      </c>
      <c r="J10" s="54">
        <v>0.98646007421465598</v>
      </c>
      <c r="K10" s="53">
        <v>0.85281704104467038</v>
      </c>
      <c r="L10" s="52">
        <v>0.13364303316998555</v>
      </c>
      <c r="M10" s="54">
        <v>0.78084015522760108</v>
      </c>
      <c r="N10" s="53">
        <v>0.66643061496190126</v>
      </c>
      <c r="O10" s="52">
        <v>0.1144095402656998</v>
      </c>
      <c r="P10" s="51">
        <v>1.0079002965724773</v>
      </c>
      <c r="Q10" s="50">
        <v>1.0116281727795779</v>
      </c>
      <c r="R10" s="49">
        <v>0.98442319037751325</v>
      </c>
      <c r="S10" s="51">
        <v>1.0850406731338189</v>
      </c>
      <c r="T10" s="50">
        <v>1.0946973616972757</v>
      </c>
      <c r="U10" s="49">
        <v>1.0304636846283217</v>
      </c>
    </row>
    <row r="11" spans="1:21" x14ac:dyDescent="0.2">
      <c r="A11" s="44"/>
      <c r="B11" s="43" t="s">
        <v>1</v>
      </c>
      <c r="C11" s="42">
        <v>17894</v>
      </c>
      <c r="D11" s="125">
        <v>15442</v>
      </c>
      <c r="E11" s="133">
        <v>2452</v>
      </c>
      <c r="F11" s="42">
        <v>13656</v>
      </c>
      <c r="G11" s="125">
        <v>11603</v>
      </c>
      <c r="H11" s="133">
        <v>2053</v>
      </c>
      <c r="I11" s="41">
        <v>18209</v>
      </c>
      <c r="J11" s="40">
        <v>0.98270086221099451</v>
      </c>
      <c r="K11" s="39">
        <v>0.84804217694546657</v>
      </c>
      <c r="L11" s="38">
        <v>0.13465868526552804</v>
      </c>
      <c r="M11" s="40">
        <v>0.74995881157669286</v>
      </c>
      <c r="N11" s="39">
        <v>0.63721236751057164</v>
      </c>
      <c r="O11" s="38">
        <v>0.11274644406612115</v>
      </c>
      <c r="P11" s="37"/>
      <c r="Q11" s="36"/>
      <c r="R11" s="35"/>
      <c r="S11" s="37"/>
      <c r="T11" s="36"/>
      <c r="U11" s="35"/>
    </row>
    <row r="12" spans="1:21" x14ac:dyDescent="0.2">
      <c r="A12" s="34"/>
      <c r="B12" s="33" t="s">
        <v>0</v>
      </c>
      <c r="C12" s="42">
        <v>16931</v>
      </c>
      <c r="D12" s="125">
        <v>14665</v>
      </c>
      <c r="E12" s="133">
        <v>2266</v>
      </c>
      <c r="F12" s="42">
        <v>13910</v>
      </c>
      <c r="G12" s="125">
        <v>11924</v>
      </c>
      <c r="H12" s="133">
        <v>1986</v>
      </c>
      <c r="I12" s="41">
        <v>17094</v>
      </c>
      <c r="J12" s="30">
        <v>0.99046449046449048</v>
      </c>
      <c r="K12" s="29">
        <v>0.85790335790335792</v>
      </c>
      <c r="L12" s="28">
        <v>0.13256113256113256</v>
      </c>
      <c r="M12" s="30">
        <v>0.81373581373581372</v>
      </c>
      <c r="N12" s="29">
        <v>0.69755469755469757</v>
      </c>
      <c r="O12" s="28">
        <v>0.11618111618111618</v>
      </c>
      <c r="P12" s="27"/>
      <c r="Q12" s="26"/>
      <c r="R12" s="25"/>
      <c r="S12" s="27"/>
      <c r="T12" s="26"/>
      <c r="U12" s="25"/>
    </row>
    <row r="13" spans="1:21" x14ac:dyDescent="0.2">
      <c r="A13" s="83" t="s">
        <v>46</v>
      </c>
      <c r="B13" s="84" t="s">
        <v>2</v>
      </c>
      <c r="C13" s="48">
        <v>14722</v>
      </c>
      <c r="D13" s="126">
        <v>14025</v>
      </c>
      <c r="E13" s="134">
        <v>697</v>
      </c>
      <c r="F13" s="48">
        <v>12701</v>
      </c>
      <c r="G13" s="126">
        <v>12053</v>
      </c>
      <c r="H13" s="134">
        <v>648</v>
      </c>
      <c r="I13" s="47">
        <v>16531</v>
      </c>
      <c r="J13" s="46">
        <v>0.89056923356118811</v>
      </c>
      <c r="K13" s="85">
        <v>0.84840602504385698</v>
      </c>
      <c r="L13" s="87">
        <v>4.2163208517331074E-2</v>
      </c>
      <c r="M13" s="46">
        <v>0.76831407658338879</v>
      </c>
      <c r="N13" s="85">
        <v>0.72911499606799346</v>
      </c>
      <c r="O13" s="87">
        <v>3.9199080515395321E-2</v>
      </c>
      <c r="P13" s="45">
        <v>1.0005278746287867</v>
      </c>
      <c r="Q13" s="86">
        <v>1.0004281056562614</v>
      </c>
      <c r="R13" s="108">
        <v>1.0025374289059885</v>
      </c>
      <c r="S13" s="45">
        <v>1.0495843252230384</v>
      </c>
      <c r="T13" s="86">
        <v>1.0513803593697422</v>
      </c>
      <c r="U13" s="108">
        <v>1.0167137121120637</v>
      </c>
    </row>
    <row r="14" spans="1:21" x14ac:dyDescent="0.2">
      <c r="A14" s="44"/>
      <c r="B14" s="43" t="s">
        <v>1</v>
      </c>
      <c r="C14" s="42">
        <v>7738</v>
      </c>
      <c r="D14" s="125">
        <v>7372</v>
      </c>
      <c r="E14" s="133">
        <v>366</v>
      </c>
      <c r="F14" s="42">
        <v>6524</v>
      </c>
      <c r="G14" s="125">
        <v>6186</v>
      </c>
      <c r="H14" s="133">
        <v>338</v>
      </c>
      <c r="I14" s="41">
        <v>8691</v>
      </c>
      <c r="J14" s="40">
        <v>0.89034633528937979</v>
      </c>
      <c r="K14" s="39">
        <v>0.84823380508572088</v>
      </c>
      <c r="L14" s="38">
        <v>4.211253020365896E-2</v>
      </c>
      <c r="M14" s="40">
        <v>0.75066160395811754</v>
      </c>
      <c r="N14" s="39">
        <v>0.71177079737659643</v>
      </c>
      <c r="O14" s="38">
        <v>3.8890806581521116E-2</v>
      </c>
      <c r="P14" s="37"/>
      <c r="Q14" s="36"/>
      <c r="R14" s="35"/>
      <c r="S14" s="37"/>
      <c r="T14" s="36"/>
      <c r="U14" s="35"/>
    </row>
    <row r="15" spans="1:21" x14ac:dyDescent="0.2">
      <c r="A15" s="34"/>
      <c r="B15" s="33" t="s">
        <v>0</v>
      </c>
      <c r="C15" s="32">
        <v>6984</v>
      </c>
      <c r="D15" s="127">
        <v>6653</v>
      </c>
      <c r="E15" s="135">
        <v>331</v>
      </c>
      <c r="F15" s="32">
        <v>6177</v>
      </c>
      <c r="G15" s="127">
        <v>5867</v>
      </c>
      <c r="H15" s="135">
        <v>310</v>
      </c>
      <c r="I15" s="31">
        <v>7840</v>
      </c>
      <c r="J15" s="30">
        <v>0.89081632653061227</v>
      </c>
      <c r="K15" s="29">
        <v>0.84859693877551023</v>
      </c>
      <c r="L15" s="28">
        <v>4.2219387755102041E-2</v>
      </c>
      <c r="M15" s="30">
        <v>0.78788265306122451</v>
      </c>
      <c r="N15" s="29">
        <v>0.7483418367346939</v>
      </c>
      <c r="O15" s="28">
        <v>3.9540816326530615E-2</v>
      </c>
      <c r="P15" s="27"/>
      <c r="Q15" s="26"/>
      <c r="R15" s="25"/>
      <c r="S15" s="27"/>
      <c r="T15" s="26"/>
      <c r="U15" s="25"/>
    </row>
    <row r="16" spans="1:21" x14ac:dyDescent="0.2">
      <c r="A16" s="83" t="s">
        <v>12</v>
      </c>
      <c r="B16" s="84" t="s">
        <v>2</v>
      </c>
      <c r="C16" s="48">
        <v>10241</v>
      </c>
      <c r="D16" s="126">
        <v>9377</v>
      </c>
      <c r="E16" s="134">
        <v>864</v>
      </c>
      <c r="F16" s="48">
        <v>8692</v>
      </c>
      <c r="G16" s="126">
        <v>7901</v>
      </c>
      <c r="H16" s="134">
        <v>791</v>
      </c>
      <c r="I16" s="47">
        <v>10911</v>
      </c>
      <c r="J16" s="46">
        <v>0.93859407936944372</v>
      </c>
      <c r="K16" s="85">
        <v>0.85940793694436812</v>
      </c>
      <c r="L16" s="87">
        <v>7.9186142425075615E-2</v>
      </c>
      <c r="M16" s="46">
        <v>0.79662725689670977</v>
      </c>
      <c r="N16" s="85">
        <v>0.72413161030153061</v>
      </c>
      <c r="O16" s="87">
        <v>7.2495646595179181E-2</v>
      </c>
      <c r="P16" s="45">
        <v>1.0248841995997198</v>
      </c>
      <c r="Q16" s="86">
        <v>1.0243004095700585</v>
      </c>
      <c r="R16" s="108">
        <v>1.0312410243671453</v>
      </c>
      <c r="S16" s="45">
        <v>1.0667453944425473</v>
      </c>
      <c r="T16" s="86">
        <v>1.0661800669521269</v>
      </c>
      <c r="U16" s="108">
        <v>1.0724086625094613</v>
      </c>
    </row>
    <row r="17" spans="1:21" x14ac:dyDescent="0.2">
      <c r="A17" s="44"/>
      <c r="B17" s="43" t="s">
        <v>1</v>
      </c>
      <c r="C17" s="42">
        <v>5243</v>
      </c>
      <c r="D17" s="125">
        <v>4802</v>
      </c>
      <c r="E17" s="133">
        <v>441</v>
      </c>
      <c r="F17" s="42">
        <v>4363</v>
      </c>
      <c r="G17" s="125">
        <v>3967</v>
      </c>
      <c r="H17" s="133">
        <v>396</v>
      </c>
      <c r="I17" s="41">
        <v>5653</v>
      </c>
      <c r="J17" s="40">
        <v>0.92747213868742262</v>
      </c>
      <c r="K17" s="39">
        <v>0.84946046347072346</v>
      </c>
      <c r="L17" s="38">
        <v>7.8011675216699092E-2</v>
      </c>
      <c r="M17" s="40">
        <v>0.77180258269945157</v>
      </c>
      <c r="N17" s="39">
        <v>0.70175128250486463</v>
      </c>
      <c r="O17" s="38">
        <v>7.0051300194586941E-2</v>
      </c>
      <c r="P17" s="37"/>
      <c r="Q17" s="36"/>
      <c r="R17" s="35"/>
      <c r="S17" s="37"/>
      <c r="T17" s="36"/>
      <c r="U17" s="35"/>
    </row>
    <row r="18" spans="1:21" x14ac:dyDescent="0.2">
      <c r="A18" s="34"/>
      <c r="B18" s="33" t="s">
        <v>0</v>
      </c>
      <c r="C18" s="32">
        <v>4998</v>
      </c>
      <c r="D18" s="127">
        <v>4575</v>
      </c>
      <c r="E18" s="135">
        <v>423</v>
      </c>
      <c r="F18" s="32">
        <v>4329</v>
      </c>
      <c r="G18" s="127">
        <v>3934</v>
      </c>
      <c r="H18" s="135">
        <v>395</v>
      </c>
      <c r="I18" s="31">
        <v>5258</v>
      </c>
      <c r="J18" s="30">
        <v>0.95055154050969948</v>
      </c>
      <c r="K18" s="29">
        <v>0.87010270064663375</v>
      </c>
      <c r="L18" s="28">
        <v>8.0448839863065807E-2</v>
      </c>
      <c r="M18" s="30">
        <v>0.82331685051350323</v>
      </c>
      <c r="N18" s="29">
        <v>0.7481932293647775</v>
      </c>
      <c r="O18" s="28">
        <v>7.5123621148725755E-2</v>
      </c>
      <c r="P18" s="27"/>
      <c r="Q18" s="26"/>
      <c r="R18" s="25"/>
      <c r="S18" s="27"/>
      <c r="T18" s="26"/>
      <c r="U18" s="25"/>
    </row>
    <row r="19" spans="1:21" x14ac:dyDescent="0.2">
      <c r="A19" s="83" t="s">
        <v>11</v>
      </c>
      <c r="B19" s="84" t="s">
        <v>2</v>
      </c>
      <c r="C19" s="48">
        <v>9022</v>
      </c>
      <c r="D19" s="126">
        <v>8578</v>
      </c>
      <c r="E19" s="134">
        <v>444</v>
      </c>
      <c r="F19" s="48">
        <v>7609</v>
      </c>
      <c r="G19" s="126">
        <v>7217</v>
      </c>
      <c r="H19" s="134">
        <v>392</v>
      </c>
      <c r="I19" s="47">
        <v>10031</v>
      </c>
      <c r="J19" s="46">
        <v>0.89941182334762237</v>
      </c>
      <c r="K19" s="85">
        <v>0.85514903798225506</v>
      </c>
      <c r="L19" s="87">
        <v>4.426278536536736E-2</v>
      </c>
      <c r="M19" s="46">
        <v>0.75854849965108162</v>
      </c>
      <c r="N19" s="85">
        <v>0.71946964410327985</v>
      </c>
      <c r="O19" s="87">
        <v>3.9078855547801813E-2</v>
      </c>
      <c r="P19" s="45">
        <v>0.98870803499220861</v>
      </c>
      <c r="Q19" s="86">
        <v>0.99144266024076366</v>
      </c>
      <c r="R19" s="108">
        <v>0.93725571623998449</v>
      </c>
      <c r="S19" s="45">
        <v>1.0461942641668169</v>
      </c>
      <c r="T19" s="86">
        <v>1.0488805839962445</v>
      </c>
      <c r="U19" s="108">
        <v>0.9979195166438668</v>
      </c>
    </row>
    <row r="20" spans="1:21" x14ac:dyDescent="0.2">
      <c r="A20" s="44"/>
      <c r="B20" s="43" t="s">
        <v>1</v>
      </c>
      <c r="C20" s="42">
        <v>4716</v>
      </c>
      <c r="D20" s="125">
        <v>4478</v>
      </c>
      <c r="E20" s="133">
        <v>238</v>
      </c>
      <c r="F20" s="42">
        <v>3870</v>
      </c>
      <c r="G20" s="125">
        <v>3666</v>
      </c>
      <c r="H20" s="133">
        <v>204</v>
      </c>
      <c r="I20" s="41">
        <v>5215</v>
      </c>
      <c r="J20" s="40">
        <v>0.90431447746883986</v>
      </c>
      <c r="K20" s="39">
        <v>0.85867689357622246</v>
      </c>
      <c r="L20" s="38">
        <v>4.5637583892617448E-2</v>
      </c>
      <c r="M20" s="40">
        <v>0.7420901246404602</v>
      </c>
      <c r="N20" s="39">
        <v>0.7029721955896453</v>
      </c>
      <c r="O20" s="38">
        <v>3.9117929050814959E-2</v>
      </c>
      <c r="P20" s="37"/>
      <c r="Q20" s="36"/>
      <c r="R20" s="35"/>
      <c r="S20" s="37"/>
      <c r="T20" s="36"/>
      <c r="U20" s="35"/>
    </row>
    <row r="21" spans="1:21" x14ac:dyDescent="0.2">
      <c r="A21" s="34"/>
      <c r="B21" s="33" t="s">
        <v>0</v>
      </c>
      <c r="C21" s="32">
        <v>4306</v>
      </c>
      <c r="D21" s="127">
        <v>4100</v>
      </c>
      <c r="E21" s="135">
        <v>206</v>
      </c>
      <c r="F21" s="32">
        <v>3739</v>
      </c>
      <c r="G21" s="127">
        <v>3551</v>
      </c>
      <c r="H21" s="135">
        <v>188</v>
      </c>
      <c r="I21" s="31">
        <v>4816</v>
      </c>
      <c r="J21" s="30">
        <v>0.89410299003322258</v>
      </c>
      <c r="K21" s="29">
        <v>0.8513289036544851</v>
      </c>
      <c r="L21" s="28">
        <v>4.2774086378737544E-2</v>
      </c>
      <c r="M21" s="30">
        <v>0.77637043189368771</v>
      </c>
      <c r="N21" s="29">
        <v>0.73733388704318936</v>
      </c>
      <c r="O21" s="28">
        <v>3.9036544850498338E-2</v>
      </c>
      <c r="P21" s="27"/>
      <c r="Q21" s="26"/>
      <c r="R21" s="25"/>
      <c r="S21" s="27"/>
      <c r="T21" s="26"/>
      <c r="U21" s="25"/>
    </row>
    <row r="22" spans="1:21" x14ac:dyDescent="0.2">
      <c r="A22" s="83" t="s">
        <v>27</v>
      </c>
      <c r="B22" s="84" t="s">
        <v>2</v>
      </c>
      <c r="C22" s="48">
        <v>7020</v>
      </c>
      <c r="D22" s="126">
        <v>6864</v>
      </c>
      <c r="E22" s="134">
        <v>156</v>
      </c>
      <c r="F22" s="48">
        <v>4696</v>
      </c>
      <c r="G22" s="126">
        <v>4582</v>
      </c>
      <c r="H22" s="134">
        <v>114</v>
      </c>
      <c r="I22" s="47">
        <v>7546</v>
      </c>
      <c r="J22" s="46">
        <v>0.93029419560031801</v>
      </c>
      <c r="K22" s="85">
        <v>0.90962099125364426</v>
      </c>
      <c r="L22" s="87">
        <v>2.0673204346673735E-2</v>
      </c>
      <c r="M22" s="46">
        <v>0.62231645905115296</v>
      </c>
      <c r="N22" s="85">
        <v>0.60720911741319905</v>
      </c>
      <c r="O22" s="87">
        <v>1.5107341637953882E-2</v>
      </c>
      <c r="P22" s="45">
        <v>0.9918823027955983</v>
      </c>
      <c r="Q22" s="86">
        <v>0.99658428804896482</v>
      </c>
      <c r="R22" s="108">
        <v>0.8044975041188186</v>
      </c>
      <c r="S22" s="45">
        <v>1.0482331481520013</v>
      </c>
      <c r="T22" s="86">
        <v>1.0529971979748667</v>
      </c>
      <c r="U22" s="108">
        <v>0.87319273691833832</v>
      </c>
    </row>
    <row r="23" spans="1:21" x14ac:dyDescent="0.2">
      <c r="A23" s="44"/>
      <c r="B23" s="43" t="s">
        <v>1</v>
      </c>
      <c r="C23" s="42">
        <v>3595</v>
      </c>
      <c r="D23" s="125">
        <v>3507</v>
      </c>
      <c r="E23" s="133">
        <v>88</v>
      </c>
      <c r="F23" s="42">
        <v>2340</v>
      </c>
      <c r="G23" s="125">
        <v>2278</v>
      </c>
      <c r="H23" s="133">
        <v>62</v>
      </c>
      <c r="I23" s="41">
        <v>3849</v>
      </c>
      <c r="J23" s="40">
        <v>0.93400883346323715</v>
      </c>
      <c r="K23" s="39">
        <v>0.91114575214341387</v>
      </c>
      <c r="L23" s="38">
        <v>2.2863081319823331E-2</v>
      </c>
      <c r="M23" s="40">
        <v>0.607950116913484</v>
      </c>
      <c r="N23" s="39">
        <v>0.59184203689269943</v>
      </c>
      <c r="O23" s="38">
        <v>1.6108080020784621E-2</v>
      </c>
      <c r="P23" s="37"/>
      <c r="Q23" s="36"/>
      <c r="R23" s="35"/>
      <c r="S23" s="37"/>
      <c r="T23" s="36"/>
      <c r="U23" s="35"/>
    </row>
    <row r="24" spans="1:21" x14ac:dyDescent="0.2">
      <c r="A24" s="34"/>
      <c r="B24" s="33" t="s">
        <v>0</v>
      </c>
      <c r="C24" s="32">
        <v>3425</v>
      </c>
      <c r="D24" s="127">
        <v>3357</v>
      </c>
      <c r="E24" s="135">
        <v>68</v>
      </c>
      <c r="F24" s="32">
        <v>2356</v>
      </c>
      <c r="G24" s="127">
        <v>2304</v>
      </c>
      <c r="H24" s="135">
        <v>52</v>
      </c>
      <c r="I24" s="31">
        <v>3697</v>
      </c>
      <c r="J24" s="30">
        <v>0.92642683256694613</v>
      </c>
      <c r="K24" s="29">
        <v>0.9080335407086827</v>
      </c>
      <c r="L24" s="28">
        <v>1.8393291858263456E-2</v>
      </c>
      <c r="M24" s="30">
        <v>0.63727346497159865</v>
      </c>
      <c r="N24" s="29">
        <v>0.62320800649175012</v>
      </c>
      <c r="O24" s="28">
        <v>1.4065458479848527E-2</v>
      </c>
      <c r="P24" s="27"/>
      <c r="Q24" s="26"/>
      <c r="R24" s="25"/>
      <c r="S24" s="27"/>
      <c r="T24" s="26"/>
      <c r="U24" s="25"/>
    </row>
    <row r="25" spans="1:21" x14ac:dyDescent="0.2">
      <c r="A25" s="83" t="s">
        <v>10</v>
      </c>
      <c r="B25" s="84" t="s">
        <v>2</v>
      </c>
      <c r="C25" s="48">
        <v>8984</v>
      </c>
      <c r="D25" s="126">
        <v>8817</v>
      </c>
      <c r="E25" s="134">
        <v>167</v>
      </c>
      <c r="F25" s="48">
        <v>7486</v>
      </c>
      <c r="G25" s="126">
        <v>7337</v>
      </c>
      <c r="H25" s="134">
        <v>149</v>
      </c>
      <c r="I25" s="47">
        <v>9287</v>
      </c>
      <c r="J25" s="46">
        <v>0.96737374825024225</v>
      </c>
      <c r="K25" s="85">
        <v>0.94939162269839561</v>
      </c>
      <c r="L25" s="87">
        <v>1.7982125551846667E-2</v>
      </c>
      <c r="M25" s="46">
        <v>0.80607300527619252</v>
      </c>
      <c r="N25" s="85">
        <v>0.79002907289759883</v>
      </c>
      <c r="O25" s="87">
        <v>1.6043932378593733E-2</v>
      </c>
      <c r="P25" s="45">
        <v>0.98505258751693792</v>
      </c>
      <c r="Q25" s="86">
        <v>0.97903286529468236</v>
      </c>
      <c r="R25" s="108">
        <v>1.3627283105022832</v>
      </c>
      <c r="S25" s="45">
        <v>1.0436880444048029</v>
      </c>
      <c r="T25" s="86">
        <v>1.0368719332843424</v>
      </c>
      <c r="U25" s="108">
        <v>1.4446484858718902</v>
      </c>
    </row>
    <row r="26" spans="1:21" x14ac:dyDescent="0.2">
      <c r="A26" s="44"/>
      <c r="B26" s="43" t="s">
        <v>1</v>
      </c>
      <c r="C26" s="42">
        <v>4653</v>
      </c>
      <c r="D26" s="125">
        <v>4580</v>
      </c>
      <c r="E26" s="133">
        <v>73</v>
      </c>
      <c r="F26" s="42">
        <v>3769</v>
      </c>
      <c r="G26" s="125">
        <v>3706</v>
      </c>
      <c r="H26" s="133">
        <v>63</v>
      </c>
      <c r="I26" s="41">
        <v>4775</v>
      </c>
      <c r="J26" s="40">
        <v>0.97445026178010474</v>
      </c>
      <c r="K26" s="39">
        <v>0.9591623036649215</v>
      </c>
      <c r="L26" s="38">
        <v>1.5287958115183246E-2</v>
      </c>
      <c r="M26" s="40">
        <v>0.78931937172774869</v>
      </c>
      <c r="N26" s="39">
        <v>0.77612565445026183</v>
      </c>
      <c r="O26" s="38">
        <v>1.3193717277486911E-2</v>
      </c>
      <c r="P26" s="37"/>
      <c r="Q26" s="36"/>
      <c r="R26" s="35"/>
      <c r="S26" s="37"/>
      <c r="T26" s="36"/>
      <c r="U26" s="35"/>
    </row>
    <row r="27" spans="1:21" x14ac:dyDescent="0.2">
      <c r="A27" s="34"/>
      <c r="B27" s="33" t="s">
        <v>0</v>
      </c>
      <c r="C27" s="32">
        <v>4331</v>
      </c>
      <c r="D27" s="127">
        <v>4237</v>
      </c>
      <c r="E27" s="135">
        <v>94</v>
      </c>
      <c r="F27" s="32">
        <v>3717</v>
      </c>
      <c r="G27" s="127">
        <v>3631</v>
      </c>
      <c r="H27" s="135">
        <v>86</v>
      </c>
      <c r="I27" s="31">
        <v>4512</v>
      </c>
      <c r="J27" s="30">
        <v>0.95988475177304966</v>
      </c>
      <c r="K27" s="29">
        <v>0.93905141843971629</v>
      </c>
      <c r="L27" s="28">
        <v>2.0833333333333332E-2</v>
      </c>
      <c r="M27" s="30">
        <v>0.82380319148936165</v>
      </c>
      <c r="N27" s="29">
        <v>0.80474290780141844</v>
      </c>
      <c r="O27" s="28">
        <v>1.9060283687943262E-2</v>
      </c>
      <c r="P27" s="27"/>
      <c r="Q27" s="26"/>
      <c r="R27" s="25"/>
      <c r="S27" s="27"/>
      <c r="T27" s="26"/>
      <c r="U27" s="25"/>
    </row>
    <row r="28" spans="1:21" x14ac:dyDescent="0.2">
      <c r="A28" s="83" t="s">
        <v>9</v>
      </c>
      <c r="B28" s="84" t="s">
        <v>2</v>
      </c>
      <c r="C28" s="48">
        <v>3987</v>
      </c>
      <c r="D28" s="126">
        <v>3424</v>
      </c>
      <c r="E28" s="134">
        <v>563</v>
      </c>
      <c r="F28" s="48">
        <v>3434</v>
      </c>
      <c r="G28" s="126">
        <v>2906</v>
      </c>
      <c r="H28" s="134">
        <v>528</v>
      </c>
      <c r="I28" s="47">
        <v>3711</v>
      </c>
      <c r="J28" s="46">
        <v>1.0743734842360551</v>
      </c>
      <c r="K28" s="85">
        <v>0.92266235516033412</v>
      </c>
      <c r="L28" s="87">
        <v>0.15171112907572082</v>
      </c>
      <c r="M28" s="46">
        <v>0.9253570466181622</v>
      </c>
      <c r="N28" s="85">
        <v>0.78307733764483967</v>
      </c>
      <c r="O28" s="87">
        <v>0.14227970897332257</v>
      </c>
      <c r="P28" s="45">
        <v>0.95534757801583614</v>
      </c>
      <c r="Q28" s="86">
        <v>0.94629740746739699</v>
      </c>
      <c r="R28" s="108">
        <v>1.012202830625019</v>
      </c>
      <c r="S28" s="45">
        <v>1.0235252220013926</v>
      </c>
      <c r="T28" s="86">
        <v>1.0253725892170067</v>
      </c>
      <c r="U28" s="108">
        <v>1.0134162088363983</v>
      </c>
    </row>
    <row r="29" spans="1:21" x14ac:dyDescent="0.2">
      <c r="A29" s="44"/>
      <c r="B29" s="43" t="s">
        <v>1</v>
      </c>
      <c r="C29" s="42">
        <v>2090</v>
      </c>
      <c r="D29" s="125">
        <v>1803</v>
      </c>
      <c r="E29" s="133">
        <v>287</v>
      </c>
      <c r="F29" s="42">
        <v>1741</v>
      </c>
      <c r="G29" s="125">
        <v>1472</v>
      </c>
      <c r="H29" s="133">
        <v>269</v>
      </c>
      <c r="I29" s="41">
        <v>1903</v>
      </c>
      <c r="J29" s="40">
        <v>1.0982658959537572</v>
      </c>
      <c r="K29" s="39">
        <v>0.94745139253809774</v>
      </c>
      <c r="L29" s="38">
        <v>0.1508145034156595</v>
      </c>
      <c r="M29" s="40">
        <v>0.91487125591171836</v>
      </c>
      <c r="N29" s="39">
        <v>0.77351550183920126</v>
      </c>
      <c r="O29" s="38">
        <v>0.14135575407251708</v>
      </c>
      <c r="P29" s="37"/>
      <c r="Q29" s="36"/>
      <c r="R29" s="35"/>
      <c r="S29" s="37"/>
      <c r="T29" s="36"/>
      <c r="U29" s="35"/>
    </row>
    <row r="30" spans="1:21" x14ac:dyDescent="0.2">
      <c r="A30" s="34"/>
      <c r="B30" s="33" t="s">
        <v>0</v>
      </c>
      <c r="C30" s="32">
        <v>1897</v>
      </c>
      <c r="D30" s="127">
        <v>1621</v>
      </c>
      <c r="E30" s="135">
        <v>276</v>
      </c>
      <c r="F30" s="32">
        <v>1693</v>
      </c>
      <c r="G30" s="127">
        <v>1434</v>
      </c>
      <c r="H30" s="135">
        <v>259</v>
      </c>
      <c r="I30" s="31">
        <v>1808</v>
      </c>
      <c r="J30" s="30">
        <v>1.0492256637168142</v>
      </c>
      <c r="K30" s="29">
        <v>0.89657079646017701</v>
      </c>
      <c r="L30" s="28">
        <v>0.15265486725663716</v>
      </c>
      <c r="M30" s="30">
        <v>0.93639380530973448</v>
      </c>
      <c r="N30" s="29">
        <v>0.79314159292035402</v>
      </c>
      <c r="O30" s="28">
        <v>0.14325221238938052</v>
      </c>
      <c r="P30" s="27"/>
      <c r="Q30" s="26"/>
      <c r="R30" s="25"/>
      <c r="S30" s="27"/>
      <c r="T30" s="26"/>
      <c r="U30" s="25"/>
    </row>
    <row r="31" spans="1:21" x14ac:dyDescent="0.2">
      <c r="A31" s="83" t="s">
        <v>8</v>
      </c>
      <c r="B31" s="84" t="s">
        <v>2</v>
      </c>
      <c r="C31" s="48">
        <v>2273</v>
      </c>
      <c r="D31" s="126">
        <v>2158</v>
      </c>
      <c r="E31" s="134">
        <v>115</v>
      </c>
      <c r="F31" s="48">
        <v>1969</v>
      </c>
      <c r="G31" s="126">
        <v>1863</v>
      </c>
      <c r="H31" s="134">
        <v>106</v>
      </c>
      <c r="I31" s="47">
        <v>2394</v>
      </c>
      <c r="J31" s="46">
        <v>0.94945697577276522</v>
      </c>
      <c r="K31" s="85">
        <v>0.9014202172096909</v>
      </c>
      <c r="L31" s="87">
        <v>4.803675856307435E-2</v>
      </c>
      <c r="M31" s="46">
        <v>0.82247284878863824</v>
      </c>
      <c r="N31" s="85">
        <v>0.77819548872180455</v>
      </c>
      <c r="O31" s="87">
        <v>4.4277360066833749E-2</v>
      </c>
      <c r="P31" s="45">
        <v>1.0162966744100292</v>
      </c>
      <c r="Q31" s="86">
        <v>1.0045865071828339</v>
      </c>
      <c r="R31" s="108">
        <v>1.263314918938413</v>
      </c>
      <c r="S31" s="45">
        <v>1.0854291229976236</v>
      </c>
      <c r="T31" s="86">
        <v>1.0787717715142271</v>
      </c>
      <c r="U31" s="108">
        <v>1.2095221546481321</v>
      </c>
    </row>
    <row r="32" spans="1:21" x14ac:dyDescent="0.2">
      <c r="A32" s="44"/>
      <c r="B32" s="43" t="s">
        <v>1</v>
      </c>
      <c r="C32" s="42">
        <v>1171</v>
      </c>
      <c r="D32" s="125">
        <v>1118</v>
      </c>
      <c r="E32" s="133">
        <v>53</v>
      </c>
      <c r="F32" s="42">
        <v>982</v>
      </c>
      <c r="G32" s="125">
        <v>932</v>
      </c>
      <c r="H32" s="133">
        <v>50</v>
      </c>
      <c r="I32" s="41">
        <v>1243</v>
      </c>
      <c r="J32" s="40">
        <v>0.94207562349155272</v>
      </c>
      <c r="K32" s="39">
        <v>0.89943684633950116</v>
      </c>
      <c r="L32" s="38">
        <v>4.2638777152051485E-2</v>
      </c>
      <c r="M32" s="40">
        <v>0.79002413515687853</v>
      </c>
      <c r="N32" s="39">
        <v>0.74979887369267906</v>
      </c>
      <c r="O32" s="38">
        <v>4.0225261464199517E-2</v>
      </c>
      <c r="P32" s="37"/>
      <c r="Q32" s="36"/>
      <c r="R32" s="35"/>
      <c r="S32" s="37"/>
      <c r="T32" s="36"/>
      <c r="U32" s="35"/>
    </row>
    <row r="33" spans="1:21" x14ac:dyDescent="0.2">
      <c r="A33" s="34"/>
      <c r="B33" s="33" t="s">
        <v>0</v>
      </c>
      <c r="C33" s="32">
        <v>1102</v>
      </c>
      <c r="D33" s="127">
        <v>1040</v>
      </c>
      <c r="E33" s="135">
        <v>62</v>
      </c>
      <c r="F33" s="32">
        <v>987</v>
      </c>
      <c r="G33" s="127">
        <v>931</v>
      </c>
      <c r="H33" s="135">
        <v>56</v>
      </c>
      <c r="I33" s="31">
        <v>1151</v>
      </c>
      <c r="J33" s="30">
        <v>0.95742832319721982</v>
      </c>
      <c r="K33" s="29">
        <v>0.90356211989574287</v>
      </c>
      <c r="L33" s="28">
        <v>5.3866203301476977E-2</v>
      </c>
      <c r="M33" s="30">
        <v>0.8575152041702867</v>
      </c>
      <c r="N33" s="29">
        <v>0.80886185925282361</v>
      </c>
      <c r="O33" s="28">
        <v>4.8653344917463079E-2</v>
      </c>
      <c r="P33" s="27"/>
      <c r="Q33" s="26"/>
      <c r="R33" s="25"/>
      <c r="S33" s="27"/>
      <c r="T33" s="26"/>
      <c r="U33" s="25"/>
    </row>
    <row r="34" spans="1:21" x14ac:dyDescent="0.2">
      <c r="A34" s="83" t="s">
        <v>7</v>
      </c>
      <c r="B34" s="84" t="s">
        <v>2</v>
      </c>
      <c r="C34" s="48">
        <v>3400</v>
      </c>
      <c r="D34" s="126">
        <v>3112</v>
      </c>
      <c r="E34" s="134">
        <v>288</v>
      </c>
      <c r="F34" s="48">
        <v>2791</v>
      </c>
      <c r="G34" s="126">
        <v>2525</v>
      </c>
      <c r="H34" s="134">
        <v>266</v>
      </c>
      <c r="I34" s="47">
        <v>3198</v>
      </c>
      <c r="J34" s="46">
        <v>1.0631644777986242</v>
      </c>
      <c r="K34" s="85">
        <v>0.97310819262038772</v>
      </c>
      <c r="L34" s="87">
        <v>9.0056285178236398E-2</v>
      </c>
      <c r="M34" s="46">
        <v>0.8727329580988118</v>
      </c>
      <c r="N34" s="85">
        <v>0.78955597248280174</v>
      </c>
      <c r="O34" s="87">
        <v>8.3176985616010002E-2</v>
      </c>
      <c r="P34" s="45">
        <v>0.98818256729168052</v>
      </c>
      <c r="Q34" s="86">
        <v>0.99584425928096698</v>
      </c>
      <c r="R34" s="108">
        <v>0.90889641277028854</v>
      </c>
      <c r="S34" s="45">
        <v>1.0599994922534024</v>
      </c>
      <c r="T34" s="86">
        <v>1.0770069884321596</v>
      </c>
      <c r="U34" s="108">
        <v>0.91109470053449437</v>
      </c>
    </row>
    <row r="35" spans="1:21" x14ac:dyDescent="0.2">
      <c r="A35" s="44"/>
      <c r="B35" s="43" t="s">
        <v>1</v>
      </c>
      <c r="C35" s="42">
        <v>1759</v>
      </c>
      <c r="D35" s="125">
        <v>1604</v>
      </c>
      <c r="E35" s="133">
        <v>155</v>
      </c>
      <c r="F35" s="42">
        <v>1395</v>
      </c>
      <c r="G35" s="125">
        <v>1252</v>
      </c>
      <c r="H35" s="133">
        <v>143</v>
      </c>
      <c r="I35" s="41">
        <v>1645</v>
      </c>
      <c r="J35" s="40">
        <v>1.0693009118541033</v>
      </c>
      <c r="K35" s="39">
        <v>0.97507598784194527</v>
      </c>
      <c r="L35" s="38">
        <v>9.4224924012158054E-2</v>
      </c>
      <c r="M35" s="40">
        <v>0.84802431610942253</v>
      </c>
      <c r="N35" s="39">
        <v>0.76109422492401213</v>
      </c>
      <c r="O35" s="38">
        <v>8.6930091185410341E-2</v>
      </c>
      <c r="P35" s="37"/>
      <c r="Q35" s="36"/>
      <c r="R35" s="35"/>
      <c r="S35" s="37"/>
      <c r="T35" s="36"/>
      <c r="U35" s="35"/>
    </row>
    <row r="36" spans="1:21" x14ac:dyDescent="0.2">
      <c r="A36" s="34"/>
      <c r="B36" s="33" t="s">
        <v>0</v>
      </c>
      <c r="C36" s="32">
        <v>1641</v>
      </c>
      <c r="D36" s="127">
        <v>1508</v>
      </c>
      <c r="E36" s="135">
        <v>133</v>
      </c>
      <c r="F36" s="32">
        <v>1396</v>
      </c>
      <c r="G36" s="127">
        <v>1273</v>
      </c>
      <c r="H36" s="135">
        <v>123</v>
      </c>
      <c r="I36" s="31">
        <v>1553</v>
      </c>
      <c r="J36" s="30">
        <v>1.0566645202833227</v>
      </c>
      <c r="K36" s="29">
        <v>0.97102382485511918</v>
      </c>
      <c r="L36" s="28">
        <v>8.5640695428203475E-2</v>
      </c>
      <c r="M36" s="30">
        <v>0.89890534449452675</v>
      </c>
      <c r="N36" s="29">
        <v>0.81970379909851898</v>
      </c>
      <c r="O36" s="28">
        <v>7.9201545396007725E-2</v>
      </c>
      <c r="P36" s="27"/>
      <c r="Q36" s="26"/>
      <c r="R36" s="25"/>
      <c r="S36" s="27"/>
      <c r="T36" s="26"/>
      <c r="U36" s="25"/>
    </row>
    <row r="37" spans="1:21" x14ac:dyDescent="0.2">
      <c r="A37" s="83" t="s">
        <v>5</v>
      </c>
      <c r="B37" s="84" t="s">
        <v>2</v>
      </c>
      <c r="C37" s="48">
        <v>4161</v>
      </c>
      <c r="D37" s="126">
        <v>3661</v>
      </c>
      <c r="E37" s="134">
        <v>500</v>
      </c>
      <c r="F37" s="48">
        <v>3685</v>
      </c>
      <c r="G37" s="126">
        <v>3237</v>
      </c>
      <c r="H37" s="134">
        <v>448</v>
      </c>
      <c r="I37" s="47">
        <v>4358</v>
      </c>
      <c r="J37" s="46">
        <v>0.95479577787976133</v>
      </c>
      <c r="K37" s="85">
        <v>0.8400642496558054</v>
      </c>
      <c r="L37" s="87">
        <v>0.11473152822395594</v>
      </c>
      <c r="M37" s="46">
        <v>0.84557136301055535</v>
      </c>
      <c r="N37" s="85">
        <v>0.74277191372189078</v>
      </c>
      <c r="O37" s="87">
        <v>0.10279944928866452</v>
      </c>
      <c r="P37" s="45">
        <v>1.0053216380223633</v>
      </c>
      <c r="Q37" s="86">
        <v>1.0310194668607937</v>
      </c>
      <c r="R37" s="108">
        <v>0.83479818808735029</v>
      </c>
      <c r="S37" s="45">
        <v>1.0618939315541158</v>
      </c>
      <c r="T37" s="86">
        <v>1.0924272939803366</v>
      </c>
      <c r="U37" s="108">
        <v>0.86460143587699823</v>
      </c>
    </row>
    <row r="38" spans="1:21" x14ac:dyDescent="0.2">
      <c r="A38" s="44"/>
      <c r="B38" s="43" t="s">
        <v>1</v>
      </c>
      <c r="C38" s="42">
        <v>2138</v>
      </c>
      <c r="D38" s="125">
        <v>1858</v>
      </c>
      <c r="E38" s="133">
        <v>280</v>
      </c>
      <c r="F38" s="42">
        <v>1843</v>
      </c>
      <c r="G38" s="125">
        <v>1596</v>
      </c>
      <c r="H38" s="133">
        <v>247</v>
      </c>
      <c r="I38" s="41">
        <v>2245</v>
      </c>
      <c r="J38" s="40">
        <v>0.95233853006681513</v>
      </c>
      <c r="K38" s="39">
        <v>0.82761692650334073</v>
      </c>
      <c r="L38" s="38">
        <v>0.12472160356347439</v>
      </c>
      <c r="M38" s="40">
        <v>0.82093541202672604</v>
      </c>
      <c r="N38" s="39">
        <v>0.71091314031180397</v>
      </c>
      <c r="O38" s="38">
        <v>0.11002227171492204</v>
      </c>
      <c r="P38" s="37"/>
      <c r="Q38" s="36"/>
      <c r="R38" s="35"/>
      <c r="S38" s="37"/>
      <c r="T38" s="36"/>
      <c r="U38" s="35"/>
    </row>
    <row r="39" spans="1:21" x14ac:dyDescent="0.2">
      <c r="A39" s="34"/>
      <c r="B39" s="33" t="s">
        <v>0</v>
      </c>
      <c r="C39" s="32">
        <v>2023</v>
      </c>
      <c r="D39" s="127">
        <v>1803</v>
      </c>
      <c r="E39" s="135">
        <v>220</v>
      </c>
      <c r="F39" s="32">
        <v>1842</v>
      </c>
      <c r="G39" s="127">
        <v>1641</v>
      </c>
      <c r="H39" s="135">
        <v>201</v>
      </c>
      <c r="I39" s="31">
        <v>2113</v>
      </c>
      <c r="J39" s="30">
        <v>0.9574065309985802</v>
      </c>
      <c r="K39" s="29">
        <v>0.85328916232844298</v>
      </c>
      <c r="L39" s="28">
        <v>0.10411736867013724</v>
      </c>
      <c r="M39" s="30">
        <v>0.87174633222905817</v>
      </c>
      <c r="N39" s="29">
        <v>0.77662091812588741</v>
      </c>
      <c r="O39" s="28">
        <v>9.5125414103170852E-2</v>
      </c>
      <c r="P39" s="27"/>
      <c r="Q39" s="26"/>
      <c r="R39" s="25"/>
      <c r="S39" s="27"/>
      <c r="T39" s="26"/>
      <c r="U39" s="25"/>
    </row>
    <row r="40" spans="1:21" x14ac:dyDescent="0.2">
      <c r="A40" s="83" t="s">
        <v>4</v>
      </c>
      <c r="B40" s="84" t="s">
        <v>2</v>
      </c>
      <c r="C40" s="48">
        <v>5650</v>
      </c>
      <c r="D40" s="126">
        <v>4736</v>
      </c>
      <c r="E40" s="134">
        <v>914</v>
      </c>
      <c r="F40" s="48">
        <v>4931</v>
      </c>
      <c r="G40" s="126">
        <v>4100</v>
      </c>
      <c r="H40" s="134">
        <v>831</v>
      </c>
      <c r="I40" s="47">
        <v>5834</v>
      </c>
      <c r="J40" s="46">
        <v>0.96846074734316079</v>
      </c>
      <c r="K40" s="85">
        <v>0.81179293794994856</v>
      </c>
      <c r="L40" s="87">
        <v>0.1566678093932122</v>
      </c>
      <c r="M40" s="46">
        <v>0.84521768940692488</v>
      </c>
      <c r="N40" s="85">
        <v>0.70277682550565646</v>
      </c>
      <c r="O40" s="87">
        <v>0.14244086390126842</v>
      </c>
      <c r="P40" s="45">
        <v>0.93337938309762203</v>
      </c>
      <c r="Q40" s="86">
        <v>0.9312521987931609</v>
      </c>
      <c r="R40" s="108">
        <v>0.94447523636143238</v>
      </c>
      <c r="S40" s="45">
        <v>0.99325725155728017</v>
      </c>
      <c r="T40" s="86">
        <v>1.001166581784783</v>
      </c>
      <c r="U40" s="108">
        <v>0.95511064278187563</v>
      </c>
    </row>
    <row r="41" spans="1:21" x14ac:dyDescent="0.2">
      <c r="A41" s="44"/>
      <c r="B41" s="43" t="s">
        <v>1</v>
      </c>
      <c r="C41" s="42">
        <v>2990</v>
      </c>
      <c r="D41" s="125">
        <v>2509</v>
      </c>
      <c r="E41" s="133">
        <v>481</v>
      </c>
      <c r="F41" s="42">
        <v>2533</v>
      </c>
      <c r="G41" s="125">
        <v>2098</v>
      </c>
      <c r="H41" s="133">
        <v>435</v>
      </c>
      <c r="I41" s="41">
        <v>2987</v>
      </c>
      <c r="J41" s="40">
        <v>1.0010043521928356</v>
      </c>
      <c r="K41" s="39">
        <v>0.83997321727485774</v>
      </c>
      <c r="L41" s="38">
        <v>0.16103113491797791</v>
      </c>
      <c r="M41" s="40">
        <v>0.84800803481754272</v>
      </c>
      <c r="N41" s="39">
        <v>0.70237696685637763</v>
      </c>
      <c r="O41" s="38">
        <v>0.14563106796116504</v>
      </c>
      <c r="P41" s="37"/>
      <c r="Q41" s="36"/>
      <c r="R41" s="35"/>
      <c r="S41" s="37"/>
      <c r="T41" s="36"/>
      <c r="U41" s="35"/>
    </row>
    <row r="42" spans="1:21" x14ac:dyDescent="0.2">
      <c r="A42" s="34"/>
      <c r="B42" s="33" t="s">
        <v>0</v>
      </c>
      <c r="C42" s="32">
        <v>2660</v>
      </c>
      <c r="D42" s="127">
        <v>2227</v>
      </c>
      <c r="E42" s="135">
        <v>433</v>
      </c>
      <c r="F42" s="32">
        <v>2398</v>
      </c>
      <c r="G42" s="127">
        <v>2002</v>
      </c>
      <c r="H42" s="135">
        <v>396</v>
      </c>
      <c r="I42" s="31">
        <v>2847</v>
      </c>
      <c r="J42" s="30">
        <v>0.93431682472778366</v>
      </c>
      <c r="K42" s="29">
        <v>0.78222690551457674</v>
      </c>
      <c r="L42" s="28">
        <v>0.15208991921320689</v>
      </c>
      <c r="M42" s="30">
        <v>0.84229012996136288</v>
      </c>
      <c r="N42" s="29">
        <v>0.70319634703196343</v>
      </c>
      <c r="O42" s="28">
        <v>0.13909378292939936</v>
      </c>
      <c r="P42" s="27"/>
      <c r="Q42" s="26"/>
      <c r="R42" s="25"/>
      <c r="S42" s="27"/>
      <c r="T42" s="26"/>
      <c r="U42" s="25"/>
    </row>
    <row r="43" spans="1:21" x14ac:dyDescent="0.2">
      <c r="A43" s="24" t="s">
        <v>3</v>
      </c>
      <c r="B43" s="23" t="s">
        <v>2</v>
      </c>
      <c r="C43" s="22">
        <v>104285</v>
      </c>
      <c r="D43" s="112">
        <v>94859</v>
      </c>
      <c r="E43" s="137">
        <v>9426</v>
      </c>
      <c r="F43" s="22">
        <v>85560</v>
      </c>
      <c r="G43" s="112">
        <v>77248</v>
      </c>
      <c r="H43" s="137">
        <v>8312</v>
      </c>
      <c r="I43" s="82">
        <v>109104</v>
      </c>
      <c r="J43" s="21">
        <v>0.95583113359730165</v>
      </c>
      <c r="K43" s="20">
        <v>0.86943650095321889</v>
      </c>
      <c r="L43" s="19">
        <v>8.6394632644082717E-2</v>
      </c>
      <c r="M43" s="21">
        <v>0.7842058952925649</v>
      </c>
      <c r="N43" s="20">
        <v>0.70802170406217924</v>
      </c>
      <c r="O43" s="19">
        <v>7.6184191230385681E-2</v>
      </c>
      <c r="P43" s="18">
        <v>0.99755341131431385</v>
      </c>
      <c r="Q43" s="17">
        <v>0.99899825971136258</v>
      </c>
      <c r="R43" s="16">
        <v>0.98312462714899651</v>
      </c>
      <c r="S43" s="18">
        <v>1.0589682345606879</v>
      </c>
      <c r="T43" s="17">
        <v>1.0634232869773734</v>
      </c>
      <c r="U43" s="16">
        <v>1.0184377154383721</v>
      </c>
    </row>
    <row r="44" spans="1:21" x14ac:dyDescent="0.2">
      <c r="A44" s="24"/>
      <c r="B44" s="23" t="s">
        <v>1</v>
      </c>
      <c r="C44" s="22">
        <v>53987</v>
      </c>
      <c r="D44" s="112">
        <v>49073</v>
      </c>
      <c r="E44" s="137">
        <v>4914</v>
      </c>
      <c r="F44" s="22">
        <v>43016</v>
      </c>
      <c r="G44" s="112">
        <v>38756</v>
      </c>
      <c r="H44" s="137">
        <v>4260</v>
      </c>
      <c r="I44" s="82">
        <v>56415</v>
      </c>
      <c r="J44" s="21">
        <v>0.95696180093946648</v>
      </c>
      <c r="K44" s="20">
        <v>0.86985730745369139</v>
      </c>
      <c r="L44" s="19">
        <v>8.7104493485775064E-2</v>
      </c>
      <c r="M44" s="21">
        <v>0.76249224497030932</v>
      </c>
      <c r="N44" s="20">
        <v>0.6869804130107241</v>
      </c>
      <c r="O44" s="19">
        <v>7.5511831959585218E-2</v>
      </c>
      <c r="P44" s="18"/>
      <c r="Q44" s="17"/>
      <c r="R44" s="16"/>
      <c r="S44" s="18"/>
      <c r="T44" s="17"/>
      <c r="U44" s="16"/>
    </row>
    <row r="45" spans="1:21" ht="12" thickBot="1" x14ac:dyDescent="0.25">
      <c r="A45" s="15"/>
      <c r="B45" s="14" t="s">
        <v>0</v>
      </c>
      <c r="C45" s="13">
        <v>50298</v>
      </c>
      <c r="D45" s="113">
        <v>45786</v>
      </c>
      <c r="E45" s="138">
        <v>4512</v>
      </c>
      <c r="F45" s="13">
        <v>42544</v>
      </c>
      <c r="G45" s="113">
        <v>38492</v>
      </c>
      <c r="H45" s="138">
        <v>4052</v>
      </c>
      <c r="I45" s="81">
        <v>52689</v>
      </c>
      <c r="J45" s="12">
        <v>0.95462050902465412</v>
      </c>
      <c r="K45" s="11">
        <v>0.86898593634344934</v>
      </c>
      <c r="L45" s="10">
        <v>8.5634572681204807E-2</v>
      </c>
      <c r="M45" s="12">
        <v>0.80745506652242405</v>
      </c>
      <c r="N45" s="11">
        <v>0.7305509688929378</v>
      </c>
      <c r="O45" s="10">
        <v>7.6904097629486232E-2</v>
      </c>
      <c r="P45" s="9"/>
      <c r="Q45" s="8"/>
      <c r="R45" s="7"/>
      <c r="S45" s="9"/>
      <c r="T45" s="8"/>
      <c r="U45" s="7"/>
    </row>
  </sheetData>
  <sheetProtection algorithmName="SHA-512" hashValue="OsXiXB0K/thAaKfXvmiJRQGYeTL2bAskDU9CsS9BG068qr1rq9VSZjYwpY11RB5BySeavaXyOymPt3xwxgV5aA==" saltValue="GLxhaV1brNpDgHeGrRX2ew==" spinCount="100000" sheet="1" objects="1" scenarios="1"/>
  <mergeCells count="11">
    <mergeCell ref="S6:U6"/>
    <mergeCell ref="A1:U1"/>
    <mergeCell ref="A2:U2"/>
    <mergeCell ref="A3:U3"/>
    <mergeCell ref="A4:U4"/>
    <mergeCell ref="A6:B7"/>
    <mergeCell ref="C6:E6"/>
    <mergeCell ref="F6:H6"/>
    <mergeCell ref="J6:L6"/>
    <mergeCell ref="M6:O6"/>
    <mergeCell ref="P6:R6"/>
  </mergeCells>
  <printOptions horizontalCentered="1"/>
  <pageMargins left="0" right="0" top="0" bottom="0" header="0" footer="0"/>
  <pageSetup paperSize="9" scale="75" orientation="landscape" horizontalDpi="300" verticalDpi="300" r:id="rId1"/>
  <headerFooter alignWithMargins="0">
    <oddFooter>&amp;L&amp;F&amp;R&amp;P</oddFooter>
  </headerFooter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6">
    <tabColor theme="8" tint="-0.249977111117893"/>
  </sheetPr>
  <dimension ref="A1:U45"/>
  <sheetViews>
    <sheetView showGridLines="0" zoomScaleNormal="100" workbookViewId="0">
      <pane xSplit="2" ySplit="7" topLeftCell="C8" activePane="bottomRight" state="frozen"/>
      <selection activeCell="C8" sqref="C8"/>
      <selection pane="topRight" activeCell="C8" sqref="C8"/>
      <selection pane="bottomLeft" activeCell="C8" sqref="C8"/>
      <selection pane="bottomRight" activeCell="C8" sqref="C8"/>
    </sheetView>
  </sheetViews>
  <sheetFormatPr defaultColWidth="9.140625" defaultRowHeight="11.25" x14ac:dyDescent="0.2"/>
  <cols>
    <col min="1" max="1" width="34" style="6" customWidth="1"/>
    <col min="2" max="2" width="10.7109375" style="1" customWidth="1"/>
    <col min="3" max="8" width="8.7109375" style="5" customWidth="1"/>
    <col min="9" max="9" width="9.28515625" style="5" customWidth="1"/>
    <col min="10" max="15" width="7.7109375" style="4" customWidth="1"/>
    <col min="16" max="19" width="7.28515625" style="3" customWidth="1"/>
    <col min="20" max="21" width="7.28515625" style="2" customWidth="1"/>
    <col min="22" max="16384" width="9.140625" style="1"/>
  </cols>
  <sheetData>
    <row r="1" spans="1:21" x14ac:dyDescent="0.2">
      <c r="A1" s="568" t="s">
        <v>23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568"/>
      <c r="O1" s="568"/>
      <c r="P1" s="568"/>
      <c r="Q1" s="568"/>
      <c r="R1" s="568"/>
      <c r="S1" s="568"/>
      <c r="T1" s="568"/>
      <c r="U1" s="568"/>
    </row>
    <row r="2" spans="1:21" x14ac:dyDescent="0.2">
      <c r="A2" s="569" t="s">
        <v>41</v>
      </c>
      <c r="B2" s="569"/>
      <c r="C2" s="569"/>
      <c r="D2" s="569"/>
      <c r="E2" s="569"/>
      <c r="F2" s="569"/>
      <c r="G2" s="569"/>
      <c r="H2" s="569"/>
      <c r="I2" s="569"/>
      <c r="J2" s="569"/>
      <c r="K2" s="569"/>
      <c r="L2" s="569"/>
      <c r="M2" s="569"/>
      <c r="N2" s="569"/>
      <c r="O2" s="569"/>
      <c r="P2" s="569"/>
      <c r="Q2" s="569"/>
      <c r="R2" s="569"/>
      <c r="S2" s="569"/>
      <c r="T2" s="569"/>
      <c r="U2" s="569"/>
    </row>
    <row r="3" spans="1:21" x14ac:dyDescent="0.2">
      <c r="A3" s="570" t="s">
        <v>47</v>
      </c>
      <c r="B3" s="570"/>
      <c r="C3" s="570"/>
      <c r="D3" s="570"/>
      <c r="E3" s="570"/>
      <c r="F3" s="570"/>
      <c r="G3" s="570"/>
      <c r="H3" s="570"/>
      <c r="I3" s="570"/>
      <c r="J3" s="570"/>
      <c r="K3" s="570"/>
      <c r="L3" s="570"/>
      <c r="M3" s="570"/>
      <c r="N3" s="570"/>
      <c r="O3" s="570"/>
      <c r="P3" s="570"/>
      <c r="Q3" s="570"/>
      <c r="R3" s="570"/>
      <c r="S3" s="570"/>
      <c r="T3" s="570"/>
      <c r="U3" s="570"/>
    </row>
    <row r="4" spans="1:21" x14ac:dyDescent="0.2">
      <c r="A4" s="571" t="s">
        <v>48</v>
      </c>
      <c r="B4" s="571"/>
      <c r="C4" s="571"/>
      <c r="D4" s="571"/>
      <c r="E4" s="571"/>
      <c r="F4" s="571"/>
      <c r="G4" s="571"/>
      <c r="H4" s="571"/>
      <c r="I4" s="571"/>
      <c r="J4" s="571"/>
      <c r="K4" s="571"/>
      <c r="L4" s="571"/>
      <c r="M4" s="571"/>
      <c r="N4" s="571"/>
      <c r="O4" s="571"/>
      <c r="P4" s="571"/>
      <c r="Q4" s="571"/>
      <c r="R4" s="571"/>
      <c r="S4" s="571"/>
      <c r="T4" s="571"/>
      <c r="U4" s="571"/>
    </row>
    <row r="5" spans="1:21" ht="12" thickBot="1" x14ac:dyDescent="0.25">
      <c r="A5" s="107"/>
      <c r="B5" s="109"/>
      <c r="C5" s="106"/>
      <c r="D5" s="105"/>
      <c r="E5" s="105"/>
      <c r="F5" s="106"/>
      <c r="G5" s="105"/>
      <c r="H5" s="105"/>
      <c r="I5" s="104"/>
      <c r="J5" s="103"/>
      <c r="K5" s="103"/>
      <c r="L5" s="103"/>
      <c r="M5" s="103"/>
      <c r="N5" s="103"/>
      <c r="O5" s="103"/>
      <c r="P5" s="102"/>
      <c r="Q5" s="102"/>
      <c r="R5" s="102"/>
      <c r="S5" s="101"/>
      <c r="T5" s="100"/>
      <c r="U5" s="100"/>
    </row>
    <row r="6" spans="1:21" ht="11.25" customHeight="1" x14ac:dyDescent="0.2">
      <c r="A6" s="572" t="s">
        <v>22</v>
      </c>
      <c r="B6" s="573"/>
      <c r="C6" s="576" t="s">
        <v>31</v>
      </c>
      <c r="D6" s="577"/>
      <c r="E6" s="578"/>
      <c r="F6" s="579" t="s">
        <v>32</v>
      </c>
      <c r="G6" s="577"/>
      <c r="H6" s="580"/>
      <c r="I6" s="99" t="s">
        <v>21</v>
      </c>
      <c r="J6" s="581" t="s">
        <v>33</v>
      </c>
      <c r="K6" s="566"/>
      <c r="L6" s="567"/>
      <c r="M6" s="565" t="s">
        <v>34</v>
      </c>
      <c r="N6" s="566"/>
      <c r="O6" s="582"/>
      <c r="P6" s="581" t="s">
        <v>20</v>
      </c>
      <c r="Q6" s="566"/>
      <c r="R6" s="567"/>
      <c r="S6" s="565" t="s">
        <v>19</v>
      </c>
      <c r="T6" s="566"/>
      <c r="U6" s="567"/>
    </row>
    <row r="7" spans="1:21" s="88" customFormat="1" ht="12" customHeight="1" thickBot="1" x14ac:dyDescent="0.25">
      <c r="A7" s="574"/>
      <c r="B7" s="575"/>
      <c r="C7" s="98" t="s">
        <v>6</v>
      </c>
      <c r="D7" s="111" t="s">
        <v>17</v>
      </c>
      <c r="E7" s="131" t="s">
        <v>16</v>
      </c>
      <c r="F7" s="97" t="s">
        <v>6</v>
      </c>
      <c r="G7" s="111" t="s">
        <v>17</v>
      </c>
      <c r="H7" s="141" t="s">
        <v>16</v>
      </c>
      <c r="I7" s="96" t="s">
        <v>25</v>
      </c>
      <c r="J7" s="95" t="s">
        <v>18</v>
      </c>
      <c r="K7" s="90" t="s">
        <v>17</v>
      </c>
      <c r="L7" s="89" t="s">
        <v>16</v>
      </c>
      <c r="M7" s="91" t="s">
        <v>18</v>
      </c>
      <c r="N7" s="90" t="s">
        <v>17</v>
      </c>
      <c r="O7" s="94" t="s">
        <v>16</v>
      </c>
      <c r="P7" s="93" t="s">
        <v>18</v>
      </c>
      <c r="Q7" s="90" t="s">
        <v>17</v>
      </c>
      <c r="R7" s="92" t="s">
        <v>16</v>
      </c>
      <c r="S7" s="91" t="s">
        <v>18</v>
      </c>
      <c r="T7" s="90" t="s">
        <v>17</v>
      </c>
      <c r="U7" s="89" t="s">
        <v>16</v>
      </c>
    </row>
    <row r="8" spans="1:21" x14ac:dyDescent="0.2">
      <c r="A8" s="80" t="s">
        <v>14</v>
      </c>
      <c r="B8" s="69"/>
      <c r="C8" s="79"/>
      <c r="D8" s="130"/>
      <c r="E8" s="140"/>
      <c r="F8" s="79"/>
      <c r="G8" s="130"/>
      <c r="H8" s="140"/>
      <c r="I8" s="79"/>
      <c r="J8" s="78"/>
      <c r="K8" s="77"/>
      <c r="L8" s="76"/>
      <c r="M8" s="78"/>
      <c r="N8" s="77"/>
      <c r="O8" s="76"/>
      <c r="P8" s="75"/>
      <c r="Q8" s="74"/>
      <c r="R8" s="73"/>
      <c r="S8" s="72"/>
      <c r="T8" s="71"/>
      <c r="U8" s="70"/>
    </row>
    <row r="9" spans="1:21" ht="12" thickBot="1" x14ac:dyDescent="0.25">
      <c r="A9" s="69"/>
      <c r="B9" s="69"/>
      <c r="C9" s="68"/>
      <c r="D9" s="129"/>
      <c r="E9" s="139"/>
      <c r="F9" s="68"/>
      <c r="G9" s="129"/>
      <c r="H9" s="139"/>
      <c r="I9" s="68"/>
      <c r="J9" s="67"/>
      <c r="K9" s="66"/>
      <c r="L9" s="65"/>
      <c r="M9" s="67"/>
      <c r="N9" s="66"/>
      <c r="O9" s="65"/>
      <c r="P9" s="64"/>
      <c r="Q9" s="63"/>
      <c r="R9" s="62"/>
      <c r="S9" s="61"/>
      <c r="T9" s="60"/>
      <c r="U9" s="59"/>
    </row>
    <row r="10" spans="1:21" x14ac:dyDescent="0.2">
      <c r="A10" s="58" t="s">
        <v>13</v>
      </c>
      <c r="B10" s="57" t="s">
        <v>2</v>
      </c>
      <c r="C10" s="56">
        <v>222340</v>
      </c>
      <c r="D10" s="124">
        <v>198245</v>
      </c>
      <c r="E10" s="132">
        <v>24095</v>
      </c>
      <c r="F10" s="56">
        <v>198977</v>
      </c>
      <c r="G10" s="124">
        <v>176285</v>
      </c>
      <c r="H10" s="132">
        <v>22692</v>
      </c>
      <c r="I10" s="55">
        <v>216865</v>
      </c>
      <c r="J10" s="54">
        <v>1.0252461208585986</v>
      </c>
      <c r="K10" s="53">
        <v>0.91414013326262877</v>
      </c>
      <c r="L10" s="52">
        <v>0.11110598759596985</v>
      </c>
      <c r="M10" s="54">
        <v>0.9175155050376963</v>
      </c>
      <c r="N10" s="53">
        <v>0.81287898001060566</v>
      </c>
      <c r="O10" s="52">
        <v>0.10463652502709059</v>
      </c>
      <c r="P10" s="51">
        <v>1.0017690973010944</v>
      </c>
      <c r="Q10" s="50">
        <v>1.0000522960968379</v>
      </c>
      <c r="R10" s="49">
        <v>1.0160029122911092</v>
      </c>
      <c r="S10" s="51">
        <v>1.0307175534777129</v>
      </c>
      <c r="T10" s="50">
        <v>1.0304071776230739</v>
      </c>
      <c r="U10" s="49">
        <v>1.0331318591425049</v>
      </c>
    </row>
    <row r="11" spans="1:21" x14ac:dyDescent="0.2">
      <c r="A11" s="44"/>
      <c r="B11" s="43" t="s">
        <v>1</v>
      </c>
      <c r="C11" s="42">
        <v>115077</v>
      </c>
      <c r="D11" s="125">
        <v>102691</v>
      </c>
      <c r="E11" s="133">
        <v>12386</v>
      </c>
      <c r="F11" s="42">
        <v>101569</v>
      </c>
      <c r="G11" s="125">
        <v>89999</v>
      </c>
      <c r="H11" s="133">
        <v>11570</v>
      </c>
      <c r="I11" s="41">
        <v>112339</v>
      </c>
      <c r="J11" s="40">
        <v>1.0243726577591041</v>
      </c>
      <c r="K11" s="39">
        <v>0.91411709201612978</v>
      </c>
      <c r="L11" s="38">
        <v>0.11025556574297439</v>
      </c>
      <c r="M11" s="40">
        <v>0.90412946527919957</v>
      </c>
      <c r="N11" s="39">
        <v>0.80113762807217437</v>
      </c>
      <c r="O11" s="38">
        <v>0.10299183720702516</v>
      </c>
      <c r="P11" s="37"/>
      <c r="Q11" s="36"/>
      <c r="R11" s="35"/>
      <c r="S11" s="37"/>
      <c r="T11" s="36"/>
      <c r="U11" s="35"/>
    </row>
    <row r="12" spans="1:21" x14ac:dyDescent="0.2">
      <c r="A12" s="34"/>
      <c r="B12" s="33" t="s">
        <v>0</v>
      </c>
      <c r="C12" s="42">
        <v>107263</v>
      </c>
      <c r="D12" s="125">
        <v>95554</v>
      </c>
      <c r="E12" s="133">
        <v>11709</v>
      </c>
      <c r="F12" s="42">
        <v>97408</v>
      </c>
      <c r="G12" s="125">
        <v>86286</v>
      </c>
      <c r="H12" s="133">
        <v>11122</v>
      </c>
      <c r="I12" s="41">
        <v>104526</v>
      </c>
      <c r="J12" s="30">
        <v>1.0261848726632607</v>
      </c>
      <c r="K12" s="29">
        <v>0.914164896772095</v>
      </c>
      <c r="L12" s="28">
        <v>0.11201997589116583</v>
      </c>
      <c r="M12" s="30">
        <v>0.93190211047968929</v>
      </c>
      <c r="N12" s="29">
        <v>0.82549796222949312</v>
      </c>
      <c r="O12" s="28">
        <v>0.10640414825019612</v>
      </c>
      <c r="P12" s="27"/>
      <c r="Q12" s="26"/>
      <c r="R12" s="25"/>
      <c r="S12" s="27"/>
      <c r="T12" s="26"/>
      <c r="U12" s="25"/>
    </row>
    <row r="13" spans="1:21" x14ac:dyDescent="0.2">
      <c r="A13" s="83" t="s">
        <v>46</v>
      </c>
      <c r="B13" s="84" t="s">
        <v>2</v>
      </c>
      <c r="C13" s="48">
        <v>100230</v>
      </c>
      <c r="D13" s="126">
        <v>97465</v>
      </c>
      <c r="E13" s="134">
        <v>2765</v>
      </c>
      <c r="F13" s="48">
        <v>91317</v>
      </c>
      <c r="G13" s="126">
        <v>88703</v>
      </c>
      <c r="H13" s="134">
        <v>2614</v>
      </c>
      <c r="I13" s="47">
        <v>104770</v>
      </c>
      <c r="J13" s="46">
        <v>0.9566669848239</v>
      </c>
      <c r="K13" s="85">
        <v>0.93027584232127514</v>
      </c>
      <c r="L13" s="87">
        <v>2.6391142502624799E-2</v>
      </c>
      <c r="M13" s="46">
        <v>0.87159492221055646</v>
      </c>
      <c r="N13" s="85">
        <v>0.8466450319748019</v>
      </c>
      <c r="O13" s="87">
        <v>2.4949890235754509E-2</v>
      </c>
      <c r="P13" s="45">
        <v>0.9859472257591344</v>
      </c>
      <c r="Q13" s="86">
        <v>0.98746261616448894</v>
      </c>
      <c r="R13" s="108">
        <v>0.93392087521649492</v>
      </c>
      <c r="S13" s="45">
        <v>1.0114601154986655</v>
      </c>
      <c r="T13" s="86">
        <v>1.0136810215669754</v>
      </c>
      <c r="U13" s="108">
        <v>0.9388052156863812</v>
      </c>
    </row>
    <row r="14" spans="1:21" x14ac:dyDescent="0.2">
      <c r="A14" s="44"/>
      <c r="B14" s="43" t="s">
        <v>1</v>
      </c>
      <c r="C14" s="42">
        <v>52150</v>
      </c>
      <c r="D14" s="125">
        <v>50674</v>
      </c>
      <c r="E14" s="133">
        <v>1476</v>
      </c>
      <c r="F14" s="42">
        <v>46930</v>
      </c>
      <c r="G14" s="125">
        <v>45538</v>
      </c>
      <c r="H14" s="133">
        <v>1392</v>
      </c>
      <c r="I14" s="41">
        <v>54142</v>
      </c>
      <c r="J14" s="40">
        <v>0.96320786081046139</v>
      </c>
      <c r="K14" s="39">
        <v>0.93594621550736956</v>
      </c>
      <c r="L14" s="38">
        <v>2.7261645303091869E-2</v>
      </c>
      <c r="M14" s="40">
        <v>0.86679472498245358</v>
      </c>
      <c r="N14" s="39">
        <v>0.84108455542831817</v>
      </c>
      <c r="O14" s="38">
        <v>2.5710169554135423E-2</v>
      </c>
      <c r="P14" s="37"/>
      <c r="Q14" s="36"/>
      <c r="R14" s="35"/>
      <c r="S14" s="37"/>
      <c r="T14" s="36"/>
      <c r="U14" s="35"/>
    </row>
    <row r="15" spans="1:21" x14ac:dyDescent="0.2">
      <c r="A15" s="34"/>
      <c r="B15" s="33" t="s">
        <v>0</v>
      </c>
      <c r="C15" s="32">
        <v>48080</v>
      </c>
      <c r="D15" s="127">
        <v>46791</v>
      </c>
      <c r="E15" s="135">
        <v>1289</v>
      </c>
      <c r="F15" s="32">
        <v>44387</v>
      </c>
      <c r="G15" s="127">
        <v>43165</v>
      </c>
      <c r="H15" s="135">
        <v>1222</v>
      </c>
      <c r="I15" s="31">
        <v>50628</v>
      </c>
      <c r="J15" s="30">
        <v>0.94967211819546493</v>
      </c>
      <c r="K15" s="29">
        <v>0.92421189855415975</v>
      </c>
      <c r="L15" s="28">
        <v>2.5460219641305206E-2</v>
      </c>
      <c r="M15" s="30">
        <v>0.87672829264438645</v>
      </c>
      <c r="N15" s="29">
        <v>0.85259145137078296</v>
      </c>
      <c r="O15" s="28">
        <v>2.4136841273603538E-2</v>
      </c>
      <c r="P15" s="27"/>
      <c r="Q15" s="26"/>
      <c r="R15" s="25"/>
      <c r="S15" s="27"/>
      <c r="T15" s="26"/>
      <c r="U15" s="25"/>
    </row>
    <row r="16" spans="1:21" x14ac:dyDescent="0.2">
      <c r="A16" s="83" t="s">
        <v>12</v>
      </c>
      <c r="B16" s="84" t="s">
        <v>2</v>
      </c>
      <c r="C16" s="48">
        <v>64953</v>
      </c>
      <c r="D16" s="126">
        <v>63265</v>
      </c>
      <c r="E16" s="134">
        <v>1688</v>
      </c>
      <c r="F16" s="48">
        <v>59231</v>
      </c>
      <c r="G16" s="126">
        <v>57595</v>
      </c>
      <c r="H16" s="134">
        <v>1636</v>
      </c>
      <c r="I16" s="47">
        <v>67771</v>
      </c>
      <c r="J16" s="46">
        <v>0.95841879269894203</v>
      </c>
      <c r="K16" s="85">
        <v>0.93351138392527777</v>
      </c>
      <c r="L16" s="87">
        <v>2.4907408773664253E-2</v>
      </c>
      <c r="M16" s="46">
        <v>0.87398739873987397</v>
      </c>
      <c r="N16" s="85">
        <v>0.84984727980994823</v>
      </c>
      <c r="O16" s="87">
        <v>2.4140118929925781E-2</v>
      </c>
      <c r="P16" s="45">
        <v>0.98337510201654299</v>
      </c>
      <c r="Q16" s="86">
        <v>0.98605633028599604</v>
      </c>
      <c r="R16" s="108">
        <v>0.88771834052105625</v>
      </c>
      <c r="S16" s="45">
        <v>1.0052828993402048</v>
      </c>
      <c r="T16" s="86">
        <v>1.0087095791841665</v>
      </c>
      <c r="U16" s="108">
        <v>0.89148857285531535</v>
      </c>
    </row>
    <row r="17" spans="1:21" x14ac:dyDescent="0.2">
      <c r="A17" s="44"/>
      <c r="B17" s="43" t="s">
        <v>1</v>
      </c>
      <c r="C17" s="42">
        <v>33669</v>
      </c>
      <c r="D17" s="125">
        <v>32751</v>
      </c>
      <c r="E17" s="133">
        <v>918</v>
      </c>
      <c r="F17" s="42">
        <v>30377</v>
      </c>
      <c r="G17" s="125">
        <v>29489</v>
      </c>
      <c r="H17" s="133">
        <v>888</v>
      </c>
      <c r="I17" s="41">
        <v>34846</v>
      </c>
      <c r="J17" s="40">
        <v>0.96622280893072376</v>
      </c>
      <c r="K17" s="39">
        <v>0.93987832175859498</v>
      </c>
      <c r="L17" s="38">
        <v>2.6344487172128794E-2</v>
      </c>
      <c r="M17" s="40">
        <v>0.8717499856511508</v>
      </c>
      <c r="N17" s="39">
        <v>0.84626642943235952</v>
      </c>
      <c r="O17" s="38">
        <v>2.5483556218791253E-2</v>
      </c>
      <c r="P17" s="37"/>
      <c r="Q17" s="36"/>
      <c r="R17" s="35"/>
      <c r="S17" s="37"/>
      <c r="T17" s="36"/>
      <c r="U17" s="35"/>
    </row>
    <row r="18" spans="1:21" x14ac:dyDescent="0.2">
      <c r="A18" s="34"/>
      <c r="B18" s="33" t="s">
        <v>0</v>
      </c>
      <c r="C18" s="32">
        <v>31284</v>
      </c>
      <c r="D18" s="127">
        <v>30514</v>
      </c>
      <c r="E18" s="135">
        <v>770</v>
      </c>
      <c r="F18" s="32">
        <v>28854</v>
      </c>
      <c r="G18" s="127">
        <v>28106</v>
      </c>
      <c r="H18" s="135">
        <v>748</v>
      </c>
      <c r="I18" s="31">
        <v>32925</v>
      </c>
      <c r="J18" s="30">
        <v>0.95015945330296125</v>
      </c>
      <c r="K18" s="29">
        <v>0.9267729688686408</v>
      </c>
      <c r="L18" s="28">
        <v>2.3386484434320426E-2</v>
      </c>
      <c r="M18" s="30">
        <v>0.87635535307517087</v>
      </c>
      <c r="N18" s="29">
        <v>0.85363705391040245</v>
      </c>
      <c r="O18" s="28">
        <v>2.2718299164768412E-2</v>
      </c>
      <c r="P18" s="27"/>
      <c r="Q18" s="26"/>
      <c r="R18" s="25"/>
      <c r="S18" s="27"/>
      <c r="T18" s="26"/>
      <c r="U18" s="25"/>
    </row>
    <row r="19" spans="1:21" x14ac:dyDescent="0.2">
      <c r="A19" s="83" t="s">
        <v>11</v>
      </c>
      <c r="B19" s="84" t="s">
        <v>2</v>
      </c>
      <c r="C19" s="48">
        <v>60891</v>
      </c>
      <c r="D19" s="126">
        <v>59832</v>
      </c>
      <c r="E19" s="134">
        <v>1059</v>
      </c>
      <c r="F19" s="48">
        <v>55856</v>
      </c>
      <c r="G19" s="126">
        <v>54882</v>
      </c>
      <c r="H19" s="134">
        <v>974</v>
      </c>
      <c r="I19" s="47">
        <v>63754</v>
      </c>
      <c r="J19" s="46">
        <v>0.95509301377168487</v>
      </c>
      <c r="K19" s="85">
        <v>0.93848229130721206</v>
      </c>
      <c r="L19" s="87">
        <v>1.6610722464472816E-2</v>
      </c>
      <c r="M19" s="46">
        <v>0.87611757693634906</v>
      </c>
      <c r="N19" s="85">
        <v>0.86084010415032786</v>
      </c>
      <c r="O19" s="87">
        <v>1.5277472786021269E-2</v>
      </c>
      <c r="P19" s="45">
        <v>0.99322161558311617</v>
      </c>
      <c r="Q19" s="86">
        <v>0.99279697292272673</v>
      </c>
      <c r="R19" s="108">
        <v>1.0175005401401278</v>
      </c>
      <c r="S19" s="45">
        <v>1.0161194049242579</v>
      </c>
      <c r="T19" s="86">
        <v>1.0162122711794006</v>
      </c>
      <c r="U19" s="108">
        <v>1.010899987734029</v>
      </c>
    </row>
    <row r="20" spans="1:21" x14ac:dyDescent="0.2">
      <c r="A20" s="44"/>
      <c r="B20" s="43" t="s">
        <v>1</v>
      </c>
      <c r="C20" s="42">
        <v>31589</v>
      </c>
      <c r="D20" s="125">
        <v>31046</v>
      </c>
      <c r="E20" s="133">
        <v>543</v>
      </c>
      <c r="F20" s="42">
        <v>28659</v>
      </c>
      <c r="G20" s="125">
        <v>28158</v>
      </c>
      <c r="H20" s="133">
        <v>501</v>
      </c>
      <c r="I20" s="41">
        <v>32966</v>
      </c>
      <c r="J20" s="40">
        <v>0.95822969119699086</v>
      </c>
      <c r="K20" s="39">
        <v>0.94175817508948612</v>
      </c>
      <c r="L20" s="38">
        <v>1.6471516107504702E-2</v>
      </c>
      <c r="M20" s="40">
        <v>0.86935023964084213</v>
      </c>
      <c r="N20" s="39">
        <v>0.85415276345325486</v>
      </c>
      <c r="O20" s="38">
        <v>1.5197476187587211E-2</v>
      </c>
      <c r="P20" s="37"/>
      <c r="Q20" s="36"/>
      <c r="R20" s="35"/>
      <c r="S20" s="37"/>
      <c r="T20" s="36"/>
      <c r="U20" s="35"/>
    </row>
    <row r="21" spans="1:21" x14ac:dyDescent="0.2">
      <c r="A21" s="34"/>
      <c r="B21" s="33" t="s">
        <v>0</v>
      </c>
      <c r="C21" s="32">
        <v>29302</v>
      </c>
      <c r="D21" s="127">
        <v>28786</v>
      </c>
      <c r="E21" s="135">
        <v>516</v>
      </c>
      <c r="F21" s="32">
        <v>27197</v>
      </c>
      <c r="G21" s="127">
        <v>26724</v>
      </c>
      <c r="H21" s="135">
        <v>473</v>
      </c>
      <c r="I21" s="31">
        <v>30788</v>
      </c>
      <c r="J21" s="30">
        <v>0.95173444199038582</v>
      </c>
      <c r="K21" s="29">
        <v>0.93497466545407304</v>
      </c>
      <c r="L21" s="28">
        <v>1.6759776536312849E-2</v>
      </c>
      <c r="M21" s="30">
        <v>0.88336364817461344</v>
      </c>
      <c r="N21" s="29">
        <v>0.86800051968299341</v>
      </c>
      <c r="O21" s="28">
        <v>1.5363128491620111E-2</v>
      </c>
      <c r="P21" s="27"/>
      <c r="Q21" s="26"/>
      <c r="R21" s="25"/>
      <c r="S21" s="27"/>
      <c r="T21" s="26"/>
      <c r="U21" s="25"/>
    </row>
    <row r="22" spans="1:21" x14ac:dyDescent="0.2">
      <c r="A22" s="83" t="s">
        <v>27</v>
      </c>
      <c r="B22" s="84" t="s">
        <v>2</v>
      </c>
      <c r="C22" s="48">
        <v>42242</v>
      </c>
      <c r="D22" s="126">
        <v>41917</v>
      </c>
      <c r="E22" s="134">
        <v>325</v>
      </c>
      <c r="F22" s="48">
        <v>36049</v>
      </c>
      <c r="G22" s="126">
        <v>35742</v>
      </c>
      <c r="H22" s="134">
        <v>307</v>
      </c>
      <c r="I22" s="47">
        <v>47682</v>
      </c>
      <c r="J22" s="46">
        <v>0.88591082588817582</v>
      </c>
      <c r="K22" s="85">
        <v>0.87909483662598042</v>
      </c>
      <c r="L22" s="87">
        <v>6.815989262195378E-3</v>
      </c>
      <c r="M22" s="46">
        <v>0.75602952896271125</v>
      </c>
      <c r="N22" s="85">
        <v>0.74959104064426829</v>
      </c>
      <c r="O22" s="87">
        <v>6.4384883184430185E-3</v>
      </c>
      <c r="P22" s="45">
        <v>0.98518498418652223</v>
      </c>
      <c r="Q22" s="86">
        <v>0.98735405389930808</v>
      </c>
      <c r="R22" s="108">
        <v>0.7396006280736297</v>
      </c>
      <c r="S22" s="45">
        <v>1.024134999583409</v>
      </c>
      <c r="T22" s="86">
        <v>1.0266887604261701</v>
      </c>
      <c r="U22" s="108">
        <v>0.76451707526338786</v>
      </c>
    </row>
    <row r="23" spans="1:21" x14ac:dyDescent="0.2">
      <c r="A23" s="44"/>
      <c r="B23" s="43" t="s">
        <v>1</v>
      </c>
      <c r="C23" s="42">
        <v>21702</v>
      </c>
      <c r="D23" s="125">
        <v>21512</v>
      </c>
      <c r="E23" s="133">
        <v>190</v>
      </c>
      <c r="F23" s="42">
        <v>18171</v>
      </c>
      <c r="G23" s="125">
        <v>17994</v>
      </c>
      <c r="H23" s="133">
        <v>177</v>
      </c>
      <c r="I23" s="41">
        <v>24319</v>
      </c>
      <c r="J23" s="40">
        <v>0.89238866729717503</v>
      </c>
      <c r="K23" s="39">
        <v>0.88457584604630124</v>
      </c>
      <c r="L23" s="38">
        <v>7.8128212508738019E-3</v>
      </c>
      <c r="M23" s="40">
        <v>0.74719355236646245</v>
      </c>
      <c r="N23" s="39">
        <v>0.73991529256959576</v>
      </c>
      <c r="O23" s="38">
        <v>7.2782597968666478E-3</v>
      </c>
      <c r="P23" s="37"/>
      <c r="Q23" s="36"/>
      <c r="R23" s="35"/>
      <c r="S23" s="37"/>
      <c r="T23" s="36"/>
      <c r="U23" s="35"/>
    </row>
    <row r="24" spans="1:21" x14ac:dyDescent="0.2">
      <c r="A24" s="34"/>
      <c r="B24" s="33" t="s">
        <v>0</v>
      </c>
      <c r="C24" s="32">
        <v>20540</v>
      </c>
      <c r="D24" s="127">
        <v>20405</v>
      </c>
      <c r="E24" s="135">
        <v>135</v>
      </c>
      <c r="F24" s="32">
        <v>17878</v>
      </c>
      <c r="G24" s="127">
        <v>17748</v>
      </c>
      <c r="H24" s="135">
        <v>130</v>
      </c>
      <c r="I24" s="31">
        <v>23363</v>
      </c>
      <c r="J24" s="30">
        <v>0.87916791507939906</v>
      </c>
      <c r="K24" s="29">
        <v>0.8733895475752258</v>
      </c>
      <c r="L24" s="28">
        <v>5.7783675041732652E-3</v>
      </c>
      <c r="M24" s="30">
        <v>0.76522706844155286</v>
      </c>
      <c r="N24" s="29">
        <v>0.75966271454864531</v>
      </c>
      <c r="O24" s="28">
        <v>5.5643538929075892E-3</v>
      </c>
      <c r="P24" s="27"/>
      <c r="Q24" s="26"/>
      <c r="R24" s="25"/>
      <c r="S24" s="27"/>
      <c r="T24" s="26"/>
      <c r="U24" s="25"/>
    </row>
    <row r="25" spans="1:21" x14ac:dyDescent="0.2">
      <c r="A25" s="83" t="s">
        <v>10</v>
      </c>
      <c r="B25" s="84" t="s">
        <v>2</v>
      </c>
      <c r="C25" s="48">
        <v>61164</v>
      </c>
      <c r="D25" s="126">
        <v>60184</v>
      </c>
      <c r="E25" s="134">
        <v>980</v>
      </c>
      <c r="F25" s="48">
        <v>54207</v>
      </c>
      <c r="G25" s="126">
        <v>53285</v>
      </c>
      <c r="H25" s="134">
        <v>922</v>
      </c>
      <c r="I25" s="47">
        <v>60934</v>
      </c>
      <c r="J25" s="46">
        <v>1.0037745757705059</v>
      </c>
      <c r="K25" s="85">
        <v>0.98769160074835072</v>
      </c>
      <c r="L25" s="87">
        <v>1.6082975022155117E-2</v>
      </c>
      <c r="M25" s="46">
        <v>0.88960186431220667</v>
      </c>
      <c r="N25" s="85">
        <v>0.87447073883217907</v>
      </c>
      <c r="O25" s="87">
        <v>1.513112548002757E-2</v>
      </c>
      <c r="P25" s="45">
        <v>0.97034728209209287</v>
      </c>
      <c r="Q25" s="86">
        <v>0.97095290903052467</v>
      </c>
      <c r="R25" s="108">
        <v>0.93383413859289155</v>
      </c>
      <c r="S25" s="45">
        <v>1.009390797925501</v>
      </c>
      <c r="T25" s="86">
        <v>1.0099771622525269</v>
      </c>
      <c r="U25" s="108">
        <v>0.97605842911877394</v>
      </c>
    </row>
    <row r="26" spans="1:21" x14ac:dyDescent="0.2">
      <c r="A26" s="44"/>
      <c r="B26" s="43" t="s">
        <v>1</v>
      </c>
      <c r="C26" s="42">
        <v>31932</v>
      </c>
      <c r="D26" s="125">
        <v>31411</v>
      </c>
      <c r="E26" s="133">
        <v>521</v>
      </c>
      <c r="F26" s="42">
        <v>27766</v>
      </c>
      <c r="G26" s="125">
        <v>27286</v>
      </c>
      <c r="H26" s="133">
        <v>480</v>
      </c>
      <c r="I26" s="41">
        <v>31354</v>
      </c>
      <c r="J26" s="40">
        <v>1.0184346494865089</v>
      </c>
      <c r="K26" s="39">
        <v>1.0018179498628563</v>
      </c>
      <c r="L26" s="38">
        <v>1.6616699623652486E-2</v>
      </c>
      <c r="M26" s="40">
        <v>0.88556484021177517</v>
      </c>
      <c r="N26" s="39">
        <v>0.87025578873508957</v>
      </c>
      <c r="O26" s="38">
        <v>1.5309051476685591E-2</v>
      </c>
      <c r="P26" s="37"/>
      <c r="Q26" s="36"/>
      <c r="R26" s="35"/>
      <c r="S26" s="37"/>
      <c r="T26" s="36"/>
      <c r="U26" s="35"/>
    </row>
    <row r="27" spans="1:21" x14ac:dyDescent="0.2">
      <c r="A27" s="34"/>
      <c r="B27" s="33" t="s">
        <v>0</v>
      </c>
      <c r="C27" s="32">
        <v>29232</v>
      </c>
      <c r="D27" s="127">
        <v>28773</v>
      </c>
      <c r="E27" s="135">
        <v>459</v>
      </c>
      <c r="F27" s="32">
        <v>26441</v>
      </c>
      <c r="G27" s="127">
        <v>25999</v>
      </c>
      <c r="H27" s="135">
        <v>442</v>
      </c>
      <c r="I27" s="31">
        <v>29580</v>
      </c>
      <c r="J27" s="30">
        <v>0.9882352941176471</v>
      </c>
      <c r="K27" s="29">
        <v>0.97271805273833667</v>
      </c>
      <c r="L27" s="28">
        <v>1.5517241379310345E-2</v>
      </c>
      <c r="M27" s="30">
        <v>0.89388100067613252</v>
      </c>
      <c r="N27" s="29">
        <v>0.87893847194050034</v>
      </c>
      <c r="O27" s="28">
        <v>1.4942528735632184E-2</v>
      </c>
      <c r="P27" s="27"/>
      <c r="Q27" s="26"/>
      <c r="R27" s="25"/>
      <c r="S27" s="27"/>
      <c r="T27" s="26"/>
      <c r="U27" s="25"/>
    </row>
    <row r="28" spans="1:21" x14ac:dyDescent="0.2">
      <c r="A28" s="83" t="s">
        <v>9</v>
      </c>
      <c r="B28" s="84" t="s">
        <v>2</v>
      </c>
      <c r="C28" s="48">
        <v>24269</v>
      </c>
      <c r="D28" s="126">
        <v>22576</v>
      </c>
      <c r="E28" s="134">
        <v>1693</v>
      </c>
      <c r="F28" s="48">
        <v>22176</v>
      </c>
      <c r="G28" s="126">
        <v>20572</v>
      </c>
      <c r="H28" s="134">
        <v>1604</v>
      </c>
      <c r="I28" s="47">
        <v>23053</v>
      </c>
      <c r="J28" s="46">
        <v>1.0527480154426756</v>
      </c>
      <c r="K28" s="85">
        <v>0.97930854986335836</v>
      </c>
      <c r="L28" s="87">
        <v>7.3439465579317229E-2</v>
      </c>
      <c r="M28" s="46">
        <v>0.96195722899405722</v>
      </c>
      <c r="N28" s="85">
        <v>0.8923784323081595</v>
      </c>
      <c r="O28" s="87">
        <v>6.9578796685897712E-2</v>
      </c>
      <c r="P28" s="45">
        <v>0.99973621396706969</v>
      </c>
      <c r="Q28" s="86">
        <v>1.00386876754939</v>
      </c>
      <c r="R28" s="108">
        <v>0.94614500424039327</v>
      </c>
      <c r="S28" s="45">
        <v>1.024639131122602</v>
      </c>
      <c r="T28" s="86">
        <v>1.0301580542151414</v>
      </c>
      <c r="U28" s="108">
        <v>0.95631666849218289</v>
      </c>
    </row>
    <row r="29" spans="1:21" x14ac:dyDescent="0.2">
      <c r="A29" s="44"/>
      <c r="B29" s="43" t="s">
        <v>1</v>
      </c>
      <c r="C29" s="42">
        <v>12683</v>
      </c>
      <c r="D29" s="125">
        <v>11775</v>
      </c>
      <c r="E29" s="133">
        <v>908</v>
      </c>
      <c r="F29" s="42">
        <v>11453</v>
      </c>
      <c r="G29" s="125">
        <v>10597</v>
      </c>
      <c r="H29" s="133">
        <v>856</v>
      </c>
      <c r="I29" s="41">
        <v>12046</v>
      </c>
      <c r="J29" s="40">
        <v>1.0528806242736177</v>
      </c>
      <c r="K29" s="39">
        <v>0.97750290552880625</v>
      </c>
      <c r="L29" s="38">
        <v>7.5377718744811556E-2</v>
      </c>
      <c r="M29" s="40">
        <v>0.9507720405113731</v>
      </c>
      <c r="N29" s="39">
        <v>0.87971110742155068</v>
      </c>
      <c r="O29" s="38">
        <v>7.1060933089822351E-2</v>
      </c>
      <c r="P29" s="37"/>
      <c r="Q29" s="36"/>
      <c r="R29" s="35"/>
      <c r="S29" s="37"/>
      <c r="T29" s="36"/>
      <c r="U29" s="35"/>
    </row>
    <row r="30" spans="1:21" x14ac:dyDescent="0.2">
      <c r="A30" s="34"/>
      <c r="B30" s="33" t="s">
        <v>0</v>
      </c>
      <c r="C30" s="32">
        <v>11586</v>
      </c>
      <c r="D30" s="127">
        <v>10801</v>
      </c>
      <c r="E30" s="135">
        <v>785</v>
      </c>
      <c r="F30" s="32">
        <v>10723</v>
      </c>
      <c r="G30" s="127">
        <v>9975</v>
      </c>
      <c r="H30" s="135">
        <v>748</v>
      </c>
      <c r="I30" s="31">
        <v>11007</v>
      </c>
      <c r="J30" s="30">
        <v>1.0526028890705914</v>
      </c>
      <c r="K30" s="29">
        <v>0.98128463704915059</v>
      </c>
      <c r="L30" s="28">
        <v>7.1318252021440903E-2</v>
      </c>
      <c r="M30" s="30">
        <v>0.97419823748523671</v>
      </c>
      <c r="N30" s="29">
        <v>0.90624148269283178</v>
      </c>
      <c r="O30" s="28">
        <v>6.795675479240483E-2</v>
      </c>
      <c r="P30" s="27"/>
      <c r="Q30" s="26"/>
      <c r="R30" s="25"/>
      <c r="S30" s="27"/>
      <c r="T30" s="26"/>
      <c r="U30" s="25"/>
    </row>
    <row r="31" spans="1:21" x14ac:dyDescent="0.2">
      <c r="A31" s="83" t="s">
        <v>8</v>
      </c>
      <c r="B31" s="84" t="s">
        <v>2</v>
      </c>
      <c r="C31" s="48">
        <v>15376</v>
      </c>
      <c r="D31" s="126">
        <v>14982</v>
      </c>
      <c r="E31" s="134">
        <v>394</v>
      </c>
      <c r="F31" s="48">
        <v>14094</v>
      </c>
      <c r="G31" s="126">
        <v>13722</v>
      </c>
      <c r="H31" s="134">
        <v>372</v>
      </c>
      <c r="I31" s="47">
        <v>14965</v>
      </c>
      <c r="J31" s="46">
        <v>1.0274640828600068</v>
      </c>
      <c r="K31" s="85">
        <v>1.0011359839625793</v>
      </c>
      <c r="L31" s="87">
        <v>2.6328098897427332E-2</v>
      </c>
      <c r="M31" s="46">
        <v>0.94179752756431678</v>
      </c>
      <c r="N31" s="85">
        <v>0.9169395255596392</v>
      </c>
      <c r="O31" s="87">
        <v>2.4858002004677582E-2</v>
      </c>
      <c r="P31" s="45">
        <v>0.97493012370279175</v>
      </c>
      <c r="Q31" s="86">
        <v>0.98507772879327682</v>
      </c>
      <c r="R31" s="108">
        <v>0.65191189117083437</v>
      </c>
      <c r="S31" s="45">
        <v>1.0044763138174513</v>
      </c>
      <c r="T31" s="86">
        <v>1.0156593182145566</v>
      </c>
      <c r="U31" s="108">
        <v>0.66219824473748923</v>
      </c>
    </row>
    <row r="32" spans="1:21" x14ac:dyDescent="0.2">
      <c r="A32" s="44"/>
      <c r="B32" s="43" t="s">
        <v>1</v>
      </c>
      <c r="C32" s="42">
        <v>8011</v>
      </c>
      <c r="D32" s="125">
        <v>7767</v>
      </c>
      <c r="E32" s="133">
        <v>244</v>
      </c>
      <c r="F32" s="42">
        <v>7238</v>
      </c>
      <c r="G32" s="125">
        <v>7009</v>
      </c>
      <c r="H32" s="133">
        <v>229</v>
      </c>
      <c r="I32" s="41">
        <v>7702</v>
      </c>
      <c r="J32" s="40">
        <v>1.0401194494936381</v>
      </c>
      <c r="K32" s="39">
        <v>1.0084393663983382</v>
      </c>
      <c r="L32" s="38">
        <v>3.1680083095299925E-2</v>
      </c>
      <c r="M32" s="40">
        <v>0.93975590755647886</v>
      </c>
      <c r="N32" s="39">
        <v>0.91002337055310312</v>
      </c>
      <c r="O32" s="38">
        <v>2.9732537003375747E-2</v>
      </c>
      <c r="P32" s="37"/>
      <c r="Q32" s="36"/>
      <c r="R32" s="35"/>
      <c r="S32" s="37"/>
      <c r="T32" s="36"/>
      <c r="U32" s="35"/>
    </row>
    <row r="33" spans="1:21" x14ac:dyDescent="0.2">
      <c r="A33" s="34"/>
      <c r="B33" s="33" t="s">
        <v>0</v>
      </c>
      <c r="C33" s="32">
        <v>7365</v>
      </c>
      <c r="D33" s="127">
        <v>7215</v>
      </c>
      <c r="E33" s="135">
        <v>150</v>
      </c>
      <c r="F33" s="32">
        <v>6856</v>
      </c>
      <c r="G33" s="127">
        <v>6713</v>
      </c>
      <c r="H33" s="135">
        <v>143</v>
      </c>
      <c r="I33" s="31">
        <v>7263</v>
      </c>
      <c r="J33" s="30">
        <v>1.0140437835605123</v>
      </c>
      <c r="K33" s="29">
        <v>0.99339116067740607</v>
      </c>
      <c r="L33" s="28">
        <v>2.0652622883106153E-2</v>
      </c>
      <c r="M33" s="30">
        <v>0.94396254991050532</v>
      </c>
      <c r="N33" s="29">
        <v>0.92427371609527742</v>
      </c>
      <c r="O33" s="28">
        <v>1.9688833815227867E-2</v>
      </c>
      <c r="P33" s="27"/>
      <c r="Q33" s="26"/>
      <c r="R33" s="25"/>
      <c r="S33" s="27"/>
      <c r="T33" s="26"/>
      <c r="U33" s="25"/>
    </row>
    <row r="34" spans="1:21" x14ac:dyDescent="0.2">
      <c r="A34" s="83" t="s">
        <v>7</v>
      </c>
      <c r="B34" s="84" t="s">
        <v>2</v>
      </c>
      <c r="C34" s="48">
        <v>21488</v>
      </c>
      <c r="D34" s="126">
        <v>20119</v>
      </c>
      <c r="E34" s="134">
        <v>1369</v>
      </c>
      <c r="F34" s="48">
        <v>19067</v>
      </c>
      <c r="G34" s="126">
        <v>17762</v>
      </c>
      <c r="H34" s="134">
        <v>1305</v>
      </c>
      <c r="I34" s="47">
        <v>20058</v>
      </c>
      <c r="J34" s="46">
        <v>1.0712932495762288</v>
      </c>
      <c r="K34" s="85">
        <v>1.0030411805763286</v>
      </c>
      <c r="L34" s="87">
        <v>6.8252068999900287E-2</v>
      </c>
      <c r="M34" s="46">
        <v>0.95059327948948047</v>
      </c>
      <c r="N34" s="85">
        <v>0.88553195732376111</v>
      </c>
      <c r="O34" s="87">
        <v>6.5061322165719415E-2</v>
      </c>
      <c r="P34" s="45">
        <v>0.96752056355730676</v>
      </c>
      <c r="Q34" s="86">
        <v>0.96716396867820253</v>
      </c>
      <c r="R34" s="108">
        <v>0.9727756987798849</v>
      </c>
      <c r="S34" s="45">
        <v>1.0059258814084608</v>
      </c>
      <c r="T34" s="86">
        <v>1.0066426022368677</v>
      </c>
      <c r="U34" s="108">
        <v>0.99622019771273507</v>
      </c>
    </row>
    <row r="35" spans="1:21" x14ac:dyDescent="0.2">
      <c r="A35" s="44"/>
      <c r="B35" s="43" t="s">
        <v>1</v>
      </c>
      <c r="C35" s="42">
        <v>11189</v>
      </c>
      <c r="D35" s="125">
        <v>10478</v>
      </c>
      <c r="E35" s="133">
        <v>711</v>
      </c>
      <c r="F35" s="42">
        <v>9743</v>
      </c>
      <c r="G35" s="125">
        <v>9073</v>
      </c>
      <c r="H35" s="133">
        <v>670</v>
      </c>
      <c r="I35" s="41">
        <v>10279</v>
      </c>
      <c r="J35" s="40">
        <v>1.0885300126471447</v>
      </c>
      <c r="K35" s="39">
        <v>1.0193598599085514</v>
      </c>
      <c r="L35" s="38">
        <v>6.9170152738593255E-2</v>
      </c>
      <c r="M35" s="40">
        <v>0.94785484969354994</v>
      </c>
      <c r="N35" s="39">
        <v>0.88267341181048742</v>
      </c>
      <c r="O35" s="38">
        <v>6.5181437883062548E-2</v>
      </c>
      <c r="P35" s="37"/>
      <c r="Q35" s="36"/>
      <c r="R35" s="35"/>
      <c r="S35" s="37"/>
      <c r="T35" s="36"/>
      <c r="U35" s="35"/>
    </row>
    <row r="36" spans="1:21" x14ac:dyDescent="0.2">
      <c r="A36" s="34"/>
      <c r="B36" s="33" t="s">
        <v>0</v>
      </c>
      <c r="C36" s="32">
        <v>10299</v>
      </c>
      <c r="D36" s="127">
        <v>9641</v>
      </c>
      <c r="E36" s="135">
        <v>658</v>
      </c>
      <c r="F36" s="32">
        <v>9324</v>
      </c>
      <c r="G36" s="127">
        <v>8689</v>
      </c>
      <c r="H36" s="135">
        <v>635</v>
      </c>
      <c r="I36" s="31">
        <v>9779</v>
      </c>
      <c r="J36" s="30">
        <v>1.0531751712854076</v>
      </c>
      <c r="K36" s="29">
        <v>0.98588812762041111</v>
      </c>
      <c r="L36" s="28">
        <v>6.7287043664996424E-2</v>
      </c>
      <c r="M36" s="30">
        <v>0.95347172512526845</v>
      </c>
      <c r="N36" s="29">
        <v>0.8885366601902035</v>
      </c>
      <c r="O36" s="28">
        <v>6.4935064935064929E-2</v>
      </c>
      <c r="P36" s="27"/>
      <c r="Q36" s="26"/>
      <c r="R36" s="25"/>
      <c r="S36" s="27"/>
      <c r="T36" s="26"/>
      <c r="U36" s="25"/>
    </row>
    <row r="37" spans="1:21" x14ac:dyDescent="0.2">
      <c r="A37" s="83" t="s">
        <v>5</v>
      </c>
      <c r="B37" s="84" t="s">
        <v>2</v>
      </c>
      <c r="C37" s="48">
        <v>27441</v>
      </c>
      <c r="D37" s="126">
        <v>25216</v>
      </c>
      <c r="E37" s="134">
        <v>2225</v>
      </c>
      <c r="F37" s="48">
        <v>25380</v>
      </c>
      <c r="G37" s="126">
        <v>23249</v>
      </c>
      <c r="H37" s="134">
        <v>2131</v>
      </c>
      <c r="I37" s="47">
        <v>26553</v>
      </c>
      <c r="J37" s="46">
        <v>1.0334425488645351</v>
      </c>
      <c r="K37" s="85">
        <v>0.9496478740631944</v>
      </c>
      <c r="L37" s="87">
        <v>8.3794674801340716E-2</v>
      </c>
      <c r="M37" s="46">
        <v>0.95582420065529317</v>
      </c>
      <c r="N37" s="85">
        <v>0.87556961548600909</v>
      </c>
      <c r="O37" s="87">
        <v>8.0254585169284076E-2</v>
      </c>
      <c r="P37" s="45">
        <v>1.0000911184309389</v>
      </c>
      <c r="Q37" s="86">
        <v>1.0042144335500169</v>
      </c>
      <c r="R37" s="108">
        <v>0.9544879580541259</v>
      </c>
      <c r="S37" s="45">
        <v>1.0157065768872535</v>
      </c>
      <c r="T37" s="86">
        <v>1.0205257588929733</v>
      </c>
      <c r="U37" s="108">
        <v>0.96454544917272078</v>
      </c>
    </row>
    <row r="38" spans="1:21" x14ac:dyDescent="0.2">
      <c r="A38" s="44"/>
      <c r="B38" s="43" t="s">
        <v>1</v>
      </c>
      <c r="C38" s="42">
        <v>14110</v>
      </c>
      <c r="D38" s="125">
        <v>12940</v>
      </c>
      <c r="E38" s="133">
        <v>1170</v>
      </c>
      <c r="F38" s="42">
        <v>12952</v>
      </c>
      <c r="G38" s="125">
        <v>11837</v>
      </c>
      <c r="H38" s="133">
        <v>1115</v>
      </c>
      <c r="I38" s="41">
        <v>13654</v>
      </c>
      <c r="J38" s="40">
        <v>1.0333968067965431</v>
      </c>
      <c r="K38" s="39">
        <v>0.9477076314633075</v>
      </c>
      <c r="L38" s="38">
        <v>8.5689175333235681E-2</v>
      </c>
      <c r="M38" s="40">
        <v>0.94858649480005863</v>
      </c>
      <c r="N38" s="39">
        <v>0.86692544309359898</v>
      </c>
      <c r="O38" s="38">
        <v>8.1661051706459639E-2</v>
      </c>
      <c r="P38" s="37"/>
      <c r="Q38" s="36"/>
      <c r="R38" s="35"/>
      <c r="S38" s="37"/>
      <c r="T38" s="36"/>
      <c r="U38" s="35"/>
    </row>
    <row r="39" spans="1:21" x14ac:dyDescent="0.2">
      <c r="A39" s="34"/>
      <c r="B39" s="33" t="s">
        <v>0</v>
      </c>
      <c r="C39" s="32">
        <v>13331</v>
      </c>
      <c r="D39" s="127">
        <v>12276</v>
      </c>
      <c r="E39" s="135">
        <v>1055</v>
      </c>
      <c r="F39" s="32">
        <v>12428</v>
      </c>
      <c r="G39" s="127">
        <v>11412</v>
      </c>
      <c r="H39" s="135">
        <v>1016</v>
      </c>
      <c r="I39" s="31">
        <v>12899</v>
      </c>
      <c r="J39" s="30">
        <v>1.0334909682921156</v>
      </c>
      <c r="K39" s="29">
        <v>0.95170168230095353</v>
      </c>
      <c r="L39" s="28">
        <v>8.17892859911621E-2</v>
      </c>
      <c r="M39" s="30">
        <v>0.96348554151484611</v>
      </c>
      <c r="N39" s="29">
        <v>0.88471974571672218</v>
      </c>
      <c r="O39" s="28">
        <v>7.8765795798123886E-2</v>
      </c>
      <c r="P39" s="27"/>
      <c r="Q39" s="26"/>
      <c r="R39" s="25"/>
      <c r="S39" s="27"/>
      <c r="T39" s="26"/>
      <c r="U39" s="25"/>
    </row>
    <row r="40" spans="1:21" x14ac:dyDescent="0.2">
      <c r="A40" s="83" t="s">
        <v>4</v>
      </c>
      <c r="B40" s="84" t="s">
        <v>2</v>
      </c>
      <c r="C40" s="48">
        <v>35612</v>
      </c>
      <c r="D40" s="126">
        <v>32502</v>
      </c>
      <c r="E40" s="134">
        <v>3110</v>
      </c>
      <c r="F40" s="48">
        <v>32729</v>
      </c>
      <c r="G40" s="126">
        <v>29750</v>
      </c>
      <c r="H40" s="134">
        <v>2979</v>
      </c>
      <c r="I40" s="47">
        <v>36222</v>
      </c>
      <c r="J40" s="46">
        <v>0.98315940588592565</v>
      </c>
      <c r="K40" s="85">
        <v>0.89729998343548123</v>
      </c>
      <c r="L40" s="87">
        <v>8.5859422450444478E-2</v>
      </c>
      <c r="M40" s="46">
        <v>0.90356689304842364</v>
      </c>
      <c r="N40" s="85">
        <v>0.82132405720280488</v>
      </c>
      <c r="O40" s="87">
        <v>8.2242835845618686E-2</v>
      </c>
      <c r="P40" s="45">
        <v>0.9882426998430387</v>
      </c>
      <c r="Q40" s="86">
        <v>0.98641793465377425</v>
      </c>
      <c r="R40" s="108">
        <v>1.0075099722594154</v>
      </c>
      <c r="S40" s="45">
        <v>1.0127415236822765</v>
      </c>
      <c r="T40" s="86">
        <v>1.0117709306783635</v>
      </c>
      <c r="U40" s="108">
        <v>1.0224846608557279</v>
      </c>
    </row>
    <row r="41" spans="1:21" x14ac:dyDescent="0.2">
      <c r="A41" s="44"/>
      <c r="B41" s="43" t="s">
        <v>1</v>
      </c>
      <c r="C41" s="42">
        <v>18390</v>
      </c>
      <c r="D41" s="125">
        <v>16799</v>
      </c>
      <c r="E41" s="133">
        <v>1591</v>
      </c>
      <c r="F41" s="42">
        <v>16701</v>
      </c>
      <c r="G41" s="125">
        <v>15188</v>
      </c>
      <c r="H41" s="133">
        <v>1513</v>
      </c>
      <c r="I41" s="41">
        <v>18598</v>
      </c>
      <c r="J41" s="40">
        <v>0.98881600172061512</v>
      </c>
      <c r="K41" s="39">
        <v>0.90326916872782015</v>
      </c>
      <c r="L41" s="38">
        <v>8.5546832992794919E-2</v>
      </c>
      <c r="M41" s="40">
        <v>0.89799978492311006</v>
      </c>
      <c r="N41" s="39">
        <v>0.81664695128508447</v>
      </c>
      <c r="O41" s="38">
        <v>8.135283363802559E-2</v>
      </c>
      <c r="P41" s="37"/>
      <c r="Q41" s="36"/>
      <c r="R41" s="35"/>
      <c r="S41" s="37"/>
      <c r="T41" s="36"/>
      <c r="U41" s="35"/>
    </row>
    <row r="42" spans="1:21" x14ac:dyDescent="0.2">
      <c r="A42" s="34"/>
      <c r="B42" s="33" t="s">
        <v>0</v>
      </c>
      <c r="C42" s="32">
        <v>17222</v>
      </c>
      <c r="D42" s="127">
        <v>15703</v>
      </c>
      <c r="E42" s="135">
        <v>1519</v>
      </c>
      <c r="F42" s="32">
        <v>16028</v>
      </c>
      <c r="G42" s="127">
        <v>14562</v>
      </c>
      <c r="H42" s="135">
        <v>1466</v>
      </c>
      <c r="I42" s="31">
        <v>17624</v>
      </c>
      <c r="J42" s="30">
        <v>0.97719019518837946</v>
      </c>
      <c r="K42" s="29">
        <v>0.89100090785292785</v>
      </c>
      <c r="L42" s="28">
        <v>8.6189287335451656E-2</v>
      </c>
      <c r="M42" s="30">
        <v>0.90944167044938717</v>
      </c>
      <c r="N42" s="29">
        <v>0.82625964593735812</v>
      </c>
      <c r="O42" s="28">
        <v>8.3182024512029051E-2</v>
      </c>
      <c r="P42" s="27"/>
      <c r="Q42" s="26"/>
      <c r="R42" s="25"/>
      <c r="S42" s="27"/>
      <c r="T42" s="26"/>
      <c r="U42" s="25"/>
    </row>
    <row r="43" spans="1:21" x14ac:dyDescent="0.2">
      <c r="A43" s="24" t="s">
        <v>3</v>
      </c>
      <c r="B43" s="23" t="s">
        <v>2</v>
      </c>
      <c r="C43" s="22">
        <v>676006</v>
      </c>
      <c r="D43" s="112">
        <v>636303</v>
      </c>
      <c r="E43" s="137">
        <v>39703</v>
      </c>
      <c r="F43" s="22">
        <v>609083</v>
      </c>
      <c r="G43" s="112">
        <v>571547</v>
      </c>
      <c r="H43" s="137">
        <v>37536</v>
      </c>
      <c r="I43" s="82">
        <v>682627</v>
      </c>
      <c r="J43" s="21">
        <v>0.99030070594922259</v>
      </c>
      <c r="K43" s="20">
        <v>0.93213863500857719</v>
      </c>
      <c r="L43" s="19">
        <v>5.8162070940645474E-2</v>
      </c>
      <c r="M43" s="21">
        <v>0.89226327115686899</v>
      </c>
      <c r="N43" s="20">
        <v>0.83727570107833416</v>
      </c>
      <c r="O43" s="19">
        <v>5.4987570078534838E-2</v>
      </c>
      <c r="P43" s="18">
        <v>0.99013471756498495</v>
      </c>
      <c r="Q43" s="17">
        <v>0.99058614849453663</v>
      </c>
      <c r="R43" s="16">
        <v>0.98292676986786864</v>
      </c>
      <c r="S43" s="18">
        <v>1.0181462410627342</v>
      </c>
      <c r="T43" s="17">
        <v>1.0195054931708576</v>
      </c>
      <c r="U43" s="16">
        <v>0.99766612297051604</v>
      </c>
    </row>
    <row r="44" spans="1:21" x14ac:dyDescent="0.2">
      <c r="A44" s="24"/>
      <c r="B44" s="23" t="s">
        <v>1</v>
      </c>
      <c r="C44" s="22">
        <v>350502</v>
      </c>
      <c r="D44" s="112">
        <v>329844</v>
      </c>
      <c r="E44" s="137">
        <v>20658</v>
      </c>
      <c r="F44" s="22">
        <v>311559</v>
      </c>
      <c r="G44" s="112">
        <v>292168</v>
      </c>
      <c r="H44" s="137">
        <v>19391</v>
      </c>
      <c r="I44" s="82">
        <v>352245</v>
      </c>
      <c r="J44" s="21">
        <v>0.99505173955627479</v>
      </c>
      <c r="K44" s="20">
        <v>0.93640505897883575</v>
      </c>
      <c r="L44" s="19">
        <v>5.8646680577438999E-2</v>
      </c>
      <c r="M44" s="21">
        <v>0.88449516671634798</v>
      </c>
      <c r="N44" s="20">
        <v>0.82944541441326347</v>
      </c>
      <c r="O44" s="19">
        <v>5.5049752303084502E-2</v>
      </c>
      <c r="P44" s="18"/>
      <c r="Q44" s="17"/>
      <c r="R44" s="16"/>
      <c r="S44" s="18"/>
      <c r="T44" s="17"/>
      <c r="U44" s="16"/>
    </row>
    <row r="45" spans="1:21" ht="12" thickBot="1" x14ac:dyDescent="0.25">
      <c r="A45" s="15"/>
      <c r="B45" s="14" t="s">
        <v>0</v>
      </c>
      <c r="C45" s="13">
        <v>325504</v>
      </c>
      <c r="D45" s="113">
        <v>306459</v>
      </c>
      <c r="E45" s="138">
        <v>19045</v>
      </c>
      <c r="F45" s="13">
        <v>297524</v>
      </c>
      <c r="G45" s="113">
        <v>279379</v>
      </c>
      <c r="H45" s="138">
        <v>18145</v>
      </c>
      <c r="I45" s="81">
        <v>330382</v>
      </c>
      <c r="J45" s="12">
        <v>0.98523527310809911</v>
      </c>
      <c r="K45" s="11">
        <v>0.92758988080464433</v>
      </c>
      <c r="L45" s="10">
        <v>5.7645392303454786E-2</v>
      </c>
      <c r="M45" s="12">
        <v>0.90054542923040604</v>
      </c>
      <c r="N45" s="11">
        <v>0.84562415627970045</v>
      </c>
      <c r="O45" s="10">
        <v>5.4921272950705549E-2</v>
      </c>
      <c r="P45" s="9"/>
      <c r="Q45" s="8"/>
      <c r="R45" s="7"/>
      <c r="S45" s="9"/>
      <c r="T45" s="8"/>
      <c r="U45" s="7"/>
    </row>
  </sheetData>
  <sheetProtection algorithmName="SHA-512" hashValue="nSsKd1NYun5yWtZuhuN24Ctwk+Ps+p3QNU8h5V7iXkkNSKsxTcfXAVnAYrG1baZt0+RFRZenzlfJn5gB6+R+jw==" saltValue="DlxhVz/AFkh2tvrT8VVbSQ==" spinCount="100000" sheet="1" objects="1" scenarios="1"/>
  <mergeCells count="11">
    <mergeCell ref="S6:U6"/>
    <mergeCell ref="A1:U1"/>
    <mergeCell ref="A2:U2"/>
    <mergeCell ref="A3:U3"/>
    <mergeCell ref="A4:U4"/>
    <mergeCell ref="A6:B7"/>
    <mergeCell ref="C6:E6"/>
    <mergeCell ref="F6:H6"/>
    <mergeCell ref="J6:L6"/>
    <mergeCell ref="M6:O6"/>
    <mergeCell ref="P6:R6"/>
  </mergeCells>
  <printOptions horizontalCentered="1"/>
  <pageMargins left="0" right="0" top="0" bottom="0" header="0" footer="0"/>
  <pageSetup paperSize="9" scale="75" orientation="landscape" horizontalDpi="300" verticalDpi="300" r:id="rId1"/>
  <headerFooter alignWithMargins="0">
    <oddFooter>&amp;L&amp;F&amp;R&amp;P</oddFooter>
  </headerFooter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6">
    <tabColor rgb="FFCC00FF"/>
  </sheetPr>
  <dimension ref="A1:U45"/>
  <sheetViews>
    <sheetView showGridLines="0" zoomScaleNormal="100" workbookViewId="0">
      <pane xSplit="2" ySplit="7" topLeftCell="C8" activePane="bottomRight" state="frozen"/>
      <selection activeCell="C8" sqref="C8"/>
      <selection pane="topRight" activeCell="C8" sqref="C8"/>
      <selection pane="bottomLeft" activeCell="C8" sqref="C8"/>
      <selection pane="bottomRight" activeCell="C8" sqref="C8"/>
    </sheetView>
  </sheetViews>
  <sheetFormatPr defaultColWidth="9.140625" defaultRowHeight="11.25" x14ac:dyDescent="0.2"/>
  <cols>
    <col min="1" max="1" width="34" style="6" customWidth="1"/>
    <col min="2" max="2" width="10.7109375" style="1" customWidth="1"/>
    <col min="3" max="8" width="8.7109375" style="5" customWidth="1"/>
    <col min="9" max="9" width="9.28515625" style="5" customWidth="1"/>
    <col min="10" max="15" width="7.7109375" style="4" customWidth="1"/>
    <col min="16" max="19" width="7.28515625" style="3" customWidth="1"/>
    <col min="20" max="21" width="7.28515625" style="2" customWidth="1"/>
    <col min="22" max="16384" width="9.140625" style="1"/>
  </cols>
  <sheetData>
    <row r="1" spans="1:21" x14ac:dyDescent="0.2">
      <c r="A1" s="568" t="s">
        <v>23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568"/>
      <c r="O1" s="568"/>
      <c r="P1" s="568"/>
      <c r="Q1" s="568"/>
      <c r="R1" s="568"/>
      <c r="S1" s="568"/>
      <c r="T1" s="568"/>
      <c r="U1" s="568"/>
    </row>
    <row r="2" spans="1:21" x14ac:dyDescent="0.2">
      <c r="A2" s="569" t="s">
        <v>42</v>
      </c>
      <c r="B2" s="569"/>
      <c r="C2" s="569"/>
      <c r="D2" s="569"/>
      <c r="E2" s="569"/>
      <c r="F2" s="569"/>
      <c r="G2" s="569"/>
      <c r="H2" s="569"/>
      <c r="I2" s="569"/>
      <c r="J2" s="569"/>
      <c r="K2" s="569"/>
      <c r="L2" s="569"/>
      <c r="M2" s="569"/>
      <c r="N2" s="569"/>
      <c r="O2" s="569"/>
      <c r="P2" s="569"/>
      <c r="Q2" s="569"/>
      <c r="R2" s="569"/>
      <c r="S2" s="569"/>
      <c r="T2" s="569"/>
      <c r="U2" s="569"/>
    </row>
    <row r="3" spans="1:21" x14ac:dyDescent="0.2">
      <c r="A3" s="570" t="s">
        <v>47</v>
      </c>
      <c r="B3" s="570"/>
      <c r="C3" s="570"/>
      <c r="D3" s="570"/>
      <c r="E3" s="570"/>
      <c r="F3" s="570"/>
      <c r="G3" s="570"/>
      <c r="H3" s="570"/>
      <c r="I3" s="570"/>
      <c r="J3" s="570"/>
      <c r="K3" s="570"/>
      <c r="L3" s="570"/>
      <c r="M3" s="570"/>
      <c r="N3" s="570"/>
      <c r="O3" s="570"/>
      <c r="P3" s="570"/>
      <c r="Q3" s="570"/>
      <c r="R3" s="570"/>
      <c r="S3" s="570"/>
      <c r="T3" s="570"/>
      <c r="U3" s="570"/>
    </row>
    <row r="4" spans="1:21" x14ac:dyDescent="0.2">
      <c r="A4" s="571" t="s">
        <v>48</v>
      </c>
      <c r="B4" s="571"/>
      <c r="C4" s="571"/>
      <c r="D4" s="571"/>
      <c r="E4" s="571"/>
      <c r="F4" s="571"/>
      <c r="G4" s="571"/>
      <c r="H4" s="571"/>
      <c r="I4" s="571"/>
      <c r="J4" s="571"/>
      <c r="K4" s="571"/>
      <c r="L4" s="571"/>
      <c r="M4" s="571"/>
      <c r="N4" s="571"/>
      <c r="O4" s="571"/>
      <c r="P4" s="571"/>
      <c r="Q4" s="571"/>
      <c r="R4" s="571"/>
      <c r="S4" s="571"/>
      <c r="T4" s="571"/>
      <c r="U4" s="571"/>
    </row>
    <row r="5" spans="1:21" ht="12" thickBot="1" x14ac:dyDescent="0.25">
      <c r="A5" s="107"/>
      <c r="B5" s="109"/>
      <c r="C5" s="106"/>
      <c r="D5" s="105"/>
      <c r="E5" s="105"/>
      <c r="F5" s="106"/>
      <c r="G5" s="105"/>
      <c r="H5" s="105"/>
      <c r="I5" s="104"/>
      <c r="J5" s="103"/>
      <c r="K5" s="103"/>
      <c r="L5" s="103"/>
      <c r="M5" s="103"/>
      <c r="N5" s="103"/>
      <c r="O5" s="103"/>
      <c r="P5" s="102"/>
      <c r="Q5" s="102"/>
      <c r="R5" s="102"/>
      <c r="S5" s="101"/>
      <c r="T5" s="100"/>
      <c r="U5" s="100"/>
    </row>
    <row r="6" spans="1:21" ht="11.25" customHeight="1" x14ac:dyDescent="0.2">
      <c r="A6" s="572" t="s">
        <v>22</v>
      </c>
      <c r="B6" s="573"/>
      <c r="C6" s="576" t="s">
        <v>31</v>
      </c>
      <c r="D6" s="577"/>
      <c r="E6" s="578"/>
      <c r="F6" s="579" t="s">
        <v>39</v>
      </c>
      <c r="G6" s="577"/>
      <c r="H6" s="580"/>
      <c r="I6" s="99" t="s">
        <v>21</v>
      </c>
      <c r="J6" s="581" t="s">
        <v>33</v>
      </c>
      <c r="K6" s="566"/>
      <c r="L6" s="567"/>
      <c r="M6" s="565" t="s">
        <v>34</v>
      </c>
      <c r="N6" s="566"/>
      <c r="O6" s="582"/>
      <c r="P6" s="581" t="s">
        <v>20</v>
      </c>
      <c r="Q6" s="566"/>
      <c r="R6" s="567"/>
      <c r="S6" s="565" t="s">
        <v>19</v>
      </c>
      <c r="T6" s="566"/>
      <c r="U6" s="567"/>
    </row>
    <row r="7" spans="1:21" s="88" customFormat="1" ht="12" customHeight="1" thickBot="1" x14ac:dyDescent="0.25">
      <c r="A7" s="574"/>
      <c r="B7" s="575"/>
      <c r="C7" s="98" t="s">
        <v>6</v>
      </c>
      <c r="D7" s="111" t="s">
        <v>17</v>
      </c>
      <c r="E7" s="131" t="s">
        <v>16</v>
      </c>
      <c r="F7" s="97" t="s">
        <v>6</v>
      </c>
      <c r="G7" s="111" t="s">
        <v>17</v>
      </c>
      <c r="H7" s="141" t="s">
        <v>16</v>
      </c>
      <c r="I7" s="96" t="s">
        <v>28</v>
      </c>
      <c r="J7" s="95" t="s">
        <v>18</v>
      </c>
      <c r="K7" s="90" t="s">
        <v>17</v>
      </c>
      <c r="L7" s="89" t="s">
        <v>16</v>
      </c>
      <c r="M7" s="91" t="s">
        <v>18</v>
      </c>
      <c r="N7" s="90" t="s">
        <v>17</v>
      </c>
      <c r="O7" s="94" t="s">
        <v>16</v>
      </c>
      <c r="P7" s="93" t="s">
        <v>18</v>
      </c>
      <c r="Q7" s="90" t="s">
        <v>17</v>
      </c>
      <c r="R7" s="92" t="s">
        <v>16</v>
      </c>
      <c r="S7" s="91" t="s">
        <v>18</v>
      </c>
      <c r="T7" s="90" t="s">
        <v>17</v>
      </c>
      <c r="U7" s="89" t="s">
        <v>16</v>
      </c>
    </row>
    <row r="8" spans="1:21" x14ac:dyDescent="0.2">
      <c r="A8" s="80" t="s">
        <v>14</v>
      </c>
      <c r="B8" s="69"/>
      <c r="C8" s="79"/>
      <c r="D8" s="130"/>
      <c r="E8" s="140"/>
      <c r="F8" s="79"/>
      <c r="G8" s="130"/>
      <c r="H8" s="140"/>
      <c r="I8" s="79"/>
      <c r="J8" s="78"/>
      <c r="K8" s="77"/>
      <c r="L8" s="76"/>
      <c r="M8" s="78"/>
      <c r="N8" s="77"/>
      <c r="O8" s="76"/>
      <c r="P8" s="75"/>
      <c r="Q8" s="74"/>
      <c r="R8" s="73"/>
      <c r="S8" s="72"/>
      <c r="T8" s="71"/>
      <c r="U8" s="70"/>
    </row>
    <row r="9" spans="1:21" ht="12" thickBot="1" x14ac:dyDescent="0.25">
      <c r="A9" s="69"/>
      <c r="B9" s="69"/>
      <c r="C9" s="68"/>
      <c r="D9" s="129"/>
      <c r="E9" s="139"/>
      <c r="F9" s="68"/>
      <c r="G9" s="129"/>
      <c r="H9" s="139"/>
      <c r="I9" s="68"/>
      <c r="J9" s="67"/>
      <c r="K9" s="66"/>
      <c r="L9" s="65"/>
      <c r="M9" s="67"/>
      <c r="N9" s="66"/>
      <c r="O9" s="65"/>
      <c r="P9" s="64"/>
      <c r="Q9" s="63"/>
      <c r="R9" s="62"/>
      <c r="S9" s="61"/>
      <c r="T9" s="60"/>
      <c r="U9" s="59"/>
    </row>
    <row r="10" spans="1:21" x14ac:dyDescent="0.2">
      <c r="A10" s="58" t="s">
        <v>13</v>
      </c>
      <c r="B10" s="57" t="s">
        <v>2</v>
      </c>
      <c r="C10" s="56">
        <v>260259</v>
      </c>
      <c r="D10" s="124">
        <v>231446</v>
      </c>
      <c r="E10" s="132">
        <v>28813</v>
      </c>
      <c r="F10" s="56">
        <v>234098</v>
      </c>
      <c r="G10" s="124">
        <v>206685</v>
      </c>
      <c r="H10" s="132">
        <v>27413</v>
      </c>
      <c r="I10" s="55">
        <v>252168</v>
      </c>
      <c r="J10" s="54">
        <v>1.0320857523555724</v>
      </c>
      <c r="K10" s="53">
        <v>0.91782462485327243</v>
      </c>
      <c r="L10" s="52">
        <v>0.11426112750230005</v>
      </c>
      <c r="M10" s="54">
        <v>0.92834142317819868</v>
      </c>
      <c r="N10" s="53">
        <v>0.81963214999524125</v>
      </c>
      <c r="O10" s="52">
        <v>0.10870927318295739</v>
      </c>
      <c r="P10" s="51">
        <v>0.99769014425709301</v>
      </c>
      <c r="Q10" s="50">
        <v>0.99604778057182308</v>
      </c>
      <c r="R10" s="49">
        <v>1.0109779268459167</v>
      </c>
      <c r="S10" s="51">
        <v>1.0261615125610497</v>
      </c>
      <c r="T10" s="50">
        <v>1.0263613630756971</v>
      </c>
      <c r="U10" s="49">
        <v>1.0246559292685995</v>
      </c>
    </row>
    <row r="11" spans="1:21" x14ac:dyDescent="0.2">
      <c r="A11" s="44"/>
      <c r="B11" s="43" t="s">
        <v>1</v>
      </c>
      <c r="C11" s="42">
        <v>134887</v>
      </c>
      <c r="D11" s="125">
        <v>120049</v>
      </c>
      <c r="E11" s="133">
        <v>14838</v>
      </c>
      <c r="F11" s="42">
        <v>119683</v>
      </c>
      <c r="G11" s="125">
        <v>105658</v>
      </c>
      <c r="H11" s="133">
        <v>14025</v>
      </c>
      <c r="I11" s="41">
        <v>130548</v>
      </c>
      <c r="J11" s="40">
        <v>1.0332368171094157</v>
      </c>
      <c r="K11" s="39">
        <v>0.91957747341973839</v>
      </c>
      <c r="L11" s="38">
        <v>0.11365934368967737</v>
      </c>
      <c r="M11" s="40">
        <v>0.91677390691546401</v>
      </c>
      <c r="N11" s="39">
        <v>0.8093421576738058</v>
      </c>
      <c r="O11" s="38">
        <v>0.10743174924165824</v>
      </c>
      <c r="P11" s="37"/>
      <c r="Q11" s="36"/>
      <c r="R11" s="35"/>
      <c r="S11" s="37"/>
      <c r="T11" s="36"/>
      <c r="U11" s="35"/>
    </row>
    <row r="12" spans="1:21" x14ac:dyDescent="0.2">
      <c r="A12" s="34"/>
      <c r="B12" s="33" t="s">
        <v>0</v>
      </c>
      <c r="C12" s="42">
        <v>125372</v>
      </c>
      <c r="D12" s="125">
        <v>111397</v>
      </c>
      <c r="E12" s="133">
        <v>13975</v>
      </c>
      <c r="F12" s="42">
        <v>114415</v>
      </c>
      <c r="G12" s="125">
        <v>101027</v>
      </c>
      <c r="H12" s="133">
        <v>13388</v>
      </c>
      <c r="I12" s="41">
        <v>121620</v>
      </c>
      <c r="J12" s="30">
        <v>1.0308501891136326</v>
      </c>
      <c r="K12" s="29">
        <v>0.91594310146357505</v>
      </c>
      <c r="L12" s="28">
        <v>0.11490708765005755</v>
      </c>
      <c r="M12" s="30">
        <v>0.94075809899687557</v>
      </c>
      <c r="N12" s="29">
        <v>0.83067752014471308</v>
      </c>
      <c r="O12" s="28">
        <v>0.11008057885216248</v>
      </c>
      <c r="P12" s="27"/>
      <c r="Q12" s="26"/>
      <c r="R12" s="25"/>
      <c r="S12" s="27"/>
      <c r="T12" s="26"/>
      <c r="U12" s="25"/>
    </row>
    <row r="13" spans="1:21" x14ac:dyDescent="0.2">
      <c r="A13" s="83" t="s">
        <v>46</v>
      </c>
      <c r="B13" s="84" t="s">
        <v>2</v>
      </c>
      <c r="C13" s="48">
        <v>117419</v>
      </c>
      <c r="D13" s="126">
        <v>113957</v>
      </c>
      <c r="E13" s="134">
        <v>3462</v>
      </c>
      <c r="F13" s="48">
        <v>106068</v>
      </c>
      <c r="G13" s="126">
        <v>102756</v>
      </c>
      <c r="H13" s="134">
        <v>3312</v>
      </c>
      <c r="I13" s="47">
        <v>121301</v>
      </c>
      <c r="J13" s="46">
        <v>0.96799696622451592</v>
      </c>
      <c r="K13" s="85">
        <v>0.93945639359939326</v>
      </c>
      <c r="L13" s="87">
        <v>2.8540572625122627E-2</v>
      </c>
      <c r="M13" s="46">
        <v>0.8744198316584364</v>
      </c>
      <c r="N13" s="85">
        <v>0.84711585230130004</v>
      </c>
      <c r="O13" s="87">
        <v>2.7303979357136379E-2</v>
      </c>
      <c r="P13" s="45">
        <v>0.98174772413315858</v>
      </c>
      <c r="Q13" s="86">
        <v>0.9828807252735805</v>
      </c>
      <c r="R13" s="108">
        <v>0.94513739412343711</v>
      </c>
      <c r="S13" s="45">
        <v>1.0096136707706203</v>
      </c>
      <c r="T13" s="86">
        <v>1.0115952139854667</v>
      </c>
      <c r="U13" s="108">
        <v>0.94995208720688729</v>
      </c>
    </row>
    <row r="14" spans="1:21" x14ac:dyDescent="0.2">
      <c r="A14" s="44"/>
      <c r="B14" s="43" t="s">
        <v>1</v>
      </c>
      <c r="C14" s="42">
        <v>61362</v>
      </c>
      <c r="D14" s="125">
        <v>59520</v>
      </c>
      <c r="E14" s="133">
        <v>1842</v>
      </c>
      <c r="F14" s="42">
        <v>54689</v>
      </c>
      <c r="G14" s="125">
        <v>52931</v>
      </c>
      <c r="H14" s="133">
        <v>1758</v>
      </c>
      <c r="I14" s="41">
        <v>62833</v>
      </c>
      <c r="J14" s="40">
        <v>0.97658873521875444</v>
      </c>
      <c r="K14" s="39">
        <v>0.94727292982986644</v>
      </c>
      <c r="L14" s="38">
        <v>2.9315805388888005E-2</v>
      </c>
      <c r="M14" s="40">
        <v>0.87038658030016069</v>
      </c>
      <c r="N14" s="39">
        <v>0.84240765202998424</v>
      </c>
      <c r="O14" s="38">
        <v>2.7978928270176499E-2</v>
      </c>
      <c r="P14" s="37"/>
      <c r="Q14" s="36"/>
      <c r="R14" s="35"/>
      <c r="S14" s="37"/>
      <c r="T14" s="36"/>
      <c r="U14" s="35"/>
    </row>
    <row r="15" spans="1:21" x14ac:dyDescent="0.2">
      <c r="A15" s="34"/>
      <c r="B15" s="33" t="s">
        <v>0</v>
      </c>
      <c r="C15" s="32">
        <v>56057</v>
      </c>
      <c r="D15" s="127">
        <v>54437</v>
      </c>
      <c r="E15" s="135">
        <v>1620</v>
      </c>
      <c r="F15" s="32">
        <v>51379</v>
      </c>
      <c r="G15" s="127">
        <v>49825</v>
      </c>
      <c r="H15" s="135">
        <v>1554</v>
      </c>
      <c r="I15" s="41">
        <v>58468</v>
      </c>
      <c r="J15" s="30">
        <v>0.95876376821509202</v>
      </c>
      <c r="K15" s="29">
        <v>0.93105630430320863</v>
      </c>
      <c r="L15" s="28">
        <v>2.7707463911883425E-2</v>
      </c>
      <c r="M15" s="30">
        <v>0.8787541903263324</v>
      </c>
      <c r="N15" s="29">
        <v>0.85217554901826642</v>
      </c>
      <c r="O15" s="28">
        <v>2.6578641308065951E-2</v>
      </c>
      <c r="P15" s="27"/>
      <c r="Q15" s="26"/>
      <c r="R15" s="25"/>
      <c r="S15" s="27"/>
      <c r="T15" s="26"/>
      <c r="U15" s="25"/>
    </row>
    <row r="16" spans="1:21" x14ac:dyDescent="0.2">
      <c r="A16" s="83" t="s">
        <v>12</v>
      </c>
      <c r="B16" s="84" t="s">
        <v>2</v>
      </c>
      <c r="C16" s="48">
        <v>78125</v>
      </c>
      <c r="D16" s="126">
        <v>75573</v>
      </c>
      <c r="E16" s="134">
        <v>2552</v>
      </c>
      <c r="F16" s="48">
        <v>69440</v>
      </c>
      <c r="G16" s="126">
        <v>66938</v>
      </c>
      <c r="H16" s="134">
        <v>2502</v>
      </c>
      <c r="I16" s="47">
        <v>78682</v>
      </c>
      <c r="J16" s="46">
        <v>0.99292087135558327</v>
      </c>
      <c r="K16" s="85">
        <v>0.96048651534023033</v>
      </c>
      <c r="L16" s="87">
        <v>3.2434356015352939E-2</v>
      </c>
      <c r="M16" s="46">
        <v>0.88253984392872575</v>
      </c>
      <c r="N16" s="85">
        <v>0.85074095727104038</v>
      </c>
      <c r="O16" s="87">
        <v>3.179888665768537E-2</v>
      </c>
      <c r="P16" s="45">
        <v>0.98500826462168933</v>
      </c>
      <c r="Q16" s="86">
        <v>0.98687973953637698</v>
      </c>
      <c r="R16" s="108">
        <v>0.9310976686244935</v>
      </c>
      <c r="S16" s="45">
        <v>1.0079278445695978</v>
      </c>
      <c r="T16" s="86">
        <v>1.010710767871061</v>
      </c>
      <c r="U16" s="108">
        <v>0.93615397016707402</v>
      </c>
    </row>
    <row r="17" spans="1:21" x14ac:dyDescent="0.2">
      <c r="A17" s="44"/>
      <c r="B17" s="43" t="s">
        <v>1</v>
      </c>
      <c r="C17" s="42">
        <v>40507</v>
      </c>
      <c r="D17" s="125">
        <v>39148</v>
      </c>
      <c r="E17" s="133">
        <v>1359</v>
      </c>
      <c r="F17" s="42">
        <v>35605</v>
      </c>
      <c r="G17" s="125">
        <v>34276</v>
      </c>
      <c r="H17" s="133">
        <v>1329</v>
      </c>
      <c r="I17" s="41">
        <v>40499</v>
      </c>
      <c r="J17" s="40">
        <v>1.0001975357416233</v>
      </c>
      <c r="K17" s="39">
        <v>0.96664115163337372</v>
      </c>
      <c r="L17" s="38">
        <v>3.3556384108249585E-2</v>
      </c>
      <c r="M17" s="40">
        <v>0.87915751006197684</v>
      </c>
      <c r="N17" s="39">
        <v>0.84634188498481444</v>
      </c>
      <c r="O17" s="38">
        <v>3.2815625077162403E-2</v>
      </c>
      <c r="P17" s="37"/>
      <c r="Q17" s="36"/>
      <c r="R17" s="35"/>
      <c r="S17" s="37"/>
      <c r="T17" s="36"/>
      <c r="U17" s="35"/>
    </row>
    <row r="18" spans="1:21" x14ac:dyDescent="0.2">
      <c r="A18" s="34"/>
      <c r="B18" s="33" t="s">
        <v>0</v>
      </c>
      <c r="C18" s="32">
        <v>37618</v>
      </c>
      <c r="D18" s="127">
        <v>36425</v>
      </c>
      <c r="E18" s="135">
        <v>1193</v>
      </c>
      <c r="F18" s="32">
        <v>33835</v>
      </c>
      <c r="G18" s="127">
        <v>32662</v>
      </c>
      <c r="H18" s="135">
        <v>1173</v>
      </c>
      <c r="I18" s="41">
        <v>38183</v>
      </c>
      <c r="J18" s="30">
        <v>0.98520283895974647</v>
      </c>
      <c r="K18" s="29">
        <v>0.95395856794908729</v>
      </c>
      <c r="L18" s="28">
        <v>3.1244271010659193E-2</v>
      </c>
      <c r="M18" s="30">
        <v>0.88612733415394285</v>
      </c>
      <c r="N18" s="29">
        <v>0.85540685645444303</v>
      </c>
      <c r="O18" s="28">
        <v>3.0720477699499777E-2</v>
      </c>
      <c r="P18" s="27"/>
      <c r="Q18" s="26"/>
      <c r="R18" s="25"/>
      <c r="S18" s="27"/>
      <c r="T18" s="26"/>
      <c r="U18" s="25"/>
    </row>
    <row r="19" spans="1:21" x14ac:dyDescent="0.2">
      <c r="A19" s="83" t="s">
        <v>11</v>
      </c>
      <c r="B19" s="84" t="s">
        <v>2</v>
      </c>
      <c r="C19" s="48">
        <v>70955</v>
      </c>
      <c r="D19" s="126">
        <v>69452</v>
      </c>
      <c r="E19" s="134">
        <v>1503</v>
      </c>
      <c r="F19" s="48">
        <v>64896</v>
      </c>
      <c r="G19" s="126">
        <v>63478</v>
      </c>
      <c r="H19" s="134">
        <v>1418</v>
      </c>
      <c r="I19" s="47">
        <v>73785</v>
      </c>
      <c r="J19" s="46">
        <v>0.96164532086467436</v>
      </c>
      <c r="K19" s="85">
        <v>0.94127532696347493</v>
      </c>
      <c r="L19" s="87">
        <v>2.036999390119943E-2</v>
      </c>
      <c r="M19" s="46">
        <v>0.87952835942264684</v>
      </c>
      <c r="N19" s="85">
        <v>0.86031036118452264</v>
      </c>
      <c r="O19" s="87">
        <v>1.9217998238124281E-2</v>
      </c>
      <c r="P19" s="45">
        <v>0.98529344117216511</v>
      </c>
      <c r="Q19" s="86">
        <v>0.98516238898245545</v>
      </c>
      <c r="R19" s="108">
        <v>0.99136748363453375</v>
      </c>
      <c r="S19" s="45">
        <v>1.0126832762125095</v>
      </c>
      <c r="T19" s="86">
        <v>1.0133030217619625</v>
      </c>
      <c r="U19" s="108">
        <v>0.98531215951013706</v>
      </c>
    </row>
    <row r="20" spans="1:21" x14ac:dyDescent="0.2">
      <c r="A20" s="44"/>
      <c r="B20" s="43" t="s">
        <v>1</v>
      </c>
      <c r="C20" s="42">
        <v>36979</v>
      </c>
      <c r="D20" s="125">
        <v>36198</v>
      </c>
      <c r="E20" s="133">
        <v>781</v>
      </c>
      <c r="F20" s="42">
        <v>33377</v>
      </c>
      <c r="G20" s="125">
        <v>32638</v>
      </c>
      <c r="H20" s="133">
        <v>739</v>
      </c>
      <c r="I20" s="41">
        <v>38181</v>
      </c>
      <c r="J20" s="40">
        <v>0.96851837301275501</v>
      </c>
      <c r="K20" s="39">
        <v>0.94806317278227392</v>
      </c>
      <c r="L20" s="38">
        <v>2.045520023048113E-2</v>
      </c>
      <c r="M20" s="40">
        <v>0.87417825620072809</v>
      </c>
      <c r="N20" s="39">
        <v>0.85482307954218062</v>
      </c>
      <c r="O20" s="38">
        <v>1.9355176658547444E-2</v>
      </c>
      <c r="P20" s="37"/>
      <c r="Q20" s="36"/>
      <c r="R20" s="35"/>
      <c r="S20" s="37"/>
      <c r="T20" s="36"/>
      <c r="U20" s="35"/>
    </row>
    <row r="21" spans="1:21" x14ac:dyDescent="0.2">
      <c r="A21" s="34"/>
      <c r="B21" s="33" t="s">
        <v>0</v>
      </c>
      <c r="C21" s="32">
        <v>33976</v>
      </c>
      <c r="D21" s="127">
        <v>33254</v>
      </c>
      <c r="E21" s="135">
        <v>722</v>
      </c>
      <c r="F21" s="32">
        <v>31519</v>
      </c>
      <c r="G21" s="127">
        <v>30840</v>
      </c>
      <c r="H21" s="135">
        <v>679</v>
      </c>
      <c r="I21" s="41">
        <v>35604</v>
      </c>
      <c r="J21" s="30">
        <v>0.954274800584204</v>
      </c>
      <c r="K21" s="29">
        <v>0.93399618020447139</v>
      </c>
      <c r="L21" s="28">
        <v>2.0278620379732614E-2</v>
      </c>
      <c r="M21" s="30">
        <v>0.88526570048309183</v>
      </c>
      <c r="N21" s="29">
        <v>0.86619480957195816</v>
      </c>
      <c r="O21" s="28">
        <v>1.9070890911133582E-2</v>
      </c>
      <c r="P21" s="27"/>
      <c r="Q21" s="26"/>
      <c r="R21" s="25"/>
      <c r="S21" s="27"/>
      <c r="T21" s="26"/>
      <c r="U21" s="25"/>
    </row>
    <row r="22" spans="1:21" x14ac:dyDescent="0.2">
      <c r="A22" s="83" t="s">
        <v>27</v>
      </c>
      <c r="B22" s="84" t="s">
        <v>2</v>
      </c>
      <c r="C22" s="48">
        <v>50777</v>
      </c>
      <c r="D22" s="126">
        <v>50296</v>
      </c>
      <c r="E22" s="134">
        <v>481</v>
      </c>
      <c r="F22" s="48">
        <v>42874</v>
      </c>
      <c r="G22" s="126">
        <v>42418</v>
      </c>
      <c r="H22" s="134">
        <v>456</v>
      </c>
      <c r="I22" s="47">
        <v>55228</v>
      </c>
      <c r="J22" s="46">
        <v>0.9194068226262041</v>
      </c>
      <c r="K22" s="85">
        <v>0.91069747229666109</v>
      </c>
      <c r="L22" s="87">
        <v>8.709350329542986E-3</v>
      </c>
      <c r="M22" s="46">
        <v>0.77630911856304774</v>
      </c>
      <c r="N22" s="85">
        <v>0.76805243716955163</v>
      </c>
      <c r="O22" s="87">
        <v>8.2566813934960535E-3</v>
      </c>
      <c r="P22" s="45">
        <v>0.99542771626598281</v>
      </c>
      <c r="Q22" s="86">
        <v>0.99797530010505342</v>
      </c>
      <c r="R22" s="108">
        <v>0.76011527806579571</v>
      </c>
      <c r="S22" s="45">
        <v>1.0172314476578384</v>
      </c>
      <c r="T22" s="86">
        <v>1.0199570753785399</v>
      </c>
      <c r="U22" s="108">
        <v>0.79176205029863578</v>
      </c>
    </row>
    <row r="23" spans="1:21" x14ac:dyDescent="0.2">
      <c r="A23" s="44"/>
      <c r="B23" s="43" t="s">
        <v>1</v>
      </c>
      <c r="C23" s="42">
        <v>25956</v>
      </c>
      <c r="D23" s="125">
        <v>25678</v>
      </c>
      <c r="E23" s="133">
        <v>278</v>
      </c>
      <c r="F23" s="42">
        <v>21684</v>
      </c>
      <c r="G23" s="125">
        <v>21425</v>
      </c>
      <c r="H23" s="133">
        <v>259</v>
      </c>
      <c r="I23" s="41">
        <v>28168</v>
      </c>
      <c r="J23" s="40">
        <v>0.92147117296222669</v>
      </c>
      <c r="K23" s="39">
        <v>0.91160181766543591</v>
      </c>
      <c r="L23" s="38">
        <v>9.8693552967906838E-3</v>
      </c>
      <c r="M23" s="40">
        <v>0.76980971314967339</v>
      </c>
      <c r="N23" s="39">
        <v>0.7606148821357569</v>
      </c>
      <c r="O23" s="38">
        <v>9.1948310139165004E-3</v>
      </c>
      <c r="P23" s="37"/>
      <c r="Q23" s="36"/>
      <c r="R23" s="35"/>
      <c r="S23" s="37"/>
      <c r="T23" s="36"/>
      <c r="U23" s="35"/>
    </row>
    <row r="24" spans="1:21" x14ac:dyDescent="0.2">
      <c r="A24" s="34"/>
      <c r="B24" s="33" t="s">
        <v>0</v>
      </c>
      <c r="C24" s="32">
        <v>24821</v>
      </c>
      <c r="D24" s="127">
        <v>24618</v>
      </c>
      <c r="E24" s="135">
        <v>203</v>
      </c>
      <c r="F24" s="32">
        <v>21190</v>
      </c>
      <c r="G24" s="127">
        <v>20993</v>
      </c>
      <c r="H24" s="135">
        <v>197</v>
      </c>
      <c r="I24" s="41">
        <v>27060</v>
      </c>
      <c r="J24" s="30">
        <v>0.91725794530672577</v>
      </c>
      <c r="K24" s="29">
        <v>0.90975609756097564</v>
      </c>
      <c r="L24" s="28">
        <v>7.5018477457501846E-3</v>
      </c>
      <c r="M24" s="30">
        <v>0.78307464892830747</v>
      </c>
      <c r="N24" s="29">
        <v>0.77579453067257942</v>
      </c>
      <c r="O24" s="28">
        <v>7.280118255728012E-3</v>
      </c>
      <c r="P24" s="27"/>
      <c r="Q24" s="26"/>
      <c r="R24" s="25"/>
      <c r="S24" s="27"/>
      <c r="T24" s="26"/>
      <c r="U24" s="25"/>
    </row>
    <row r="25" spans="1:21" x14ac:dyDescent="0.2">
      <c r="A25" s="83" t="s">
        <v>10</v>
      </c>
      <c r="B25" s="84" t="s">
        <v>2</v>
      </c>
      <c r="C25" s="48">
        <v>71747</v>
      </c>
      <c r="D25" s="126">
        <v>70600</v>
      </c>
      <c r="E25" s="134">
        <v>1147</v>
      </c>
      <c r="F25" s="48">
        <v>63197</v>
      </c>
      <c r="G25" s="126">
        <v>62109</v>
      </c>
      <c r="H25" s="134">
        <v>1088</v>
      </c>
      <c r="I25" s="47">
        <v>70221</v>
      </c>
      <c r="J25" s="46">
        <v>1.0217313908944619</v>
      </c>
      <c r="K25" s="85">
        <v>1.0053972458381395</v>
      </c>
      <c r="L25" s="87">
        <v>1.6334145056322184E-2</v>
      </c>
      <c r="M25" s="46">
        <v>0.8999729425670383</v>
      </c>
      <c r="N25" s="85">
        <v>0.88447900200794638</v>
      </c>
      <c r="O25" s="87">
        <v>1.549394055909201E-2</v>
      </c>
      <c r="P25" s="45">
        <v>0.95775965179462663</v>
      </c>
      <c r="Q25" s="86">
        <v>0.95729777042896624</v>
      </c>
      <c r="R25" s="108">
        <v>0.98660235465057711</v>
      </c>
      <c r="S25" s="45">
        <v>1.0057885966548652</v>
      </c>
      <c r="T25" s="86">
        <v>1.0053860256893465</v>
      </c>
      <c r="U25" s="108">
        <v>1.0290326941421934</v>
      </c>
    </row>
    <row r="26" spans="1:21" x14ac:dyDescent="0.2">
      <c r="A26" s="44"/>
      <c r="B26" s="43" t="s">
        <v>1</v>
      </c>
      <c r="C26" s="42">
        <v>37687</v>
      </c>
      <c r="D26" s="125">
        <v>37093</v>
      </c>
      <c r="E26" s="133">
        <v>594</v>
      </c>
      <c r="F26" s="42">
        <v>32424</v>
      </c>
      <c r="G26" s="125">
        <v>31872</v>
      </c>
      <c r="H26" s="133">
        <v>552</v>
      </c>
      <c r="I26" s="41">
        <v>36129</v>
      </c>
      <c r="J26" s="40">
        <v>1.0431232527886185</v>
      </c>
      <c r="K26" s="39">
        <v>1.0266821666805059</v>
      </c>
      <c r="L26" s="38">
        <v>1.6441086108112596E-2</v>
      </c>
      <c r="M26" s="40">
        <v>0.89745080129535826</v>
      </c>
      <c r="N26" s="39">
        <v>0.88217221622519304</v>
      </c>
      <c r="O26" s="38">
        <v>1.5278585070165241E-2</v>
      </c>
      <c r="P26" s="37"/>
      <c r="Q26" s="36"/>
      <c r="R26" s="35"/>
      <c r="S26" s="37"/>
      <c r="T26" s="36"/>
      <c r="U26" s="35"/>
    </row>
    <row r="27" spans="1:21" x14ac:dyDescent="0.2">
      <c r="A27" s="34"/>
      <c r="B27" s="33" t="s">
        <v>0</v>
      </c>
      <c r="C27" s="32">
        <v>34060</v>
      </c>
      <c r="D27" s="127">
        <v>33507</v>
      </c>
      <c r="E27" s="135">
        <v>553</v>
      </c>
      <c r="F27" s="32">
        <v>30773</v>
      </c>
      <c r="G27" s="127">
        <v>30237</v>
      </c>
      <c r="H27" s="135">
        <v>536</v>
      </c>
      <c r="I27" s="41">
        <v>34092</v>
      </c>
      <c r="J27" s="30">
        <v>0.99906136336970552</v>
      </c>
      <c r="K27" s="29">
        <v>0.98284054910242868</v>
      </c>
      <c r="L27" s="28">
        <v>1.6220814267276781E-2</v>
      </c>
      <c r="M27" s="30">
        <v>0.90264578200164258</v>
      </c>
      <c r="N27" s="29">
        <v>0.88692361844420975</v>
      </c>
      <c r="O27" s="28">
        <v>1.572216355743283E-2</v>
      </c>
      <c r="P27" s="27"/>
      <c r="Q27" s="26"/>
      <c r="R27" s="25"/>
      <c r="S27" s="27"/>
      <c r="T27" s="26"/>
      <c r="U27" s="25"/>
    </row>
    <row r="28" spans="1:21" x14ac:dyDescent="0.2">
      <c r="A28" s="83" t="s">
        <v>9</v>
      </c>
      <c r="B28" s="84" t="s">
        <v>2</v>
      </c>
      <c r="C28" s="48">
        <v>28658</v>
      </c>
      <c r="D28" s="126">
        <v>26402</v>
      </c>
      <c r="E28" s="134">
        <v>2256</v>
      </c>
      <c r="F28" s="48">
        <v>26170</v>
      </c>
      <c r="G28" s="126">
        <v>24003</v>
      </c>
      <c r="H28" s="134">
        <v>2167</v>
      </c>
      <c r="I28" s="47">
        <v>26764</v>
      </c>
      <c r="J28" s="46">
        <v>1.0707667015393814</v>
      </c>
      <c r="K28" s="85">
        <v>0.98647436855477511</v>
      </c>
      <c r="L28" s="87">
        <v>8.4292332984606186E-2</v>
      </c>
      <c r="M28" s="46">
        <v>0.97780600807054252</v>
      </c>
      <c r="N28" s="85">
        <v>0.89683903751307725</v>
      </c>
      <c r="O28" s="87">
        <v>8.0966970557465254E-2</v>
      </c>
      <c r="P28" s="45">
        <v>0.98557563236234136</v>
      </c>
      <c r="Q28" s="86">
        <v>0.98722784882006298</v>
      </c>
      <c r="R28" s="108">
        <v>0.96643342578731439</v>
      </c>
      <c r="S28" s="45">
        <v>1.0136267397283245</v>
      </c>
      <c r="T28" s="86">
        <v>1.0171697403384421</v>
      </c>
      <c r="U28" s="108">
        <v>0.97516518979801747</v>
      </c>
    </row>
    <row r="29" spans="1:21" x14ac:dyDescent="0.2">
      <c r="A29" s="44"/>
      <c r="B29" s="43" t="s">
        <v>1</v>
      </c>
      <c r="C29" s="42">
        <v>15040</v>
      </c>
      <c r="D29" s="125">
        <v>13845</v>
      </c>
      <c r="E29" s="133">
        <v>1195</v>
      </c>
      <c r="F29" s="42">
        <v>13551</v>
      </c>
      <c r="G29" s="125">
        <v>12408</v>
      </c>
      <c r="H29" s="133">
        <v>1143</v>
      </c>
      <c r="I29" s="41">
        <v>13949</v>
      </c>
      <c r="J29" s="40">
        <v>1.0782134920065956</v>
      </c>
      <c r="K29" s="39">
        <v>0.99254426840633736</v>
      </c>
      <c r="L29" s="38">
        <v>8.5669223600258082E-2</v>
      </c>
      <c r="M29" s="40">
        <v>0.97146748870886801</v>
      </c>
      <c r="N29" s="39">
        <v>0.8895261309054413</v>
      </c>
      <c r="O29" s="38">
        <v>8.1941357803426762E-2</v>
      </c>
      <c r="P29" s="37"/>
      <c r="Q29" s="36"/>
      <c r="R29" s="35"/>
      <c r="S29" s="37"/>
      <c r="T29" s="36"/>
      <c r="U29" s="35"/>
    </row>
    <row r="30" spans="1:21" x14ac:dyDescent="0.2">
      <c r="A30" s="34"/>
      <c r="B30" s="33" t="s">
        <v>0</v>
      </c>
      <c r="C30" s="32">
        <v>13618</v>
      </c>
      <c r="D30" s="127">
        <v>12557</v>
      </c>
      <c r="E30" s="135">
        <v>1061</v>
      </c>
      <c r="F30" s="32">
        <v>12619</v>
      </c>
      <c r="G30" s="127">
        <v>11595</v>
      </c>
      <c r="H30" s="135">
        <v>1024</v>
      </c>
      <c r="I30" s="41">
        <v>12815</v>
      </c>
      <c r="J30" s="30">
        <v>1.0626609442060087</v>
      </c>
      <c r="K30" s="29">
        <v>0.97986734295747169</v>
      </c>
      <c r="L30" s="28">
        <v>8.2793601248536866E-2</v>
      </c>
      <c r="M30" s="30">
        <v>0.98470542333203281</v>
      </c>
      <c r="N30" s="29">
        <v>0.90479906359734685</v>
      </c>
      <c r="O30" s="28">
        <v>7.9906359734685919E-2</v>
      </c>
      <c r="P30" s="27"/>
      <c r="Q30" s="26"/>
      <c r="R30" s="25"/>
      <c r="S30" s="27"/>
      <c r="T30" s="26"/>
      <c r="U30" s="25"/>
    </row>
    <row r="31" spans="1:21" x14ac:dyDescent="0.2">
      <c r="A31" s="83" t="s">
        <v>8</v>
      </c>
      <c r="B31" s="84" t="s">
        <v>2</v>
      </c>
      <c r="C31" s="48">
        <v>17928</v>
      </c>
      <c r="D31" s="126">
        <v>17419</v>
      </c>
      <c r="E31" s="134">
        <v>509</v>
      </c>
      <c r="F31" s="48">
        <v>16368</v>
      </c>
      <c r="G31" s="126">
        <v>15883</v>
      </c>
      <c r="H31" s="134">
        <v>485</v>
      </c>
      <c r="I31" s="47">
        <v>17359</v>
      </c>
      <c r="J31" s="46">
        <v>1.0327783858517197</v>
      </c>
      <c r="K31" s="85">
        <v>1.0034564203007086</v>
      </c>
      <c r="L31" s="87">
        <v>2.9321965551011003E-2</v>
      </c>
      <c r="M31" s="46">
        <v>0.9429114580332969</v>
      </c>
      <c r="N31" s="85">
        <v>0.9149720606025693</v>
      </c>
      <c r="O31" s="87">
        <v>2.7939397430727576E-2</v>
      </c>
      <c r="P31" s="45">
        <v>0.96816234600954476</v>
      </c>
      <c r="Q31" s="86">
        <v>0.97500420015256073</v>
      </c>
      <c r="R31" s="108">
        <v>0.75885228963431961</v>
      </c>
      <c r="S31" s="45">
        <v>1.0059717299207169</v>
      </c>
      <c r="T31" s="86">
        <v>1.0143222318586009</v>
      </c>
      <c r="U31" s="108">
        <v>0.76528775917206537</v>
      </c>
    </row>
    <row r="32" spans="1:21" x14ac:dyDescent="0.2">
      <c r="A32" s="44"/>
      <c r="B32" s="43" t="s">
        <v>1</v>
      </c>
      <c r="C32" s="42">
        <v>9383</v>
      </c>
      <c r="D32" s="125">
        <v>9086</v>
      </c>
      <c r="E32" s="133">
        <v>297</v>
      </c>
      <c r="F32" s="42">
        <v>8410</v>
      </c>
      <c r="G32" s="125">
        <v>8128</v>
      </c>
      <c r="H32" s="133">
        <v>282</v>
      </c>
      <c r="I32" s="41">
        <v>8945</v>
      </c>
      <c r="J32" s="40">
        <v>1.0489659027389604</v>
      </c>
      <c r="K32" s="39">
        <v>1.0157629960871994</v>
      </c>
      <c r="L32" s="38">
        <v>3.3202906651760761E-2</v>
      </c>
      <c r="M32" s="40">
        <v>0.9401900503074343</v>
      </c>
      <c r="N32" s="39">
        <v>0.90866405813303519</v>
      </c>
      <c r="O32" s="38">
        <v>3.1525992174399109E-2</v>
      </c>
      <c r="P32" s="37"/>
      <c r="Q32" s="36"/>
      <c r="R32" s="35"/>
      <c r="S32" s="37"/>
      <c r="T32" s="36"/>
      <c r="U32" s="35"/>
    </row>
    <row r="33" spans="1:21" x14ac:dyDescent="0.2">
      <c r="A33" s="34"/>
      <c r="B33" s="33" t="s">
        <v>0</v>
      </c>
      <c r="C33" s="32">
        <v>8545</v>
      </c>
      <c r="D33" s="127">
        <v>8333</v>
      </c>
      <c r="E33" s="135">
        <v>212</v>
      </c>
      <c r="F33" s="32">
        <v>7958</v>
      </c>
      <c r="G33" s="127">
        <v>7755</v>
      </c>
      <c r="H33" s="135">
        <v>203</v>
      </c>
      <c r="I33" s="41">
        <v>8414</v>
      </c>
      <c r="J33" s="30">
        <v>1.0155692892797719</v>
      </c>
      <c r="K33" s="29">
        <v>0.9903731875445686</v>
      </c>
      <c r="L33" s="28">
        <v>2.5196101735203234E-2</v>
      </c>
      <c r="M33" s="30">
        <v>0.94580461136201566</v>
      </c>
      <c r="N33" s="29">
        <v>0.92167815545519372</v>
      </c>
      <c r="O33" s="28">
        <v>2.4126455906821963E-2</v>
      </c>
      <c r="P33" s="27"/>
      <c r="Q33" s="26"/>
      <c r="R33" s="25"/>
      <c r="S33" s="27"/>
      <c r="T33" s="26"/>
      <c r="U33" s="25"/>
    </row>
    <row r="34" spans="1:21" x14ac:dyDescent="0.2">
      <c r="A34" s="83" t="s">
        <v>7</v>
      </c>
      <c r="B34" s="84" t="s">
        <v>2</v>
      </c>
      <c r="C34" s="48">
        <v>25476</v>
      </c>
      <c r="D34" s="126">
        <v>23819</v>
      </c>
      <c r="E34" s="134">
        <v>1657</v>
      </c>
      <c r="F34" s="48">
        <v>22466</v>
      </c>
      <c r="G34" s="126">
        <v>20873</v>
      </c>
      <c r="H34" s="134">
        <v>1593</v>
      </c>
      <c r="I34" s="47">
        <v>23256</v>
      </c>
      <c r="J34" s="46">
        <v>1.0954592363261093</v>
      </c>
      <c r="K34" s="85">
        <v>1.0242088063295494</v>
      </c>
      <c r="L34" s="87">
        <v>7.1250429996560033E-2</v>
      </c>
      <c r="M34" s="46">
        <v>0.96603027175782596</v>
      </c>
      <c r="N34" s="85">
        <v>0.89753181974544205</v>
      </c>
      <c r="O34" s="87">
        <v>6.8498452012383901E-2</v>
      </c>
      <c r="P34" s="45">
        <v>0.95396294014462624</v>
      </c>
      <c r="Q34" s="86">
        <v>0.95346749576172185</v>
      </c>
      <c r="R34" s="108">
        <v>0.96111198518940011</v>
      </c>
      <c r="S34" s="45">
        <v>1.0024874772444277</v>
      </c>
      <c r="T34" s="86">
        <v>1.0042600186935409</v>
      </c>
      <c r="U34" s="108">
        <v>0.97954112248499814</v>
      </c>
    </row>
    <row r="35" spans="1:21" x14ac:dyDescent="0.2">
      <c r="A35" s="44"/>
      <c r="B35" s="43" t="s">
        <v>1</v>
      </c>
      <c r="C35" s="42">
        <v>13362</v>
      </c>
      <c r="D35" s="125">
        <v>12496</v>
      </c>
      <c r="E35" s="133">
        <v>866</v>
      </c>
      <c r="F35" s="42">
        <v>11505</v>
      </c>
      <c r="G35" s="125">
        <v>10680</v>
      </c>
      <c r="H35" s="133">
        <v>825</v>
      </c>
      <c r="I35" s="41">
        <v>11924</v>
      </c>
      <c r="J35" s="40">
        <v>1.1205971150620597</v>
      </c>
      <c r="K35" s="39">
        <v>1.0479704797047971</v>
      </c>
      <c r="L35" s="38">
        <v>7.2626635357262659E-2</v>
      </c>
      <c r="M35" s="40">
        <v>0.96486078497148609</v>
      </c>
      <c r="N35" s="39">
        <v>0.89567259308956726</v>
      </c>
      <c r="O35" s="38">
        <v>6.9188191881918826E-2</v>
      </c>
      <c r="P35" s="37"/>
      <c r="Q35" s="36"/>
      <c r="R35" s="35"/>
      <c r="S35" s="37"/>
      <c r="T35" s="36"/>
      <c r="U35" s="35"/>
    </row>
    <row r="36" spans="1:21" x14ac:dyDescent="0.2">
      <c r="A36" s="34"/>
      <c r="B36" s="33" t="s">
        <v>0</v>
      </c>
      <c r="C36" s="32">
        <v>12114</v>
      </c>
      <c r="D36" s="127">
        <v>11323</v>
      </c>
      <c r="E36" s="135">
        <v>791</v>
      </c>
      <c r="F36" s="32">
        <v>10961</v>
      </c>
      <c r="G36" s="127">
        <v>10193</v>
      </c>
      <c r="H36" s="135">
        <v>768</v>
      </c>
      <c r="I36" s="41">
        <v>11332</v>
      </c>
      <c r="J36" s="30">
        <v>1.0690081186021885</v>
      </c>
      <c r="K36" s="29">
        <v>0.99920578891634315</v>
      </c>
      <c r="L36" s="28">
        <v>6.9802329685845391E-2</v>
      </c>
      <c r="M36" s="30">
        <v>0.96726085421814334</v>
      </c>
      <c r="N36" s="29">
        <v>0.89948817507942114</v>
      </c>
      <c r="O36" s="28">
        <v>6.7772679138722203E-2</v>
      </c>
      <c r="P36" s="27"/>
      <c r="Q36" s="26"/>
      <c r="R36" s="25"/>
      <c r="S36" s="27"/>
      <c r="T36" s="26"/>
      <c r="U36" s="25"/>
    </row>
    <row r="37" spans="1:21" x14ac:dyDescent="0.2">
      <c r="A37" s="83" t="s">
        <v>5</v>
      </c>
      <c r="B37" s="84" t="s">
        <v>2</v>
      </c>
      <c r="C37" s="48">
        <v>32391</v>
      </c>
      <c r="D37" s="126">
        <v>29666</v>
      </c>
      <c r="E37" s="134">
        <v>2725</v>
      </c>
      <c r="F37" s="48">
        <v>29573</v>
      </c>
      <c r="G37" s="126">
        <v>26941</v>
      </c>
      <c r="H37" s="134">
        <v>2632</v>
      </c>
      <c r="I37" s="47">
        <v>30911</v>
      </c>
      <c r="J37" s="46">
        <v>1.0478793956843842</v>
      </c>
      <c r="K37" s="85">
        <v>0.95972307592766326</v>
      </c>
      <c r="L37" s="87">
        <v>8.8156319756720905E-2</v>
      </c>
      <c r="M37" s="46">
        <v>0.95671443822587432</v>
      </c>
      <c r="N37" s="85">
        <v>0.87156675617094237</v>
      </c>
      <c r="O37" s="87">
        <v>8.5147682054931895E-2</v>
      </c>
      <c r="P37" s="45">
        <v>0.99055584951886733</v>
      </c>
      <c r="Q37" s="86">
        <v>0.99617966384398859</v>
      </c>
      <c r="R37" s="108">
        <v>0.93126533256153687</v>
      </c>
      <c r="S37" s="45">
        <v>1.0134623860819585</v>
      </c>
      <c r="T37" s="86">
        <v>1.0210216604728901</v>
      </c>
      <c r="U37" s="108">
        <v>0.9391322306551414</v>
      </c>
    </row>
    <row r="38" spans="1:21" x14ac:dyDescent="0.2">
      <c r="A38" s="44"/>
      <c r="B38" s="43" t="s">
        <v>1</v>
      </c>
      <c r="C38" s="42">
        <v>16737</v>
      </c>
      <c r="D38" s="125">
        <v>15287</v>
      </c>
      <c r="E38" s="133">
        <v>1450</v>
      </c>
      <c r="F38" s="42">
        <v>15112</v>
      </c>
      <c r="G38" s="125">
        <v>13717</v>
      </c>
      <c r="H38" s="133">
        <v>1395</v>
      </c>
      <c r="I38" s="41">
        <v>15899</v>
      </c>
      <c r="J38" s="40">
        <v>1.0527077174665074</v>
      </c>
      <c r="K38" s="39">
        <v>0.96150701301968677</v>
      </c>
      <c r="L38" s="38">
        <v>9.120070444682056E-2</v>
      </c>
      <c r="M38" s="40">
        <v>0.9505000314485188</v>
      </c>
      <c r="N38" s="39">
        <v>0.86275866406692248</v>
      </c>
      <c r="O38" s="38">
        <v>8.7741367381596325E-2</v>
      </c>
      <c r="P38" s="37"/>
      <c r="Q38" s="36"/>
      <c r="R38" s="35"/>
      <c r="S38" s="37"/>
      <c r="T38" s="36"/>
      <c r="U38" s="35"/>
    </row>
    <row r="39" spans="1:21" x14ac:dyDescent="0.2">
      <c r="A39" s="34"/>
      <c r="B39" s="33" t="s">
        <v>0</v>
      </c>
      <c r="C39" s="32">
        <v>15654</v>
      </c>
      <c r="D39" s="127">
        <v>14379</v>
      </c>
      <c r="E39" s="135">
        <v>1275</v>
      </c>
      <c r="F39" s="32">
        <v>14461</v>
      </c>
      <c r="G39" s="127">
        <v>13224</v>
      </c>
      <c r="H39" s="135">
        <v>1237</v>
      </c>
      <c r="I39" s="41">
        <v>15012</v>
      </c>
      <c r="J39" s="30">
        <v>1.0427657873701039</v>
      </c>
      <c r="K39" s="29">
        <v>0.95783373301358909</v>
      </c>
      <c r="L39" s="28">
        <v>8.4932054356514783E-2</v>
      </c>
      <c r="M39" s="30">
        <v>0.96329602984279239</v>
      </c>
      <c r="N39" s="29">
        <v>0.88089528377298165</v>
      </c>
      <c r="O39" s="28">
        <v>8.2400746069810821E-2</v>
      </c>
      <c r="P39" s="27"/>
      <c r="Q39" s="26"/>
      <c r="R39" s="25"/>
      <c r="S39" s="27"/>
      <c r="T39" s="26"/>
      <c r="U39" s="25"/>
    </row>
    <row r="40" spans="1:21" x14ac:dyDescent="0.2">
      <c r="A40" s="83" t="s">
        <v>4</v>
      </c>
      <c r="B40" s="84" t="s">
        <v>2</v>
      </c>
      <c r="C40" s="48">
        <v>41637</v>
      </c>
      <c r="D40" s="126">
        <v>37613</v>
      </c>
      <c r="E40" s="134">
        <v>4024</v>
      </c>
      <c r="F40" s="48">
        <v>38440</v>
      </c>
      <c r="G40" s="126">
        <v>34546</v>
      </c>
      <c r="H40" s="134">
        <v>3894</v>
      </c>
      <c r="I40" s="47">
        <v>42056</v>
      </c>
      <c r="J40" s="46">
        <v>0.99003709339927715</v>
      </c>
      <c r="K40" s="85">
        <v>0.89435514552025874</v>
      </c>
      <c r="L40" s="87">
        <v>9.5681947879018445E-2</v>
      </c>
      <c r="M40" s="46">
        <v>0.91401940270116033</v>
      </c>
      <c r="N40" s="85">
        <v>0.8214285714285714</v>
      </c>
      <c r="O40" s="87">
        <v>9.2590831272588936E-2</v>
      </c>
      <c r="P40" s="45">
        <v>0.97370650564343908</v>
      </c>
      <c r="Q40" s="86">
        <v>0.97162707135839854</v>
      </c>
      <c r="R40" s="108">
        <v>0.99335174026200357</v>
      </c>
      <c r="S40" s="45">
        <v>0.99834656067884431</v>
      </c>
      <c r="T40" s="86">
        <v>0.99763155844473106</v>
      </c>
      <c r="U40" s="108">
        <v>1.004711658300582</v>
      </c>
    </row>
    <row r="41" spans="1:21" x14ac:dyDescent="0.2">
      <c r="A41" s="44"/>
      <c r="B41" s="43" t="s">
        <v>1</v>
      </c>
      <c r="C41" s="42">
        <v>21647</v>
      </c>
      <c r="D41" s="125">
        <v>19575</v>
      </c>
      <c r="E41" s="133">
        <v>2072</v>
      </c>
      <c r="F41" s="42">
        <v>19745</v>
      </c>
      <c r="G41" s="125">
        <v>17751</v>
      </c>
      <c r="H41" s="133">
        <v>1994</v>
      </c>
      <c r="I41" s="41">
        <v>21585</v>
      </c>
      <c r="J41" s="40">
        <v>1.0028723650683344</v>
      </c>
      <c r="K41" s="39">
        <v>0.90687977762334959</v>
      </c>
      <c r="L41" s="38">
        <v>9.5992587444984942E-2</v>
      </c>
      <c r="M41" s="40">
        <v>0.91475561732684729</v>
      </c>
      <c r="N41" s="39">
        <v>0.82237665045170261</v>
      </c>
      <c r="O41" s="38">
        <v>9.2378966875144783E-2</v>
      </c>
      <c r="P41" s="37"/>
      <c r="Q41" s="36"/>
      <c r="R41" s="35"/>
      <c r="S41" s="37"/>
      <c r="T41" s="36"/>
      <c r="U41" s="35"/>
    </row>
    <row r="42" spans="1:21" x14ac:dyDescent="0.2">
      <c r="A42" s="34"/>
      <c r="B42" s="33" t="s">
        <v>0</v>
      </c>
      <c r="C42" s="32">
        <v>19990</v>
      </c>
      <c r="D42" s="127">
        <v>18038</v>
      </c>
      <c r="E42" s="135">
        <v>1952</v>
      </c>
      <c r="F42" s="32">
        <v>18695</v>
      </c>
      <c r="G42" s="127">
        <v>16795</v>
      </c>
      <c r="H42" s="135">
        <v>1900</v>
      </c>
      <c r="I42" s="31">
        <v>20471</v>
      </c>
      <c r="J42" s="30">
        <v>0.97650334619705925</v>
      </c>
      <c r="K42" s="29">
        <v>0.8811489424063309</v>
      </c>
      <c r="L42" s="28">
        <v>9.5354403790728348E-2</v>
      </c>
      <c r="M42" s="30">
        <v>0.91324312441991107</v>
      </c>
      <c r="N42" s="29">
        <v>0.82042889941868991</v>
      </c>
      <c r="O42" s="28">
        <v>9.2814225001221246E-2</v>
      </c>
      <c r="P42" s="27"/>
      <c r="Q42" s="26"/>
      <c r="R42" s="25"/>
      <c r="S42" s="27"/>
      <c r="T42" s="26"/>
      <c r="U42" s="25"/>
    </row>
    <row r="43" spans="1:21" x14ac:dyDescent="0.2">
      <c r="A43" s="24" t="s">
        <v>3</v>
      </c>
      <c r="B43" s="23" t="s">
        <v>2</v>
      </c>
      <c r="C43" s="22">
        <v>795372</v>
      </c>
      <c r="D43" s="112">
        <v>746243</v>
      </c>
      <c r="E43" s="137">
        <v>49129</v>
      </c>
      <c r="F43" s="22">
        <v>713590</v>
      </c>
      <c r="G43" s="112">
        <v>666630</v>
      </c>
      <c r="H43" s="137">
        <v>46960</v>
      </c>
      <c r="I43" s="82">
        <v>791731</v>
      </c>
      <c r="J43" s="21">
        <v>1.0045987841830117</v>
      </c>
      <c r="K43" s="20">
        <v>0.94254614256609881</v>
      </c>
      <c r="L43" s="19">
        <v>6.2052641616912818E-2</v>
      </c>
      <c r="M43" s="21">
        <v>0.90130359932855986</v>
      </c>
      <c r="N43" s="20">
        <v>0.84199052455947787</v>
      </c>
      <c r="O43" s="19">
        <v>5.9313074769081923E-2</v>
      </c>
      <c r="P43" s="18">
        <v>0.98496849853699808</v>
      </c>
      <c r="Q43" s="17">
        <v>0.98511545549580304</v>
      </c>
      <c r="R43" s="16">
        <v>0.98273888700515355</v>
      </c>
      <c r="S43" s="18">
        <v>1.0143615630666876</v>
      </c>
      <c r="T43" s="17">
        <v>1.0157595424473735</v>
      </c>
      <c r="U43" s="16">
        <v>0.99471679162377669</v>
      </c>
    </row>
    <row r="44" spans="1:21" x14ac:dyDescent="0.2">
      <c r="A44" s="24"/>
      <c r="B44" s="23" t="s">
        <v>1</v>
      </c>
      <c r="C44" s="22">
        <v>413547</v>
      </c>
      <c r="D44" s="112">
        <v>387975</v>
      </c>
      <c r="E44" s="137">
        <v>25572</v>
      </c>
      <c r="F44" s="22">
        <v>365785</v>
      </c>
      <c r="G44" s="112">
        <v>341484</v>
      </c>
      <c r="H44" s="137">
        <v>24301</v>
      </c>
      <c r="I44" s="82">
        <v>408660</v>
      </c>
      <c r="J44" s="21">
        <v>1.0119585963881956</v>
      </c>
      <c r="K44" s="20">
        <v>0.94938335046248712</v>
      </c>
      <c r="L44" s="19">
        <v>6.2575245925708414E-2</v>
      </c>
      <c r="M44" s="21">
        <v>0.89508393285371701</v>
      </c>
      <c r="N44" s="20">
        <v>0.83561885185728968</v>
      </c>
      <c r="O44" s="19">
        <v>5.9465080996427347E-2</v>
      </c>
      <c r="P44" s="18"/>
      <c r="Q44" s="17"/>
      <c r="R44" s="16"/>
      <c r="S44" s="18"/>
      <c r="T44" s="17"/>
      <c r="U44" s="16"/>
    </row>
    <row r="45" spans="1:21" ht="12" thickBot="1" x14ac:dyDescent="0.25">
      <c r="A45" s="15"/>
      <c r="B45" s="14" t="s">
        <v>0</v>
      </c>
      <c r="C45" s="13">
        <v>381825</v>
      </c>
      <c r="D45" s="113">
        <v>358268</v>
      </c>
      <c r="E45" s="138">
        <v>23557</v>
      </c>
      <c r="F45" s="13">
        <v>347805</v>
      </c>
      <c r="G45" s="113">
        <v>325146</v>
      </c>
      <c r="H45" s="138">
        <v>22659</v>
      </c>
      <c r="I45" s="81">
        <v>383071</v>
      </c>
      <c r="J45" s="12">
        <v>0.99674733926608905</v>
      </c>
      <c r="K45" s="11">
        <v>0.93525221173098461</v>
      </c>
      <c r="L45" s="10">
        <v>6.1495127535104457E-2</v>
      </c>
      <c r="M45" s="12">
        <v>0.90793873720537444</v>
      </c>
      <c r="N45" s="11">
        <v>0.84878782262296026</v>
      </c>
      <c r="O45" s="10">
        <v>5.9150914582414227E-2</v>
      </c>
      <c r="P45" s="9"/>
      <c r="Q45" s="8"/>
      <c r="R45" s="7"/>
      <c r="S45" s="9"/>
      <c r="T45" s="8"/>
      <c r="U45" s="7"/>
    </row>
  </sheetData>
  <sheetProtection algorithmName="SHA-512" hashValue="v7NTLgmsbZkk0DFytupQ4mJZDmNTQdWBO09gTmnVr5tdMGQ2G5jZnJuO3tPHpej1qrlZ9rAJy9Yzbckox/nCaw==" saltValue="gneh2nxfqghaRlt5YZJxLQ==" spinCount="100000" sheet="1" objects="1" scenarios="1"/>
  <mergeCells count="11">
    <mergeCell ref="S6:U6"/>
    <mergeCell ref="A1:U1"/>
    <mergeCell ref="A2:U2"/>
    <mergeCell ref="A3:U3"/>
    <mergeCell ref="A4:U4"/>
    <mergeCell ref="A6:B7"/>
    <mergeCell ref="C6:E6"/>
    <mergeCell ref="F6:H6"/>
    <mergeCell ref="J6:L6"/>
    <mergeCell ref="M6:O6"/>
    <mergeCell ref="P6:R6"/>
  </mergeCells>
  <printOptions horizontalCentered="1"/>
  <pageMargins left="0" right="0" top="0.25" bottom="0.25" header="0" footer="0"/>
  <pageSetup paperSize="9" scale="68" orientation="landscape" horizontalDpi="300" verticalDpi="300" r:id="rId1"/>
  <headerFooter alignWithMargins="0">
    <oddFooter>&amp;L&amp;F&amp;R&amp;P</oddFooter>
  </headerFooter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8">
    <tabColor theme="8" tint="-0.249977111117893"/>
  </sheetPr>
  <dimension ref="A1:U45"/>
  <sheetViews>
    <sheetView showGridLines="0" workbookViewId="0">
      <pane xSplit="2" ySplit="7" topLeftCell="C8" activePane="bottomRight" state="frozen"/>
      <selection activeCell="C8" sqref="C8"/>
      <selection pane="topRight" activeCell="C8" sqref="C8"/>
      <selection pane="bottomLeft" activeCell="C8" sqref="C8"/>
      <selection pane="bottomRight" activeCell="C8" sqref="C8"/>
    </sheetView>
  </sheetViews>
  <sheetFormatPr defaultColWidth="9.140625" defaultRowHeight="11.25" x14ac:dyDescent="0.2"/>
  <cols>
    <col min="1" max="1" width="34" style="6" customWidth="1"/>
    <col min="2" max="2" width="10.7109375" style="1" customWidth="1"/>
    <col min="3" max="8" width="8.7109375" style="5" customWidth="1"/>
    <col min="9" max="9" width="10.42578125" style="5" customWidth="1"/>
    <col min="10" max="15" width="7.7109375" style="4" customWidth="1"/>
    <col min="16" max="19" width="7.28515625" style="3" customWidth="1"/>
    <col min="20" max="21" width="7.28515625" style="2" customWidth="1"/>
    <col min="22" max="16384" width="9.140625" style="1"/>
  </cols>
  <sheetData>
    <row r="1" spans="1:21" x14ac:dyDescent="0.2">
      <c r="A1" s="568" t="s">
        <v>23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568"/>
      <c r="O1" s="568"/>
      <c r="P1" s="568"/>
      <c r="Q1" s="568"/>
      <c r="R1" s="568"/>
      <c r="S1" s="568"/>
      <c r="T1" s="568"/>
      <c r="U1" s="568"/>
    </row>
    <row r="2" spans="1:21" x14ac:dyDescent="0.2">
      <c r="A2" s="568" t="s">
        <v>43</v>
      </c>
      <c r="B2" s="568"/>
      <c r="C2" s="568"/>
      <c r="D2" s="568"/>
      <c r="E2" s="568"/>
      <c r="F2" s="568"/>
      <c r="G2" s="568"/>
      <c r="H2" s="568"/>
      <c r="I2" s="568"/>
      <c r="J2" s="568"/>
      <c r="K2" s="568"/>
      <c r="L2" s="568"/>
      <c r="M2" s="568"/>
      <c r="N2" s="568"/>
      <c r="O2" s="568"/>
      <c r="P2" s="568"/>
      <c r="Q2" s="568"/>
      <c r="R2" s="568"/>
      <c r="S2" s="568"/>
      <c r="T2" s="568"/>
      <c r="U2" s="568"/>
    </row>
    <row r="3" spans="1:21" x14ac:dyDescent="0.2">
      <c r="A3" s="583" t="s">
        <v>47</v>
      </c>
      <c r="B3" s="583"/>
      <c r="C3" s="583"/>
      <c r="D3" s="583"/>
      <c r="E3" s="583"/>
      <c r="F3" s="583"/>
      <c r="G3" s="583"/>
      <c r="H3" s="583"/>
      <c r="I3" s="583"/>
      <c r="J3" s="583"/>
      <c r="K3" s="583"/>
      <c r="L3" s="583"/>
      <c r="M3" s="583"/>
      <c r="N3" s="583"/>
      <c r="O3" s="583"/>
      <c r="P3" s="583"/>
      <c r="Q3" s="583"/>
      <c r="R3" s="583"/>
      <c r="S3" s="583"/>
      <c r="T3" s="583"/>
      <c r="U3" s="583"/>
    </row>
    <row r="4" spans="1:21" x14ac:dyDescent="0.2">
      <c r="A4" s="571" t="s">
        <v>48</v>
      </c>
      <c r="B4" s="571"/>
      <c r="C4" s="571"/>
      <c r="D4" s="571"/>
      <c r="E4" s="571"/>
      <c r="F4" s="571"/>
      <c r="G4" s="571"/>
      <c r="H4" s="571"/>
      <c r="I4" s="571"/>
      <c r="J4" s="571"/>
      <c r="K4" s="571"/>
      <c r="L4" s="571"/>
      <c r="M4" s="571"/>
      <c r="N4" s="571"/>
      <c r="O4" s="571"/>
      <c r="P4" s="571"/>
      <c r="Q4" s="571"/>
      <c r="R4" s="571"/>
      <c r="S4" s="571"/>
      <c r="T4" s="571"/>
      <c r="U4" s="571"/>
    </row>
    <row r="5" spans="1:21" ht="12" thickBot="1" x14ac:dyDescent="0.25">
      <c r="A5" s="107"/>
      <c r="B5" s="109"/>
      <c r="C5" s="106"/>
      <c r="D5" s="105"/>
      <c r="E5" s="105"/>
      <c r="F5" s="106"/>
      <c r="G5" s="105"/>
      <c r="H5" s="105"/>
      <c r="I5" s="104"/>
      <c r="J5" s="103"/>
      <c r="K5" s="103"/>
      <c r="L5" s="103"/>
      <c r="M5" s="103"/>
      <c r="N5" s="103"/>
      <c r="O5" s="103"/>
      <c r="P5" s="102"/>
      <c r="Q5" s="102"/>
      <c r="R5" s="102"/>
      <c r="S5" s="101"/>
      <c r="T5" s="100"/>
      <c r="U5" s="100"/>
    </row>
    <row r="6" spans="1:21" ht="11.25" customHeight="1" x14ac:dyDescent="0.2">
      <c r="A6" s="572" t="s">
        <v>22</v>
      </c>
      <c r="B6" s="573"/>
      <c r="C6" s="576" t="s">
        <v>31</v>
      </c>
      <c r="D6" s="577"/>
      <c r="E6" s="578"/>
      <c r="F6" s="579" t="s">
        <v>38</v>
      </c>
      <c r="G6" s="577"/>
      <c r="H6" s="580"/>
      <c r="I6" s="99" t="s">
        <v>21</v>
      </c>
      <c r="J6" s="581" t="s">
        <v>33</v>
      </c>
      <c r="K6" s="566"/>
      <c r="L6" s="567"/>
      <c r="M6" s="565" t="s">
        <v>34</v>
      </c>
      <c r="N6" s="566"/>
      <c r="O6" s="582"/>
      <c r="P6" s="581" t="s">
        <v>20</v>
      </c>
      <c r="Q6" s="566"/>
      <c r="R6" s="567"/>
      <c r="S6" s="565" t="s">
        <v>19</v>
      </c>
      <c r="T6" s="566"/>
      <c r="U6" s="567"/>
    </row>
    <row r="7" spans="1:21" s="88" customFormat="1" ht="12" customHeight="1" thickBot="1" x14ac:dyDescent="0.25">
      <c r="A7" s="574"/>
      <c r="B7" s="575"/>
      <c r="C7" s="98" t="s">
        <v>6</v>
      </c>
      <c r="D7" s="111" t="s">
        <v>17</v>
      </c>
      <c r="E7" s="131" t="s">
        <v>16</v>
      </c>
      <c r="F7" s="97" t="s">
        <v>6</v>
      </c>
      <c r="G7" s="111" t="s">
        <v>17</v>
      </c>
      <c r="H7" s="141" t="s">
        <v>16</v>
      </c>
      <c r="I7" s="96" t="s">
        <v>26</v>
      </c>
      <c r="J7" s="95" t="s">
        <v>18</v>
      </c>
      <c r="K7" s="90" t="s">
        <v>17</v>
      </c>
      <c r="L7" s="89" t="s">
        <v>16</v>
      </c>
      <c r="M7" s="91" t="s">
        <v>18</v>
      </c>
      <c r="N7" s="90" t="s">
        <v>17</v>
      </c>
      <c r="O7" s="94" t="s">
        <v>16</v>
      </c>
      <c r="P7" s="93" t="s">
        <v>18</v>
      </c>
      <c r="Q7" s="90" t="s">
        <v>17</v>
      </c>
      <c r="R7" s="92" t="s">
        <v>16</v>
      </c>
      <c r="S7" s="91" t="s">
        <v>18</v>
      </c>
      <c r="T7" s="90" t="s">
        <v>17</v>
      </c>
      <c r="U7" s="89" t="s">
        <v>16</v>
      </c>
    </row>
    <row r="8" spans="1:21" x14ac:dyDescent="0.2">
      <c r="A8" s="80" t="s">
        <v>14</v>
      </c>
      <c r="B8" s="69"/>
      <c r="C8" s="79"/>
      <c r="D8" s="130"/>
      <c r="E8" s="140"/>
      <c r="F8" s="79"/>
      <c r="G8" s="130"/>
      <c r="H8" s="140"/>
      <c r="I8" s="79"/>
      <c r="J8" s="78"/>
      <c r="K8" s="77"/>
      <c r="L8" s="76"/>
      <c r="M8" s="78"/>
      <c r="N8" s="77"/>
      <c r="O8" s="76"/>
      <c r="P8" s="75"/>
      <c r="Q8" s="74"/>
      <c r="R8" s="73"/>
      <c r="S8" s="72"/>
      <c r="T8" s="71"/>
      <c r="U8" s="70"/>
    </row>
    <row r="9" spans="1:21" ht="12" thickBot="1" x14ac:dyDescent="0.25">
      <c r="A9" s="69"/>
      <c r="B9" s="69"/>
      <c r="C9" s="68"/>
      <c r="D9" s="129"/>
      <c r="E9" s="139"/>
      <c r="F9" s="68"/>
      <c r="G9" s="129"/>
      <c r="H9" s="139"/>
      <c r="I9" s="68"/>
      <c r="J9" s="67"/>
      <c r="K9" s="66"/>
      <c r="L9" s="65"/>
      <c r="M9" s="67"/>
      <c r="N9" s="66"/>
      <c r="O9" s="65"/>
      <c r="P9" s="64"/>
      <c r="Q9" s="63"/>
      <c r="R9" s="62"/>
      <c r="S9" s="61"/>
      <c r="T9" s="60"/>
      <c r="U9" s="59"/>
    </row>
    <row r="10" spans="1:21" x14ac:dyDescent="0.2">
      <c r="A10" s="58" t="s">
        <v>13</v>
      </c>
      <c r="B10" s="57" t="s">
        <v>2</v>
      </c>
      <c r="C10" s="56">
        <v>133656</v>
      </c>
      <c r="D10" s="124">
        <v>112797</v>
      </c>
      <c r="E10" s="132">
        <v>20859</v>
      </c>
      <c r="F10" s="56">
        <v>118018</v>
      </c>
      <c r="G10" s="124">
        <v>99351</v>
      </c>
      <c r="H10" s="132">
        <v>18667</v>
      </c>
      <c r="I10" s="55">
        <v>139829</v>
      </c>
      <c r="J10" s="54">
        <v>0.95585322071959322</v>
      </c>
      <c r="K10" s="53">
        <v>0.80667815689163191</v>
      </c>
      <c r="L10" s="52">
        <v>0.14917506382796131</v>
      </c>
      <c r="M10" s="54">
        <v>0.84401662030050995</v>
      </c>
      <c r="N10" s="53">
        <v>0.71051784679858976</v>
      </c>
      <c r="O10" s="52">
        <v>0.13349877350192021</v>
      </c>
      <c r="P10" s="51">
        <v>1.0349973356214104</v>
      </c>
      <c r="Q10" s="50">
        <v>1.0274732195172231</v>
      </c>
      <c r="R10" s="49">
        <v>1.0766487187437932</v>
      </c>
      <c r="S10" s="51">
        <v>1.0948724288532601</v>
      </c>
      <c r="T10" s="50">
        <v>1.0920773765340808</v>
      </c>
      <c r="U10" s="49">
        <v>1.1098721730055916</v>
      </c>
    </row>
    <row r="11" spans="1:21" x14ac:dyDescent="0.2">
      <c r="A11" s="44"/>
      <c r="B11" s="43" t="s">
        <v>1</v>
      </c>
      <c r="C11" s="42">
        <v>67246</v>
      </c>
      <c r="D11" s="125">
        <v>56957</v>
      </c>
      <c r="E11" s="133">
        <v>10289</v>
      </c>
      <c r="F11" s="42">
        <v>57719</v>
      </c>
      <c r="G11" s="125">
        <v>48653</v>
      </c>
      <c r="H11" s="133">
        <v>9066</v>
      </c>
      <c r="I11" s="41">
        <v>71554</v>
      </c>
      <c r="J11" s="40">
        <v>0.939793722223775</v>
      </c>
      <c r="K11" s="39">
        <v>0.79600022360734546</v>
      </c>
      <c r="L11" s="38">
        <v>0.14379349861642954</v>
      </c>
      <c r="M11" s="40">
        <v>0.80664952343684493</v>
      </c>
      <c r="N11" s="39">
        <v>0.67994801129217097</v>
      </c>
      <c r="O11" s="38">
        <v>0.12670151214467396</v>
      </c>
      <c r="P11" s="37"/>
      <c r="Q11" s="36"/>
      <c r="R11" s="35"/>
      <c r="S11" s="37"/>
      <c r="T11" s="36"/>
      <c r="U11" s="35"/>
    </row>
    <row r="12" spans="1:21" x14ac:dyDescent="0.2">
      <c r="A12" s="34"/>
      <c r="B12" s="33" t="s">
        <v>0</v>
      </c>
      <c r="C12" s="42">
        <v>66410</v>
      </c>
      <c r="D12" s="125">
        <v>55840</v>
      </c>
      <c r="E12" s="133">
        <v>10570</v>
      </c>
      <c r="F12" s="42">
        <v>60299</v>
      </c>
      <c r="G12" s="125">
        <v>50698</v>
      </c>
      <c r="H12" s="133">
        <v>9601</v>
      </c>
      <c r="I12" s="41">
        <v>68275</v>
      </c>
      <c r="J12" s="30">
        <v>0.97268399853533505</v>
      </c>
      <c r="K12" s="29">
        <v>0.81786891248626881</v>
      </c>
      <c r="L12" s="28">
        <v>0.15481508604906627</v>
      </c>
      <c r="M12" s="30">
        <v>0.8831783229586232</v>
      </c>
      <c r="N12" s="29">
        <v>0.74255584035151956</v>
      </c>
      <c r="O12" s="28">
        <v>0.14062248260710364</v>
      </c>
      <c r="P12" s="27"/>
      <c r="Q12" s="26"/>
      <c r="R12" s="25"/>
      <c r="S12" s="27"/>
      <c r="T12" s="26"/>
      <c r="U12" s="25"/>
    </row>
    <row r="13" spans="1:21" x14ac:dyDescent="0.2">
      <c r="A13" s="83" t="s">
        <v>46</v>
      </c>
      <c r="B13" s="84" t="s">
        <v>2</v>
      </c>
      <c r="C13" s="48">
        <v>56858</v>
      </c>
      <c r="D13" s="126">
        <v>54550</v>
      </c>
      <c r="E13" s="134">
        <v>2308</v>
      </c>
      <c r="F13" s="48">
        <v>52642</v>
      </c>
      <c r="G13" s="126">
        <v>50432</v>
      </c>
      <c r="H13" s="134">
        <v>2210</v>
      </c>
      <c r="I13" s="47">
        <v>68277</v>
      </c>
      <c r="J13" s="46">
        <v>0.83275480762189313</v>
      </c>
      <c r="K13" s="85">
        <v>0.79895133060913637</v>
      </c>
      <c r="L13" s="87">
        <v>3.3803477012756857E-2</v>
      </c>
      <c r="M13" s="46">
        <v>0.77100634181349503</v>
      </c>
      <c r="N13" s="85">
        <v>0.73863819441393153</v>
      </c>
      <c r="O13" s="87">
        <v>3.2368147399563542E-2</v>
      </c>
      <c r="P13" s="45">
        <v>1.0519115376306822</v>
      </c>
      <c r="Q13" s="86">
        <v>1.058128129818807</v>
      </c>
      <c r="R13" s="108">
        <v>0.91480886710472786</v>
      </c>
      <c r="S13" s="45">
        <v>1.1059920527619744</v>
      </c>
      <c r="T13" s="86">
        <v>1.1146932441848447</v>
      </c>
      <c r="U13" s="108">
        <v>0.92459445688753861</v>
      </c>
    </row>
    <row r="14" spans="1:21" x14ac:dyDescent="0.2">
      <c r="A14" s="44"/>
      <c r="B14" s="43" t="s">
        <v>1</v>
      </c>
      <c r="C14" s="42">
        <v>28864</v>
      </c>
      <c r="D14" s="125">
        <v>27612</v>
      </c>
      <c r="E14" s="133">
        <v>1252</v>
      </c>
      <c r="F14" s="42">
        <v>26064</v>
      </c>
      <c r="G14" s="125">
        <v>24871</v>
      </c>
      <c r="H14" s="133">
        <v>1193</v>
      </c>
      <c r="I14" s="41">
        <v>35524</v>
      </c>
      <c r="J14" s="40">
        <v>0.8125211124873325</v>
      </c>
      <c r="K14" s="39">
        <v>0.77727733363359985</v>
      </c>
      <c r="L14" s="38">
        <v>3.5243778853732685E-2</v>
      </c>
      <c r="M14" s="40">
        <v>0.73370115977930417</v>
      </c>
      <c r="N14" s="39">
        <v>0.70011822992906203</v>
      </c>
      <c r="O14" s="38">
        <v>3.3582929850242089E-2</v>
      </c>
      <c r="P14" s="37"/>
      <c r="Q14" s="36"/>
      <c r="R14" s="35"/>
      <c r="S14" s="37"/>
      <c r="T14" s="36"/>
      <c r="U14" s="35"/>
    </row>
    <row r="15" spans="1:21" x14ac:dyDescent="0.2">
      <c r="A15" s="34"/>
      <c r="B15" s="33" t="s">
        <v>0</v>
      </c>
      <c r="C15" s="32">
        <v>27994</v>
      </c>
      <c r="D15" s="127">
        <v>26938</v>
      </c>
      <c r="E15" s="135">
        <v>1056</v>
      </c>
      <c r="F15" s="32">
        <v>26578</v>
      </c>
      <c r="G15" s="127">
        <v>25561</v>
      </c>
      <c r="H15" s="135">
        <v>1017</v>
      </c>
      <c r="I15" s="31">
        <v>32753</v>
      </c>
      <c r="J15" s="30">
        <v>0.85470033279394253</v>
      </c>
      <c r="K15" s="29">
        <v>0.82245901138826982</v>
      </c>
      <c r="L15" s="28">
        <v>3.2241321405672763E-2</v>
      </c>
      <c r="M15" s="30">
        <v>0.81146765181815406</v>
      </c>
      <c r="N15" s="29">
        <v>0.78041706103257713</v>
      </c>
      <c r="O15" s="28">
        <v>3.1050590785576895E-2</v>
      </c>
      <c r="P15" s="27"/>
      <c r="Q15" s="26"/>
      <c r="R15" s="25"/>
      <c r="S15" s="27"/>
      <c r="T15" s="26"/>
      <c r="U15" s="25"/>
    </row>
    <row r="16" spans="1:21" x14ac:dyDescent="0.2">
      <c r="A16" s="83" t="s">
        <v>12</v>
      </c>
      <c r="B16" s="84" t="s">
        <v>2</v>
      </c>
      <c r="C16" s="48">
        <v>35300</v>
      </c>
      <c r="D16" s="126">
        <v>32829</v>
      </c>
      <c r="E16" s="134">
        <v>2471</v>
      </c>
      <c r="F16" s="48">
        <v>32826</v>
      </c>
      <c r="G16" s="126">
        <v>30542</v>
      </c>
      <c r="H16" s="134">
        <v>2284</v>
      </c>
      <c r="I16" s="47">
        <v>42390</v>
      </c>
      <c r="J16" s="46">
        <v>0.83274357159707479</v>
      </c>
      <c r="K16" s="85">
        <v>0.77445152158527952</v>
      </c>
      <c r="L16" s="87">
        <v>5.8292050011795236E-2</v>
      </c>
      <c r="M16" s="46">
        <v>0.77438075017692853</v>
      </c>
      <c r="N16" s="85">
        <v>0.72050011795234725</v>
      </c>
      <c r="O16" s="87">
        <v>5.3880632224581268E-2</v>
      </c>
      <c r="P16" s="45">
        <v>1.0340449368160314</v>
      </c>
      <c r="Q16" s="86">
        <v>1.0440526742118783</v>
      </c>
      <c r="R16" s="108">
        <v>0.90953580903554099</v>
      </c>
      <c r="S16" s="45">
        <v>1.0884152308056594</v>
      </c>
      <c r="T16" s="86">
        <v>1.0993743375927247</v>
      </c>
      <c r="U16" s="108">
        <v>0.95182490894141747</v>
      </c>
    </row>
    <row r="17" spans="1:21" x14ac:dyDescent="0.2">
      <c r="A17" s="44"/>
      <c r="B17" s="43" t="s">
        <v>1</v>
      </c>
      <c r="C17" s="42">
        <v>17971</v>
      </c>
      <c r="D17" s="125">
        <v>16634</v>
      </c>
      <c r="E17" s="133">
        <v>1337</v>
      </c>
      <c r="F17" s="42">
        <v>16291</v>
      </c>
      <c r="G17" s="125">
        <v>15081</v>
      </c>
      <c r="H17" s="133">
        <v>1210</v>
      </c>
      <c r="I17" s="41">
        <v>21935</v>
      </c>
      <c r="J17" s="40">
        <v>0.81928424891725549</v>
      </c>
      <c r="K17" s="39">
        <v>0.75833143378162748</v>
      </c>
      <c r="L17" s="38">
        <v>6.0952815135627988E-2</v>
      </c>
      <c r="M17" s="40">
        <v>0.74269432413950309</v>
      </c>
      <c r="N17" s="39">
        <v>0.68753134260314563</v>
      </c>
      <c r="O17" s="38">
        <v>5.5162981536357417E-2</v>
      </c>
      <c r="P17" s="37"/>
      <c r="Q17" s="36"/>
      <c r="R17" s="35"/>
      <c r="S17" s="37"/>
      <c r="T17" s="36"/>
      <c r="U17" s="35"/>
    </row>
    <row r="18" spans="1:21" x14ac:dyDescent="0.2">
      <c r="A18" s="34"/>
      <c r="B18" s="33" t="s">
        <v>0</v>
      </c>
      <c r="C18" s="32">
        <v>17329</v>
      </c>
      <c r="D18" s="127">
        <v>16195</v>
      </c>
      <c r="E18" s="135">
        <v>1134</v>
      </c>
      <c r="F18" s="32">
        <v>16535</v>
      </c>
      <c r="G18" s="127">
        <v>15461</v>
      </c>
      <c r="H18" s="135">
        <v>1074</v>
      </c>
      <c r="I18" s="31">
        <v>20455</v>
      </c>
      <c r="J18" s="30">
        <v>0.84717672940601318</v>
      </c>
      <c r="K18" s="29">
        <v>0.79173796137863606</v>
      </c>
      <c r="L18" s="28">
        <v>5.5438768027377169E-2</v>
      </c>
      <c r="M18" s="30">
        <v>0.8083598142263505</v>
      </c>
      <c r="N18" s="29">
        <v>0.75585431434856998</v>
      </c>
      <c r="O18" s="28">
        <v>5.2505499877780491E-2</v>
      </c>
      <c r="P18" s="27"/>
      <c r="Q18" s="26"/>
      <c r="R18" s="25"/>
      <c r="S18" s="27"/>
      <c r="T18" s="26"/>
      <c r="U18" s="25"/>
    </row>
    <row r="19" spans="1:21" x14ac:dyDescent="0.2">
      <c r="A19" s="83" t="s">
        <v>11</v>
      </c>
      <c r="B19" s="84" t="s">
        <v>2</v>
      </c>
      <c r="C19" s="48">
        <v>33633</v>
      </c>
      <c r="D19" s="126">
        <v>27966</v>
      </c>
      <c r="E19" s="134">
        <v>5667</v>
      </c>
      <c r="F19" s="48">
        <v>31371</v>
      </c>
      <c r="G19" s="126">
        <v>25959</v>
      </c>
      <c r="H19" s="134">
        <v>5412</v>
      </c>
      <c r="I19" s="47">
        <v>40910</v>
      </c>
      <c r="J19" s="46">
        <v>0.82212173062820826</v>
      </c>
      <c r="K19" s="85">
        <v>0.68359814226350524</v>
      </c>
      <c r="L19" s="87">
        <v>0.13852358836470299</v>
      </c>
      <c r="M19" s="46">
        <v>0.76682962600831095</v>
      </c>
      <c r="N19" s="85">
        <v>0.6345392324615009</v>
      </c>
      <c r="O19" s="87">
        <v>0.13229039354681008</v>
      </c>
      <c r="P19" s="45">
        <v>1.0996732575311308</v>
      </c>
      <c r="Q19" s="86">
        <v>1.103276597255437</v>
      </c>
      <c r="R19" s="108">
        <v>1.0820640036840787</v>
      </c>
      <c r="S19" s="45">
        <v>1.1512826261742288</v>
      </c>
      <c r="T19" s="86">
        <v>1.1622052414353972</v>
      </c>
      <c r="U19" s="108">
        <v>1.1003375923068404</v>
      </c>
    </row>
    <row r="20" spans="1:21" x14ac:dyDescent="0.2">
      <c r="A20" s="44"/>
      <c r="B20" s="43" t="s">
        <v>1</v>
      </c>
      <c r="C20" s="42">
        <v>16660</v>
      </c>
      <c r="D20" s="125">
        <v>13830</v>
      </c>
      <c r="E20" s="133">
        <v>2830</v>
      </c>
      <c r="F20" s="42">
        <v>15180</v>
      </c>
      <c r="G20" s="125">
        <v>12500</v>
      </c>
      <c r="H20" s="133">
        <v>2680</v>
      </c>
      <c r="I20" s="41">
        <v>21236</v>
      </c>
      <c r="J20" s="40">
        <v>0.78451685816537953</v>
      </c>
      <c r="K20" s="39">
        <v>0.65125258994160862</v>
      </c>
      <c r="L20" s="38">
        <v>0.13326426822377097</v>
      </c>
      <c r="M20" s="40">
        <v>0.71482388397061591</v>
      </c>
      <c r="N20" s="39">
        <v>0.58862309286117909</v>
      </c>
      <c r="O20" s="38">
        <v>0.1262007911094368</v>
      </c>
      <c r="P20" s="37"/>
      <c r="Q20" s="36"/>
      <c r="R20" s="35"/>
      <c r="S20" s="37"/>
      <c r="T20" s="36"/>
      <c r="U20" s="35"/>
    </row>
    <row r="21" spans="1:21" x14ac:dyDescent="0.2">
      <c r="A21" s="34"/>
      <c r="B21" s="33" t="s">
        <v>0</v>
      </c>
      <c r="C21" s="32">
        <v>16973</v>
      </c>
      <c r="D21" s="127">
        <v>14136</v>
      </c>
      <c r="E21" s="135">
        <v>2837</v>
      </c>
      <c r="F21" s="32">
        <v>16191</v>
      </c>
      <c r="G21" s="127">
        <v>13459</v>
      </c>
      <c r="H21" s="135">
        <v>2732</v>
      </c>
      <c r="I21" s="31">
        <v>19674</v>
      </c>
      <c r="J21" s="30">
        <v>0.862712209006811</v>
      </c>
      <c r="K21" s="29">
        <v>0.71851174138456841</v>
      </c>
      <c r="L21" s="28">
        <v>0.14420046762224256</v>
      </c>
      <c r="M21" s="30">
        <v>0.82296431838975292</v>
      </c>
      <c r="N21" s="29">
        <v>0.68410084375317681</v>
      </c>
      <c r="O21" s="28">
        <v>0.1388634746365762</v>
      </c>
      <c r="P21" s="27"/>
      <c r="Q21" s="26"/>
      <c r="R21" s="25"/>
      <c r="S21" s="27"/>
      <c r="T21" s="26"/>
      <c r="U21" s="25"/>
    </row>
    <row r="22" spans="1:21" x14ac:dyDescent="0.2">
      <c r="A22" s="83" t="s">
        <v>27</v>
      </c>
      <c r="B22" s="84" t="s">
        <v>2</v>
      </c>
      <c r="C22" s="48">
        <v>21223</v>
      </c>
      <c r="D22" s="126">
        <v>20280</v>
      </c>
      <c r="E22" s="134">
        <v>943</v>
      </c>
      <c r="F22" s="48">
        <v>18550</v>
      </c>
      <c r="G22" s="126">
        <v>17675</v>
      </c>
      <c r="H22" s="134">
        <v>875</v>
      </c>
      <c r="I22" s="47">
        <v>30735</v>
      </c>
      <c r="J22" s="46">
        <v>0.69051569871482021</v>
      </c>
      <c r="K22" s="85">
        <v>0.65983406539775502</v>
      </c>
      <c r="L22" s="87">
        <v>3.0681633317065235E-2</v>
      </c>
      <c r="M22" s="46">
        <v>0.60354644542053038</v>
      </c>
      <c r="N22" s="85">
        <v>0.57507727346673176</v>
      </c>
      <c r="O22" s="87">
        <v>2.8469171953798601E-2</v>
      </c>
      <c r="P22" s="45">
        <v>1.1684377504857675</v>
      </c>
      <c r="Q22" s="86">
        <v>1.174650354880256</v>
      </c>
      <c r="R22" s="108">
        <v>1.0427540053465238</v>
      </c>
      <c r="S22" s="45">
        <v>1.2434703666292741</v>
      </c>
      <c r="T22" s="86">
        <v>1.2521560274333066</v>
      </c>
      <c r="U22" s="108">
        <v>1.0810626162355441</v>
      </c>
    </row>
    <row r="23" spans="1:21" x14ac:dyDescent="0.2">
      <c r="A23" s="44"/>
      <c r="B23" s="43" t="s">
        <v>1</v>
      </c>
      <c r="C23" s="42">
        <v>10042</v>
      </c>
      <c r="D23" s="125">
        <v>9569</v>
      </c>
      <c r="E23" s="133">
        <v>473</v>
      </c>
      <c r="F23" s="42">
        <v>8490</v>
      </c>
      <c r="G23" s="125">
        <v>8059</v>
      </c>
      <c r="H23" s="133">
        <v>431</v>
      </c>
      <c r="I23" s="41">
        <v>15738</v>
      </c>
      <c r="J23" s="40">
        <v>0.63807345278942684</v>
      </c>
      <c r="K23" s="39">
        <v>0.60801880798068375</v>
      </c>
      <c r="L23" s="38">
        <v>3.0054644808743168E-2</v>
      </c>
      <c r="M23" s="40">
        <v>0.53945863515059089</v>
      </c>
      <c r="N23" s="39">
        <v>0.51207269030372349</v>
      </c>
      <c r="O23" s="38">
        <v>2.7385944846867454E-2</v>
      </c>
      <c r="P23" s="37"/>
      <c r="Q23" s="36"/>
      <c r="R23" s="35"/>
      <c r="S23" s="37"/>
      <c r="T23" s="36"/>
      <c r="U23" s="35"/>
    </row>
    <row r="24" spans="1:21" x14ac:dyDescent="0.2">
      <c r="A24" s="34"/>
      <c r="B24" s="33" t="s">
        <v>0</v>
      </c>
      <c r="C24" s="32">
        <v>11181</v>
      </c>
      <c r="D24" s="127">
        <v>10711</v>
      </c>
      <c r="E24" s="135">
        <v>470</v>
      </c>
      <c r="F24" s="32">
        <v>10060</v>
      </c>
      <c r="G24" s="127">
        <v>9616</v>
      </c>
      <c r="H24" s="135">
        <v>444</v>
      </c>
      <c r="I24" s="31">
        <v>14997</v>
      </c>
      <c r="J24" s="30">
        <v>0.74554910982196443</v>
      </c>
      <c r="K24" s="29">
        <v>0.71420950856838039</v>
      </c>
      <c r="L24" s="28">
        <v>3.1339601253584051E-2</v>
      </c>
      <c r="M24" s="30">
        <v>0.67080082683203313</v>
      </c>
      <c r="N24" s="29">
        <v>0.64119490564779624</v>
      </c>
      <c r="O24" s="28">
        <v>2.9605921184236848E-2</v>
      </c>
      <c r="P24" s="27"/>
      <c r="Q24" s="26"/>
      <c r="R24" s="25"/>
      <c r="S24" s="27"/>
      <c r="T24" s="26"/>
      <c r="U24" s="25"/>
    </row>
    <row r="25" spans="1:21" x14ac:dyDescent="0.2">
      <c r="A25" s="83" t="s">
        <v>10</v>
      </c>
      <c r="B25" s="84" t="s">
        <v>2</v>
      </c>
      <c r="C25" s="48">
        <v>32886</v>
      </c>
      <c r="D25" s="126">
        <v>30538</v>
      </c>
      <c r="E25" s="134">
        <v>2348</v>
      </c>
      <c r="F25" s="48">
        <v>29474</v>
      </c>
      <c r="G25" s="126">
        <v>27237</v>
      </c>
      <c r="H25" s="134">
        <v>2237</v>
      </c>
      <c r="I25" s="47">
        <v>38883</v>
      </c>
      <c r="J25" s="46">
        <v>0.84576807345112259</v>
      </c>
      <c r="K25" s="85">
        <v>0.78538178638479539</v>
      </c>
      <c r="L25" s="87">
        <v>6.0386287066327184E-2</v>
      </c>
      <c r="M25" s="46">
        <v>0.75801764267160454</v>
      </c>
      <c r="N25" s="85">
        <v>0.70048607360543169</v>
      </c>
      <c r="O25" s="87">
        <v>5.7531569066172877E-2</v>
      </c>
      <c r="P25" s="45">
        <v>1.0547310772334524</v>
      </c>
      <c r="Q25" s="86">
        <v>1.0549773054958638</v>
      </c>
      <c r="R25" s="108">
        <v>1.0515339076873358</v>
      </c>
      <c r="S25" s="45">
        <v>1.1274218225695309</v>
      </c>
      <c r="T25" s="86">
        <v>1.1314285319453201</v>
      </c>
      <c r="U25" s="108">
        <v>1.0797978630882914</v>
      </c>
    </row>
    <row r="26" spans="1:21" x14ac:dyDescent="0.2">
      <c r="A26" s="44"/>
      <c r="B26" s="43" t="s">
        <v>1</v>
      </c>
      <c r="C26" s="42">
        <v>16320</v>
      </c>
      <c r="D26" s="125">
        <v>15153</v>
      </c>
      <c r="E26" s="133">
        <v>1167</v>
      </c>
      <c r="F26" s="42">
        <v>14136</v>
      </c>
      <c r="G26" s="125">
        <v>13039</v>
      </c>
      <c r="H26" s="133">
        <v>1097</v>
      </c>
      <c r="I26" s="41">
        <v>19814</v>
      </c>
      <c r="J26" s="40">
        <v>0.82366003835671753</v>
      </c>
      <c r="K26" s="39">
        <v>0.76476228929040069</v>
      </c>
      <c r="L26" s="38">
        <v>5.8897749066316743E-2</v>
      </c>
      <c r="M26" s="40">
        <v>0.71343494498839199</v>
      </c>
      <c r="N26" s="39">
        <v>0.65807005147875242</v>
      </c>
      <c r="O26" s="38">
        <v>5.5364893509639648E-2</v>
      </c>
      <c r="P26" s="37"/>
      <c r="Q26" s="36"/>
      <c r="R26" s="35"/>
      <c r="S26" s="37"/>
      <c r="T26" s="36"/>
      <c r="U26" s="35"/>
    </row>
    <row r="27" spans="1:21" x14ac:dyDescent="0.2">
      <c r="A27" s="34"/>
      <c r="B27" s="33" t="s">
        <v>0</v>
      </c>
      <c r="C27" s="32">
        <v>16566</v>
      </c>
      <c r="D27" s="127">
        <v>15385</v>
      </c>
      <c r="E27" s="135">
        <v>1181</v>
      </c>
      <c r="F27" s="32">
        <v>15338</v>
      </c>
      <c r="G27" s="127">
        <v>14198</v>
      </c>
      <c r="H27" s="135">
        <v>1140</v>
      </c>
      <c r="I27" s="31">
        <v>19069</v>
      </c>
      <c r="J27" s="30">
        <v>0.86873983953012746</v>
      </c>
      <c r="K27" s="29">
        <v>0.80680685930043528</v>
      </c>
      <c r="L27" s="28">
        <v>6.1932980229692174E-2</v>
      </c>
      <c r="M27" s="30">
        <v>0.80434212596360588</v>
      </c>
      <c r="N27" s="29">
        <v>0.74455923226178611</v>
      </c>
      <c r="O27" s="28">
        <v>5.978289370181971E-2</v>
      </c>
      <c r="P27" s="27"/>
      <c r="Q27" s="26"/>
      <c r="R27" s="25"/>
      <c r="S27" s="27"/>
      <c r="T27" s="26"/>
      <c r="U27" s="25"/>
    </row>
    <row r="28" spans="1:21" x14ac:dyDescent="0.2">
      <c r="A28" s="83" t="s">
        <v>9</v>
      </c>
      <c r="B28" s="84" t="s">
        <v>2</v>
      </c>
      <c r="C28" s="48">
        <v>15216</v>
      </c>
      <c r="D28" s="126">
        <v>13401</v>
      </c>
      <c r="E28" s="134">
        <v>1815</v>
      </c>
      <c r="F28" s="48">
        <v>13850</v>
      </c>
      <c r="G28" s="126">
        <v>12160</v>
      </c>
      <c r="H28" s="134">
        <v>1690</v>
      </c>
      <c r="I28" s="47">
        <v>14947</v>
      </c>
      <c r="J28" s="46">
        <v>1.0179969224593564</v>
      </c>
      <c r="K28" s="85">
        <v>0.89656787315180309</v>
      </c>
      <c r="L28" s="87">
        <v>0.12142904930755336</v>
      </c>
      <c r="M28" s="46">
        <v>0.92660734595571015</v>
      </c>
      <c r="N28" s="85">
        <v>0.8135411788318726</v>
      </c>
      <c r="O28" s="87">
        <v>0.11306616712383756</v>
      </c>
      <c r="P28" s="45">
        <v>1.056923663163849</v>
      </c>
      <c r="Q28" s="86">
        <v>1.0670402487619965</v>
      </c>
      <c r="R28" s="108">
        <v>0.98512295511111458</v>
      </c>
      <c r="S28" s="45">
        <v>1.1205515883013322</v>
      </c>
      <c r="T28" s="86">
        <v>1.1379598948727108</v>
      </c>
      <c r="U28" s="108">
        <v>1.0030303900570077</v>
      </c>
    </row>
    <row r="29" spans="1:21" x14ac:dyDescent="0.2">
      <c r="A29" s="44"/>
      <c r="B29" s="43" t="s">
        <v>1</v>
      </c>
      <c r="C29" s="42">
        <v>7571</v>
      </c>
      <c r="D29" s="125">
        <v>6636</v>
      </c>
      <c r="E29" s="133">
        <v>935</v>
      </c>
      <c r="F29" s="42">
        <v>6689</v>
      </c>
      <c r="G29" s="125">
        <v>5826</v>
      </c>
      <c r="H29" s="133">
        <v>863</v>
      </c>
      <c r="I29" s="41">
        <v>7644</v>
      </c>
      <c r="J29" s="40">
        <v>0.99045002616431188</v>
      </c>
      <c r="K29" s="39">
        <v>0.86813186813186816</v>
      </c>
      <c r="L29" s="38">
        <v>0.12231815803244375</v>
      </c>
      <c r="M29" s="40">
        <v>0.87506541077969646</v>
      </c>
      <c r="N29" s="39">
        <v>0.76216640502354793</v>
      </c>
      <c r="O29" s="38">
        <v>0.11289900575614861</v>
      </c>
      <c r="P29" s="37"/>
      <c r="Q29" s="36"/>
      <c r="R29" s="35"/>
      <c r="S29" s="37"/>
      <c r="T29" s="36"/>
      <c r="U29" s="35"/>
    </row>
    <row r="30" spans="1:21" x14ac:dyDescent="0.2">
      <c r="A30" s="34"/>
      <c r="B30" s="33" t="s">
        <v>0</v>
      </c>
      <c r="C30" s="32">
        <v>7645</v>
      </c>
      <c r="D30" s="127">
        <v>6765</v>
      </c>
      <c r="E30" s="135">
        <v>880</v>
      </c>
      <c r="F30" s="32">
        <v>7161</v>
      </c>
      <c r="G30" s="127">
        <v>6334</v>
      </c>
      <c r="H30" s="135">
        <v>827</v>
      </c>
      <c r="I30" s="31">
        <v>7303</v>
      </c>
      <c r="J30" s="30">
        <v>1.0468300698343147</v>
      </c>
      <c r="K30" s="29">
        <v>0.92633164452964534</v>
      </c>
      <c r="L30" s="28">
        <v>0.12049842530466931</v>
      </c>
      <c r="M30" s="30">
        <v>0.9805559359167465</v>
      </c>
      <c r="N30" s="29">
        <v>0.86731480213610845</v>
      </c>
      <c r="O30" s="28">
        <v>0.11324113378063809</v>
      </c>
      <c r="P30" s="27"/>
      <c r="Q30" s="26"/>
      <c r="R30" s="25"/>
      <c r="S30" s="27"/>
      <c r="T30" s="26"/>
      <c r="U30" s="25"/>
    </row>
    <row r="31" spans="1:21" x14ac:dyDescent="0.2">
      <c r="A31" s="83" t="s">
        <v>8</v>
      </c>
      <c r="B31" s="84" t="s">
        <v>2</v>
      </c>
      <c r="C31" s="48">
        <v>8801</v>
      </c>
      <c r="D31" s="126">
        <v>8186</v>
      </c>
      <c r="E31" s="134">
        <v>615</v>
      </c>
      <c r="F31" s="48">
        <v>8225</v>
      </c>
      <c r="G31" s="126">
        <v>7627</v>
      </c>
      <c r="H31" s="134">
        <v>598</v>
      </c>
      <c r="I31" s="47">
        <v>9393</v>
      </c>
      <c r="J31" s="46">
        <v>0.9369743425955499</v>
      </c>
      <c r="K31" s="85">
        <v>0.87150005323112956</v>
      </c>
      <c r="L31" s="87">
        <v>6.5474289364420318E-2</v>
      </c>
      <c r="M31" s="46">
        <v>0.87565208133716599</v>
      </c>
      <c r="N31" s="85">
        <v>0.81198765037794107</v>
      </c>
      <c r="O31" s="87">
        <v>6.3664430959224957E-2</v>
      </c>
      <c r="P31" s="45">
        <v>1.1253468363132006</v>
      </c>
      <c r="Q31" s="86">
        <v>1.1197237234721513</v>
      </c>
      <c r="R31" s="108">
        <v>1.2029993469753084</v>
      </c>
      <c r="S31" s="45">
        <v>1.1895674627770065</v>
      </c>
      <c r="T31" s="86">
        <v>1.1854830585782199</v>
      </c>
      <c r="U31" s="108">
        <v>1.2429699575326747</v>
      </c>
    </row>
    <row r="32" spans="1:21" x14ac:dyDescent="0.2">
      <c r="A32" s="44"/>
      <c r="B32" s="43" t="s">
        <v>1</v>
      </c>
      <c r="C32" s="42">
        <v>4354</v>
      </c>
      <c r="D32" s="125">
        <v>4060</v>
      </c>
      <c r="E32" s="133">
        <v>294</v>
      </c>
      <c r="F32" s="42">
        <v>3955</v>
      </c>
      <c r="G32" s="125">
        <v>3674</v>
      </c>
      <c r="H32" s="133">
        <v>281</v>
      </c>
      <c r="I32" s="41">
        <v>4924</v>
      </c>
      <c r="J32" s="40">
        <v>0.88424045491470349</v>
      </c>
      <c r="K32" s="39">
        <v>0.82453290008123481</v>
      </c>
      <c r="L32" s="38">
        <v>5.9707554833468728E-2</v>
      </c>
      <c r="M32" s="40">
        <v>0.80320877335499596</v>
      </c>
      <c r="N32" s="39">
        <v>0.74614134849715674</v>
      </c>
      <c r="O32" s="38">
        <v>5.7067424857839152E-2</v>
      </c>
      <c r="P32" s="37"/>
      <c r="Q32" s="36"/>
      <c r="R32" s="35"/>
      <c r="S32" s="37"/>
      <c r="T32" s="36"/>
      <c r="U32" s="35"/>
    </row>
    <row r="33" spans="1:21" x14ac:dyDescent="0.2">
      <c r="A33" s="34"/>
      <c r="B33" s="33" t="s">
        <v>0</v>
      </c>
      <c r="C33" s="32">
        <v>4447</v>
      </c>
      <c r="D33" s="127">
        <v>4126</v>
      </c>
      <c r="E33" s="135">
        <v>321</v>
      </c>
      <c r="F33" s="32">
        <v>4270</v>
      </c>
      <c r="G33" s="127">
        <v>3953</v>
      </c>
      <c r="H33" s="135">
        <v>317</v>
      </c>
      <c r="I33" s="31">
        <v>4469</v>
      </c>
      <c r="J33" s="30">
        <v>0.99507719847840681</v>
      </c>
      <c r="K33" s="29">
        <v>0.92324904900425153</v>
      </c>
      <c r="L33" s="28">
        <v>7.1828149474155292E-2</v>
      </c>
      <c r="M33" s="30">
        <v>0.95547102260013428</v>
      </c>
      <c r="N33" s="29">
        <v>0.88453792794808683</v>
      </c>
      <c r="O33" s="28">
        <v>7.0933094652047432E-2</v>
      </c>
      <c r="P33" s="27"/>
      <c r="Q33" s="26"/>
      <c r="R33" s="25"/>
      <c r="S33" s="27"/>
      <c r="T33" s="26"/>
      <c r="U33" s="25"/>
    </row>
    <row r="34" spans="1:21" x14ac:dyDescent="0.2">
      <c r="A34" s="83" t="s">
        <v>7</v>
      </c>
      <c r="B34" s="84" t="s">
        <v>2</v>
      </c>
      <c r="C34" s="48">
        <v>12198</v>
      </c>
      <c r="D34" s="126">
        <v>11190</v>
      </c>
      <c r="E34" s="134">
        <v>1008</v>
      </c>
      <c r="F34" s="48">
        <v>10737</v>
      </c>
      <c r="G34" s="126">
        <v>9841</v>
      </c>
      <c r="H34" s="134">
        <v>896</v>
      </c>
      <c r="I34" s="47">
        <v>12928</v>
      </c>
      <c r="J34" s="46">
        <v>0.94353341584158412</v>
      </c>
      <c r="K34" s="85">
        <v>0.86556311881188119</v>
      </c>
      <c r="L34" s="87">
        <v>7.797029702970297E-2</v>
      </c>
      <c r="M34" s="46">
        <v>0.83052289603960394</v>
      </c>
      <c r="N34" s="85">
        <v>0.76121596534653468</v>
      </c>
      <c r="O34" s="87">
        <v>6.9306930693069313E-2</v>
      </c>
      <c r="P34" s="45">
        <v>1.09884907238972</v>
      </c>
      <c r="Q34" s="86">
        <v>1.1077252505994166</v>
      </c>
      <c r="R34" s="108">
        <v>1.0049955291492083</v>
      </c>
      <c r="S34" s="45">
        <v>1.208024978467003</v>
      </c>
      <c r="T34" s="86">
        <v>1.220675009337771</v>
      </c>
      <c r="U34" s="108">
        <v>1.0778124710839305</v>
      </c>
    </row>
    <row r="35" spans="1:21" x14ac:dyDescent="0.2">
      <c r="A35" s="44"/>
      <c r="B35" s="43" t="s">
        <v>1</v>
      </c>
      <c r="C35" s="42">
        <v>5972</v>
      </c>
      <c r="D35" s="125">
        <v>5456</v>
      </c>
      <c r="E35" s="133">
        <v>516</v>
      </c>
      <c r="F35" s="42">
        <v>5003</v>
      </c>
      <c r="G35" s="125">
        <v>4560</v>
      </c>
      <c r="H35" s="133">
        <v>443</v>
      </c>
      <c r="I35" s="41">
        <v>6634</v>
      </c>
      <c r="J35" s="40">
        <v>0.90021103406692793</v>
      </c>
      <c r="K35" s="39">
        <v>0.82242990654205606</v>
      </c>
      <c r="L35" s="38">
        <v>7.7781127524871874E-2</v>
      </c>
      <c r="M35" s="40">
        <v>0.75414531202894186</v>
      </c>
      <c r="N35" s="39">
        <v>0.68736810370817003</v>
      </c>
      <c r="O35" s="38">
        <v>6.6777208320771775E-2</v>
      </c>
      <c r="P35" s="37"/>
      <c r="Q35" s="36"/>
      <c r="R35" s="35"/>
      <c r="S35" s="37"/>
      <c r="T35" s="36"/>
      <c r="U35" s="35"/>
    </row>
    <row r="36" spans="1:21" x14ac:dyDescent="0.2">
      <c r="A36" s="34"/>
      <c r="B36" s="33" t="s">
        <v>0</v>
      </c>
      <c r="C36" s="32">
        <v>6226</v>
      </c>
      <c r="D36" s="127">
        <v>5734</v>
      </c>
      <c r="E36" s="135">
        <v>492</v>
      </c>
      <c r="F36" s="32">
        <v>5734</v>
      </c>
      <c r="G36" s="127">
        <v>5281</v>
      </c>
      <c r="H36" s="135">
        <v>453</v>
      </c>
      <c r="I36" s="31">
        <v>6294</v>
      </c>
      <c r="J36" s="30">
        <v>0.98919605973943436</v>
      </c>
      <c r="K36" s="29">
        <v>0.91102637432475375</v>
      </c>
      <c r="L36" s="28">
        <v>7.8169685414680654E-2</v>
      </c>
      <c r="M36" s="30">
        <v>0.91102637432475375</v>
      </c>
      <c r="N36" s="29">
        <v>0.83905306641245636</v>
      </c>
      <c r="O36" s="28">
        <v>7.1973307912297432E-2</v>
      </c>
      <c r="P36" s="27"/>
      <c r="Q36" s="26"/>
      <c r="R36" s="25"/>
      <c r="S36" s="27"/>
      <c r="T36" s="26"/>
      <c r="U36" s="25"/>
    </row>
    <row r="37" spans="1:21" x14ac:dyDescent="0.2">
      <c r="A37" s="83" t="s">
        <v>5</v>
      </c>
      <c r="B37" s="84" t="s">
        <v>2</v>
      </c>
      <c r="C37" s="48">
        <v>16474</v>
      </c>
      <c r="D37" s="126">
        <v>13696</v>
      </c>
      <c r="E37" s="134">
        <v>2778</v>
      </c>
      <c r="F37" s="48">
        <v>15346</v>
      </c>
      <c r="G37" s="126">
        <v>12724</v>
      </c>
      <c r="H37" s="134">
        <v>2622</v>
      </c>
      <c r="I37" s="47">
        <v>17102</v>
      </c>
      <c r="J37" s="46">
        <v>0.96327914863758624</v>
      </c>
      <c r="K37" s="85">
        <v>0.80084200678283246</v>
      </c>
      <c r="L37" s="87">
        <v>0.16243714185475383</v>
      </c>
      <c r="M37" s="46">
        <v>0.89732195064904685</v>
      </c>
      <c r="N37" s="85">
        <v>0.7440065489416442</v>
      </c>
      <c r="O37" s="87">
        <v>0.15331540170740265</v>
      </c>
      <c r="P37" s="45">
        <v>1.0461962554082516</v>
      </c>
      <c r="Q37" s="86">
        <v>1.0374422243754664</v>
      </c>
      <c r="R37" s="108">
        <v>1.0904459959099859</v>
      </c>
      <c r="S37" s="45">
        <v>1.090308874943092</v>
      </c>
      <c r="T37" s="86">
        <v>1.0871575972902323</v>
      </c>
      <c r="U37" s="108">
        <v>1.1057336790428263</v>
      </c>
    </row>
    <row r="38" spans="1:21" x14ac:dyDescent="0.2">
      <c r="A38" s="44"/>
      <c r="B38" s="43" t="s">
        <v>1</v>
      </c>
      <c r="C38" s="42">
        <v>8289</v>
      </c>
      <c r="D38" s="125">
        <v>6920</v>
      </c>
      <c r="E38" s="133">
        <v>1369</v>
      </c>
      <c r="F38" s="42">
        <v>7563</v>
      </c>
      <c r="G38" s="125">
        <v>6280</v>
      </c>
      <c r="H38" s="133">
        <v>1283</v>
      </c>
      <c r="I38" s="41">
        <v>8798</v>
      </c>
      <c r="J38" s="40">
        <v>0.94214594225960446</v>
      </c>
      <c r="K38" s="39">
        <v>0.7865423959990907</v>
      </c>
      <c r="L38" s="38">
        <v>0.15560354626051376</v>
      </c>
      <c r="M38" s="40">
        <v>0.85962718799727211</v>
      </c>
      <c r="N38" s="39">
        <v>0.71379859058877015</v>
      </c>
      <c r="O38" s="38">
        <v>0.14582859740850193</v>
      </c>
      <c r="P38" s="37"/>
      <c r="Q38" s="36"/>
      <c r="R38" s="35"/>
      <c r="S38" s="37"/>
      <c r="T38" s="36"/>
      <c r="U38" s="35"/>
    </row>
    <row r="39" spans="1:21" x14ac:dyDescent="0.2">
      <c r="A39" s="34"/>
      <c r="B39" s="33" t="s">
        <v>0</v>
      </c>
      <c r="C39" s="32">
        <v>8185</v>
      </c>
      <c r="D39" s="127">
        <v>6776</v>
      </c>
      <c r="E39" s="135">
        <v>1409</v>
      </c>
      <c r="F39" s="32">
        <v>7783</v>
      </c>
      <c r="G39" s="127">
        <v>6444</v>
      </c>
      <c r="H39" s="135">
        <v>1339</v>
      </c>
      <c r="I39" s="31">
        <v>8304</v>
      </c>
      <c r="J39" s="30">
        <v>0.98566955684007707</v>
      </c>
      <c r="K39" s="29">
        <v>0.81599229287090558</v>
      </c>
      <c r="L39" s="28">
        <v>0.16967726396917149</v>
      </c>
      <c r="M39" s="30">
        <v>0.93725915221579958</v>
      </c>
      <c r="N39" s="29">
        <v>0.77601156069364163</v>
      </c>
      <c r="O39" s="28">
        <v>0.16124759152215801</v>
      </c>
      <c r="P39" s="27"/>
      <c r="Q39" s="26"/>
      <c r="R39" s="25"/>
      <c r="S39" s="27"/>
      <c r="T39" s="26"/>
      <c r="U39" s="25"/>
    </row>
    <row r="40" spans="1:21" x14ac:dyDescent="0.2">
      <c r="A40" s="83" t="s">
        <v>4</v>
      </c>
      <c r="B40" s="84" t="s">
        <v>2</v>
      </c>
      <c r="C40" s="48">
        <v>22868</v>
      </c>
      <c r="D40" s="126">
        <v>19770</v>
      </c>
      <c r="E40" s="134">
        <v>3098</v>
      </c>
      <c r="F40" s="48">
        <v>21076</v>
      </c>
      <c r="G40" s="126">
        <v>18279</v>
      </c>
      <c r="H40" s="134">
        <v>2797</v>
      </c>
      <c r="I40" s="47">
        <v>23221</v>
      </c>
      <c r="J40" s="46">
        <v>0.98479824296972573</v>
      </c>
      <c r="K40" s="85">
        <v>0.85138452263037767</v>
      </c>
      <c r="L40" s="87">
        <v>0.13341372033934801</v>
      </c>
      <c r="M40" s="46">
        <v>0.90762671719564192</v>
      </c>
      <c r="N40" s="85">
        <v>0.78717540157615951</v>
      </c>
      <c r="O40" s="87">
        <v>0.12045131561948237</v>
      </c>
      <c r="P40" s="45">
        <v>1.0241262163895966</v>
      </c>
      <c r="Q40" s="86">
        <v>1.0160990389454001</v>
      </c>
      <c r="R40" s="108">
        <v>1.0768679408206425</v>
      </c>
      <c r="S40" s="45">
        <v>1.0696774772671098</v>
      </c>
      <c r="T40" s="86">
        <v>1.0610497997481911</v>
      </c>
      <c r="U40" s="108">
        <v>1.1278563534319976</v>
      </c>
    </row>
    <row r="41" spans="1:21" x14ac:dyDescent="0.2">
      <c r="A41" s="44"/>
      <c r="B41" s="43" t="s">
        <v>1</v>
      </c>
      <c r="C41" s="42">
        <v>11507</v>
      </c>
      <c r="D41" s="125">
        <v>9987</v>
      </c>
      <c r="E41" s="133">
        <v>1520</v>
      </c>
      <c r="F41" s="42">
        <v>10376</v>
      </c>
      <c r="G41" s="125">
        <v>9036</v>
      </c>
      <c r="H41" s="133">
        <v>1340</v>
      </c>
      <c r="I41" s="41">
        <v>11823</v>
      </c>
      <c r="J41" s="40">
        <v>0.97327243508415795</v>
      </c>
      <c r="K41" s="39">
        <v>0.84470946460289265</v>
      </c>
      <c r="L41" s="38">
        <v>0.12856297048126533</v>
      </c>
      <c r="M41" s="40">
        <v>0.87761143533790065</v>
      </c>
      <c r="N41" s="39">
        <v>0.76427302715046941</v>
      </c>
      <c r="O41" s="38">
        <v>0.11333840818743128</v>
      </c>
      <c r="P41" s="37"/>
      <c r="Q41" s="36"/>
      <c r="R41" s="35"/>
      <c r="S41" s="37"/>
      <c r="T41" s="36"/>
      <c r="U41" s="35"/>
    </row>
    <row r="42" spans="1:21" x14ac:dyDescent="0.2">
      <c r="A42" s="34"/>
      <c r="B42" s="33" t="s">
        <v>0</v>
      </c>
      <c r="C42" s="32">
        <v>11361</v>
      </c>
      <c r="D42" s="127">
        <v>9783</v>
      </c>
      <c r="E42" s="135">
        <v>1578</v>
      </c>
      <c r="F42" s="32">
        <v>10700</v>
      </c>
      <c r="G42" s="127">
        <v>9243</v>
      </c>
      <c r="H42" s="135">
        <v>1457</v>
      </c>
      <c r="I42" s="31">
        <v>11398</v>
      </c>
      <c r="J42" s="30">
        <v>0.99675381645902794</v>
      </c>
      <c r="K42" s="29">
        <v>0.85830847517108266</v>
      </c>
      <c r="L42" s="28">
        <v>0.13844534128794525</v>
      </c>
      <c r="M42" s="30">
        <v>0.93876118617301285</v>
      </c>
      <c r="N42" s="29">
        <v>0.81093174241094934</v>
      </c>
      <c r="O42" s="28">
        <v>0.12782944376206351</v>
      </c>
      <c r="P42" s="27"/>
      <c r="Q42" s="26"/>
      <c r="R42" s="25"/>
      <c r="S42" s="27"/>
      <c r="T42" s="26"/>
      <c r="U42" s="25"/>
    </row>
    <row r="43" spans="1:21" x14ac:dyDescent="0.2">
      <c r="A43" s="24" t="s">
        <v>3</v>
      </c>
      <c r="B43" s="23" t="s">
        <v>2</v>
      </c>
      <c r="C43" s="22">
        <v>389113</v>
      </c>
      <c r="D43" s="112">
        <v>345203</v>
      </c>
      <c r="E43" s="137">
        <v>43910</v>
      </c>
      <c r="F43" s="22">
        <v>352115</v>
      </c>
      <c r="G43" s="112">
        <v>311827</v>
      </c>
      <c r="H43" s="137">
        <v>40288</v>
      </c>
      <c r="I43" s="82">
        <v>438615</v>
      </c>
      <c r="J43" s="21">
        <v>0.88714020268344673</v>
      </c>
      <c r="K43" s="20">
        <v>0.78702962734972581</v>
      </c>
      <c r="L43" s="19">
        <v>0.10011057533372092</v>
      </c>
      <c r="M43" s="21">
        <v>0.80278832233279751</v>
      </c>
      <c r="N43" s="20">
        <v>0.71093555851943047</v>
      </c>
      <c r="O43" s="19">
        <v>9.1852763813367072E-2</v>
      </c>
      <c r="P43" s="18">
        <v>1.0567075344985444</v>
      </c>
      <c r="Q43" s="17">
        <v>1.0567072074232078</v>
      </c>
      <c r="R43" s="16">
        <v>1.0567101058386053</v>
      </c>
      <c r="S43" s="18">
        <v>1.1160446938816142</v>
      </c>
      <c r="T43" s="17">
        <v>1.1198958161512533</v>
      </c>
      <c r="U43" s="16">
        <v>1.0866913845584554</v>
      </c>
    </row>
    <row r="44" spans="1:21" x14ac:dyDescent="0.2">
      <c r="A44" s="24"/>
      <c r="B44" s="23" t="s">
        <v>1</v>
      </c>
      <c r="C44" s="22">
        <v>194796</v>
      </c>
      <c r="D44" s="112">
        <v>172814</v>
      </c>
      <c r="E44" s="137">
        <v>21982</v>
      </c>
      <c r="F44" s="22">
        <v>171466</v>
      </c>
      <c r="G44" s="112">
        <v>151579</v>
      </c>
      <c r="H44" s="137">
        <v>19887</v>
      </c>
      <c r="I44" s="82">
        <v>225624</v>
      </c>
      <c r="J44" s="21">
        <v>0.86336559940431867</v>
      </c>
      <c r="K44" s="20">
        <v>0.76593802077793138</v>
      </c>
      <c r="L44" s="19">
        <v>9.7427578626387262E-2</v>
      </c>
      <c r="M44" s="21">
        <v>0.75996347906251105</v>
      </c>
      <c r="N44" s="20">
        <v>0.67182126014962951</v>
      </c>
      <c r="O44" s="19">
        <v>8.8142218912881612E-2</v>
      </c>
      <c r="P44" s="18"/>
      <c r="Q44" s="17"/>
      <c r="R44" s="16"/>
      <c r="S44" s="18"/>
      <c r="T44" s="17"/>
      <c r="U44" s="16"/>
    </row>
    <row r="45" spans="1:21" ht="12" thickBot="1" x14ac:dyDescent="0.25">
      <c r="A45" s="15"/>
      <c r="B45" s="14" t="s">
        <v>0</v>
      </c>
      <c r="C45" s="13">
        <v>194317</v>
      </c>
      <c r="D45" s="113">
        <v>172389</v>
      </c>
      <c r="E45" s="138">
        <v>21928</v>
      </c>
      <c r="F45" s="13">
        <v>180649</v>
      </c>
      <c r="G45" s="113">
        <v>160248</v>
      </c>
      <c r="H45" s="138">
        <v>20401</v>
      </c>
      <c r="I45" s="81">
        <v>212991</v>
      </c>
      <c r="J45" s="12">
        <v>0.91232493391739555</v>
      </c>
      <c r="K45" s="11">
        <v>0.80937222699550682</v>
      </c>
      <c r="L45" s="10">
        <v>0.10295270692188872</v>
      </c>
      <c r="M45" s="12">
        <v>0.84815320835152663</v>
      </c>
      <c r="N45" s="11">
        <v>0.75236981844303286</v>
      </c>
      <c r="O45" s="10">
        <v>9.5783389908493791E-2</v>
      </c>
      <c r="P45" s="9"/>
      <c r="Q45" s="8"/>
      <c r="R45" s="7"/>
      <c r="S45" s="9"/>
      <c r="T45" s="8"/>
      <c r="U45" s="7"/>
    </row>
  </sheetData>
  <sheetProtection algorithmName="SHA-512" hashValue="k3NgErzs5LMLPZqGoMLxV/FmKBD50kLXmoisDR7iITWMlRVWxEn9BnARHwQZB7EfJeM7rzXCFuhOTC1t8/Hidg==" saltValue="j3BgK8QXHriCMwDvbVEZ6Q==" spinCount="100000" sheet="1" objects="1" scenarios="1"/>
  <mergeCells count="11">
    <mergeCell ref="S6:U6"/>
    <mergeCell ref="A1:U1"/>
    <mergeCell ref="A2:U2"/>
    <mergeCell ref="A3:U3"/>
    <mergeCell ref="A4:U4"/>
    <mergeCell ref="A6:B7"/>
    <mergeCell ref="C6:E6"/>
    <mergeCell ref="F6:H6"/>
    <mergeCell ref="J6:L6"/>
    <mergeCell ref="M6:O6"/>
    <mergeCell ref="P6:R6"/>
  </mergeCells>
  <printOptions horizontalCentered="1"/>
  <pageMargins left="0" right="0" top="0" bottom="0" header="0" footer="0"/>
  <pageSetup paperSize="9" scale="74" orientation="landscape" horizontalDpi="300" verticalDpi="300" r:id="rId1"/>
  <headerFooter alignWithMargins="0">
    <oddFooter>&amp;L&amp;F&amp;R&amp;P</oddFooter>
  </headerFooter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2">
    <tabColor theme="8" tint="-0.249977111117893"/>
  </sheetPr>
  <dimension ref="A1:U45"/>
  <sheetViews>
    <sheetView showGridLines="0" workbookViewId="0">
      <pane xSplit="2" ySplit="7" topLeftCell="C809" activePane="bottomRight" state="frozen"/>
      <selection activeCell="C8" sqref="C8"/>
      <selection pane="topRight" activeCell="C8" sqref="C8"/>
      <selection pane="bottomLeft" activeCell="C8" sqref="C8"/>
      <selection pane="bottomRight" activeCell="C8" sqref="C8"/>
    </sheetView>
  </sheetViews>
  <sheetFormatPr defaultColWidth="9.140625" defaultRowHeight="11.25" x14ac:dyDescent="0.2"/>
  <cols>
    <col min="1" max="1" width="34" style="6" customWidth="1"/>
    <col min="2" max="2" width="10.7109375" style="1" customWidth="1"/>
    <col min="3" max="8" width="8.7109375" style="5" customWidth="1"/>
    <col min="9" max="9" width="9.7109375" style="5" customWidth="1"/>
    <col min="10" max="15" width="7.7109375" style="4" customWidth="1"/>
    <col min="16" max="19" width="7.28515625" style="3" customWidth="1"/>
    <col min="20" max="21" width="7.28515625" style="2" customWidth="1"/>
    <col min="22" max="16384" width="9.140625" style="1"/>
  </cols>
  <sheetData>
    <row r="1" spans="1:21" x14ac:dyDescent="0.2">
      <c r="A1" s="568" t="s">
        <v>23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568"/>
      <c r="O1" s="568"/>
      <c r="P1" s="568"/>
      <c r="Q1" s="568"/>
      <c r="R1" s="568"/>
      <c r="S1" s="568"/>
      <c r="T1" s="568"/>
      <c r="U1" s="568"/>
    </row>
    <row r="2" spans="1:21" x14ac:dyDescent="0.2">
      <c r="A2" s="568" t="s">
        <v>44</v>
      </c>
      <c r="B2" s="568"/>
      <c r="C2" s="568"/>
      <c r="D2" s="568"/>
      <c r="E2" s="568"/>
      <c r="F2" s="568"/>
      <c r="G2" s="568"/>
      <c r="H2" s="568"/>
      <c r="I2" s="568"/>
      <c r="J2" s="568"/>
      <c r="K2" s="568"/>
      <c r="L2" s="568"/>
      <c r="M2" s="568"/>
      <c r="N2" s="568"/>
      <c r="O2" s="568"/>
      <c r="P2" s="568"/>
      <c r="Q2" s="568"/>
      <c r="R2" s="568"/>
      <c r="S2" s="568"/>
      <c r="T2" s="568"/>
      <c r="U2" s="568"/>
    </row>
    <row r="3" spans="1:21" x14ac:dyDescent="0.2">
      <c r="A3" s="583" t="s">
        <v>47</v>
      </c>
      <c r="B3" s="583"/>
      <c r="C3" s="583"/>
      <c r="D3" s="583"/>
      <c r="E3" s="583"/>
      <c r="F3" s="583"/>
      <c r="G3" s="583"/>
      <c r="H3" s="583"/>
      <c r="I3" s="583"/>
      <c r="J3" s="583"/>
      <c r="K3" s="583"/>
      <c r="L3" s="583"/>
      <c r="M3" s="583"/>
      <c r="N3" s="583"/>
      <c r="O3" s="583"/>
      <c r="P3" s="583"/>
      <c r="Q3" s="583"/>
      <c r="R3" s="583"/>
      <c r="S3" s="583"/>
      <c r="T3" s="583"/>
      <c r="U3" s="583"/>
    </row>
    <row r="4" spans="1:21" x14ac:dyDescent="0.2">
      <c r="A4" s="571" t="s">
        <v>48</v>
      </c>
      <c r="B4" s="571"/>
      <c r="C4" s="571"/>
      <c r="D4" s="571"/>
      <c r="E4" s="571"/>
      <c r="F4" s="571"/>
      <c r="G4" s="571"/>
      <c r="H4" s="571"/>
      <c r="I4" s="571"/>
      <c r="J4" s="571"/>
      <c r="K4" s="571"/>
      <c r="L4" s="571"/>
      <c r="M4" s="571"/>
      <c r="N4" s="571"/>
      <c r="O4" s="571"/>
      <c r="P4" s="571"/>
      <c r="Q4" s="571"/>
      <c r="R4" s="571"/>
      <c r="S4" s="571"/>
      <c r="T4" s="571"/>
      <c r="U4" s="571"/>
    </row>
    <row r="5" spans="1:21" ht="12" thickBot="1" x14ac:dyDescent="0.25">
      <c r="A5" s="107"/>
      <c r="B5" s="109"/>
      <c r="C5" s="106"/>
      <c r="D5" s="105"/>
      <c r="E5" s="105"/>
      <c r="F5" s="106"/>
      <c r="G5" s="105"/>
      <c r="H5" s="105"/>
      <c r="I5" s="104"/>
      <c r="J5" s="103"/>
      <c r="K5" s="103"/>
      <c r="L5" s="103"/>
      <c r="M5" s="103"/>
      <c r="N5" s="103"/>
      <c r="O5" s="103"/>
      <c r="P5" s="102"/>
      <c r="Q5" s="102"/>
      <c r="R5" s="102"/>
      <c r="S5" s="101"/>
      <c r="T5" s="100"/>
      <c r="U5" s="100"/>
    </row>
    <row r="6" spans="1:21" ht="11.25" customHeight="1" x14ac:dyDescent="0.2">
      <c r="A6" s="572" t="s">
        <v>22</v>
      </c>
      <c r="B6" s="573"/>
      <c r="C6" s="576" t="s">
        <v>31</v>
      </c>
      <c r="D6" s="577"/>
      <c r="E6" s="578"/>
      <c r="F6" s="579" t="s">
        <v>37</v>
      </c>
      <c r="G6" s="577"/>
      <c r="H6" s="580"/>
      <c r="I6" s="99" t="s">
        <v>21</v>
      </c>
      <c r="J6" s="581" t="s">
        <v>33</v>
      </c>
      <c r="K6" s="566"/>
      <c r="L6" s="567"/>
      <c r="M6" s="565" t="s">
        <v>34</v>
      </c>
      <c r="N6" s="566"/>
      <c r="O6" s="582"/>
      <c r="P6" s="581" t="s">
        <v>20</v>
      </c>
      <c r="Q6" s="566"/>
      <c r="R6" s="567"/>
      <c r="S6" s="565" t="s">
        <v>19</v>
      </c>
      <c r="T6" s="566"/>
      <c r="U6" s="567"/>
    </row>
    <row r="7" spans="1:21" s="88" customFormat="1" ht="12" customHeight="1" thickBot="1" x14ac:dyDescent="0.25">
      <c r="A7" s="574"/>
      <c r="B7" s="575"/>
      <c r="C7" s="98" t="s">
        <v>6</v>
      </c>
      <c r="D7" s="111" t="s">
        <v>17</v>
      </c>
      <c r="E7" s="131" t="s">
        <v>16</v>
      </c>
      <c r="F7" s="97" t="s">
        <v>6</v>
      </c>
      <c r="G7" s="111" t="s">
        <v>17</v>
      </c>
      <c r="H7" s="141" t="s">
        <v>16</v>
      </c>
      <c r="I7" s="96" t="s">
        <v>29</v>
      </c>
      <c r="J7" s="95" t="s">
        <v>18</v>
      </c>
      <c r="K7" s="90" t="s">
        <v>17</v>
      </c>
      <c r="L7" s="89" t="s">
        <v>16</v>
      </c>
      <c r="M7" s="91" t="s">
        <v>18</v>
      </c>
      <c r="N7" s="90" t="s">
        <v>17</v>
      </c>
      <c r="O7" s="94" t="s">
        <v>16</v>
      </c>
      <c r="P7" s="93" t="s">
        <v>18</v>
      </c>
      <c r="Q7" s="90" t="s">
        <v>17</v>
      </c>
      <c r="R7" s="92" t="s">
        <v>16</v>
      </c>
      <c r="S7" s="91" t="s">
        <v>18</v>
      </c>
      <c r="T7" s="90" t="s">
        <v>17</v>
      </c>
      <c r="U7" s="89" t="s">
        <v>16</v>
      </c>
    </row>
    <row r="8" spans="1:21" x14ac:dyDescent="0.2">
      <c r="A8" s="80" t="s">
        <v>14</v>
      </c>
      <c r="B8" s="69"/>
      <c r="C8" s="79"/>
      <c r="D8" s="130"/>
      <c r="E8" s="140"/>
      <c r="F8" s="79"/>
      <c r="G8" s="130"/>
      <c r="H8" s="140"/>
      <c r="I8" s="79"/>
      <c r="J8" s="78"/>
      <c r="K8" s="77"/>
      <c r="L8" s="76"/>
      <c r="M8" s="78"/>
      <c r="N8" s="77"/>
      <c r="O8" s="76"/>
      <c r="P8" s="75"/>
      <c r="Q8" s="74"/>
      <c r="R8" s="73"/>
      <c r="S8" s="72"/>
      <c r="T8" s="71"/>
      <c r="U8" s="70"/>
    </row>
    <row r="9" spans="1:21" ht="12" thickBot="1" x14ac:dyDescent="0.25">
      <c r="A9" s="69"/>
      <c r="B9" s="69"/>
      <c r="C9" s="68"/>
      <c r="D9" s="129"/>
      <c r="E9" s="139"/>
      <c r="F9" s="68"/>
      <c r="G9" s="129"/>
      <c r="H9" s="139"/>
      <c r="I9" s="68"/>
      <c r="J9" s="67"/>
      <c r="K9" s="66"/>
      <c r="L9" s="65"/>
      <c r="M9" s="67"/>
      <c r="N9" s="66"/>
      <c r="O9" s="65"/>
      <c r="P9" s="64"/>
      <c r="Q9" s="63"/>
      <c r="R9" s="62"/>
      <c r="S9" s="61"/>
      <c r="T9" s="60"/>
      <c r="U9" s="59"/>
    </row>
    <row r="10" spans="1:21" x14ac:dyDescent="0.2">
      <c r="A10" s="58" t="s">
        <v>13</v>
      </c>
      <c r="B10" s="57" t="s">
        <v>2</v>
      </c>
      <c r="C10" s="56">
        <v>77378</v>
      </c>
      <c r="D10" s="124">
        <v>39893</v>
      </c>
      <c r="E10" s="132">
        <v>37485</v>
      </c>
      <c r="F10" s="56">
        <v>51457</v>
      </c>
      <c r="G10" s="124">
        <v>24974</v>
      </c>
      <c r="H10" s="132">
        <v>26483</v>
      </c>
      <c r="I10" s="55">
        <v>65281</v>
      </c>
      <c r="J10" s="54">
        <v>1.1853065976317765</v>
      </c>
      <c r="K10" s="53">
        <v>0.61109664374013883</v>
      </c>
      <c r="L10" s="52">
        <v>0.57420995389163765</v>
      </c>
      <c r="M10" s="54">
        <v>0.78823853801259169</v>
      </c>
      <c r="N10" s="53">
        <v>0.38256154164305078</v>
      </c>
      <c r="O10" s="52">
        <v>0.40567699636954091</v>
      </c>
      <c r="P10" s="51">
        <v>1.0743575573777531</v>
      </c>
      <c r="Q10" s="50">
        <v>0.97597127434243991</v>
      </c>
      <c r="R10" s="49">
        <v>1.1902079270940606</v>
      </c>
      <c r="S10" s="51">
        <v>1.2255608078405626</v>
      </c>
      <c r="T10" s="50">
        <v>1.1336246065693178</v>
      </c>
      <c r="U10" s="49">
        <v>1.3196902867187248</v>
      </c>
    </row>
    <row r="11" spans="1:21" x14ac:dyDescent="0.2">
      <c r="A11" s="44"/>
      <c r="B11" s="43" t="s">
        <v>1</v>
      </c>
      <c r="C11" s="42">
        <v>38004</v>
      </c>
      <c r="D11" s="125">
        <v>20551</v>
      </c>
      <c r="E11" s="133">
        <v>17453</v>
      </c>
      <c r="F11" s="42">
        <v>23584</v>
      </c>
      <c r="G11" s="125">
        <v>11931</v>
      </c>
      <c r="H11" s="133">
        <v>11653</v>
      </c>
      <c r="I11" s="41">
        <v>33233</v>
      </c>
      <c r="J11" s="40">
        <v>1.1435621219871814</v>
      </c>
      <c r="K11" s="39">
        <v>0.61839135798754252</v>
      </c>
      <c r="L11" s="38">
        <v>0.52517076399963891</v>
      </c>
      <c r="M11" s="40">
        <v>0.70965606475491227</v>
      </c>
      <c r="N11" s="39">
        <v>0.35901062197213612</v>
      </c>
      <c r="O11" s="38">
        <v>0.35064544278277615</v>
      </c>
      <c r="P11" s="37"/>
      <c r="Q11" s="36"/>
      <c r="R11" s="35"/>
      <c r="S11" s="37"/>
      <c r="T11" s="36"/>
      <c r="U11" s="35"/>
    </row>
    <row r="12" spans="1:21" x14ac:dyDescent="0.2">
      <c r="A12" s="34"/>
      <c r="B12" s="33" t="s">
        <v>0</v>
      </c>
      <c r="C12" s="42">
        <v>39374</v>
      </c>
      <c r="D12" s="125">
        <v>19342</v>
      </c>
      <c r="E12" s="133">
        <v>20032</v>
      </c>
      <c r="F12" s="42">
        <v>27873</v>
      </c>
      <c r="G12" s="125">
        <v>13043</v>
      </c>
      <c r="H12" s="133">
        <v>14830</v>
      </c>
      <c r="I12" s="41">
        <v>32048</v>
      </c>
      <c r="J12" s="30">
        <v>1.2285946080878682</v>
      </c>
      <c r="K12" s="29">
        <v>0.60353220169745381</v>
      </c>
      <c r="L12" s="28">
        <v>0.62506240639041433</v>
      </c>
      <c r="M12" s="30">
        <v>0.869726660009985</v>
      </c>
      <c r="N12" s="29">
        <v>0.40698327508736892</v>
      </c>
      <c r="O12" s="28">
        <v>0.46274338492261607</v>
      </c>
      <c r="P12" s="27"/>
      <c r="Q12" s="26"/>
      <c r="R12" s="25"/>
      <c r="S12" s="27"/>
      <c r="T12" s="26"/>
      <c r="U12" s="25"/>
    </row>
    <row r="13" spans="1:21" x14ac:dyDescent="0.2">
      <c r="A13" s="83" t="s">
        <v>46</v>
      </c>
      <c r="B13" s="84" t="s">
        <v>2</v>
      </c>
      <c r="C13" s="48">
        <v>30122</v>
      </c>
      <c r="D13" s="126">
        <v>25046</v>
      </c>
      <c r="E13" s="134">
        <v>5076</v>
      </c>
      <c r="F13" s="48">
        <v>20778</v>
      </c>
      <c r="G13" s="126">
        <v>17272</v>
      </c>
      <c r="H13" s="134">
        <v>3506</v>
      </c>
      <c r="I13" s="47">
        <v>33075</v>
      </c>
      <c r="J13" s="46">
        <v>0.91071806500377928</v>
      </c>
      <c r="K13" s="85">
        <v>0.75724867724867728</v>
      </c>
      <c r="L13" s="87">
        <v>0.15346938775510205</v>
      </c>
      <c r="M13" s="46">
        <v>0.62820861678004536</v>
      </c>
      <c r="N13" s="85">
        <v>0.52220710506424795</v>
      </c>
      <c r="O13" s="87">
        <v>0.10600151171579743</v>
      </c>
      <c r="P13" s="45">
        <v>1.0726223658648149</v>
      </c>
      <c r="Q13" s="86">
        <v>1.0662511788270197</v>
      </c>
      <c r="R13" s="108">
        <v>1.1046202773666116</v>
      </c>
      <c r="S13" s="45">
        <v>1.2153712747576895</v>
      </c>
      <c r="T13" s="86">
        <v>1.1988028164621056</v>
      </c>
      <c r="U13" s="108">
        <v>1.3006369502800978</v>
      </c>
    </row>
    <row r="14" spans="1:21" x14ac:dyDescent="0.2">
      <c r="A14" s="44"/>
      <c r="B14" s="43" t="s">
        <v>1</v>
      </c>
      <c r="C14" s="42">
        <v>15134</v>
      </c>
      <c r="D14" s="125">
        <v>12621</v>
      </c>
      <c r="E14" s="133">
        <v>2513</v>
      </c>
      <c r="F14" s="42">
        <v>9791</v>
      </c>
      <c r="G14" s="125">
        <v>8198</v>
      </c>
      <c r="H14" s="133">
        <v>1593</v>
      </c>
      <c r="I14" s="41">
        <v>17197</v>
      </c>
      <c r="J14" s="40">
        <v>0.8800372157934524</v>
      </c>
      <c r="K14" s="39">
        <v>0.73390707681572365</v>
      </c>
      <c r="L14" s="38">
        <v>0.14613013897772867</v>
      </c>
      <c r="M14" s="40">
        <v>0.56934349014362973</v>
      </c>
      <c r="N14" s="39">
        <v>0.4767110542536489</v>
      </c>
      <c r="O14" s="38">
        <v>9.263243588998081E-2</v>
      </c>
      <c r="P14" s="37"/>
      <c r="Q14" s="36"/>
      <c r="R14" s="35"/>
      <c r="S14" s="37"/>
      <c r="T14" s="36"/>
      <c r="U14" s="35"/>
    </row>
    <row r="15" spans="1:21" x14ac:dyDescent="0.2">
      <c r="A15" s="34"/>
      <c r="B15" s="33" t="s">
        <v>0</v>
      </c>
      <c r="C15" s="32">
        <v>14988</v>
      </c>
      <c r="D15" s="127">
        <v>12425</v>
      </c>
      <c r="E15" s="135">
        <v>2563</v>
      </c>
      <c r="F15" s="32">
        <v>10987</v>
      </c>
      <c r="G15" s="127">
        <v>9074</v>
      </c>
      <c r="H15" s="135">
        <v>1913</v>
      </c>
      <c r="I15" s="31">
        <v>15878</v>
      </c>
      <c r="J15" s="30">
        <v>0.9439476004534576</v>
      </c>
      <c r="K15" s="29">
        <v>0.78252928580425751</v>
      </c>
      <c r="L15" s="28">
        <v>0.16141831464920015</v>
      </c>
      <c r="M15" s="30">
        <v>0.69196372339085532</v>
      </c>
      <c r="N15" s="29">
        <v>0.57148255447789398</v>
      </c>
      <c r="O15" s="28">
        <v>0.12048116891296133</v>
      </c>
      <c r="P15" s="27"/>
      <c r="Q15" s="26"/>
      <c r="R15" s="25"/>
      <c r="S15" s="27"/>
      <c r="T15" s="26"/>
      <c r="U15" s="25"/>
    </row>
    <row r="16" spans="1:21" x14ac:dyDescent="0.2">
      <c r="A16" s="83" t="s">
        <v>12</v>
      </c>
      <c r="B16" s="84" t="s">
        <v>2</v>
      </c>
      <c r="C16" s="48">
        <v>19013</v>
      </c>
      <c r="D16" s="126">
        <v>17437</v>
      </c>
      <c r="E16" s="134">
        <v>1576</v>
      </c>
      <c r="F16" s="48">
        <v>13014</v>
      </c>
      <c r="G16" s="126">
        <v>11900</v>
      </c>
      <c r="H16" s="134">
        <v>1114</v>
      </c>
      <c r="I16" s="47">
        <v>19292</v>
      </c>
      <c r="J16" s="46">
        <v>0.98553804685880153</v>
      </c>
      <c r="K16" s="85">
        <v>0.90384615384615385</v>
      </c>
      <c r="L16" s="87">
        <v>8.1691893012647732E-2</v>
      </c>
      <c r="M16" s="46">
        <v>0.67458013684428775</v>
      </c>
      <c r="N16" s="85">
        <v>0.61683599419448476</v>
      </c>
      <c r="O16" s="87">
        <v>5.7744142649803029E-2</v>
      </c>
      <c r="P16" s="45">
        <v>1.0068345443923157</v>
      </c>
      <c r="Q16" s="86">
        <v>1.012616700266959</v>
      </c>
      <c r="R16" s="108">
        <v>0.94496268322161614</v>
      </c>
      <c r="S16" s="45">
        <v>1.1499729402915166</v>
      </c>
      <c r="T16" s="86">
        <v>1.1578910010915036</v>
      </c>
      <c r="U16" s="108">
        <v>1.0688092245050844</v>
      </c>
    </row>
    <row r="17" spans="1:21" x14ac:dyDescent="0.2">
      <c r="A17" s="44"/>
      <c r="B17" s="43" t="s">
        <v>1</v>
      </c>
      <c r="C17" s="42">
        <v>9688</v>
      </c>
      <c r="D17" s="125">
        <v>8860</v>
      </c>
      <c r="E17" s="133">
        <v>828</v>
      </c>
      <c r="F17" s="42">
        <v>6199</v>
      </c>
      <c r="G17" s="125">
        <v>5648</v>
      </c>
      <c r="H17" s="133">
        <v>551</v>
      </c>
      <c r="I17" s="41">
        <v>9863</v>
      </c>
      <c r="J17" s="40">
        <v>0.98225691980127749</v>
      </c>
      <c r="K17" s="39">
        <v>0.89830680320389333</v>
      </c>
      <c r="L17" s="38">
        <v>8.3950116597384161E-2</v>
      </c>
      <c r="M17" s="40">
        <v>0.62851059515360441</v>
      </c>
      <c r="N17" s="39">
        <v>0.57264523978505522</v>
      </c>
      <c r="O17" s="38">
        <v>5.586535536854912E-2</v>
      </c>
      <c r="P17" s="37"/>
      <c r="Q17" s="36"/>
      <c r="R17" s="35"/>
      <c r="S17" s="37"/>
      <c r="T17" s="36"/>
      <c r="U17" s="35"/>
    </row>
    <row r="18" spans="1:21" x14ac:dyDescent="0.2">
      <c r="A18" s="34"/>
      <c r="B18" s="33" t="s">
        <v>0</v>
      </c>
      <c r="C18" s="32">
        <v>9325</v>
      </c>
      <c r="D18" s="127">
        <v>8577</v>
      </c>
      <c r="E18" s="135">
        <v>748</v>
      </c>
      <c r="F18" s="32">
        <v>6815</v>
      </c>
      <c r="G18" s="127">
        <v>6252</v>
      </c>
      <c r="H18" s="135">
        <v>563</v>
      </c>
      <c r="I18" s="31">
        <v>9429</v>
      </c>
      <c r="J18" s="30">
        <v>0.98897019832431854</v>
      </c>
      <c r="K18" s="29">
        <v>0.90964047088768696</v>
      </c>
      <c r="L18" s="28">
        <v>7.9329727436631664E-2</v>
      </c>
      <c r="M18" s="30">
        <v>0.72277017711316149</v>
      </c>
      <c r="N18" s="29">
        <v>0.66306076996500163</v>
      </c>
      <c r="O18" s="28">
        <v>5.9709407148159935E-2</v>
      </c>
      <c r="P18" s="27"/>
      <c r="Q18" s="26"/>
      <c r="R18" s="25"/>
      <c r="S18" s="27"/>
      <c r="T18" s="26"/>
      <c r="U18" s="25"/>
    </row>
    <row r="19" spans="1:21" x14ac:dyDescent="0.2">
      <c r="A19" s="83" t="s">
        <v>11</v>
      </c>
      <c r="B19" s="84" t="s">
        <v>2</v>
      </c>
      <c r="C19" s="48">
        <v>15996</v>
      </c>
      <c r="D19" s="126">
        <v>12184</v>
      </c>
      <c r="E19" s="134">
        <v>3812</v>
      </c>
      <c r="F19" s="48">
        <v>11573</v>
      </c>
      <c r="G19" s="126">
        <v>8559</v>
      </c>
      <c r="H19" s="134">
        <v>3014</v>
      </c>
      <c r="I19" s="47">
        <v>18535</v>
      </c>
      <c r="J19" s="46">
        <v>0.86301591583490689</v>
      </c>
      <c r="K19" s="85">
        <v>0.65735095764769358</v>
      </c>
      <c r="L19" s="87">
        <v>0.20566495818721339</v>
      </c>
      <c r="M19" s="46">
        <v>0.62438629619638519</v>
      </c>
      <c r="N19" s="85">
        <v>0.46177502023199352</v>
      </c>
      <c r="O19" s="87">
        <v>0.1626112759643917</v>
      </c>
      <c r="P19" s="45">
        <v>1.0725912027532467</v>
      </c>
      <c r="Q19" s="86">
        <v>1.0727723521257355</v>
      </c>
      <c r="R19" s="108">
        <v>1.0720124130263329</v>
      </c>
      <c r="S19" s="45">
        <v>1.2315471786387959</v>
      </c>
      <c r="T19" s="86">
        <v>1.2424098231450027</v>
      </c>
      <c r="U19" s="108">
        <v>1.2012457178449081</v>
      </c>
    </row>
    <row r="20" spans="1:21" x14ac:dyDescent="0.2">
      <c r="A20" s="44"/>
      <c r="B20" s="43" t="s">
        <v>1</v>
      </c>
      <c r="C20" s="42">
        <v>8042</v>
      </c>
      <c r="D20" s="125">
        <v>6125</v>
      </c>
      <c r="E20" s="133">
        <v>1917</v>
      </c>
      <c r="F20" s="42">
        <v>5419</v>
      </c>
      <c r="G20" s="125">
        <v>3989</v>
      </c>
      <c r="H20" s="133">
        <v>1430</v>
      </c>
      <c r="I20" s="41">
        <v>9643</v>
      </c>
      <c r="J20" s="40">
        <v>0.83397283003214773</v>
      </c>
      <c r="K20" s="39">
        <v>0.63517577517370116</v>
      </c>
      <c r="L20" s="38">
        <v>0.19879705485844654</v>
      </c>
      <c r="M20" s="40">
        <v>0.56196204500674063</v>
      </c>
      <c r="N20" s="39">
        <v>0.41366794566006432</v>
      </c>
      <c r="O20" s="38">
        <v>0.14829409934667634</v>
      </c>
      <c r="P20" s="37"/>
      <c r="Q20" s="36"/>
      <c r="R20" s="35"/>
      <c r="S20" s="37"/>
      <c r="T20" s="36"/>
      <c r="U20" s="35"/>
    </row>
    <row r="21" spans="1:21" x14ac:dyDescent="0.2">
      <c r="A21" s="34"/>
      <c r="B21" s="33" t="s">
        <v>0</v>
      </c>
      <c r="C21" s="32">
        <v>7954</v>
      </c>
      <c r="D21" s="127">
        <v>6059</v>
      </c>
      <c r="E21" s="135">
        <v>1895</v>
      </c>
      <c r="F21" s="32">
        <v>6154</v>
      </c>
      <c r="G21" s="127">
        <v>4570</v>
      </c>
      <c r="H21" s="135">
        <v>1584</v>
      </c>
      <c r="I21" s="31">
        <v>8892</v>
      </c>
      <c r="J21" s="30">
        <v>0.89451192082771025</v>
      </c>
      <c r="K21" s="29">
        <v>0.68139901034637873</v>
      </c>
      <c r="L21" s="28">
        <v>0.21311291048133155</v>
      </c>
      <c r="M21" s="30">
        <v>0.69208277103013949</v>
      </c>
      <c r="N21" s="29">
        <v>0.51394511920827712</v>
      </c>
      <c r="O21" s="28">
        <v>0.17813765182186234</v>
      </c>
      <c r="P21" s="27"/>
      <c r="Q21" s="26"/>
      <c r="R21" s="25"/>
      <c r="S21" s="27"/>
      <c r="T21" s="26"/>
      <c r="U21" s="25"/>
    </row>
    <row r="22" spans="1:21" x14ac:dyDescent="0.2">
      <c r="A22" s="83" t="s">
        <v>27</v>
      </c>
      <c r="B22" s="84" t="s">
        <v>2</v>
      </c>
      <c r="C22" s="48">
        <v>9838</v>
      </c>
      <c r="D22" s="126">
        <v>9225</v>
      </c>
      <c r="E22" s="134">
        <v>613</v>
      </c>
      <c r="F22" s="48">
        <v>5872</v>
      </c>
      <c r="G22" s="126">
        <v>5468</v>
      </c>
      <c r="H22" s="134">
        <v>404</v>
      </c>
      <c r="I22" s="47">
        <v>12996</v>
      </c>
      <c r="J22" s="46">
        <v>0.75700215450907971</v>
      </c>
      <c r="K22" s="85">
        <v>0.70983379501385047</v>
      </c>
      <c r="L22" s="87">
        <v>4.7168359495229302E-2</v>
      </c>
      <c r="M22" s="46">
        <v>0.45183133271775933</v>
      </c>
      <c r="N22" s="85">
        <v>0.42074484456755923</v>
      </c>
      <c r="O22" s="87">
        <v>3.1086488150200063E-2</v>
      </c>
      <c r="P22" s="45">
        <v>1.2189629725536197</v>
      </c>
      <c r="Q22" s="86">
        <v>1.2375231048438708</v>
      </c>
      <c r="R22" s="108">
        <v>0.97217761733782082</v>
      </c>
      <c r="S22" s="45">
        <v>1.3423321579868908</v>
      </c>
      <c r="T22" s="86">
        <v>1.3518753070308607</v>
      </c>
      <c r="U22" s="108">
        <v>1.2202722032793418</v>
      </c>
    </row>
    <row r="23" spans="1:21" x14ac:dyDescent="0.2">
      <c r="A23" s="44"/>
      <c r="B23" s="43" t="s">
        <v>1</v>
      </c>
      <c r="C23" s="42">
        <v>4532</v>
      </c>
      <c r="D23" s="125">
        <v>4215</v>
      </c>
      <c r="E23" s="133">
        <v>317</v>
      </c>
      <c r="F23" s="42">
        <v>2565</v>
      </c>
      <c r="G23" s="125">
        <v>2379</v>
      </c>
      <c r="H23" s="133">
        <v>186</v>
      </c>
      <c r="I23" s="41">
        <v>6629</v>
      </c>
      <c r="J23" s="40">
        <v>0.68366269422235626</v>
      </c>
      <c r="K23" s="39">
        <v>0.63584251018253135</v>
      </c>
      <c r="L23" s="38">
        <v>4.7820184039825013E-2</v>
      </c>
      <c r="M23" s="40">
        <v>0.3869361894705084</v>
      </c>
      <c r="N23" s="39">
        <v>0.35887765877206212</v>
      </c>
      <c r="O23" s="38">
        <v>2.8058530698446223E-2</v>
      </c>
      <c r="P23" s="37"/>
      <c r="Q23" s="36"/>
      <c r="R23" s="35"/>
      <c r="S23" s="37"/>
      <c r="T23" s="36"/>
      <c r="U23" s="35"/>
    </row>
    <row r="24" spans="1:21" x14ac:dyDescent="0.2">
      <c r="A24" s="34"/>
      <c r="B24" s="33" t="s">
        <v>0</v>
      </c>
      <c r="C24" s="32">
        <v>5306</v>
      </c>
      <c r="D24" s="127">
        <v>5010</v>
      </c>
      <c r="E24" s="135">
        <v>296</v>
      </c>
      <c r="F24" s="32">
        <v>3307</v>
      </c>
      <c r="G24" s="127">
        <v>3089</v>
      </c>
      <c r="H24" s="135">
        <v>218</v>
      </c>
      <c r="I24" s="31">
        <v>6367</v>
      </c>
      <c r="J24" s="30">
        <v>0.83335950997329977</v>
      </c>
      <c r="K24" s="29">
        <v>0.78686979739280671</v>
      </c>
      <c r="L24" s="28">
        <v>4.648971258049317E-2</v>
      </c>
      <c r="M24" s="30">
        <v>0.51939689021517199</v>
      </c>
      <c r="N24" s="29">
        <v>0.48515784513899796</v>
      </c>
      <c r="O24" s="28">
        <v>3.4239045076174021E-2</v>
      </c>
      <c r="P24" s="27"/>
      <c r="Q24" s="26"/>
      <c r="R24" s="25"/>
      <c r="S24" s="27"/>
      <c r="T24" s="26"/>
      <c r="U24" s="25"/>
    </row>
    <row r="25" spans="1:21" x14ac:dyDescent="0.2">
      <c r="A25" s="83" t="s">
        <v>10</v>
      </c>
      <c r="B25" s="84" t="s">
        <v>2</v>
      </c>
      <c r="C25" s="48">
        <v>15913</v>
      </c>
      <c r="D25" s="126">
        <v>13016</v>
      </c>
      <c r="E25" s="134">
        <v>2897</v>
      </c>
      <c r="F25" s="48">
        <v>10324</v>
      </c>
      <c r="G25" s="126">
        <v>8483</v>
      </c>
      <c r="H25" s="134">
        <v>1841</v>
      </c>
      <c r="I25" s="47">
        <v>17851</v>
      </c>
      <c r="J25" s="46">
        <v>0.89143465352081119</v>
      </c>
      <c r="K25" s="85">
        <v>0.72914682650831886</v>
      </c>
      <c r="L25" s="87">
        <v>0.16228782701249231</v>
      </c>
      <c r="M25" s="46">
        <v>0.5783429499747913</v>
      </c>
      <c r="N25" s="85">
        <v>0.47521147274662484</v>
      </c>
      <c r="O25" s="87">
        <v>0.10313147722816648</v>
      </c>
      <c r="P25" s="45">
        <v>1.1061909631982612</v>
      </c>
      <c r="Q25" s="86">
        <v>1.0905956112232418</v>
      </c>
      <c r="R25" s="108">
        <v>1.1791557468529814</v>
      </c>
      <c r="S25" s="45">
        <v>1.3076082545065686</v>
      </c>
      <c r="T25" s="86">
        <v>1.3070981417858591</v>
      </c>
      <c r="U25" s="108">
        <v>1.3099616159973533</v>
      </c>
    </row>
    <row r="26" spans="1:21" x14ac:dyDescent="0.2">
      <c r="A26" s="44"/>
      <c r="B26" s="43" t="s">
        <v>1</v>
      </c>
      <c r="C26" s="42">
        <v>7757</v>
      </c>
      <c r="D26" s="125">
        <v>6391</v>
      </c>
      <c r="E26" s="133">
        <v>1366</v>
      </c>
      <c r="F26" s="42">
        <v>4603</v>
      </c>
      <c r="G26" s="125">
        <v>3783</v>
      </c>
      <c r="H26" s="133">
        <v>820</v>
      </c>
      <c r="I26" s="41">
        <v>9152</v>
      </c>
      <c r="J26" s="40">
        <v>0.84757430069930073</v>
      </c>
      <c r="K26" s="39">
        <v>0.69831730769230771</v>
      </c>
      <c r="L26" s="38">
        <v>0.14925699300699299</v>
      </c>
      <c r="M26" s="40">
        <v>0.50295017482517479</v>
      </c>
      <c r="N26" s="39">
        <v>0.41335227272727271</v>
      </c>
      <c r="O26" s="38">
        <v>8.9597902097902096E-2</v>
      </c>
      <c r="P26" s="37"/>
      <c r="Q26" s="36"/>
      <c r="R26" s="35"/>
      <c r="S26" s="37"/>
      <c r="T26" s="36"/>
      <c r="U26" s="35"/>
    </row>
    <row r="27" spans="1:21" x14ac:dyDescent="0.2">
      <c r="A27" s="34"/>
      <c r="B27" s="33" t="s">
        <v>0</v>
      </c>
      <c r="C27" s="32">
        <v>8156</v>
      </c>
      <c r="D27" s="127">
        <v>6625</v>
      </c>
      <c r="E27" s="135">
        <v>1531</v>
      </c>
      <c r="F27" s="32">
        <v>5721</v>
      </c>
      <c r="G27" s="127">
        <v>4700</v>
      </c>
      <c r="H27" s="135">
        <v>1021</v>
      </c>
      <c r="I27" s="31">
        <v>8699</v>
      </c>
      <c r="J27" s="30">
        <v>0.93757903207265203</v>
      </c>
      <c r="K27" s="29">
        <v>0.76158179101046097</v>
      </c>
      <c r="L27" s="28">
        <v>0.17599724106219106</v>
      </c>
      <c r="M27" s="30">
        <v>0.65766180020692033</v>
      </c>
      <c r="N27" s="29">
        <v>0.54029198758477981</v>
      </c>
      <c r="O27" s="28">
        <v>0.11736981262214048</v>
      </c>
      <c r="P27" s="27"/>
      <c r="Q27" s="26"/>
      <c r="R27" s="25"/>
      <c r="S27" s="27"/>
      <c r="T27" s="26"/>
      <c r="U27" s="25"/>
    </row>
    <row r="28" spans="1:21" x14ac:dyDescent="0.2">
      <c r="A28" s="83" t="s">
        <v>9</v>
      </c>
      <c r="B28" s="84" t="s">
        <v>2</v>
      </c>
      <c r="C28" s="48">
        <v>10924</v>
      </c>
      <c r="D28" s="126">
        <v>2783</v>
      </c>
      <c r="E28" s="134">
        <v>8141</v>
      </c>
      <c r="F28" s="48">
        <v>6912</v>
      </c>
      <c r="G28" s="126">
        <v>1713</v>
      </c>
      <c r="H28" s="134">
        <v>5199</v>
      </c>
      <c r="I28" s="47">
        <v>7057</v>
      </c>
      <c r="J28" s="46">
        <v>1.5479665580274904</v>
      </c>
      <c r="K28" s="85">
        <v>0.39436020972084457</v>
      </c>
      <c r="L28" s="87">
        <v>1.1536063483066459</v>
      </c>
      <c r="M28" s="46">
        <v>0.97945302536488588</v>
      </c>
      <c r="N28" s="85">
        <v>0.24273770724103727</v>
      </c>
      <c r="O28" s="87">
        <v>0.73671531812384861</v>
      </c>
      <c r="P28" s="45">
        <v>1.1145616041841491</v>
      </c>
      <c r="Q28" s="86">
        <v>0.87964681291633295</v>
      </c>
      <c r="R28" s="108">
        <v>1.2088183194102833</v>
      </c>
      <c r="S28" s="45">
        <v>1.3213984758816284</v>
      </c>
      <c r="T28" s="86">
        <v>1.0258574577102821</v>
      </c>
      <c r="U28" s="108">
        <v>1.4384607480722313</v>
      </c>
    </row>
    <row r="29" spans="1:21" x14ac:dyDescent="0.2">
      <c r="A29" s="44"/>
      <c r="B29" s="43" t="s">
        <v>1</v>
      </c>
      <c r="C29" s="42">
        <v>5207</v>
      </c>
      <c r="D29" s="125">
        <v>1491</v>
      </c>
      <c r="E29" s="133">
        <v>3716</v>
      </c>
      <c r="F29" s="42">
        <v>3003</v>
      </c>
      <c r="G29" s="125">
        <v>852</v>
      </c>
      <c r="H29" s="133">
        <v>2151</v>
      </c>
      <c r="I29" s="41">
        <v>3555</v>
      </c>
      <c r="J29" s="40">
        <v>1.4646976090014066</v>
      </c>
      <c r="K29" s="39">
        <v>0.41940928270042194</v>
      </c>
      <c r="L29" s="38">
        <v>1.0452883263009844</v>
      </c>
      <c r="M29" s="40">
        <v>0.84472573839662446</v>
      </c>
      <c r="N29" s="39">
        <v>0.23966244725738398</v>
      </c>
      <c r="O29" s="38">
        <v>0.60506329113924051</v>
      </c>
      <c r="P29" s="37"/>
      <c r="Q29" s="36"/>
      <c r="R29" s="35"/>
      <c r="S29" s="37"/>
      <c r="T29" s="36"/>
      <c r="U29" s="35"/>
    </row>
    <row r="30" spans="1:21" x14ac:dyDescent="0.2">
      <c r="A30" s="34"/>
      <c r="B30" s="33" t="s">
        <v>0</v>
      </c>
      <c r="C30" s="32">
        <v>5717</v>
      </c>
      <c r="D30" s="127">
        <v>1292</v>
      </c>
      <c r="E30" s="135">
        <v>4425</v>
      </c>
      <c r="F30" s="32">
        <v>3909</v>
      </c>
      <c r="G30" s="127">
        <v>861</v>
      </c>
      <c r="H30" s="135">
        <v>3048</v>
      </c>
      <c r="I30" s="31">
        <v>3502</v>
      </c>
      <c r="J30" s="30">
        <v>1.6324957167332952</v>
      </c>
      <c r="K30" s="29">
        <v>0.36893203883495146</v>
      </c>
      <c r="L30" s="28">
        <v>1.2635636778983439</v>
      </c>
      <c r="M30" s="30">
        <v>1.1162193032552827</v>
      </c>
      <c r="N30" s="29">
        <v>0.24585950885208452</v>
      </c>
      <c r="O30" s="28">
        <v>0.87035979440319822</v>
      </c>
      <c r="P30" s="27"/>
      <c r="Q30" s="26"/>
      <c r="R30" s="25"/>
      <c r="S30" s="27"/>
      <c r="T30" s="26"/>
      <c r="U30" s="25"/>
    </row>
    <row r="31" spans="1:21" x14ac:dyDescent="0.2">
      <c r="A31" s="83" t="s">
        <v>8</v>
      </c>
      <c r="B31" s="84" t="s">
        <v>2</v>
      </c>
      <c r="C31" s="48">
        <v>4707</v>
      </c>
      <c r="D31" s="126">
        <v>4266</v>
      </c>
      <c r="E31" s="134">
        <v>441</v>
      </c>
      <c r="F31" s="48">
        <v>3225</v>
      </c>
      <c r="G31" s="126">
        <v>2869</v>
      </c>
      <c r="H31" s="134">
        <v>356</v>
      </c>
      <c r="I31" s="47">
        <v>4469</v>
      </c>
      <c r="J31" s="46">
        <v>1.0532557619154173</v>
      </c>
      <c r="K31" s="85">
        <v>0.95457596777802645</v>
      </c>
      <c r="L31" s="87">
        <v>9.8679794137390919E-2</v>
      </c>
      <c r="M31" s="46">
        <v>0.72163795032445732</v>
      </c>
      <c r="N31" s="85">
        <v>0.64197807115685834</v>
      </c>
      <c r="O31" s="87">
        <v>7.9659879167599021E-2</v>
      </c>
      <c r="P31" s="45">
        <v>1.0902200754810754</v>
      </c>
      <c r="Q31" s="86">
        <v>1.0825299633943122</v>
      </c>
      <c r="R31" s="108">
        <v>1.1674372283522731</v>
      </c>
      <c r="S31" s="45">
        <v>1.3031353052870946</v>
      </c>
      <c r="T31" s="86">
        <v>1.3122580788774609</v>
      </c>
      <c r="U31" s="108">
        <v>1.2320094949110414</v>
      </c>
    </row>
    <row r="32" spans="1:21" x14ac:dyDescent="0.2">
      <c r="A32" s="44"/>
      <c r="B32" s="43" t="s">
        <v>1</v>
      </c>
      <c r="C32" s="42">
        <v>2418</v>
      </c>
      <c r="D32" s="125">
        <v>2199</v>
      </c>
      <c r="E32" s="133">
        <v>219</v>
      </c>
      <c r="F32" s="42">
        <v>1513</v>
      </c>
      <c r="G32" s="125">
        <v>1341</v>
      </c>
      <c r="H32" s="133">
        <v>172</v>
      </c>
      <c r="I32" s="41">
        <v>2392</v>
      </c>
      <c r="J32" s="40">
        <v>1.0108695652173914</v>
      </c>
      <c r="K32" s="39">
        <v>0.91931438127090304</v>
      </c>
      <c r="L32" s="38">
        <v>9.1555183946488289E-2</v>
      </c>
      <c r="M32" s="40">
        <v>0.63252508361204018</v>
      </c>
      <c r="N32" s="39">
        <v>0.56061872909698995</v>
      </c>
      <c r="O32" s="38">
        <v>7.1906354515050161E-2</v>
      </c>
      <c r="P32" s="37"/>
      <c r="Q32" s="36"/>
      <c r="R32" s="35"/>
      <c r="S32" s="37"/>
      <c r="T32" s="36"/>
      <c r="U32" s="35"/>
    </row>
    <row r="33" spans="1:21" x14ac:dyDescent="0.2">
      <c r="A33" s="34"/>
      <c r="B33" s="33" t="s">
        <v>0</v>
      </c>
      <c r="C33" s="32">
        <v>2289</v>
      </c>
      <c r="D33" s="127">
        <v>2067</v>
      </c>
      <c r="E33" s="135">
        <v>222</v>
      </c>
      <c r="F33" s="32">
        <v>1712</v>
      </c>
      <c r="G33" s="127">
        <v>1528</v>
      </c>
      <c r="H33" s="135">
        <v>184</v>
      </c>
      <c r="I33" s="31">
        <v>2077</v>
      </c>
      <c r="J33" s="30">
        <v>1.1020702936928262</v>
      </c>
      <c r="K33" s="29">
        <v>0.99518536350505538</v>
      </c>
      <c r="L33" s="28">
        <v>0.10688493018777083</v>
      </c>
      <c r="M33" s="30">
        <v>0.824265767934521</v>
      </c>
      <c r="N33" s="29">
        <v>0.73567645642753976</v>
      </c>
      <c r="O33" s="28">
        <v>8.8589311506981225E-2</v>
      </c>
      <c r="P33" s="27"/>
      <c r="Q33" s="26"/>
      <c r="R33" s="25"/>
      <c r="S33" s="27"/>
      <c r="T33" s="26"/>
      <c r="U33" s="25"/>
    </row>
    <row r="34" spans="1:21" x14ac:dyDescent="0.2">
      <c r="A34" s="83" t="s">
        <v>7</v>
      </c>
      <c r="B34" s="84" t="s">
        <v>2</v>
      </c>
      <c r="C34" s="48">
        <v>6827</v>
      </c>
      <c r="D34" s="126">
        <v>5140</v>
      </c>
      <c r="E34" s="134">
        <v>1687</v>
      </c>
      <c r="F34" s="48">
        <v>4261</v>
      </c>
      <c r="G34" s="126">
        <v>3142</v>
      </c>
      <c r="H34" s="134">
        <v>1119</v>
      </c>
      <c r="I34" s="47">
        <v>6417</v>
      </c>
      <c r="J34" s="46">
        <v>1.0638927847904005</v>
      </c>
      <c r="K34" s="85">
        <v>0.8009973507869721</v>
      </c>
      <c r="L34" s="87">
        <v>0.26289543400342841</v>
      </c>
      <c r="M34" s="46">
        <v>0.66401745363877196</v>
      </c>
      <c r="N34" s="85">
        <v>0.48963690197911797</v>
      </c>
      <c r="O34" s="87">
        <v>0.17438055165965405</v>
      </c>
      <c r="P34" s="45">
        <v>1.0754188869893637</v>
      </c>
      <c r="Q34" s="86">
        <v>1.0750974145886396</v>
      </c>
      <c r="R34" s="108">
        <v>1.0763989666714733</v>
      </c>
      <c r="S34" s="45">
        <v>1.3122623336504469</v>
      </c>
      <c r="T34" s="86">
        <v>1.3423226241765343</v>
      </c>
      <c r="U34" s="108">
        <v>1.2318051063449242</v>
      </c>
    </row>
    <row r="35" spans="1:21" x14ac:dyDescent="0.2">
      <c r="A35" s="44"/>
      <c r="B35" s="43" t="s">
        <v>1</v>
      </c>
      <c r="C35" s="42">
        <v>3324</v>
      </c>
      <c r="D35" s="125">
        <v>2503</v>
      </c>
      <c r="E35" s="133">
        <v>821</v>
      </c>
      <c r="F35" s="42">
        <v>1864</v>
      </c>
      <c r="G35" s="125">
        <v>1357</v>
      </c>
      <c r="H35" s="133">
        <v>507</v>
      </c>
      <c r="I35" s="41">
        <v>3241</v>
      </c>
      <c r="J35" s="40">
        <v>1.0256093798210428</v>
      </c>
      <c r="K35" s="39">
        <v>0.77229250231410063</v>
      </c>
      <c r="L35" s="38">
        <v>0.25331687750694232</v>
      </c>
      <c r="M35" s="40">
        <v>0.57513113236655355</v>
      </c>
      <c r="N35" s="39">
        <v>0.41869793273680961</v>
      </c>
      <c r="O35" s="38">
        <v>0.15643319962974392</v>
      </c>
      <c r="P35" s="37"/>
      <c r="Q35" s="36"/>
      <c r="R35" s="35"/>
      <c r="S35" s="37"/>
      <c r="T35" s="36"/>
      <c r="U35" s="35"/>
    </row>
    <row r="36" spans="1:21" x14ac:dyDescent="0.2">
      <c r="A36" s="34"/>
      <c r="B36" s="33" t="s">
        <v>0</v>
      </c>
      <c r="C36" s="32">
        <v>3503</v>
      </c>
      <c r="D36" s="127">
        <v>2637</v>
      </c>
      <c r="E36" s="135">
        <v>866</v>
      </c>
      <c r="F36" s="32">
        <v>2397</v>
      </c>
      <c r="G36" s="127">
        <v>1785</v>
      </c>
      <c r="H36" s="135">
        <v>612</v>
      </c>
      <c r="I36" s="31">
        <v>3176</v>
      </c>
      <c r="J36" s="30">
        <v>1.1029596977329974</v>
      </c>
      <c r="K36" s="29">
        <v>0.83028967254408059</v>
      </c>
      <c r="L36" s="28">
        <v>0.27267002518891686</v>
      </c>
      <c r="M36" s="30">
        <v>0.75472292191435764</v>
      </c>
      <c r="N36" s="29">
        <v>0.56202770780856426</v>
      </c>
      <c r="O36" s="28">
        <v>0.19269521410579346</v>
      </c>
      <c r="P36" s="27"/>
      <c r="Q36" s="26"/>
      <c r="R36" s="25"/>
      <c r="S36" s="27"/>
      <c r="T36" s="26"/>
      <c r="U36" s="25"/>
    </row>
    <row r="37" spans="1:21" x14ac:dyDescent="0.2">
      <c r="A37" s="83" t="s">
        <v>5</v>
      </c>
      <c r="B37" s="84" t="s">
        <v>2</v>
      </c>
      <c r="C37" s="48">
        <v>9858</v>
      </c>
      <c r="D37" s="126">
        <v>6678</v>
      </c>
      <c r="E37" s="134">
        <v>3180</v>
      </c>
      <c r="F37" s="48">
        <v>7047</v>
      </c>
      <c r="G37" s="126">
        <v>4559</v>
      </c>
      <c r="H37" s="134">
        <v>2488</v>
      </c>
      <c r="I37" s="47">
        <v>8169</v>
      </c>
      <c r="J37" s="46">
        <v>1.2067572530297466</v>
      </c>
      <c r="K37" s="85">
        <v>0.81748071979434445</v>
      </c>
      <c r="L37" s="87">
        <v>0.38927653323540212</v>
      </c>
      <c r="M37" s="46">
        <v>0.86265148733015062</v>
      </c>
      <c r="N37" s="85">
        <v>0.55808544497490509</v>
      </c>
      <c r="O37" s="87">
        <v>0.30456604235524543</v>
      </c>
      <c r="P37" s="45">
        <v>1.0688939695893569</v>
      </c>
      <c r="Q37" s="86">
        <v>0.98329572209753047</v>
      </c>
      <c r="R37" s="108">
        <v>1.2744852879886639</v>
      </c>
      <c r="S37" s="45">
        <v>1.2030628378365984</v>
      </c>
      <c r="T37" s="86">
        <v>1.1112701147647583</v>
      </c>
      <c r="U37" s="108">
        <v>1.3932849409535479</v>
      </c>
    </row>
    <row r="38" spans="1:21" x14ac:dyDescent="0.2">
      <c r="A38" s="44"/>
      <c r="B38" s="43" t="s">
        <v>1</v>
      </c>
      <c r="C38" s="42">
        <v>4868</v>
      </c>
      <c r="D38" s="125">
        <v>3437</v>
      </c>
      <c r="E38" s="133">
        <v>1431</v>
      </c>
      <c r="F38" s="42">
        <v>3272</v>
      </c>
      <c r="G38" s="125">
        <v>2207</v>
      </c>
      <c r="H38" s="133">
        <v>1065</v>
      </c>
      <c r="I38" s="41">
        <v>4170</v>
      </c>
      <c r="J38" s="40">
        <v>1.1673860911270983</v>
      </c>
      <c r="K38" s="39">
        <v>0.82422062350119907</v>
      </c>
      <c r="L38" s="38">
        <v>0.34316546762589928</v>
      </c>
      <c r="M38" s="40">
        <v>0.78465227817745808</v>
      </c>
      <c r="N38" s="39">
        <v>0.5292565947242206</v>
      </c>
      <c r="O38" s="38">
        <v>0.25539568345323743</v>
      </c>
      <c r="P38" s="37"/>
      <c r="Q38" s="36"/>
      <c r="R38" s="35"/>
      <c r="S38" s="37"/>
      <c r="T38" s="36"/>
      <c r="U38" s="35"/>
    </row>
    <row r="39" spans="1:21" x14ac:dyDescent="0.2">
      <c r="A39" s="34"/>
      <c r="B39" s="33" t="s">
        <v>0</v>
      </c>
      <c r="C39" s="32">
        <v>4990</v>
      </c>
      <c r="D39" s="127">
        <v>3241</v>
      </c>
      <c r="E39" s="135">
        <v>1749</v>
      </c>
      <c r="F39" s="32">
        <v>3775</v>
      </c>
      <c r="G39" s="127">
        <v>2352</v>
      </c>
      <c r="H39" s="135">
        <v>1423</v>
      </c>
      <c r="I39" s="31">
        <v>3999</v>
      </c>
      <c r="J39" s="30">
        <v>1.247811952988247</v>
      </c>
      <c r="K39" s="29">
        <v>0.81045261315328831</v>
      </c>
      <c r="L39" s="28">
        <v>0.43735933983495873</v>
      </c>
      <c r="M39" s="30">
        <v>0.94398599649912474</v>
      </c>
      <c r="N39" s="29">
        <v>0.58814703675918978</v>
      </c>
      <c r="O39" s="28">
        <v>0.35583895973993496</v>
      </c>
      <c r="P39" s="27"/>
      <c r="Q39" s="26"/>
      <c r="R39" s="25"/>
      <c r="S39" s="27"/>
      <c r="T39" s="26"/>
      <c r="U39" s="25"/>
    </row>
    <row r="40" spans="1:21" x14ac:dyDescent="0.2">
      <c r="A40" s="83" t="s">
        <v>4</v>
      </c>
      <c r="B40" s="84" t="s">
        <v>2</v>
      </c>
      <c r="C40" s="48">
        <v>14173</v>
      </c>
      <c r="D40" s="126">
        <v>6745</v>
      </c>
      <c r="E40" s="134">
        <v>7428</v>
      </c>
      <c r="F40" s="48">
        <v>10172</v>
      </c>
      <c r="G40" s="126">
        <v>4603</v>
      </c>
      <c r="H40" s="134">
        <v>5569</v>
      </c>
      <c r="I40" s="47">
        <v>11294</v>
      </c>
      <c r="J40" s="46">
        <v>1.2549141136886843</v>
      </c>
      <c r="K40" s="85">
        <v>0.59721976270586152</v>
      </c>
      <c r="L40" s="87">
        <v>0.6576943509828227</v>
      </c>
      <c r="M40" s="46">
        <v>0.90065521515849123</v>
      </c>
      <c r="N40" s="85">
        <v>0.40756153709934478</v>
      </c>
      <c r="O40" s="87">
        <v>0.49309367805914645</v>
      </c>
      <c r="P40" s="45">
        <v>1.0580610672562145</v>
      </c>
      <c r="Q40" s="86">
        <v>0.87902537817710913</v>
      </c>
      <c r="R40" s="108">
        <v>1.2527165968386116</v>
      </c>
      <c r="S40" s="45">
        <v>1.1916121751308719</v>
      </c>
      <c r="T40" s="86">
        <v>0.98123988034797882</v>
      </c>
      <c r="U40" s="108">
        <v>1.402164429105196</v>
      </c>
    </row>
    <row r="41" spans="1:21" x14ac:dyDescent="0.2">
      <c r="A41" s="44"/>
      <c r="B41" s="43" t="s">
        <v>1</v>
      </c>
      <c r="C41" s="42">
        <v>6938</v>
      </c>
      <c r="D41" s="125">
        <v>3614</v>
      </c>
      <c r="E41" s="133">
        <v>3324</v>
      </c>
      <c r="F41" s="42">
        <v>4678</v>
      </c>
      <c r="G41" s="125">
        <v>2340</v>
      </c>
      <c r="H41" s="133">
        <v>2338</v>
      </c>
      <c r="I41" s="41">
        <v>5688</v>
      </c>
      <c r="J41" s="40">
        <v>1.2197609001406471</v>
      </c>
      <c r="K41" s="39">
        <v>0.63537271448663857</v>
      </c>
      <c r="L41" s="38">
        <v>0.58438818565400841</v>
      </c>
      <c r="M41" s="40">
        <v>0.82243319268635728</v>
      </c>
      <c r="N41" s="39">
        <v>0.41139240506329117</v>
      </c>
      <c r="O41" s="38">
        <v>0.41104078762306612</v>
      </c>
      <c r="P41" s="37"/>
      <c r="Q41" s="36"/>
      <c r="R41" s="35"/>
      <c r="S41" s="37"/>
      <c r="T41" s="36"/>
      <c r="U41" s="35"/>
    </row>
    <row r="42" spans="1:21" x14ac:dyDescent="0.2">
      <c r="A42" s="34"/>
      <c r="B42" s="33" t="s">
        <v>0</v>
      </c>
      <c r="C42" s="32">
        <v>7235</v>
      </c>
      <c r="D42" s="127">
        <v>3131</v>
      </c>
      <c r="E42" s="135">
        <v>4104</v>
      </c>
      <c r="F42" s="32">
        <v>5494</v>
      </c>
      <c r="G42" s="127">
        <v>2263</v>
      </c>
      <c r="H42" s="135">
        <v>3231</v>
      </c>
      <c r="I42" s="31">
        <v>5606</v>
      </c>
      <c r="J42" s="30">
        <v>1.290581519800214</v>
      </c>
      <c r="K42" s="29">
        <v>0.55850874063503386</v>
      </c>
      <c r="L42" s="28">
        <v>0.73207277916518021</v>
      </c>
      <c r="M42" s="30">
        <v>0.98002140563681772</v>
      </c>
      <c r="N42" s="29">
        <v>0.40367463432037104</v>
      </c>
      <c r="O42" s="28">
        <v>0.57634677131644663</v>
      </c>
      <c r="P42" s="27"/>
      <c r="Q42" s="26"/>
      <c r="R42" s="25"/>
      <c r="S42" s="27"/>
      <c r="T42" s="26"/>
      <c r="U42" s="25"/>
    </row>
    <row r="43" spans="1:21" x14ac:dyDescent="0.2">
      <c r="A43" s="24" t="s">
        <v>3</v>
      </c>
      <c r="B43" s="23" t="s">
        <v>2</v>
      </c>
      <c r="C43" s="22">
        <v>214749</v>
      </c>
      <c r="D43" s="112">
        <v>142413</v>
      </c>
      <c r="E43" s="137">
        <v>72336</v>
      </c>
      <c r="F43" s="22">
        <v>144635</v>
      </c>
      <c r="G43" s="112">
        <v>93542</v>
      </c>
      <c r="H43" s="137">
        <v>51093</v>
      </c>
      <c r="I43" s="82">
        <v>204436</v>
      </c>
      <c r="J43" s="21">
        <v>1.0504461053826137</v>
      </c>
      <c r="K43" s="20">
        <v>0.69661409927801365</v>
      </c>
      <c r="L43" s="19">
        <v>0.35383200610459997</v>
      </c>
      <c r="M43" s="21">
        <v>0.70748302647283257</v>
      </c>
      <c r="N43" s="20">
        <v>0.45756129057504547</v>
      </c>
      <c r="O43" s="19">
        <v>0.24992173589778707</v>
      </c>
      <c r="P43" s="18">
        <v>1.0800945868994329</v>
      </c>
      <c r="Q43" s="17">
        <v>1.0276976187224924</v>
      </c>
      <c r="R43" s="16">
        <v>1.1913745894806738</v>
      </c>
      <c r="S43" s="18">
        <v>1.2352736278992942</v>
      </c>
      <c r="T43" s="17">
        <v>1.1821847608630818</v>
      </c>
      <c r="U43" s="16">
        <v>1.3393080519743075</v>
      </c>
    </row>
    <row r="44" spans="1:21" x14ac:dyDescent="0.2">
      <c r="A44" s="24"/>
      <c r="B44" s="23" t="s">
        <v>1</v>
      </c>
      <c r="C44" s="22">
        <v>105912</v>
      </c>
      <c r="D44" s="112">
        <v>72007</v>
      </c>
      <c r="E44" s="137">
        <v>33905</v>
      </c>
      <c r="F44" s="22">
        <v>66491</v>
      </c>
      <c r="G44" s="112">
        <v>44025</v>
      </c>
      <c r="H44" s="137">
        <v>22466</v>
      </c>
      <c r="I44" s="82">
        <v>104763</v>
      </c>
      <c r="J44" s="21">
        <v>1.0109676126113227</v>
      </c>
      <c r="K44" s="20">
        <v>0.68733235970714857</v>
      </c>
      <c r="L44" s="19">
        <v>0.32363525290417416</v>
      </c>
      <c r="M44" s="21">
        <v>0.63468018288899708</v>
      </c>
      <c r="N44" s="20">
        <v>0.42023424300564133</v>
      </c>
      <c r="O44" s="19">
        <v>0.21444593988335575</v>
      </c>
      <c r="P44" s="18"/>
      <c r="Q44" s="17"/>
      <c r="R44" s="16"/>
      <c r="S44" s="18"/>
      <c r="T44" s="17"/>
      <c r="U44" s="16"/>
    </row>
    <row r="45" spans="1:21" ht="12" thickBot="1" x14ac:dyDescent="0.25">
      <c r="A45" s="15"/>
      <c r="B45" s="14" t="s">
        <v>0</v>
      </c>
      <c r="C45" s="13">
        <v>108837</v>
      </c>
      <c r="D45" s="113">
        <v>70406</v>
      </c>
      <c r="E45" s="138">
        <v>38431</v>
      </c>
      <c r="F45" s="13">
        <v>78144</v>
      </c>
      <c r="G45" s="113">
        <v>49517</v>
      </c>
      <c r="H45" s="138">
        <v>28627</v>
      </c>
      <c r="I45" s="81">
        <v>99673</v>
      </c>
      <c r="J45" s="12">
        <v>1.0919406459121326</v>
      </c>
      <c r="K45" s="11">
        <v>0.70636982934194814</v>
      </c>
      <c r="L45" s="10">
        <v>0.38557081657018449</v>
      </c>
      <c r="M45" s="12">
        <v>0.78400369207307896</v>
      </c>
      <c r="N45" s="11">
        <v>0.4967945180741023</v>
      </c>
      <c r="O45" s="10">
        <v>0.28720917399897666</v>
      </c>
      <c r="P45" s="9"/>
      <c r="Q45" s="8"/>
      <c r="R45" s="7"/>
      <c r="S45" s="9"/>
      <c r="T45" s="8"/>
      <c r="U45" s="7"/>
    </row>
  </sheetData>
  <sheetProtection algorithmName="SHA-512" hashValue="sp4Mpl5Ot4bhNwLbe8EJpXDnX3TZg0wFCqEaVnaBXdqei0T63Y3sFk1ua5Bi+0crZkS3sk5Ib+wi91pXD6lL1g==" saltValue="ACCcYhErg3RA9B3JaZ/gDg==" spinCount="100000" sheet="1" objects="1" scenarios="1"/>
  <mergeCells count="11">
    <mergeCell ref="S6:U6"/>
    <mergeCell ref="A1:U1"/>
    <mergeCell ref="A2:U2"/>
    <mergeCell ref="A3:U3"/>
    <mergeCell ref="A4:U4"/>
    <mergeCell ref="A6:B7"/>
    <mergeCell ref="C6:E6"/>
    <mergeCell ref="F6:H6"/>
    <mergeCell ref="J6:L6"/>
    <mergeCell ref="M6:O6"/>
    <mergeCell ref="P6:R6"/>
  </mergeCells>
  <printOptions horizontalCentered="1"/>
  <pageMargins left="0" right="0" top="0" bottom="0" header="0" footer="0"/>
  <pageSetup paperSize="9" scale="75" orientation="landscape" horizontalDpi="300" verticalDpi="300" r:id="rId1"/>
  <headerFooter alignWithMargins="0">
    <oddFooter>&amp;L&amp;F&amp;R&amp;P</oddFooter>
  </headerFooter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9">
    <tabColor rgb="FFCC00FF"/>
  </sheetPr>
  <dimension ref="A1:U45"/>
  <sheetViews>
    <sheetView showGridLines="0" zoomScaleNormal="100" workbookViewId="0">
      <pane xSplit="2" ySplit="7" topLeftCell="C8" activePane="bottomRight" state="frozen"/>
      <selection activeCell="C8" sqref="C8"/>
      <selection pane="topRight" activeCell="C8" sqref="C8"/>
      <selection pane="bottomLeft" activeCell="C8" sqref="C8"/>
      <selection pane="bottomRight" activeCell="C8" sqref="C8"/>
    </sheetView>
  </sheetViews>
  <sheetFormatPr defaultColWidth="9.140625" defaultRowHeight="11.25" x14ac:dyDescent="0.2"/>
  <cols>
    <col min="1" max="1" width="34" style="6" customWidth="1"/>
    <col min="2" max="2" width="10.7109375" style="1" customWidth="1"/>
    <col min="3" max="8" width="8.7109375" style="5" customWidth="1"/>
    <col min="9" max="9" width="10.42578125" style="5" customWidth="1"/>
    <col min="10" max="15" width="7.7109375" style="4" customWidth="1"/>
    <col min="16" max="19" width="7.28515625" style="3" customWidth="1"/>
    <col min="20" max="21" width="7.28515625" style="2" customWidth="1"/>
    <col min="22" max="16384" width="9.140625" style="1"/>
  </cols>
  <sheetData>
    <row r="1" spans="1:21" x14ac:dyDescent="0.2">
      <c r="A1" s="568" t="s">
        <v>23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568"/>
      <c r="O1" s="568"/>
      <c r="P1" s="568"/>
      <c r="Q1" s="568"/>
      <c r="R1" s="568"/>
      <c r="S1" s="568"/>
      <c r="T1" s="568"/>
      <c r="U1" s="568"/>
    </row>
    <row r="2" spans="1:21" x14ac:dyDescent="0.2">
      <c r="A2" s="568" t="s">
        <v>45</v>
      </c>
      <c r="B2" s="568"/>
      <c r="C2" s="568"/>
      <c r="D2" s="568"/>
      <c r="E2" s="568"/>
      <c r="F2" s="568"/>
      <c r="G2" s="568"/>
      <c r="H2" s="568"/>
      <c r="I2" s="568"/>
      <c r="J2" s="568"/>
      <c r="K2" s="568"/>
      <c r="L2" s="568"/>
      <c r="M2" s="568"/>
      <c r="N2" s="568"/>
      <c r="O2" s="568"/>
      <c r="P2" s="568"/>
      <c r="Q2" s="568"/>
      <c r="R2" s="568"/>
      <c r="S2" s="568"/>
      <c r="T2" s="568"/>
      <c r="U2" s="568"/>
    </row>
    <row r="3" spans="1:21" x14ac:dyDescent="0.2">
      <c r="A3" s="583" t="s">
        <v>47</v>
      </c>
      <c r="B3" s="583"/>
      <c r="C3" s="583"/>
      <c r="D3" s="583"/>
      <c r="E3" s="583"/>
      <c r="F3" s="583"/>
      <c r="G3" s="583"/>
      <c r="H3" s="583"/>
      <c r="I3" s="583"/>
      <c r="J3" s="583"/>
      <c r="K3" s="583"/>
      <c r="L3" s="583"/>
      <c r="M3" s="583"/>
      <c r="N3" s="583"/>
      <c r="O3" s="583"/>
      <c r="P3" s="583"/>
      <c r="Q3" s="583"/>
      <c r="R3" s="583"/>
      <c r="S3" s="583"/>
      <c r="T3" s="583"/>
      <c r="U3" s="583"/>
    </row>
    <row r="4" spans="1:21" x14ac:dyDescent="0.2">
      <c r="A4" s="571" t="s">
        <v>48</v>
      </c>
      <c r="B4" s="571"/>
      <c r="C4" s="571"/>
      <c r="D4" s="571"/>
      <c r="E4" s="571"/>
      <c r="F4" s="571"/>
      <c r="G4" s="571"/>
      <c r="H4" s="571"/>
      <c r="I4" s="571"/>
      <c r="J4" s="571"/>
      <c r="K4" s="571"/>
      <c r="L4" s="571"/>
      <c r="M4" s="571"/>
      <c r="N4" s="571"/>
      <c r="O4" s="571"/>
      <c r="P4" s="571"/>
      <c r="Q4" s="571"/>
      <c r="R4" s="571"/>
      <c r="S4" s="571"/>
      <c r="T4" s="571"/>
      <c r="U4" s="571"/>
    </row>
    <row r="5" spans="1:21" ht="12" thickBot="1" x14ac:dyDescent="0.25">
      <c r="A5" s="107"/>
      <c r="B5" s="109"/>
      <c r="C5" s="106"/>
      <c r="D5" s="105"/>
      <c r="E5" s="105"/>
      <c r="F5" s="106"/>
      <c r="G5" s="105"/>
      <c r="H5" s="105"/>
      <c r="I5" s="105"/>
      <c r="J5" s="103"/>
      <c r="K5" s="103"/>
      <c r="L5" s="103"/>
      <c r="M5" s="103"/>
      <c r="N5" s="103"/>
      <c r="O5" s="103"/>
      <c r="P5" s="102"/>
      <c r="Q5" s="102"/>
      <c r="R5" s="102"/>
      <c r="S5" s="101"/>
      <c r="T5" s="100"/>
      <c r="U5" s="100"/>
    </row>
    <row r="6" spans="1:21" ht="11.25" customHeight="1" x14ac:dyDescent="0.2">
      <c r="A6" s="572" t="s">
        <v>22</v>
      </c>
      <c r="B6" s="573"/>
      <c r="C6" s="576" t="s">
        <v>31</v>
      </c>
      <c r="D6" s="577"/>
      <c r="E6" s="578"/>
      <c r="F6" s="579" t="s">
        <v>36</v>
      </c>
      <c r="G6" s="577"/>
      <c r="H6" s="580"/>
      <c r="I6" s="99" t="s">
        <v>21</v>
      </c>
      <c r="J6" s="581" t="s">
        <v>33</v>
      </c>
      <c r="K6" s="566"/>
      <c r="L6" s="567"/>
      <c r="M6" s="565" t="s">
        <v>34</v>
      </c>
      <c r="N6" s="566"/>
      <c r="O6" s="582"/>
      <c r="P6" s="581" t="s">
        <v>20</v>
      </c>
      <c r="Q6" s="566"/>
      <c r="R6" s="567"/>
      <c r="S6" s="565" t="s">
        <v>19</v>
      </c>
      <c r="T6" s="566"/>
      <c r="U6" s="567"/>
    </row>
    <row r="7" spans="1:21" s="88" customFormat="1" ht="12" customHeight="1" thickBot="1" x14ac:dyDescent="0.25">
      <c r="A7" s="574"/>
      <c r="B7" s="575"/>
      <c r="C7" s="98" t="s">
        <v>6</v>
      </c>
      <c r="D7" s="111" t="s">
        <v>17</v>
      </c>
      <c r="E7" s="131" t="s">
        <v>16</v>
      </c>
      <c r="F7" s="97" t="s">
        <v>6</v>
      </c>
      <c r="G7" s="111" t="s">
        <v>17</v>
      </c>
      <c r="H7" s="141" t="s">
        <v>16</v>
      </c>
      <c r="I7" s="96" t="s">
        <v>30</v>
      </c>
      <c r="J7" s="95" t="s">
        <v>18</v>
      </c>
      <c r="K7" s="90" t="s">
        <v>17</v>
      </c>
      <c r="L7" s="89" t="s">
        <v>16</v>
      </c>
      <c r="M7" s="91" t="s">
        <v>18</v>
      </c>
      <c r="N7" s="90" t="s">
        <v>17</v>
      </c>
      <c r="O7" s="94" t="s">
        <v>16</v>
      </c>
      <c r="P7" s="93" t="s">
        <v>18</v>
      </c>
      <c r="Q7" s="90" t="s">
        <v>17</v>
      </c>
      <c r="R7" s="92" t="s">
        <v>16</v>
      </c>
      <c r="S7" s="91" t="s">
        <v>18</v>
      </c>
      <c r="T7" s="90" t="s">
        <v>17</v>
      </c>
      <c r="U7" s="89" t="s">
        <v>16</v>
      </c>
    </row>
    <row r="8" spans="1:21" x14ac:dyDescent="0.2">
      <c r="A8" s="80" t="s">
        <v>14</v>
      </c>
      <c r="B8" s="69"/>
      <c r="C8" s="79"/>
      <c r="D8" s="130"/>
      <c r="E8" s="140"/>
      <c r="F8" s="79"/>
      <c r="G8" s="130"/>
      <c r="H8" s="140"/>
      <c r="I8" s="79"/>
      <c r="J8" s="78"/>
      <c r="K8" s="77"/>
      <c r="L8" s="76"/>
      <c r="M8" s="78"/>
      <c r="N8" s="77"/>
      <c r="O8" s="76"/>
      <c r="P8" s="75"/>
      <c r="Q8" s="74"/>
      <c r="R8" s="73"/>
      <c r="S8" s="72"/>
      <c r="T8" s="71"/>
      <c r="U8" s="70"/>
    </row>
    <row r="9" spans="1:21" ht="12" thickBot="1" x14ac:dyDescent="0.25">
      <c r="A9" s="69"/>
      <c r="B9" s="69"/>
      <c r="C9" s="68"/>
      <c r="D9" s="129"/>
      <c r="E9" s="139"/>
      <c r="F9" s="68"/>
      <c r="G9" s="129"/>
      <c r="H9" s="139"/>
      <c r="I9" s="68"/>
      <c r="J9" s="67"/>
      <c r="K9" s="66"/>
      <c r="L9" s="65"/>
      <c r="M9" s="67"/>
      <c r="N9" s="66"/>
      <c r="O9" s="65"/>
      <c r="P9" s="64"/>
      <c r="Q9" s="63"/>
      <c r="R9" s="62"/>
      <c r="S9" s="61"/>
      <c r="T9" s="60"/>
      <c r="U9" s="59"/>
    </row>
    <row r="10" spans="1:21" x14ac:dyDescent="0.2">
      <c r="A10" s="58" t="s">
        <v>13</v>
      </c>
      <c r="B10" s="57" t="s">
        <v>2</v>
      </c>
      <c r="C10" s="56">
        <v>218663</v>
      </c>
      <c r="D10" s="124">
        <v>160319</v>
      </c>
      <c r="E10" s="132">
        <v>58344</v>
      </c>
      <c r="F10" s="56">
        <v>184625</v>
      </c>
      <c r="G10" s="124">
        <v>137258</v>
      </c>
      <c r="H10" s="132">
        <v>47367</v>
      </c>
      <c r="I10" s="55">
        <v>205110</v>
      </c>
      <c r="J10" s="54">
        <v>1.0660767393106139</v>
      </c>
      <c r="K10" s="53">
        <v>0.78162449417385793</v>
      </c>
      <c r="L10" s="52">
        <v>0.28445224513675588</v>
      </c>
      <c r="M10" s="54">
        <v>0.90012676125006097</v>
      </c>
      <c r="N10" s="53">
        <v>0.66919214080249623</v>
      </c>
      <c r="O10" s="52">
        <v>0.23093462044756471</v>
      </c>
      <c r="P10" s="51">
        <v>1.0425015063656609</v>
      </c>
      <c r="Q10" s="50">
        <v>1.0052576661824251</v>
      </c>
      <c r="R10" s="49">
        <v>1.1521763055845085</v>
      </c>
      <c r="S10" s="51">
        <v>1.0941795852072811</v>
      </c>
      <c r="T10" s="50">
        <v>1.0550200148679754</v>
      </c>
      <c r="U10" s="49">
        <v>1.2163754112192302</v>
      </c>
    </row>
    <row r="11" spans="1:21" x14ac:dyDescent="0.2">
      <c r="A11" s="44"/>
      <c r="B11" s="43" t="s">
        <v>1</v>
      </c>
      <c r="C11" s="42">
        <v>109436</v>
      </c>
      <c r="D11" s="125">
        <v>81694</v>
      </c>
      <c r="E11" s="133">
        <v>27742</v>
      </c>
      <c r="F11" s="42">
        <v>90168</v>
      </c>
      <c r="G11" s="125">
        <v>68285</v>
      </c>
      <c r="H11" s="133">
        <v>21883</v>
      </c>
      <c r="I11" s="41">
        <v>104787</v>
      </c>
      <c r="J11" s="40">
        <v>1.0443661904625574</v>
      </c>
      <c r="K11" s="39">
        <v>0.77961960930268071</v>
      </c>
      <c r="L11" s="38">
        <v>0.2647465811598767</v>
      </c>
      <c r="M11" s="40">
        <v>0.86048841936499754</v>
      </c>
      <c r="N11" s="39">
        <v>0.65165526258028195</v>
      </c>
      <c r="O11" s="38">
        <v>0.20883315678471567</v>
      </c>
      <c r="P11" s="37"/>
      <c r="Q11" s="36"/>
      <c r="R11" s="35"/>
      <c r="S11" s="37"/>
      <c r="T11" s="36"/>
      <c r="U11" s="35"/>
    </row>
    <row r="12" spans="1:21" x14ac:dyDescent="0.2">
      <c r="A12" s="34"/>
      <c r="B12" s="33" t="s">
        <v>0</v>
      </c>
      <c r="C12" s="42">
        <v>109227</v>
      </c>
      <c r="D12" s="125">
        <v>78625</v>
      </c>
      <c r="E12" s="133">
        <v>30602</v>
      </c>
      <c r="F12" s="42">
        <v>94457</v>
      </c>
      <c r="G12" s="125">
        <v>68973</v>
      </c>
      <c r="H12" s="133">
        <v>25484</v>
      </c>
      <c r="I12" s="31">
        <v>100323</v>
      </c>
      <c r="J12" s="30">
        <v>1.0887533267545828</v>
      </c>
      <c r="K12" s="29">
        <v>0.78371858895766677</v>
      </c>
      <c r="L12" s="28">
        <v>0.30503473779691598</v>
      </c>
      <c r="M12" s="30">
        <v>0.941528861776462</v>
      </c>
      <c r="N12" s="29">
        <v>0.68750934481624348</v>
      </c>
      <c r="O12" s="28">
        <v>0.25401951696021852</v>
      </c>
      <c r="P12" s="27"/>
      <c r="Q12" s="26"/>
      <c r="R12" s="25"/>
      <c r="S12" s="27"/>
      <c r="T12" s="26"/>
      <c r="U12" s="25"/>
    </row>
    <row r="13" spans="1:21" x14ac:dyDescent="0.2">
      <c r="A13" s="83" t="s">
        <v>46</v>
      </c>
      <c r="B13" s="84" t="s">
        <v>2</v>
      </c>
      <c r="C13" s="48">
        <v>93687</v>
      </c>
      <c r="D13" s="126">
        <v>86303</v>
      </c>
      <c r="E13" s="134">
        <v>7384</v>
      </c>
      <c r="F13" s="48">
        <v>78463</v>
      </c>
      <c r="G13" s="126">
        <v>72609</v>
      </c>
      <c r="H13" s="134">
        <v>5854</v>
      </c>
      <c r="I13" s="47">
        <v>101352</v>
      </c>
      <c r="J13" s="46">
        <v>0.92437248401610228</v>
      </c>
      <c r="K13" s="85">
        <v>0.8515174836214382</v>
      </c>
      <c r="L13" s="87">
        <v>7.2855000394664138E-2</v>
      </c>
      <c r="M13" s="46">
        <v>0.77416331202146971</v>
      </c>
      <c r="N13" s="85">
        <v>0.71640421501302387</v>
      </c>
      <c r="O13" s="87">
        <v>5.7759097008445816E-2</v>
      </c>
      <c r="P13" s="45">
        <v>1.047360042985872</v>
      </c>
      <c r="Q13" s="86">
        <v>1.0478144651649057</v>
      </c>
      <c r="R13" s="108">
        <v>1.0420631580591604</v>
      </c>
      <c r="S13" s="45">
        <v>1.0963579763503037</v>
      </c>
      <c r="T13" s="86">
        <v>1.0927671600865321</v>
      </c>
      <c r="U13" s="108">
        <v>1.1419012650553135</v>
      </c>
    </row>
    <row r="14" spans="1:21" x14ac:dyDescent="0.2">
      <c r="A14" s="44"/>
      <c r="B14" s="43" t="s">
        <v>1</v>
      </c>
      <c r="C14" s="42">
        <v>47651</v>
      </c>
      <c r="D14" s="125">
        <v>43886</v>
      </c>
      <c r="E14" s="133">
        <v>3765</v>
      </c>
      <c r="F14" s="42">
        <v>39011</v>
      </c>
      <c r="G14" s="125">
        <v>36160</v>
      </c>
      <c r="H14" s="133">
        <v>2851</v>
      </c>
      <c r="I14" s="41">
        <v>52721</v>
      </c>
      <c r="J14" s="40">
        <v>0.90383338707535898</v>
      </c>
      <c r="K14" s="39">
        <v>0.83241971889759303</v>
      </c>
      <c r="L14" s="38">
        <v>7.1413668177765982E-2</v>
      </c>
      <c r="M14" s="40">
        <v>0.7399518218546689</v>
      </c>
      <c r="N14" s="39">
        <v>0.68587469888659169</v>
      </c>
      <c r="O14" s="38">
        <v>5.4077122968077235E-2</v>
      </c>
      <c r="P14" s="37"/>
      <c r="Q14" s="36"/>
      <c r="R14" s="35"/>
      <c r="S14" s="37"/>
      <c r="T14" s="36"/>
      <c r="U14" s="35"/>
    </row>
    <row r="15" spans="1:21" x14ac:dyDescent="0.2">
      <c r="A15" s="34"/>
      <c r="B15" s="33" t="s">
        <v>0</v>
      </c>
      <c r="C15" s="32">
        <v>46036</v>
      </c>
      <c r="D15" s="127">
        <v>42417</v>
      </c>
      <c r="E15" s="135">
        <v>3619</v>
      </c>
      <c r="F15" s="32">
        <v>39452</v>
      </c>
      <c r="G15" s="125">
        <v>36449</v>
      </c>
      <c r="H15" s="133">
        <v>3003</v>
      </c>
      <c r="I15" s="31">
        <v>48631</v>
      </c>
      <c r="J15" s="30">
        <v>0.94663897513931439</v>
      </c>
      <c r="K15" s="29">
        <v>0.8722214225494026</v>
      </c>
      <c r="L15" s="28">
        <v>7.4417552589911784E-2</v>
      </c>
      <c r="M15" s="30">
        <v>0.8112520820053053</v>
      </c>
      <c r="N15" s="29">
        <v>0.74950134687750614</v>
      </c>
      <c r="O15" s="28">
        <v>6.175073512779914E-2</v>
      </c>
      <c r="P15" s="27"/>
      <c r="Q15" s="26"/>
      <c r="R15" s="25"/>
      <c r="S15" s="27"/>
      <c r="T15" s="26"/>
      <c r="U15" s="25"/>
    </row>
    <row r="16" spans="1:21" x14ac:dyDescent="0.2">
      <c r="A16" s="83" t="s">
        <v>12</v>
      </c>
      <c r="B16" s="84" t="s">
        <v>2</v>
      </c>
      <c r="C16" s="48">
        <v>58675</v>
      </c>
      <c r="D16" s="126">
        <v>54628</v>
      </c>
      <c r="E16" s="134">
        <v>4047</v>
      </c>
      <c r="F16" s="48">
        <v>48902</v>
      </c>
      <c r="G16" s="126">
        <v>45346</v>
      </c>
      <c r="H16" s="134">
        <v>3556</v>
      </c>
      <c r="I16" s="47">
        <v>61682</v>
      </c>
      <c r="J16" s="46">
        <v>0.95124995946953728</v>
      </c>
      <c r="K16" s="85">
        <v>0.88563924645763759</v>
      </c>
      <c r="L16" s="87">
        <v>6.5610713011899746E-2</v>
      </c>
      <c r="M16" s="46">
        <v>0.79280827469926396</v>
      </c>
      <c r="N16" s="85">
        <v>0.73515774456081195</v>
      </c>
      <c r="O16" s="87">
        <v>5.7650530138452061E-2</v>
      </c>
      <c r="P16" s="45">
        <v>1.0113793791192844</v>
      </c>
      <c r="Q16" s="86">
        <v>1.0180813412487282</v>
      </c>
      <c r="R16" s="108">
        <v>0.92495966698640453</v>
      </c>
      <c r="S16" s="45">
        <v>1.0616134555473233</v>
      </c>
      <c r="T16" s="86">
        <v>1.0684682501914382</v>
      </c>
      <c r="U16" s="108">
        <v>0.97791319455555537</v>
      </c>
    </row>
    <row r="17" spans="1:21" x14ac:dyDescent="0.2">
      <c r="A17" s="44"/>
      <c r="B17" s="43" t="s">
        <v>1</v>
      </c>
      <c r="C17" s="42">
        <v>30082</v>
      </c>
      <c r="D17" s="125">
        <v>27917</v>
      </c>
      <c r="E17" s="133">
        <v>2165</v>
      </c>
      <c r="F17" s="42">
        <v>24479</v>
      </c>
      <c r="G17" s="125">
        <v>22626</v>
      </c>
      <c r="H17" s="133">
        <v>1853</v>
      </c>
      <c r="I17" s="41">
        <v>31798</v>
      </c>
      <c r="J17" s="40">
        <v>0.94603434178250201</v>
      </c>
      <c r="K17" s="39">
        <v>0.87794829863513424</v>
      </c>
      <c r="L17" s="38">
        <v>6.8086043147367756E-2</v>
      </c>
      <c r="M17" s="40">
        <v>0.76982829108748974</v>
      </c>
      <c r="N17" s="39">
        <v>0.7115541857978489</v>
      </c>
      <c r="O17" s="38">
        <v>5.827410528964086E-2</v>
      </c>
      <c r="P17" s="37"/>
      <c r="Q17" s="36"/>
      <c r="R17" s="35"/>
      <c r="S17" s="37"/>
      <c r="T17" s="36"/>
      <c r="U17" s="35"/>
    </row>
    <row r="18" spans="1:21" x14ac:dyDescent="0.2">
      <c r="A18" s="34"/>
      <c r="B18" s="33" t="s">
        <v>0</v>
      </c>
      <c r="C18" s="32">
        <v>28593</v>
      </c>
      <c r="D18" s="127">
        <v>26711</v>
      </c>
      <c r="E18" s="135">
        <v>1882</v>
      </c>
      <c r="F18" s="32">
        <v>24423</v>
      </c>
      <c r="G18" s="125">
        <v>22720</v>
      </c>
      <c r="H18" s="133">
        <v>1703</v>
      </c>
      <c r="I18" s="31">
        <v>29884</v>
      </c>
      <c r="J18" s="30">
        <v>0.95679962521750772</v>
      </c>
      <c r="K18" s="29">
        <v>0.8938227814214964</v>
      </c>
      <c r="L18" s="28">
        <v>6.2976843796011248E-2</v>
      </c>
      <c r="M18" s="30">
        <v>0.81726007227948061</v>
      </c>
      <c r="N18" s="29">
        <v>0.76027305581582116</v>
      </c>
      <c r="O18" s="28">
        <v>5.698701646365948E-2</v>
      </c>
      <c r="P18" s="27"/>
      <c r="Q18" s="26"/>
      <c r="R18" s="25"/>
      <c r="S18" s="27"/>
      <c r="T18" s="26"/>
      <c r="U18" s="25"/>
    </row>
    <row r="19" spans="1:21" x14ac:dyDescent="0.2">
      <c r="A19" s="83" t="s">
        <v>11</v>
      </c>
      <c r="B19" s="84" t="s">
        <v>2</v>
      </c>
      <c r="C19" s="48">
        <v>52809</v>
      </c>
      <c r="D19" s="126">
        <v>43330</v>
      </c>
      <c r="E19" s="134">
        <v>9479</v>
      </c>
      <c r="F19" s="48">
        <v>45882</v>
      </c>
      <c r="G19" s="126">
        <v>37207</v>
      </c>
      <c r="H19" s="134">
        <v>8675</v>
      </c>
      <c r="I19" s="47">
        <v>59445</v>
      </c>
      <c r="J19" s="46">
        <v>0.88836739843552859</v>
      </c>
      <c r="K19" s="85">
        <v>0.72890907561611573</v>
      </c>
      <c r="L19" s="87">
        <v>0.15945832281941291</v>
      </c>
      <c r="M19" s="46">
        <v>0.77183951551854657</v>
      </c>
      <c r="N19" s="85">
        <v>0.62590629994112201</v>
      </c>
      <c r="O19" s="87">
        <v>0.1459332155774245</v>
      </c>
      <c r="P19" s="45">
        <v>1.0611349489736384</v>
      </c>
      <c r="Q19" s="86">
        <v>1.0575761755248518</v>
      </c>
      <c r="R19" s="108">
        <v>1.0775546363710096</v>
      </c>
      <c r="S19" s="45">
        <v>1.123148501761686</v>
      </c>
      <c r="T19" s="86">
        <v>1.1233300152415344</v>
      </c>
      <c r="U19" s="108">
        <v>1.1223703309549866</v>
      </c>
    </row>
    <row r="20" spans="1:21" x14ac:dyDescent="0.2">
      <c r="A20" s="44"/>
      <c r="B20" s="43" t="s">
        <v>1</v>
      </c>
      <c r="C20" s="42">
        <v>26649</v>
      </c>
      <c r="D20" s="125">
        <v>21902</v>
      </c>
      <c r="E20" s="133">
        <v>4747</v>
      </c>
      <c r="F20" s="42">
        <v>22502</v>
      </c>
      <c r="G20" s="125">
        <v>18246</v>
      </c>
      <c r="H20" s="133">
        <v>4256</v>
      </c>
      <c r="I20" s="41">
        <v>30879</v>
      </c>
      <c r="J20" s="40">
        <v>0.86301369863013699</v>
      </c>
      <c r="K20" s="39">
        <v>0.70928462709284623</v>
      </c>
      <c r="L20" s="38">
        <v>0.15372907153729071</v>
      </c>
      <c r="M20" s="40">
        <v>0.72871530813821694</v>
      </c>
      <c r="N20" s="39">
        <v>0.59088701058972115</v>
      </c>
      <c r="O20" s="38">
        <v>0.13782829754849574</v>
      </c>
      <c r="P20" s="37"/>
      <c r="Q20" s="36"/>
      <c r="R20" s="35"/>
      <c r="S20" s="37"/>
      <c r="T20" s="36"/>
      <c r="U20" s="35"/>
    </row>
    <row r="21" spans="1:21" x14ac:dyDescent="0.2">
      <c r="A21" s="34"/>
      <c r="B21" s="33" t="s">
        <v>0</v>
      </c>
      <c r="C21" s="32">
        <v>26160</v>
      </c>
      <c r="D21" s="127">
        <v>21428</v>
      </c>
      <c r="E21" s="135">
        <v>4732</v>
      </c>
      <c r="F21" s="32">
        <v>23380</v>
      </c>
      <c r="G21" s="125">
        <v>18961</v>
      </c>
      <c r="H21" s="133">
        <v>4419</v>
      </c>
      <c r="I21" s="31">
        <v>28566</v>
      </c>
      <c r="J21" s="30">
        <v>0.91577399705944129</v>
      </c>
      <c r="K21" s="29">
        <v>0.75012252327942308</v>
      </c>
      <c r="L21" s="28">
        <v>0.16565147378001821</v>
      </c>
      <c r="M21" s="30">
        <v>0.81845550654624377</v>
      </c>
      <c r="N21" s="29">
        <v>0.66376111461177623</v>
      </c>
      <c r="O21" s="28">
        <v>0.15469439193446755</v>
      </c>
      <c r="P21" s="27"/>
      <c r="Q21" s="26"/>
      <c r="R21" s="25"/>
      <c r="S21" s="27"/>
      <c r="T21" s="26"/>
      <c r="U21" s="25"/>
    </row>
    <row r="22" spans="1:21" x14ac:dyDescent="0.2">
      <c r="A22" s="83" t="s">
        <v>27</v>
      </c>
      <c r="B22" s="84" t="s">
        <v>2</v>
      </c>
      <c r="C22" s="48">
        <v>32985</v>
      </c>
      <c r="D22" s="126">
        <v>31429</v>
      </c>
      <c r="E22" s="134">
        <v>1556</v>
      </c>
      <c r="F22" s="48">
        <v>27135</v>
      </c>
      <c r="G22" s="126">
        <v>25795</v>
      </c>
      <c r="H22" s="134">
        <v>1340</v>
      </c>
      <c r="I22" s="47">
        <v>43731</v>
      </c>
      <c r="J22" s="46">
        <v>0.75427042601358307</v>
      </c>
      <c r="K22" s="85">
        <v>0.71868925933548289</v>
      </c>
      <c r="L22" s="87">
        <v>3.5581166678100205E-2</v>
      </c>
      <c r="M22" s="46">
        <v>0.62049804486519855</v>
      </c>
      <c r="N22" s="85">
        <v>0.58985616610642333</v>
      </c>
      <c r="O22" s="87">
        <v>3.0641878758775238E-2</v>
      </c>
      <c r="P22" s="45">
        <v>1.1965121566319843</v>
      </c>
      <c r="Q22" s="86">
        <v>1.2063239987710437</v>
      </c>
      <c r="R22" s="108">
        <v>1.0151421176994777</v>
      </c>
      <c r="S22" s="45">
        <v>1.2150900585782569</v>
      </c>
      <c r="T22" s="86">
        <v>1.2218939359774919</v>
      </c>
      <c r="U22" s="108">
        <v>1.0916349477808578</v>
      </c>
    </row>
    <row r="23" spans="1:21" x14ac:dyDescent="0.2">
      <c r="A23" s="44"/>
      <c r="B23" s="43" t="s">
        <v>1</v>
      </c>
      <c r="C23" s="42">
        <v>15393</v>
      </c>
      <c r="D23" s="125">
        <v>14603</v>
      </c>
      <c r="E23" s="133">
        <v>790</v>
      </c>
      <c r="F23" s="42">
        <v>12559</v>
      </c>
      <c r="G23" s="125">
        <v>11903</v>
      </c>
      <c r="H23" s="133">
        <v>656</v>
      </c>
      <c r="I23" s="41">
        <v>22367</v>
      </c>
      <c r="J23" s="40">
        <v>0.68820136808691379</v>
      </c>
      <c r="K23" s="39">
        <v>0.65288147717619704</v>
      </c>
      <c r="L23" s="38">
        <v>3.5319890910716682E-2</v>
      </c>
      <c r="M23" s="40">
        <v>0.56149684803505162</v>
      </c>
      <c r="N23" s="39">
        <v>0.53216792596235529</v>
      </c>
      <c r="O23" s="38">
        <v>2.9328922072696384E-2</v>
      </c>
      <c r="P23" s="37"/>
      <c r="Q23" s="36"/>
      <c r="R23" s="35"/>
      <c r="S23" s="37"/>
      <c r="T23" s="36"/>
      <c r="U23" s="35"/>
    </row>
    <row r="24" spans="1:21" x14ac:dyDescent="0.2">
      <c r="A24" s="34"/>
      <c r="B24" s="33" t="s">
        <v>0</v>
      </c>
      <c r="C24" s="32">
        <v>17592</v>
      </c>
      <c r="D24" s="127">
        <v>16826</v>
      </c>
      <c r="E24" s="135">
        <v>766</v>
      </c>
      <c r="F24" s="32">
        <v>14576</v>
      </c>
      <c r="G24" s="125">
        <v>13892</v>
      </c>
      <c r="H24" s="133">
        <v>684</v>
      </c>
      <c r="I24" s="31">
        <v>21364</v>
      </c>
      <c r="J24" s="30">
        <v>0.82344130312675534</v>
      </c>
      <c r="K24" s="29">
        <v>0.78758659427073585</v>
      </c>
      <c r="L24" s="28">
        <v>3.585470885601947E-2</v>
      </c>
      <c r="M24" s="30">
        <v>0.6822692379704175</v>
      </c>
      <c r="N24" s="29">
        <v>0.6502527616551208</v>
      </c>
      <c r="O24" s="28">
        <v>3.2016476315296763E-2</v>
      </c>
      <c r="P24" s="27"/>
      <c r="Q24" s="26"/>
      <c r="R24" s="25"/>
      <c r="S24" s="27"/>
      <c r="T24" s="26"/>
      <c r="U24" s="25"/>
    </row>
    <row r="25" spans="1:21" x14ac:dyDescent="0.2">
      <c r="A25" s="83" t="s">
        <v>10</v>
      </c>
      <c r="B25" s="84" t="s">
        <v>2</v>
      </c>
      <c r="C25" s="48">
        <v>52842</v>
      </c>
      <c r="D25" s="126">
        <v>47597</v>
      </c>
      <c r="E25" s="134">
        <v>5245</v>
      </c>
      <c r="F25" s="48">
        <v>43559</v>
      </c>
      <c r="G25" s="126">
        <v>39349</v>
      </c>
      <c r="H25" s="134">
        <v>4210</v>
      </c>
      <c r="I25" s="47">
        <v>56734</v>
      </c>
      <c r="J25" s="46">
        <v>0.9313991609969331</v>
      </c>
      <c r="K25" s="85">
        <v>0.83895018859942894</v>
      </c>
      <c r="L25" s="87">
        <v>9.2448972397504145E-2</v>
      </c>
      <c r="M25" s="46">
        <v>0.76777593682800438</v>
      </c>
      <c r="N25" s="85">
        <v>0.69356999330207636</v>
      </c>
      <c r="O25" s="87">
        <v>7.420594352592802E-2</v>
      </c>
      <c r="P25" s="45">
        <v>1.0287144439623803</v>
      </c>
      <c r="Q25" s="86">
        <v>1.0194393261921717</v>
      </c>
      <c r="R25" s="108">
        <v>1.1168591873356397</v>
      </c>
      <c r="S25" s="45">
        <v>1.1119637219871115</v>
      </c>
      <c r="T25" s="86">
        <v>1.1070213626668561</v>
      </c>
      <c r="U25" s="108">
        <v>1.1592804920090147</v>
      </c>
    </row>
    <row r="26" spans="1:21" x14ac:dyDescent="0.2">
      <c r="A26" s="44"/>
      <c r="B26" s="43" t="s">
        <v>1</v>
      </c>
      <c r="C26" s="42">
        <v>26605</v>
      </c>
      <c r="D26" s="125">
        <v>24072</v>
      </c>
      <c r="E26" s="133">
        <v>2533</v>
      </c>
      <c r="F26" s="42">
        <v>21084</v>
      </c>
      <c r="G26" s="125">
        <v>19090</v>
      </c>
      <c r="H26" s="133">
        <v>1994</v>
      </c>
      <c r="I26" s="41">
        <v>28966</v>
      </c>
      <c r="J26" s="40">
        <v>0.91849064420354898</v>
      </c>
      <c r="K26" s="39">
        <v>0.83104329213560724</v>
      </c>
      <c r="L26" s="38">
        <v>8.7447352067941728E-2</v>
      </c>
      <c r="M26" s="40">
        <v>0.72788786853552445</v>
      </c>
      <c r="N26" s="39">
        <v>0.65904853966719601</v>
      </c>
      <c r="O26" s="38">
        <v>6.8839328868328387E-2</v>
      </c>
      <c r="P26" s="37"/>
      <c r="Q26" s="36"/>
      <c r="R26" s="35"/>
      <c r="S26" s="37"/>
      <c r="T26" s="36"/>
      <c r="U26" s="35"/>
    </row>
    <row r="27" spans="1:21" x14ac:dyDescent="0.2">
      <c r="A27" s="34"/>
      <c r="B27" s="33" t="s">
        <v>0</v>
      </c>
      <c r="C27" s="32">
        <v>26237</v>
      </c>
      <c r="D27" s="127">
        <v>23525</v>
      </c>
      <c r="E27" s="135">
        <v>2712</v>
      </c>
      <c r="F27" s="32">
        <v>22475</v>
      </c>
      <c r="G27" s="125">
        <v>20259</v>
      </c>
      <c r="H27" s="133">
        <v>2216</v>
      </c>
      <c r="I27" s="31">
        <v>27768</v>
      </c>
      <c r="J27" s="30">
        <v>0.94486459233650244</v>
      </c>
      <c r="K27" s="29">
        <v>0.84719821377124749</v>
      </c>
      <c r="L27" s="28">
        <v>9.7666378565254966E-2</v>
      </c>
      <c r="M27" s="30">
        <v>0.8093849034860271</v>
      </c>
      <c r="N27" s="29">
        <v>0.72958081244598094</v>
      </c>
      <c r="O27" s="28">
        <v>7.9804091040046099E-2</v>
      </c>
      <c r="P27" s="27"/>
      <c r="Q27" s="26"/>
      <c r="R27" s="25"/>
      <c r="S27" s="27"/>
      <c r="T27" s="26"/>
      <c r="U27" s="25"/>
    </row>
    <row r="28" spans="1:21" x14ac:dyDescent="0.2">
      <c r="A28" s="83" t="s">
        <v>9</v>
      </c>
      <c r="B28" s="84" t="s">
        <v>2</v>
      </c>
      <c r="C28" s="48">
        <v>27561</v>
      </c>
      <c r="D28" s="126">
        <v>17605</v>
      </c>
      <c r="E28" s="134">
        <v>9956</v>
      </c>
      <c r="F28" s="48">
        <v>22331</v>
      </c>
      <c r="G28" s="126">
        <v>15270</v>
      </c>
      <c r="H28" s="134">
        <v>7061</v>
      </c>
      <c r="I28" s="47">
        <v>22004</v>
      </c>
      <c r="J28" s="46">
        <v>1.2525449918196692</v>
      </c>
      <c r="K28" s="85">
        <v>0.80008180330848933</v>
      </c>
      <c r="L28" s="87">
        <v>0.45246318851117978</v>
      </c>
      <c r="M28" s="46">
        <v>1.0148609343755681</v>
      </c>
      <c r="N28" s="85">
        <v>0.69396473368478462</v>
      </c>
      <c r="O28" s="87">
        <v>0.32089620069078351</v>
      </c>
      <c r="P28" s="45">
        <v>1.0538325488908287</v>
      </c>
      <c r="Q28" s="86">
        <v>0.98760187594176296</v>
      </c>
      <c r="R28" s="108">
        <v>1.1822069880729027</v>
      </c>
      <c r="S28" s="45">
        <v>1.1296833625050535</v>
      </c>
      <c r="T28" s="86">
        <v>1.0493043035143779</v>
      </c>
      <c r="U28" s="108">
        <v>1.3266211408780748</v>
      </c>
    </row>
    <row r="29" spans="1:21" x14ac:dyDescent="0.2">
      <c r="A29" s="44"/>
      <c r="B29" s="43" t="s">
        <v>1</v>
      </c>
      <c r="C29" s="42">
        <v>13666</v>
      </c>
      <c r="D29" s="125">
        <v>9015</v>
      </c>
      <c r="E29" s="133">
        <v>4651</v>
      </c>
      <c r="F29" s="42">
        <v>10685</v>
      </c>
      <c r="G29" s="125">
        <v>7588</v>
      </c>
      <c r="H29" s="133">
        <v>3097</v>
      </c>
      <c r="I29" s="41">
        <v>11199</v>
      </c>
      <c r="J29" s="40">
        <v>1.220287525671935</v>
      </c>
      <c r="K29" s="39">
        <v>0.80498258773104736</v>
      </c>
      <c r="L29" s="38">
        <v>0.41530493794088758</v>
      </c>
      <c r="M29" s="40">
        <v>0.95410304491472453</v>
      </c>
      <c r="N29" s="39">
        <v>0.6775604964728994</v>
      </c>
      <c r="O29" s="38">
        <v>0.27654254844182519</v>
      </c>
      <c r="P29" s="37"/>
      <c r="Q29" s="36"/>
      <c r="R29" s="35"/>
      <c r="S29" s="37"/>
      <c r="T29" s="36"/>
      <c r="U29" s="35"/>
    </row>
    <row r="30" spans="1:21" x14ac:dyDescent="0.2">
      <c r="A30" s="34"/>
      <c r="B30" s="33" t="s">
        <v>0</v>
      </c>
      <c r="C30" s="32">
        <v>13895</v>
      </c>
      <c r="D30" s="127">
        <v>8590</v>
      </c>
      <c r="E30" s="135">
        <v>5305</v>
      </c>
      <c r="F30" s="32">
        <v>11646</v>
      </c>
      <c r="G30" s="125">
        <v>7682</v>
      </c>
      <c r="H30" s="133">
        <v>3964</v>
      </c>
      <c r="I30" s="31">
        <v>10805</v>
      </c>
      <c r="J30" s="30">
        <v>1.2859787135585377</v>
      </c>
      <c r="K30" s="29">
        <v>0.79500231374363717</v>
      </c>
      <c r="L30" s="28">
        <v>0.49097639981490049</v>
      </c>
      <c r="M30" s="30">
        <v>1.0778343359555762</v>
      </c>
      <c r="N30" s="29">
        <v>0.71096714484035173</v>
      </c>
      <c r="O30" s="28">
        <v>0.36686719111522442</v>
      </c>
      <c r="P30" s="27"/>
      <c r="Q30" s="26"/>
      <c r="R30" s="25"/>
      <c r="S30" s="27"/>
      <c r="T30" s="26"/>
      <c r="U30" s="25"/>
    </row>
    <row r="31" spans="1:21" x14ac:dyDescent="0.2">
      <c r="A31" s="83" t="s">
        <v>8</v>
      </c>
      <c r="B31" s="84" t="s">
        <v>2</v>
      </c>
      <c r="C31" s="48">
        <v>14631</v>
      </c>
      <c r="D31" s="126">
        <v>13575</v>
      </c>
      <c r="E31" s="134">
        <v>1056</v>
      </c>
      <c r="F31" s="48">
        <v>12190</v>
      </c>
      <c r="G31" s="126">
        <v>11221</v>
      </c>
      <c r="H31" s="134">
        <v>969</v>
      </c>
      <c r="I31" s="47">
        <v>13862</v>
      </c>
      <c r="J31" s="46">
        <v>1.0554754003751263</v>
      </c>
      <c r="K31" s="85">
        <v>0.97929591689510898</v>
      </c>
      <c r="L31" s="87">
        <v>7.617948348001731E-2</v>
      </c>
      <c r="M31" s="46">
        <v>0.87938248448997258</v>
      </c>
      <c r="N31" s="85">
        <v>0.80947915163757034</v>
      </c>
      <c r="O31" s="87">
        <v>6.9903332852402245E-2</v>
      </c>
      <c r="P31" s="45">
        <v>1.0831826449037127</v>
      </c>
      <c r="Q31" s="86">
        <v>1.0757806068648377</v>
      </c>
      <c r="R31" s="108">
        <v>1.1829875125740821</v>
      </c>
      <c r="S31" s="45">
        <v>1.1690272686891547</v>
      </c>
      <c r="T31" s="86">
        <v>1.1646122200361577</v>
      </c>
      <c r="U31" s="108">
        <v>1.2214261722490249</v>
      </c>
    </row>
    <row r="32" spans="1:21" x14ac:dyDescent="0.2">
      <c r="A32" s="44"/>
      <c r="B32" s="43" t="s">
        <v>1</v>
      </c>
      <c r="C32" s="42">
        <v>7430</v>
      </c>
      <c r="D32" s="125">
        <v>6917</v>
      </c>
      <c r="E32" s="133">
        <v>513</v>
      </c>
      <c r="F32" s="42">
        <v>5958</v>
      </c>
      <c r="G32" s="125">
        <v>5495</v>
      </c>
      <c r="H32" s="133">
        <v>463</v>
      </c>
      <c r="I32" s="41">
        <v>7316</v>
      </c>
      <c r="J32" s="40">
        <v>1.015582285401859</v>
      </c>
      <c r="K32" s="39">
        <v>0.94546200109349376</v>
      </c>
      <c r="L32" s="38">
        <v>7.0120284308365227E-2</v>
      </c>
      <c r="M32" s="40">
        <v>0.81437944231820669</v>
      </c>
      <c r="N32" s="39">
        <v>0.75109349371241119</v>
      </c>
      <c r="O32" s="38">
        <v>6.328594860579552E-2</v>
      </c>
      <c r="P32" s="37"/>
      <c r="Q32" s="36"/>
      <c r="R32" s="35"/>
      <c r="S32" s="37"/>
      <c r="T32" s="36"/>
      <c r="U32" s="35"/>
    </row>
    <row r="33" spans="1:21" x14ac:dyDescent="0.2">
      <c r="A33" s="34"/>
      <c r="B33" s="33" t="s">
        <v>0</v>
      </c>
      <c r="C33" s="32">
        <v>7201</v>
      </c>
      <c r="D33" s="127">
        <v>6658</v>
      </c>
      <c r="E33" s="135">
        <v>543</v>
      </c>
      <c r="F33" s="32">
        <v>6232</v>
      </c>
      <c r="G33" s="125">
        <v>5726</v>
      </c>
      <c r="H33" s="133">
        <v>506</v>
      </c>
      <c r="I33" s="31">
        <v>6546</v>
      </c>
      <c r="J33" s="30">
        <v>1.1000611060189429</v>
      </c>
      <c r="K33" s="29">
        <v>1.0171096853040025</v>
      </c>
      <c r="L33" s="28">
        <v>8.2951420714940424E-2</v>
      </c>
      <c r="M33" s="30">
        <v>0.95203177512985027</v>
      </c>
      <c r="N33" s="29">
        <v>0.874732661167125</v>
      </c>
      <c r="O33" s="28">
        <v>7.7299113962725333E-2</v>
      </c>
      <c r="P33" s="27"/>
      <c r="Q33" s="26"/>
      <c r="R33" s="25"/>
      <c r="S33" s="27"/>
      <c r="T33" s="26"/>
      <c r="U33" s="25"/>
    </row>
    <row r="34" spans="1:21" x14ac:dyDescent="0.2">
      <c r="A34" s="83" t="s">
        <v>7</v>
      </c>
      <c r="B34" s="84" t="s">
        <v>2</v>
      </c>
      <c r="C34" s="48">
        <v>20532</v>
      </c>
      <c r="D34" s="126">
        <v>17837</v>
      </c>
      <c r="E34" s="134">
        <v>2695</v>
      </c>
      <c r="F34" s="48">
        <v>16601</v>
      </c>
      <c r="G34" s="126">
        <v>14469</v>
      </c>
      <c r="H34" s="134">
        <v>2132</v>
      </c>
      <c r="I34" s="47">
        <v>19345</v>
      </c>
      <c r="J34" s="46">
        <v>1.0613595244249161</v>
      </c>
      <c r="K34" s="85">
        <v>0.92204704057896092</v>
      </c>
      <c r="L34" s="87">
        <v>0.13931248384595502</v>
      </c>
      <c r="M34" s="46">
        <v>0.85815456190230033</v>
      </c>
      <c r="N34" s="85">
        <v>0.74794520547945209</v>
      </c>
      <c r="O34" s="87">
        <v>0.11020935642284828</v>
      </c>
      <c r="P34" s="45">
        <v>1.0616253950013173</v>
      </c>
      <c r="Q34" s="86">
        <v>1.0620006431153262</v>
      </c>
      <c r="R34" s="108">
        <v>1.0591451649463446</v>
      </c>
      <c r="S34" s="45">
        <v>1.1523853909766442</v>
      </c>
      <c r="T34" s="86">
        <v>1.1543777388114407</v>
      </c>
      <c r="U34" s="108">
        <v>1.1389590390811124</v>
      </c>
    </row>
    <row r="35" spans="1:21" x14ac:dyDescent="0.2">
      <c r="A35" s="44"/>
      <c r="B35" s="43" t="s">
        <v>1</v>
      </c>
      <c r="C35" s="42">
        <v>10174</v>
      </c>
      <c r="D35" s="125">
        <v>8837</v>
      </c>
      <c r="E35" s="133">
        <v>1337</v>
      </c>
      <c r="F35" s="42">
        <v>7886</v>
      </c>
      <c r="G35" s="125">
        <v>6867</v>
      </c>
      <c r="H35" s="133">
        <v>1019</v>
      </c>
      <c r="I35" s="41">
        <v>9875</v>
      </c>
      <c r="J35" s="40">
        <v>1.0302784810126582</v>
      </c>
      <c r="K35" s="39">
        <v>0.89488607594936709</v>
      </c>
      <c r="L35" s="38">
        <v>0.13539240506329114</v>
      </c>
      <c r="M35" s="40">
        <v>0.79858227848101271</v>
      </c>
      <c r="N35" s="39">
        <v>0.69539240506329114</v>
      </c>
      <c r="O35" s="38">
        <v>0.10318987341772153</v>
      </c>
      <c r="P35" s="37"/>
      <c r="Q35" s="36"/>
      <c r="R35" s="35"/>
      <c r="S35" s="37"/>
      <c r="T35" s="36"/>
      <c r="U35" s="35"/>
    </row>
    <row r="36" spans="1:21" x14ac:dyDescent="0.2">
      <c r="A36" s="34"/>
      <c r="B36" s="33" t="s">
        <v>0</v>
      </c>
      <c r="C36" s="32">
        <v>10358</v>
      </c>
      <c r="D36" s="127">
        <v>9000</v>
      </c>
      <c r="E36" s="135">
        <v>1358</v>
      </c>
      <c r="F36" s="32">
        <v>8715</v>
      </c>
      <c r="G36" s="125">
        <v>7602</v>
      </c>
      <c r="H36" s="133">
        <v>1113</v>
      </c>
      <c r="I36" s="31">
        <v>9470</v>
      </c>
      <c r="J36" s="30">
        <v>1.0937697993664204</v>
      </c>
      <c r="K36" s="29">
        <v>0.9503695881731784</v>
      </c>
      <c r="L36" s="28">
        <v>0.14340021119324181</v>
      </c>
      <c r="M36" s="30">
        <v>0.92027455121436119</v>
      </c>
      <c r="N36" s="29">
        <v>0.80274551214361145</v>
      </c>
      <c r="O36" s="28">
        <v>0.11752903907074974</v>
      </c>
      <c r="P36" s="27"/>
      <c r="Q36" s="26"/>
      <c r="R36" s="25"/>
      <c r="S36" s="27"/>
      <c r="T36" s="26"/>
      <c r="U36" s="25"/>
    </row>
    <row r="37" spans="1:21" x14ac:dyDescent="0.2">
      <c r="A37" s="83" t="s">
        <v>5</v>
      </c>
      <c r="B37" s="84" t="s">
        <v>2</v>
      </c>
      <c r="C37" s="48">
        <v>28997</v>
      </c>
      <c r="D37" s="126">
        <v>23039</v>
      </c>
      <c r="E37" s="134">
        <v>5958</v>
      </c>
      <c r="F37" s="48">
        <v>23922</v>
      </c>
      <c r="G37" s="126">
        <v>18627</v>
      </c>
      <c r="H37" s="134">
        <v>5295</v>
      </c>
      <c r="I37" s="47">
        <v>25271</v>
      </c>
      <c r="J37" s="46">
        <v>1.1474417316291401</v>
      </c>
      <c r="K37" s="85">
        <v>0.91167741680186776</v>
      </c>
      <c r="L37" s="87">
        <v>0.23576431482727236</v>
      </c>
      <c r="M37" s="46">
        <v>0.94661865379288512</v>
      </c>
      <c r="N37" s="85">
        <v>0.7370899449962407</v>
      </c>
      <c r="O37" s="87">
        <v>0.20952870879664437</v>
      </c>
      <c r="P37" s="45">
        <v>1.0339616490332231</v>
      </c>
      <c r="Q37" s="86">
        <v>0.99733357436119419</v>
      </c>
      <c r="R37" s="108">
        <v>1.1888199161644661</v>
      </c>
      <c r="S37" s="45">
        <v>1.0877156216750472</v>
      </c>
      <c r="T37" s="86">
        <v>1.0503236995760581</v>
      </c>
      <c r="U37" s="108">
        <v>1.2305181731214518</v>
      </c>
    </row>
    <row r="38" spans="1:21" x14ac:dyDescent="0.2">
      <c r="A38" s="44"/>
      <c r="B38" s="43" t="s">
        <v>1</v>
      </c>
      <c r="C38" s="42">
        <v>14638</v>
      </c>
      <c r="D38" s="125">
        <v>11838</v>
      </c>
      <c r="E38" s="133">
        <v>2800</v>
      </c>
      <c r="F38" s="42">
        <v>11773</v>
      </c>
      <c r="G38" s="125">
        <v>9330</v>
      </c>
      <c r="H38" s="133">
        <v>2443</v>
      </c>
      <c r="I38" s="41">
        <v>12968</v>
      </c>
      <c r="J38" s="40">
        <v>1.1287785317705121</v>
      </c>
      <c r="K38" s="39">
        <v>0.912862430598396</v>
      </c>
      <c r="L38" s="38">
        <v>0.21591610117211599</v>
      </c>
      <c r="M38" s="40">
        <v>0.90785009253547189</v>
      </c>
      <c r="N38" s="39">
        <v>0.71946329426280076</v>
      </c>
      <c r="O38" s="38">
        <v>0.18838679827267119</v>
      </c>
      <c r="P38" s="37"/>
      <c r="Q38" s="36"/>
      <c r="R38" s="35"/>
      <c r="S38" s="37"/>
      <c r="T38" s="36"/>
      <c r="U38" s="35"/>
    </row>
    <row r="39" spans="1:21" x14ac:dyDescent="0.2">
      <c r="A39" s="34"/>
      <c r="B39" s="33" t="s">
        <v>0</v>
      </c>
      <c r="C39" s="32">
        <v>14359</v>
      </c>
      <c r="D39" s="127">
        <v>11201</v>
      </c>
      <c r="E39" s="135">
        <v>3158</v>
      </c>
      <c r="F39" s="32">
        <v>12149</v>
      </c>
      <c r="G39" s="125">
        <v>9297</v>
      </c>
      <c r="H39" s="133">
        <v>2852</v>
      </c>
      <c r="I39" s="31">
        <v>12303</v>
      </c>
      <c r="J39" s="30">
        <v>1.1671137121027391</v>
      </c>
      <c r="K39" s="29">
        <v>0.91042835080874585</v>
      </c>
      <c r="L39" s="28">
        <v>0.25668536129399333</v>
      </c>
      <c r="M39" s="30">
        <v>0.98748272778996993</v>
      </c>
      <c r="N39" s="29">
        <v>0.75566934893928306</v>
      </c>
      <c r="O39" s="28">
        <v>0.23181337885068681</v>
      </c>
      <c r="P39" s="27"/>
      <c r="Q39" s="26"/>
      <c r="R39" s="25"/>
      <c r="S39" s="27"/>
      <c r="T39" s="26"/>
      <c r="U39" s="25"/>
    </row>
    <row r="40" spans="1:21" x14ac:dyDescent="0.2">
      <c r="A40" s="83" t="s">
        <v>4</v>
      </c>
      <c r="B40" s="84" t="s">
        <v>2</v>
      </c>
      <c r="C40" s="48">
        <v>38344</v>
      </c>
      <c r="D40" s="126">
        <v>27818</v>
      </c>
      <c r="E40" s="134">
        <v>10526</v>
      </c>
      <c r="F40" s="48">
        <v>33191</v>
      </c>
      <c r="G40" s="126">
        <v>24520</v>
      </c>
      <c r="H40" s="134">
        <v>8671</v>
      </c>
      <c r="I40" s="47">
        <v>34515</v>
      </c>
      <c r="J40" s="46">
        <v>1.1109372736491381</v>
      </c>
      <c r="K40" s="85">
        <v>0.80596841952774156</v>
      </c>
      <c r="L40" s="87">
        <v>0.30496885412139652</v>
      </c>
      <c r="M40" s="46">
        <v>0.96163986672461244</v>
      </c>
      <c r="N40" s="85">
        <v>0.71041576126321893</v>
      </c>
      <c r="O40" s="87">
        <v>0.25122410546139362</v>
      </c>
      <c r="P40" s="45">
        <v>1.02617038635671</v>
      </c>
      <c r="Q40" s="86">
        <v>0.96485245851373846</v>
      </c>
      <c r="R40" s="108">
        <v>1.2079722194865115</v>
      </c>
      <c r="S40" s="45">
        <v>1.0789280052253221</v>
      </c>
      <c r="T40" s="86">
        <v>1.0116662995161771</v>
      </c>
      <c r="U40" s="108">
        <v>1.2955842650993885</v>
      </c>
    </row>
    <row r="41" spans="1:21" x14ac:dyDescent="0.2">
      <c r="A41" s="44"/>
      <c r="B41" s="43" t="s">
        <v>1</v>
      </c>
      <c r="C41" s="42">
        <v>19206</v>
      </c>
      <c r="D41" s="125">
        <v>14362</v>
      </c>
      <c r="E41" s="133">
        <v>4844</v>
      </c>
      <c r="F41" s="42">
        <v>16209</v>
      </c>
      <c r="G41" s="125">
        <v>12369</v>
      </c>
      <c r="H41" s="133">
        <v>3840</v>
      </c>
      <c r="I41" s="41">
        <v>17511</v>
      </c>
      <c r="J41" s="40">
        <v>1.0967962994689053</v>
      </c>
      <c r="K41" s="39">
        <v>0.82017017874478904</v>
      </c>
      <c r="L41" s="38">
        <v>0.27662612072411624</v>
      </c>
      <c r="M41" s="40">
        <v>0.92564673633715955</v>
      </c>
      <c r="N41" s="39">
        <v>0.70635600479698479</v>
      </c>
      <c r="O41" s="38">
        <v>0.21929073154017475</v>
      </c>
      <c r="P41" s="37"/>
      <c r="Q41" s="36"/>
      <c r="R41" s="35"/>
      <c r="S41" s="37"/>
      <c r="T41" s="36"/>
      <c r="U41" s="35"/>
    </row>
    <row r="42" spans="1:21" x14ac:dyDescent="0.2">
      <c r="A42" s="34"/>
      <c r="B42" s="33" t="s">
        <v>0</v>
      </c>
      <c r="C42" s="32">
        <v>19138</v>
      </c>
      <c r="D42" s="127">
        <v>13456</v>
      </c>
      <c r="E42" s="135">
        <v>5682</v>
      </c>
      <c r="F42" s="32">
        <v>16982</v>
      </c>
      <c r="G42" s="127">
        <v>12151</v>
      </c>
      <c r="H42" s="135">
        <v>4831</v>
      </c>
      <c r="I42" s="31">
        <v>17004</v>
      </c>
      <c r="J42" s="30">
        <v>1.1254998823806164</v>
      </c>
      <c r="K42" s="29">
        <v>0.79134321336156199</v>
      </c>
      <c r="L42" s="28">
        <v>0.33415666901905433</v>
      </c>
      <c r="M42" s="30">
        <v>0.99870618677958123</v>
      </c>
      <c r="N42" s="29">
        <v>0.71459656551399675</v>
      </c>
      <c r="O42" s="28">
        <v>0.28410962126558459</v>
      </c>
      <c r="P42" s="27"/>
      <c r="Q42" s="26"/>
      <c r="R42" s="25"/>
      <c r="S42" s="27"/>
      <c r="T42" s="26"/>
      <c r="U42" s="25"/>
    </row>
    <row r="43" spans="1:21" x14ac:dyDescent="0.2">
      <c r="A43" s="24" t="s">
        <v>3</v>
      </c>
      <c r="B43" s="23" t="s">
        <v>2</v>
      </c>
      <c r="C43" s="22">
        <v>639726</v>
      </c>
      <c r="D43" s="112">
        <v>523480</v>
      </c>
      <c r="E43" s="137">
        <v>116246</v>
      </c>
      <c r="F43" s="22">
        <v>536801</v>
      </c>
      <c r="G43" s="112">
        <v>441671</v>
      </c>
      <c r="H43" s="137">
        <v>95130</v>
      </c>
      <c r="I43" s="82">
        <v>643051</v>
      </c>
      <c r="J43" s="21">
        <v>0.99482933701992537</v>
      </c>
      <c r="K43" s="20">
        <v>0.81405673889007246</v>
      </c>
      <c r="L43" s="19">
        <v>0.18077259812985283</v>
      </c>
      <c r="M43" s="21">
        <v>0.83477204762919266</v>
      </c>
      <c r="N43" s="20">
        <v>0.68683665836768781</v>
      </c>
      <c r="O43" s="19">
        <v>0.14793538926150493</v>
      </c>
      <c r="P43" s="18">
        <v>1.0496575121752136</v>
      </c>
      <c r="Q43" s="17">
        <v>1.0303467918056775</v>
      </c>
      <c r="R43" s="16">
        <v>1.1412382243068899</v>
      </c>
      <c r="S43" s="18">
        <v>1.1057205508291466</v>
      </c>
      <c r="T43" s="17">
        <v>1.0845748877951262</v>
      </c>
      <c r="U43" s="16">
        <v>1.2096296381751519</v>
      </c>
    </row>
    <row r="44" spans="1:21" x14ac:dyDescent="0.2">
      <c r="A44" s="24"/>
      <c r="B44" s="23" t="s">
        <v>1</v>
      </c>
      <c r="C44" s="22">
        <v>320930</v>
      </c>
      <c r="D44" s="112">
        <v>265043</v>
      </c>
      <c r="E44" s="137">
        <v>55887</v>
      </c>
      <c r="F44" s="22">
        <v>262314</v>
      </c>
      <c r="G44" s="112">
        <v>217959</v>
      </c>
      <c r="H44" s="137">
        <v>44355</v>
      </c>
      <c r="I44" s="82">
        <v>330387</v>
      </c>
      <c r="J44" s="21">
        <v>0.97137599239679528</v>
      </c>
      <c r="K44" s="20">
        <v>0.80221982099779954</v>
      </c>
      <c r="L44" s="19">
        <v>0.16915617139899572</v>
      </c>
      <c r="M44" s="21">
        <v>0.79395981076737276</v>
      </c>
      <c r="N44" s="20">
        <v>0.6597081604300411</v>
      </c>
      <c r="O44" s="19">
        <v>0.13425165033733166</v>
      </c>
      <c r="P44" s="18"/>
      <c r="Q44" s="17"/>
      <c r="R44" s="16"/>
      <c r="S44" s="18"/>
      <c r="T44" s="17"/>
      <c r="U44" s="16"/>
    </row>
    <row r="45" spans="1:21" ht="12" thickBot="1" x14ac:dyDescent="0.25">
      <c r="A45" s="15"/>
      <c r="B45" s="14" t="s">
        <v>0</v>
      </c>
      <c r="C45" s="13">
        <v>318796</v>
      </c>
      <c r="D45" s="113">
        <v>258437</v>
      </c>
      <c r="E45" s="138">
        <v>60359</v>
      </c>
      <c r="F45" s="13">
        <v>274487</v>
      </c>
      <c r="G45" s="113">
        <v>223712</v>
      </c>
      <c r="H45" s="138">
        <v>50775</v>
      </c>
      <c r="I45" s="81">
        <v>312664</v>
      </c>
      <c r="J45" s="12">
        <v>1.0196121075659494</v>
      </c>
      <c r="K45" s="11">
        <v>0.82656461888800759</v>
      </c>
      <c r="L45" s="10">
        <v>0.1930474886779418</v>
      </c>
      <c r="M45" s="12">
        <v>0.87789767929790441</v>
      </c>
      <c r="N45" s="11">
        <v>0.71550290407594097</v>
      </c>
      <c r="O45" s="10">
        <v>0.16239477522196352</v>
      </c>
      <c r="P45" s="9"/>
      <c r="Q45" s="8"/>
      <c r="R45" s="7"/>
      <c r="S45" s="9"/>
      <c r="T45" s="8"/>
      <c r="U45" s="7"/>
    </row>
  </sheetData>
  <sheetProtection algorithmName="SHA-512" hashValue="diOjLujfqK1Honhe/wWWr7kCMnNYQl0A4llvD3SrwGNwzpcGs+PtS+7CLWejgIpMAh59LLcZ5V7oiJKKkuoQag==" saltValue="bz+hTOCpQWEiAJbeatXzlA==" spinCount="100000" sheet="1" objects="1" scenarios="1"/>
  <mergeCells count="11">
    <mergeCell ref="A1:U1"/>
    <mergeCell ref="A2:U2"/>
    <mergeCell ref="A3:U3"/>
    <mergeCell ref="A4:U4"/>
    <mergeCell ref="A6:B7"/>
    <mergeCell ref="C6:E6"/>
    <mergeCell ref="F6:H6"/>
    <mergeCell ref="J6:L6"/>
    <mergeCell ref="M6:O6"/>
    <mergeCell ref="P6:R6"/>
    <mergeCell ref="S6:U6"/>
  </mergeCells>
  <printOptions horizontalCentered="1"/>
  <pageMargins left="0" right="0" top="0.25" bottom="0.25" header="0" footer="0"/>
  <pageSetup paperSize="9" scale="68" orientation="landscape" horizontalDpi="300" verticalDpi="300" r:id="rId1"/>
  <headerFooter alignWithMargins="0">
    <oddFooter>&amp;L&amp;F&amp;R&amp;P</oddFooter>
  </headerFooter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849DB-F519-4D09-9566-5F71D8A4D6AD}">
  <sheetPr>
    <tabColor rgb="FF92D050"/>
  </sheetPr>
  <dimension ref="A1:U45"/>
  <sheetViews>
    <sheetView showGridLines="0" zoomScaleNormal="100" workbookViewId="0">
      <pane xSplit="2" ySplit="7" topLeftCell="C8" activePane="bottomRight" state="frozen"/>
      <selection activeCell="C8" sqref="C8"/>
      <selection pane="topRight" activeCell="C8" sqref="C8"/>
      <selection pane="bottomLeft" activeCell="C8" sqref="C8"/>
      <selection pane="bottomRight" activeCell="C8" sqref="C8"/>
    </sheetView>
  </sheetViews>
  <sheetFormatPr defaultColWidth="9.140625" defaultRowHeight="11.25" x14ac:dyDescent="0.2"/>
  <cols>
    <col min="1" max="1" width="34" style="145" customWidth="1"/>
    <col min="2" max="2" width="10.7109375" style="143" customWidth="1"/>
    <col min="3" max="8" width="9.7109375" style="110" customWidth="1"/>
    <col min="9" max="9" width="9.28515625" style="110" bestFit="1" customWidth="1"/>
    <col min="10" max="15" width="7.7109375" style="4" customWidth="1"/>
    <col min="16" max="19" width="7.28515625" style="144" customWidth="1"/>
    <col min="20" max="21" width="7.28515625" style="2" customWidth="1"/>
    <col min="22" max="16384" width="9.140625" style="143"/>
  </cols>
  <sheetData>
    <row r="1" spans="1:21" x14ac:dyDescent="0.2">
      <c r="A1" s="584" t="s">
        <v>23</v>
      </c>
      <c r="B1" s="584"/>
      <c r="C1" s="584"/>
      <c r="D1" s="584"/>
      <c r="E1" s="584"/>
      <c r="F1" s="584"/>
      <c r="G1" s="584"/>
      <c r="H1" s="584"/>
      <c r="I1" s="584"/>
      <c r="J1" s="584"/>
      <c r="K1" s="584"/>
      <c r="L1" s="584"/>
      <c r="M1" s="584"/>
      <c r="N1" s="584"/>
      <c r="O1" s="584"/>
      <c r="P1" s="584"/>
      <c r="Q1" s="584"/>
      <c r="R1" s="584"/>
      <c r="S1" s="584"/>
      <c r="T1" s="584"/>
      <c r="U1" s="584"/>
    </row>
    <row r="2" spans="1:21" x14ac:dyDescent="0.2">
      <c r="A2" s="585" t="s">
        <v>55</v>
      </c>
      <c r="B2" s="585"/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5"/>
      <c r="N2" s="585"/>
      <c r="O2" s="585"/>
      <c r="P2" s="585"/>
      <c r="Q2" s="585"/>
      <c r="R2" s="585"/>
      <c r="S2" s="585"/>
      <c r="T2" s="585"/>
      <c r="U2" s="585"/>
    </row>
    <row r="3" spans="1:21" x14ac:dyDescent="0.2">
      <c r="A3" s="586" t="s">
        <v>47</v>
      </c>
      <c r="B3" s="586"/>
      <c r="C3" s="586"/>
      <c r="D3" s="586"/>
      <c r="E3" s="586"/>
      <c r="F3" s="586"/>
      <c r="G3" s="586"/>
      <c r="H3" s="586"/>
      <c r="I3" s="586"/>
      <c r="J3" s="586"/>
      <c r="K3" s="586"/>
      <c r="L3" s="586"/>
      <c r="M3" s="586"/>
      <c r="N3" s="586"/>
      <c r="O3" s="586"/>
      <c r="P3" s="586"/>
      <c r="Q3" s="586"/>
      <c r="R3" s="586"/>
      <c r="S3" s="586"/>
      <c r="T3" s="586"/>
      <c r="U3" s="586"/>
    </row>
    <row r="4" spans="1:21" x14ac:dyDescent="0.2">
      <c r="A4" s="587" t="s">
        <v>48</v>
      </c>
      <c r="B4" s="587"/>
      <c r="C4" s="587"/>
      <c r="D4" s="587"/>
      <c r="E4" s="587"/>
      <c r="F4" s="587"/>
      <c r="G4" s="587"/>
      <c r="H4" s="587"/>
      <c r="I4" s="587"/>
      <c r="J4" s="587"/>
      <c r="K4" s="587"/>
      <c r="L4" s="587"/>
      <c r="M4" s="587"/>
      <c r="N4" s="587"/>
      <c r="O4" s="587"/>
      <c r="P4" s="587"/>
      <c r="Q4" s="587"/>
      <c r="R4" s="587"/>
      <c r="S4" s="587"/>
      <c r="T4" s="587"/>
      <c r="U4" s="587"/>
    </row>
    <row r="5" spans="1:21" ht="12" thickBot="1" x14ac:dyDescent="0.25">
      <c r="A5" s="214"/>
      <c r="B5" s="212"/>
      <c r="C5" s="106"/>
      <c r="D5" s="212"/>
      <c r="E5" s="106"/>
      <c r="F5" s="212"/>
      <c r="G5" s="106"/>
      <c r="H5" s="212"/>
      <c r="I5" s="106"/>
      <c r="J5" s="213"/>
      <c r="K5" s="213"/>
      <c r="L5" s="213"/>
      <c r="M5" s="213"/>
      <c r="N5" s="213"/>
      <c r="O5" s="213"/>
      <c r="P5" s="212"/>
      <c r="Q5" s="106"/>
      <c r="R5" s="212"/>
      <c r="S5" s="106"/>
      <c r="T5" s="212"/>
      <c r="U5" s="106"/>
    </row>
    <row r="6" spans="1:21" ht="11.25" customHeight="1" x14ac:dyDescent="0.2">
      <c r="A6" s="588" t="s">
        <v>22</v>
      </c>
      <c r="B6" s="589"/>
      <c r="C6" s="592" t="s">
        <v>54</v>
      </c>
      <c r="D6" s="593"/>
      <c r="E6" s="594"/>
      <c r="F6" s="592" t="s">
        <v>53</v>
      </c>
      <c r="G6" s="593"/>
      <c r="H6" s="595"/>
      <c r="I6" s="211" t="s">
        <v>21</v>
      </c>
      <c r="J6" s="596" t="s">
        <v>52</v>
      </c>
      <c r="K6" s="596"/>
      <c r="L6" s="597"/>
      <c r="M6" s="596" t="s">
        <v>51</v>
      </c>
      <c r="N6" s="596"/>
      <c r="O6" s="597"/>
      <c r="P6" s="581" t="s">
        <v>50</v>
      </c>
      <c r="Q6" s="566"/>
      <c r="R6" s="567"/>
      <c r="S6" s="565" t="s">
        <v>49</v>
      </c>
      <c r="T6" s="566"/>
      <c r="U6" s="567"/>
    </row>
    <row r="7" spans="1:21" s="204" customFormat="1" ht="12" customHeight="1" thickBot="1" x14ac:dyDescent="0.25">
      <c r="A7" s="590"/>
      <c r="B7" s="591"/>
      <c r="C7" s="210" t="s">
        <v>6</v>
      </c>
      <c r="D7" s="207" t="s">
        <v>17</v>
      </c>
      <c r="E7" s="209" t="s">
        <v>16</v>
      </c>
      <c r="F7" s="208" t="s">
        <v>6</v>
      </c>
      <c r="G7" s="207" t="s">
        <v>17</v>
      </c>
      <c r="H7" s="206" t="s">
        <v>16</v>
      </c>
      <c r="I7" s="205" t="s">
        <v>24</v>
      </c>
      <c r="J7" s="95" t="s">
        <v>18</v>
      </c>
      <c r="K7" s="90" t="s">
        <v>17</v>
      </c>
      <c r="L7" s="89" t="s">
        <v>16</v>
      </c>
      <c r="M7" s="91" t="s">
        <v>18</v>
      </c>
      <c r="N7" s="90" t="s">
        <v>17</v>
      </c>
      <c r="O7" s="94" t="s">
        <v>16</v>
      </c>
      <c r="P7" s="93" t="s">
        <v>18</v>
      </c>
      <c r="Q7" s="90" t="s">
        <v>17</v>
      </c>
      <c r="R7" s="92" t="s">
        <v>16</v>
      </c>
      <c r="S7" s="91" t="s">
        <v>18</v>
      </c>
      <c r="T7" s="90" t="s">
        <v>17</v>
      </c>
      <c r="U7" s="89" t="s">
        <v>16</v>
      </c>
    </row>
    <row r="8" spans="1:21" x14ac:dyDescent="0.2">
      <c r="A8" s="200" t="s">
        <v>14</v>
      </c>
      <c r="B8" s="196"/>
      <c r="C8" s="79"/>
      <c r="D8" s="130"/>
      <c r="E8" s="140"/>
      <c r="F8" s="79"/>
      <c r="G8" s="130"/>
      <c r="H8" s="140"/>
      <c r="I8" s="79"/>
      <c r="J8" s="78"/>
      <c r="K8" s="77"/>
      <c r="L8" s="76"/>
      <c r="M8" s="78"/>
      <c r="N8" s="77"/>
      <c r="O8" s="76"/>
      <c r="P8" s="75"/>
      <c r="Q8" s="74"/>
      <c r="R8" s="73"/>
      <c r="S8" s="199"/>
      <c r="T8" s="198"/>
      <c r="U8" s="197"/>
    </row>
    <row r="9" spans="1:21" ht="12" thickBot="1" x14ac:dyDescent="0.25">
      <c r="A9" s="196"/>
      <c r="B9" s="196"/>
      <c r="C9" s="68"/>
      <c r="D9" s="195"/>
      <c r="E9" s="194"/>
      <c r="F9" s="68"/>
      <c r="G9" s="195"/>
      <c r="H9" s="194"/>
      <c r="I9" s="68"/>
      <c r="J9" s="67"/>
      <c r="K9" s="66"/>
      <c r="L9" s="65"/>
      <c r="M9" s="67"/>
      <c r="N9" s="66"/>
      <c r="O9" s="65"/>
      <c r="P9" s="64"/>
      <c r="Q9" s="63"/>
      <c r="R9" s="62"/>
      <c r="S9" s="193"/>
      <c r="T9" s="192"/>
      <c r="U9" s="191"/>
    </row>
    <row r="10" spans="1:21" x14ac:dyDescent="0.2">
      <c r="A10" s="190" t="s">
        <v>13</v>
      </c>
      <c r="B10" s="189" t="s">
        <v>2</v>
      </c>
      <c r="C10" s="188">
        <v>34178</v>
      </c>
      <c r="D10" s="187">
        <v>29520</v>
      </c>
      <c r="E10" s="186">
        <v>4658</v>
      </c>
      <c r="F10" s="188">
        <v>27565</v>
      </c>
      <c r="G10" s="187">
        <v>23526</v>
      </c>
      <c r="H10" s="186">
        <v>4039</v>
      </c>
      <c r="I10" s="185">
        <v>35303</v>
      </c>
      <c r="J10" s="54">
        <v>0.96813301985666944</v>
      </c>
      <c r="K10" s="53">
        <v>0.83618955896099478</v>
      </c>
      <c r="L10" s="52">
        <v>0.13194346089567457</v>
      </c>
      <c r="M10" s="54">
        <v>0.78081182902302926</v>
      </c>
      <c r="N10" s="53">
        <v>0.66640228875732943</v>
      </c>
      <c r="O10" s="52">
        <v>0.1144095402656998</v>
      </c>
      <c r="P10" s="184">
        <v>1.0162627854869579</v>
      </c>
      <c r="Q10" s="183">
        <v>1.021125787049354</v>
      </c>
      <c r="R10" s="182">
        <v>0.98596300890637389</v>
      </c>
      <c r="S10" s="184">
        <v>1.0851201341864103</v>
      </c>
      <c r="T10" s="183">
        <v>1.0947917158915264</v>
      </c>
      <c r="U10" s="182">
        <v>1.0304636846283217</v>
      </c>
    </row>
    <row r="11" spans="1:21" x14ac:dyDescent="0.2">
      <c r="A11" s="142"/>
      <c r="B11" s="172" t="s">
        <v>1</v>
      </c>
      <c r="C11" s="171">
        <v>17491</v>
      </c>
      <c r="D11" s="170">
        <v>15072</v>
      </c>
      <c r="E11" s="169">
        <v>2419</v>
      </c>
      <c r="F11" s="171">
        <v>13655</v>
      </c>
      <c r="G11" s="170">
        <v>11602</v>
      </c>
      <c r="H11" s="169">
        <v>2053</v>
      </c>
      <c r="I11" s="168">
        <v>18209</v>
      </c>
      <c r="J11" s="40">
        <v>0.96056894942061621</v>
      </c>
      <c r="K11" s="39">
        <v>0.82772255478060297</v>
      </c>
      <c r="L11" s="38">
        <v>0.13284639464001319</v>
      </c>
      <c r="M11" s="40">
        <v>0.74990389367894994</v>
      </c>
      <c r="N11" s="39">
        <v>0.63715744961282883</v>
      </c>
      <c r="O11" s="38">
        <v>0.11274644406612115</v>
      </c>
      <c r="P11" s="167"/>
      <c r="Q11" s="166"/>
      <c r="R11" s="165"/>
      <c r="S11" s="167"/>
      <c r="T11" s="166"/>
      <c r="U11" s="165"/>
    </row>
    <row r="12" spans="1:21" x14ac:dyDescent="0.2">
      <c r="A12" s="164"/>
      <c r="B12" s="163" t="s">
        <v>0</v>
      </c>
      <c r="C12" s="171">
        <v>16687</v>
      </c>
      <c r="D12" s="170">
        <v>14448</v>
      </c>
      <c r="E12" s="169">
        <v>2239</v>
      </c>
      <c r="F12" s="171">
        <v>13910</v>
      </c>
      <c r="G12" s="170">
        <v>11924</v>
      </c>
      <c r="H12" s="169">
        <v>1986</v>
      </c>
      <c r="I12" s="159">
        <v>17094</v>
      </c>
      <c r="J12" s="30">
        <v>0.97619047619047616</v>
      </c>
      <c r="K12" s="29">
        <v>0.84520884520884521</v>
      </c>
      <c r="L12" s="28">
        <v>0.13098163098163099</v>
      </c>
      <c r="M12" s="30">
        <v>0.81373581373581372</v>
      </c>
      <c r="N12" s="29">
        <v>0.69755469755469757</v>
      </c>
      <c r="O12" s="28">
        <v>0.11618111618111618</v>
      </c>
      <c r="P12" s="158"/>
      <c r="Q12" s="157"/>
      <c r="R12" s="156"/>
      <c r="S12" s="158"/>
      <c r="T12" s="157"/>
      <c r="U12" s="156"/>
    </row>
    <row r="13" spans="1:21" x14ac:dyDescent="0.2">
      <c r="A13" s="181" t="s">
        <v>46</v>
      </c>
      <c r="B13" s="180" t="s">
        <v>2</v>
      </c>
      <c r="C13" s="179">
        <v>14346</v>
      </c>
      <c r="D13" s="178">
        <v>13653</v>
      </c>
      <c r="E13" s="177">
        <v>693</v>
      </c>
      <c r="F13" s="179">
        <v>12700</v>
      </c>
      <c r="G13" s="178">
        <v>12052</v>
      </c>
      <c r="H13" s="177">
        <v>648</v>
      </c>
      <c r="I13" s="176">
        <v>16531</v>
      </c>
      <c r="J13" s="46">
        <v>0.86782408807694633</v>
      </c>
      <c r="K13" s="85">
        <v>0.8259028491924264</v>
      </c>
      <c r="L13" s="87">
        <v>4.1921238884519992E-2</v>
      </c>
      <c r="M13" s="46">
        <v>0.76825358417518597</v>
      </c>
      <c r="N13" s="85">
        <v>0.72905450365979074</v>
      </c>
      <c r="O13" s="87">
        <v>3.9199080515395321E-2</v>
      </c>
      <c r="P13" s="175">
        <v>1.0118807142857142</v>
      </c>
      <c r="Q13" s="174">
        <v>1.0126842741301145</v>
      </c>
      <c r="R13" s="173">
        <v>0.9961727704780543</v>
      </c>
      <c r="S13" s="175">
        <v>1.0494144070871758</v>
      </c>
      <c r="T13" s="174">
        <v>1.0512011569904394</v>
      </c>
      <c r="U13" s="173">
        <v>1.0167137121120637</v>
      </c>
    </row>
    <row r="14" spans="1:21" x14ac:dyDescent="0.2">
      <c r="A14" s="142"/>
      <c r="B14" s="172" t="s">
        <v>1</v>
      </c>
      <c r="C14" s="171">
        <v>7500</v>
      </c>
      <c r="D14" s="170">
        <v>7135</v>
      </c>
      <c r="E14" s="169">
        <v>365</v>
      </c>
      <c r="F14" s="171">
        <v>6524</v>
      </c>
      <c r="G14" s="170">
        <v>6186</v>
      </c>
      <c r="H14" s="169">
        <v>338</v>
      </c>
      <c r="I14" s="168">
        <v>8691</v>
      </c>
      <c r="J14" s="40">
        <v>0.86296168450120814</v>
      </c>
      <c r="K14" s="39">
        <v>0.82096421585548274</v>
      </c>
      <c r="L14" s="38">
        <v>4.1997468645725462E-2</v>
      </c>
      <c r="M14" s="40">
        <v>0.75066160395811754</v>
      </c>
      <c r="N14" s="39">
        <v>0.71177079737659643</v>
      </c>
      <c r="O14" s="38">
        <v>3.8890806581521116E-2</v>
      </c>
      <c r="P14" s="167"/>
      <c r="Q14" s="166"/>
      <c r="R14" s="165"/>
      <c r="S14" s="167"/>
      <c r="T14" s="166"/>
      <c r="U14" s="165"/>
    </row>
    <row r="15" spans="1:21" x14ac:dyDescent="0.2">
      <c r="A15" s="164"/>
      <c r="B15" s="163" t="s">
        <v>0</v>
      </c>
      <c r="C15" s="171">
        <v>6846</v>
      </c>
      <c r="D15" s="170">
        <v>6518</v>
      </c>
      <c r="E15" s="169">
        <v>328</v>
      </c>
      <c r="F15" s="171">
        <v>6176</v>
      </c>
      <c r="G15" s="170">
        <v>5866</v>
      </c>
      <c r="H15" s="169">
        <v>310</v>
      </c>
      <c r="I15" s="159">
        <v>7840</v>
      </c>
      <c r="J15" s="30">
        <v>0.87321428571428572</v>
      </c>
      <c r="K15" s="29">
        <v>0.83137755102040811</v>
      </c>
      <c r="L15" s="28">
        <v>4.1836734693877553E-2</v>
      </c>
      <c r="M15" s="30">
        <v>0.78775510204081634</v>
      </c>
      <c r="N15" s="29">
        <v>0.74821428571428572</v>
      </c>
      <c r="O15" s="28">
        <v>3.9540816326530615E-2</v>
      </c>
      <c r="P15" s="158"/>
      <c r="Q15" s="157"/>
      <c r="R15" s="156"/>
      <c r="S15" s="158"/>
      <c r="T15" s="157"/>
      <c r="U15" s="156"/>
    </row>
    <row r="16" spans="1:21" x14ac:dyDescent="0.2">
      <c r="A16" s="181" t="s">
        <v>12</v>
      </c>
      <c r="B16" s="180" t="s">
        <v>2</v>
      </c>
      <c r="C16" s="179">
        <v>10142</v>
      </c>
      <c r="D16" s="178">
        <v>9287</v>
      </c>
      <c r="E16" s="177">
        <v>855</v>
      </c>
      <c r="F16" s="179">
        <v>8692</v>
      </c>
      <c r="G16" s="178">
        <v>7901</v>
      </c>
      <c r="H16" s="177">
        <v>791</v>
      </c>
      <c r="I16" s="176">
        <v>10911</v>
      </c>
      <c r="J16" s="46">
        <v>0.92952066721657045</v>
      </c>
      <c r="K16" s="85">
        <v>0.85115938044175599</v>
      </c>
      <c r="L16" s="87">
        <v>7.8361286774814409E-2</v>
      </c>
      <c r="M16" s="46">
        <v>0.79662725689670977</v>
      </c>
      <c r="N16" s="85">
        <v>0.72413161030153061</v>
      </c>
      <c r="O16" s="87">
        <v>7.2495646595179181E-2</v>
      </c>
      <c r="P16" s="175">
        <v>1.0298771058185283</v>
      </c>
      <c r="Q16" s="174">
        <v>1.0286844424012567</v>
      </c>
      <c r="R16" s="173">
        <v>1.0429194573815979</v>
      </c>
      <c r="S16" s="175">
        <v>1.0667453944425473</v>
      </c>
      <c r="T16" s="174">
        <v>1.0661800669521269</v>
      </c>
      <c r="U16" s="173">
        <v>1.0724086625094613</v>
      </c>
    </row>
    <row r="17" spans="1:21" x14ac:dyDescent="0.2">
      <c r="A17" s="142"/>
      <c r="B17" s="172" t="s">
        <v>1</v>
      </c>
      <c r="C17" s="171">
        <v>5180</v>
      </c>
      <c r="D17" s="170">
        <v>4746</v>
      </c>
      <c r="E17" s="169">
        <v>434</v>
      </c>
      <c r="F17" s="171">
        <v>4363</v>
      </c>
      <c r="G17" s="170">
        <v>3967</v>
      </c>
      <c r="H17" s="169">
        <v>396</v>
      </c>
      <c r="I17" s="168">
        <v>5653</v>
      </c>
      <c r="J17" s="40">
        <v>0.91632761365646564</v>
      </c>
      <c r="K17" s="39">
        <v>0.8395542189987617</v>
      </c>
      <c r="L17" s="38">
        <v>7.6773394657703872E-2</v>
      </c>
      <c r="M17" s="40">
        <v>0.77180258269945157</v>
      </c>
      <c r="N17" s="39">
        <v>0.70175128250486463</v>
      </c>
      <c r="O17" s="38">
        <v>7.0051300194586941E-2</v>
      </c>
      <c r="P17" s="167"/>
      <c r="Q17" s="166"/>
      <c r="R17" s="165"/>
      <c r="S17" s="167"/>
      <c r="T17" s="166"/>
      <c r="U17" s="165"/>
    </row>
    <row r="18" spans="1:21" x14ac:dyDescent="0.2">
      <c r="A18" s="164"/>
      <c r="B18" s="163" t="s">
        <v>0</v>
      </c>
      <c r="C18" s="171">
        <v>4962</v>
      </c>
      <c r="D18" s="170">
        <v>4541</v>
      </c>
      <c r="E18" s="169">
        <v>421</v>
      </c>
      <c r="F18" s="171">
        <v>4329</v>
      </c>
      <c r="G18" s="170">
        <v>3934</v>
      </c>
      <c r="H18" s="169">
        <v>395</v>
      </c>
      <c r="I18" s="159">
        <v>5258</v>
      </c>
      <c r="J18" s="30">
        <v>0.94370483073411948</v>
      </c>
      <c r="K18" s="29">
        <v>0.86363636363636365</v>
      </c>
      <c r="L18" s="28">
        <v>8.0068467097755794E-2</v>
      </c>
      <c r="M18" s="30">
        <v>0.82331685051350323</v>
      </c>
      <c r="N18" s="29">
        <v>0.7481932293647775</v>
      </c>
      <c r="O18" s="28">
        <v>7.5123621148725755E-2</v>
      </c>
      <c r="P18" s="158"/>
      <c r="Q18" s="157"/>
      <c r="R18" s="156"/>
      <c r="S18" s="158"/>
      <c r="T18" s="157"/>
      <c r="U18" s="156"/>
    </row>
    <row r="19" spans="1:21" x14ac:dyDescent="0.2">
      <c r="A19" s="181" t="s">
        <v>11</v>
      </c>
      <c r="B19" s="180" t="s">
        <v>2</v>
      </c>
      <c r="C19" s="179">
        <v>8891</v>
      </c>
      <c r="D19" s="178">
        <v>8455</v>
      </c>
      <c r="E19" s="177">
        <v>436</v>
      </c>
      <c r="F19" s="179">
        <v>7607</v>
      </c>
      <c r="G19" s="178">
        <v>7215</v>
      </c>
      <c r="H19" s="177">
        <v>392</v>
      </c>
      <c r="I19" s="176">
        <v>10031</v>
      </c>
      <c r="J19" s="46">
        <v>0.88635230784567842</v>
      </c>
      <c r="K19" s="85">
        <v>0.8428870501445519</v>
      </c>
      <c r="L19" s="87">
        <v>4.3465257701126511E-2</v>
      </c>
      <c r="M19" s="46">
        <v>0.75834911773502145</v>
      </c>
      <c r="N19" s="85">
        <v>0.71927026218721957</v>
      </c>
      <c r="O19" s="87">
        <v>3.9078855547801813E-2</v>
      </c>
      <c r="P19" s="175">
        <v>0.99296164395238529</v>
      </c>
      <c r="Q19" s="174">
        <v>0.99605373286441501</v>
      </c>
      <c r="R19" s="173">
        <v>0.93476694494136348</v>
      </c>
      <c r="S19" s="175">
        <v>1.0461847902528747</v>
      </c>
      <c r="T19" s="174">
        <v>1.0488713157143312</v>
      </c>
      <c r="U19" s="173">
        <v>0.9979195166438668</v>
      </c>
    </row>
    <row r="20" spans="1:21" x14ac:dyDescent="0.2">
      <c r="A20" s="142"/>
      <c r="B20" s="172" t="s">
        <v>1</v>
      </c>
      <c r="C20" s="171">
        <v>4638</v>
      </c>
      <c r="D20" s="170">
        <v>4404</v>
      </c>
      <c r="E20" s="169">
        <v>234</v>
      </c>
      <c r="F20" s="171">
        <v>3869</v>
      </c>
      <c r="G20" s="170">
        <v>3665</v>
      </c>
      <c r="H20" s="169">
        <v>204</v>
      </c>
      <c r="I20" s="168">
        <v>5215</v>
      </c>
      <c r="J20" s="40">
        <v>0.88935762224352832</v>
      </c>
      <c r="K20" s="39">
        <v>0.84448705656759349</v>
      </c>
      <c r="L20" s="38">
        <v>4.4870565675934802E-2</v>
      </c>
      <c r="M20" s="40">
        <v>0.74189837008628956</v>
      </c>
      <c r="N20" s="39">
        <v>0.70278044103547455</v>
      </c>
      <c r="O20" s="38">
        <v>3.9117929050814959E-2</v>
      </c>
      <c r="P20" s="167"/>
      <c r="Q20" s="166"/>
      <c r="R20" s="165"/>
      <c r="S20" s="167"/>
      <c r="T20" s="166"/>
      <c r="U20" s="165"/>
    </row>
    <row r="21" spans="1:21" x14ac:dyDescent="0.2">
      <c r="A21" s="164"/>
      <c r="B21" s="163" t="s">
        <v>0</v>
      </c>
      <c r="C21" s="171">
        <v>4253</v>
      </c>
      <c r="D21" s="170">
        <v>4051</v>
      </c>
      <c r="E21" s="169">
        <v>202</v>
      </c>
      <c r="F21" s="171">
        <v>3738</v>
      </c>
      <c r="G21" s="170">
        <v>3550</v>
      </c>
      <c r="H21" s="169">
        <v>188</v>
      </c>
      <c r="I21" s="159">
        <v>4816</v>
      </c>
      <c r="J21" s="30">
        <v>0.88309800664451832</v>
      </c>
      <c r="K21" s="29">
        <v>0.84115448504983392</v>
      </c>
      <c r="L21" s="28">
        <v>4.1943521594684383E-2</v>
      </c>
      <c r="M21" s="30">
        <v>0.77616279069767447</v>
      </c>
      <c r="N21" s="29">
        <v>0.73712624584717612</v>
      </c>
      <c r="O21" s="28">
        <v>3.9036544850498338E-2</v>
      </c>
      <c r="P21" s="158"/>
      <c r="Q21" s="157"/>
      <c r="R21" s="156"/>
      <c r="S21" s="158"/>
      <c r="T21" s="157"/>
      <c r="U21" s="156"/>
    </row>
    <row r="22" spans="1:21" x14ac:dyDescent="0.2">
      <c r="A22" s="181" t="s">
        <v>27</v>
      </c>
      <c r="B22" s="180" t="s">
        <v>2</v>
      </c>
      <c r="C22" s="179">
        <v>6882</v>
      </c>
      <c r="D22" s="178">
        <v>6728</v>
      </c>
      <c r="E22" s="177">
        <v>154</v>
      </c>
      <c r="F22" s="179">
        <v>4696</v>
      </c>
      <c r="G22" s="178">
        <v>4582</v>
      </c>
      <c r="H22" s="177">
        <v>114</v>
      </c>
      <c r="I22" s="176">
        <v>7546</v>
      </c>
      <c r="J22" s="46">
        <v>0.91200636098595278</v>
      </c>
      <c r="K22" s="85">
        <v>0.89159819772064675</v>
      </c>
      <c r="L22" s="87">
        <v>2.0408163265306121E-2</v>
      </c>
      <c r="M22" s="46">
        <v>0.62231645905115296</v>
      </c>
      <c r="N22" s="85">
        <v>0.60720911741319905</v>
      </c>
      <c r="O22" s="87">
        <v>1.5107341637953882E-2</v>
      </c>
      <c r="P22" s="175">
        <v>1.00018171351685</v>
      </c>
      <c r="Q22" s="174">
        <v>1.0058224029561302</v>
      </c>
      <c r="R22" s="173">
        <v>0.7808358128212064</v>
      </c>
      <c r="S22" s="175">
        <v>1.0482331481520013</v>
      </c>
      <c r="T22" s="174">
        <v>1.0529971979748667</v>
      </c>
      <c r="U22" s="173">
        <v>0.87319273691833832</v>
      </c>
    </row>
    <row r="23" spans="1:21" x14ac:dyDescent="0.2">
      <c r="A23" s="142"/>
      <c r="B23" s="172" t="s">
        <v>1</v>
      </c>
      <c r="C23" s="171">
        <v>3510</v>
      </c>
      <c r="D23" s="170">
        <v>3422</v>
      </c>
      <c r="E23" s="169">
        <v>88</v>
      </c>
      <c r="F23" s="171">
        <v>2340</v>
      </c>
      <c r="G23" s="170">
        <v>2278</v>
      </c>
      <c r="H23" s="169">
        <v>62</v>
      </c>
      <c r="I23" s="168">
        <v>3849</v>
      </c>
      <c r="J23" s="40">
        <v>0.91192517537022599</v>
      </c>
      <c r="K23" s="39">
        <v>0.88906209405040271</v>
      </c>
      <c r="L23" s="38">
        <v>2.2863081319823331E-2</v>
      </c>
      <c r="M23" s="40">
        <v>0.607950116913484</v>
      </c>
      <c r="N23" s="39">
        <v>0.59184203689269943</v>
      </c>
      <c r="O23" s="38">
        <v>1.6108080020784621E-2</v>
      </c>
      <c r="P23" s="167"/>
      <c r="Q23" s="166"/>
      <c r="R23" s="165"/>
      <c r="S23" s="167"/>
      <c r="T23" s="166"/>
      <c r="U23" s="165"/>
    </row>
    <row r="24" spans="1:21" x14ac:dyDescent="0.2">
      <c r="A24" s="164"/>
      <c r="B24" s="163" t="s">
        <v>0</v>
      </c>
      <c r="C24" s="171">
        <v>3372</v>
      </c>
      <c r="D24" s="170">
        <v>3306</v>
      </c>
      <c r="E24" s="169">
        <v>66</v>
      </c>
      <c r="F24" s="171">
        <v>2356</v>
      </c>
      <c r="G24" s="170">
        <v>2304</v>
      </c>
      <c r="H24" s="169">
        <v>52</v>
      </c>
      <c r="I24" s="159">
        <v>3697</v>
      </c>
      <c r="J24" s="30">
        <v>0.91209088450094666</v>
      </c>
      <c r="K24" s="29">
        <v>0.89423857181498512</v>
      </c>
      <c r="L24" s="28">
        <v>1.7852312685961592E-2</v>
      </c>
      <c r="M24" s="30">
        <v>0.63727346497159865</v>
      </c>
      <c r="N24" s="29">
        <v>0.62320800649175012</v>
      </c>
      <c r="O24" s="28">
        <v>1.4065458479848527E-2</v>
      </c>
      <c r="P24" s="158"/>
      <c r="Q24" s="157"/>
      <c r="R24" s="156"/>
      <c r="S24" s="158"/>
      <c r="T24" s="157"/>
      <c r="U24" s="156"/>
    </row>
    <row r="25" spans="1:21" x14ac:dyDescent="0.2">
      <c r="A25" s="181" t="s">
        <v>10</v>
      </c>
      <c r="B25" s="180" t="s">
        <v>2</v>
      </c>
      <c r="C25" s="179">
        <v>8724</v>
      </c>
      <c r="D25" s="178">
        <v>8564</v>
      </c>
      <c r="E25" s="177">
        <v>160</v>
      </c>
      <c r="F25" s="179">
        <v>7485</v>
      </c>
      <c r="G25" s="178">
        <v>7336</v>
      </c>
      <c r="H25" s="177">
        <v>149</v>
      </c>
      <c r="I25" s="176">
        <v>9287</v>
      </c>
      <c r="J25" s="46">
        <v>0.9393776246365888</v>
      </c>
      <c r="K25" s="85">
        <v>0.92214924087434047</v>
      </c>
      <c r="L25" s="87">
        <v>1.7228383762248303E-2</v>
      </c>
      <c r="M25" s="46">
        <v>0.80596532787767849</v>
      </c>
      <c r="N25" s="85">
        <v>0.78992139549908469</v>
      </c>
      <c r="O25" s="87">
        <v>1.6043932378593733E-2</v>
      </c>
      <c r="P25" s="175">
        <v>0.99155852795938682</v>
      </c>
      <c r="Q25" s="174">
        <v>0.9848099687278169</v>
      </c>
      <c r="R25" s="173">
        <v>1.4318027743012098</v>
      </c>
      <c r="S25" s="175">
        <v>1.0434072566608146</v>
      </c>
      <c r="T25" s="174">
        <v>1.0365863723002375</v>
      </c>
      <c r="U25" s="173">
        <v>1.4446484858718902</v>
      </c>
    </row>
    <row r="26" spans="1:21" x14ac:dyDescent="0.2">
      <c r="A26" s="142"/>
      <c r="B26" s="172" t="s">
        <v>1</v>
      </c>
      <c r="C26" s="171">
        <v>4504</v>
      </c>
      <c r="D26" s="170">
        <v>4436</v>
      </c>
      <c r="E26" s="169">
        <v>68</v>
      </c>
      <c r="F26" s="171">
        <v>3769</v>
      </c>
      <c r="G26" s="170">
        <v>3706</v>
      </c>
      <c r="H26" s="169">
        <v>63</v>
      </c>
      <c r="I26" s="168">
        <v>4775</v>
      </c>
      <c r="J26" s="40">
        <v>0.94324607329842935</v>
      </c>
      <c r="K26" s="39">
        <v>0.92900523560209425</v>
      </c>
      <c r="L26" s="38">
        <v>1.4240837696335079E-2</v>
      </c>
      <c r="M26" s="40">
        <v>0.78931937172774869</v>
      </c>
      <c r="N26" s="39">
        <v>0.77612565445026183</v>
      </c>
      <c r="O26" s="38">
        <v>1.3193717277486911E-2</v>
      </c>
      <c r="P26" s="167"/>
      <c r="Q26" s="166"/>
      <c r="R26" s="165"/>
      <c r="S26" s="167"/>
      <c r="T26" s="166"/>
      <c r="U26" s="165"/>
    </row>
    <row r="27" spans="1:21" x14ac:dyDescent="0.2">
      <c r="A27" s="164"/>
      <c r="B27" s="163" t="s">
        <v>0</v>
      </c>
      <c r="C27" s="171">
        <v>4220</v>
      </c>
      <c r="D27" s="170">
        <v>4128</v>
      </c>
      <c r="E27" s="169">
        <v>92</v>
      </c>
      <c r="F27" s="171">
        <v>3716</v>
      </c>
      <c r="G27" s="170">
        <v>3630</v>
      </c>
      <c r="H27" s="169">
        <v>86</v>
      </c>
      <c r="I27" s="159">
        <v>4512</v>
      </c>
      <c r="J27" s="30">
        <v>0.93528368794326244</v>
      </c>
      <c r="K27" s="29">
        <v>0.91489361702127658</v>
      </c>
      <c r="L27" s="28">
        <v>2.0390070921985817E-2</v>
      </c>
      <c r="M27" s="30">
        <v>0.8235815602836879</v>
      </c>
      <c r="N27" s="29">
        <v>0.80452127659574468</v>
      </c>
      <c r="O27" s="28">
        <v>1.9060283687943262E-2</v>
      </c>
      <c r="P27" s="158"/>
      <c r="Q27" s="157"/>
      <c r="R27" s="156"/>
      <c r="S27" s="158"/>
      <c r="T27" s="157"/>
      <c r="U27" s="156"/>
    </row>
    <row r="28" spans="1:21" x14ac:dyDescent="0.2">
      <c r="A28" s="181" t="s">
        <v>9</v>
      </c>
      <c r="B28" s="180" t="s">
        <v>2</v>
      </c>
      <c r="C28" s="179">
        <v>3928</v>
      </c>
      <c r="D28" s="178">
        <v>3369</v>
      </c>
      <c r="E28" s="177">
        <v>559</v>
      </c>
      <c r="F28" s="179">
        <v>3434</v>
      </c>
      <c r="G28" s="178">
        <v>2906</v>
      </c>
      <c r="H28" s="177">
        <v>528</v>
      </c>
      <c r="I28" s="176">
        <v>3711</v>
      </c>
      <c r="J28" s="46">
        <v>1.0584748046348693</v>
      </c>
      <c r="K28" s="85">
        <v>0.90784155214227968</v>
      </c>
      <c r="L28" s="87">
        <v>0.1506332524925896</v>
      </c>
      <c r="M28" s="46">
        <v>0.9253570466181622</v>
      </c>
      <c r="N28" s="85">
        <v>0.78307733764483967</v>
      </c>
      <c r="O28" s="87">
        <v>0.14227970897332257</v>
      </c>
      <c r="P28" s="175">
        <v>0.96521749223666198</v>
      </c>
      <c r="Q28" s="174">
        <v>0.9565331294341799</v>
      </c>
      <c r="R28" s="173">
        <v>1.0191889723295524</v>
      </c>
      <c r="S28" s="175">
        <v>1.0235252220013926</v>
      </c>
      <c r="T28" s="174">
        <v>1.0253725892170067</v>
      </c>
      <c r="U28" s="173">
        <v>1.0134162088363983</v>
      </c>
    </row>
    <row r="29" spans="1:21" x14ac:dyDescent="0.2">
      <c r="A29" s="142"/>
      <c r="B29" s="172" t="s">
        <v>1</v>
      </c>
      <c r="C29" s="171">
        <v>2049</v>
      </c>
      <c r="D29" s="170">
        <v>1765</v>
      </c>
      <c r="E29" s="169">
        <v>284</v>
      </c>
      <c r="F29" s="171">
        <v>1741</v>
      </c>
      <c r="G29" s="170">
        <v>1472</v>
      </c>
      <c r="H29" s="169">
        <v>269</v>
      </c>
      <c r="I29" s="168">
        <v>1903</v>
      </c>
      <c r="J29" s="40">
        <v>1.0767209668943774</v>
      </c>
      <c r="K29" s="39">
        <v>0.92748292170257485</v>
      </c>
      <c r="L29" s="38">
        <v>0.14923804519180242</v>
      </c>
      <c r="M29" s="40">
        <v>0.91487125591171836</v>
      </c>
      <c r="N29" s="39">
        <v>0.77351550183920126</v>
      </c>
      <c r="O29" s="38">
        <v>0.14135575407251708</v>
      </c>
      <c r="P29" s="167"/>
      <c r="Q29" s="166"/>
      <c r="R29" s="165"/>
      <c r="S29" s="167"/>
      <c r="T29" s="166"/>
      <c r="U29" s="165"/>
    </row>
    <row r="30" spans="1:21" x14ac:dyDescent="0.2">
      <c r="A30" s="164"/>
      <c r="B30" s="163" t="s">
        <v>0</v>
      </c>
      <c r="C30" s="171">
        <v>1879</v>
      </c>
      <c r="D30" s="170">
        <v>1604</v>
      </c>
      <c r="E30" s="169">
        <v>275</v>
      </c>
      <c r="F30" s="171">
        <v>1693</v>
      </c>
      <c r="G30" s="170">
        <v>1434</v>
      </c>
      <c r="H30" s="169">
        <v>259</v>
      </c>
      <c r="I30" s="159">
        <v>1808</v>
      </c>
      <c r="J30" s="30">
        <v>1.0392699115044248</v>
      </c>
      <c r="K30" s="29">
        <v>0.88716814159292035</v>
      </c>
      <c r="L30" s="28">
        <v>0.15210176991150443</v>
      </c>
      <c r="M30" s="30">
        <v>0.93639380530973448</v>
      </c>
      <c r="N30" s="29">
        <v>0.79314159292035402</v>
      </c>
      <c r="O30" s="28">
        <v>0.14325221238938052</v>
      </c>
      <c r="P30" s="158"/>
      <c r="Q30" s="157"/>
      <c r="R30" s="156"/>
      <c r="S30" s="158"/>
      <c r="T30" s="157"/>
      <c r="U30" s="156"/>
    </row>
    <row r="31" spans="1:21" x14ac:dyDescent="0.2">
      <c r="A31" s="181" t="s">
        <v>8</v>
      </c>
      <c r="B31" s="180" t="s">
        <v>2</v>
      </c>
      <c r="C31" s="179">
        <v>2211</v>
      </c>
      <c r="D31" s="178">
        <v>2096</v>
      </c>
      <c r="E31" s="177">
        <v>115</v>
      </c>
      <c r="F31" s="179">
        <v>1969</v>
      </c>
      <c r="G31" s="178">
        <v>1863</v>
      </c>
      <c r="H31" s="177">
        <v>106</v>
      </c>
      <c r="I31" s="176">
        <v>2394</v>
      </c>
      <c r="J31" s="46">
        <v>0.9235588972431078</v>
      </c>
      <c r="K31" s="85">
        <v>0.87552213868003337</v>
      </c>
      <c r="L31" s="87">
        <v>4.803675856307435E-2</v>
      </c>
      <c r="M31" s="46">
        <v>0.82247284878863824</v>
      </c>
      <c r="N31" s="85">
        <v>0.77819548872180455</v>
      </c>
      <c r="O31" s="87">
        <v>4.4277360066833749E-2</v>
      </c>
      <c r="P31" s="175">
        <v>1.0275066847738987</v>
      </c>
      <c r="Q31" s="174">
        <v>1.0159346140232326</v>
      </c>
      <c r="R31" s="173">
        <v>1.263314918938413</v>
      </c>
      <c r="S31" s="175">
        <v>1.0854291229976236</v>
      </c>
      <c r="T31" s="174">
        <v>1.0787717715142271</v>
      </c>
      <c r="U31" s="173">
        <v>1.2095221546481321</v>
      </c>
    </row>
    <row r="32" spans="1:21" x14ac:dyDescent="0.2">
      <c r="A32" s="142"/>
      <c r="B32" s="172" t="s">
        <v>1</v>
      </c>
      <c r="C32" s="171">
        <v>1133</v>
      </c>
      <c r="D32" s="170">
        <v>1080</v>
      </c>
      <c r="E32" s="169">
        <v>53</v>
      </c>
      <c r="F32" s="171">
        <v>982</v>
      </c>
      <c r="G32" s="170">
        <v>932</v>
      </c>
      <c r="H32" s="169">
        <v>50</v>
      </c>
      <c r="I32" s="168">
        <v>1243</v>
      </c>
      <c r="J32" s="40">
        <v>0.91150442477876104</v>
      </c>
      <c r="K32" s="39">
        <v>0.86886564762670959</v>
      </c>
      <c r="L32" s="38">
        <v>4.2638777152051485E-2</v>
      </c>
      <c r="M32" s="40">
        <v>0.79002413515687853</v>
      </c>
      <c r="N32" s="39">
        <v>0.74979887369267906</v>
      </c>
      <c r="O32" s="38">
        <v>4.0225261464199517E-2</v>
      </c>
      <c r="P32" s="167"/>
      <c r="Q32" s="166"/>
      <c r="R32" s="165"/>
      <c r="S32" s="167"/>
      <c r="T32" s="166"/>
      <c r="U32" s="165"/>
    </row>
    <row r="33" spans="1:21" x14ac:dyDescent="0.2">
      <c r="A33" s="164"/>
      <c r="B33" s="163" t="s">
        <v>0</v>
      </c>
      <c r="C33" s="171">
        <v>1078</v>
      </c>
      <c r="D33" s="170">
        <v>1016</v>
      </c>
      <c r="E33" s="169">
        <v>62</v>
      </c>
      <c r="F33" s="171">
        <v>987</v>
      </c>
      <c r="G33" s="170">
        <v>931</v>
      </c>
      <c r="H33" s="169">
        <v>56</v>
      </c>
      <c r="I33" s="159">
        <v>1151</v>
      </c>
      <c r="J33" s="30">
        <v>0.93657688966116426</v>
      </c>
      <c r="K33" s="29">
        <v>0.88271068635968719</v>
      </c>
      <c r="L33" s="28">
        <v>5.3866203301476977E-2</v>
      </c>
      <c r="M33" s="30">
        <v>0.8575152041702867</v>
      </c>
      <c r="N33" s="29">
        <v>0.80886185925282361</v>
      </c>
      <c r="O33" s="28">
        <v>4.8653344917463079E-2</v>
      </c>
      <c r="P33" s="158"/>
      <c r="Q33" s="157"/>
      <c r="R33" s="156"/>
      <c r="S33" s="158"/>
      <c r="T33" s="157"/>
      <c r="U33" s="156"/>
    </row>
    <row r="34" spans="1:21" x14ac:dyDescent="0.2">
      <c r="A34" s="181" t="s">
        <v>7</v>
      </c>
      <c r="B34" s="180" t="s">
        <v>2</v>
      </c>
      <c r="C34" s="179">
        <v>3290</v>
      </c>
      <c r="D34" s="178">
        <v>3005</v>
      </c>
      <c r="E34" s="177">
        <v>285</v>
      </c>
      <c r="F34" s="179">
        <v>2790</v>
      </c>
      <c r="G34" s="178">
        <v>2524</v>
      </c>
      <c r="H34" s="177">
        <v>266</v>
      </c>
      <c r="I34" s="176">
        <v>3198</v>
      </c>
      <c r="J34" s="46">
        <v>1.0287679799874923</v>
      </c>
      <c r="K34" s="85">
        <v>0.93964978111319575</v>
      </c>
      <c r="L34" s="87">
        <v>8.9118198874296436E-2</v>
      </c>
      <c r="M34" s="46">
        <v>0.87242026266416506</v>
      </c>
      <c r="N34" s="85">
        <v>0.78924327704815511</v>
      </c>
      <c r="O34" s="87">
        <v>8.3176985616010002E-2</v>
      </c>
      <c r="P34" s="175">
        <v>1.0089498453266483</v>
      </c>
      <c r="Q34" s="174">
        <v>1.0198040664641412</v>
      </c>
      <c r="R34" s="173">
        <v>0.90104197155066446</v>
      </c>
      <c r="S34" s="175">
        <v>1.0592401802962008</v>
      </c>
      <c r="T34" s="174">
        <v>1.0761609499494948</v>
      </c>
      <c r="U34" s="173">
        <v>0.91109470053449437</v>
      </c>
    </row>
    <row r="35" spans="1:21" x14ac:dyDescent="0.2">
      <c r="A35" s="142"/>
      <c r="B35" s="172" t="s">
        <v>1</v>
      </c>
      <c r="C35" s="171">
        <v>1685</v>
      </c>
      <c r="D35" s="170">
        <v>1531</v>
      </c>
      <c r="E35" s="169">
        <v>154</v>
      </c>
      <c r="F35" s="171">
        <v>1395</v>
      </c>
      <c r="G35" s="170">
        <v>1252</v>
      </c>
      <c r="H35" s="169">
        <v>143</v>
      </c>
      <c r="I35" s="168">
        <v>1645</v>
      </c>
      <c r="J35" s="40">
        <v>1.0243161094224924</v>
      </c>
      <c r="K35" s="39">
        <v>0.93069908814589664</v>
      </c>
      <c r="L35" s="38">
        <v>9.3617021276595741E-2</v>
      </c>
      <c r="M35" s="40">
        <v>0.84802431610942253</v>
      </c>
      <c r="N35" s="39">
        <v>0.76109422492401213</v>
      </c>
      <c r="O35" s="38">
        <v>8.6930091185410341E-2</v>
      </c>
      <c r="P35" s="167"/>
      <c r="Q35" s="166"/>
      <c r="R35" s="165"/>
      <c r="S35" s="167"/>
      <c r="T35" s="166"/>
      <c r="U35" s="165"/>
    </row>
    <row r="36" spans="1:21" x14ac:dyDescent="0.2">
      <c r="A36" s="164"/>
      <c r="B36" s="163" t="s">
        <v>0</v>
      </c>
      <c r="C36" s="171">
        <v>1605</v>
      </c>
      <c r="D36" s="170">
        <v>1474</v>
      </c>
      <c r="E36" s="169">
        <v>131</v>
      </c>
      <c r="F36" s="171">
        <v>1395</v>
      </c>
      <c r="G36" s="170">
        <v>1272</v>
      </c>
      <c r="H36" s="169">
        <v>123</v>
      </c>
      <c r="I36" s="159">
        <v>1553</v>
      </c>
      <c r="J36" s="30">
        <v>1.0334835801674178</v>
      </c>
      <c r="K36" s="29">
        <v>0.94913071474565358</v>
      </c>
      <c r="L36" s="28">
        <v>8.4352865421764331E-2</v>
      </c>
      <c r="M36" s="30">
        <v>0.89826142949130716</v>
      </c>
      <c r="N36" s="29">
        <v>0.8190598840952994</v>
      </c>
      <c r="O36" s="28">
        <v>7.9201545396007725E-2</v>
      </c>
      <c r="P36" s="158"/>
      <c r="Q36" s="157"/>
      <c r="R36" s="156"/>
      <c r="S36" s="158"/>
      <c r="T36" s="157"/>
      <c r="U36" s="156"/>
    </row>
    <row r="37" spans="1:21" x14ac:dyDescent="0.2">
      <c r="A37" s="181" t="s">
        <v>5</v>
      </c>
      <c r="B37" s="180" t="s">
        <v>2</v>
      </c>
      <c r="C37" s="179">
        <v>4108</v>
      </c>
      <c r="D37" s="178">
        <v>3610</v>
      </c>
      <c r="E37" s="177">
        <v>498</v>
      </c>
      <c r="F37" s="179">
        <v>3685</v>
      </c>
      <c r="G37" s="178">
        <v>3237</v>
      </c>
      <c r="H37" s="177">
        <v>448</v>
      </c>
      <c r="I37" s="176">
        <v>4358</v>
      </c>
      <c r="J37" s="46">
        <v>0.94263423588802198</v>
      </c>
      <c r="K37" s="85">
        <v>0.82836163377696193</v>
      </c>
      <c r="L37" s="87">
        <v>0.11427260211106012</v>
      </c>
      <c r="M37" s="46">
        <v>0.84557136301055535</v>
      </c>
      <c r="N37" s="85">
        <v>0.74277191372189078</v>
      </c>
      <c r="O37" s="87">
        <v>0.10279944928866452</v>
      </c>
      <c r="P37" s="175">
        <v>1.0100027460809917</v>
      </c>
      <c r="Q37" s="174">
        <v>1.0368827372760334</v>
      </c>
      <c r="R37" s="173">
        <v>0.83398215857797875</v>
      </c>
      <c r="S37" s="175">
        <v>1.0618939315541158</v>
      </c>
      <c r="T37" s="174">
        <v>1.0924272939803366</v>
      </c>
      <c r="U37" s="173">
        <v>0.86460143587699823</v>
      </c>
    </row>
    <row r="38" spans="1:21" x14ac:dyDescent="0.2">
      <c r="A38" s="142"/>
      <c r="B38" s="172" t="s">
        <v>1</v>
      </c>
      <c r="C38" s="171">
        <v>2106</v>
      </c>
      <c r="D38" s="170">
        <v>1827</v>
      </c>
      <c r="E38" s="169">
        <v>279</v>
      </c>
      <c r="F38" s="171">
        <v>1843</v>
      </c>
      <c r="G38" s="170">
        <v>1596</v>
      </c>
      <c r="H38" s="169">
        <v>247</v>
      </c>
      <c r="I38" s="168">
        <v>2245</v>
      </c>
      <c r="J38" s="40">
        <v>0.93808463251670382</v>
      </c>
      <c r="K38" s="39">
        <v>0.81380846325167033</v>
      </c>
      <c r="L38" s="38">
        <v>0.1242761692650334</v>
      </c>
      <c r="M38" s="40">
        <v>0.82093541202672604</v>
      </c>
      <c r="N38" s="39">
        <v>0.71091314031180397</v>
      </c>
      <c r="O38" s="38">
        <v>0.11002227171492204</v>
      </c>
      <c r="P38" s="167"/>
      <c r="Q38" s="166"/>
      <c r="R38" s="165"/>
      <c r="S38" s="167"/>
      <c r="T38" s="166"/>
      <c r="U38" s="165"/>
    </row>
    <row r="39" spans="1:21" x14ac:dyDescent="0.2">
      <c r="A39" s="164"/>
      <c r="B39" s="163" t="s">
        <v>0</v>
      </c>
      <c r="C39" s="171">
        <v>2002</v>
      </c>
      <c r="D39" s="170">
        <v>1783</v>
      </c>
      <c r="E39" s="169">
        <v>219</v>
      </c>
      <c r="F39" s="171">
        <v>1842</v>
      </c>
      <c r="G39" s="170">
        <v>1641</v>
      </c>
      <c r="H39" s="169">
        <v>201</v>
      </c>
      <c r="I39" s="159">
        <v>2113</v>
      </c>
      <c r="J39" s="30">
        <v>0.94746805489824892</v>
      </c>
      <c r="K39" s="29">
        <v>0.84382394699479413</v>
      </c>
      <c r="L39" s="28">
        <v>0.10364410790345481</v>
      </c>
      <c r="M39" s="30">
        <v>0.87174633222905817</v>
      </c>
      <c r="N39" s="29">
        <v>0.77662091812588741</v>
      </c>
      <c r="O39" s="28">
        <v>9.5125414103170852E-2</v>
      </c>
      <c r="P39" s="158"/>
      <c r="Q39" s="157"/>
      <c r="R39" s="156"/>
      <c r="S39" s="158"/>
      <c r="T39" s="157"/>
      <c r="U39" s="156"/>
    </row>
    <row r="40" spans="1:21" x14ac:dyDescent="0.2">
      <c r="A40" s="181" t="s">
        <v>4</v>
      </c>
      <c r="B40" s="180" t="s">
        <v>2</v>
      </c>
      <c r="C40" s="179">
        <v>5574</v>
      </c>
      <c r="D40" s="178">
        <v>4670</v>
      </c>
      <c r="E40" s="177">
        <v>904</v>
      </c>
      <c r="F40" s="179">
        <v>4931</v>
      </c>
      <c r="G40" s="178">
        <v>4100</v>
      </c>
      <c r="H40" s="177">
        <v>831</v>
      </c>
      <c r="I40" s="176">
        <v>5834</v>
      </c>
      <c r="J40" s="46">
        <v>0.95543366472403157</v>
      </c>
      <c r="K40" s="85">
        <v>0.80047994514912579</v>
      </c>
      <c r="L40" s="87">
        <v>0.15495371957490572</v>
      </c>
      <c r="M40" s="46">
        <v>0.84521768940692488</v>
      </c>
      <c r="N40" s="85">
        <v>0.70277682550565646</v>
      </c>
      <c r="O40" s="87">
        <v>0.14244086390126842</v>
      </c>
      <c r="P40" s="175">
        <v>0.93997476756772258</v>
      </c>
      <c r="Q40" s="174">
        <v>0.94012516255687784</v>
      </c>
      <c r="R40" s="173">
        <v>0.93919819973063701</v>
      </c>
      <c r="S40" s="175">
        <v>0.99325725155728017</v>
      </c>
      <c r="T40" s="174">
        <v>1.001166581784783</v>
      </c>
      <c r="U40" s="173">
        <v>0.95511064278187563</v>
      </c>
    </row>
    <row r="41" spans="1:21" x14ac:dyDescent="0.2">
      <c r="A41" s="142"/>
      <c r="B41" s="172" t="s">
        <v>1</v>
      </c>
      <c r="C41" s="171">
        <v>2940</v>
      </c>
      <c r="D41" s="170">
        <v>2463</v>
      </c>
      <c r="E41" s="169">
        <v>477</v>
      </c>
      <c r="F41" s="171">
        <v>2533</v>
      </c>
      <c r="G41" s="170">
        <v>2098</v>
      </c>
      <c r="H41" s="169">
        <v>435</v>
      </c>
      <c r="I41" s="168">
        <v>2987</v>
      </c>
      <c r="J41" s="40">
        <v>0.9842651489789086</v>
      </c>
      <c r="K41" s="39">
        <v>0.8245731503180449</v>
      </c>
      <c r="L41" s="38">
        <v>0.15969199866086375</v>
      </c>
      <c r="M41" s="40">
        <v>0.84800803481754272</v>
      </c>
      <c r="N41" s="39">
        <v>0.70237696685637763</v>
      </c>
      <c r="O41" s="38">
        <v>0.14563106796116504</v>
      </c>
      <c r="P41" s="167"/>
      <c r="Q41" s="166"/>
      <c r="R41" s="165"/>
      <c r="S41" s="167"/>
      <c r="T41" s="166"/>
      <c r="U41" s="165"/>
    </row>
    <row r="42" spans="1:21" x14ac:dyDescent="0.2">
      <c r="A42" s="164"/>
      <c r="B42" s="163" t="s">
        <v>0</v>
      </c>
      <c r="C42" s="162">
        <v>2634</v>
      </c>
      <c r="D42" s="161">
        <v>2207</v>
      </c>
      <c r="E42" s="160">
        <v>427</v>
      </c>
      <c r="F42" s="162">
        <v>2398</v>
      </c>
      <c r="G42" s="161">
        <v>2002</v>
      </c>
      <c r="H42" s="160">
        <v>396</v>
      </c>
      <c r="I42" s="159">
        <v>2847</v>
      </c>
      <c r="J42" s="30">
        <v>0.92518440463645946</v>
      </c>
      <c r="K42" s="29">
        <v>0.77520196698278887</v>
      </c>
      <c r="L42" s="28">
        <v>0.14998243765367053</v>
      </c>
      <c r="M42" s="30">
        <v>0.84229012996136288</v>
      </c>
      <c r="N42" s="29">
        <v>0.70319634703196343</v>
      </c>
      <c r="O42" s="28">
        <v>0.13909378292939936</v>
      </c>
      <c r="P42" s="158"/>
      <c r="Q42" s="157"/>
      <c r="R42" s="156"/>
      <c r="S42" s="158"/>
      <c r="T42" s="157"/>
      <c r="U42" s="156"/>
    </row>
    <row r="43" spans="1:21" x14ac:dyDescent="0.2">
      <c r="A43" s="155" t="s">
        <v>3</v>
      </c>
      <c r="B43" s="154" t="s">
        <v>2</v>
      </c>
      <c r="C43" s="114">
        <v>102274</v>
      </c>
      <c r="D43" s="115">
        <v>92957</v>
      </c>
      <c r="E43" s="116">
        <v>9317</v>
      </c>
      <c r="F43" s="114">
        <v>85554</v>
      </c>
      <c r="G43" s="115">
        <v>77242</v>
      </c>
      <c r="H43" s="116">
        <v>8312</v>
      </c>
      <c r="I43" s="202">
        <v>109104</v>
      </c>
      <c r="J43" s="21">
        <v>0.93739917876521484</v>
      </c>
      <c r="K43" s="20">
        <v>0.85200359290218508</v>
      </c>
      <c r="L43" s="19">
        <v>8.5395585863029769E-2</v>
      </c>
      <c r="M43" s="21">
        <v>0.78415090189177294</v>
      </c>
      <c r="N43" s="20">
        <v>0.70796671066138728</v>
      </c>
      <c r="O43" s="19">
        <v>7.6184191230385681E-2</v>
      </c>
      <c r="P43" s="153">
        <v>1.0057867720761431</v>
      </c>
      <c r="Q43" s="152">
        <v>1.0079913250933201</v>
      </c>
      <c r="R43" s="151">
        <v>0.98404502068264121</v>
      </c>
      <c r="S43" s="153">
        <v>1.0589179037167173</v>
      </c>
      <c r="T43" s="152">
        <v>1.0633676534732779</v>
      </c>
      <c r="U43" s="151">
        <v>1.0184377154383721</v>
      </c>
    </row>
    <row r="44" spans="1:21" x14ac:dyDescent="0.2">
      <c r="A44" s="155"/>
      <c r="B44" s="154" t="s">
        <v>1</v>
      </c>
      <c r="C44" s="114">
        <v>52736</v>
      </c>
      <c r="D44" s="115">
        <v>47881</v>
      </c>
      <c r="E44" s="116">
        <v>4855</v>
      </c>
      <c r="F44" s="114">
        <v>43014</v>
      </c>
      <c r="G44" s="115">
        <v>38754</v>
      </c>
      <c r="H44" s="116">
        <v>4260</v>
      </c>
      <c r="I44" s="202">
        <v>56415</v>
      </c>
      <c r="J44" s="21">
        <v>0.93478684746964458</v>
      </c>
      <c r="K44" s="20">
        <v>0.84872817513072762</v>
      </c>
      <c r="L44" s="19">
        <v>8.6058672338916953E-2</v>
      </c>
      <c r="M44" s="21">
        <v>0.76245679340600903</v>
      </c>
      <c r="N44" s="20">
        <v>0.68694496144642381</v>
      </c>
      <c r="O44" s="19">
        <v>7.5511831959585218E-2</v>
      </c>
      <c r="P44" s="153"/>
      <c r="Q44" s="152"/>
      <c r="R44" s="151"/>
      <c r="S44" s="153"/>
      <c r="T44" s="152"/>
      <c r="U44" s="151"/>
    </row>
    <row r="45" spans="1:21" ht="12" thickBot="1" x14ac:dyDescent="0.25">
      <c r="A45" s="150"/>
      <c r="B45" s="149" t="s">
        <v>0</v>
      </c>
      <c r="C45" s="118">
        <v>49538</v>
      </c>
      <c r="D45" s="119">
        <v>45076</v>
      </c>
      <c r="E45" s="120">
        <v>4462</v>
      </c>
      <c r="F45" s="118">
        <v>42540</v>
      </c>
      <c r="G45" s="119">
        <v>38488</v>
      </c>
      <c r="H45" s="120">
        <v>4052</v>
      </c>
      <c r="I45" s="201">
        <v>52689</v>
      </c>
      <c r="J45" s="12">
        <v>0.94019624589572781</v>
      </c>
      <c r="K45" s="11">
        <v>0.85551063789405757</v>
      </c>
      <c r="L45" s="10">
        <v>8.4685608001670173E-2</v>
      </c>
      <c r="M45" s="12">
        <v>0.80737914934806132</v>
      </c>
      <c r="N45" s="11">
        <v>0.73047505171857507</v>
      </c>
      <c r="O45" s="10">
        <v>7.6904097629486232E-2</v>
      </c>
      <c r="P45" s="148"/>
      <c r="Q45" s="147"/>
      <c r="R45" s="146"/>
      <c r="S45" s="148"/>
      <c r="T45" s="147"/>
      <c r="U45" s="146"/>
    </row>
  </sheetData>
  <sheetProtection algorithmName="SHA-512" hashValue="oWIt+Lvca49NvrnhuCKn6F/MmV74jqFnWWaP1YA8qyaWdurL/TflIYvBDK+zLPNy/1S2k/Ea0TVj4htE/NtH5Q==" saltValue="9SxEVebS0kOt1ldOQfgynQ==" spinCount="100000" sheet="1" objects="1" scenarios="1"/>
  <mergeCells count="11">
    <mergeCell ref="S6:U6"/>
    <mergeCell ref="A1:U1"/>
    <mergeCell ref="A2:U2"/>
    <mergeCell ref="A3:U3"/>
    <mergeCell ref="A4:U4"/>
    <mergeCell ref="A6:B7"/>
    <mergeCell ref="C6:E6"/>
    <mergeCell ref="F6:H6"/>
    <mergeCell ref="J6:L6"/>
    <mergeCell ref="M6:O6"/>
    <mergeCell ref="P6:R6"/>
  </mergeCells>
  <printOptions horizontalCentered="1"/>
  <pageMargins left="0" right="0" top="0" bottom="0" header="0" footer="0"/>
  <pageSetup paperSize="9" scale="75" orientation="landscape" horizontalDpi="300" verticalDpi="300" r:id="rId1"/>
  <headerFooter alignWithMargins="0">
    <oddFooter>&amp;L&amp;F&amp;R&amp;P</oddFooter>
  </headerFooter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E87D8-7EA9-40A7-86A6-5486104CDB73}">
  <sheetPr>
    <tabColor rgb="FF92D050"/>
  </sheetPr>
  <dimension ref="A1:U45"/>
  <sheetViews>
    <sheetView showGridLines="0" zoomScaleNormal="100" workbookViewId="0">
      <pane xSplit="2" ySplit="7" topLeftCell="C8" activePane="bottomRight" state="frozen"/>
      <selection activeCell="N39" sqref="N39"/>
      <selection pane="topRight" activeCell="N39" sqref="N39"/>
      <selection pane="bottomLeft" activeCell="N39" sqref="N39"/>
      <selection pane="bottomRight" activeCell="C8" sqref="C8"/>
    </sheetView>
  </sheetViews>
  <sheetFormatPr defaultColWidth="9.140625" defaultRowHeight="11.25" x14ac:dyDescent="0.2"/>
  <cols>
    <col min="1" max="1" width="34" style="145" customWidth="1"/>
    <col min="2" max="2" width="10.7109375" style="143" customWidth="1"/>
    <col min="3" max="8" width="9.7109375" style="110" customWidth="1"/>
    <col min="9" max="9" width="9.28515625" style="110" bestFit="1" customWidth="1"/>
    <col min="10" max="15" width="7.7109375" style="4" customWidth="1"/>
    <col min="16" max="19" width="7.28515625" style="144" customWidth="1"/>
    <col min="20" max="21" width="7.28515625" style="2" customWidth="1"/>
    <col min="22" max="16384" width="9.140625" style="143"/>
  </cols>
  <sheetData>
    <row r="1" spans="1:21" x14ac:dyDescent="0.2">
      <c r="A1" s="584" t="s">
        <v>23</v>
      </c>
      <c r="B1" s="584"/>
      <c r="C1" s="584"/>
      <c r="D1" s="584"/>
      <c r="E1" s="584"/>
      <c r="F1" s="584"/>
      <c r="G1" s="584"/>
      <c r="H1" s="584"/>
      <c r="I1" s="584"/>
      <c r="J1" s="584"/>
      <c r="K1" s="584"/>
      <c r="L1" s="584"/>
      <c r="M1" s="584"/>
      <c r="N1" s="584"/>
      <c r="O1" s="584"/>
      <c r="P1" s="584"/>
      <c r="Q1" s="584"/>
      <c r="R1" s="584"/>
      <c r="S1" s="584"/>
      <c r="T1" s="584"/>
      <c r="U1" s="584"/>
    </row>
    <row r="2" spans="1:21" x14ac:dyDescent="0.2">
      <c r="A2" s="585" t="s">
        <v>59</v>
      </c>
      <c r="B2" s="585"/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5"/>
      <c r="N2" s="585"/>
      <c r="O2" s="585"/>
      <c r="P2" s="585"/>
      <c r="Q2" s="585"/>
      <c r="R2" s="585"/>
      <c r="S2" s="585"/>
      <c r="T2" s="585"/>
      <c r="U2" s="585"/>
    </row>
    <row r="3" spans="1:21" x14ac:dyDescent="0.2">
      <c r="A3" s="586" t="s">
        <v>47</v>
      </c>
      <c r="B3" s="586"/>
      <c r="C3" s="586"/>
      <c r="D3" s="586"/>
      <c r="E3" s="586"/>
      <c r="F3" s="586"/>
      <c r="G3" s="586"/>
      <c r="H3" s="586"/>
      <c r="I3" s="586"/>
      <c r="J3" s="586"/>
      <c r="K3" s="586"/>
      <c r="L3" s="586"/>
      <c r="M3" s="586"/>
      <c r="N3" s="586"/>
      <c r="O3" s="586"/>
      <c r="P3" s="586"/>
      <c r="Q3" s="586"/>
      <c r="R3" s="586"/>
      <c r="S3" s="586"/>
      <c r="T3" s="586"/>
      <c r="U3" s="586"/>
    </row>
    <row r="4" spans="1:21" x14ac:dyDescent="0.2">
      <c r="A4" s="587" t="s">
        <v>48</v>
      </c>
      <c r="B4" s="587"/>
      <c r="C4" s="587"/>
      <c r="D4" s="587"/>
      <c r="E4" s="587"/>
      <c r="F4" s="587"/>
      <c r="G4" s="587"/>
      <c r="H4" s="587"/>
      <c r="I4" s="587"/>
      <c r="J4" s="587"/>
      <c r="K4" s="587"/>
      <c r="L4" s="587"/>
      <c r="M4" s="587"/>
      <c r="N4" s="587"/>
      <c r="O4" s="587"/>
      <c r="P4" s="587"/>
      <c r="Q4" s="587"/>
      <c r="R4" s="587"/>
      <c r="S4" s="587"/>
      <c r="T4" s="587"/>
      <c r="U4" s="587"/>
    </row>
    <row r="5" spans="1:21" ht="12" thickBot="1" x14ac:dyDescent="0.25">
      <c r="A5" s="214"/>
      <c r="B5" s="212"/>
      <c r="C5" s="106"/>
      <c r="D5" s="217"/>
      <c r="E5" s="217"/>
      <c r="F5" s="106"/>
      <c r="G5" s="217"/>
      <c r="H5" s="217"/>
      <c r="I5" s="104"/>
      <c r="J5" s="103"/>
      <c r="K5" s="103"/>
      <c r="L5" s="103"/>
      <c r="M5" s="103"/>
      <c r="N5" s="103"/>
      <c r="O5" s="103"/>
      <c r="P5" s="102"/>
      <c r="Q5" s="102"/>
      <c r="R5" s="102"/>
      <c r="S5" s="216"/>
      <c r="T5" s="100"/>
      <c r="U5" s="100"/>
    </row>
    <row r="6" spans="1:21" ht="11.25" customHeight="1" x14ac:dyDescent="0.2">
      <c r="A6" s="588" t="s">
        <v>22</v>
      </c>
      <c r="B6" s="589"/>
      <c r="C6" s="592" t="s">
        <v>58</v>
      </c>
      <c r="D6" s="593"/>
      <c r="E6" s="594"/>
      <c r="F6" s="592" t="s">
        <v>57</v>
      </c>
      <c r="G6" s="593"/>
      <c r="H6" s="595"/>
      <c r="I6" s="211" t="s">
        <v>21</v>
      </c>
      <c r="J6" s="596" t="s">
        <v>52</v>
      </c>
      <c r="K6" s="596"/>
      <c r="L6" s="597"/>
      <c r="M6" s="596" t="s">
        <v>51</v>
      </c>
      <c r="N6" s="596"/>
      <c r="O6" s="597"/>
      <c r="P6" s="581" t="s">
        <v>50</v>
      </c>
      <c r="Q6" s="566"/>
      <c r="R6" s="567"/>
      <c r="S6" s="565" t="s">
        <v>49</v>
      </c>
      <c r="T6" s="566"/>
      <c r="U6" s="567"/>
    </row>
    <row r="7" spans="1:21" s="204" customFormat="1" ht="12" customHeight="1" thickBot="1" x14ac:dyDescent="0.25">
      <c r="A7" s="590"/>
      <c r="B7" s="591"/>
      <c r="C7" s="210" t="s">
        <v>6</v>
      </c>
      <c r="D7" s="207" t="s">
        <v>17</v>
      </c>
      <c r="E7" s="209" t="s">
        <v>16</v>
      </c>
      <c r="F7" s="208" t="s">
        <v>6</v>
      </c>
      <c r="G7" s="207" t="s">
        <v>17</v>
      </c>
      <c r="H7" s="206" t="s">
        <v>16</v>
      </c>
      <c r="I7" s="215" t="s">
        <v>56</v>
      </c>
      <c r="J7" s="95" t="s">
        <v>18</v>
      </c>
      <c r="K7" s="90" t="s">
        <v>17</v>
      </c>
      <c r="L7" s="89" t="s">
        <v>16</v>
      </c>
      <c r="M7" s="91" t="s">
        <v>18</v>
      </c>
      <c r="N7" s="90" t="s">
        <v>17</v>
      </c>
      <c r="O7" s="94" t="s">
        <v>16</v>
      </c>
      <c r="P7" s="93" t="s">
        <v>18</v>
      </c>
      <c r="Q7" s="90" t="s">
        <v>17</v>
      </c>
      <c r="R7" s="92" t="s">
        <v>16</v>
      </c>
      <c r="S7" s="91" t="s">
        <v>18</v>
      </c>
      <c r="T7" s="90" t="s">
        <v>17</v>
      </c>
      <c r="U7" s="89" t="s">
        <v>16</v>
      </c>
    </row>
    <row r="8" spans="1:21" x14ac:dyDescent="0.2">
      <c r="A8" s="200" t="s">
        <v>14</v>
      </c>
      <c r="B8" s="196"/>
      <c r="C8" s="79"/>
      <c r="D8" s="130"/>
      <c r="E8" s="140"/>
      <c r="F8" s="79"/>
      <c r="G8" s="130"/>
      <c r="H8" s="140"/>
      <c r="I8" s="79"/>
      <c r="J8" s="78"/>
      <c r="K8" s="77"/>
      <c r="L8" s="76"/>
      <c r="M8" s="78"/>
      <c r="N8" s="77"/>
      <c r="O8" s="76"/>
      <c r="P8" s="75"/>
      <c r="Q8" s="74"/>
      <c r="R8" s="73"/>
      <c r="S8" s="199"/>
      <c r="T8" s="198"/>
      <c r="U8" s="197"/>
    </row>
    <row r="9" spans="1:21" ht="12" thickBot="1" x14ac:dyDescent="0.25">
      <c r="A9" s="196"/>
      <c r="B9" s="196"/>
      <c r="C9" s="68"/>
      <c r="D9" s="195"/>
      <c r="E9" s="194"/>
      <c r="F9" s="68"/>
      <c r="G9" s="195"/>
      <c r="H9" s="194"/>
      <c r="I9" s="68"/>
      <c r="J9" s="67"/>
      <c r="K9" s="66"/>
      <c r="L9" s="65"/>
      <c r="M9" s="67"/>
      <c r="N9" s="66"/>
      <c r="O9" s="65"/>
      <c r="P9" s="64"/>
      <c r="Q9" s="63"/>
      <c r="R9" s="62"/>
      <c r="S9" s="193"/>
      <c r="T9" s="192"/>
      <c r="U9" s="191"/>
    </row>
    <row r="10" spans="1:21" x14ac:dyDescent="0.2">
      <c r="A10" s="190" t="s">
        <v>13</v>
      </c>
      <c r="B10" s="189" t="s">
        <v>2</v>
      </c>
      <c r="C10" s="188">
        <v>36689</v>
      </c>
      <c r="D10" s="187">
        <v>32423</v>
      </c>
      <c r="E10" s="186">
        <v>4266</v>
      </c>
      <c r="F10" s="188">
        <v>25391</v>
      </c>
      <c r="G10" s="187">
        <v>21960</v>
      </c>
      <c r="H10" s="186">
        <v>3431</v>
      </c>
      <c r="I10" s="185">
        <v>35285</v>
      </c>
      <c r="J10" s="54">
        <v>1.0397902791554485</v>
      </c>
      <c r="K10" s="53">
        <v>0.91888904633697044</v>
      </c>
      <c r="L10" s="52">
        <v>0.1209012328184781</v>
      </c>
      <c r="M10" s="54">
        <v>0.71959756270369846</v>
      </c>
      <c r="N10" s="53">
        <v>0.62236077653393795</v>
      </c>
      <c r="O10" s="52">
        <v>9.7236786169760517E-2</v>
      </c>
      <c r="P10" s="184">
        <v>1.0048677409284448</v>
      </c>
      <c r="Q10" s="183">
        <v>1.0007440888136876</v>
      </c>
      <c r="R10" s="182">
        <v>1.0367516294865466</v>
      </c>
      <c r="S10" s="184">
        <v>1.0863289747603395</v>
      </c>
      <c r="T10" s="183">
        <v>1.0841117409451033</v>
      </c>
      <c r="U10" s="182">
        <v>1.1006286964980612</v>
      </c>
    </row>
    <row r="11" spans="1:21" x14ac:dyDescent="0.2">
      <c r="A11" s="142"/>
      <c r="B11" s="172" t="s">
        <v>1</v>
      </c>
      <c r="C11" s="171">
        <v>18992</v>
      </c>
      <c r="D11" s="170">
        <v>16817</v>
      </c>
      <c r="E11" s="169">
        <v>2175</v>
      </c>
      <c r="F11" s="171">
        <v>12649</v>
      </c>
      <c r="G11" s="170">
        <v>10951</v>
      </c>
      <c r="H11" s="169">
        <v>1698</v>
      </c>
      <c r="I11" s="168">
        <v>18308</v>
      </c>
      <c r="J11" s="40">
        <v>1.0373607166266112</v>
      </c>
      <c r="K11" s="39">
        <v>0.9185601922656762</v>
      </c>
      <c r="L11" s="38">
        <v>0.11880052436093511</v>
      </c>
      <c r="M11" s="40">
        <v>0.69090015293860607</v>
      </c>
      <c r="N11" s="39">
        <v>0.59815381254096567</v>
      </c>
      <c r="O11" s="38">
        <v>9.2746340397640376E-2</v>
      </c>
      <c r="P11" s="167"/>
      <c r="Q11" s="166"/>
      <c r="R11" s="165"/>
      <c r="S11" s="167"/>
      <c r="T11" s="166"/>
      <c r="U11" s="165"/>
    </row>
    <row r="12" spans="1:21" x14ac:dyDescent="0.2">
      <c r="A12" s="164"/>
      <c r="B12" s="163" t="s">
        <v>0</v>
      </c>
      <c r="C12" s="162">
        <v>17697</v>
      </c>
      <c r="D12" s="161">
        <v>15606</v>
      </c>
      <c r="E12" s="160">
        <v>2091</v>
      </c>
      <c r="F12" s="162">
        <v>12742</v>
      </c>
      <c r="G12" s="161">
        <v>11009</v>
      </c>
      <c r="H12" s="160">
        <v>1733</v>
      </c>
      <c r="I12" s="159">
        <v>16977</v>
      </c>
      <c r="J12" s="30">
        <v>1.0424103198444954</v>
      </c>
      <c r="K12" s="29">
        <v>0.91924368262943978</v>
      </c>
      <c r="L12" s="28">
        <v>0.12316663721505566</v>
      </c>
      <c r="M12" s="30">
        <v>0.7505448548035577</v>
      </c>
      <c r="N12" s="29">
        <v>0.6484655710667373</v>
      </c>
      <c r="O12" s="28">
        <v>0.1020792837368204</v>
      </c>
      <c r="P12" s="158"/>
      <c r="Q12" s="157"/>
      <c r="R12" s="156"/>
      <c r="S12" s="158"/>
      <c r="T12" s="157"/>
      <c r="U12" s="156"/>
    </row>
    <row r="13" spans="1:21" x14ac:dyDescent="0.2">
      <c r="A13" s="181" t="s">
        <v>46</v>
      </c>
      <c r="B13" s="180" t="s">
        <v>2</v>
      </c>
      <c r="C13" s="179">
        <v>15438</v>
      </c>
      <c r="D13" s="178">
        <v>14868</v>
      </c>
      <c r="E13" s="177">
        <v>570</v>
      </c>
      <c r="F13" s="179">
        <v>12486</v>
      </c>
      <c r="G13" s="178">
        <v>11998</v>
      </c>
      <c r="H13" s="177">
        <v>488</v>
      </c>
      <c r="I13" s="176">
        <v>17019</v>
      </c>
      <c r="J13" s="46">
        <v>0.90710382513661203</v>
      </c>
      <c r="K13" s="85">
        <v>0.8736118455843469</v>
      </c>
      <c r="L13" s="87">
        <v>3.3491979552265114E-2</v>
      </c>
      <c r="M13" s="46">
        <v>0.73365062577119688</v>
      </c>
      <c r="N13" s="85">
        <v>0.70497679064574892</v>
      </c>
      <c r="O13" s="87">
        <v>2.8673835125448029E-2</v>
      </c>
      <c r="P13" s="175">
        <v>1.0334837618082897</v>
      </c>
      <c r="Q13" s="174">
        <v>1.0339763963961701</v>
      </c>
      <c r="R13" s="173">
        <v>1.0207135415623183</v>
      </c>
      <c r="S13" s="175">
        <v>1.0789064923529452</v>
      </c>
      <c r="T13" s="174">
        <v>1.0808300170634912</v>
      </c>
      <c r="U13" s="173">
        <v>1.0326579359196111</v>
      </c>
    </row>
    <row r="14" spans="1:21" x14ac:dyDescent="0.2">
      <c r="A14" s="142"/>
      <c r="B14" s="172" t="s">
        <v>1</v>
      </c>
      <c r="C14" s="171">
        <v>7969</v>
      </c>
      <c r="D14" s="170">
        <v>7673</v>
      </c>
      <c r="E14" s="169">
        <v>296</v>
      </c>
      <c r="F14" s="171">
        <v>6311</v>
      </c>
      <c r="G14" s="170">
        <v>6059</v>
      </c>
      <c r="H14" s="169">
        <v>252</v>
      </c>
      <c r="I14" s="168">
        <v>8925</v>
      </c>
      <c r="J14" s="40">
        <v>0.89288515406162461</v>
      </c>
      <c r="K14" s="39">
        <v>0.85971988795518206</v>
      </c>
      <c r="L14" s="38">
        <v>3.3165266106442576E-2</v>
      </c>
      <c r="M14" s="40">
        <v>0.70711484593837537</v>
      </c>
      <c r="N14" s="39">
        <v>0.67887955182072834</v>
      </c>
      <c r="O14" s="38">
        <v>2.823529411764706E-2</v>
      </c>
      <c r="P14" s="167"/>
      <c r="Q14" s="166"/>
      <c r="R14" s="165"/>
      <c r="S14" s="167"/>
      <c r="T14" s="166"/>
      <c r="U14" s="165"/>
    </row>
    <row r="15" spans="1:21" x14ac:dyDescent="0.2">
      <c r="A15" s="164"/>
      <c r="B15" s="163" t="s">
        <v>0</v>
      </c>
      <c r="C15" s="162">
        <v>7469</v>
      </c>
      <c r="D15" s="161">
        <v>7195</v>
      </c>
      <c r="E15" s="160">
        <v>274</v>
      </c>
      <c r="F15" s="162">
        <v>6175</v>
      </c>
      <c r="G15" s="161">
        <v>5939</v>
      </c>
      <c r="H15" s="160">
        <v>236</v>
      </c>
      <c r="I15" s="159">
        <v>8094</v>
      </c>
      <c r="J15" s="30">
        <v>0.92278230788238202</v>
      </c>
      <c r="K15" s="29">
        <v>0.88893007165801829</v>
      </c>
      <c r="L15" s="28">
        <v>3.3852236224363723E-2</v>
      </c>
      <c r="M15" s="30">
        <v>0.76291079812206575</v>
      </c>
      <c r="N15" s="29">
        <v>0.73375339757845315</v>
      </c>
      <c r="O15" s="28">
        <v>2.9157400543612551E-2</v>
      </c>
      <c r="P15" s="158"/>
      <c r="Q15" s="157"/>
      <c r="R15" s="156"/>
      <c r="S15" s="158"/>
      <c r="T15" s="157"/>
      <c r="U15" s="156"/>
    </row>
    <row r="16" spans="1:21" x14ac:dyDescent="0.2">
      <c r="A16" s="181" t="s">
        <v>12</v>
      </c>
      <c r="B16" s="180" t="s">
        <v>2</v>
      </c>
      <c r="C16" s="179">
        <v>10199</v>
      </c>
      <c r="D16" s="178">
        <v>9841</v>
      </c>
      <c r="E16" s="177">
        <v>358</v>
      </c>
      <c r="F16" s="179">
        <v>8118</v>
      </c>
      <c r="G16" s="178">
        <v>7800</v>
      </c>
      <c r="H16" s="177">
        <v>318</v>
      </c>
      <c r="I16" s="176">
        <v>10975</v>
      </c>
      <c r="J16" s="46">
        <v>0.9292938496583143</v>
      </c>
      <c r="K16" s="85">
        <v>0.89667425968109338</v>
      </c>
      <c r="L16" s="87">
        <v>3.2619589977220954E-2</v>
      </c>
      <c r="M16" s="46">
        <v>0.73968109339407739</v>
      </c>
      <c r="N16" s="85">
        <v>0.71070615034168561</v>
      </c>
      <c r="O16" s="87">
        <v>2.8974943052391799E-2</v>
      </c>
      <c r="P16" s="175">
        <v>0.96762797146267576</v>
      </c>
      <c r="Q16" s="174">
        <v>0.96927416100909869</v>
      </c>
      <c r="R16" s="173">
        <v>0.92339520130645059</v>
      </c>
      <c r="S16" s="175">
        <v>1.0111645674980647</v>
      </c>
      <c r="T16" s="174">
        <v>1.013061383536495</v>
      </c>
      <c r="U16" s="173">
        <v>0.96569777347509611</v>
      </c>
    </row>
    <row r="17" spans="1:21" x14ac:dyDescent="0.2">
      <c r="A17" s="142"/>
      <c r="B17" s="172" t="s">
        <v>1</v>
      </c>
      <c r="C17" s="171">
        <v>5351</v>
      </c>
      <c r="D17" s="170">
        <v>5159</v>
      </c>
      <c r="E17" s="169">
        <v>192</v>
      </c>
      <c r="F17" s="171">
        <v>4170</v>
      </c>
      <c r="G17" s="170">
        <v>4003</v>
      </c>
      <c r="H17" s="169">
        <v>167</v>
      </c>
      <c r="I17" s="168">
        <v>5668</v>
      </c>
      <c r="J17" s="40">
        <v>0.94407198306280871</v>
      </c>
      <c r="K17" s="39">
        <v>0.910197600564573</v>
      </c>
      <c r="L17" s="38">
        <v>3.3874382498235711E-2</v>
      </c>
      <c r="M17" s="40">
        <v>0.73570924488355682</v>
      </c>
      <c r="N17" s="39">
        <v>0.70624558927311221</v>
      </c>
      <c r="O17" s="38">
        <v>2.9463655610444603E-2</v>
      </c>
      <c r="P17" s="167"/>
      <c r="Q17" s="166"/>
      <c r="R17" s="165"/>
      <c r="S17" s="167"/>
      <c r="T17" s="166"/>
      <c r="U17" s="165"/>
    </row>
    <row r="18" spans="1:21" x14ac:dyDescent="0.2">
      <c r="A18" s="164"/>
      <c r="B18" s="163" t="s">
        <v>0</v>
      </c>
      <c r="C18" s="162">
        <v>4848</v>
      </c>
      <c r="D18" s="161">
        <v>4682</v>
      </c>
      <c r="E18" s="160">
        <v>166</v>
      </c>
      <c r="F18" s="162">
        <v>3948</v>
      </c>
      <c r="G18" s="161">
        <v>3797</v>
      </c>
      <c r="H18" s="160">
        <v>151</v>
      </c>
      <c r="I18" s="159">
        <v>5307</v>
      </c>
      <c r="J18" s="30">
        <v>0.9135104578858112</v>
      </c>
      <c r="K18" s="29">
        <v>0.88223101563972117</v>
      </c>
      <c r="L18" s="28">
        <v>3.127944224609007E-2</v>
      </c>
      <c r="M18" s="30">
        <v>0.74392312040700959</v>
      </c>
      <c r="N18" s="29">
        <v>0.71547013378556623</v>
      </c>
      <c r="O18" s="28">
        <v>2.8452986621443375E-2</v>
      </c>
      <c r="P18" s="158"/>
      <c r="Q18" s="157"/>
      <c r="R18" s="156"/>
      <c r="S18" s="158"/>
      <c r="T18" s="157"/>
      <c r="U18" s="156"/>
    </row>
    <row r="19" spans="1:21" x14ac:dyDescent="0.2">
      <c r="A19" s="181" t="s">
        <v>11</v>
      </c>
      <c r="B19" s="180" t="s">
        <v>2</v>
      </c>
      <c r="C19" s="179">
        <v>9744</v>
      </c>
      <c r="D19" s="178">
        <v>9471</v>
      </c>
      <c r="E19" s="177">
        <v>273</v>
      </c>
      <c r="F19" s="179">
        <v>7271</v>
      </c>
      <c r="G19" s="178">
        <v>7092</v>
      </c>
      <c r="H19" s="177">
        <v>179</v>
      </c>
      <c r="I19" s="176">
        <v>10087</v>
      </c>
      <c r="J19" s="46">
        <v>0.96599583622484386</v>
      </c>
      <c r="K19" s="85">
        <v>0.93893129770992367</v>
      </c>
      <c r="L19" s="87">
        <v>2.7064538514920196E-2</v>
      </c>
      <c r="M19" s="46">
        <v>0.72082878953107965</v>
      </c>
      <c r="N19" s="85">
        <v>0.70308317636561912</v>
      </c>
      <c r="O19" s="87">
        <v>1.7745613165460493E-2</v>
      </c>
      <c r="P19" s="175">
        <v>1.037238901582467</v>
      </c>
      <c r="Q19" s="174">
        <v>1.0377465253320635</v>
      </c>
      <c r="R19" s="173">
        <v>1.0197759296333209</v>
      </c>
      <c r="S19" s="175">
        <v>1.0924083056788814</v>
      </c>
      <c r="T19" s="174">
        <v>1.0967117652714946</v>
      </c>
      <c r="U19" s="173">
        <v>0.93446690207369054</v>
      </c>
    </row>
    <row r="20" spans="1:21" x14ac:dyDescent="0.2">
      <c r="A20" s="142"/>
      <c r="B20" s="172" t="s">
        <v>1</v>
      </c>
      <c r="C20" s="171">
        <v>5027</v>
      </c>
      <c r="D20" s="170">
        <v>4885</v>
      </c>
      <c r="E20" s="169">
        <v>142</v>
      </c>
      <c r="F20" s="171">
        <v>3657</v>
      </c>
      <c r="G20" s="170">
        <v>3560</v>
      </c>
      <c r="H20" s="169">
        <v>97</v>
      </c>
      <c r="I20" s="168">
        <v>5296</v>
      </c>
      <c r="J20" s="40">
        <v>0.94920694864048338</v>
      </c>
      <c r="K20" s="39">
        <v>0.92239425981873113</v>
      </c>
      <c r="L20" s="38">
        <v>2.6812688821752265E-2</v>
      </c>
      <c r="M20" s="40">
        <v>0.69052114803625375</v>
      </c>
      <c r="N20" s="39">
        <v>0.67220543806646527</v>
      </c>
      <c r="O20" s="38">
        <v>1.831570996978852E-2</v>
      </c>
      <c r="P20" s="167"/>
      <c r="Q20" s="166"/>
      <c r="R20" s="165"/>
      <c r="S20" s="167"/>
      <c r="T20" s="166"/>
      <c r="U20" s="165"/>
    </row>
    <row r="21" spans="1:21" x14ac:dyDescent="0.2">
      <c r="A21" s="164"/>
      <c r="B21" s="163" t="s">
        <v>0</v>
      </c>
      <c r="C21" s="162">
        <v>4717</v>
      </c>
      <c r="D21" s="161">
        <v>4586</v>
      </c>
      <c r="E21" s="160">
        <v>131</v>
      </c>
      <c r="F21" s="162">
        <v>3614</v>
      </c>
      <c r="G21" s="161">
        <v>3532</v>
      </c>
      <c r="H21" s="160">
        <v>82</v>
      </c>
      <c r="I21" s="159">
        <v>4791</v>
      </c>
      <c r="J21" s="30">
        <v>0.98455437278230018</v>
      </c>
      <c r="K21" s="29">
        <v>0.95721143811312881</v>
      </c>
      <c r="L21" s="28">
        <v>2.7342934669171363E-2</v>
      </c>
      <c r="M21" s="30">
        <v>0.75433103736171991</v>
      </c>
      <c r="N21" s="29">
        <v>0.73721561260697144</v>
      </c>
      <c r="O21" s="28">
        <v>1.7115424754748487E-2</v>
      </c>
      <c r="P21" s="158"/>
      <c r="Q21" s="157"/>
      <c r="R21" s="156"/>
      <c r="S21" s="158"/>
      <c r="T21" s="157"/>
      <c r="U21" s="156"/>
    </row>
    <row r="22" spans="1:21" x14ac:dyDescent="0.2">
      <c r="A22" s="181" t="s">
        <v>27</v>
      </c>
      <c r="B22" s="180" t="s">
        <v>2</v>
      </c>
      <c r="C22" s="179">
        <v>7246</v>
      </c>
      <c r="D22" s="178">
        <v>7173</v>
      </c>
      <c r="E22" s="177">
        <v>73</v>
      </c>
      <c r="F22" s="179">
        <v>4313</v>
      </c>
      <c r="G22" s="178">
        <v>4263</v>
      </c>
      <c r="H22" s="177">
        <v>50</v>
      </c>
      <c r="I22" s="176">
        <v>7674</v>
      </c>
      <c r="J22" s="46">
        <v>0.94422726088089648</v>
      </c>
      <c r="K22" s="85">
        <v>0.93471462079749801</v>
      </c>
      <c r="L22" s="87">
        <v>9.5126400833984888E-3</v>
      </c>
      <c r="M22" s="46">
        <v>0.56202762574928333</v>
      </c>
      <c r="N22" s="85">
        <v>0.55551211884284601</v>
      </c>
      <c r="O22" s="87">
        <v>6.5155069064373209E-3</v>
      </c>
      <c r="P22" s="175">
        <v>0.99210560781851931</v>
      </c>
      <c r="Q22" s="174">
        <v>0.99466268690221138</v>
      </c>
      <c r="R22" s="173">
        <v>0.76872648500741081</v>
      </c>
      <c r="S22" s="175">
        <v>1.0813687980604585</v>
      </c>
      <c r="T22" s="174">
        <v>1.0869349802085733</v>
      </c>
      <c r="U22" s="173">
        <v>0.69433359936153238</v>
      </c>
    </row>
    <row r="23" spans="1:21" x14ac:dyDescent="0.2">
      <c r="A23" s="142"/>
      <c r="B23" s="172" t="s">
        <v>1</v>
      </c>
      <c r="C23" s="171">
        <v>3711</v>
      </c>
      <c r="D23" s="170">
        <v>3669</v>
      </c>
      <c r="E23" s="169">
        <v>42</v>
      </c>
      <c r="F23" s="171">
        <v>2116</v>
      </c>
      <c r="G23" s="170">
        <v>2086</v>
      </c>
      <c r="H23" s="169">
        <v>30</v>
      </c>
      <c r="I23" s="168">
        <v>3915</v>
      </c>
      <c r="J23" s="40">
        <v>0.94789272030651339</v>
      </c>
      <c r="K23" s="39">
        <v>0.93716475095785445</v>
      </c>
      <c r="L23" s="38">
        <v>1.0727969348659003E-2</v>
      </c>
      <c r="M23" s="40">
        <v>0.54048531289910595</v>
      </c>
      <c r="N23" s="39">
        <v>0.53282247765006385</v>
      </c>
      <c r="O23" s="38">
        <v>7.6628352490421452E-3</v>
      </c>
      <c r="P23" s="167"/>
      <c r="Q23" s="166"/>
      <c r="R23" s="165"/>
      <c r="S23" s="167"/>
      <c r="T23" s="166"/>
      <c r="U23" s="165"/>
    </row>
    <row r="24" spans="1:21" x14ac:dyDescent="0.2">
      <c r="A24" s="164"/>
      <c r="B24" s="163" t="s">
        <v>0</v>
      </c>
      <c r="C24" s="162">
        <v>3535</v>
      </c>
      <c r="D24" s="161">
        <v>3504</v>
      </c>
      <c r="E24" s="160">
        <v>31</v>
      </c>
      <c r="F24" s="162">
        <v>2197</v>
      </c>
      <c r="G24" s="161">
        <v>2177</v>
      </c>
      <c r="H24" s="160">
        <v>20</v>
      </c>
      <c r="I24" s="159">
        <v>3759</v>
      </c>
      <c r="J24" s="30">
        <v>0.94040968342644315</v>
      </c>
      <c r="K24" s="29">
        <v>0.93216280925778128</v>
      </c>
      <c r="L24" s="28">
        <v>8.2468741686618774E-3</v>
      </c>
      <c r="M24" s="30">
        <v>0.58446395317903699</v>
      </c>
      <c r="N24" s="29">
        <v>0.57914338919925512</v>
      </c>
      <c r="O24" s="28">
        <v>5.3205639797818567E-3</v>
      </c>
      <c r="P24" s="158"/>
      <c r="Q24" s="157"/>
      <c r="R24" s="156"/>
      <c r="S24" s="158"/>
      <c r="T24" s="157"/>
      <c r="U24" s="156"/>
    </row>
    <row r="25" spans="1:21" x14ac:dyDescent="0.2">
      <c r="A25" s="181" t="s">
        <v>10</v>
      </c>
      <c r="B25" s="180" t="s">
        <v>2</v>
      </c>
      <c r="C25" s="179">
        <v>9476</v>
      </c>
      <c r="D25" s="178">
        <v>9295</v>
      </c>
      <c r="E25" s="177">
        <v>181</v>
      </c>
      <c r="F25" s="179">
        <v>7171</v>
      </c>
      <c r="G25" s="178">
        <v>7021</v>
      </c>
      <c r="H25" s="177">
        <v>150</v>
      </c>
      <c r="I25" s="176">
        <v>9556</v>
      </c>
      <c r="J25" s="46">
        <v>0.99162829635830896</v>
      </c>
      <c r="K25" s="85">
        <v>0.9726873168689828</v>
      </c>
      <c r="L25" s="87">
        <v>1.8940979489326076E-2</v>
      </c>
      <c r="M25" s="46">
        <v>0.7504185851820846</v>
      </c>
      <c r="N25" s="85">
        <v>0.73472164085391378</v>
      </c>
      <c r="O25" s="87">
        <v>1.5696944328170783E-2</v>
      </c>
      <c r="P25" s="175">
        <v>0.97484991733463744</v>
      </c>
      <c r="Q25" s="174">
        <v>0.97548394177607656</v>
      </c>
      <c r="R25" s="173">
        <v>0.942811869778162</v>
      </c>
      <c r="S25" s="175">
        <v>1.0410360972158725</v>
      </c>
      <c r="T25" s="174">
        <v>1.0446921379531013</v>
      </c>
      <c r="U25" s="173">
        <v>0.88302379998735181</v>
      </c>
    </row>
    <row r="26" spans="1:21" x14ac:dyDescent="0.2">
      <c r="A26" s="142"/>
      <c r="B26" s="172" t="s">
        <v>1</v>
      </c>
      <c r="C26" s="171">
        <v>4947</v>
      </c>
      <c r="D26" s="170">
        <v>4851</v>
      </c>
      <c r="E26" s="169">
        <v>96</v>
      </c>
      <c r="F26" s="171">
        <v>3626</v>
      </c>
      <c r="G26" s="170">
        <v>3544</v>
      </c>
      <c r="H26" s="169">
        <v>82</v>
      </c>
      <c r="I26" s="168">
        <v>4928</v>
      </c>
      <c r="J26" s="40">
        <v>1.0038555194805194</v>
      </c>
      <c r="K26" s="39">
        <v>0.984375</v>
      </c>
      <c r="L26" s="38">
        <v>1.948051948051948E-2</v>
      </c>
      <c r="M26" s="40">
        <v>0.73579545454545459</v>
      </c>
      <c r="N26" s="39">
        <v>0.7191558441558441</v>
      </c>
      <c r="O26" s="38">
        <v>1.6639610389610388E-2</v>
      </c>
      <c r="P26" s="167"/>
      <c r="Q26" s="166"/>
      <c r="R26" s="165"/>
      <c r="S26" s="167"/>
      <c r="T26" s="166"/>
      <c r="U26" s="165"/>
    </row>
    <row r="27" spans="1:21" x14ac:dyDescent="0.2">
      <c r="A27" s="164"/>
      <c r="B27" s="163" t="s">
        <v>0</v>
      </c>
      <c r="C27" s="162">
        <v>4529</v>
      </c>
      <c r="D27" s="161">
        <v>4444</v>
      </c>
      <c r="E27" s="160">
        <v>85</v>
      </c>
      <c r="F27" s="162">
        <v>3545</v>
      </c>
      <c r="G27" s="161">
        <v>3477</v>
      </c>
      <c r="H27" s="160">
        <v>68</v>
      </c>
      <c r="I27" s="159">
        <v>4628</v>
      </c>
      <c r="J27" s="30">
        <v>0.97860847018150388</v>
      </c>
      <c r="K27" s="29">
        <v>0.96024200518582536</v>
      </c>
      <c r="L27" s="28">
        <v>1.836646499567848E-2</v>
      </c>
      <c r="M27" s="30">
        <v>0.76598962834917894</v>
      </c>
      <c r="N27" s="29">
        <v>0.75129645635263609</v>
      </c>
      <c r="O27" s="28">
        <v>1.4693171996542784E-2</v>
      </c>
      <c r="P27" s="158"/>
      <c r="Q27" s="157"/>
      <c r="R27" s="156"/>
      <c r="S27" s="158"/>
      <c r="T27" s="157"/>
      <c r="U27" s="156"/>
    </row>
    <row r="28" spans="1:21" x14ac:dyDescent="0.2">
      <c r="A28" s="181" t="s">
        <v>9</v>
      </c>
      <c r="B28" s="180" t="s">
        <v>2</v>
      </c>
      <c r="C28" s="179">
        <v>4015</v>
      </c>
      <c r="D28" s="178">
        <v>3713</v>
      </c>
      <c r="E28" s="177">
        <v>302</v>
      </c>
      <c r="F28" s="179">
        <v>3084</v>
      </c>
      <c r="G28" s="178">
        <v>2828</v>
      </c>
      <c r="H28" s="177">
        <v>256</v>
      </c>
      <c r="I28" s="176">
        <v>3706</v>
      </c>
      <c r="J28" s="46">
        <v>1.0833783054506205</v>
      </c>
      <c r="K28" s="85">
        <v>1.0018888289260659</v>
      </c>
      <c r="L28" s="87">
        <v>8.148947652455478E-2</v>
      </c>
      <c r="M28" s="46">
        <v>0.83216405828386397</v>
      </c>
      <c r="N28" s="85">
        <v>0.76308688613059905</v>
      </c>
      <c r="O28" s="87">
        <v>6.9077172153264976E-2</v>
      </c>
      <c r="P28" s="175">
        <v>1.0825677275625083</v>
      </c>
      <c r="Q28" s="174">
        <v>1.0874543513680544</v>
      </c>
      <c r="R28" s="173">
        <v>1.024206593884879</v>
      </c>
      <c r="S28" s="175">
        <v>1.151821450274398</v>
      </c>
      <c r="T28" s="174">
        <v>1.1576651164130107</v>
      </c>
      <c r="U28" s="173">
        <v>1.0892043200352657</v>
      </c>
    </row>
    <row r="29" spans="1:21" x14ac:dyDescent="0.2">
      <c r="A29" s="142"/>
      <c r="B29" s="172" t="s">
        <v>1</v>
      </c>
      <c r="C29" s="171">
        <v>2045</v>
      </c>
      <c r="D29" s="170">
        <v>1887</v>
      </c>
      <c r="E29" s="169">
        <v>158</v>
      </c>
      <c r="F29" s="171">
        <v>1523</v>
      </c>
      <c r="G29" s="170">
        <v>1393</v>
      </c>
      <c r="H29" s="169">
        <v>130</v>
      </c>
      <c r="I29" s="168">
        <v>1961</v>
      </c>
      <c r="J29" s="40">
        <v>1.0428352881183069</v>
      </c>
      <c r="K29" s="39">
        <v>0.96226415094339623</v>
      </c>
      <c r="L29" s="38">
        <v>8.0571137174910754E-2</v>
      </c>
      <c r="M29" s="40">
        <v>0.77664456909739932</v>
      </c>
      <c r="N29" s="39">
        <v>0.71035186129525751</v>
      </c>
      <c r="O29" s="38">
        <v>6.6292707802141762E-2</v>
      </c>
      <c r="P29" s="167"/>
      <c r="Q29" s="166"/>
      <c r="R29" s="165"/>
      <c r="S29" s="167"/>
      <c r="T29" s="166"/>
      <c r="U29" s="165"/>
    </row>
    <row r="30" spans="1:21" x14ac:dyDescent="0.2">
      <c r="A30" s="164"/>
      <c r="B30" s="163" t="s">
        <v>0</v>
      </c>
      <c r="C30" s="162">
        <v>1970</v>
      </c>
      <c r="D30" s="161">
        <v>1826</v>
      </c>
      <c r="E30" s="160">
        <v>144</v>
      </c>
      <c r="F30" s="162">
        <v>1561</v>
      </c>
      <c r="G30" s="161">
        <v>1435</v>
      </c>
      <c r="H30" s="160">
        <v>126</v>
      </c>
      <c r="I30" s="159">
        <v>1745</v>
      </c>
      <c r="J30" s="30">
        <v>1.1289398280802292</v>
      </c>
      <c r="K30" s="29">
        <v>1.0464183381088825</v>
      </c>
      <c r="L30" s="28">
        <v>8.2521489971346701E-2</v>
      </c>
      <c r="M30" s="30">
        <v>0.8945558739255014</v>
      </c>
      <c r="N30" s="29">
        <v>0.82234957020057309</v>
      </c>
      <c r="O30" s="28">
        <v>7.2206303724928367E-2</v>
      </c>
      <c r="P30" s="158"/>
      <c r="Q30" s="157"/>
      <c r="R30" s="156"/>
      <c r="S30" s="158"/>
      <c r="T30" s="157"/>
      <c r="U30" s="156"/>
    </row>
    <row r="31" spans="1:21" x14ac:dyDescent="0.2">
      <c r="A31" s="181" t="s">
        <v>8</v>
      </c>
      <c r="B31" s="180" t="s">
        <v>2</v>
      </c>
      <c r="C31" s="179">
        <v>2393</v>
      </c>
      <c r="D31" s="178">
        <v>2293</v>
      </c>
      <c r="E31" s="177">
        <v>100</v>
      </c>
      <c r="F31" s="179">
        <v>1918</v>
      </c>
      <c r="G31" s="178">
        <v>1832</v>
      </c>
      <c r="H31" s="177">
        <v>86</v>
      </c>
      <c r="I31" s="176">
        <v>2523</v>
      </c>
      <c r="J31" s="46">
        <v>0.94847403884264769</v>
      </c>
      <c r="K31" s="85">
        <v>0.90883868410622271</v>
      </c>
      <c r="L31" s="87">
        <v>3.9635354736424891E-2</v>
      </c>
      <c r="M31" s="46">
        <v>0.76020610384462939</v>
      </c>
      <c r="N31" s="85">
        <v>0.726119698771304</v>
      </c>
      <c r="O31" s="87">
        <v>3.4086405073325408E-2</v>
      </c>
      <c r="P31" s="175">
        <v>1.0157673379871084</v>
      </c>
      <c r="Q31" s="174">
        <v>1.0360944952900313</v>
      </c>
      <c r="R31" s="173">
        <v>0.6372950282041191</v>
      </c>
      <c r="S31" s="175">
        <v>1.0517012574880784</v>
      </c>
      <c r="T31" s="174">
        <v>1.0756881063600432</v>
      </c>
      <c r="U31" s="173">
        <v>0.64303642485460666</v>
      </c>
    </row>
    <row r="32" spans="1:21" x14ac:dyDescent="0.2">
      <c r="A32" s="142"/>
      <c r="B32" s="172" t="s">
        <v>1</v>
      </c>
      <c r="C32" s="171">
        <v>1236</v>
      </c>
      <c r="D32" s="170">
        <v>1173</v>
      </c>
      <c r="E32" s="169">
        <v>63</v>
      </c>
      <c r="F32" s="171">
        <v>974</v>
      </c>
      <c r="G32" s="170">
        <v>920</v>
      </c>
      <c r="H32" s="169">
        <v>54</v>
      </c>
      <c r="I32" s="168">
        <v>1313</v>
      </c>
      <c r="J32" s="40">
        <v>0.94135567402894138</v>
      </c>
      <c r="K32" s="39">
        <v>0.8933739527798934</v>
      </c>
      <c r="L32" s="38">
        <v>4.7981721249047982E-2</v>
      </c>
      <c r="M32" s="40">
        <v>0.74181264280274184</v>
      </c>
      <c r="N32" s="39">
        <v>0.70068545316070063</v>
      </c>
      <c r="O32" s="38">
        <v>4.112718964204113E-2</v>
      </c>
      <c r="P32" s="167"/>
      <c r="Q32" s="166"/>
      <c r="R32" s="165"/>
      <c r="S32" s="167"/>
      <c r="T32" s="166"/>
      <c r="U32" s="165"/>
    </row>
    <row r="33" spans="1:21" x14ac:dyDescent="0.2">
      <c r="A33" s="164"/>
      <c r="B33" s="163" t="s">
        <v>0</v>
      </c>
      <c r="C33" s="162">
        <v>1157</v>
      </c>
      <c r="D33" s="161">
        <v>1120</v>
      </c>
      <c r="E33" s="160">
        <v>37</v>
      </c>
      <c r="F33" s="162">
        <v>944</v>
      </c>
      <c r="G33" s="161">
        <v>912</v>
      </c>
      <c r="H33" s="160">
        <v>32</v>
      </c>
      <c r="I33" s="159">
        <v>1210</v>
      </c>
      <c r="J33" s="30">
        <v>0.95619834710743801</v>
      </c>
      <c r="K33" s="29">
        <v>0.92561983471074383</v>
      </c>
      <c r="L33" s="28">
        <v>3.0578512396694214E-2</v>
      </c>
      <c r="M33" s="30">
        <v>0.78016528925619832</v>
      </c>
      <c r="N33" s="29">
        <v>0.75371900826446281</v>
      </c>
      <c r="O33" s="28">
        <v>2.6446280991735537E-2</v>
      </c>
      <c r="P33" s="158"/>
      <c r="Q33" s="157"/>
      <c r="R33" s="156"/>
      <c r="S33" s="158"/>
      <c r="T33" s="157"/>
      <c r="U33" s="156"/>
    </row>
    <row r="34" spans="1:21" x14ac:dyDescent="0.2">
      <c r="A34" s="181" t="s">
        <v>7</v>
      </c>
      <c r="B34" s="180" t="s">
        <v>2</v>
      </c>
      <c r="C34" s="179">
        <v>3427</v>
      </c>
      <c r="D34" s="178">
        <v>3196</v>
      </c>
      <c r="E34" s="177">
        <v>231</v>
      </c>
      <c r="F34" s="179">
        <v>2550</v>
      </c>
      <c r="G34" s="178">
        <v>2343</v>
      </c>
      <c r="H34" s="177">
        <v>207</v>
      </c>
      <c r="I34" s="176">
        <v>3295</v>
      </c>
      <c r="J34" s="46">
        <v>1.0400606980273142</v>
      </c>
      <c r="K34" s="85">
        <v>0.96995447647951438</v>
      </c>
      <c r="L34" s="87">
        <v>7.0106221547799691E-2</v>
      </c>
      <c r="M34" s="46">
        <v>0.77389984825493174</v>
      </c>
      <c r="N34" s="85">
        <v>0.7110773899848255</v>
      </c>
      <c r="O34" s="87">
        <v>6.2822458270106227E-2</v>
      </c>
      <c r="P34" s="175">
        <v>0.92006165593132094</v>
      </c>
      <c r="Q34" s="174">
        <v>0.92523349100606911</v>
      </c>
      <c r="R34" s="173">
        <v>0.85122699386503065</v>
      </c>
      <c r="S34" s="175">
        <v>0.96234680098495917</v>
      </c>
      <c r="T34" s="174">
        <v>0.97129181714624313</v>
      </c>
      <c r="U34" s="173">
        <v>0.86642747589833469</v>
      </c>
    </row>
    <row r="35" spans="1:21" x14ac:dyDescent="0.2">
      <c r="A35" s="142"/>
      <c r="B35" s="172" t="s">
        <v>1</v>
      </c>
      <c r="C35" s="171">
        <v>1803</v>
      </c>
      <c r="D35" s="170">
        <v>1677</v>
      </c>
      <c r="E35" s="169">
        <v>126</v>
      </c>
      <c r="F35" s="171">
        <v>1313</v>
      </c>
      <c r="G35" s="170">
        <v>1201</v>
      </c>
      <c r="H35" s="169">
        <v>112</v>
      </c>
      <c r="I35" s="168">
        <v>1665</v>
      </c>
      <c r="J35" s="40">
        <v>1.0828828828828829</v>
      </c>
      <c r="K35" s="39">
        <v>1.0072072072072071</v>
      </c>
      <c r="L35" s="38">
        <v>7.567567567567568E-2</v>
      </c>
      <c r="M35" s="40">
        <v>0.7885885885885886</v>
      </c>
      <c r="N35" s="39">
        <v>0.72132132132132132</v>
      </c>
      <c r="O35" s="38">
        <v>6.7267267267267269E-2</v>
      </c>
      <c r="P35" s="167"/>
      <c r="Q35" s="166"/>
      <c r="R35" s="165"/>
      <c r="S35" s="167"/>
      <c r="T35" s="166"/>
      <c r="U35" s="165"/>
    </row>
    <row r="36" spans="1:21" x14ac:dyDescent="0.2">
      <c r="A36" s="164"/>
      <c r="B36" s="163" t="s">
        <v>0</v>
      </c>
      <c r="C36" s="162">
        <v>1624</v>
      </c>
      <c r="D36" s="161">
        <v>1519</v>
      </c>
      <c r="E36" s="160">
        <v>105</v>
      </c>
      <c r="F36" s="162">
        <v>1237</v>
      </c>
      <c r="G36" s="161">
        <v>1142</v>
      </c>
      <c r="H36" s="160">
        <v>95</v>
      </c>
      <c r="I36" s="159">
        <v>1630</v>
      </c>
      <c r="J36" s="30">
        <v>0.996319018404908</v>
      </c>
      <c r="K36" s="29">
        <v>0.9319018404907975</v>
      </c>
      <c r="L36" s="28">
        <v>6.4417177914110432E-2</v>
      </c>
      <c r="M36" s="30">
        <v>0.75889570552147234</v>
      </c>
      <c r="N36" s="29">
        <v>0.70061349693251529</v>
      </c>
      <c r="O36" s="28">
        <v>5.8282208588957052E-2</v>
      </c>
      <c r="P36" s="158"/>
      <c r="Q36" s="157"/>
      <c r="R36" s="156"/>
      <c r="S36" s="158"/>
      <c r="T36" s="157"/>
      <c r="U36" s="156"/>
    </row>
    <row r="37" spans="1:21" x14ac:dyDescent="0.2">
      <c r="A37" s="181" t="s">
        <v>5</v>
      </c>
      <c r="B37" s="180" t="s">
        <v>2</v>
      </c>
      <c r="C37" s="179">
        <v>4474</v>
      </c>
      <c r="D37" s="178">
        <v>4060</v>
      </c>
      <c r="E37" s="177">
        <v>414</v>
      </c>
      <c r="F37" s="179">
        <v>3642</v>
      </c>
      <c r="G37" s="178">
        <v>3290</v>
      </c>
      <c r="H37" s="177">
        <v>352</v>
      </c>
      <c r="I37" s="176">
        <v>4369</v>
      </c>
      <c r="J37" s="46">
        <v>1.0240329594872968</v>
      </c>
      <c r="K37" s="85">
        <v>0.92927443350881211</v>
      </c>
      <c r="L37" s="87">
        <v>9.4758525978484776E-2</v>
      </c>
      <c r="M37" s="46">
        <v>0.83360036621652556</v>
      </c>
      <c r="N37" s="85">
        <v>0.7530327306019684</v>
      </c>
      <c r="O37" s="87">
        <v>8.0567635614557112E-2</v>
      </c>
      <c r="P37" s="175">
        <v>0.99691487545953394</v>
      </c>
      <c r="Q37" s="174">
        <v>0.99549923186440303</v>
      </c>
      <c r="R37" s="173">
        <v>1.0109027824114232</v>
      </c>
      <c r="S37" s="175">
        <v>1.052127599487382</v>
      </c>
      <c r="T37" s="174">
        <v>1.0495295352838556</v>
      </c>
      <c r="U37" s="173">
        <v>1.0767266120040067</v>
      </c>
    </row>
    <row r="38" spans="1:21" x14ac:dyDescent="0.2">
      <c r="A38" s="142"/>
      <c r="B38" s="172" t="s">
        <v>1</v>
      </c>
      <c r="C38" s="171">
        <v>2285</v>
      </c>
      <c r="D38" s="170">
        <v>2075</v>
      </c>
      <c r="E38" s="169">
        <v>210</v>
      </c>
      <c r="F38" s="171">
        <v>1811</v>
      </c>
      <c r="G38" s="170">
        <v>1638</v>
      </c>
      <c r="H38" s="169">
        <v>173</v>
      </c>
      <c r="I38" s="168">
        <v>2228</v>
      </c>
      <c r="J38" s="40">
        <v>1.0255834829443446</v>
      </c>
      <c r="K38" s="39">
        <v>0.93132854578096946</v>
      </c>
      <c r="L38" s="38">
        <v>9.4254937163375227E-2</v>
      </c>
      <c r="M38" s="40">
        <v>0.81283662477558349</v>
      </c>
      <c r="N38" s="39">
        <v>0.73518850987432671</v>
      </c>
      <c r="O38" s="38">
        <v>7.7648114901256726E-2</v>
      </c>
      <c r="P38" s="167"/>
      <c r="Q38" s="166"/>
      <c r="R38" s="165"/>
      <c r="S38" s="167"/>
      <c r="T38" s="166"/>
      <c r="U38" s="165"/>
    </row>
    <row r="39" spans="1:21" x14ac:dyDescent="0.2">
      <c r="A39" s="164"/>
      <c r="B39" s="163" t="s">
        <v>0</v>
      </c>
      <c r="C39" s="162">
        <v>2189</v>
      </c>
      <c r="D39" s="161">
        <v>1985</v>
      </c>
      <c r="E39" s="160">
        <v>204</v>
      </c>
      <c r="F39" s="162">
        <v>1831</v>
      </c>
      <c r="G39" s="161">
        <v>1652</v>
      </c>
      <c r="H39" s="160">
        <v>179</v>
      </c>
      <c r="I39" s="159">
        <v>2141</v>
      </c>
      <c r="J39" s="30">
        <v>1.0224194301728164</v>
      </c>
      <c r="K39" s="29">
        <v>0.92713685193834661</v>
      </c>
      <c r="L39" s="28">
        <v>9.5282578234469881E-2</v>
      </c>
      <c r="M39" s="30">
        <v>0.8552078468005605</v>
      </c>
      <c r="N39" s="29">
        <v>0.77160205511443247</v>
      </c>
      <c r="O39" s="28">
        <v>8.3605791686127973E-2</v>
      </c>
      <c r="P39" s="158"/>
      <c r="Q39" s="157"/>
      <c r="R39" s="156"/>
      <c r="S39" s="158"/>
      <c r="T39" s="157"/>
      <c r="U39" s="156"/>
    </row>
    <row r="40" spans="1:21" x14ac:dyDescent="0.2">
      <c r="A40" s="181" t="s">
        <v>4</v>
      </c>
      <c r="B40" s="180" t="s">
        <v>2</v>
      </c>
      <c r="C40" s="179">
        <v>5733</v>
      </c>
      <c r="D40" s="178">
        <v>5131</v>
      </c>
      <c r="E40" s="177">
        <v>602</v>
      </c>
      <c r="F40" s="179">
        <v>4595</v>
      </c>
      <c r="G40" s="178">
        <v>4074</v>
      </c>
      <c r="H40" s="177">
        <v>521</v>
      </c>
      <c r="I40" s="176">
        <v>6043</v>
      </c>
      <c r="J40" s="46">
        <v>0.94870097633625683</v>
      </c>
      <c r="K40" s="85">
        <v>0.8490815819956975</v>
      </c>
      <c r="L40" s="87">
        <v>9.9619394340559331E-2</v>
      </c>
      <c r="M40" s="46">
        <v>0.76038391527387061</v>
      </c>
      <c r="N40" s="85">
        <v>0.67416845937448289</v>
      </c>
      <c r="O40" s="87">
        <v>8.6215455899387727E-2</v>
      </c>
      <c r="P40" s="175">
        <v>1.0484967185220764</v>
      </c>
      <c r="Q40" s="174">
        <v>1.068398991470094</v>
      </c>
      <c r="R40" s="173">
        <v>0.89271620026532128</v>
      </c>
      <c r="S40" s="175">
        <v>1.116098293318637</v>
      </c>
      <c r="T40" s="174">
        <v>1.1510754475759124</v>
      </c>
      <c r="U40" s="173">
        <v>0.8762376000612816</v>
      </c>
    </row>
    <row r="41" spans="1:21" x14ac:dyDescent="0.2">
      <c r="A41" s="142"/>
      <c r="B41" s="172" t="s">
        <v>1</v>
      </c>
      <c r="C41" s="171">
        <v>2913</v>
      </c>
      <c r="D41" s="170">
        <v>2583</v>
      </c>
      <c r="E41" s="169">
        <v>330</v>
      </c>
      <c r="F41" s="171">
        <v>2263</v>
      </c>
      <c r="G41" s="170">
        <v>1975</v>
      </c>
      <c r="H41" s="169">
        <v>288</v>
      </c>
      <c r="I41" s="168">
        <v>3142</v>
      </c>
      <c r="J41" s="40">
        <v>0.92711648631444943</v>
      </c>
      <c r="K41" s="39">
        <v>0.82208784213876507</v>
      </c>
      <c r="L41" s="38">
        <v>0.10502864417568428</v>
      </c>
      <c r="M41" s="40">
        <v>0.72024188415022283</v>
      </c>
      <c r="N41" s="39">
        <v>0.62858052196053471</v>
      </c>
      <c r="O41" s="38">
        <v>9.1661362189688095E-2</v>
      </c>
      <c r="P41" s="167"/>
      <c r="Q41" s="166"/>
      <c r="R41" s="165"/>
      <c r="S41" s="167"/>
      <c r="T41" s="166"/>
      <c r="U41" s="165"/>
    </row>
    <row r="42" spans="1:21" x14ac:dyDescent="0.2">
      <c r="A42" s="164"/>
      <c r="B42" s="163" t="s">
        <v>0</v>
      </c>
      <c r="C42" s="162">
        <v>2820</v>
      </c>
      <c r="D42" s="161">
        <v>2548</v>
      </c>
      <c r="E42" s="160">
        <v>272</v>
      </c>
      <c r="F42" s="162">
        <v>2332</v>
      </c>
      <c r="G42" s="161">
        <v>2099</v>
      </c>
      <c r="H42" s="160">
        <v>233</v>
      </c>
      <c r="I42" s="159">
        <v>2901</v>
      </c>
      <c r="J42" s="30">
        <v>0.97207859358841775</v>
      </c>
      <c r="K42" s="29">
        <v>0.87831782144088244</v>
      </c>
      <c r="L42" s="28">
        <v>9.3760772147535337E-2</v>
      </c>
      <c r="M42" s="30">
        <v>0.80386073767666322</v>
      </c>
      <c r="N42" s="29">
        <v>0.72354360565322307</v>
      </c>
      <c r="O42" s="28">
        <v>8.0317132023440194E-2</v>
      </c>
      <c r="P42" s="158"/>
      <c r="Q42" s="157"/>
      <c r="R42" s="156"/>
      <c r="S42" s="158"/>
      <c r="T42" s="157"/>
      <c r="U42" s="156"/>
    </row>
    <row r="43" spans="1:21" x14ac:dyDescent="0.2">
      <c r="A43" s="155" t="s">
        <v>3</v>
      </c>
      <c r="B43" s="154" t="s">
        <v>2</v>
      </c>
      <c r="C43" s="114">
        <v>108834</v>
      </c>
      <c r="D43" s="115">
        <v>101464</v>
      </c>
      <c r="E43" s="116">
        <v>7370</v>
      </c>
      <c r="F43" s="114">
        <v>80539</v>
      </c>
      <c r="G43" s="115">
        <v>74501</v>
      </c>
      <c r="H43" s="116">
        <v>6038</v>
      </c>
      <c r="I43" s="202">
        <v>110532</v>
      </c>
      <c r="J43" s="21">
        <v>0.98463793290630763</v>
      </c>
      <c r="K43" s="20">
        <v>0.91796040965512249</v>
      </c>
      <c r="L43" s="19">
        <v>6.6677523251185172E-2</v>
      </c>
      <c r="M43" s="21">
        <v>0.72864871711359602</v>
      </c>
      <c r="N43" s="20">
        <v>0.67402200267795753</v>
      </c>
      <c r="O43" s="19">
        <v>5.4626714435638546E-2</v>
      </c>
      <c r="P43" s="153">
        <v>1.0069796315916619</v>
      </c>
      <c r="Q43" s="152">
        <v>1.0077314495468903</v>
      </c>
      <c r="R43" s="151">
        <v>0.99668404414159129</v>
      </c>
      <c r="S43" s="153">
        <v>1.0706753291230868</v>
      </c>
      <c r="T43" s="152">
        <v>1.0737403474003773</v>
      </c>
      <c r="U43" s="151">
        <v>1.0335630578641648</v>
      </c>
    </row>
    <row r="44" spans="1:21" x14ac:dyDescent="0.2">
      <c r="A44" s="155"/>
      <c r="B44" s="154" t="s">
        <v>1</v>
      </c>
      <c r="C44" s="114">
        <v>56279</v>
      </c>
      <c r="D44" s="115">
        <v>52449</v>
      </c>
      <c r="E44" s="116">
        <v>3830</v>
      </c>
      <c r="F44" s="114">
        <v>40413</v>
      </c>
      <c r="G44" s="115">
        <v>37330</v>
      </c>
      <c r="H44" s="116">
        <v>3083</v>
      </c>
      <c r="I44" s="202">
        <v>57349</v>
      </c>
      <c r="J44" s="21">
        <v>0.98134230762524199</v>
      </c>
      <c r="K44" s="20">
        <v>0.91455823118101454</v>
      </c>
      <c r="L44" s="19">
        <v>6.6784076444227444E-2</v>
      </c>
      <c r="M44" s="21">
        <v>0.70468534760850232</v>
      </c>
      <c r="N44" s="20">
        <v>0.65092678163525086</v>
      </c>
      <c r="O44" s="19">
        <v>5.3758565973251494E-2</v>
      </c>
      <c r="P44" s="153"/>
      <c r="Q44" s="152"/>
      <c r="R44" s="151"/>
      <c r="S44" s="153"/>
      <c r="T44" s="152"/>
      <c r="U44" s="151"/>
    </row>
    <row r="45" spans="1:21" ht="12" thickBot="1" x14ac:dyDescent="0.25">
      <c r="A45" s="150"/>
      <c r="B45" s="149" t="s">
        <v>0</v>
      </c>
      <c r="C45" s="118">
        <v>52555</v>
      </c>
      <c r="D45" s="119">
        <v>49015</v>
      </c>
      <c r="E45" s="120">
        <v>3540</v>
      </c>
      <c r="F45" s="118">
        <v>40126</v>
      </c>
      <c r="G45" s="119">
        <v>37171</v>
      </c>
      <c r="H45" s="120">
        <v>2955</v>
      </c>
      <c r="I45" s="201">
        <v>53183</v>
      </c>
      <c r="J45" s="12">
        <v>0.9881917153977775</v>
      </c>
      <c r="K45" s="11">
        <v>0.92162909200308374</v>
      </c>
      <c r="L45" s="10">
        <v>6.6562623394693793E-2</v>
      </c>
      <c r="M45" s="12">
        <v>0.75448921647895006</v>
      </c>
      <c r="N45" s="11">
        <v>0.69892634864524383</v>
      </c>
      <c r="O45" s="10">
        <v>5.5562867833706259E-2</v>
      </c>
      <c r="P45" s="148"/>
      <c r="Q45" s="147"/>
      <c r="R45" s="146"/>
      <c r="S45" s="148"/>
      <c r="T45" s="147"/>
      <c r="U45" s="146"/>
    </row>
  </sheetData>
  <sheetProtection algorithmName="SHA-512" hashValue="0dyJb26QM92vvUXBCW6f4rxmRg9suiR9lIiF8+7+bF20MtJVbglvm02hEd+6+CmBRZcVGK9tgkrnQBZ0lgSiQQ==" saltValue="Z+Tvy9l1G7rpxL5l2bJNdA==" spinCount="100000" sheet="1" objects="1" scenarios="1"/>
  <mergeCells count="11">
    <mergeCell ref="S6:U6"/>
    <mergeCell ref="A1:U1"/>
    <mergeCell ref="A2:U2"/>
    <mergeCell ref="A3:U3"/>
    <mergeCell ref="A4:U4"/>
    <mergeCell ref="A6:B7"/>
    <mergeCell ref="C6:E6"/>
    <mergeCell ref="F6:H6"/>
    <mergeCell ref="J6:L6"/>
    <mergeCell ref="M6:O6"/>
    <mergeCell ref="P6:R6"/>
  </mergeCells>
  <printOptions horizontalCentered="1"/>
  <pageMargins left="0" right="0" top="0" bottom="0" header="0" footer="0"/>
  <pageSetup paperSize="9" scale="75" orientation="landscape" horizontalDpi="300" verticalDpi="300" r:id="rId1"/>
  <headerFooter alignWithMargins="0">
    <oddFooter>&amp;L&amp;F&amp;R&amp;P</oddFooter>
  </headerFooter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81DD4-46AB-481B-9057-359C9CFF9172}">
  <dimension ref="A1:L47"/>
  <sheetViews>
    <sheetView showGridLines="0" zoomScaleNormal="75" workbookViewId="0">
      <pane xSplit="2" ySplit="9" topLeftCell="C10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RowHeight="11.25" x14ac:dyDescent="0.2"/>
  <cols>
    <col min="1" max="1" width="23.85546875" style="145" customWidth="1"/>
    <col min="2" max="2" width="10.7109375" style="143" customWidth="1"/>
    <col min="3" max="8" width="10.7109375" style="110" customWidth="1"/>
    <col min="9" max="11" width="9.7109375" style="219" customWidth="1"/>
    <col min="12" max="12" width="11.140625" style="218" customWidth="1"/>
    <col min="13" max="13" width="8.7109375" style="143" customWidth="1"/>
    <col min="14" max="223" width="8.7109375" style="143"/>
    <col min="224" max="224" width="23.85546875" style="143" customWidth="1"/>
    <col min="225" max="231" width="10.7109375" style="143" customWidth="1"/>
    <col min="232" max="232" width="9.7109375" style="143" bestFit="1" customWidth="1"/>
    <col min="233" max="233" width="11.140625" style="143" customWidth="1"/>
    <col min="234" max="234" width="8.7109375" style="143"/>
    <col min="235" max="243" width="8.7109375" style="143" customWidth="1"/>
    <col min="244" max="479" width="8.7109375" style="143"/>
    <col min="480" max="480" width="23.85546875" style="143" customWidth="1"/>
    <col min="481" max="487" width="10.7109375" style="143" customWidth="1"/>
    <col min="488" max="488" width="9.7109375" style="143" bestFit="1" customWidth="1"/>
    <col min="489" max="489" width="11.140625" style="143" customWidth="1"/>
    <col min="490" max="490" width="8.7109375" style="143"/>
    <col min="491" max="499" width="8.7109375" style="143" customWidth="1"/>
    <col min="500" max="735" width="8.7109375" style="143"/>
    <col min="736" max="736" width="23.85546875" style="143" customWidth="1"/>
    <col min="737" max="743" width="10.7109375" style="143" customWidth="1"/>
    <col min="744" max="744" width="9.7109375" style="143" bestFit="1" customWidth="1"/>
    <col min="745" max="745" width="11.140625" style="143" customWidth="1"/>
    <col min="746" max="746" width="8.7109375" style="143"/>
    <col min="747" max="755" width="8.7109375" style="143" customWidth="1"/>
    <col min="756" max="991" width="8.7109375" style="143"/>
    <col min="992" max="992" width="23.85546875" style="143" customWidth="1"/>
    <col min="993" max="999" width="10.7109375" style="143" customWidth="1"/>
    <col min="1000" max="1000" width="9.7109375" style="143" bestFit="1" customWidth="1"/>
    <col min="1001" max="1001" width="11.140625" style="143" customWidth="1"/>
    <col min="1002" max="1002" width="8.7109375" style="143"/>
    <col min="1003" max="1011" width="8.7109375" style="143" customWidth="1"/>
    <col min="1012" max="1247" width="8.7109375" style="143"/>
    <col min="1248" max="1248" width="23.85546875" style="143" customWidth="1"/>
    <col min="1249" max="1255" width="10.7109375" style="143" customWidth="1"/>
    <col min="1256" max="1256" width="9.7109375" style="143" bestFit="1" customWidth="1"/>
    <col min="1257" max="1257" width="11.140625" style="143" customWidth="1"/>
    <col min="1258" max="1258" width="8.7109375" style="143"/>
    <col min="1259" max="1267" width="8.7109375" style="143" customWidth="1"/>
    <col min="1268" max="1503" width="8.7109375" style="143"/>
    <col min="1504" max="1504" width="23.85546875" style="143" customWidth="1"/>
    <col min="1505" max="1511" width="10.7109375" style="143" customWidth="1"/>
    <col min="1512" max="1512" width="9.7109375" style="143" bestFit="1" customWidth="1"/>
    <col min="1513" max="1513" width="11.140625" style="143" customWidth="1"/>
    <col min="1514" max="1514" width="8.7109375" style="143"/>
    <col min="1515" max="1523" width="8.7109375" style="143" customWidth="1"/>
    <col min="1524" max="1759" width="8.7109375" style="143"/>
    <col min="1760" max="1760" width="23.85546875" style="143" customWidth="1"/>
    <col min="1761" max="1767" width="10.7109375" style="143" customWidth="1"/>
    <col min="1768" max="1768" width="9.7109375" style="143" bestFit="1" customWidth="1"/>
    <col min="1769" max="1769" width="11.140625" style="143" customWidth="1"/>
    <col min="1770" max="1770" width="8.7109375" style="143"/>
    <col min="1771" max="1779" width="8.7109375" style="143" customWidth="1"/>
    <col min="1780" max="2015" width="8.7109375" style="143"/>
    <col min="2016" max="2016" width="23.85546875" style="143" customWidth="1"/>
    <col min="2017" max="2023" width="10.7109375" style="143" customWidth="1"/>
    <col min="2024" max="2024" width="9.7109375" style="143" bestFit="1" customWidth="1"/>
    <col min="2025" max="2025" width="11.140625" style="143" customWidth="1"/>
    <col min="2026" max="2026" width="8.7109375" style="143"/>
    <col min="2027" max="2035" width="8.7109375" style="143" customWidth="1"/>
    <col min="2036" max="2271" width="8.7109375" style="143"/>
    <col min="2272" max="2272" width="23.85546875" style="143" customWidth="1"/>
    <col min="2273" max="2279" width="10.7109375" style="143" customWidth="1"/>
    <col min="2280" max="2280" width="9.7109375" style="143" bestFit="1" customWidth="1"/>
    <col min="2281" max="2281" width="11.140625" style="143" customWidth="1"/>
    <col min="2282" max="2282" width="8.7109375" style="143"/>
    <col min="2283" max="2291" width="8.7109375" style="143" customWidth="1"/>
    <col min="2292" max="2527" width="8.7109375" style="143"/>
    <col min="2528" max="2528" width="23.85546875" style="143" customWidth="1"/>
    <col min="2529" max="2535" width="10.7109375" style="143" customWidth="1"/>
    <col min="2536" max="2536" width="9.7109375" style="143" bestFit="1" customWidth="1"/>
    <col min="2537" max="2537" width="11.140625" style="143" customWidth="1"/>
    <col min="2538" max="2538" width="8.7109375" style="143"/>
    <col min="2539" max="2547" width="8.7109375" style="143" customWidth="1"/>
    <col min="2548" max="2783" width="8.7109375" style="143"/>
    <col min="2784" max="2784" width="23.85546875" style="143" customWidth="1"/>
    <col min="2785" max="2791" width="10.7109375" style="143" customWidth="1"/>
    <col min="2792" max="2792" width="9.7109375" style="143" bestFit="1" customWidth="1"/>
    <col min="2793" max="2793" width="11.140625" style="143" customWidth="1"/>
    <col min="2794" max="2794" width="8.7109375" style="143"/>
    <col min="2795" max="2803" width="8.7109375" style="143" customWidth="1"/>
    <col min="2804" max="3039" width="8.7109375" style="143"/>
    <col min="3040" max="3040" width="23.85546875" style="143" customWidth="1"/>
    <col min="3041" max="3047" width="10.7109375" style="143" customWidth="1"/>
    <col min="3048" max="3048" width="9.7109375" style="143" bestFit="1" customWidth="1"/>
    <col min="3049" max="3049" width="11.140625" style="143" customWidth="1"/>
    <col min="3050" max="3050" width="8.7109375" style="143"/>
    <col min="3051" max="3059" width="8.7109375" style="143" customWidth="1"/>
    <col min="3060" max="3295" width="8.7109375" style="143"/>
    <col min="3296" max="3296" width="23.85546875" style="143" customWidth="1"/>
    <col min="3297" max="3303" width="10.7109375" style="143" customWidth="1"/>
    <col min="3304" max="3304" width="9.7109375" style="143" bestFit="1" customWidth="1"/>
    <col min="3305" max="3305" width="11.140625" style="143" customWidth="1"/>
    <col min="3306" max="3306" width="8.7109375" style="143"/>
    <col min="3307" max="3315" width="8.7109375" style="143" customWidth="1"/>
    <col min="3316" max="3551" width="8.7109375" style="143"/>
    <col min="3552" max="3552" width="23.85546875" style="143" customWidth="1"/>
    <col min="3553" max="3559" width="10.7109375" style="143" customWidth="1"/>
    <col min="3560" max="3560" width="9.7109375" style="143" bestFit="1" customWidth="1"/>
    <col min="3561" max="3561" width="11.140625" style="143" customWidth="1"/>
    <col min="3562" max="3562" width="8.7109375" style="143"/>
    <col min="3563" max="3571" width="8.7109375" style="143" customWidth="1"/>
    <col min="3572" max="3807" width="8.7109375" style="143"/>
    <col min="3808" max="3808" width="23.85546875" style="143" customWidth="1"/>
    <col min="3809" max="3815" width="10.7109375" style="143" customWidth="1"/>
    <col min="3816" max="3816" width="9.7109375" style="143" bestFit="1" customWidth="1"/>
    <col min="3817" max="3817" width="11.140625" style="143" customWidth="1"/>
    <col min="3818" max="3818" width="8.7109375" style="143"/>
    <col min="3819" max="3827" width="8.7109375" style="143" customWidth="1"/>
    <col min="3828" max="4063" width="8.7109375" style="143"/>
    <col min="4064" max="4064" width="23.85546875" style="143" customWidth="1"/>
    <col min="4065" max="4071" width="10.7109375" style="143" customWidth="1"/>
    <col min="4072" max="4072" width="9.7109375" style="143" bestFit="1" customWidth="1"/>
    <col min="4073" max="4073" width="11.140625" style="143" customWidth="1"/>
    <col min="4074" max="4074" width="8.7109375" style="143"/>
    <col min="4075" max="4083" width="8.7109375" style="143" customWidth="1"/>
    <col min="4084" max="4319" width="8.7109375" style="143"/>
    <col min="4320" max="4320" width="23.85546875" style="143" customWidth="1"/>
    <col min="4321" max="4327" width="10.7109375" style="143" customWidth="1"/>
    <col min="4328" max="4328" width="9.7109375" style="143" bestFit="1" customWidth="1"/>
    <col min="4329" max="4329" width="11.140625" style="143" customWidth="1"/>
    <col min="4330" max="4330" width="8.7109375" style="143"/>
    <col min="4331" max="4339" width="8.7109375" style="143" customWidth="1"/>
    <col min="4340" max="4575" width="8.7109375" style="143"/>
    <col min="4576" max="4576" width="23.85546875" style="143" customWidth="1"/>
    <col min="4577" max="4583" width="10.7109375" style="143" customWidth="1"/>
    <col min="4584" max="4584" width="9.7109375" style="143" bestFit="1" customWidth="1"/>
    <col min="4585" max="4585" width="11.140625" style="143" customWidth="1"/>
    <col min="4586" max="4586" width="8.7109375" style="143"/>
    <col min="4587" max="4595" width="8.7109375" style="143" customWidth="1"/>
    <col min="4596" max="4831" width="8.7109375" style="143"/>
    <col min="4832" max="4832" width="23.85546875" style="143" customWidth="1"/>
    <col min="4833" max="4839" width="10.7109375" style="143" customWidth="1"/>
    <col min="4840" max="4840" width="9.7109375" style="143" bestFit="1" customWidth="1"/>
    <col min="4841" max="4841" width="11.140625" style="143" customWidth="1"/>
    <col min="4842" max="4842" width="8.7109375" style="143"/>
    <col min="4843" max="4851" width="8.7109375" style="143" customWidth="1"/>
    <col min="4852" max="5087" width="8.7109375" style="143"/>
    <col min="5088" max="5088" width="23.85546875" style="143" customWidth="1"/>
    <col min="5089" max="5095" width="10.7109375" style="143" customWidth="1"/>
    <col min="5096" max="5096" width="9.7109375" style="143" bestFit="1" customWidth="1"/>
    <col min="5097" max="5097" width="11.140625" style="143" customWidth="1"/>
    <col min="5098" max="5098" width="8.7109375" style="143"/>
    <col min="5099" max="5107" width="8.7109375" style="143" customWidth="1"/>
    <col min="5108" max="5343" width="8.7109375" style="143"/>
    <col min="5344" max="5344" width="23.85546875" style="143" customWidth="1"/>
    <col min="5345" max="5351" width="10.7109375" style="143" customWidth="1"/>
    <col min="5352" max="5352" width="9.7109375" style="143" bestFit="1" customWidth="1"/>
    <col min="5353" max="5353" width="11.140625" style="143" customWidth="1"/>
    <col min="5354" max="5354" width="8.7109375" style="143"/>
    <col min="5355" max="5363" width="8.7109375" style="143" customWidth="1"/>
    <col min="5364" max="5599" width="8.7109375" style="143"/>
    <col min="5600" max="5600" width="23.85546875" style="143" customWidth="1"/>
    <col min="5601" max="5607" width="10.7109375" style="143" customWidth="1"/>
    <col min="5608" max="5608" width="9.7109375" style="143" bestFit="1" customWidth="1"/>
    <col min="5609" max="5609" width="11.140625" style="143" customWidth="1"/>
    <col min="5610" max="5610" width="8.7109375" style="143"/>
    <col min="5611" max="5619" width="8.7109375" style="143" customWidth="1"/>
    <col min="5620" max="5855" width="8.7109375" style="143"/>
    <col min="5856" max="5856" width="23.85546875" style="143" customWidth="1"/>
    <col min="5857" max="5863" width="10.7109375" style="143" customWidth="1"/>
    <col min="5864" max="5864" width="9.7109375" style="143" bestFit="1" customWidth="1"/>
    <col min="5865" max="5865" width="11.140625" style="143" customWidth="1"/>
    <col min="5866" max="5866" width="8.7109375" style="143"/>
    <col min="5867" max="5875" width="8.7109375" style="143" customWidth="1"/>
    <col min="5876" max="6111" width="8.7109375" style="143"/>
    <col min="6112" max="6112" width="23.85546875" style="143" customWidth="1"/>
    <col min="6113" max="6119" width="10.7109375" style="143" customWidth="1"/>
    <col min="6120" max="6120" width="9.7109375" style="143" bestFit="1" customWidth="1"/>
    <col min="6121" max="6121" width="11.140625" style="143" customWidth="1"/>
    <col min="6122" max="6122" width="8.7109375" style="143"/>
    <col min="6123" max="6131" width="8.7109375" style="143" customWidth="1"/>
    <col min="6132" max="6367" width="8.7109375" style="143"/>
    <col min="6368" max="6368" width="23.85546875" style="143" customWidth="1"/>
    <col min="6369" max="6375" width="10.7109375" style="143" customWidth="1"/>
    <col min="6376" max="6376" width="9.7109375" style="143" bestFit="1" customWidth="1"/>
    <col min="6377" max="6377" width="11.140625" style="143" customWidth="1"/>
    <col min="6378" max="6378" width="8.7109375" style="143"/>
    <col min="6379" max="6387" width="8.7109375" style="143" customWidth="1"/>
    <col min="6388" max="6623" width="8.7109375" style="143"/>
    <col min="6624" max="6624" width="23.85546875" style="143" customWidth="1"/>
    <col min="6625" max="6631" width="10.7109375" style="143" customWidth="1"/>
    <col min="6632" max="6632" width="9.7109375" style="143" bestFit="1" customWidth="1"/>
    <col min="6633" max="6633" width="11.140625" style="143" customWidth="1"/>
    <col min="6634" max="6634" width="8.7109375" style="143"/>
    <col min="6635" max="6643" width="8.7109375" style="143" customWidth="1"/>
    <col min="6644" max="6879" width="8.7109375" style="143"/>
    <col min="6880" max="6880" width="23.85546875" style="143" customWidth="1"/>
    <col min="6881" max="6887" width="10.7109375" style="143" customWidth="1"/>
    <col min="6888" max="6888" width="9.7109375" style="143" bestFit="1" customWidth="1"/>
    <col min="6889" max="6889" width="11.140625" style="143" customWidth="1"/>
    <col min="6890" max="6890" width="8.7109375" style="143"/>
    <col min="6891" max="6899" width="8.7109375" style="143" customWidth="1"/>
    <col min="6900" max="7135" width="8.7109375" style="143"/>
    <col min="7136" max="7136" width="23.85546875" style="143" customWidth="1"/>
    <col min="7137" max="7143" width="10.7109375" style="143" customWidth="1"/>
    <col min="7144" max="7144" width="9.7109375" style="143" bestFit="1" customWidth="1"/>
    <col min="7145" max="7145" width="11.140625" style="143" customWidth="1"/>
    <col min="7146" max="7146" width="8.7109375" style="143"/>
    <col min="7147" max="7155" width="8.7109375" style="143" customWidth="1"/>
    <col min="7156" max="7391" width="8.7109375" style="143"/>
    <col min="7392" max="7392" width="23.85546875" style="143" customWidth="1"/>
    <col min="7393" max="7399" width="10.7109375" style="143" customWidth="1"/>
    <col min="7400" max="7400" width="9.7109375" style="143" bestFit="1" customWidth="1"/>
    <col min="7401" max="7401" width="11.140625" style="143" customWidth="1"/>
    <col min="7402" max="7402" width="8.7109375" style="143"/>
    <col min="7403" max="7411" width="8.7109375" style="143" customWidth="1"/>
    <col min="7412" max="7647" width="8.7109375" style="143"/>
    <col min="7648" max="7648" width="23.85546875" style="143" customWidth="1"/>
    <col min="7649" max="7655" width="10.7109375" style="143" customWidth="1"/>
    <col min="7656" max="7656" width="9.7109375" style="143" bestFit="1" customWidth="1"/>
    <col min="7657" max="7657" width="11.140625" style="143" customWidth="1"/>
    <col min="7658" max="7658" width="8.7109375" style="143"/>
    <col min="7659" max="7667" width="8.7109375" style="143" customWidth="1"/>
    <col min="7668" max="7903" width="8.7109375" style="143"/>
    <col min="7904" max="7904" width="23.85546875" style="143" customWidth="1"/>
    <col min="7905" max="7911" width="10.7109375" style="143" customWidth="1"/>
    <col min="7912" max="7912" width="9.7109375" style="143" bestFit="1" customWidth="1"/>
    <col min="7913" max="7913" width="11.140625" style="143" customWidth="1"/>
    <col min="7914" max="7914" width="8.7109375" style="143"/>
    <col min="7915" max="7923" width="8.7109375" style="143" customWidth="1"/>
    <col min="7924" max="8159" width="8.7109375" style="143"/>
    <col min="8160" max="8160" width="23.85546875" style="143" customWidth="1"/>
    <col min="8161" max="8167" width="10.7109375" style="143" customWidth="1"/>
    <col min="8168" max="8168" width="9.7109375" style="143" bestFit="1" customWidth="1"/>
    <col min="8169" max="8169" width="11.140625" style="143" customWidth="1"/>
    <col min="8170" max="8170" width="8.7109375" style="143"/>
    <col min="8171" max="8179" width="8.7109375" style="143" customWidth="1"/>
    <col min="8180" max="8415" width="8.7109375" style="143"/>
    <col min="8416" max="8416" width="23.85546875" style="143" customWidth="1"/>
    <col min="8417" max="8423" width="10.7109375" style="143" customWidth="1"/>
    <col min="8424" max="8424" width="9.7109375" style="143" bestFit="1" customWidth="1"/>
    <col min="8425" max="8425" width="11.140625" style="143" customWidth="1"/>
    <col min="8426" max="8426" width="8.7109375" style="143"/>
    <col min="8427" max="8435" width="8.7109375" style="143" customWidth="1"/>
    <col min="8436" max="8671" width="8.7109375" style="143"/>
    <col min="8672" max="8672" width="23.85546875" style="143" customWidth="1"/>
    <col min="8673" max="8679" width="10.7109375" style="143" customWidth="1"/>
    <col min="8680" max="8680" width="9.7109375" style="143" bestFit="1" customWidth="1"/>
    <col min="8681" max="8681" width="11.140625" style="143" customWidth="1"/>
    <col min="8682" max="8682" width="8.7109375" style="143"/>
    <col min="8683" max="8691" width="8.7109375" style="143" customWidth="1"/>
    <col min="8692" max="8927" width="8.7109375" style="143"/>
    <col min="8928" max="8928" width="23.85546875" style="143" customWidth="1"/>
    <col min="8929" max="8935" width="10.7109375" style="143" customWidth="1"/>
    <col min="8936" max="8936" width="9.7109375" style="143" bestFit="1" customWidth="1"/>
    <col min="8937" max="8937" width="11.140625" style="143" customWidth="1"/>
    <col min="8938" max="8938" width="8.7109375" style="143"/>
    <col min="8939" max="8947" width="8.7109375" style="143" customWidth="1"/>
    <col min="8948" max="9183" width="8.7109375" style="143"/>
    <col min="9184" max="9184" width="23.85546875" style="143" customWidth="1"/>
    <col min="9185" max="9191" width="10.7109375" style="143" customWidth="1"/>
    <col min="9192" max="9192" width="9.7109375" style="143" bestFit="1" customWidth="1"/>
    <col min="9193" max="9193" width="11.140625" style="143" customWidth="1"/>
    <col min="9194" max="9194" width="8.7109375" style="143"/>
    <col min="9195" max="9203" width="8.7109375" style="143" customWidth="1"/>
    <col min="9204" max="9439" width="8.7109375" style="143"/>
    <col min="9440" max="9440" width="23.85546875" style="143" customWidth="1"/>
    <col min="9441" max="9447" width="10.7109375" style="143" customWidth="1"/>
    <col min="9448" max="9448" width="9.7109375" style="143" bestFit="1" customWidth="1"/>
    <col min="9449" max="9449" width="11.140625" style="143" customWidth="1"/>
    <col min="9450" max="9450" width="8.7109375" style="143"/>
    <col min="9451" max="9459" width="8.7109375" style="143" customWidth="1"/>
    <col min="9460" max="9695" width="8.7109375" style="143"/>
    <col min="9696" max="9696" width="23.85546875" style="143" customWidth="1"/>
    <col min="9697" max="9703" width="10.7109375" style="143" customWidth="1"/>
    <col min="9704" max="9704" width="9.7109375" style="143" bestFit="1" customWidth="1"/>
    <col min="9705" max="9705" width="11.140625" style="143" customWidth="1"/>
    <col min="9706" max="9706" width="8.7109375" style="143"/>
    <col min="9707" max="9715" width="8.7109375" style="143" customWidth="1"/>
    <col min="9716" max="9951" width="8.7109375" style="143"/>
    <col min="9952" max="9952" width="23.85546875" style="143" customWidth="1"/>
    <col min="9953" max="9959" width="10.7109375" style="143" customWidth="1"/>
    <col min="9960" max="9960" width="9.7109375" style="143" bestFit="1" customWidth="1"/>
    <col min="9961" max="9961" width="11.140625" style="143" customWidth="1"/>
    <col min="9962" max="9962" width="8.7109375" style="143"/>
    <col min="9963" max="9971" width="8.7109375" style="143" customWidth="1"/>
    <col min="9972" max="10207" width="8.7109375" style="143"/>
    <col min="10208" max="10208" width="23.85546875" style="143" customWidth="1"/>
    <col min="10209" max="10215" width="10.7109375" style="143" customWidth="1"/>
    <col min="10216" max="10216" width="9.7109375" style="143" bestFit="1" customWidth="1"/>
    <col min="10217" max="10217" width="11.140625" style="143" customWidth="1"/>
    <col min="10218" max="10218" width="8.7109375" style="143"/>
    <col min="10219" max="10227" width="8.7109375" style="143" customWidth="1"/>
    <col min="10228" max="10463" width="8.7109375" style="143"/>
    <col min="10464" max="10464" width="23.85546875" style="143" customWidth="1"/>
    <col min="10465" max="10471" width="10.7109375" style="143" customWidth="1"/>
    <col min="10472" max="10472" width="9.7109375" style="143" bestFit="1" customWidth="1"/>
    <col min="10473" max="10473" width="11.140625" style="143" customWidth="1"/>
    <col min="10474" max="10474" width="8.7109375" style="143"/>
    <col min="10475" max="10483" width="8.7109375" style="143" customWidth="1"/>
    <col min="10484" max="10719" width="8.7109375" style="143"/>
    <col min="10720" max="10720" width="23.85546875" style="143" customWidth="1"/>
    <col min="10721" max="10727" width="10.7109375" style="143" customWidth="1"/>
    <col min="10728" max="10728" width="9.7109375" style="143" bestFit="1" customWidth="1"/>
    <col min="10729" max="10729" width="11.140625" style="143" customWidth="1"/>
    <col min="10730" max="10730" width="8.7109375" style="143"/>
    <col min="10731" max="10739" width="8.7109375" style="143" customWidth="1"/>
    <col min="10740" max="10975" width="8.7109375" style="143"/>
    <col min="10976" max="10976" width="23.85546875" style="143" customWidth="1"/>
    <col min="10977" max="10983" width="10.7109375" style="143" customWidth="1"/>
    <col min="10984" max="10984" width="9.7109375" style="143" bestFit="1" customWidth="1"/>
    <col min="10985" max="10985" width="11.140625" style="143" customWidth="1"/>
    <col min="10986" max="10986" width="8.7109375" style="143"/>
    <col min="10987" max="10995" width="8.7109375" style="143" customWidth="1"/>
    <col min="10996" max="11231" width="8.7109375" style="143"/>
    <col min="11232" max="11232" width="23.85546875" style="143" customWidth="1"/>
    <col min="11233" max="11239" width="10.7109375" style="143" customWidth="1"/>
    <col min="11240" max="11240" width="9.7109375" style="143" bestFit="1" customWidth="1"/>
    <col min="11241" max="11241" width="11.140625" style="143" customWidth="1"/>
    <col min="11242" max="11242" width="8.7109375" style="143"/>
    <col min="11243" max="11251" width="8.7109375" style="143" customWidth="1"/>
    <col min="11252" max="11487" width="8.7109375" style="143"/>
    <col min="11488" max="11488" width="23.85546875" style="143" customWidth="1"/>
    <col min="11489" max="11495" width="10.7109375" style="143" customWidth="1"/>
    <col min="11496" max="11496" width="9.7109375" style="143" bestFit="1" customWidth="1"/>
    <col min="11497" max="11497" width="11.140625" style="143" customWidth="1"/>
    <col min="11498" max="11498" width="8.7109375" style="143"/>
    <col min="11499" max="11507" width="8.7109375" style="143" customWidth="1"/>
    <col min="11508" max="11743" width="8.7109375" style="143"/>
    <col min="11744" max="11744" width="23.85546875" style="143" customWidth="1"/>
    <col min="11745" max="11751" width="10.7109375" style="143" customWidth="1"/>
    <col min="11752" max="11752" width="9.7109375" style="143" bestFit="1" customWidth="1"/>
    <col min="11753" max="11753" width="11.140625" style="143" customWidth="1"/>
    <col min="11754" max="11754" width="8.7109375" style="143"/>
    <col min="11755" max="11763" width="8.7109375" style="143" customWidth="1"/>
    <col min="11764" max="11999" width="8.7109375" style="143"/>
    <col min="12000" max="12000" width="23.85546875" style="143" customWidth="1"/>
    <col min="12001" max="12007" width="10.7109375" style="143" customWidth="1"/>
    <col min="12008" max="12008" width="9.7109375" style="143" bestFit="1" customWidth="1"/>
    <col min="12009" max="12009" width="11.140625" style="143" customWidth="1"/>
    <col min="12010" max="12010" width="8.7109375" style="143"/>
    <col min="12011" max="12019" width="8.7109375" style="143" customWidth="1"/>
    <col min="12020" max="12255" width="8.7109375" style="143"/>
    <col min="12256" max="12256" width="23.85546875" style="143" customWidth="1"/>
    <col min="12257" max="12263" width="10.7109375" style="143" customWidth="1"/>
    <col min="12264" max="12264" width="9.7109375" style="143" bestFit="1" customWidth="1"/>
    <col min="12265" max="12265" width="11.140625" style="143" customWidth="1"/>
    <col min="12266" max="12266" width="8.7109375" style="143"/>
    <col min="12267" max="12275" width="8.7109375" style="143" customWidth="1"/>
    <col min="12276" max="12511" width="8.7109375" style="143"/>
    <col min="12512" max="12512" width="23.85546875" style="143" customWidth="1"/>
    <col min="12513" max="12519" width="10.7109375" style="143" customWidth="1"/>
    <col min="12520" max="12520" width="9.7109375" style="143" bestFit="1" customWidth="1"/>
    <col min="12521" max="12521" width="11.140625" style="143" customWidth="1"/>
    <col min="12522" max="12522" width="8.7109375" style="143"/>
    <col min="12523" max="12531" width="8.7109375" style="143" customWidth="1"/>
    <col min="12532" max="12767" width="8.7109375" style="143"/>
    <col min="12768" max="12768" width="23.85546875" style="143" customWidth="1"/>
    <col min="12769" max="12775" width="10.7109375" style="143" customWidth="1"/>
    <col min="12776" max="12776" width="9.7109375" style="143" bestFit="1" customWidth="1"/>
    <col min="12777" max="12777" width="11.140625" style="143" customWidth="1"/>
    <col min="12778" max="12778" width="8.7109375" style="143"/>
    <col min="12779" max="12787" width="8.7109375" style="143" customWidth="1"/>
    <col min="12788" max="13023" width="8.7109375" style="143"/>
    <col min="13024" max="13024" width="23.85546875" style="143" customWidth="1"/>
    <col min="13025" max="13031" width="10.7109375" style="143" customWidth="1"/>
    <col min="13032" max="13032" width="9.7109375" style="143" bestFit="1" customWidth="1"/>
    <col min="13033" max="13033" width="11.140625" style="143" customWidth="1"/>
    <col min="13034" max="13034" width="8.7109375" style="143"/>
    <col min="13035" max="13043" width="8.7109375" style="143" customWidth="1"/>
    <col min="13044" max="13279" width="8.7109375" style="143"/>
    <col min="13280" max="13280" width="23.85546875" style="143" customWidth="1"/>
    <col min="13281" max="13287" width="10.7109375" style="143" customWidth="1"/>
    <col min="13288" max="13288" width="9.7109375" style="143" bestFit="1" customWidth="1"/>
    <col min="13289" max="13289" width="11.140625" style="143" customWidth="1"/>
    <col min="13290" max="13290" width="8.7109375" style="143"/>
    <col min="13291" max="13299" width="8.7109375" style="143" customWidth="1"/>
    <col min="13300" max="13535" width="8.7109375" style="143"/>
    <col min="13536" max="13536" width="23.85546875" style="143" customWidth="1"/>
    <col min="13537" max="13543" width="10.7109375" style="143" customWidth="1"/>
    <col min="13544" max="13544" width="9.7109375" style="143" bestFit="1" customWidth="1"/>
    <col min="13545" max="13545" width="11.140625" style="143" customWidth="1"/>
    <col min="13546" max="13546" width="8.7109375" style="143"/>
    <col min="13547" max="13555" width="8.7109375" style="143" customWidth="1"/>
    <col min="13556" max="13791" width="8.7109375" style="143"/>
    <col min="13792" max="13792" width="23.85546875" style="143" customWidth="1"/>
    <col min="13793" max="13799" width="10.7109375" style="143" customWidth="1"/>
    <col min="13800" max="13800" width="9.7109375" style="143" bestFit="1" customWidth="1"/>
    <col min="13801" max="13801" width="11.140625" style="143" customWidth="1"/>
    <col min="13802" max="13802" width="8.7109375" style="143"/>
    <col min="13803" max="13811" width="8.7109375" style="143" customWidth="1"/>
    <col min="13812" max="14047" width="8.7109375" style="143"/>
    <col min="14048" max="14048" width="23.85546875" style="143" customWidth="1"/>
    <col min="14049" max="14055" width="10.7109375" style="143" customWidth="1"/>
    <col min="14056" max="14056" width="9.7109375" style="143" bestFit="1" customWidth="1"/>
    <col min="14057" max="14057" width="11.140625" style="143" customWidth="1"/>
    <col min="14058" max="14058" width="8.7109375" style="143"/>
    <col min="14059" max="14067" width="8.7109375" style="143" customWidth="1"/>
    <col min="14068" max="14303" width="8.7109375" style="143"/>
    <col min="14304" max="14304" width="23.85546875" style="143" customWidth="1"/>
    <col min="14305" max="14311" width="10.7109375" style="143" customWidth="1"/>
    <col min="14312" max="14312" width="9.7109375" style="143" bestFit="1" customWidth="1"/>
    <col min="14313" max="14313" width="11.140625" style="143" customWidth="1"/>
    <col min="14314" max="14314" width="8.7109375" style="143"/>
    <col min="14315" max="14323" width="8.7109375" style="143" customWidth="1"/>
    <col min="14324" max="14559" width="8.7109375" style="143"/>
    <col min="14560" max="14560" width="23.85546875" style="143" customWidth="1"/>
    <col min="14561" max="14567" width="10.7109375" style="143" customWidth="1"/>
    <col min="14568" max="14568" width="9.7109375" style="143" bestFit="1" customWidth="1"/>
    <col min="14569" max="14569" width="11.140625" style="143" customWidth="1"/>
    <col min="14570" max="14570" width="8.7109375" style="143"/>
    <col min="14571" max="14579" width="8.7109375" style="143" customWidth="1"/>
    <col min="14580" max="14815" width="8.7109375" style="143"/>
    <col min="14816" max="14816" width="23.85546875" style="143" customWidth="1"/>
    <col min="14817" max="14823" width="10.7109375" style="143" customWidth="1"/>
    <col min="14824" max="14824" width="9.7109375" style="143" bestFit="1" customWidth="1"/>
    <col min="14825" max="14825" width="11.140625" style="143" customWidth="1"/>
    <col min="14826" max="14826" width="8.7109375" style="143"/>
    <col min="14827" max="14835" width="8.7109375" style="143" customWidth="1"/>
    <col min="14836" max="15071" width="8.7109375" style="143"/>
    <col min="15072" max="15072" width="23.85546875" style="143" customWidth="1"/>
    <col min="15073" max="15079" width="10.7109375" style="143" customWidth="1"/>
    <col min="15080" max="15080" width="9.7109375" style="143" bestFit="1" customWidth="1"/>
    <col min="15081" max="15081" width="11.140625" style="143" customWidth="1"/>
    <col min="15082" max="15082" width="8.7109375" style="143"/>
    <col min="15083" max="15091" width="8.7109375" style="143" customWidth="1"/>
    <col min="15092" max="15327" width="8.7109375" style="143"/>
    <col min="15328" max="15328" width="23.85546875" style="143" customWidth="1"/>
    <col min="15329" max="15335" width="10.7109375" style="143" customWidth="1"/>
    <col min="15336" max="15336" width="9.7109375" style="143" bestFit="1" customWidth="1"/>
    <col min="15337" max="15337" width="11.140625" style="143" customWidth="1"/>
    <col min="15338" max="15338" width="8.7109375" style="143"/>
    <col min="15339" max="15347" width="8.7109375" style="143" customWidth="1"/>
    <col min="15348" max="15583" width="8.7109375" style="143"/>
    <col min="15584" max="15584" width="23.85546875" style="143" customWidth="1"/>
    <col min="15585" max="15591" width="10.7109375" style="143" customWidth="1"/>
    <col min="15592" max="15592" width="9.7109375" style="143" bestFit="1" customWidth="1"/>
    <col min="15593" max="15593" width="11.140625" style="143" customWidth="1"/>
    <col min="15594" max="15594" width="8.7109375" style="143"/>
    <col min="15595" max="15603" width="8.7109375" style="143" customWidth="1"/>
    <col min="15604" max="15839" width="8.7109375" style="143"/>
    <col min="15840" max="15840" width="23.85546875" style="143" customWidth="1"/>
    <col min="15841" max="15847" width="10.7109375" style="143" customWidth="1"/>
    <col min="15848" max="15848" width="9.7109375" style="143" bestFit="1" customWidth="1"/>
    <col min="15849" max="15849" width="11.140625" style="143" customWidth="1"/>
    <col min="15850" max="15850" width="8.7109375" style="143"/>
    <col min="15851" max="15859" width="8.7109375" style="143" customWidth="1"/>
    <col min="15860" max="16095" width="8.7109375" style="143"/>
    <col min="16096" max="16096" width="23.85546875" style="143" customWidth="1"/>
    <col min="16097" max="16103" width="10.7109375" style="143" customWidth="1"/>
    <col min="16104" max="16104" width="9.7109375" style="143" bestFit="1" customWidth="1"/>
    <col min="16105" max="16105" width="11.140625" style="143" customWidth="1"/>
    <col min="16106" max="16106" width="8.7109375" style="143"/>
    <col min="16107" max="16115" width="8.7109375" style="143" customWidth="1"/>
    <col min="16116" max="16360" width="8.7109375" style="143"/>
    <col min="16361" max="16361" width="8.7109375" style="143" customWidth="1"/>
    <col min="16362" max="16384" width="8.7109375" style="143"/>
  </cols>
  <sheetData>
    <row r="1" spans="1:12" x14ac:dyDescent="0.2">
      <c r="A1" s="598" t="s">
        <v>23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599"/>
    </row>
    <row r="2" spans="1:12" x14ac:dyDescent="0.2">
      <c r="A2" s="598" t="s">
        <v>67</v>
      </c>
      <c r="B2" s="599"/>
      <c r="C2" s="599"/>
      <c r="D2" s="599"/>
      <c r="E2" s="599"/>
      <c r="F2" s="599"/>
      <c r="G2" s="599"/>
      <c r="H2" s="599"/>
      <c r="I2" s="599"/>
      <c r="J2" s="599"/>
      <c r="K2" s="599"/>
      <c r="L2" s="599"/>
    </row>
    <row r="3" spans="1:12" x14ac:dyDescent="0.2">
      <c r="A3" s="598" t="s">
        <v>66</v>
      </c>
      <c r="B3" s="599"/>
      <c r="C3" s="599"/>
      <c r="D3" s="599"/>
      <c r="E3" s="599"/>
      <c r="F3" s="599"/>
      <c r="G3" s="599"/>
      <c r="H3" s="599"/>
      <c r="I3" s="599"/>
      <c r="J3" s="599"/>
      <c r="K3" s="599"/>
      <c r="L3" s="599"/>
    </row>
    <row r="4" spans="1:12" x14ac:dyDescent="0.2">
      <c r="A4" s="598" t="s">
        <v>65</v>
      </c>
      <c r="B4" s="599"/>
      <c r="C4" s="599"/>
      <c r="D4" s="599"/>
      <c r="E4" s="599"/>
      <c r="F4" s="599"/>
      <c r="G4" s="599"/>
      <c r="H4" s="599"/>
      <c r="I4" s="599"/>
      <c r="J4" s="599"/>
      <c r="K4" s="599"/>
      <c r="L4" s="599"/>
    </row>
    <row r="5" spans="1:12" x14ac:dyDescent="0.2">
      <c r="A5" s="598" t="s">
        <v>64</v>
      </c>
      <c r="B5" s="599"/>
      <c r="C5" s="599"/>
      <c r="D5" s="599"/>
      <c r="E5" s="599"/>
      <c r="F5" s="599"/>
      <c r="G5" s="599"/>
      <c r="H5" s="599"/>
      <c r="I5" s="599"/>
      <c r="J5" s="599"/>
      <c r="K5" s="599"/>
      <c r="L5" s="599"/>
    </row>
    <row r="6" spans="1:12" x14ac:dyDescent="0.2">
      <c r="A6" s="246"/>
      <c r="C6" s="143"/>
      <c r="D6" s="245"/>
      <c r="E6" s="244"/>
      <c r="F6" s="143"/>
      <c r="G6" s="245"/>
      <c r="H6" s="244"/>
      <c r="I6" s="143"/>
      <c r="J6" s="245"/>
      <c r="K6" s="244"/>
      <c r="L6" s="143"/>
    </row>
    <row r="7" spans="1:12" ht="12" thickBot="1" x14ac:dyDescent="0.25">
      <c r="A7" s="214"/>
      <c r="D7" s="128"/>
      <c r="E7" s="136"/>
      <c r="G7" s="128"/>
      <c r="H7" s="136"/>
      <c r="I7" s="110"/>
      <c r="J7" s="128"/>
      <c r="K7" s="136"/>
      <c r="L7" s="110"/>
    </row>
    <row r="8" spans="1:12" x14ac:dyDescent="0.2">
      <c r="A8" s="600" t="s">
        <v>22</v>
      </c>
      <c r="B8" s="601"/>
      <c r="C8" s="604" t="s">
        <v>63</v>
      </c>
      <c r="D8" s="605"/>
      <c r="E8" s="605"/>
      <c r="F8" s="606" t="s">
        <v>62</v>
      </c>
      <c r="G8" s="605"/>
      <c r="H8" s="607"/>
      <c r="I8" s="606" t="s">
        <v>61</v>
      </c>
      <c r="J8" s="605"/>
      <c r="K8" s="607"/>
      <c r="L8" s="608" t="s">
        <v>60</v>
      </c>
    </row>
    <row r="9" spans="1:12" ht="12" thickBot="1" x14ac:dyDescent="0.25">
      <c r="A9" s="602"/>
      <c r="B9" s="603"/>
      <c r="C9" s="243" t="s">
        <v>6</v>
      </c>
      <c r="D9" s="240" t="s">
        <v>17</v>
      </c>
      <c r="E9" s="242" t="s">
        <v>16</v>
      </c>
      <c r="F9" s="241" t="s">
        <v>6</v>
      </c>
      <c r="G9" s="240" t="s">
        <v>17</v>
      </c>
      <c r="H9" s="239" t="s">
        <v>16</v>
      </c>
      <c r="I9" s="241" t="s">
        <v>6</v>
      </c>
      <c r="J9" s="240" t="s">
        <v>17</v>
      </c>
      <c r="K9" s="239" t="s">
        <v>16</v>
      </c>
      <c r="L9" s="609"/>
    </row>
    <row r="10" spans="1:12" x14ac:dyDescent="0.2">
      <c r="A10" s="200" t="s">
        <v>14</v>
      </c>
      <c r="B10" s="196"/>
      <c r="C10" s="79"/>
      <c r="D10" s="130"/>
      <c r="E10" s="140"/>
      <c r="F10" s="79"/>
      <c r="G10" s="130"/>
      <c r="H10" s="140"/>
      <c r="I10" s="79"/>
      <c r="J10" s="77"/>
      <c r="K10" s="76"/>
      <c r="L10" s="78"/>
    </row>
    <row r="11" spans="1:12" ht="12" thickBot="1" x14ac:dyDescent="0.25">
      <c r="A11" s="196"/>
      <c r="B11" s="196"/>
      <c r="C11" s="68"/>
      <c r="D11" s="195"/>
      <c r="E11" s="194"/>
      <c r="F11" s="68"/>
      <c r="G11" s="195"/>
      <c r="H11" s="194"/>
      <c r="I11" s="68"/>
      <c r="J11" s="66"/>
      <c r="K11" s="65"/>
      <c r="L11" s="67"/>
    </row>
    <row r="12" spans="1:12" x14ac:dyDescent="0.2">
      <c r="A12" s="190" t="s">
        <v>13</v>
      </c>
      <c r="B12" s="238" t="s">
        <v>2</v>
      </c>
      <c r="C12" s="188">
        <v>36689</v>
      </c>
      <c r="D12" s="187">
        <v>32423</v>
      </c>
      <c r="E12" s="186">
        <v>4266</v>
      </c>
      <c r="F12" s="188">
        <v>37102</v>
      </c>
      <c r="G12" s="231">
        <v>32710</v>
      </c>
      <c r="H12" s="230">
        <v>4392</v>
      </c>
      <c r="I12" s="54">
        <v>0.98886852460783781</v>
      </c>
      <c r="J12" s="53">
        <v>0.99122592479364113</v>
      </c>
      <c r="K12" s="52">
        <v>0.97131147540983609</v>
      </c>
      <c r="L12" s="229">
        <v>1.0037000180264364</v>
      </c>
    </row>
    <row r="13" spans="1:12" x14ac:dyDescent="0.2">
      <c r="A13" s="142"/>
      <c r="B13" s="236" t="s">
        <v>1</v>
      </c>
      <c r="C13" s="171">
        <v>18992</v>
      </c>
      <c r="D13" s="170">
        <v>16817</v>
      </c>
      <c r="E13" s="169">
        <v>2175</v>
      </c>
      <c r="F13" s="171">
        <v>19240</v>
      </c>
      <c r="G13" s="228">
        <v>17018</v>
      </c>
      <c r="H13" s="227">
        <v>2222</v>
      </c>
      <c r="I13" s="40">
        <v>0.98711018711018716</v>
      </c>
      <c r="J13" s="39">
        <v>0.98818897637795278</v>
      </c>
      <c r="K13" s="38">
        <v>0.97884788478847884</v>
      </c>
      <c r="L13" s="226"/>
    </row>
    <row r="14" spans="1:12" x14ac:dyDescent="0.2">
      <c r="A14" s="164"/>
      <c r="B14" s="235" t="s">
        <v>0</v>
      </c>
      <c r="C14" s="171">
        <v>17697</v>
      </c>
      <c r="D14" s="161">
        <v>15606</v>
      </c>
      <c r="E14" s="160">
        <v>2091</v>
      </c>
      <c r="F14" s="171">
        <v>17862</v>
      </c>
      <c r="G14" s="225">
        <v>15692</v>
      </c>
      <c r="H14" s="224">
        <v>2170</v>
      </c>
      <c r="I14" s="30">
        <v>0.99076251259657377</v>
      </c>
      <c r="J14" s="29">
        <v>0.99451950038236048</v>
      </c>
      <c r="K14" s="28">
        <v>0.9635944700460829</v>
      </c>
      <c r="L14" s="223"/>
    </row>
    <row r="15" spans="1:12" x14ac:dyDescent="0.2">
      <c r="A15" s="181" t="s">
        <v>46</v>
      </c>
      <c r="B15" s="236" t="s">
        <v>2</v>
      </c>
      <c r="C15" s="179">
        <v>15438</v>
      </c>
      <c r="D15" s="178">
        <v>14868</v>
      </c>
      <c r="E15" s="177">
        <v>570</v>
      </c>
      <c r="F15" s="179">
        <v>15781</v>
      </c>
      <c r="G15" s="233">
        <v>15099</v>
      </c>
      <c r="H15" s="232">
        <v>682</v>
      </c>
      <c r="I15" s="46">
        <v>0.97826500221785695</v>
      </c>
      <c r="J15" s="39">
        <v>0.98470097357440889</v>
      </c>
      <c r="K15" s="38">
        <v>0.83577712609970678</v>
      </c>
      <c r="L15" s="226">
        <v>1.0076281620206637</v>
      </c>
    </row>
    <row r="16" spans="1:12" x14ac:dyDescent="0.2">
      <c r="A16" s="142"/>
      <c r="B16" s="236" t="s">
        <v>1</v>
      </c>
      <c r="C16" s="171">
        <v>7969</v>
      </c>
      <c r="D16" s="170">
        <v>7673</v>
      </c>
      <c r="E16" s="169">
        <v>296</v>
      </c>
      <c r="F16" s="171">
        <v>8176</v>
      </c>
      <c r="G16" s="228">
        <v>7832</v>
      </c>
      <c r="H16" s="227">
        <v>344</v>
      </c>
      <c r="I16" s="40">
        <v>0.97468199608610573</v>
      </c>
      <c r="J16" s="39">
        <v>0.97969867211440242</v>
      </c>
      <c r="K16" s="38">
        <v>0.86046511627906974</v>
      </c>
      <c r="L16" s="226"/>
    </row>
    <row r="17" spans="1:12" x14ac:dyDescent="0.2">
      <c r="A17" s="164"/>
      <c r="B17" s="235" t="s">
        <v>0</v>
      </c>
      <c r="C17" s="162">
        <v>7469</v>
      </c>
      <c r="D17" s="161">
        <v>7195</v>
      </c>
      <c r="E17" s="160">
        <v>274</v>
      </c>
      <c r="F17" s="162">
        <v>7605</v>
      </c>
      <c r="G17" s="225">
        <v>7267</v>
      </c>
      <c r="H17" s="224">
        <v>338</v>
      </c>
      <c r="I17" s="30">
        <v>0.98211702827087444</v>
      </c>
      <c r="J17" s="29">
        <v>0.9900921976056144</v>
      </c>
      <c r="K17" s="28">
        <v>0.81065088757396453</v>
      </c>
      <c r="L17" s="223"/>
    </row>
    <row r="18" spans="1:12" x14ac:dyDescent="0.2">
      <c r="A18" s="181" t="s">
        <v>12</v>
      </c>
      <c r="B18" s="236" t="s">
        <v>2</v>
      </c>
      <c r="C18" s="171">
        <v>10199</v>
      </c>
      <c r="D18" s="178">
        <v>9841</v>
      </c>
      <c r="E18" s="177">
        <v>358</v>
      </c>
      <c r="F18" s="171">
        <v>10609</v>
      </c>
      <c r="G18" s="233">
        <v>9835</v>
      </c>
      <c r="H18" s="232">
        <v>774</v>
      </c>
      <c r="I18" s="46">
        <v>0.96135356772551606</v>
      </c>
      <c r="J18" s="39">
        <v>1.0006100660904931</v>
      </c>
      <c r="K18" s="38">
        <v>0.46253229974160209</v>
      </c>
      <c r="L18" s="226">
        <v>1.0075472300413799</v>
      </c>
    </row>
    <row r="19" spans="1:12" x14ac:dyDescent="0.2">
      <c r="A19" s="142"/>
      <c r="B19" s="236" t="s">
        <v>1</v>
      </c>
      <c r="C19" s="171">
        <v>5351</v>
      </c>
      <c r="D19" s="170">
        <v>5159</v>
      </c>
      <c r="E19" s="169">
        <v>192</v>
      </c>
      <c r="F19" s="171">
        <v>5586</v>
      </c>
      <c r="G19" s="228">
        <v>5169</v>
      </c>
      <c r="H19" s="227">
        <v>417</v>
      </c>
      <c r="I19" s="40">
        <v>0.95793054063730754</v>
      </c>
      <c r="J19" s="39">
        <v>0.99806538982395043</v>
      </c>
      <c r="K19" s="38">
        <v>0.46043165467625902</v>
      </c>
      <c r="L19" s="226"/>
    </row>
    <row r="20" spans="1:12" x14ac:dyDescent="0.2">
      <c r="A20" s="164"/>
      <c r="B20" s="235" t="s">
        <v>0</v>
      </c>
      <c r="C20" s="171">
        <v>4848</v>
      </c>
      <c r="D20" s="161">
        <v>4682</v>
      </c>
      <c r="E20" s="160">
        <v>166</v>
      </c>
      <c r="F20" s="171">
        <v>5023</v>
      </c>
      <c r="G20" s="225">
        <v>4666</v>
      </c>
      <c r="H20" s="224">
        <v>357</v>
      </c>
      <c r="I20" s="30">
        <v>0.96516026279116063</v>
      </c>
      <c r="J20" s="29">
        <v>1.0034290612944707</v>
      </c>
      <c r="K20" s="28">
        <v>0.46498599439775912</v>
      </c>
      <c r="L20" s="223"/>
    </row>
    <row r="21" spans="1:12" x14ac:dyDescent="0.2">
      <c r="A21" s="181" t="s">
        <v>11</v>
      </c>
      <c r="B21" s="236" t="s">
        <v>2</v>
      </c>
      <c r="C21" s="179">
        <v>9744</v>
      </c>
      <c r="D21" s="178">
        <v>9471</v>
      </c>
      <c r="E21" s="177">
        <v>273</v>
      </c>
      <c r="F21" s="179">
        <v>10011</v>
      </c>
      <c r="G21" s="233">
        <v>9475</v>
      </c>
      <c r="H21" s="232">
        <v>536</v>
      </c>
      <c r="I21" s="46">
        <v>0.97332933772849861</v>
      </c>
      <c r="J21" s="39">
        <v>0.99957783641160947</v>
      </c>
      <c r="K21" s="38">
        <v>0.50932835820895528</v>
      </c>
      <c r="L21" s="226">
        <v>1.0105573884426586</v>
      </c>
    </row>
    <row r="22" spans="1:12" x14ac:dyDescent="0.2">
      <c r="A22" s="142"/>
      <c r="B22" s="236" t="s">
        <v>1</v>
      </c>
      <c r="C22" s="171">
        <v>5027</v>
      </c>
      <c r="D22" s="170">
        <v>4885</v>
      </c>
      <c r="E22" s="169">
        <v>142</v>
      </c>
      <c r="F22" s="171">
        <v>5191</v>
      </c>
      <c r="G22" s="228">
        <v>4921</v>
      </c>
      <c r="H22" s="227">
        <v>270</v>
      </c>
      <c r="I22" s="40">
        <v>0.96840685802350224</v>
      </c>
      <c r="J22" s="39">
        <v>0.9926844137370453</v>
      </c>
      <c r="K22" s="38">
        <v>0.52592592592592591</v>
      </c>
      <c r="L22" s="226"/>
    </row>
    <row r="23" spans="1:12" x14ac:dyDescent="0.2">
      <c r="A23" s="164"/>
      <c r="B23" s="235" t="s">
        <v>0</v>
      </c>
      <c r="C23" s="162">
        <v>4717</v>
      </c>
      <c r="D23" s="161">
        <v>4586</v>
      </c>
      <c r="E23" s="160">
        <v>131</v>
      </c>
      <c r="F23" s="162">
        <v>4820</v>
      </c>
      <c r="G23" s="225">
        <v>4554</v>
      </c>
      <c r="H23" s="224">
        <v>266</v>
      </c>
      <c r="I23" s="30">
        <v>0.97863070539419084</v>
      </c>
      <c r="J23" s="29">
        <v>1.0070267896354852</v>
      </c>
      <c r="K23" s="28">
        <v>0.4924812030075188</v>
      </c>
      <c r="L23" s="223"/>
    </row>
    <row r="24" spans="1:12" x14ac:dyDescent="0.2">
      <c r="A24" s="181" t="s">
        <v>27</v>
      </c>
      <c r="B24" s="236" t="s">
        <v>2</v>
      </c>
      <c r="C24" s="179">
        <v>7246</v>
      </c>
      <c r="D24" s="178">
        <v>7173</v>
      </c>
      <c r="E24" s="177">
        <v>73</v>
      </c>
      <c r="F24" s="179">
        <v>8049</v>
      </c>
      <c r="G24" s="233">
        <v>7916</v>
      </c>
      <c r="H24" s="232">
        <v>133</v>
      </c>
      <c r="I24" s="46">
        <v>0.90023605416821961</v>
      </c>
      <c r="J24" s="39">
        <v>0.9061394643759475</v>
      </c>
      <c r="K24" s="38">
        <v>0.54887218045112784</v>
      </c>
      <c r="L24" s="226">
        <v>1.0508923498575589</v>
      </c>
    </row>
    <row r="25" spans="1:12" x14ac:dyDescent="0.2">
      <c r="A25" s="142"/>
      <c r="B25" s="236" t="s">
        <v>1</v>
      </c>
      <c r="C25" s="171">
        <v>3711</v>
      </c>
      <c r="D25" s="170">
        <v>3669</v>
      </c>
      <c r="E25" s="169">
        <v>42</v>
      </c>
      <c r="F25" s="171">
        <v>4222</v>
      </c>
      <c r="G25" s="228">
        <v>4153</v>
      </c>
      <c r="H25" s="227">
        <v>69</v>
      </c>
      <c r="I25" s="40">
        <v>0.87896731406916151</v>
      </c>
      <c r="J25" s="39">
        <v>0.88345774139176503</v>
      </c>
      <c r="K25" s="38">
        <v>0.60869565217391308</v>
      </c>
      <c r="L25" s="226"/>
    </row>
    <row r="26" spans="1:12" x14ac:dyDescent="0.2">
      <c r="A26" s="164"/>
      <c r="B26" s="235" t="s">
        <v>0</v>
      </c>
      <c r="C26" s="162">
        <v>3535</v>
      </c>
      <c r="D26" s="161">
        <v>3504</v>
      </c>
      <c r="E26" s="160">
        <v>31</v>
      </c>
      <c r="F26" s="162">
        <v>3827</v>
      </c>
      <c r="G26" s="225">
        <v>3763</v>
      </c>
      <c r="H26" s="224">
        <v>64</v>
      </c>
      <c r="I26" s="30">
        <v>0.92370002613012803</v>
      </c>
      <c r="J26" s="29">
        <v>0.93117193728408187</v>
      </c>
      <c r="K26" s="28">
        <v>0.484375</v>
      </c>
      <c r="L26" s="223"/>
    </row>
    <row r="27" spans="1:12" x14ac:dyDescent="0.2">
      <c r="A27" s="181" t="s">
        <v>10</v>
      </c>
      <c r="B27" s="236" t="s">
        <v>2</v>
      </c>
      <c r="C27" s="171">
        <v>9476</v>
      </c>
      <c r="D27" s="178">
        <v>9295</v>
      </c>
      <c r="E27" s="177">
        <v>181</v>
      </c>
      <c r="F27" s="171">
        <v>9893</v>
      </c>
      <c r="G27" s="233">
        <v>9753</v>
      </c>
      <c r="H27" s="232">
        <v>140</v>
      </c>
      <c r="I27" s="46">
        <v>0.95784898413019304</v>
      </c>
      <c r="J27" s="39">
        <v>0.95304009022864755</v>
      </c>
      <c r="K27" s="38">
        <v>1.2928571428571429</v>
      </c>
      <c r="L27" s="226">
        <v>1.0078518857545535</v>
      </c>
    </row>
    <row r="28" spans="1:12" x14ac:dyDescent="0.2">
      <c r="A28" s="142"/>
      <c r="B28" s="236" t="s">
        <v>1</v>
      </c>
      <c r="C28" s="171">
        <v>4947</v>
      </c>
      <c r="D28" s="170">
        <v>4851</v>
      </c>
      <c r="E28" s="169">
        <v>96</v>
      </c>
      <c r="F28" s="171">
        <v>5184</v>
      </c>
      <c r="G28" s="228">
        <v>5116</v>
      </c>
      <c r="H28" s="227">
        <v>68</v>
      </c>
      <c r="I28" s="40">
        <v>0.95428240740740744</v>
      </c>
      <c r="J28" s="39">
        <v>0.94820172009382331</v>
      </c>
      <c r="K28" s="38">
        <v>1.411764705882353</v>
      </c>
      <c r="L28" s="226"/>
    </row>
    <row r="29" spans="1:12" x14ac:dyDescent="0.2">
      <c r="A29" s="164"/>
      <c r="B29" s="235" t="s">
        <v>0</v>
      </c>
      <c r="C29" s="171">
        <v>4529</v>
      </c>
      <c r="D29" s="161">
        <v>4444</v>
      </c>
      <c r="E29" s="160">
        <v>85</v>
      </c>
      <c r="F29" s="171">
        <v>4709</v>
      </c>
      <c r="G29" s="225">
        <v>4637</v>
      </c>
      <c r="H29" s="224">
        <v>72</v>
      </c>
      <c r="I29" s="30">
        <v>0.96177532384795072</v>
      </c>
      <c r="J29" s="29">
        <v>0.95837826180720298</v>
      </c>
      <c r="K29" s="28">
        <v>1.1805555555555556</v>
      </c>
      <c r="L29" s="223"/>
    </row>
    <row r="30" spans="1:12" x14ac:dyDescent="0.2">
      <c r="A30" s="181" t="s">
        <v>9</v>
      </c>
      <c r="B30" s="236" t="s">
        <v>2</v>
      </c>
      <c r="C30" s="179">
        <v>4015</v>
      </c>
      <c r="D30" s="178">
        <v>3713</v>
      </c>
      <c r="E30" s="177">
        <v>302</v>
      </c>
      <c r="F30" s="179">
        <v>4063</v>
      </c>
      <c r="G30" s="233">
        <v>3608</v>
      </c>
      <c r="H30" s="232">
        <v>455</v>
      </c>
      <c r="I30" s="46">
        <v>0.98818606940684228</v>
      </c>
      <c r="J30" s="39">
        <v>1.0291019955654102</v>
      </c>
      <c r="K30" s="38">
        <v>0.66373626373626371</v>
      </c>
      <c r="L30" s="226">
        <v>1.0064736188649201</v>
      </c>
    </row>
    <row r="31" spans="1:12" x14ac:dyDescent="0.2">
      <c r="A31" s="142"/>
      <c r="B31" s="236" t="s">
        <v>1</v>
      </c>
      <c r="C31" s="171">
        <v>2045</v>
      </c>
      <c r="D31" s="170">
        <v>1887</v>
      </c>
      <c r="E31" s="169">
        <v>158</v>
      </c>
      <c r="F31" s="171">
        <v>2076</v>
      </c>
      <c r="G31" s="228">
        <v>1849</v>
      </c>
      <c r="H31" s="227">
        <v>227</v>
      </c>
      <c r="I31" s="40">
        <v>0.98506743737957614</v>
      </c>
      <c r="J31" s="39">
        <v>1.020551649540292</v>
      </c>
      <c r="K31" s="38">
        <v>0.69603524229074887</v>
      </c>
      <c r="L31" s="226"/>
    </row>
    <row r="32" spans="1:12" x14ac:dyDescent="0.2">
      <c r="A32" s="164"/>
      <c r="B32" s="235" t="s">
        <v>0</v>
      </c>
      <c r="C32" s="162">
        <v>1970</v>
      </c>
      <c r="D32" s="161">
        <v>1826</v>
      </c>
      <c r="E32" s="160">
        <v>144</v>
      </c>
      <c r="F32" s="162">
        <v>1987</v>
      </c>
      <c r="G32" s="225">
        <v>1759</v>
      </c>
      <c r="H32" s="224">
        <v>228</v>
      </c>
      <c r="I32" s="30">
        <v>0.99144438852541517</v>
      </c>
      <c r="J32" s="29">
        <v>1.0380898237635019</v>
      </c>
      <c r="K32" s="28">
        <v>0.63157894736842102</v>
      </c>
      <c r="L32" s="223"/>
    </row>
    <row r="33" spans="1:12" x14ac:dyDescent="0.2">
      <c r="A33" s="181" t="s">
        <v>8</v>
      </c>
      <c r="B33" s="236" t="s">
        <v>2</v>
      </c>
      <c r="C33" s="171">
        <v>2393</v>
      </c>
      <c r="D33" s="178">
        <v>2293</v>
      </c>
      <c r="E33" s="177">
        <v>100</v>
      </c>
      <c r="F33" s="171">
        <v>2436</v>
      </c>
      <c r="G33" s="233">
        <v>2338</v>
      </c>
      <c r="H33" s="232">
        <v>98</v>
      </c>
      <c r="I33" s="46">
        <v>0.98234811165845648</v>
      </c>
      <c r="J33" s="39">
        <v>0.98075278015397771</v>
      </c>
      <c r="K33" s="38">
        <v>1.0204081632653061</v>
      </c>
      <c r="L33" s="226">
        <v>1.0519725017845907</v>
      </c>
    </row>
    <row r="34" spans="1:12" x14ac:dyDescent="0.2">
      <c r="A34" s="142"/>
      <c r="B34" s="236" t="s">
        <v>1</v>
      </c>
      <c r="C34" s="171">
        <v>1236</v>
      </c>
      <c r="D34" s="170">
        <v>1173</v>
      </c>
      <c r="E34" s="169">
        <v>63</v>
      </c>
      <c r="F34" s="171">
        <v>1289</v>
      </c>
      <c r="G34" s="228">
        <v>1224</v>
      </c>
      <c r="H34" s="227">
        <v>65</v>
      </c>
      <c r="I34" s="40">
        <v>0.95888285492629943</v>
      </c>
      <c r="J34" s="39">
        <v>0.95833333333333337</v>
      </c>
      <c r="K34" s="38">
        <v>0.96923076923076923</v>
      </c>
      <c r="L34" s="226"/>
    </row>
    <row r="35" spans="1:12" x14ac:dyDescent="0.2">
      <c r="A35" s="164"/>
      <c r="B35" s="235" t="s">
        <v>0</v>
      </c>
      <c r="C35" s="162">
        <v>1157</v>
      </c>
      <c r="D35" s="161">
        <v>1120</v>
      </c>
      <c r="E35" s="160">
        <v>37</v>
      </c>
      <c r="F35" s="162">
        <v>1147</v>
      </c>
      <c r="G35" s="225">
        <v>1114</v>
      </c>
      <c r="H35" s="224">
        <v>33</v>
      </c>
      <c r="I35" s="30">
        <v>1.00871839581517</v>
      </c>
      <c r="J35" s="29">
        <v>1.0053859964093357</v>
      </c>
      <c r="K35" s="28">
        <v>1.1212121212121211</v>
      </c>
      <c r="L35" s="223"/>
    </row>
    <row r="36" spans="1:12" x14ac:dyDescent="0.2">
      <c r="A36" s="181" t="s">
        <v>7</v>
      </c>
      <c r="B36" s="236" t="s">
        <v>2</v>
      </c>
      <c r="C36" s="171">
        <v>3427</v>
      </c>
      <c r="D36" s="178">
        <v>3196</v>
      </c>
      <c r="E36" s="177">
        <v>231</v>
      </c>
      <c r="F36" s="171">
        <v>3523</v>
      </c>
      <c r="G36" s="233">
        <v>3282</v>
      </c>
      <c r="H36" s="232">
        <v>241</v>
      </c>
      <c r="I36" s="46">
        <v>0.97275049673573655</v>
      </c>
      <c r="J36" s="39">
        <v>0.97379646556977451</v>
      </c>
      <c r="K36" s="38">
        <v>0.95850622406639008</v>
      </c>
      <c r="L36" s="226">
        <v>1.0318247500613065</v>
      </c>
    </row>
    <row r="37" spans="1:12" x14ac:dyDescent="0.2">
      <c r="A37" s="142"/>
      <c r="B37" s="236" t="s">
        <v>1</v>
      </c>
      <c r="C37" s="171">
        <v>1803</v>
      </c>
      <c r="D37" s="170">
        <v>1677</v>
      </c>
      <c r="E37" s="169">
        <v>126</v>
      </c>
      <c r="F37" s="171">
        <v>1881</v>
      </c>
      <c r="G37" s="228">
        <v>1759</v>
      </c>
      <c r="H37" s="227">
        <v>122</v>
      </c>
      <c r="I37" s="40">
        <v>0.95853269537480068</v>
      </c>
      <c r="J37" s="39">
        <v>0.95338260375213191</v>
      </c>
      <c r="K37" s="38">
        <v>1.0327868852459017</v>
      </c>
      <c r="L37" s="226"/>
    </row>
    <row r="38" spans="1:12" x14ac:dyDescent="0.2">
      <c r="A38" s="164"/>
      <c r="B38" s="235" t="s">
        <v>0</v>
      </c>
      <c r="C38" s="162">
        <v>1624</v>
      </c>
      <c r="D38" s="161">
        <v>1519</v>
      </c>
      <c r="E38" s="160">
        <v>105</v>
      </c>
      <c r="F38" s="162">
        <v>1642</v>
      </c>
      <c r="G38" s="225">
        <v>1523</v>
      </c>
      <c r="H38" s="224">
        <v>119</v>
      </c>
      <c r="I38" s="30">
        <v>0.98903775883069422</v>
      </c>
      <c r="J38" s="29">
        <v>0.99737360472751146</v>
      </c>
      <c r="K38" s="28">
        <v>0.88235294117647056</v>
      </c>
      <c r="L38" s="223"/>
    </row>
    <row r="39" spans="1:12" s="203" customFormat="1" x14ac:dyDescent="0.2">
      <c r="A39" s="181" t="s">
        <v>5</v>
      </c>
      <c r="B39" s="236" t="s">
        <v>2</v>
      </c>
      <c r="C39" s="171">
        <v>4474</v>
      </c>
      <c r="D39" s="178">
        <v>4060</v>
      </c>
      <c r="E39" s="177">
        <v>414</v>
      </c>
      <c r="F39" s="171">
        <v>4510</v>
      </c>
      <c r="G39" s="233">
        <v>4061</v>
      </c>
      <c r="H39" s="232">
        <v>449</v>
      </c>
      <c r="I39" s="46">
        <v>0.99201773835920182</v>
      </c>
      <c r="J39" s="39">
        <v>0.99975375523270127</v>
      </c>
      <c r="K39" s="38">
        <v>0.92204899777282856</v>
      </c>
      <c r="L39" s="226">
        <v>0.99434968027599002</v>
      </c>
    </row>
    <row r="40" spans="1:12" s="203" customFormat="1" x14ac:dyDescent="0.2">
      <c r="A40" s="142"/>
      <c r="B40" s="236" t="s">
        <v>1</v>
      </c>
      <c r="C40" s="171">
        <v>2285</v>
      </c>
      <c r="D40" s="170">
        <v>2075</v>
      </c>
      <c r="E40" s="169">
        <v>210</v>
      </c>
      <c r="F40" s="171">
        <v>2297</v>
      </c>
      <c r="G40" s="228">
        <v>2074</v>
      </c>
      <c r="H40" s="227">
        <v>223</v>
      </c>
      <c r="I40" s="40">
        <v>0.9947757945145842</v>
      </c>
      <c r="J40" s="39">
        <v>1.0004821600771456</v>
      </c>
      <c r="K40" s="38">
        <v>0.94170403587443952</v>
      </c>
      <c r="L40" s="226"/>
    </row>
    <row r="41" spans="1:12" s="203" customFormat="1" x14ac:dyDescent="0.2">
      <c r="A41" s="164"/>
      <c r="B41" s="235" t="s">
        <v>0</v>
      </c>
      <c r="C41" s="171">
        <v>2189</v>
      </c>
      <c r="D41" s="161">
        <v>1985</v>
      </c>
      <c r="E41" s="160">
        <v>204</v>
      </c>
      <c r="F41" s="171">
        <v>2213</v>
      </c>
      <c r="G41" s="225">
        <v>1987</v>
      </c>
      <c r="H41" s="224">
        <v>226</v>
      </c>
      <c r="I41" s="30">
        <v>0.98915499322187073</v>
      </c>
      <c r="J41" s="29">
        <v>0.99899345747357826</v>
      </c>
      <c r="K41" s="28">
        <v>0.90265486725663713</v>
      </c>
      <c r="L41" s="223"/>
    </row>
    <row r="42" spans="1:12" x14ac:dyDescent="0.2">
      <c r="A42" s="181" t="s">
        <v>4</v>
      </c>
      <c r="B42" s="237" t="s">
        <v>2</v>
      </c>
      <c r="C42" s="179">
        <v>5733</v>
      </c>
      <c r="D42" s="178">
        <v>5131</v>
      </c>
      <c r="E42" s="177">
        <v>602</v>
      </c>
      <c r="F42" s="179">
        <v>5721</v>
      </c>
      <c r="G42" s="233">
        <v>4979</v>
      </c>
      <c r="H42" s="232">
        <v>742</v>
      </c>
      <c r="I42" s="46">
        <v>1.0020975353959098</v>
      </c>
      <c r="J42" s="39">
        <v>1.0305282185177747</v>
      </c>
      <c r="K42" s="38">
        <v>0.81132075471698117</v>
      </c>
      <c r="L42" s="226">
        <v>1.0099087832867442</v>
      </c>
    </row>
    <row r="43" spans="1:12" x14ac:dyDescent="0.2">
      <c r="A43" s="142"/>
      <c r="B43" s="236" t="s">
        <v>1</v>
      </c>
      <c r="C43" s="171">
        <v>2913</v>
      </c>
      <c r="D43" s="170">
        <v>2583</v>
      </c>
      <c r="E43" s="169">
        <v>330</v>
      </c>
      <c r="F43" s="171">
        <v>2921</v>
      </c>
      <c r="G43" s="228">
        <v>2527</v>
      </c>
      <c r="H43" s="227">
        <v>394</v>
      </c>
      <c r="I43" s="40">
        <v>0.99726121191372818</v>
      </c>
      <c r="J43" s="39">
        <v>1.0221606648199446</v>
      </c>
      <c r="K43" s="38">
        <v>0.8375634517766497</v>
      </c>
      <c r="L43" s="226"/>
    </row>
    <row r="44" spans="1:12" x14ac:dyDescent="0.2">
      <c r="A44" s="164"/>
      <c r="B44" s="235" t="s">
        <v>0</v>
      </c>
      <c r="C44" s="162">
        <v>2820</v>
      </c>
      <c r="D44" s="161">
        <v>2548</v>
      </c>
      <c r="E44" s="160">
        <v>272</v>
      </c>
      <c r="F44" s="162">
        <v>2800</v>
      </c>
      <c r="G44" s="225">
        <v>2452</v>
      </c>
      <c r="H44" s="224">
        <v>348</v>
      </c>
      <c r="I44" s="30">
        <v>1.0071428571428571</v>
      </c>
      <c r="J44" s="29">
        <v>1.0391517128874388</v>
      </c>
      <c r="K44" s="28">
        <v>0.7816091954022989</v>
      </c>
      <c r="L44" s="223"/>
    </row>
    <row r="45" spans="1:12" ht="12" customHeight="1" x14ac:dyDescent="0.2">
      <c r="A45" s="155" t="s">
        <v>3</v>
      </c>
      <c r="B45" s="234" t="s">
        <v>2</v>
      </c>
      <c r="C45" s="114">
        <v>108834</v>
      </c>
      <c r="D45" s="115">
        <v>101464</v>
      </c>
      <c r="E45" s="116">
        <v>7370</v>
      </c>
      <c r="F45" s="114">
        <v>111698</v>
      </c>
      <c r="G45" s="117">
        <v>103056</v>
      </c>
      <c r="H45" s="122">
        <v>8642</v>
      </c>
      <c r="I45" s="222">
        <v>0.97435943347239884</v>
      </c>
      <c r="J45" s="20">
        <v>0.98455208818506446</v>
      </c>
      <c r="K45" s="19">
        <v>0.85281184910900254</v>
      </c>
      <c r="L45" s="221">
        <v>1.0109248090117575</v>
      </c>
    </row>
    <row r="46" spans="1:12" x14ac:dyDescent="0.2">
      <c r="A46" s="155"/>
      <c r="B46" s="154" t="s">
        <v>1</v>
      </c>
      <c r="C46" s="114">
        <v>56279</v>
      </c>
      <c r="D46" s="115">
        <v>52449</v>
      </c>
      <c r="E46" s="116">
        <v>3830</v>
      </c>
      <c r="F46" s="114">
        <v>58063</v>
      </c>
      <c r="G46" s="117">
        <v>53642</v>
      </c>
      <c r="H46" s="122">
        <v>4421</v>
      </c>
      <c r="I46" s="21">
        <v>0.96927475328522472</v>
      </c>
      <c r="J46" s="20">
        <v>0.97775996420715117</v>
      </c>
      <c r="K46" s="19">
        <v>0.86631983714091831</v>
      </c>
      <c r="L46" s="221"/>
    </row>
    <row r="47" spans="1:12" ht="12" thickBot="1" x14ac:dyDescent="0.25">
      <c r="A47" s="150"/>
      <c r="B47" s="149" t="s">
        <v>0</v>
      </c>
      <c r="C47" s="118">
        <v>52555</v>
      </c>
      <c r="D47" s="119">
        <v>49015</v>
      </c>
      <c r="E47" s="120">
        <v>3540</v>
      </c>
      <c r="F47" s="118">
        <v>53635</v>
      </c>
      <c r="G47" s="121">
        <v>49414</v>
      </c>
      <c r="H47" s="123">
        <v>4221</v>
      </c>
      <c r="I47" s="12">
        <v>0.9798638948447842</v>
      </c>
      <c r="J47" s="11">
        <v>0.99192536528109443</v>
      </c>
      <c r="K47" s="10">
        <v>0.83866382373845061</v>
      </c>
      <c r="L47" s="220"/>
    </row>
  </sheetData>
  <sheetProtection algorithmName="SHA-512" hashValue="jd/U8ByWiHeKPmV955XXBz67VMqR9cwurYlmqwLgEAXtx0alVo286fKPrhXK0ThH8TZvy4eSGa7VrdVDPqsqqA==" saltValue="OZN/IvZAlFez1/87bDLfhg==" spinCount="100000" sheet="1" objects="1" scenarios="1"/>
  <mergeCells count="10">
    <mergeCell ref="A8:B9"/>
    <mergeCell ref="C8:E8"/>
    <mergeCell ref="F8:H8"/>
    <mergeCell ref="I8:K8"/>
    <mergeCell ref="L8:L9"/>
    <mergeCell ref="A1:L1"/>
    <mergeCell ref="A2:L2"/>
    <mergeCell ref="A3:L3"/>
    <mergeCell ref="A4:L4"/>
    <mergeCell ref="A5:L5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>&amp;L&amp;8Prepared by RSD-OPS
&amp;D
&amp;Z&amp;F; &amp;A</oddFooter>
  </headerFooter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F907C-91F4-4596-A3E9-0D2FBA2817E8}">
  <dimension ref="A1:L47"/>
  <sheetViews>
    <sheetView showGridLines="0" zoomScaleNormal="75" workbookViewId="0">
      <pane xSplit="2" ySplit="9" topLeftCell="C10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RowHeight="11.25" x14ac:dyDescent="0.2"/>
  <cols>
    <col min="1" max="1" width="23.85546875" style="145" customWidth="1"/>
    <col min="2" max="2" width="10.7109375" style="143" customWidth="1"/>
    <col min="3" max="8" width="10.7109375" style="110" customWidth="1"/>
    <col min="9" max="11" width="9.7109375" style="219" customWidth="1"/>
    <col min="12" max="12" width="11.140625" style="218" customWidth="1"/>
    <col min="13" max="13" width="8.7109375" style="143" customWidth="1"/>
    <col min="14" max="223" width="8.7109375" style="143"/>
    <col min="224" max="224" width="23.85546875" style="143" customWidth="1"/>
    <col min="225" max="231" width="10.7109375" style="143" customWidth="1"/>
    <col min="232" max="232" width="9.7109375" style="143" bestFit="1" customWidth="1"/>
    <col min="233" max="233" width="11.140625" style="143" customWidth="1"/>
    <col min="234" max="234" width="8.7109375" style="143"/>
    <col min="235" max="243" width="8.7109375" style="143" customWidth="1"/>
    <col min="244" max="479" width="8.7109375" style="143"/>
    <col min="480" max="480" width="23.85546875" style="143" customWidth="1"/>
    <col min="481" max="487" width="10.7109375" style="143" customWidth="1"/>
    <col min="488" max="488" width="9.7109375" style="143" bestFit="1" customWidth="1"/>
    <col min="489" max="489" width="11.140625" style="143" customWidth="1"/>
    <col min="490" max="490" width="8.7109375" style="143"/>
    <col min="491" max="499" width="8.7109375" style="143" customWidth="1"/>
    <col min="500" max="735" width="8.7109375" style="143"/>
    <col min="736" max="736" width="23.85546875" style="143" customWidth="1"/>
    <col min="737" max="743" width="10.7109375" style="143" customWidth="1"/>
    <col min="744" max="744" width="9.7109375" style="143" bestFit="1" customWidth="1"/>
    <col min="745" max="745" width="11.140625" style="143" customWidth="1"/>
    <col min="746" max="746" width="8.7109375" style="143"/>
    <col min="747" max="755" width="8.7109375" style="143" customWidth="1"/>
    <col min="756" max="991" width="8.7109375" style="143"/>
    <col min="992" max="992" width="23.85546875" style="143" customWidth="1"/>
    <col min="993" max="999" width="10.7109375" style="143" customWidth="1"/>
    <col min="1000" max="1000" width="9.7109375" style="143" bestFit="1" customWidth="1"/>
    <col min="1001" max="1001" width="11.140625" style="143" customWidth="1"/>
    <col min="1002" max="1002" width="8.7109375" style="143"/>
    <col min="1003" max="1011" width="8.7109375" style="143" customWidth="1"/>
    <col min="1012" max="1247" width="8.7109375" style="143"/>
    <col min="1248" max="1248" width="23.85546875" style="143" customWidth="1"/>
    <col min="1249" max="1255" width="10.7109375" style="143" customWidth="1"/>
    <col min="1256" max="1256" width="9.7109375" style="143" bestFit="1" customWidth="1"/>
    <col min="1257" max="1257" width="11.140625" style="143" customWidth="1"/>
    <col min="1258" max="1258" width="8.7109375" style="143"/>
    <col min="1259" max="1267" width="8.7109375" style="143" customWidth="1"/>
    <col min="1268" max="1503" width="8.7109375" style="143"/>
    <col min="1504" max="1504" width="23.85546875" style="143" customWidth="1"/>
    <col min="1505" max="1511" width="10.7109375" style="143" customWidth="1"/>
    <col min="1512" max="1512" width="9.7109375" style="143" bestFit="1" customWidth="1"/>
    <col min="1513" max="1513" width="11.140625" style="143" customWidth="1"/>
    <col min="1514" max="1514" width="8.7109375" style="143"/>
    <col min="1515" max="1523" width="8.7109375" style="143" customWidth="1"/>
    <col min="1524" max="1759" width="8.7109375" style="143"/>
    <col min="1760" max="1760" width="23.85546875" style="143" customWidth="1"/>
    <col min="1761" max="1767" width="10.7109375" style="143" customWidth="1"/>
    <col min="1768" max="1768" width="9.7109375" style="143" bestFit="1" customWidth="1"/>
    <col min="1769" max="1769" width="11.140625" style="143" customWidth="1"/>
    <col min="1770" max="1770" width="8.7109375" style="143"/>
    <col min="1771" max="1779" width="8.7109375" style="143" customWidth="1"/>
    <col min="1780" max="2015" width="8.7109375" style="143"/>
    <col min="2016" max="2016" width="23.85546875" style="143" customWidth="1"/>
    <col min="2017" max="2023" width="10.7109375" style="143" customWidth="1"/>
    <col min="2024" max="2024" width="9.7109375" style="143" bestFit="1" customWidth="1"/>
    <col min="2025" max="2025" width="11.140625" style="143" customWidth="1"/>
    <col min="2026" max="2026" width="8.7109375" style="143"/>
    <col min="2027" max="2035" width="8.7109375" style="143" customWidth="1"/>
    <col min="2036" max="2271" width="8.7109375" style="143"/>
    <col min="2272" max="2272" width="23.85546875" style="143" customWidth="1"/>
    <col min="2273" max="2279" width="10.7109375" style="143" customWidth="1"/>
    <col min="2280" max="2280" width="9.7109375" style="143" bestFit="1" customWidth="1"/>
    <col min="2281" max="2281" width="11.140625" style="143" customWidth="1"/>
    <col min="2282" max="2282" width="8.7109375" style="143"/>
    <col min="2283" max="2291" width="8.7109375" style="143" customWidth="1"/>
    <col min="2292" max="2527" width="8.7109375" style="143"/>
    <col min="2528" max="2528" width="23.85546875" style="143" customWidth="1"/>
    <col min="2529" max="2535" width="10.7109375" style="143" customWidth="1"/>
    <col min="2536" max="2536" width="9.7109375" style="143" bestFit="1" customWidth="1"/>
    <col min="2537" max="2537" width="11.140625" style="143" customWidth="1"/>
    <col min="2538" max="2538" width="8.7109375" style="143"/>
    <col min="2539" max="2547" width="8.7109375" style="143" customWidth="1"/>
    <col min="2548" max="2783" width="8.7109375" style="143"/>
    <col min="2784" max="2784" width="23.85546875" style="143" customWidth="1"/>
    <col min="2785" max="2791" width="10.7109375" style="143" customWidth="1"/>
    <col min="2792" max="2792" width="9.7109375" style="143" bestFit="1" customWidth="1"/>
    <col min="2793" max="2793" width="11.140625" style="143" customWidth="1"/>
    <col min="2794" max="2794" width="8.7109375" style="143"/>
    <col min="2795" max="2803" width="8.7109375" style="143" customWidth="1"/>
    <col min="2804" max="3039" width="8.7109375" style="143"/>
    <col min="3040" max="3040" width="23.85546875" style="143" customWidth="1"/>
    <col min="3041" max="3047" width="10.7109375" style="143" customWidth="1"/>
    <col min="3048" max="3048" width="9.7109375" style="143" bestFit="1" customWidth="1"/>
    <col min="3049" max="3049" width="11.140625" style="143" customWidth="1"/>
    <col min="3050" max="3050" width="8.7109375" style="143"/>
    <col min="3051" max="3059" width="8.7109375" style="143" customWidth="1"/>
    <col min="3060" max="3295" width="8.7109375" style="143"/>
    <col min="3296" max="3296" width="23.85546875" style="143" customWidth="1"/>
    <col min="3297" max="3303" width="10.7109375" style="143" customWidth="1"/>
    <col min="3304" max="3304" width="9.7109375" style="143" bestFit="1" customWidth="1"/>
    <col min="3305" max="3305" width="11.140625" style="143" customWidth="1"/>
    <col min="3306" max="3306" width="8.7109375" style="143"/>
    <col min="3307" max="3315" width="8.7109375" style="143" customWidth="1"/>
    <col min="3316" max="3551" width="8.7109375" style="143"/>
    <col min="3552" max="3552" width="23.85546875" style="143" customWidth="1"/>
    <col min="3553" max="3559" width="10.7109375" style="143" customWidth="1"/>
    <col min="3560" max="3560" width="9.7109375" style="143" bestFit="1" customWidth="1"/>
    <col min="3561" max="3561" width="11.140625" style="143" customWidth="1"/>
    <col min="3562" max="3562" width="8.7109375" style="143"/>
    <col min="3563" max="3571" width="8.7109375" style="143" customWidth="1"/>
    <col min="3572" max="3807" width="8.7109375" style="143"/>
    <col min="3808" max="3808" width="23.85546875" style="143" customWidth="1"/>
    <col min="3809" max="3815" width="10.7109375" style="143" customWidth="1"/>
    <col min="3816" max="3816" width="9.7109375" style="143" bestFit="1" customWidth="1"/>
    <col min="3817" max="3817" width="11.140625" style="143" customWidth="1"/>
    <col min="3818" max="3818" width="8.7109375" style="143"/>
    <col min="3819" max="3827" width="8.7109375" style="143" customWidth="1"/>
    <col min="3828" max="4063" width="8.7109375" style="143"/>
    <col min="4064" max="4064" width="23.85546875" style="143" customWidth="1"/>
    <col min="4065" max="4071" width="10.7109375" style="143" customWidth="1"/>
    <col min="4072" max="4072" width="9.7109375" style="143" bestFit="1" customWidth="1"/>
    <col min="4073" max="4073" width="11.140625" style="143" customWidth="1"/>
    <col min="4074" max="4074" width="8.7109375" style="143"/>
    <col min="4075" max="4083" width="8.7109375" style="143" customWidth="1"/>
    <col min="4084" max="4319" width="8.7109375" style="143"/>
    <col min="4320" max="4320" width="23.85546875" style="143" customWidth="1"/>
    <col min="4321" max="4327" width="10.7109375" style="143" customWidth="1"/>
    <col min="4328" max="4328" width="9.7109375" style="143" bestFit="1" customWidth="1"/>
    <col min="4329" max="4329" width="11.140625" style="143" customWidth="1"/>
    <col min="4330" max="4330" width="8.7109375" style="143"/>
    <col min="4331" max="4339" width="8.7109375" style="143" customWidth="1"/>
    <col min="4340" max="4575" width="8.7109375" style="143"/>
    <col min="4576" max="4576" width="23.85546875" style="143" customWidth="1"/>
    <col min="4577" max="4583" width="10.7109375" style="143" customWidth="1"/>
    <col min="4584" max="4584" width="9.7109375" style="143" bestFit="1" customWidth="1"/>
    <col min="4585" max="4585" width="11.140625" style="143" customWidth="1"/>
    <col min="4586" max="4586" width="8.7109375" style="143"/>
    <col min="4587" max="4595" width="8.7109375" style="143" customWidth="1"/>
    <col min="4596" max="4831" width="8.7109375" style="143"/>
    <col min="4832" max="4832" width="23.85546875" style="143" customWidth="1"/>
    <col min="4833" max="4839" width="10.7109375" style="143" customWidth="1"/>
    <col min="4840" max="4840" width="9.7109375" style="143" bestFit="1" customWidth="1"/>
    <col min="4841" max="4841" width="11.140625" style="143" customWidth="1"/>
    <col min="4842" max="4842" width="8.7109375" style="143"/>
    <col min="4843" max="4851" width="8.7109375" style="143" customWidth="1"/>
    <col min="4852" max="5087" width="8.7109375" style="143"/>
    <col min="5088" max="5088" width="23.85546875" style="143" customWidth="1"/>
    <col min="5089" max="5095" width="10.7109375" style="143" customWidth="1"/>
    <col min="5096" max="5096" width="9.7109375" style="143" bestFit="1" customWidth="1"/>
    <col min="5097" max="5097" width="11.140625" style="143" customWidth="1"/>
    <col min="5098" max="5098" width="8.7109375" style="143"/>
    <col min="5099" max="5107" width="8.7109375" style="143" customWidth="1"/>
    <col min="5108" max="5343" width="8.7109375" style="143"/>
    <col min="5344" max="5344" width="23.85546875" style="143" customWidth="1"/>
    <col min="5345" max="5351" width="10.7109375" style="143" customWidth="1"/>
    <col min="5352" max="5352" width="9.7109375" style="143" bestFit="1" customWidth="1"/>
    <col min="5353" max="5353" width="11.140625" style="143" customWidth="1"/>
    <col min="5354" max="5354" width="8.7109375" style="143"/>
    <col min="5355" max="5363" width="8.7109375" style="143" customWidth="1"/>
    <col min="5364" max="5599" width="8.7109375" style="143"/>
    <col min="5600" max="5600" width="23.85546875" style="143" customWidth="1"/>
    <col min="5601" max="5607" width="10.7109375" style="143" customWidth="1"/>
    <col min="5608" max="5608" width="9.7109375" style="143" bestFit="1" customWidth="1"/>
    <col min="5609" max="5609" width="11.140625" style="143" customWidth="1"/>
    <col min="5610" max="5610" width="8.7109375" style="143"/>
    <col min="5611" max="5619" width="8.7109375" style="143" customWidth="1"/>
    <col min="5620" max="5855" width="8.7109375" style="143"/>
    <col min="5856" max="5856" width="23.85546875" style="143" customWidth="1"/>
    <col min="5857" max="5863" width="10.7109375" style="143" customWidth="1"/>
    <col min="5864" max="5864" width="9.7109375" style="143" bestFit="1" customWidth="1"/>
    <col min="5865" max="5865" width="11.140625" style="143" customWidth="1"/>
    <col min="5866" max="5866" width="8.7109375" style="143"/>
    <col min="5867" max="5875" width="8.7109375" style="143" customWidth="1"/>
    <col min="5876" max="6111" width="8.7109375" style="143"/>
    <col min="6112" max="6112" width="23.85546875" style="143" customWidth="1"/>
    <col min="6113" max="6119" width="10.7109375" style="143" customWidth="1"/>
    <col min="6120" max="6120" width="9.7109375" style="143" bestFit="1" customWidth="1"/>
    <col min="6121" max="6121" width="11.140625" style="143" customWidth="1"/>
    <col min="6122" max="6122" width="8.7109375" style="143"/>
    <col min="6123" max="6131" width="8.7109375" style="143" customWidth="1"/>
    <col min="6132" max="6367" width="8.7109375" style="143"/>
    <col min="6368" max="6368" width="23.85546875" style="143" customWidth="1"/>
    <col min="6369" max="6375" width="10.7109375" style="143" customWidth="1"/>
    <col min="6376" max="6376" width="9.7109375" style="143" bestFit="1" customWidth="1"/>
    <col min="6377" max="6377" width="11.140625" style="143" customWidth="1"/>
    <col min="6378" max="6378" width="8.7109375" style="143"/>
    <col min="6379" max="6387" width="8.7109375" style="143" customWidth="1"/>
    <col min="6388" max="6623" width="8.7109375" style="143"/>
    <col min="6624" max="6624" width="23.85546875" style="143" customWidth="1"/>
    <col min="6625" max="6631" width="10.7109375" style="143" customWidth="1"/>
    <col min="6632" max="6632" width="9.7109375" style="143" bestFit="1" customWidth="1"/>
    <col min="6633" max="6633" width="11.140625" style="143" customWidth="1"/>
    <col min="6634" max="6634" width="8.7109375" style="143"/>
    <col min="6635" max="6643" width="8.7109375" style="143" customWidth="1"/>
    <col min="6644" max="6879" width="8.7109375" style="143"/>
    <col min="6880" max="6880" width="23.85546875" style="143" customWidth="1"/>
    <col min="6881" max="6887" width="10.7109375" style="143" customWidth="1"/>
    <col min="6888" max="6888" width="9.7109375" style="143" bestFit="1" customWidth="1"/>
    <col min="6889" max="6889" width="11.140625" style="143" customWidth="1"/>
    <col min="6890" max="6890" width="8.7109375" style="143"/>
    <col min="6891" max="6899" width="8.7109375" style="143" customWidth="1"/>
    <col min="6900" max="7135" width="8.7109375" style="143"/>
    <col min="7136" max="7136" width="23.85546875" style="143" customWidth="1"/>
    <col min="7137" max="7143" width="10.7109375" style="143" customWidth="1"/>
    <col min="7144" max="7144" width="9.7109375" style="143" bestFit="1" customWidth="1"/>
    <col min="7145" max="7145" width="11.140625" style="143" customWidth="1"/>
    <col min="7146" max="7146" width="8.7109375" style="143"/>
    <col min="7147" max="7155" width="8.7109375" style="143" customWidth="1"/>
    <col min="7156" max="7391" width="8.7109375" style="143"/>
    <col min="7392" max="7392" width="23.85546875" style="143" customWidth="1"/>
    <col min="7393" max="7399" width="10.7109375" style="143" customWidth="1"/>
    <col min="7400" max="7400" width="9.7109375" style="143" bestFit="1" customWidth="1"/>
    <col min="7401" max="7401" width="11.140625" style="143" customWidth="1"/>
    <col min="7402" max="7402" width="8.7109375" style="143"/>
    <col min="7403" max="7411" width="8.7109375" style="143" customWidth="1"/>
    <col min="7412" max="7647" width="8.7109375" style="143"/>
    <col min="7648" max="7648" width="23.85546875" style="143" customWidth="1"/>
    <col min="7649" max="7655" width="10.7109375" style="143" customWidth="1"/>
    <col min="7656" max="7656" width="9.7109375" style="143" bestFit="1" customWidth="1"/>
    <col min="7657" max="7657" width="11.140625" style="143" customWidth="1"/>
    <col min="7658" max="7658" width="8.7109375" style="143"/>
    <col min="7659" max="7667" width="8.7109375" style="143" customWidth="1"/>
    <col min="7668" max="7903" width="8.7109375" style="143"/>
    <col min="7904" max="7904" width="23.85546875" style="143" customWidth="1"/>
    <col min="7905" max="7911" width="10.7109375" style="143" customWidth="1"/>
    <col min="7912" max="7912" width="9.7109375" style="143" bestFit="1" customWidth="1"/>
    <col min="7913" max="7913" width="11.140625" style="143" customWidth="1"/>
    <col min="7914" max="7914" width="8.7109375" style="143"/>
    <col min="7915" max="7923" width="8.7109375" style="143" customWidth="1"/>
    <col min="7924" max="8159" width="8.7109375" style="143"/>
    <col min="8160" max="8160" width="23.85546875" style="143" customWidth="1"/>
    <col min="8161" max="8167" width="10.7109375" style="143" customWidth="1"/>
    <col min="8168" max="8168" width="9.7109375" style="143" bestFit="1" customWidth="1"/>
    <col min="8169" max="8169" width="11.140625" style="143" customWidth="1"/>
    <col min="8170" max="8170" width="8.7109375" style="143"/>
    <col min="8171" max="8179" width="8.7109375" style="143" customWidth="1"/>
    <col min="8180" max="8415" width="8.7109375" style="143"/>
    <col min="8416" max="8416" width="23.85546875" style="143" customWidth="1"/>
    <col min="8417" max="8423" width="10.7109375" style="143" customWidth="1"/>
    <col min="8424" max="8424" width="9.7109375" style="143" bestFit="1" customWidth="1"/>
    <col min="8425" max="8425" width="11.140625" style="143" customWidth="1"/>
    <col min="8426" max="8426" width="8.7109375" style="143"/>
    <col min="8427" max="8435" width="8.7109375" style="143" customWidth="1"/>
    <col min="8436" max="8671" width="8.7109375" style="143"/>
    <col min="8672" max="8672" width="23.85546875" style="143" customWidth="1"/>
    <col min="8673" max="8679" width="10.7109375" style="143" customWidth="1"/>
    <col min="8680" max="8680" width="9.7109375" style="143" bestFit="1" customWidth="1"/>
    <col min="8681" max="8681" width="11.140625" style="143" customWidth="1"/>
    <col min="8682" max="8682" width="8.7109375" style="143"/>
    <col min="8683" max="8691" width="8.7109375" style="143" customWidth="1"/>
    <col min="8692" max="8927" width="8.7109375" style="143"/>
    <col min="8928" max="8928" width="23.85546875" style="143" customWidth="1"/>
    <col min="8929" max="8935" width="10.7109375" style="143" customWidth="1"/>
    <col min="8936" max="8936" width="9.7109375" style="143" bestFit="1" customWidth="1"/>
    <col min="8937" max="8937" width="11.140625" style="143" customWidth="1"/>
    <col min="8938" max="8938" width="8.7109375" style="143"/>
    <col min="8939" max="8947" width="8.7109375" style="143" customWidth="1"/>
    <col min="8948" max="9183" width="8.7109375" style="143"/>
    <col min="9184" max="9184" width="23.85546875" style="143" customWidth="1"/>
    <col min="9185" max="9191" width="10.7109375" style="143" customWidth="1"/>
    <col min="9192" max="9192" width="9.7109375" style="143" bestFit="1" customWidth="1"/>
    <col min="9193" max="9193" width="11.140625" style="143" customWidth="1"/>
    <col min="9194" max="9194" width="8.7109375" style="143"/>
    <col min="9195" max="9203" width="8.7109375" style="143" customWidth="1"/>
    <col min="9204" max="9439" width="8.7109375" style="143"/>
    <col min="9440" max="9440" width="23.85546875" style="143" customWidth="1"/>
    <col min="9441" max="9447" width="10.7109375" style="143" customWidth="1"/>
    <col min="9448" max="9448" width="9.7109375" style="143" bestFit="1" customWidth="1"/>
    <col min="9449" max="9449" width="11.140625" style="143" customWidth="1"/>
    <col min="9450" max="9450" width="8.7109375" style="143"/>
    <col min="9451" max="9459" width="8.7109375" style="143" customWidth="1"/>
    <col min="9460" max="9695" width="8.7109375" style="143"/>
    <col min="9696" max="9696" width="23.85546875" style="143" customWidth="1"/>
    <col min="9697" max="9703" width="10.7109375" style="143" customWidth="1"/>
    <col min="9704" max="9704" width="9.7109375" style="143" bestFit="1" customWidth="1"/>
    <col min="9705" max="9705" width="11.140625" style="143" customWidth="1"/>
    <col min="9706" max="9706" width="8.7109375" style="143"/>
    <col min="9707" max="9715" width="8.7109375" style="143" customWidth="1"/>
    <col min="9716" max="9951" width="8.7109375" style="143"/>
    <col min="9952" max="9952" width="23.85546875" style="143" customWidth="1"/>
    <col min="9953" max="9959" width="10.7109375" style="143" customWidth="1"/>
    <col min="9960" max="9960" width="9.7109375" style="143" bestFit="1" customWidth="1"/>
    <col min="9961" max="9961" width="11.140625" style="143" customWidth="1"/>
    <col min="9962" max="9962" width="8.7109375" style="143"/>
    <col min="9963" max="9971" width="8.7109375" style="143" customWidth="1"/>
    <col min="9972" max="10207" width="8.7109375" style="143"/>
    <col min="10208" max="10208" width="23.85546875" style="143" customWidth="1"/>
    <col min="10209" max="10215" width="10.7109375" style="143" customWidth="1"/>
    <col min="10216" max="10216" width="9.7109375" style="143" bestFit="1" customWidth="1"/>
    <col min="10217" max="10217" width="11.140625" style="143" customWidth="1"/>
    <col min="10218" max="10218" width="8.7109375" style="143"/>
    <col min="10219" max="10227" width="8.7109375" style="143" customWidth="1"/>
    <col min="10228" max="10463" width="8.7109375" style="143"/>
    <col min="10464" max="10464" width="23.85546875" style="143" customWidth="1"/>
    <col min="10465" max="10471" width="10.7109375" style="143" customWidth="1"/>
    <col min="10472" max="10472" width="9.7109375" style="143" bestFit="1" customWidth="1"/>
    <col min="10473" max="10473" width="11.140625" style="143" customWidth="1"/>
    <col min="10474" max="10474" width="8.7109375" style="143"/>
    <col min="10475" max="10483" width="8.7109375" style="143" customWidth="1"/>
    <col min="10484" max="10719" width="8.7109375" style="143"/>
    <col min="10720" max="10720" width="23.85546875" style="143" customWidth="1"/>
    <col min="10721" max="10727" width="10.7109375" style="143" customWidth="1"/>
    <col min="10728" max="10728" width="9.7109375" style="143" bestFit="1" customWidth="1"/>
    <col min="10729" max="10729" width="11.140625" style="143" customWidth="1"/>
    <col min="10730" max="10730" width="8.7109375" style="143"/>
    <col min="10731" max="10739" width="8.7109375" style="143" customWidth="1"/>
    <col min="10740" max="10975" width="8.7109375" style="143"/>
    <col min="10976" max="10976" width="23.85546875" style="143" customWidth="1"/>
    <col min="10977" max="10983" width="10.7109375" style="143" customWidth="1"/>
    <col min="10984" max="10984" width="9.7109375" style="143" bestFit="1" customWidth="1"/>
    <col min="10985" max="10985" width="11.140625" style="143" customWidth="1"/>
    <col min="10986" max="10986" width="8.7109375" style="143"/>
    <col min="10987" max="10995" width="8.7109375" style="143" customWidth="1"/>
    <col min="10996" max="11231" width="8.7109375" style="143"/>
    <col min="11232" max="11232" width="23.85546875" style="143" customWidth="1"/>
    <col min="11233" max="11239" width="10.7109375" style="143" customWidth="1"/>
    <col min="11240" max="11240" width="9.7109375" style="143" bestFit="1" customWidth="1"/>
    <col min="11241" max="11241" width="11.140625" style="143" customWidth="1"/>
    <col min="11242" max="11242" width="8.7109375" style="143"/>
    <col min="11243" max="11251" width="8.7109375" style="143" customWidth="1"/>
    <col min="11252" max="11487" width="8.7109375" style="143"/>
    <col min="11488" max="11488" width="23.85546875" style="143" customWidth="1"/>
    <col min="11489" max="11495" width="10.7109375" style="143" customWidth="1"/>
    <col min="11496" max="11496" width="9.7109375" style="143" bestFit="1" customWidth="1"/>
    <col min="11497" max="11497" width="11.140625" style="143" customWidth="1"/>
    <col min="11498" max="11498" width="8.7109375" style="143"/>
    <col min="11499" max="11507" width="8.7109375" style="143" customWidth="1"/>
    <col min="11508" max="11743" width="8.7109375" style="143"/>
    <col min="11744" max="11744" width="23.85546875" style="143" customWidth="1"/>
    <col min="11745" max="11751" width="10.7109375" style="143" customWidth="1"/>
    <col min="11752" max="11752" width="9.7109375" style="143" bestFit="1" customWidth="1"/>
    <col min="11753" max="11753" width="11.140625" style="143" customWidth="1"/>
    <col min="11754" max="11754" width="8.7109375" style="143"/>
    <col min="11755" max="11763" width="8.7109375" style="143" customWidth="1"/>
    <col min="11764" max="11999" width="8.7109375" style="143"/>
    <col min="12000" max="12000" width="23.85546875" style="143" customWidth="1"/>
    <col min="12001" max="12007" width="10.7109375" style="143" customWidth="1"/>
    <col min="12008" max="12008" width="9.7109375" style="143" bestFit="1" customWidth="1"/>
    <col min="12009" max="12009" width="11.140625" style="143" customWidth="1"/>
    <col min="12010" max="12010" width="8.7109375" style="143"/>
    <col min="12011" max="12019" width="8.7109375" style="143" customWidth="1"/>
    <col min="12020" max="12255" width="8.7109375" style="143"/>
    <col min="12256" max="12256" width="23.85546875" style="143" customWidth="1"/>
    <col min="12257" max="12263" width="10.7109375" style="143" customWidth="1"/>
    <col min="12264" max="12264" width="9.7109375" style="143" bestFit="1" customWidth="1"/>
    <col min="12265" max="12265" width="11.140625" style="143" customWidth="1"/>
    <col min="12266" max="12266" width="8.7109375" style="143"/>
    <col min="12267" max="12275" width="8.7109375" style="143" customWidth="1"/>
    <col min="12276" max="12511" width="8.7109375" style="143"/>
    <col min="12512" max="12512" width="23.85546875" style="143" customWidth="1"/>
    <col min="12513" max="12519" width="10.7109375" style="143" customWidth="1"/>
    <col min="12520" max="12520" width="9.7109375" style="143" bestFit="1" customWidth="1"/>
    <col min="12521" max="12521" width="11.140625" style="143" customWidth="1"/>
    <col min="12522" max="12522" width="8.7109375" style="143"/>
    <col min="12523" max="12531" width="8.7109375" style="143" customWidth="1"/>
    <col min="12532" max="12767" width="8.7109375" style="143"/>
    <col min="12768" max="12768" width="23.85546875" style="143" customWidth="1"/>
    <col min="12769" max="12775" width="10.7109375" style="143" customWidth="1"/>
    <col min="12776" max="12776" width="9.7109375" style="143" bestFit="1" customWidth="1"/>
    <col min="12777" max="12777" width="11.140625" style="143" customWidth="1"/>
    <col min="12778" max="12778" width="8.7109375" style="143"/>
    <col min="12779" max="12787" width="8.7109375" style="143" customWidth="1"/>
    <col min="12788" max="13023" width="8.7109375" style="143"/>
    <col min="13024" max="13024" width="23.85546875" style="143" customWidth="1"/>
    <col min="13025" max="13031" width="10.7109375" style="143" customWidth="1"/>
    <col min="13032" max="13032" width="9.7109375" style="143" bestFit="1" customWidth="1"/>
    <col min="13033" max="13033" width="11.140625" style="143" customWidth="1"/>
    <col min="13034" max="13034" width="8.7109375" style="143"/>
    <col min="13035" max="13043" width="8.7109375" style="143" customWidth="1"/>
    <col min="13044" max="13279" width="8.7109375" style="143"/>
    <col min="13280" max="13280" width="23.85546875" style="143" customWidth="1"/>
    <col min="13281" max="13287" width="10.7109375" style="143" customWidth="1"/>
    <col min="13288" max="13288" width="9.7109375" style="143" bestFit="1" customWidth="1"/>
    <col min="13289" max="13289" width="11.140625" style="143" customWidth="1"/>
    <col min="13290" max="13290" width="8.7109375" style="143"/>
    <col min="13291" max="13299" width="8.7109375" style="143" customWidth="1"/>
    <col min="13300" max="13535" width="8.7109375" style="143"/>
    <col min="13536" max="13536" width="23.85546875" style="143" customWidth="1"/>
    <col min="13537" max="13543" width="10.7109375" style="143" customWidth="1"/>
    <col min="13544" max="13544" width="9.7109375" style="143" bestFit="1" customWidth="1"/>
    <col min="13545" max="13545" width="11.140625" style="143" customWidth="1"/>
    <col min="13546" max="13546" width="8.7109375" style="143"/>
    <col min="13547" max="13555" width="8.7109375" style="143" customWidth="1"/>
    <col min="13556" max="13791" width="8.7109375" style="143"/>
    <col min="13792" max="13792" width="23.85546875" style="143" customWidth="1"/>
    <col min="13793" max="13799" width="10.7109375" style="143" customWidth="1"/>
    <col min="13800" max="13800" width="9.7109375" style="143" bestFit="1" customWidth="1"/>
    <col min="13801" max="13801" width="11.140625" style="143" customWidth="1"/>
    <col min="13802" max="13802" width="8.7109375" style="143"/>
    <col min="13803" max="13811" width="8.7109375" style="143" customWidth="1"/>
    <col min="13812" max="14047" width="8.7109375" style="143"/>
    <col min="14048" max="14048" width="23.85546875" style="143" customWidth="1"/>
    <col min="14049" max="14055" width="10.7109375" style="143" customWidth="1"/>
    <col min="14056" max="14056" width="9.7109375" style="143" bestFit="1" customWidth="1"/>
    <col min="14057" max="14057" width="11.140625" style="143" customWidth="1"/>
    <col min="14058" max="14058" width="8.7109375" style="143"/>
    <col min="14059" max="14067" width="8.7109375" style="143" customWidth="1"/>
    <col min="14068" max="14303" width="8.7109375" style="143"/>
    <col min="14304" max="14304" width="23.85546875" style="143" customWidth="1"/>
    <col min="14305" max="14311" width="10.7109375" style="143" customWidth="1"/>
    <col min="14312" max="14312" width="9.7109375" style="143" bestFit="1" customWidth="1"/>
    <col min="14313" max="14313" width="11.140625" style="143" customWidth="1"/>
    <col min="14314" max="14314" width="8.7109375" style="143"/>
    <col min="14315" max="14323" width="8.7109375" style="143" customWidth="1"/>
    <col min="14324" max="14559" width="8.7109375" style="143"/>
    <col min="14560" max="14560" width="23.85546875" style="143" customWidth="1"/>
    <col min="14561" max="14567" width="10.7109375" style="143" customWidth="1"/>
    <col min="14568" max="14568" width="9.7109375" style="143" bestFit="1" customWidth="1"/>
    <col min="14569" max="14569" width="11.140625" style="143" customWidth="1"/>
    <col min="14570" max="14570" width="8.7109375" style="143"/>
    <col min="14571" max="14579" width="8.7109375" style="143" customWidth="1"/>
    <col min="14580" max="14815" width="8.7109375" style="143"/>
    <col min="14816" max="14816" width="23.85546875" style="143" customWidth="1"/>
    <col min="14817" max="14823" width="10.7109375" style="143" customWidth="1"/>
    <col min="14824" max="14824" width="9.7109375" style="143" bestFit="1" customWidth="1"/>
    <col min="14825" max="14825" width="11.140625" style="143" customWidth="1"/>
    <col min="14826" max="14826" width="8.7109375" style="143"/>
    <col min="14827" max="14835" width="8.7109375" style="143" customWidth="1"/>
    <col min="14836" max="15071" width="8.7109375" style="143"/>
    <col min="15072" max="15072" width="23.85546875" style="143" customWidth="1"/>
    <col min="15073" max="15079" width="10.7109375" style="143" customWidth="1"/>
    <col min="15080" max="15080" width="9.7109375" style="143" bestFit="1" customWidth="1"/>
    <col min="15081" max="15081" width="11.140625" style="143" customWidth="1"/>
    <col min="15082" max="15082" width="8.7109375" style="143"/>
    <col min="15083" max="15091" width="8.7109375" style="143" customWidth="1"/>
    <col min="15092" max="15327" width="8.7109375" style="143"/>
    <col min="15328" max="15328" width="23.85546875" style="143" customWidth="1"/>
    <col min="15329" max="15335" width="10.7109375" style="143" customWidth="1"/>
    <col min="15336" max="15336" width="9.7109375" style="143" bestFit="1" customWidth="1"/>
    <col min="15337" max="15337" width="11.140625" style="143" customWidth="1"/>
    <col min="15338" max="15338" width="8.7109375" style="143"/>
    <col min="15339" max="15347" width="8.7109375" style="143" customWidth="1"/>
    <col min="15348" max="15583" width="8.7109375" style="143"/>
    <col min="15584" max="15584" width="23.85546875" style="143" customWidth="1"/>
    <col min="15585" max="15591" width="10.7109375" style="143" customWidth="1"/>
    <col min="15592" max="15592" width="9.7109375" style="143" bestFit="1" customWidth="1"/>
    <col min="15593" max="15593" width="11.140625" style="143" customWidth="1"/>
    <col min="15594" max="15594" width="8.7109375" style="143"/>
    <col min="15595" max="15603" width="8.7109375" style="143" customWidth="1"/>
    <col min="15604" max="15839" width="8.7109375" style="143"/>
    <col min="15840" max="15840" width="23.85546875" style="143" customWidth="1"/>
    <col min="15841" max="15847" width="10.7109375" style="143" customWidth="1"/>
    <col min="15848" max="15848" width="9.7109375" style="143" bestFit="1" customWidth="1"/>
    <col min="15849" max="15849" width="11.140625" style="143" customWidth="1"/>
    <col min="15850" max="15850" width="8.7109375" style="143"/>
    <col min="15851" max="15859" width="8.7109375" style="143" customWidth="1"/>
    <col min="15860" max="16095" width="8.7109375" style="143"/>
    <col min="16096" max="16096" width="23.85546875" style="143" customWidth="1"/>
    <col min="16097" max="16103" width="10.7109375" style="143" customWidth="1"/>
    <col min="16104" max="16104" width="9.7109375" style="143" bestFit="1" customWidth="1"/>
    <col min="16105" max="16105" width="11.140625" style="143" customWidth="1"/>
    <col min="16106" max="16106" width="8.7109375" style="143"/>
    <col min="16107" max="16115" width="8.7109375" style="143" customWidth="1"/>
    <col min="16116" max="16360" width="8.7109375" style="143"/>
    <col min="16361" max="16361" width="8.7109375" style="143" customWidth="1"/>
    <col min="16362" max="16384" width="8.7109375" style="143"/>
  </cols>
  <sheetData>
    <row r="1" spans="1:12" x14ac:dyDescent="0.2">
      <c r="A1" s="598" t="s">
        <v>23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599"/>
    </row>
    <row r="2" spans="1:12" x14ac:dyDescent="0.2">
      <c r="A2" s="598" t="s">
        <v>67</v>
      </c>
      <c r="B2" s="599"/>
      <c r="C2" s="599"/>
      <c r="D2" s="599"/>
      <c r="E2" s="599"/>
      <c r="F2" s="599"/>
      <c r="G2" s="599"/>
      <c r="H2" s="599"/>
      <c r="I2" s="599"/>
      <c r="J2" s="599"/>
      <c r="K2" s="599"/>
      <c r="L2" s="599"/>
    </row>
    <row r="3" spans="1:12" ht="9.9499999999999993" customHeight="1" x14ac:dyDescent="0.2">
      <c r="A3" s="598" t="s">
        <v>70</v>
      </c>
      <c r="B3" s="599"/>
      <c r="C3" s="599"/>
      <c r="D3" s="599"/>
      <c r="E3" s="599"/>
      <c r="F3" s="599"/>
      <c r="G3" s="599"/>
      <c r="H3" s="599"/>
      <c r="I3" s="599"/>
      <c r="J3" s="599"/>
      <c r="K3" s="599"/>
      <c r="L3" s="599"/>
    </row>
    <row r="4" spans="1:12" x14ac:dyDescent="0.2">
      <c r="A4" s="598" t="s">
        <v>65</v>
      </c>
      <c r="B4" s="599"/>
      <c r="C4" s="599"/>
      <c r="D4" s="599"/>
      <c r="E4" s="599"/>
      <c r="F4" s="599"/>
      <c r="G4" s="599"/>
      <c r="H4" s="599"/>
      <c r="I4" s="599"/>
      <c r="J4" s="599"/>
      <c r="K4" s="599"/>
      <c r="L4" s="599"/>
    </row>
    <row r="5" spans="1:12" x14ac:dyDescent="0.2">
      <c r="A5" s="598" t="s">
        <v>64</v>
      </c>
      <c r="B5" s="599"/>
      <c r="C5" s="599"/>
      <c r="D5" s="599"/>
      <c r="E5" s="599"/>
      <c r="F5" s="599"/>
      <c r="G5" s="599"/>
      <c r="H5" s="599"/>
      <c r="I5" s="599"/>
      <c r="J5" s="599"/>
      <c r="K5" s="599"/>
      <c r="L5" s="599"/>
    </row>
    <row r="6" spans="1:12" x14ac:dyDescent="0.2">
      <c r="A6" s="246"/>
      <c r="C6" s="143"/>
      <c r="D6" s="245"/>
      <c r="E6" s="244"/>
      <c r="F6" s="143"/>
      <c r="G6" s="245"/>
      <c r="H6" s="244"/>
      <c r="I6" s="143"/>
      <c r="J6" s="245"/>
      <c r="K6" s="244"/>
      <c r="L6" s="143"/>
    </row>
    <row r="7" spans="1:12" ht="12" thickBot="1" x14ac:dyDescent="0.25">
      <c r="A7" s="214"/>
      <c r="D7" s="128"/>
      <c r="E7" s="136"/>
      <c r="G7" s="128"/>
      <c r="H7" s="136"/>
      <c r="I7" s="110"/>
      <c r="J7" s="128"/>
      <c r="K7" s="136"/>
      <c r="L7" s="110"/>
    </row>
    <row r="8" spans="1:12" x14ac:dyDescent="0.2">
      <c r="A8" s="600" t="s">
        <v>22</v>
      </c>
      <c r="B8" s="601"/>
      <c r="C8" s="604" t="s">
        <v>69</v>
      </c>
      <c r="D8" s="605"/>
      <c r="E8" s="605"/>
      <c r="F8" s="606" t="s">
        <v>68</v>
      </c>
      <c r="G8" s="605"/>
      <c r="H8" s="607"/>
      <c r="I8" s="606" t="s">
        <v>61</v>
      </c>
      <c r="J8" s="605"/>
      <c r="K8" s="607"/>
      <c r="L8" s="608" t="s">
        <v>60</v>
      </c>
    </row>
    <row r="9" spans="1:12" ht="12" thickBot="1" x14ac:dyDescent="0.25">
      <c r="A9" s="602"/>
      <c r="B9" s="603"/>
      <c r="C9" s="243" t="s">
        <v>6</v>
      </c>
      <c r="D9" s="240" t="s">
        <v>17</v>
      </c>
      <c r="E9" s="242" t="s">
        <v>16</v>
      </c>
      <c r="F9" s="241" t="s">
        <v>6</v>
      </c>
      <c r="G9" s="240" t="s">
        <v>17</v>
      </c>
      <c r="H9" s="239" t="s">
        <v>16</v>
      </c>
      <c r="I9" s="241" t="s">
        <v>6</v>
      </c>
      <c r="J9" s="240" t="s">
        <v>17</v>
      </c>
      <c r="K9" s="239" t="s">
        <v>16</v>
      </c>
      <c r="L9" s="609"/>
    </row>
    <row r="10" spans="1:12" x14ac:dyDescent="0.2">
      <c r="A10" s="200" t="s">
        <v>14</v>
      </c>
      <c r="B10" s="196"/>
      <c r="C10" s="79"/>
      <c r="D10" s="130"/>
      <c r="E10" s="140"/>
      <c r="F10" s="79"/>
      <c r="G10" s="130"/>
      <c r="H10" s="140"/>
      <c r="I10" s="79"/>
      <c r="J10" s="77"/>
      <c r="K10" s="76"/>
      <c r="L10" s="78"/>
    </row>
    <row r="11" spans="1:12" ht="12" thickBot="1" x14ac:dyDescent="0.25">
      <c r="A11" s="196"/>
      <c r="B11" s="196"/>
      <c r="C11" s="68"/>
      <c r="D11" s="195"/>
      <c r="E11" s="194"/>
      <c r="F11" s="68"/>
      <c r="G11" s="195"/>
      <c r="H11" s="194"/>
      <c r="I11" s="68"/>
      <c r="J11" s="66"/>
      <c r="K11" s="65"/>
      <c r="L11" s="67"/>
    </row>
    <row r="12" spans="1:12" x14ac:dyDescent="0.2">
      <c r="A12" s="190" t="s">
        <v>13</v>
      </c>
      <c r="B12" s="238" t="s">
        <v>2</v>
      </c>
      <c r="C12" s="188">
        <v>34572</v>
      </c>
      <c r="D12" s="187">
        <v>30883</v>
      </c>
      <c r="E12" s="186">
        <v>3689</v>
      </c>
      <c r="F12" s="188">
        <v>35223</v>
      </c>
      <c r="G12" s="231">
        <v>31557</v>
      </c>
      <c r="H12" s="230">
        <v>3666</v>
      </c>
      <c r="I12" s="54">
        <v>0.98151775828294008</v>
      </c>
      <c r="J12" s="53">
        <v>0.97864182273346645</v>
      </c>
      <c r="K12" s="52">
        <v>1.0062738679759957</v>
      </c>
      <c r="L12" s="229">
        <v>1.0136667723420305</v>
      </c>
    </row>
    <row r="13" spans="1:12" x14ac:dyDescent="0.2">
      <c r="A13" s="142"/>
      <c r="B13" s="236" t="s">
        <v>1</v>
      </c>
      <c r="C13" s="171">
        <v>17987</v>
      </c>
      <c r="D13" s="170">
        <v>16120</v>
      </c>
      <c r="E13" s="169">
        <v>1867</v>
      </c>
      <c r="F13" s="171">
        <v>18445</v>
      </c>
      <c r="G13" s="228">
        <v>16594</v>
      </c>
      <c r="H13" s="227">
        <v>1851</v>
      </c>
      <c r="I13" s="40">
        <v>0.97516942260775274</v>
      </c>
      <c r="J13" s="39">
        <v>0.97143545859949376</v>
      </c>
      <c r="K13" s="38">
        <v>1.0086439762290653</v>
      </c>
      <c r="L13" s="226"/>
    </row>
    <row r="14" spans="1:12" x14ac:dyDescent="0.2">
      <c r="A14" s="164"/>
      <c r="B14" s="235" t="s">
        <v>0</v>
      </c>
      <c r="C14" s="171">
        <v>16585</v>
      </c>
      <c r="D14" s="161">
        <v>14763</v>
      </c>
      <c r="E14" s="160">
        <v>1822</v>
      </c>
      <c r="F14" s="171">
        <v>16778</v>
      </c>
      <c r="G14" s="225">
        <v>14963</v>
      </c>
      <c r="H14" s="224">
        <v>1815</v>
      </c>
      <c r="I14" s="30">
        <v>0.98849684110144231</v>
      </c>
      <c r="J14" s="29">
        <v>0.98663369645124643</v>
      </c>
      <c r="K14" s="28">
        <v>1.0038567493112949</v>
      </c>
      <c r="L14" s="223"/>
    </row>
    <row r="15" spans="1:12" x14ac:dyDescent="0.2">
      <c r="A15" s="181" t="s">
        <v>46</v>
      </c>
      <c r="B15" s="236" t="s">
        <v>2</v>
      </c>
      <c r="C15" s="179">
        <v>15593</v>
      </c>
      <c r="D15" s="178">
        <v>15184</v>
      </c>
      <c r="E15" s="177">
        <v>409</v>
      </c>
      <c r="F15" s="179">
        <v>16294</v>
      </c>
      <c r="G15" s="233">
        <v>15897</v>
      </c>
      <c r="H15" s="232">
        <v>397</v>
      </c>
      <c r="I15" s="46">
        <v>0.95697802872222903</v>
      </c>
      <c r="J15" s="39">
        <v>0.95514877020821543</v>
      </c>
      <c r="K15" s="38">
        <v>1.0302267002518892</v>
      </c>
      <c r="L15" s="226">
        <v>1.0320819109557464</v>
      </c>
    </row>
    <row r="16" spans="1:12" x14ac:dyDescent="0.2">
      <c r="A16" s="142"/>
      <c r="B16" s="236" t="s">
        <v>1</v>
      </c>
      <c r="C16" s="171">
        <v>8251</v>
      </c>
      <c r="D16" s="170">
        <v>8037</v>
      </c>
      <c r="E16" s="169">
        <v>214</v>
      </c>
      <c r="F16" s="171">
        <v>8750</v>
      </c>
      <c r="G16" s="228">
        <v>8540</v>
      </c>
      <c r="H16" s="227">
        <v>210</v>
      </c>
      <c r="I16" s="40">
        <v>0.94297142857142857</v>
      </c>
      <c r="J16" s="39">
        <v>0.94110070257611245</v>
      </c>
      <c r="K16" s="38">
        <v>1.019047619047619</v>
      </c>
      <c r="L16" s="226"/>
    </row>
    <row r="17" spans="1:12" x14ac:dyDescent="0.2">
      <c r="A17" s="164"/>
      <c r="B17" s="235" t="s">
        <v>0</v>
      </c>
      <c r="C17" s="162">
        <v>7342</v>
      </c>
      <c r="D17" s="161">
        <v>7147</v>
      </c>
      <c r="E17" s="160">
        <v>195</v>
      </c>
      <c r="F17" s="162">
        <v>7544</v>
      </c>
      <c r="G17" s="225">
        <v>7357</v>
      </c>
      <c r="H17" s="224">
        <v>187</v>
      </c>
      <c r="I17" s="30">
        <v>0.97322375397667016</v>
      </c>
      <c r="J17" s="29">
        <v>0.97145575642245485</v>
      </c>
      <c r="K17" s="28">
        <v>1.0427807486631016</v>
      </c>
      <c r="L17" s="223"/>
    </row>
    <row r="18" spans="1:12" x14ac:dyDescent="0.2">
      <c r="A18" s="181" t="s">
        <v>12</v>
      </c>
      <c r="B18" s="236" t="s">
        <v>2</v>
      </c>
      <c r="C18" s="171">
        <v>9682</v>
      </c>
      <c r="D18" s="178">
        <v>9440</v>
      </c>
      <c r="E18" s="177">
        <v>242</v>
      </c>
      <c r="F18" s="171">
        <v>10058</v>
      </c>
      <c r="G18" s="233">
        <v>9784</v>
      </c>
      <c r="H18" s="232">
        <v>274</v>
      </c>
      <c r="I18" s="46">
        <v>0.96261682242990654</v>
      </c>
      <c r="J18" s="39">
        <v>0.96484055600981189</v>
      </c>
      <c r="K18" s="38">
        <v>0.88321167883211682</v>
      </c>
      <c r="L18" s="226">
        <v>1.0297734679842474</v>
      </c>
    </row>
    <row r="19" spans="1:12" x14ac:dyDescent="0.2">
      <c r="A19" s="142"/>
      <c r="B19" s="236" t="s">
        <v>1</v>
      </c>
      <c r="C19" s="171">
        <v>5112</v>
      </c>
      <c r="D19" s="170">
        <v>4983</v>
      </c>
      <c r="E19" s="169">
        <v>129</v>
      </c>
      <c r="F19" s="171">
        <v>5384</v>
      </c>
      <c r="G19" s="228">
        <v>5228</v>
      </c>
      <c r="H19" s="227">
        <v>156</v>
      </c>
      <c r="I19" s="40">
        <v>0.94947994056463592</v>
      </c>
      <c r="J19" s="39">
        <v>0.95313695485845451</v>
      </c>
      <c r="K19" s="38">
        <v>0.82692307692307687</v>
      </c>
      <c r="L19" s="226"/>
    </row>
    <row r="20" spans="1:12" x14ac:dyDescent="0.2">
      <c r="A20" s="164"/>
      <c r="B20" s="235" t="s">
        <v>0</v>
      </c>
      <c r="C20" s="171">
        <v>4570</v>
      </c>
      <c r="D20" s="161">
        <v>4457</v>
      </c>
      <c r="E20" s="160">
        <v>113</v>
      </c>
      <c r="F20" s="171">
        <v>4674</v>
      </c>
      <c r="G20" s="225">
        <v>4556</v>
      </c>
      <c r="H20" s="224">
        <v>118</v>
      </c>
      <c r="I20" s="30">
        <v>0.97774925117672229</v>
      </c>
      <c r="J20" s="29">
        <v>0.97827041264266901</v>
      </c>
      <c r="K20" s="28">
        <v>0.9576271186440678</v>
      </c>
      <c r="L20" s="223"/>
    </row>
    <row r="21" spans="1:12" x14ac:dyDescent="0.2">
      <c r="A21" s="181" t="s">
        <v>11</v>
      </c>
      <c r="B21" s="236" t="s">
        <v>2</v>
      </c>
      <c r="C21" s="179">
        <v>9569</v>
      </c>
      <c r="D21" s="178">
        <v>9447</v>
      </c>
      <c r="E21" s="177">
        <v>122</v>
      </c>
      <c r="F21" s="179">
        <v>9917</v>
      </c>
      <c r="G21" s="233">
        <v>9782</v>
      </c>
      <c r="H21" s="232">
        <v>135</v>
      </c>
      <c r="I21" s="46">
        <v>0.96490874256327519</v>
      </c>
      <c r="J21" s="39">
        <v>0.96575342465753422</v>
      </c>
      <c r="K21" s="38">
        <v>0.90370370370370368</v>
      </c>
      <c r="L21" s="226">
        <v>1.0336941481784179</v>
      </c>
    </row>
    <row r="22" spans="1:12" x14ac:dyDescent="0.2">
      <c r="A22" s="142"/>
      <c r="B22" s="236" t="s">
        <v>1</v>
      </c>
      <c r="C22" s="171">
        <v>4978</v>
      </c>
      <c r="D22" s="170">
        <v>4919</v>
      </c>
      <c r="E22" s="169">
        <v>59</v>
      </c>
      <c r="F22" s="171">
        <v>5241</v>
      </c>
      <c r="G22" s="228">
        <v>5167</v>
      </c>
      <c r="H22" s="227">
        <v>74</v>
      </c>
      <c r="I22" s="40">
        <v>0.94981873688227436</v>
      </c>
      <c r="J22" s="39">
        <v>0.95200309657441451</v>
      </c>
      <c r="K22" s="38">
        <v>0.79729729729729726</v>
      </c>
      <c r="L22" s="226"/>
    </row>
    <row r="23" spans="1:12" x14ac:dyDescent="0.2">
      <c r="A23" s="164"/>
      <c r="B23" s="235" t="s">
        <v>0</v>
      </c>
      <c r="C23" s="162">
        <v>4591</v>
      </c>
      <c r="D23" s="161">
        <v>4528</v>
      </c>
      <c r="E23" s="160">
        <v>63</v>
      </c>
      <c r="F23" s="162">
        <v>4676</v>
      </c>
      <c r="G23" s="225">
        <v>4615</v>
      </c>
      <c r="H23" s="224">
        <v>61</v>
      </c>
      <c r="I23" s="30">
        <v>0.98182207014542344</v>
      </c>
      <c r="J23" s="29">
        <v>0.98114842903575294</v>
      </c>
      <c r="K23" s="28">
        <v>1.0327868852459017</v>
      </c>
      <c r="L23" s="223"/>
    </row>
    <row r="24" spans="1:12" x14ac:dyDescent="0.2">
      <c r="A24" s="181" t="s">
        <v>27</v>
      </c>
      <c r="B24" s="236" t="s">
        <v>2</v>
      </c>
      <c r="C24" s="179">
        <v>6232</v>
      </c>
      <c r="D24" s="178">
        <v>6186</v>
      </c>
      <c r="E24" s="177">
        <v>46</v>
      </c>
      <c r="F24" s="179">
        <v>6948</v>
      </c>
      <c r="G24" s="233">
        <v>6894</v>
      </c>
      <c r="H24" s="232">
        <v>54</v>
      </c>
      <c r="I24" s="46">
        <v>0.89694876223373632</v>
      </c>
      <c r="J24" s="39">
        <v>0.89730200174064401</v>
      </c>
      <c r="K24" s="38">
        <v>0.85185185185185186</v>
      </c>
      <c r="L24" s="226">
        <v>1.0730683457956185</v>
      </c>
    </row>
    <row r="25" spans="1:12" x14ac:dyDescent="0.2">
      <c r="A25" s="142"/>
      <c r="B25" s="236" t="s">
        <v>1</v>
      </c>
      <c r="C25" s="171">
        <v>3192</v>
      </c>
      <c r="D25" s="170">
        <v>3171</v>
      </c>
      <c r="E25" s="169">
        <v>21</v>
      </c>
      <c r="F25" s="171">
        <v>3681</v>
      </c>
      <c r="G25" s="228">
        <v>3652</v>
      </c>
      <c r="H25" s="227">
        <v>29</v>
      </c>
      <c r="I25" s="40">
        <v>0.86715566422167889</v>
      </c>
      <c r="J25" s="39">
        <v>0.86829134720700984</v>
      </c>
      <c r="K25" s="38">
        <v>0.72413793103448276</v>
      </c>
      <c r="L25" s="226"/>
    </row>
    <row r="26" spans="1:12" x14ac:dyDescent="0.2">
      <c r="A26" s="164"/>
      <c r="B26" s="235" t="s">
        <v>0</v>
      </c>
      <c r="C26" s="162">
        <v>3040</v>
      </c>
      <c r="D26" s="161">
        <v>3015</v>
      </c>
      <c r="E26" s="160">
        <v>25</v>
      </c>
      <c r="F26" s="162">
        <v>3267</v>
      </c>
      <c r="G26" s="225">
        <v>3242</v>
      </c>
      <c r="H26" s="224">
        <v>25</v>
      </c>
      <c r="I26" s="30">
        <v>0.9305172941536578</v>
      </c>
      <c r="J26" s="29">
        <v>0.92998149290561383</v>
      </c>
      <c r="K26" s="28">
        <v>1</v>
      </c>
      <c r="L26" s="223"/>
    </row>
    <row r="27" spans="1:12" x14ac:dyDescent="0.2">
      <c r="A27" s="181" t="s">
        <v>10</v>
      </c>
      <c r="B27" s="236" t="s">
        <v>2</v>
      </c>
      <c r="C27" s="171">
        <v>9242</v>
      </c>
      <c r="D27" s="178">
        <v>9113</v>
      </c>
      <c r="E27" s="177">
        <v>129</v>
      </c>
      <c r="F27" s="171">
        <v>10133</v>
      </c>
      <c r="G27" s="233">
        <v>10009</v>
      </c>
      <c r="H27" s="232">
        <v>124</v>
      </c>
      <c r="I27" s="46">
        <v>0.9120694759696043</v>
      </c>
      <c r="J27" s="39">
        <v>0.91048056748925965</v>
      </c>
      <c r="K27" s="38">
        <v>1.0403225806451613</v>
      </c>
      <c r="L27" s="226">
        <v>1.0621527798487227</v>
      </c>
    </row>
    <row r="28" spans="1:12" x14ac:dyDescent="0.2">
      <c r="A28" s="142"/>
      <c r="B28" s="236" t="s">
        <v>1</v>
      </c>
      <c r="C28" s="171">
        <v>4821</v>
      </c>
      <c r="D28" s="170">
        <v>4756</v>
      </c>
      <c r="E28" s="169">
        <v>65</v>
      </c>
      <c r="F28" s="171">
        <v>5438</v>
      </c>
      <c r="G28" s="228">
        <v>5371</v>
      </c>
      <c r="H28" s="227">
        <v>67</v>
      </c>
      <c r="I28" s="40">
        <v>0.88653916881206329</v>
      </c>
      <c r="J28" s="39">
        <v>0.8854961832061069</v>
      </c>
      <c r="K28" s="38">
        <v>0.97014925373134331</v>
      </c>
      <c r="L28" s="226"/>
    </row>
    <row r="29" spans="1:12" x14ac:dyDescent="0.2">
      <c r="A29" s="164"/>
      <c r="B29" s="235" t="s">
        <v>0</v>
      </c>
      <c r="C29" s="171">
        <v>4421</v>
      </c>
      <c r="D29" s="161">
        <v>4357</v>
      </c>
      <c r="E29" s="160">
        <v>64</v>
      </c>
      <c r="F29" s="171">
        <v>4695</v>
      </c>
      <c r="G29" s="225">
        <v>4638</v>
      </c>
      <c r="H29" s="224">
        <v>57</v>
      </c>
      <c r="I29" s="30">
        <v>0.94164004259850909</v>
      </c>
      <c r="J29" s="29">
        <v>0.93941354031910307</v>
      </c>
      <c r="K29" s="28">
        <v>1.1228070175438596</v>
      </c>
      <c r="L29" s="223"/>
    </row>
    <row r="30" spans="1:12" x14ac:dyDescent="0.2">
      <c r="A30" s="181" t="s">
        <v>9</v>
      </c>
      <c r="B30" s="236" t="s">
        <v>2</v>
      </c>
      <c r="C30" s="179">
        <v>3648</v>
      </c>
      <c r="D30" s="178">
        <v>3371</v>
      </c>
      <c r="E30" s="177">
        <v>277</v>
      </c>
      <c r="F30" s="179">
        <v>3666</v>
      </c>
      <c r="G30" s="233">
        <v>3408</v>
      </c>
      <c r="H30" s="232">
        <v>258</v>
      </c>
      <c r="I30" s="46">
        <v>0.9950900163666121</v>
      </c>
      <c r="J30" s="39">
        <v>0.98914319248826288</v>
      </c>
      <c r="K30" s="38">
        <v>1.0736434108527131</v>
      </c>
      <c r="L30" s="226">
        <v>1.0182086550049259</v>
      </c>
    </row>
    <row r="31" spans="1:12" x14ac:dyDescent="0.2">
      <c r="A31" s="142"/>
      <c r="B31" s="236" t="s">
        <v>1</v>
      </c>
      <c r="C31" s="171">
        <v>1931</v>
      </c>
      <c r="D31" s="170">
        <v>1772</v>
      </c>
      <c r="E31" s="169">
        <v>159</v>
      </c>
      <c r="F31" s="171">
        <v>1957</v>
      </c>
      <c r="G31" s="228">
        <v>1819</v>
      </c>
      <c r="H31" s="227">
        <v>138</v>
      </c>
      <c r="I31" s="40">
        <v>0.98671435871231472</v>
      </c>
      <c r="J31" s="39">
        <v>0.97416162726772948</v>
      </c>
      <c r="K31" s="38">
        <v>1.1521739130434783</v>
      </c>
      <c r="L31" s="226"/>
    </row>
    <row r="32" spans="1:12" x14ac:dyDescent="0.2">
      <c r="A32" s="164"/>
      <c r="B32" s="235" t="s">
        <v>0</v>
      </c>
      <c r="C32" s="162">
        <v>1717</v>
      </c>
      <c r="D32" s="161">
        <v>1599</v>
      </c>
      <c r="E32" s="160">
        <v>118</v>
      </c>
      <c r="F32" s="162">
        <v>1709</v>
      </c>
      <c r="G32" s="225">
        <v>1589</v>
      </c>
      <c r="H32" s="224">
        <v>120</v>
      </c>
      <c r="I32" s="30">
        <v>1.0046811000585139</v>
      </c>
      <c r="J32" s="29">
        <v>1.0062932662051605</v>
      </c>
      <c r="K32" s="28">
        <v>0.98333333333333328</v>
      </c>
      <c r="L32" s="223"/>
    </row>
    <row r="33" spans="1:12" x14ac:dyDescent="0.2">
      <c r="A33" s="181" t="s">
        <v>8</v>
      </c>
      <c r="B33" s="236" t="s">
        <v>2</v>
      </c>
      <c r="C33" s="171">
        <v>2421</v>
      </c>
      <c r="D33" s="178">
        <v>2376</v>
      </c>
      <c r="E33" s="177">
        <v>45</v>
      </c>
      <c r="F33" s="171">
        <v>2552</v>
      </c>
      <c r="G33" s="233">
        <v>2511</v>
      </c>
      <c r="H33" s="232">
        <v>41</v>
      </c>
      <c r="I33" s="46">
        <v>0.94866771159874608</v>
      </c>
      <c r="J33" s="39">
        <v>0.94623655913978499</v>
      </c>
      <c r="K33" s="38">
        <v>1.0975609756097562</v>
      </c>
      <c r="L33" s="226">
        <v>1.0617835008509682</v>
      </c>
    </row>
    <row r="34" spans="1:12" x14ac:dyDescent="0.2">
      <c r="A34" s="142"/>
      <c r="B34" s="236" t="s">
        <v>1</v>
      </c>
      <c r="C34" s="171">
        <v>1254</v>
      </c>
      <c r="D34" s="170">
        <v>1229</v>
      </c>
      <c r="E34" s="169">
        <v>25</v>
      </c>
      <c r="F34" s="171">
        <v>1360</v>
      </c>
      <c r="G34" s="228">
        <v>1338</v>
      </c>
      <c r="H34" s="227">
        <v>22</v>
      </c>
      <c r="I34" s="40">
        <v>0.92205882352941182</v>
      </c>
      <c r="J34" s="39">
        <v>0.91853512705530638</v>
      </c>
      <c r="K34" s="38">
        <v>1.1363636363636365</v>
      </c>
      <c r="L34" s="226"/>
    </row>
    <row r="35" spans="1:12" x14ac:dyDescent="0.2">
      <c r="A35" s="164"/>
      <c r="B35" s="235" t="s">
        <v>0</v>
      </c>
      <c r="C35" s="162">
        <v>1167</v>
      </c>
      <c r="D35" s="161">
        <v>1147</v>
      </c>
      <c r="E35" s="160">
        <v>20</v>
      </c>
      <c r="F35" s="162">
        <v>1192</v>
      </c>
      <c r="G35" s="225">
        <v>1173</v>
      </c>
      <c r="H35" s="224">
        <v>19</v>
      </c>
      <c r="I35" s="30">
        <v>0.97902684563758391</v>
      </c>
      <c r="J35" s="29">
        <v>0.97783461210571188</v>
      </c>
      <c r="K35" s="28">
        <v>1.0526315789473684</v>
      </c>
      <c r="L35" s="223"/>
    </row>
    <row r="36" spans="1:12" x14ac:dyDescent="0.2">
      <c r="A36" s="181" t="s">
        <v>7</v>
      </c>
      <c r="B36" s="236" t="s">
        <v>2</v>
      </c>
      <c r="C36" s="171">
        <v>3232</v>
      </c>
      <c r="D36" s="178">
        <v>3007</v>
      </c>
      <c r="E36" s="177">
        <v>225</v>
      </c>
      <c r="F36" s="171">
        <v>3524</v>
      </c>
      <c r="G36" s="233">
        <v>3303</v>
      </c>
      <c r="H36" s="232">
        <v>221</v>
      </c>
      <c r="I36" s="46">
        <v>0.91713961407491484</v>
      </c>
      <c r="J36" s="39">
        <v>0.91038449894035722</v>
      </c>
      <c r="K36" s="38">
        <v>1.0180995475113122</v>
      </c>
      <c r="L36" s="226">
        <v>1.0854256930346466</v>
      </c>
    </row>
    <row r="37" spans="1:12" x14ac:dyDescent="0.2">
      <c r="A37" s="142"/>
      <c r="B37" s="236" t="s">
        <v>1</v>
      </c>
      <c r="C37" s="171">
        <v>1614</v>
      </c>
      <c r="D37" s="170">
        <v>1496</v>
      </c>
      <c r="E37" s="169">
        <v>118</v>
      </c>
      <c r="F37" s="171">
        <v>1832</v>
      </c>
      <c r="G37" s="228">
        <v>1714</v>
      </c>
      <c r="H37" s="227">
        <v>118</v>
      </c>
      <c r="I37" s="40">
        <v>0.88100436681222705</v>
      </c>
      <c r="J37" s="39">
        <v>0.87281213535589264</v>
      </c>
      <c r="K37" s="38">
        <v>1</v>
      </c>
      <c r="L37" s="226"/>
    </row>
    <row r="38" spans="1:12" x14ac:dyDescent="0.2">
      <c r="A38" s="164"/>
      <c r="B38" s="235" t="s">
        <v>0</v>
      </c>
      <c r="C38" s="162">
        <v>1618</v>
      </c>
      <c r="D38" s="161">
        <v>1511</v>
      </c>
      <c r="E38" s="160">
        <v>107</v>
      </c>
      <c r="F38" s="162">
        <v>1692</v>
      </c>
      <c r="G38" s="225">
        <v>1589</v>
      </c>
      <c r="H38" s="224">
        <v>103</v>
      </c>
      <c r="I38" s="30">
        <v>0.95626477541371158</v>
      </c>
      <c r="J38" s="29">
        <v>0.95091252359974832</v>
      </c>
      <c r="K38" s="28">
        <v>1.0388349514563107</v>
      </c>
      <c r="L38" s="223"/>
    </row>
    <row r="39" spans="1:12" s="203" customFormat="1" x14ac:dyDescent="0.2">
      <c r="A39" s="181" t="s">
        <v>5</v>
      </c>
      <c r="B39" s="236" t="s">
        <v>2</v>
      </c>
      <c r="C39" s="171">
        <v>4180</v>
      </c>
      <c r="D39" s="178">
        <v>3851</v>
      </c>
      <c r="E39" s="177">
        <v>329</v>
      </c>
      <c r="F39" s="171">
        <v>4253</v>
      </c>
      <c r="G39" s="233">
        <v>3938</v>
      </c>
      <c r="H39" s="232">
        <v>315</v>
      </c>
      <c r="I39" s="46">
        <v>0.98283564542675761</v>
      </c>
      <c r="J39" s="39">
        <v>0.97790756729304218</v>
      </c>
      <c r="K39" s="38">
        <v>1.0444444444444445</v>
      </c>
      <c r="L39" s="226">
        <v>1.0263098405411515</v>
      </c>
    </row>
    <row r="40" spans="1:12" s="203" customFormat="1" x14ac:dyDescent="0.2">
      <c r="A40" s="142"/>
      <c r="B40" s="236" t="s">
        <v>1</v>
      </c>
      <c r="C40" s="171">
        <v>2204</v>
      </c>
      <c r="D40" s="170">
        <v>2019</v>
      </c>
      <c r="E40" s="169">
        <v>185</v>
      </c>
      <c r="F40" s="171">
        <v>2270</v>
      </c>
      <c r="G40" s="228">
        <v>2103</v>
      </c>
      <c r="H40" s="227">
        <v>167</v>
      </c>
      <c r="I40" s="40">
        <v>0.97092511013215854</v>
      </c>
      <c r="J40" s="39">
        <v>0.96005706134094149</v>
      </c>
      <c r="K40" s="38">
        <v>1.1077844311377245</v>
      </c>
      <c r="L40" s="226"/>
    </row>
    <row r="41" spans="1:12" s="203" customFormat="1" x14ac:dyDescent="0.2">
      <c r="A41" s="164"/>
      <c r="B41" s="235" t="s">
        <v>0</v>
      </c>
      <c r="C41" s="171">
        <v>1976</v>
      </c>
      <c r="D41" s="161">
        <v>1832</v>
      </c>
      <c r="E41" s="160">
        <v>144</v>
      </c>
      <c r="F41" s="171">
        <v>1983</v>
      </c>
      <c r="G41" s="225">
        <v>1835</v>
      </c>
      <c r="H41" s="224">
        <v>148</v>
      </c>
      <c r="I41" s="30">
        <v>0.99646999495713562</v>
      </c>
      <c r="J41" s="29">
        <v>0.99836512261580379</v>
      </c>
      <c r="K41" s="28">
        <v>0.97297297297297303</v>
      </c>
      <c r="L41" s="223"/>
    </row>
    <row r="42" spans="1:12" x14ac:dyDescent="0.2">
      <c r="A42" s="181" t="s">
        <v>4</v>
      </c>
      <c r="B42" s="237" t="s">
        <v>2</v>
      </c>
      <c r="C42" s="179">
        <v>5558</v>
      </c>
      <c r="D42" s="178">
        <v>5074</v>
      </c>
      <c r="E42" s="177">
        <v>484</v>
      </c>
      <c r="F42" s="179">
        <v>5635</v>
      </c>
      <c r="G42" s="233">
        <v>5160</v>
      </c>
      <c r="H42" s="232">
        <v>475</v>
      </c>
      <c r="I42" s="46">
        <v>0.98633540372670803</v>
      </c>
      <c r="J42" s="39">
        <v>0.98333333333333328</v>
      </c>
      <c r="K42" s="38">
        <v>1.0189473684210526</v>
      </c>
      <c r="L42" s="226">
        <v>1.0305253565083337</v>
      </c>
    </row>
    <row r="43" spans="1:12" x14ac:dyDescent="0.2">
      <c r="A43" s="142"/>
      <c r="B43" s="236" t="s">
        <v>1</v>
      </c>
      <c r="C43" s="171">
        <v>2866</v>
      </c>
      <c r="D43" s="170">
        <v>2635</v>
      </c>
      <c r="E43" s="169">
        <v>231</v>
      </c>
      <c r="F43" s="171">
        <v>2948</v>
      </c>
      <c r="G43" s="228">
        <v>2715</v>
      </c>
      <c r="H43" s="227">
        <v>233</v>
      </c>
      <c r="I43" s="40">
        <v>0.97218453188602438</v>
      </c>
      <c r="J43" s="39">
        <v>0.97053406998158376</v>
      </c>
      <c r="K43" s="38">
        <v>0.99141630901287559</v>
      </c>
      <c r="L43" s="226"/>
    </row>
    <row r="44" spans="1:12" x14ac:dyDescent="0.2">
      <c r="A44" s="164"/>
      <c r="B44" s="235" t="s">
        <v>0</v>
      </c>
      <c r="C44" s="162">
        <v>2692</v>
      </c>
      <c r="D44" s="161">
        <v>2439</v>
      </c>
      <c r="E44" s="160">
        <v>253</v>
      </c>
      <c r="F44" s="162">
        <v>2687</v>
      </c>
      <c r="G44" s="225">
        <v>2445</v>
      </c>
      <c r="H44" s="224">
        <v>242</v>
      </c>
      <c r="I44" s="30">
        <v>1.0018608113137328</v>
      </c>
      <c r="J44" s="29">
        <v>0.99754601226993866</v>
      </c>
      <c r="K44" s="28">
        <v>1.0454545454545454</v>
      </c>
      <c r="L44" s="223"/>
    </row>
    <row r="45" spans="1:12" ht="12" customHeight="1" x14ac:dyDescent="0.2">
      <c r="A45" s="155" t="s">
        <v>3</v>
      </c>
      <c r="B45" s="234" t="s">
        <v>2</v>
      </c>
      <c r="C45" s="114">
        <v>103929</v>
      </c>
      <c r="D45" s="115">
        <v>97932</v>
      </c>
      <c r="E45" s="116">
        <v>5997</v>
      </c>
      <c r="F45" s="114">
        <v>108203</v>
      </c>
      <c r="G45" s="117">
        <v>102243</v>
      </c>
      <c r="H45" s="122">
        <v>5960</v>
      </c>
      <c r="I45" s="222">
        <v>0.96050017097492679</v>
      </c>
      <c r="J45" s="20">
        <v>0.95783574425633056</v>
      </c>
      <c r="K45" s="19">
        <v>1.0062080536912752</v>
      </c>
      <c r="L45" s="221">
        <v>1.0326446243924667</v>
      </c>
    </row>
    <row r="46" spans="1:12" x14ac:dyDescent="0.2">
      <c r="A46" s="155"/>
      <c r="B46" s="154" t="s">
        <v>1</v>
      </c>
      <c r="C46" s="114">
        <v>54210</v>
      </c>
      <c r="D46" s="115">
        <v>51137</v>
      </c>
      <c r="E46" s="116">
        <v>3073</v>
      </c>
      <c r="F46" s="114">
        <v>57306</v>
      </c>
      <c r="G46" s="117">
        <v>54241</v>
      </c>
      <c r="H46" s="122">
        <v>3065</v>
      </c>
      <c r="I46" s="21">
        <v>0.94597424353470838</v>
      </c>
      <c r="J46" s="20">
        <v>0.94277391641009567</v>
      </c>
      <c r="K46" s="19">
        <v>1.0026101141924959</v>
      </c>
      <c r="L46" s="221"/>
    </row>
    <row r="47" spans="1:12" ht="12" thickBot="1" x14ac:dyDescent="0.25">
      <c r="A47" s="150"/>
      <c r="B47" s="149" t="s">
        <v>0</v>
      </c>
      <c r="C47" s="118">
        <v>49719</v>
      </c>
      <c r="D47" s="119">
        <v>46795</v>
      </c>
      <c r="E47" s="120">
        <v>2924</v>
      </c>
      <c r="F47" s="118">
        <v>50897</v>
      </c>
      <c r="G47" s="121">
        <v>48002</v>
      </c>
      <c r="H47" s="123">
        <v>2895</v>
      </c>
      <c r="I47" s="12">
        <v>0.97685521739984671</v>
      </c>
      <c r="J47" s="11">
        <v>0.97485521436606803</v>
      </c>
      <c r="K47" s="10">
        <v>1.0100172711571676</v>
      </c>
      <c r="L47" s="220"/>
    </row>
  </sheetData>
  <sheetProtection algorithmName="SHA-512" hashValue="NItVoOAlflws7ylwl+Xf8fOD+cN67RDQUxAXYO4Rk8D09WmSztE90+iqsL51HjCWUc2Wqaha4S+rU0hYbGd3SA==" saltValue="WffJnP7U+lv7dMpViulRUA==" spinCount="100000" sheet="1" objects="1" scenarios="1"/>
  <mergeCells count="10">
    <mergeCell ref="A8:B9"/>
    <mergeCell ref="C8:E8"/>
    <mergeCell ref="F8:H8"/>
    <mergeCell ref="I8:K8"/>
    <mergeCell ref="L8:L9"/>
    <mergeCell ref="A1:L1"/>
    <mergeCell ref="A2:L2"/>
    <mergeCell ref="A3:L3"/>
    <mergeCell ref="A4:L4"/>
    <mergeCell ref="A5:L5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>&amp;L&amp;8Prepared by RSD-OPS
&amp;D
&amp;Z&amp;F; &amp;A</oddFooter>
  </headerFooter>
  <picture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DD33B-FB7E-45D3-8202-98F1EE07622C}">
  <sheetPr>
    <tabColor rgb="FFFF0000"/>
  </sheetPr>
  <dimension ref="A1:L47"/>
  <sheetViews>
    <sheetView showGridLines="0" zoomScaleNormal="75" workbookViewId="0">
      <pane xSplit="2" ySplit="9" topLeftCell="C10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RowHeight="11.25" x14ac:dyDescent="0.2"/>
  <cols>
    <col min="1" max="1" width="23.85546875" style="250" customWidth="1"/>
    <col min="2" max="2" width="10.7109375" style="247" customWidth="1"/>
    <col min="3" max="5" width="10.7109375" style="110" customWidth="1"/>
    <col min="6" max="8" width="10.7109375" style="249" customWidth="1"/>
    <col min="9" max="11" width="10.7109375" style="219" customWidth="1"/>
    <col min="12" max="12" width="10.7109375" style="248" customWidth="1"/>
    <col min="13" max="13" width="8.7109375" style="247" customWidth="1"/>
    <col min="14" max="215" width="8.7109375" style="247"/>
    <col min="216" max="216" width="23.85546875" style="247" customWidth="1"/>
    <col min="217" max="225" width="10.7109375" style="247" customWidth="1"/>
    <col min="226" max="226" width="8.7109375" style="247"/>
    <col min="227" max="230" width="10.28515625" style="247" customWidth="1"/>
    <col min="231" max="231" width="2.42578125" style="247" customWidth="1"/>
    <col min="232" max="235" width="10.28515625" style="247" customWidth="1"/>
    <col min="236" max="471" width="8.7109375" style="247"/>
    <col min="472" max="472" width="23.85546875" style="247" customWidth="1"/>
    <col min="473" max="481" width="10.7109375" style="247" customWidth="1"/>
    <col min="482" max="482" width="8.7109375" style="247"/>
    <col min="483" max="486" width="10.28515625" style="247" customWidth="1"/>
    <col min="487" max="487" width="2.42578125" style="247" customWidth="1"/>
    <col min="488" max="491" width="10.28515625" style="247" customWidth="1"/>
    <col min="492" max="727" width="8.7109375" style="247"/>
    <col min="728" max="728" width="23.85546875" style="247" customWidth="1"/>
    <col min="729" max="737" width="10.7109375" style="247" customWidth="1"/>
    <col min="738" max="738" width="8.7109375" style="247"/>
    <col min="739" max="742" width="10.28515625" style="247" customWidth="1"/>
    <col min="743" max="743" width="2.42578125" style="247" customWidth="1"/>
    <col min="744" max="747" width="10.28515625" style="247" customWidth="1"/>
    <col min="748" max="983" width="8.7109375" style="247"/>
    <col min="984" max="984" width="23.85546875" style="247" customWidth="1"/>
    <col min="985" max="993" width="10.7109375" style="247" customWidth="1"/>
    <col min="994" max="994" width="8.7109375" style="247"/>
    <col min="995" max="998" width="10.28515625" style="247" customWidth="1"/>
    <col min="999" max="999" width="2.42578125" style="247" customWidth="1"/>
    <col min="1000" max="1003" width="10.28515625" style="247" customWidth="1"/>
    <col min="1004" max="1239" width="8.7109375" style="247"/>
    <col min="1240" max="1240" width="23.85546875" style="247" customWidth="1"/>
    <col min="1241" max="1249" width="10.7109375" style="247" customWidth="1"/>
    <col min="1250" max="1250" width="8.7109375" style="247"/>
    <col min="1251" max="1254" width="10.28515625" style="247" customWidth="1"/>
    <col min="1255" max="1255" width="2.42578125" style="247" customWidth="1"/>
    <col min="1256" max="1259" width="10.28515625" style="247" customWidth="1"/>
    <col min="1260" max="1495" width="8.7109375" style="247"/>
    <col min="1496" max="1496" width="23.85546875" style="247" customWidth="1"/>
    <col min="1497" max="1505" width="10.7109375" style="247" customWidth="1"/>
    <col min="1506" max="1506" width="8.7109375" style="247"/>
    <col min="1507" max="1510" width="10.28515625" style="247" customWidth="1"/>
    <col min="1511" max="1511" width="2.42578125" style="247" customWidth="1"/>
    <col min="1512" max="1515" width="10.28515625" style="247" customWidth="1"/>
    <col min="1516" max="1751" width="8.7109375" style="247"/>
    <col min="1752" max="1752" width="23.85546875" style="247" customWidth="1"/>
    <col min="1753" max="1761" width="10.7109375" style="247" customWidth="1"/>
    <col min="1762" max="1762" width="8.7109375" style="247"/>
    <col min="1763" max="1766" width="10.28515625" style="247" customWidth="1"/>
    <col min="1767" max="1767" width="2.42578125" style="247" customWidth="1"/>
    <col min="1768" max="1771" width="10.28515625" style="247" customWidth="1"/>
    <col min="1772" max="2007" width="8.7109375" style="247"/>
    <col min="2008" max="2008" width="23.85546875" style="247" customWidth="1"/>
    <col min="2009" max="2017" width="10.7109375" style="247" customWidth="1"/>
    <col min="2018" max="2018" width="8.7109375" style="247"/>
    <col min="2019" max="2022" width="10.28515625" style="247" customWidth="1"/>
    <col min="2023" max="2023" width="2.42578125" style="247" customWidth="1"/>
    <col min="2024" max="2027" width="10.28515625" style="247" customWidth="1"/>
    <col min="2028" max="2263" width="8.7109375" style="247"/>
    <col min="2264" max="2264" width="23.85546875" style="247" customWidth="1"/>
    <col min="2265" max="2273" width="10.7109375" style="247" customWidth="1"/>
    <col min="2274" max="2274" width="8.7109375" style="247"/>
    <col min="2275" max="2278" width="10.28515625" style="247" customWidth="1"/>
    <col min="2279" max="2279" width="2.42578125" style="247" customWidth="1"/>
    <col min="2280" max="2283" width="10.28515625" style="247" customWidth="1"/>
    <col min="2284" max="2519" width="8.7109375" style="247"/>
    <col min="2520" max="2520" width="23.85546875" style="247" customWidth="1"/>
    <col min="2521" max="2529" width="10.7109375" style="247" customWidth="1"/>
    <col min="2530" max="2530" width="8.7109375" style="247"/>
    <col min="2531" max="2534" width="10.28515625" style="247" customWidth="1"/>
    <col min="2535" max="2535" width="2.42578125" style="247" customWidth="1"/>
    <col min="2536" max="2539" width="10.28515625" style="247" customWidth="1"/>
    <col min="2540" max="2775" width="8.7109375" style="247"/>
    <col min="2776" max="2776" width="23.85546875" style="247" customWidth="1"/>
    <col min="2777" max="2785" width="10.7109375" style="247" customWidth="1"/>
    <col min="2786" max="2786" width="8.7109375" style="247"/>
    <col min="2787" max="2790" width="10.28515625" style="247" customWidth="1"/>
    <col min="2791" max="2791" width="2.42578125" style="247" customWidth="1"/>
    <col min="2792" max="2795" width="10.28515625" style="247" customWidth="1"/>
    <col min="2796" max="3031" width="8.7109375" style="247"/>
    <col min="3032" max="3032" width="23.85546875" style="247" customWidth="1"/>
    <col min="3033" max="3041" width="10.7109375" style="247" customWidth="1"/>
    <col min="3042" max="3042" width="8.7109375" style="247"/>
    <col min="3043" max="3046" width="10.28515625" style="247" customWidth="1"/>
    <col min="3047" max="3047" width="2.42578125" style="247" customWidth="1"/>
    <col min="3048" max="3051" width="10.28515625" style="247" customWidth="1"/>
    <col min="3052" max="3287" width="8.7109375" style="247"/>
    <col min="3288" max="3288" width="23.85546875" style="247" customWidth="1"/>
    <col min="3289" max="3297" width="10.7109375" style="247" customWidth="1"/>
    <col min="3298" max="3298" width="8.7109375" style="247"/>
    <col min="3299" max="3302" width="10.28515625" style="247" customWidth="1"/>
    <col min="3303" max="3303" width="2.42578125" style="247" customWidth="1"/>
    <col min="3304" max="3307" width="10.28515625" style="247" customWidth="1"/>
    <col min="3308" max="3543" width="8.7109375" style="247"/>
    <col min="3544" max="3544" width="23.85546875" style="247" customWidth="1"/>
    <col min="3545" max="3553" width="10.7109375" style="247" customWidth="1"/>
    <col min="3554" max="3554" width="8.7109375" style="247"/>
    <col min="3555" max="3558" width="10.28515625" style="247" customWidth="1"/>
    <col min="3559" max="3559" width="2.42578125" style="247" customWidth="1"/>
    <col min="3560" max="3563" width="10.28515625" style="247" customWidth="1"/>
    <col min="3564" max="3799" width="8.7109375" style="247"/>
    <col min="3800" max="3800" width="23.85546875" style="247" customWidth="1"/>
    <col min="3801" max="3809" width="10.7109375" style="247" customWidth="1"/>
    <col min="3810" max="3810" width="8.7109375" style="247"/>
    <col min="3811" max="3814" width="10.28515625" style="247" customWidth="1"/>
    <col min="3815" max="3815" width="2.42578125" style="247" customWidth="1"/>
    <col min="3816" max="3819" width="10.28515625" style="247" customWidth="1"/>
    <col min="3820" max="4055" width="8.7109375" style="247"/>
    <col min="4056" max="4056" width="23.85546875" style="247" customWidth="1"/>
    <col min="4057" max="4065" width="10.7109375" style="247" customWidth="1"/>
    <col min="4066" max="4066" width="8.7109375" style="247"/>
    <col min="4067" max="4070" width="10.28515625" style="247" customWidth="1"/>
    <col min="4071" max="4071" width="2.42578125" style="247" customWidth="1"/>
    <col min="4072" max="4075" width="10.28515625" style="247" customWidth="1"/>
    <col min="4076" max="4311" width="8.7109375" style="247"/>
    <col min="4312" max="4312" width="23.85546875" style="247" customWidth="1"/>
    <col min="4313" max="4321" width="10.7109375" style="247" customWidth="1"/>
    <col min="4322" max="4322" width="8.7109375" style="247"/>
    <col min="4323" max="4326" width="10.28515625" style="247" customWidth="1"/>
    <col min="4327" max="4327" width="2.42578125" style="247" customWidth="1"/>
    <col min="4328" max="4331" width="10.28515625" style="247" customWidth="1"/>
    <col min="4332" max="4567" width="8.7109375" style="247"/>
    <col min="4568" max="4568" width="23.85546875" style="247" customWidth="1"/>
    <col min="4569" max="4577" width="10.7109375" style="247" customWidth="1"/>
    <col min="4578" max="4578" width="8.7109375" style="247"/>
    <col min="4579" max="4582" width="10.28515625" style="247" customWidth="1"/>
    <col min="4583" max="4583" width="2.42578125" style="247" customWidth="1"/>
    <col min="4584" max="4587" width="10.28515625" style="247" customWidth="1"/>
    <col min="4588" max="4823" width="8.7109375" style="247"/>
    <col min="4824" max="4824" width="23.85546875" style="247" customWidth="1"/>
    <col min="4825" max="4833" width="10.7109375" style="247" customWidth="1"/>
    <col min="4834" max="4834" width="8.7109375" style="247"/>
    <col min="4835" max="4838" width="10.28515625" style="247" customWidth="1"/>
    <col min="4839" max="4839" width="2.42578125" style="247" customWidth="1"/>
    <col min="4840" max="4843" width="10.28515625" style="247" customWidth="1"/>
    <col min="4844" max="5079" width="8.7109375" style="247"/>
    <col min="5080" max="5080" width="23.85546875" style="247" customWidth="1"/>
    <col min="5081" max="5089" width="10.7109375" style="247" customWidth="1"/>
    <col min="5090" max="5090" width="8.7109375" style="247"/>
    <col min="5091" max="5094" width="10.28515625" style="247" customWidth="1"/>
    <col min="5095" max="5095" width="2.42578125" style="247" customWidth="1"/>
    <col min="5096" max="5099" width="10.28515625" style="247" customWidth="1"/>
    <col min="5100" max="5335" width="8.7109375" style="247"/>
    <col min="5336" max="5336" width="23.85546875" style="247" customWidth="1"/>
    <col min="5337" max="5345" width="10.7109375" style="247" customWidth="1"/>
    <col min="5346" max="5346" width="8.7109375" style="247"/>
    <col min="5347" max="5350" width="10.28515625" style="247" customWidth="1"/>
    <col min="5351" max="5351" width="2.42578125" style="247" customWidth="1"/>
    <col min="5352" max="5355" width="10.28515625" style="247" customWidth="1"/>
    <col min="5356" max="5591" width="8.7109375" style="247"/>
    <col min="5592" max="5592" width="23.85546875" style="247" customWidth="1"/>
    <col min="5593" max="5601" width="10.7109375" style="247" customWidth="1"/>
    <col min="5602" max="5602" width="8.7109375" style="247"/>
    <col min="5603" max="5606" width="10.28515625" style="247" customWidth="1"/>
    <col min="5607" max="5607" width="2.42578125" style="247" customWidth="1"/>
    <col min="5608" max="5611" width="10.28515625" style="247" customWidth="1"/>
    <col min="5612" max="5847" width="8.7109375" style="247"/>
    <col min="5848" max="5848" width="23.85546875" style="247" customWidth="1"/>
    <col min="5849" max="5857" width="10.7109375" style="247" customWidth="1"/>
    <col min="5858" max="5858" width="8.7109375" style="247"/>
    <col min="5859" max="5862" width="10.28515625" style="247" customWidth="1"/>
    <col min="5863" max="5863" width="2.42578125" style="247" customWidth="1"/>
    <col min="5864" max="5867" width="10.28515625" style="247" customWidth="1"/>
    <col min="5868" max="6103" width="8.7109375" style="247"/>
    <col min="6104" max="6104" width="23.85546875" style="247" customWidth="1"/>
    <col min="6105" max="6113" width="10.7109375" style="247" customWidth="1"/>
    <col min="6114" max="6114" width="8.7109375" style="247"/>
    <col min="6115" max="6118" width="10.28515625" style="247" customWidth="1"/>
    <col min="6119" max="6119" width="2.42578125" style="247" customWidth="1"/>
    <col min="6120" max="6123" width="10.28515625" style="247" customWidth="1"/>
    <col min="6124" max="6359" width="8.7109375" style="247"/>
    <col min="6360" max="6360" width="23.85546875" style="247" customWidth="1"/>
    <col min="6361" max="6369" width="10.7109375" style="247" customWidth="1"/>
    <col min="6370" max="6370" width="8.7109375" style="247"/>
    <col min="6371" max="6374" width="10.28515625" style="247" customWidth="1"/>
    <col min="6375" max="6375" width="2.42578125" style="247" customWidth="1"/>
    <col min="6376" max="6379" width="10.28515625" style="247" customWidth="1"/>
    <col min="6380" max="6615" width="8.7109375" style="247"/>
    <col min="6616" max="6616" width="23.85546875" style="247" customWidth="1"/>
    <col min="6617" max="6625" width="10.7109375" style="247" customWidth="1"/>
    <col min="6626" max="6626" width="8.7109375" style="247"/>
    <col min="6627" max="6630" width="10.28515625" style="247" customWidth="1"/>
    <col min="6631" max="6631" width="2.42578125" style="247" customWidth="1"/>
    <col min="6632" max="6635" width="10.28515625" style="247" customWidth="1"/>
    <col min="6636" max="6871" width="8.7109375" style="247"/>
    <col min="6872" max="6872" width="23.85546875" style="247" customWidth="1"/>
    <col min="6873" max="6881" width="10.7109375" style="247" customWidth="1"/>
    <col min="6882" max="6882" width="8.7109375" style="247"/>
    <col min="6883" max="6886" width="10.28515625" style="247" customWidth="1"/>
    <col min="6887" max="6887" width="2.42578125" style="247" customWidth="1"/>
    <col min="6888" max="6891" width="10.28515625" style="247" customWidth="1"/>
    <col min="6892" max="7127" width="8.7109375" style="247"/>
    <col min="7128" max="7128" width="23.85546875" style="247" customWidth="1"/>
    <col min="7129" max="7137" width="10.7109375" style="247" customWidth="1"/>
    <col min="7138" max="7138" width="8.7109375" style="247"/>
    <col min="7139" max="7142" width="10.28515625" style="247" customWidth="1"/>
    <col min="7143" max="7143" width="2.42578125" style="247" customWidth="1"/>
    <col min="7144" max="7147" width="10.28515625" style="247" customWidth="1"/>
    <col min="7148" max="7383" width="8.7109375" style="247"/>
    <col min="7384" max="7384" width="23.85546875" style="247" customWidth="1"/>
    <col min="7385" max="7393" width="10.7109375" style="247" customWidth="1"/>
    <col min="7394" max="7394" width="8.7109375" style="247"/>
    <col min="7395" max="7398" width="10.28515625" style="247" customWidth="1"/>
    <col min="7399" max="7399" width="2.42578125" style="247" customWidth="1"/>
    <col min="7400" max="7403" width="10.28515625" style="247" customWidth="1"/>
    <col min="7404" max="7639" width="8.7109375" style="247"/>
    <col min="7640" max="7640" width="23.85546875" style="247" customWidth="1"/>
    <col min="7641" max="7649" width="10.7109375" style="247" customWidth="1"/>
    <col min="7650" max="7650" width="8.7109375" style="247"/>
    <col min="7651" max="7654" width="10.28515625" style="247" customWidth="1"/>
    <col min="7655" max="7655" width="2.42578125" style="247" customWidth="1"/>
    <col min="7656" max="7659" width="10.28515625" style="247" customWidth="1"/>
    <col min="7660" max="7895" width="8.7109375" style="247"/>
    <col min="7896" max="7896" width="23.85546875" style="247" customWidth="1"/>
    <col min="7897" max="7905" width="10.7109375" style="247" customWidth="1"/>
    <col min="7906" max="7906" width="8.7109375" style="247"/>
    <col min="7907" max="7910" width="10.28515625" style="247" customWidth="1"/>
    <col min="7911" max="7911" width="2.42578125" style="247" customWidth="1"/>
    <col min="7912" max="7915" width="10.28515625" style="247" customWidth="1"/>
    <col min="7916" max="8151" width="8.7109375" style="247"/>
    <col min="8152" max="8152" width="23.85546875" style="247" customWidth="1"/>
    <col min="8153" max="8161" width="10.7109375" style="247" customWidth="1"/>
    <col min="8162" max="8162" width="8.7109375" style="247"/>
    <col min="8163" max="8166" width="10.28515625" style="247" customWidth="1"/>
    <col min="8167" max="8167" width="2.42578125" style="247" customWidth="1"/>
    <col min="8168" max="8171" width="10.28515625" style="247" customWidth="1"/>
    <col min="8172" max="8407" width="8.7109375" style="247"/>
    <col min="8408" max="8408" width="23.85546875" style="247" customWidth="1"/>
    <col min="8409" max="8417" width="10.7109375" style="247" customWidth="1"/>
    <col min="8418" max="8418" width="8.7109375" style="247"/>
    <col min="8419" max="8422" width="10.28515625" style="247" customWidth="1"/>
    <col min="8423" max="8423" width="2.42578125" style="247" customWidth="1"/>
    <col min="8424" max="8427" width="10.28515625" style="247" customWidth="1"/>
    <col min="8428" max="8663" width="8.7109375" style="247"/>
    <col min="8664" max="8664" width="23.85546875" style="247" customWidth="1"/>
    <col min="8665" max="8673" width="10.7109375" style="247" customWidth="1"/>
    <col min="8674" max="8674" width="8.7109375" style="247"/>
    <col min="8675" max="8678" width="10.28515625" style="247" customWidth="1"/>
    <col min="8679" max="8679" width="2.42578125" style="247" customWidth="1"/>
    <col min="8680" max="8683" width="10.28515625" style="247" customWidth="1"/>
    <col min="8684" max="8919" width="8.7109375" style="247"/>
    <col min="8920" max="8920" width="23.85546875" style="247" customWidth="1"/>
    <col min="8921" max="8929" width="10.7109375" style="247" customWidth="1"/>
    <col min="8930" max="8930" width="8.7109375" style="247"/>
    <col min="8931" max="8934" width="10.28515625" style="247" customWidth="1"/>
    <col min="8935" max="8935" width="2.42578125" style="247" customWidth="1"/>
    <col min="8936" max="8939" width="10.28515625" style="247" customWidth="1"/>
    <col min="8940" max="9175" width="8.7109375" style="247"/>
    <col min="9176" max="9176" width="23.85546875" style="247" customWidth="1"/>
    <col min="9177" max="9185" width="10.7109375" style="247" customWidth="1"/>
    <col min="9186" max="9186" width="8.7109375" style="247"/>
    <col min="9187" max="9190" width="10.28515625" style="247" customWidth="1"/>
    <col min="9191" max="9191" width="2.42578125" style="247" customWidth="1"/>
    <col min="9192" max="9195" width="10.28515625" style="247" customWidth="1"/>
    <col min="9196" max="9431" width="8.7109375" style="247"/>
    <col min="9432" max="9432" width="23.85546875" style="247" customWidth="1"/>
    <col min="9433" max="9441" width="10.7109375" style="247" customWidth="1"/>
    <col min="9442" max="9442" width="8.7109375" style="247"/>
    <col min="9443" max="9446" width="10.28515625" style="247" customWidth="1"/>
    <col min="9447" max="9447" width="2.42578125" style="247" customWidth="1"/>
    <col min="9448" max="9451" width="10.28515625" style="247" customWidth="1"/>
    <col min="9452" max="9687" width="8.7109375" style="247"/>
    <col min="9688" max="9688" width="23.85546875" style="247" customWidth="1"/>
    <col min="9689" max="9697" width="10.7109375" style="247" customWidth="1"/>
    <col min="9698" max="9698" width="8.7109375" style="247"/>
    <col min="9699" max="9702" width="10.28515625" style="247" customWidth="1"/>
    <col min="9703" max="9703" width="2.42578125" style="247" customWidth="1"/>
    <col min="9704" max="9707" width="10.28515625" style="247" customWidth="1"/>
    <col min="9708" max="9943" width="8.7109375" style="247"/>
    <col min="9944" max="9944" width="23.85546875" style="247" customWidth="1"/>
    <col min="9945" max="9953" width="10.7109375" style="247" customWidth="1"/>
    <col min="9954" max="9954" width="8.7109375" style="247"/>
    <col min="9955" max="9958" width="10.28515625" style="247" customWidth="1"/>
    <col min="9959" max="9959" width="2.42578125" style="247" customWidth="1"/>
    <col min="9960" max="9963" width="10.28515625" style="247" customWidth="1"/>
    <col min="9964" max="10199" width="8.7109375" style="247"/>
    <col min="10200" max="10200" width="23.85546875" style="247" customWidth="1"/>
    <col min="10201" max="10209" width="10.7109375" style="247" customWidth="1"/>
    <col min="10210" max="10210" width="8.7109375" style="247"/>
    <col min="10211" max="10214" width="10.28515625" style="247" customWidth="1"/>
    <col min="10215" max="10215" width="2.42578125" style="247" customWidth="1"/>
    <col min="10216" max="10219" width="10.28515625" style="247" customWidth="1"/>
    <col min="10220" max="10455" width="8.7109375" style="247"/>
    <col min="10456" max="10456" width="23.85546875" style="247" customWidth="1"/>
    <col min="10457" max="10465" width="10.7109375" style="247" customWidth="1"/>
    <col min="10466" max="10466" width="8.7109375" style="247"/>
    <col min="10467" max="10470" width="10.28515625" style="247" customWidth="1"/>
    <col min="10471" max="10471" width="2.42578125" style="247" customWidth="1"/>
    <col min="10472" max="10475" width="10.28515625" style="247" customWidth="1"/>
    <col min="10476" max="10711" width="8.7109375" style="247"/>
    <col min="10712" max="10712" width="23.85546875" style="247" customWidth="1"/>
    <col min="10713" max="10721" width="10.7109375" style="247" customWidth="1"/>
    <col min="10722" max="10722" width="8.7109375" style="247"/>
    <col min="10723" max="10726" width="10.28515625" style="247" customWidth="1"/>
    <col min="10727" max="10727" width="2.42578125" style="247" customWidth="1"/>
    <col min="10728" max="10731" width="10.28515625" style="247" customWidth="1"/>
    <col min="10732" max="10967" width="8.7109375" style="247"/>
    <col min="10968" max="10968" width="23.85546875" style="247" customWidth="1"/>
    <col min="10969" max="10977" width="10.7109375" style="247" customWidth="1"/>
    <col min="10978" max="10978" width="8.7109375" style="247"/>
    <col min="10979" max="10982" width="10.28515625" style="247" customWidth="1"/>
    <col min="10983" max="10983" width="2.42578125" style="247" customWidth="1"/>
    <col min="10984" max="10987" width="10.28515625" style="247" customWidth="1"/>
    <col min="10988" max="11223" width="8.7109375" style="247"/>
    <col min="11224" max="11224" width="23.85546875" style="247" customWidth="1"/>
    <col min="11225" max="11233" width="10.7109375" style="247" customWidth="1"/>
    <col min="11234" max="11234" width="8.7109375" style="247"/>
    <col min="11235" max="11238" width="10.28515625" style="247" customWidth="1"/>
    <col min="11239" max="11239" width="2.42578125" style="247" customWidth="1"/>
    <col min="11240" max="11243" width="10.28515625" style="247" customWidth="1"/>
    <col min="11244" max="11479" width="8.7109375" style="247"/>
    <col min="11480" max="11480" width="23.85546875" style="247" customWidth="1"/>
    <col min="11481" max="11489" width="10.7109375" style="247" customWidth="1"/>
    <col min="11490" max="11490" width="8.7109375" style="247"/>
    <col min="11491" max="11494" width="10.28515625" style="247" customWidth="1"/>
    <col min="11495" max="11495" width="2.42578125" style="247" customWidth="1"/>
    <col min="11496" max="11499" width="10.28515625" style="247" customWidth="1"/>
    <col min="11500" max="11735" width="8.7109375" style="247"/>
    <col min="11736" max="11736" width="23.85546875" style="247" customWidth="1"/>
    <col min="11737" max="11745" width="10.7109375" style="247" customWidth="1"/>
    <col min="11746" max="11746" width="8.7109375" style="247"/>
    <col min="11747" max="11750" width="10.28515625" style="247" customWidth="1"/>
    <col min="11751" max="11751" width="2.42578125" style="247" customWidth="1"/>
    <col min="11752" max="11755" width="10.28515625" style="247" customWidth="1"/>
    <col min="11756" max="11991" width="8.7109375" style="247"/>
    <col min="11992" max="11992" width="23.85546875" style="247" customWidth="1"/>
    <col min="11993" max="12001" width="10.7109375" style="247" customWidth="1"/>
    <col min="12002" max="12002" width="8.7109375" style="247"/>
    <col min="12003" max="12006" width="10.28515625" style="247" customWidth="1"/>
    <col min="12007" max="12007" width="2.42578125" style="247" customWidth="1"/>
    <col min="12008" max="12011" width="10.28515625" style="247" customWidth="1"/>
    <col min="12012" max="12247" width="8.7109375" style="247"/>
    <col min="12248" max="12248" width="23.85546875" style="247" customWidth="1"/>
    <col min="12249" max="12257" width="10.7109375" style="247" customWidth="1"/>
    <col min="12258" max="12258" width="8.7109375" style="247"/>
    <col min="12259" max="12262" width="10.28515625" style="247" customWidth="1"/>
    <col min="12263" max="12263" width="2.42578125" style="247" customWidth="1"/>
    <col min="12264" max="12267" width="10.28515625" style="247" customWidth="1"/>
    <col min="12268" max="12503" width="8.7109375" style="247"/>
    <col min="12504" max="12504" width="23.85546875" style="247" customWidth="1"/>
    <col min="12505" max="12513" width="10.7109375" style="247" customWidth="1"/>
    <col min="12514" max="12514" width="8.7109375" style="247"/>
    <col min="12515" max="12518" width="10.28515625" style="247" customWidth="1"/>
    <col min="12519" max="12519" width="2.42578125" style="247" customWidth="1"/>
    <col min="12520" max="12523" width="10.28515625" style="247" customWidth="1"/>
    <col min="12524" max="12759" width="8.7109375" style="247"/>
    <col min="12760" max="12760" width="23.85546875" style="247" customWidth="1"/>
    <col min="12761" max="12769" width="10.7109375" style="247" customWidth="1"/>
    <col min="12770" max="12770" width="8.7109375" style="247"/>
    <col min="12771" max="12774" width="10.28515625" style="247" customWidth="1"/>
    <col min="12775" max="12775" width="2.42578125" style="247" customWidth="1"/>
    <col min="12776" max="12779" width="10.28515625" style="247" customWidth="1"/>
    <col min="12780" max="13015" width="8.7109375" style="247"/>
    <col min="13016" max="13016" width="23.85546875" style="247" customWidth="1"/>
    <col min="13017" max="13025" width="10.7109375" style="247" customWidth="1"/>
    <col min="13026" max="13026" width="8.7109375" style="247"/>
    <col min="13027" max="13030" width="10.28515625" style="247" customWidth="1"/>
    <col min="13031" max="13031" width="2.42578125" style="247" customWidth="1"/>
    <col min="13032" max="13035" width="10.28515625" style="247" customWidth="1"/>
    <col min="13036" max="13271" width="8.7109375" style="247"/>
    <col min="13272" max="13272" width="23.85546875" style="247" customWidth="1"/>
    <col min="13273" max="13281" width="10.7109375" style="247" customWidth="1"/>
    <col min="13282" max="13282" width="8.7109375" style="247"/>
    <col min="13283" max="13286" width="10.28515625" style="247" customWidth="1"/>
    <col min="13287" max="13287" width="2.42578125" style="247" customWidth="1"/>
    <col min="13288" max="13291" width="10.28515625" style="247" customWidth="1"/>
    <col min="13292" max="13527" width="8.7109375" style="247"/>
    <col min="13528" max="13528" width="23.85546875" style="247" customWidth="1"/>
    <col min="13529" max="13537" width="10.7109375" style="247" customWidth="1"/>
    <col min="13538" max="13538" width="8.7109375" style="247"/>
    <col min="13539" max="13542" width="10.28515625" style="247" customWidth="1"/>
    <col min="13543" max="13543" width="2.42578125" style="247" customWidth="1"/>
    <col min="13544" max="13547" width="10.28515625" style="247" customWidth="1"/>
    <col min="13548" max="13783" width="8.7109375" style="247"/>
    <col min="13784" max="13784" width="23.85546875" style="247" customWidth="1"/>
    <col min="13785" max="13793" width="10.7109375" style="247" customWidth="1"/>
    <col min="13794" max="13794" width="8.7109375" style="247"/>
    <col min="13795" max="13798" width="10.28515625" style="247" customWidth="1"/>
    <col min="13799" max="13799" width="2.42578125" style="247" customWidth="1"/>
    <col min="13800" max="13803" width="10.28515625" style="247" customWidth="1"/>
    <col min="13804" max="14039" width="8.7109375" style="247"/>
    <col min="14040" max="14040" width="23.85546875" style="247" customWidth="1"/>
    <col min="14041" max="14049" width="10.7109375" style="247" customWidth="1"/>
    <col min="14050" max="14050" width="8.7109375" style="247"/>
    <col min="14051" max="14054" width="10.28515625" style="247" customWidth="1"/>
    <col min="14055" max="14055" width="2.42578125" style="247" customWidth="1"/>
    <col min="14056" max="14059" width="10.28515625" style="247" customWidth="1"/>
    <col min="14060" max="14295" width="8.7109375" style="247"/>
    <col min="14296" max="14296" width="23.85546875" style="247" customWidth="1"/>
    <col min="14297" max="14305" width="10.7109375" style="247" customWidth="1"/>
    <col min="14306" max="14306" width="8.7109375" style="247"/>
    <col min="14307" max="14310" width="10.28515625" style="247" customWidth="1"/>
    <col min="14311" max="14311" width="2.42578125" style="247" customWidth="1"/>
    <col min="14312" max="14315" width="10.28515625" style="247" customWidth="1"/>
    <col min="14316" max="14551" width="8.7109375" style="247"/>
    <col min="14552" max="14552" width="23.85546875" style="247" customWidth="1"/>
    <col min="14553" max="14561" width="10.7109375" style="247" customWidth="1"/>
    <col min="14562" max="14562" width="8.7109375" style="247"/>
    <col min="14563" max="14566" width="10.28515625" style="247" customWidth="1"/>
    <col min="14567" max="14567" width="2.42578125" style="247" customWidth="1"/>
    <col min="14568" max="14571" width="10.28515625" style="247" customWidth="1"/>
    <col min="14572" max="14807" width="8.7109375" style="247"/>
    <col min="14808" max="14808" width="23.85546875" style="247" customWidth="1"/>
    <col min="14809" max="14817" width="10.7109375" style="247" customWidth="1"/>
    <col min="14818" max="14818" width="8.7109375" style="247"/>
    <col min="14819" max="14822" width="10.28515625" style="247" customWidth="1"/>
    <col min="14823" max="14823" width="2.42578125" style="247" customWidth="1"/>
    <col min="14824" max="14827" width="10.28515625" style="247" customWidth="1"/>
    <col min="14828" max="15063" width="8.7109375" style="247"/>
    <col min="15064" max="15064" width="23.85546875" style="247" customWidth="1"/>
    <col min="15065" max="15073" width="10.7109375" style="247" customWidth="1"/>
    <col min="15074" max="15074" width="8.7109375" style="247"/>
    <col min="15075" max="15078" width="10.28515625" style="247" customWidth="1"/>
    <col min="15079" max="15079" width="2.42578125" style="247" customWidth="1"/>
    <col min="15080" max="15083" width="10.28515625" style="247" customWidth="1"/>
    <col min="15084" max="15319" width="8.7109375" style="247"/>
    <col min="15320" max="15320" width="23.85546875" style="247" customWidth="1"/>
    <col min="15321" max="15329" width="10.7109375" style="247" customWidth="1"/>
    <col min="15330" max="15330" width="8.7109375" style="247"/>
    <col min="15331" max="15334" width="10.28515625" style="247" customWidth="1"/>
    <col min="15335" max="15335" width="2.42578125" style="247" customWidth="1"/>
    <col min="15336" max="15339" width="10.28515625" style="247" customWidth="1"/>
    <col min="15340" max="15575" width="8.7109375" style="247"/>
    <col min="15576" max="15576" width="23.85546875" style="247" customWidth="1"/>
    <col min="15577" max="15585" width="10.7109375" style="247" customWidth="1"/>
    <col min="15586" max="15586" width="8.7109375" style="247"/>
    <col min="15587" max="15590" width="10.28515625" style="247" customWidth="1"/>
    <col min="15591" max="15591" width="2.42578125" style="247" customWidth="1"/>
    <col min="15592" max="15595" width="10.28515625" style="247" customWidth="1"/>
    <col min="15596" max="15831" width="8.7109375" style="247"/>
    <col min="15832" max="15832" width="23.85546875" style="247" customWidth="1"/>
    <col min="15833" max="15841" width="10.7109375" style="247" customWidth="1"/>
    <col min="15842" max="15842" width="8.7109375" style="247"/>
    <col min="15843" max="15846" width="10.28515625" style="247" customWidth="1"/>
    <col min="15847" max="15847" width="2.42578125" style="247" customWidth="1"/>
    <col min="15848" max="15851" width="10.28515625" style="247" customWidth="1"/>
    <col min="15852" max="16087" width="8.7109375" style="247"/>
    <col min="16088" max="16088" width="23.85546875" style="247" customWidth="1"/>
    <col min="16089" max="16097" width="10.7109375" style="247" customWidth="1"/>
    <col min="16098" max="16098" width="8.7109375" style="247"/>
    <col min="16099" max="16102" width="10.28515625" style="247" customWidth="1"/>
    <col min="16103" max="16103" width="2.42578125" style="247" customWidth="1"/>
    <col min="16104" max="16107" width="10.28515625" style="247" customWidth="1"/>
    <col min="16108" max="16361" width="8.7109375" style="247"/>
    <col min="16362" max="16384" width="9.140625" style="247" customWidth="1"/>
  </cols>
  <sheetData>
    <row r="1" spans="1:12" s="143" customFormat="1" x14ac:dyDescent="0.2">
      <c r="A1" s="598" t="s">
        <v>23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599"/>
    </row>
    <row r="2" spans="1:12" s="143" customFormat="1" x14ac:dyDescent="0.2">
      <c r="A2" s="598" t="s">
        <v>67</v>
      </c>
      <c r="B2" s="599"/>
      <c r="C2" s="599"/>
      <c r="D2" s="599"/>
      <c r="E2" s="599"/>
      <c r="F2" s="599"/>
      <c r="G2" s="599"/>
      <c r="H2" s="599"/>
      <c r="I2" s="599"/>
      <c r="J2" s="599"/>
      <c r="K2" s="599"/>
      <c r="L2" s="599"/>
    </row>
    <row r="3" spans="1:12" s="143" customFormat="1" ht="11.25" customHeight="1" x14ac:dyDescent="0.2">
      <c r="A3" s="598" t="s">
        <v>73</v>
      </c>
      <c r="B3" s="599"/>
      <c r="C3" s="599"/>
      <c r="D3" s="599"/>
      <c r="E3" s="599"/>
      <c r="F3" s="599"/>
      <c r="G3" s="599"/>
      <c r="H3" s="599"/>
      <c r="I3" s="599"/>
      <c r="J3" s="599"/>
      <c r="K3" s="599"/>
      <c r="L3" s="599"/>
    </row>
    <row r="4" spans="1:12" s="143" customFormat="1" ht="11.25" customHeight="1" x14ac:dyDescent="0.2">
      <c r="A4" s="598" t="s">
        <v>65</v>
      </c>
      <c r="B4" s="599"/>
      <c r="C4" s="599"/>
      <c r="D4" s="599"/>
      <c r="E4" s="599"/>
      <c r="F4" s="599"/>
      <c r="G4" s="599"/>
      <c r="H4" s="599"/>
      <c r="I4" s="599"/>
      <c r="J4" s="599"/>
      <c r="K4" s="599"/>
      <c r="L4" s="599"/>
    </row>
    <row r="5" spans="1:12" s="143" customFormat="1" x14ac:dyDescent="0.2">
      <c r="A5" s="598" t="s">
        <v>64</v>
      </c>
      <c r="B5" s="599"/>
      <c r="C5" s="599"/>
      <c r="D5" s="599"/>
      <c r="E5" s="599"/>
      <c r="F5" s="599"/>
      <c r="G5" s="599"/>
      <c r="H5" s="599"/>
      <c r="I5" s="599"/>
      <c r="J5" s="599"/>
      <c r="K5" s="599"/>
      <c r="L5" s="599"/>
    </row>
    <row r="6" spans="1:12" s="143" customFormat="1" x14ac:dyDescent="0.2">
      <c r="A6" s="246"/>
      <c r="D6" s="245"/>
      <c r="E6" s="244"/>
    </row>
    <row r="7" spans="1:12" s="143" customFormat="1" ht="12" thickBot="1" x14ac:dyDescent="0.25">
      <c r="A7" s="614"/>
      <c r="B7" s="599"/>
      <c r="C7" s="599"/>
      <c r="D7" s="599"/>
      <c r="E7" s="599"/>
      <c r="F7" s="599"/>
      <c r="G7" s="599"/>
      <c r="H7" s="599"/>
      <c r="I7" s="599"/>
      <c r="J7" s="599"/>
      <c r="K7" s="599"/>
      <c r="L7" s="599"/>
    </row>
    <row r="8" spans="1:12" s="143" customFormat="1" ht="11.1" customHeight="1" x14ac:dyDescent="0.2">
      <c r="A8" s="600" t="s">
        <v>22</v>
      </c>
      <c r="B8" s="601"/>
      <c r="C8" s="610" t="s">
        <v>72</v>
      </c>
      <c r="D8" s="611"/>
      <c r="E8" s="611"/>
      <c r="F8" s="606" t="s">
        <v>71</v>
      </c>
      <c r="G8" s="605"/>
      <c r="H8" s="607"/>
      <c r="I8" s="606" t="s">
        <v>61</v>
      </c>
      <c r="J8" s="605"/>
      <c r="K8" s="607"/>
      <c r="L8" s="612" t="s">
        <v>60</v>
      </c>
    </row>
    <row r="9" spans="1:12" s="143" customFormat="1" ht="12" thickBot="1" x14ac:dyDescent="0.25">
      <c r="A9" s="602"/>
      <c r="B9" s="603"/>
      <c r="C9" s="243" t="s">
        <v>6</v>
      </c>
      <c r="D9" s="240" t="s">
        <v>17</v>
      </c>
      <c r="E9" s="242" t="s">
        <v>16</v>
      </c>
      <c r="F9" s="241" t="s">
        <v>6</v>
      </c>
      <c r="G9" s="240" t="s">
        <v>17</v>
      </c>
      <c r="H9" s="239" t="s">
        <v>16</v>
      </c>
      <c r="I9" s="241" t="s">
        <v>6</v>
      </c>
      <c r="J9" s="240" t="s">
        <v>17</v>
      </c>
      <c r="K9" s="239" t="s">
        <v>16</v>
      </c>
      <c r="L9" s="613"/>
    </row>
    <row r="10" spans="1:12" s="143" customFormat="1" x14ac:dyDescent="0.2">
      <c r="A10" s="200" t="s">
        <v>14</v>
      </c>
      <c r="B10" s="196"/>
      <c r="C10" s="79"/>
      <c r="D10" s="130"/>
      <c r="E10" s="140"/>
      <c r="F10" s="79"/>
      <c r="G10" s="130"/>
      <c r="H10" s="140"/>
      <c r="I10" s="79"/>
      <c r="J10" s="77"/>
      <c r="K10" s="76"/>
      <c r="L10" s="78"/>
    </row>
    <row r="11" spans="1:12" s="143" customFormat="1" ht="12" thickBot="1" x14ac:dyDescent="0.25">
      <c r="A11" s="196"/>
      <c r="B11" s="196"/>
      <c r="C11" s="68"/>
      <c r="D11" s="195"/>
      <c r="E11" s="194"/>
      <c r="F11" s="68"/>
      <c r="G11" s="195"/>
      <c r="H11" s="194"/>
      <c r="I11" s="68"/>
      <c r="J11" s="66"/>
      <c r="K11" s="65"/>
      <c r="L11" s="67"/>
    </row>
    <row r="12" spans="1:12" s="143" customFormat="1" x14ac:dyDescent="0.2">
      <c r="A12" s="190" t="s">
        <v>13</v>
      </c>
      <c r="B12" s="238" t="s">
        <v>2</v>
      </c>
      <c r="C12" s="188">
        <v>37711</v>
      </c>
      <c r="D12" s="187">
        <v>33678</v>
      </c>
      <c r="E12" s="186">
        <v>4033</v>
      </c>
      <c r="F12" s="188">
        <v>38400</v>
      </c>
      <c r="G12" s="231">
        <v>34376</v>
      </c>
      <c r="H12" s="230">
        <v>4024</v>
      </c>
      <c r="I12" s="54">
        <v>0.98205729166666667</v>
      </c>
      <c r="J12" s="53">
        <v>0.97969513614149406</v>
      </c>
      <c r="K12" s="52">
        <v>1.0022365805168987</v>
      </c>
      <c r="L12" s="229">
        <v>1.0248837172195371</v>
      </c>
    </row>
    <row r="13" spans="1:12" s="143" customFormat="1" x14ac:dyDescent="0.2">
      <c r="A13" s="142"/>
      <c r="B13" s="236" t="s">
        <v>1</v>
      </c>
      <c r="C13" s="171">
        <v>19336</v>
      </c>
      <c r="D13" s="170">
        <v>17187</v>
      </c>
      <c r="E13" s="169">
        <v>2149</v>
      </c>
      <c r="F13" s="171">
        <v>19925</v>
      </c>
      <c r="G13" s="228">
        <v>17796</v>
      </c>
      <c r="H13" s="227">
        <v>2129</v>
      </c>
      <c r="I13" s="40">
        <v>0.97043914680050192</v>
      </c>
      <c r="J13" s="39">
        <v>0.96577882670262982</v>
      </c>
      <c r="K13" s="38">
        <v>1.009394081728511</v>
      </c>
      <c r="L13" s="226"/>
    </row>
    <row r="14" spans="1:12" s="143" customFormat="1" x14ac:dyDescent="0.2">
      <c r="A14" s="164"/>
      <c r="B14" s="235" t="s">
        <v>0</v>
      </c>
      <c r="C14" s="171">
        <v>18375</v>
      </c>
      <c r="D14" s="161">
        <v>16491</v>
      </c>
      <c r="E14" s="160">
        <v>1884</v>
      </c>
      <c r="F14" s="171">
        <v>18475</v>
      </c>
      <c r="G14" s="225">
        <v>16580</v>
      </c>
      <c r="H14" s="224">
        <v>1895</v>
      </c>
      <c r="I14" s="30">
        <v>0.99458728010825437</v>
      </c>
      <c r="J14" s="29">
        <v>0.99463208685162852</v>
      </c>
      <c r="K14" s="28">
        <v>0.99419525065963066</v>
      </c>
      <c r="L14" s="223"/>
    </row>
    <row r="15" spans="1:12" s="143" customFormat="1" x14ac:dyDescent="0.2">
      <c r="A15" s="181" t="s">
        <v>46</v>
      </c>
      <c r="B15" s="236" t="s">
        <v>2</v>
      </c>
      <c r="C15" s="179">
        <v>17589</v>
      </c>
      <c r="D15" s="178">
        <v>17170</v>
      </c>
      <c r="E15" s="177">
        <v>419</v>
      </c>
      <c r="F15" s="179">
        <v>18232</v>
      </c>
      <c r="G15" s="233">
        <v>17823</v>
      </c>
      <c r="H15" s="232">
        <v>409</v>
      </c>
      <c r="I15" s="46">
        <v>0.96473233874506359</v>
      </c>
      <c r="J15" s="39">
        <v>0.96336194804466135</v>
      </c>
      <c r="K15" s="38">
        <v>1.0244498777506112</v>
      </c>
      <c r="L15" s="226">
        <v>1.0279431809811579</v>
      </c>
    </row>
    <row r="16" spans="1:12" s="143" customFormat="1" x14ac:dyDescent="0.2">
      <c r="A16" s="142"/>
      <c r="B16" s="236" t="s">
        <v>1</v>
      </c>
      <c r="C16" s="171">
        <v>8902</v>
      </c>
      <c r="D16" s="170">
        <v>8683</v>
      </c>
      <c r="E16" s="169">
        <v>219</v>
      </c>
      <c r="F16" s="171">
        <v>9353</v>
      </c>
      <c r="G16" s="228">
        <v>9146</v>
      </c>
      <c r="H16" s="227">
        <v>207</v>
      </c>
      <c r="I16" s="40">
        <v>0.95178017748316046</v>
      </c>
      <c r="J16" s="39">
        <v>0.94937677673299803</v>
      </c>
      <c r="K16" s="38">
        <v>1.0579710144927537</v>
      </c>
      <c r="L16" s="226"/>
    </row>
    <row r="17" spans="1:12" s="143" customFormat="1" x14ac:dyDescent="0.2">
      <c r="A17" s="164"/>
      <c r="B17" s="235" t="s">
        <v>0</v>
      </c>
      <c r="C17" s="162">
        <v>8687</v>
      </c>
      <c r="D17" s="161">
        <v>8487</v>
      </c>
      <c r="E17" s="160">
        <v>200</v>
      </c>
      <c r="F17" s="162">
        <v>8879</v>
      </c>
      <c r="G17" s="225">
        <v>8677</v>
      </c>
      <c r="H17" s="224">
        <v>202</v>
      </c>
      <c r="I17" s="30">
        <v>0.97837594323685095</v>
      </c>
      <c r="J17" s="29">
        <v>0.9781030310014982</v>
      </c>
      <c r="K17" s="28">
        <v>0.99009900990099009</v>
      </c>
      <c r="L17" s="223"/>
    </row>
    <row r="18" spans="1:12" s="143" customFormat="1" x14ac:dyDescent="0.2">
      <c r="A18" s="181" t="s">
        <v>12</v>
      </c>
      <c r="B18" s="236" t="s">
        <v>2</v>
      </c>
      <c r="C18" s="171">
        <v>11509</v>
      </c>
      <c r="D18" s="178">
        <v>11249</v>
      </c>
      <c r="E18" s="177">
        <v>260</v>
      </c>
      <c r="F18" s="171">
        <v>11727</v>
      </c>
      <c r="G18" s="233">
        <v>11434</v>
      </c>
      <c r="H18" s="232">
        <v>293</v>
      </c>
      <c r="I18" s="46">
        <v>0.98141042039737358</v>
      </c>
      <c r="J18" s="39">
        <v>0.98382018541192928</v>
      </c>
      <c r="K18" s="38">
        <v>0.88737201365187712</v>
      </c>
      <c r="L18" s="226">
        <v>1.0083338568697708</v>
      </c>
    </row>
    <row r="19" spans="1:12" s="143" customFormat="1" x14ac:dyDescent="0.2">
      <c r="A19" s="142"/>
      <c r="B19" s="236" t="s">
        <v>1</v>
      </c>
      <c r="C19" s="171">
        <v>5737</v>
      </c>
      <c r="D19" s="170">
        <v>5610</v>
      </c>
      <c r="E19" s="169">
        <v>127</v>
      </c>
      <c r="F19" s="171">
        <v>5870</v>
      </c>
      <c r="G19" s="228">
        <v>5720</v>
      </c>
      <c r="H19" s="227">
        <v>150</v>
      </c>
      <c r="I19" s="40">
        <v>0.97734241908006814</v>
      </c>
      <c r="J19" s="39">
        <v>0.98076923076923073</v>
      </c>
      <c r="K19" s="38">
        <v>0.84666666666666668</v>
      </c>
      <c r="L19" s="226"/>
    </row>
    <row r="20" spans="1:12" s="143" customFormat="1" x14ac:dyDescent="0.2">
      <c r="A20" s="164"/>
      <c r="B20" s="235" t="s">
        <v>0</v>
      </c>
      <c r="C20" s="171">
        <v>5772</v>
      </c>
      <c r="D20" s="161">
        <v>5639</v>
      </c>
      <c r="E20" s="160">
        <v>133</v>
      </c>
      <c r="F20" s="171">
        <v>5857</v>
      </c>
      <c r="G20" s="225">
        <v>5714</v>
      </c>
      <c r="H20" s="224">
        <v>143</v>
      </c>
      <c r="I20" s="30">
        <v>0.98548745091343692</v>
      </c>
      <c r="J20" s="29">
        <v>0.98687434371718585</v>
      </c>
      <c r="K20" s="28">
        <v>0.93006993006993011</v>
      </c>
      <c r="L20" s="223"/>
    </row>
    <row r="21" spans="1:12" s="143" customFormat="1" x14ac:dyDescent="0.2">
      <c r="A21" s="181" t="s">
        <v>11</v>
      </c>
      <c r="B21" s="236" t="s">
        <v>2</v>
      </c>
      <c r="C21" s="179">
        <v>10422</v>
      </c>
      <c r="D21" s="178">
        <v>10267</v>
      </c>
      <c r="E21" s="177">
        <v>155</v>
      </c>
      <c r="F21" s="179">
        <v>10784</v>
      </c>
      <c r="G21" s="233">
        <v>10629</v>
      </c>
      <c r="H21" s="232">
        <v>155</v>
      </c>
      <c r="I21" s="46">
        <v>0.96643175074183973</v>
      </c>
      <c r="J21" s="39">
        <v>0.96594223351208952</v>
      </c>
      <c r="K21" s="38">
        <v>1</v>
      </c>
      <c r="L21" s="226">
        <v>1.0297572963478248</v>
      </c>
    </row>
    <row r="22" spans="1:12" s="143" customFormat="1" x14ac:dyDescent="0.2">
      <c r="A22" s="142"/>
      <c r="B22" s="236" t="s">
        <v>1</v>
      </c>
      <c r="C22" s="171">
        <v>5386</v>
      </c>
      <c r="D22" s="170">
        <v>5308</v>
      </c>
      <c r="E22" s="169">
        <v>78</v>
      </c>
      <c r="F22" s="171">
        <v>5652</v>
      </c>
      <c r="G22" s="228">
        <v>5570</v>
      </c>
      <c r="H22" s="227">
        <v>82</v>
      </c>
      <c r="I22" s="40">
        <v>0.95293701344656756</v>
      </c>
      <c r="J22" s="39">
        <v>0.95296229802513466</v>
      </c>
      <c r="K22" s="38">
        <v>0.95121951219512191</v>
      </c>
      <c r="L22" s="226"/>
    </row>
    <row r="23" spans="1:12" s="143" customFormat="1" x14ac:dyDescent="0.2">
      <c r="A23" s="164"/>
      <c r="B23" s="235" t="s">
        <v>0</v>
      </c>
      <c r="C23" s="162">
        <v>5036</v>
      </c>
      <c r="D23" s="161">
        <v>4959</v>
      </c>
      <c r="E23" s="160">
        <v>77</v>
      </c>
      <c r="F23" s="162">
        <v>5132</v>
      </c>
      <c r="G23" s="225">
        <v>5059</v>
      </c>
      <c r="H23" s="224">
        <v>73</v>
      </c>
      <c r="I23" s="30">
        <v>0.9812938425565082</v>
      </c>
      <c r="J23" s="29">
        <v>0.98023324767740661</v>
      </c>
      <c r="K23" s="28">
        <v>1.0547945205479452</v>
      </c>
      <c r="L23" s="223"/>
    </row>
    <row r="24" spans="1:12" s="143" customFormat="1" x14ac:dyDescent="0.2">
      <c r="A24" s="181" t="s">
        <v>27</v>
      </c>
      <c r="B24" s="236" t="s">
        <v>2</v>
      </c>
      <c r="C24" s="179">
        <v>6586</v>
      </c>
      <c r="D24" s="178">
        <v>6532</v>
      </c>
      <c r="E24" s="177">
        <v>54</v>
      </c>
      <c r="F24" s="179">
        <v>7368</v>
      </c>
      <c r="G24" s="233">
        <v>7299</v>
      </c>
      <c r="H24" s="232">
        <v>69</v>
      </c>
      <c r="I24" s="46">
        <v>0.89386536373507053</v>
      </c>
      <c r="J24" s="39">
        <v>0.8949171119331415</v>
      </c>
      <c r="K24" s="38">
        <v>0.78260869565217395</v>
      </c>
      <c r="L24" s="226">
        <v>1.0890966350088029</v>
      </c>
    </row>
    <row r="25" spans="1:12" s="143" customFormat="1" x14ac:dyDescent="0.2">
      <c r="A25" s="142"/>
      <c r="B25" s="236" t="s">
        <v>1</v>
      </c>
      <c r="C25" s="171">
        <v>3292</v>
      </c>
      <c r="D25" s="170">
        <v>3259</v>
      </c>
      <c r="E25" s="169">
        <v>33</v>
      </c>
      <c r="F25" s="171">
        <v>3840</v>
      </c>
      <c r="G25" s="228">
        <v>3800</v>
      </c>
      <c r="H25" s="227">
        <v>40</v>
      </c>
      <c r="I25" s="40">
        <v>0.85729166666666667</v>
      </c>
      <c r="J25" s="39">
        <v>0.85763157894736841</v>
      </c>
      <c r="K25" s="38">
        <v>0.82499999999999996</v>
      </c>
      <c r="L25" s="226"/>
    </row>
    <row r="26" spans="1:12" s="143" customFormat="1" x14ac:dyDescent="0.2">
      <c r="A26" s="164"/>
      <c r="B26" s="235" t="s">
        <v>0</v>
      </c>
      <c r="C26" s="162">
        <v>3294</v>
      </c>
      <c r="D26" s="161">
        <v>3273</v>
      </c>
      <c r="E26" s="160">
        <v>21</v>
      </c>
      <c r="F26" s="162">
        <v>3528</v>
      </c>
      <c r="G26" s="225">
        <v>3499</v>
      </c>
      <c r="H26" s="224">
        <v>29</v>
      </c>
      <c r="I26" s="30">
        <v>0.93367346938775508</v>
      </c>
      <c r="J26" s="29">
        <v>0.93541011717633604</v>
      </c>
      <c r="K26" s="28">
        <v>0.72413793103448276</v>
      </c>
      <c r="L26" s="223"/>
    </row>
    <row r="27" spans="1:12" s="143" customFormat="1" x14ac:dyDescent="0.2">
      <c r="A27" s="181" t="s">
        <v>10</v>
      </c>
      <c r="B27" s="236" t="s">
        <v>2</v>
      </c>
      <c r="C27" s="171">
        <v>10428</v>
      </c>
      <c r="D27" s="178">
        <v>10275</v>
      </c>
      <c r="E27" s="177">
        <v>153</v>
      </c>
      <c r="F27" s="171">
        <v>11200</v>
      </c>
      <c r="G27" s="233">
        <v>11056</v>
      </c>
      <c r="H27" s="232">
        <v>144</v>
      </c>
      <c r="I27" s="46">
        <v>0.93107142857142855</v>
      </c>
      <c r="J27" s="39">
        <v>0.92935962373371928</v>
      </c>
      <c r="K27" s="38">
        <v>1.0625</v>
      </c>
      <c r="L27" s="226">
        <v>1.0348133132641699</v>
      </c>
    </row>
    <row r="28" spans="1:12" s="143" customFormat="1" x14ac:dyDescent="0.2">
      <c r="A28" s="142"/>
      <c r="B28" s="236" t="s">
        <v>1</v>
      </c>
      <c r="C28" s="171">
        <v>5312</v>
      </c>
      <c r="D28" s="170">
        <v>5226</v>
      </c>
      <c r="E28" s="169">
        <v>86</v>
      </c>
      <c r="F28" s="171">
        <v>5801</v>
      </c>
      <c r="G28" s="228">
        <v>5730</v>
      </c>
      <c r="H28" s="227">
        <v>71</v>
      </c>
      <c r="I28" s="40">
        <v>0.91570418893294259</v>
      </c>
      <c r="J28" s="39">
        <v>0.91204188481675397</v>
      </c>
      <c r="K28" s="38">
        <v>1.2112676056338028</v>
      </c>
      <c r="L28" s="226"/>
    </row>
    <row r="29" spans="1:12" s="143" customFormat="1" x14ac:dyDescent="0.2">
      <c r="A29" s="164"/>
      <c r="B29" s="235" t="s">
        <v>0</v>
      </c>
      <c r="C29" s="171">
        <v>5116</v>
      </c>
      <c r="D29" s="161">
        <v>5049</v>
      </c>
      <c r="E29" s="160">
        <v>67</v>
      </c>
      <c r="F29" s="171">
        <v>5399</v>
      </c>
      <c r="G29" s="225">
        <v>5326</v>
      </c>
      <c r="H29" s="224">
        <v>73</v>
      </c>
      <c r="I29" s="30">
        <v>0.94758288571957772</v>
      </c>
      <c r="J29" s="29">
        <v>0.94799098760796097</v>
      </c>
      <c r="K29" s="28">
        <v>0.9178082191780822</v>
      </c>
      <c r="L29" s="223"/>
    </row>
    <row r="30" spans="1:12" s="143" customFormat="1" x14ac:dyDescent="0.2">
      <c r="A30" s="181" t="s">
        <v>9</v>
      </c>
      <c r="B30" s="236" t="s">
        <v>2</v>
      </c>
      <c r="C30" s="179">
        <v>4070</v>
      </c>
      <c r="D30" s="178">
        <v>3819</v>
      </c>
      <c r="E30" s="177">
        <v>251</v>
      </c>
      <c r="F30" s="179">
        <v>4100</v>
      </c>
      <c r="G30" s="233">
        <v>3859</v>
      </c>
      <c r="H30" s="232">
        <v>241</v>
      </c>
      <c r="I30" s="46">
        <v>0.99268292682926829</v>
      </c>
      <c r="J30" s="39">
        <v>0.98963462036797101</v>
      </c>
      <c r="K30" s="38">
        <v>1.04149377593361</v>
      </c>
      <c r="L30" s="226">
        <v>1.0220737679326586</v>
      </c>
    </row>
    <row r="31" spans="1:12" s="143" customFormat="1" x14ac:dyDescent="0.2">
      <c r="A31" s="142"/>
      <c r="B31" s="236" t="s">
        <v>1</v>
      </c>
      <c r="C31" s="171">
        <v>2127</v>
      </c>
      <c r="D31" s="170">
        <v>1980</v>
      </c>
      <c r="E31" s="169">
        <v>147</v>
      </c>
      <c r="F31" s="171">
        <v>2165</v>
      </c>
      <c r="G31" s="228">
        <v>2026</v>
      </c>
      <c r="H31" s="227">
        <v>139</v>
      </c>
      <c r="I31" s="40">
        <v>0.98244803695150118</v>
      </c>
      <c r="J31" s="39">
        <v>0.97729516288252716</v>
      </c>
      <c r="K31" s="38">
        <v>1.0575539568345325</v>
      </c>
      <c r="L31" s="226"/>
    </row>
    <row r="32" spans="1:12" s="143" customFormat="1" x14ac:dyDescent="0.2">
      <c r="A32" s="164"/>
      <c r="B32" s="235" t="s">
        <v>0</v>
      </c>
      <c r="C32" s="162">
        <v>1943</v>
      </c>
      <c r="D32" s="161">
        <v>1839</v>
      </c>
      <c r="E32" s="160">
        <v>104</v>
      </c>
      <c r="F32" s="162">
        <v>1935</v>
      </c>
      <c r="G32" s="225">
        <v>1833</v>
      </c>
      <c r="H32" s="224">
        <v>102</v>
      </c>
      <c r="I32" s="30">
        <v>1.0041343669250646</v>
      </c>
      <c r="J32" s="29">
        <v>1.0032733224222585</v>
      </c>
      <c r="K32" s="28">
        <v>1.0196078431372548</v>
      </c>
      <c r="L32" s="223"/>
    </row>
    <row r="33" spans="1:12" s="143" customFormat="1" x14ac:dyDescent="0.2">
      <c r="A33" s="181" t="s">
        <v>8</v>
      </c>
      <c r="B33" s="236" t="s">
        <v>2</v>
      </c>
      <c r="C33" s="171">
        <v>2552</v>
      </c>
      <c r="D33" s="178">
        <v>2486</v>
      </c>
      <c r="E33" s="177">
        <v>66</v>
      </c>
      <c r="F33" s="171">
        <v>2652</v>
      </c>
      <c r="G33" s="233">
        <v>2595</v>
      </c>
      <c r="H33" s="232">
        <v>57</v>
      </c>
      <c r="I33" s="46">
        <v>0.9622926093514329</v>
      </c>
      <c r="J33" s="39">
        <v>0.95799614643545283</v>
      </c>
      <c r="K33" s="38">
        <v>1.1578947368421053</v>
      </c>
      <c r="L33" s="226">
        <v>1.023765815913622</v>
      </c>
    </row>
    <row r="34" spans="1:12" s="143" customFormat="1" x14ac:dyDescent="0.2">
      <c r="A34" s="142"/>
      <c r="B34" s="236" t="s">
        <v>1</v>
      </c>
      <c r="C34" s="171">
        <v>1287</v>
      </c>
      <c r="D34" s="170">
        <v>1248</v>
      </c>
      <c r="E34" s="169">
        <v>39</v>
      </c>
      <c r="F34" s="171">
        <v>1353</v>
      </c>
      <c r="G34" s="228">
        <v>1324</v>
      </c>
      <c r="H34" s="227">
        <v>29</v>
      </c>
      <c r="I34" s="40">
        <v>0.95121951219512191</v>
      </c>
      <c r="J34" s="39">
        <v>0.94259818731117828</v>
      </c>
      <c r="K34" s="38">
        <v>1.3448275862068966</v>
      </c>
      <c r="L34" s="226"/>
    </row>
    <row r="35" spans="1:12" s="143" customFormat="1" x14ac:dyDescent="0.2">
      <c r="A35" s="164"/>
      <c r="B35" s="235" t="s">
        <v>0</v>
      </c>
      <c r="C35" s="162">
        <v>1265</v>
      </c>
      <c r="D35" s="161">
        <v>1238</v>
      </c>
      <c r="E35" s="160">
        <v>27</v>
      </c>
      <c r="F35" s="162">
        <v>1299</v>
      </c>
      <c r="G35" s="225">
        <v>1271</v>
      </c>
      <c r="H35" s="224">
        <v>28</v>
      </c>
      <c r="I35" s="30">
        <v>0.97382602001539642</v>
      </c>
      <c r="J35" s="29">
        <v>0.97403619197482294</v>
      </c>
      <c r="K35" s="28">
        <v>0.9642857142857143</v>
      </c>
      <c r="L35" s="223"/>
    </row>
    <row r="36" spans="1:12" s="143" customFormat="1" x14ac:dyDescent="0.2">
      <c r="A36" s="181" t="s">
        <v>7</v>
      </c>
      <c r="B36" s="236" t="s">
        <v>2</v>
      </c>
      <c r="C36" s="171">
        <v>3565</v>
      </c>
      <c r="D36" s="178">
        <v>3331</v>
      </c>
      <c r="E36" s="177">
        <v>234</v>
      </c>
      <c r="F36" s="171">
        <v>3848</v>
      </c>
      <c r="G36" s="233">
        <v>3629</v>
      </c>
      <c r="H36" s="232">
        <v>219</v>
      </c>
      <c r="I36" s="46">
        <v>0.92645530145530142</v>
      </c>
      <c r="J36" s="39">
        <v>0.91788371452190687</v>
      </c>
      <c r="K36" s="38">
        <v>1.0684931506849316</v>
      </c>
      <c r="L36" s="226">
        <v>1.0962115342590937</v>
      </c>
    </row>
    <row r="37" spans="1:12" s="143" customFormat="1" x14ac:dyDescent="0.2">
      <c r="A37" s="142"/>
      <c r="B37" s="236" t="s">
        <v>1</v>
      </c>
      <c r="C37" s="171">
        <v>1785</v>
      </c>
      <c r="D37" s="170">
        <v>1663</v>
      </c>
      <c r="E37" s="169">
        <v>122</v>
      </c>
      <c r="F37" s="171">
        <v>2015</v>
      </c>
      <c r="G37" s="228">
        <v>1902</v>
      </c>
      <c r="H37" s="227">
        <v>113</v>
      </c>
      <c r="I37" s="40">
        <v>0.88585607940446653</v>
      </c>
      <c r="J37" s="39">
        <v>0.87434279705573081</v>
      </c>
      <c r="K37" s="38">
        <v>1.0796460176991149</v>
      </c>
      <c r="L37" s="226"/>
    </row>
    <row r="38" spans="1:12" s="143" customFormat="1" x14ac:dyDescent="0.2">
      <c r="A38" s="164"/>
      <c r="B38" s="235" t="s">
        <v>0</v>
      </c>
      <c r="C38" s="162">
        <v>1780</v>
      </c>
      <c r="D38" s="161">
        <v>1668</v>
      </c>
      <c r="E38" s="160">
        <v>112</v>
      </c>
      <c r="F38" s="162">
        <v>1833</v>
      </c>
      <c r="G38" s="225">
        <v>1727</v>
      </c>
      <c r="H38" s="224">
        <v>106</v>
      </c>
      <c r="I38" s="30">
        <v>0.97108565193671581</v>
      </c>
      <c r="J38" s="29">
        <v>0.96583671105964097</v>
      </c>
      <c r="K38" s="28">
        <v>1.0566037735849056</v>
      </c>
      <c r="L38" s="223"/>
    </row>
    <row r="39" spans="1:12" s="203" customFormat="1" x14ac:dyDescent="0.2">
      <c r="A39" s="181" t="s">
        <v>5</v>
      </c>
      <c r="B39" s="236" t="s">
        <v>2</v>
      </c>
      <c r="C39" s="171">
        <v>4756</v>
      </c>
      <c r="D39" s="178">
        <v>4388</v>
      </c>
      <c r="E39" s="177">
        <v>368</v>
      </c>
      <c r="F39" s="171">
        <v>4840</v>
      </c>
      <c r="G39" s="233">
        <v>4475</v>
      </c>
      <c r="H39" s="232">
        <v>365</v>
      </c>
      <c r="I39" s="46">
        <v>0.98264462809917352</v>
      </c>
      <c r="J39" s="39">
        <v>0.9805586592178771</v>
      </c>
      <c r="K39" s="38">
        <v>1.0082191780821919</v>
      </c>
      <c r="L39" s="226">
        <v>1.0105884819681297</v>
      </c>
    </row>
    <row r="40" spans="1:12" s="203" customFormat="1" x14ac:dyDescent="0.2">
      <c r="A40" s="142"/>
      <c r="B40" s="236" t="s">
        <v>1</v>
      </c>
      <c r="C40" s="171">
        <v>2336</v>
      </c>
      <c r="D40" s="170">
        <v>2155</v>
      </c>
      <c r="E40" s="169">
        <v>181</v>
      </c>
      <c r="F40" s="171">
        <v>2390</v>
      </c>
      <c r="G40" s="228">
        <v>2211</v>
      </c>
      <c r="H40" s="227">
        <v>179</v>
      </c>
      <c r="I40" s="40">
        <v>0.97740585774058575</v>
      </c>
      <c r="J40" s="39">
        <v>0.97467209407507915</v>
      </c>
      <c r="K40" s="38">
        <v>1.011173184357542</v>
      </c>
      <c r="L40" s="226"/>
    </row>
    <row r="41" spans="1:12" s="203" customFormat="1" x14ac:dyDescent="0.2">
      <c r="A41" s="164"/>
      <c r="B41" s="235" t="s">
        <v>0</v>
      </c>
      <c r="C41" s="171">
        <v>2420</v>
      </c>
      <c r="D41" s="161">
        <v>2233</v>
      </c>
      <c r="E41" s="160">
        <v>187</v>
      </c>
      <c r="F41" s="171">
        <v>2450</v>
      </c>
      <c r="G41" s="225">
        <v>2264</v>
      </c>
      <c r="H41" s="224">
        <v>186</v>
      </c>
      <c r="I41" s="30">
        <v>0.98775510204081629</v>
      </c>
      <c r="J41" s="29">
        <v>0.98630742049469966</v>
      </c>
      <c r="K41" s="28">
        <v>1.0053763440860215</v>
      </c>
      <c r="L41" s="223"/>
    </row>
    <row r="42" spans="1:12" s="143" customFormat="1" x14ac:dyDescent="0.2">
      <c r="A42" s="181" t="s">
        <v>4</v>
      </c>
      <c r="B42" s="237" t="s">
        <v>2</v>
      </c>
      <c r="C42" s="179">
        <v>6007</v>
      </c>
      <c r="D42" s="178">
        <v>5530</v>
      </c>
      <c r="E42" s="177">
        <v>477</v>
      </c>
      <c r="F42" s="179">
        <v>6129</v>
      </c>
      <c r="G42" s="233">
        <v>5650</v>
      </c>
      <c r="H42" s="232">
        <v>479</v>
      </c>
      <c r="I42" s="46">
        <v>0.98009463207701097</v>
      </c>
      <c r="J42" s="39">
        <v>0.9787610619469026</v>
      </c>
      <c r="K42" s="38">
        <v>0.99582463465553239</v>
      </c>
      <c r="L42" s="226">
        <v>1.0110776920496698</v>
      </c>
    </row>
    <row r="43" spans="1:12" s="143" customFormat="1" x14ac:dyDescent="0.2">
      <c r="A43" s="142"/>
      <c r="B43" s="236" t="s">
        <v>1</v>
      </c>
      <c r="C43" s="171">
        <v>3059</v>
      </c>
      <c r="D43" s="170">
        <v>2820</v>
      </c>
      <c r="E43" s="169">
        <v>239</v>
      </c>
      <c r="F43" s="171">
        <v>3138</v>
      </c>
      <c r="G43" s="228">
        <v>2890</v>
      </c>
      <c r="H43" s="227">
        <v>248</v>
      </c>
      <c r="I43" s="40">
        <v>0.97482472912683238</v>
      </c>
      <c r="J43" s="39">
        <v>0.97577854671280273</v>
      </c>
      <c r="K43" s="38">
        <v>0.96370967741935487</v>
      </c>
      <c r="L43" s="226"/>
    </row>
    <row r="44" spans="1:12" s="143" customFormat="1" x14ac:dyDescent="0.2">
      <c r="A44" s="164"/>
      <c r="B44" s="235" t="s">
        <v>0</v>
      </c>
      <c r="C44" s="162">
        <v>2948</v>
      </c>
      <c r="D44" s="161">
        <v>2710</v>
      </c>
      <c r="E44" s="160">
        <v>238</v>
      </c>
      <c r="F44" s="162">
        <v>2991</v>
      </c>
      <c r="G44" s="225">
        <v>2760</v>
      </c>
      <c r="H44" s="224">
        <v>231</v>
      </c>
      <c r="I44" s="30">
        <v>0.98562353727850216</v>
      </c>
      <c r="J44" s="29">
        <v>0.98188405797101452</v>
      </c>
      <c r="K44" s="28">
        <v>1.0303030303030303</v>
      </c>
      <c r="L44" s="223"/>
    </row>
    <row r="45" spans="1:12" s="143" customFormat="1" ht="12" customHeight="1" x14ac:dyDescent="0.2">
      <c r="A45" s="155" t="s">
        <v>3</v>
      </c>
      <c r="B45" s="234" t="s">
        <v>2</v>
      </c>
      <c r="C45" s="114">
        <v>115195</v>
      </c>
      <c r="D45" s="115">
        <v>108725</v>
      </c>
      <c r="E45" s="116">
        <v>6470</v>
      </c>
      <c r="F45" s="114">
        <v>119280</v>
      </c>
      <c r="G45" s="117">
        <v>112825</v>
      </c>
      <c r="H45" s="122">
        <v>6455</v>
      </c>
      <c r="I45" s="222">
        <v>0.96575285043594905</v>
      </c>
      <c r="J45" s="20">
        <v>0.96366053622867276</v>
      </c>
      <c r="K45" s="19">
        <v>1.0023237800154918</v>
      </c>
      <c r="L45" s="221">
        <v>1.0294983519321086</v>
      </c>
    </row>
    <row r="46" spans="1:12" s="143" customFormat="1" x14ac:dyDescent="0.2">
      <c r="A46" s="155"/>
      <c r="B46" s="154" t="s">
        <v>1</v>
      </c>
      <c r="C46" s="114">
        <v>58559</v>
      </c>
      <c r="D46" s="115">
        <v>55139</v>
      </c>
      <c r="E46" s="116">
        <v>3420</v>
      </c>
      <c r="F46" s="114">
        <v>61502</v>
      </c>
      <c r="G46" s="117">
        <v>58115</v>
      </c>
      <c r="H46" s="122">
        <v>3387</v>
      </c>
      <c r="I46" s="21">
        <v>0.95214789762934537</v>
      </c>
      <c r="J46" s="20">
        <v>0.94879118988213029</v>
      </c>
      <c r="K46" s="19">
        <v>1.0097431355181576</v>
      </c>
      <c r="L46" s="221"/>
    </row>
    <row r="47" spans="1:12" s="143" customFormat="1" ht="12" thickBot="1" x14ac:dyDescent="0.25">
      <c r="A47" s="150"/>
      <c r="B47" s="149" t="s">
        <v>0</v>
      </c>
      <c r="C47" s="118">
        <v>56636</v>
      </c>
      <c r="D47" s="119">
        <v>53586</v>
      </c>
      <c r="E47" s="120">
        <v>3050</v>
      </c>
      <c r="F47" s="118">
        <v>57778</v>
      </c>
      <c r="G47" s="121">
        <v>54710</v>
      </c>
      <c r="H47" s="123">
        <v>3068</v>
      </c>
      <c r="I47" s="12">
        <v>0.98023469140503305</v>
      </c>
      <c r="J47" s="11">
        <v>0.9794553098153902</v>
      </c>
      <c r="K47" s="10">
        <v>0.99413298565840935</v>
      </c>
      <c r="L47" s="220"/>
    </row>
  </sheetData>
  <sheetProtection algorithmName="SHA-512" hashValue="Z+8atTRaes2EQ1mIC9ziQotUFo7V9o0vh8GShvIXqCs3Y3Lqj6mTJ37hsBU9g4TlyeLa9AJief1HOLb5VdnB7g==" saltValue="Ch9KDD7AJi0Hpoa70/wGfQ==" spinCount="100000" sheet="1" objects="1" scenarios="1"/>
  <mergeCells count="11">
    <mergeCell ref="A7:L7"/>
    <mergeCell ref="A1:L1"/>
    <mergeCell ref="A2:L2"/>
    <mergeCell ref="A3:L3"/>
    <mergeCell ref="A4:L4"/>
    <mergeCell ref="A5:L5"/>
    <mergeCell ref="A8:B9"/>
    <mergeCell ref="C8:E8"/>
    <mergeCell ref="F8:H8"/>
    <mergeCell ref="I8:K8"/>
    <mergeCell ref="L8:L9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 xml:space="preserve">&amp;L&amp;8Prepared by RSD-OPS
&amp;D
&amp;Z&amp;F; &amp;A
</oddFooter>
  </headerFooter>
  <legacyDrawing r:id="rId2"/>
  <picture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6A3B9-F42F-458C-8DE8-9F4687C85253}">
  <dimension ref="A1:L47"/>
  <sheetViews>
    <sheetView showGridLines="0" zoomScaleNormal="75" workbookViewId="0">
      <pane xSplit="2" ySplit="9" topLeftCell="C10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RowHeight="11.25" x14ac:dyDescent="0.2"/>
  <cols>
    <col min="1" max="1" width="23.85546875" style="145" customWidth="1"/>
    <col min="2" max="2" width="10.7109375" style="143" customWidth="1"/>
    <col min="3" max="8" width="10.7109375" style="110" customWidth="1"/>
    <col min="9" max="11" width="9.7109375" style="219" customWidth="1"/>
    <col min="12" max="12" width="11.140625" style="218" customWidth="1"/>
    <col min="13" max="13" width="8.7109375" style="143" customWidth="1"/>
    <col min="14" max="222" width="8.7109375" style="143"/>
    <col min="223" max="223" width="23.85546875" style="143" customWidth="1"/>
    <col min="224" max="230" width="10.7109375" style="143" customWidth="1"/>
    <col min="231" max="231" width="9.7109375" style="143" bestFit="1" customWidth="1"/>
    <col min="232" max="232" width="11.140625" style="143" customWidth="1"/>
    <col min="233" max="233" width="8.7109375" style="143"/>
    <col min="234" max="242" width="8.7109375" style="143" customWidth="1"/>
    <col min="243" max="478" width="8.7109375" style="143"/>
    <col min="479" max="479" width="23.85546875" style="143" customWidth="1"/>
    <col min="480" max="486" width="10.7109375" style="143" customWidth="1"/>
    <col min="487" max="487" width="9.7109375" style="143" bestFit="1" customWidth="1"/>
    <col min="488" max="488" width="11.140625" style="143" customWidth="1"/>
    <col min="489" max="489" width="8.7109375" style="143"/>
    <col min="490" max="498" width="8.7109375" style="143" customWidth="1"/>
    <col min="499" max="734" width="8.7109375" style="143"/>
    <col min="735" max="735" width="23.85546875" style="143" customWidth="1"/>
    <col min="736" max="742" width="10.7109375" style="143" customWidth="1"/>
    <col min="743" max="743" width="9.7109375" style="143" bestFit="1" customWidth="1"/>
    <col min="744" max="744" width="11.140625" style="143" customWidth="1"/>
    <col min="745" max="745" width="8.7109375" style="143"/>
    <col min="746" max="754" width="8.7109375" style="143" customWidth="1"/>
    <col min="755" max="990" width="8.7109375" style="143"/>
    <col min="991" max="991" width="23.85546875" style="143" customWidth="1"/>
    <col min="992" max="998" width="10.7109375" style="143" customWidth="1"/>
    <col min="999" max="999" width="9.7109375" style="143" bestFit="1" customWidth="1"/>
    <col min="1000" max="1000" width="11.140625" style="143" customWidth="1"/>
    <col min="1001" max="1001" width="8.7109375" style="143"/>
    <col min="1002" max="1010" width="8.7109375" style="143" customWidth="1"/>
    <col min="1011" max="1246" width="8.7109375" style="143"/>
    <col min="1247" max="1247" width="23.85546875" style="143" customWidth="1"/>
    <col min="1248" max="1254" width="10.7109375" style="143" customWidth="1"/>
    <col min="1255" max="1255" width="9.7109375" style="143" bestFit="1" customWidth="1"/>
    <col min="1256" max="1256" width="11.140625" style="143" customWidth="1"/>
    <col min="1257" max="1257" width="8.7109375" style="143"/>
    <col min="1258" max="1266" width="8.7109375" style="143" customWidth="1"/>
    <col min="1267" max="1502" width="8.7109375" style="143"/>
    <col min="1503" max="1503" width="23.85546875" style="143" customWidth="1"/>
    <col min="1504" max="1510" width="10.7109375" style="143" customWidth="1"/>
    <col min="1511" max="1511" width="9.7109375" style="143" bestFit="1" customWidth="1"/>
    <col min="1512" max="1512" width="11.140625" style="143" customWidth="1"/>
    <col min="1513" max="1513" width="8.7109375" style="143"/>
    <col min="1514" max="1522" width="8.7109375" style="143" customWidth="1"/>
    <col min="1523" max="1758" width="8.7109375" style="143"/>
    <col min="1759" max="1759" width="23.85546875" style="143" customWidth="1"/>
    <col min="1760" max="1766" width="10.7109375" style="143" customWidth="1"/>
    <col min="1767" max="1767" width="9.7109375" style="143" bestFit="1" customWidth="1"/>
    <col min="1768" max="1768" width="11.140625" style="143" customWidth="1"/>
    <col min="1769" max="1769" width="8.7109375" style="143"/>
    <col min="1770" max="1778" width="8.7109375" style="143" customWidth="1"/>
    <col min="1779" max="2014" width="8.7109375" style="143"/>
    <col min="2015" max="2015" width="23.85546875" style="143" customWidth="1"/>
    <col min="2016" max="2022" width="10.7109375" style="143" customWidth="1"/>
    <col min="2023" max="2023" width="9.7109375" style="143" bestFit="1" customWidth="1"/>
    <col min="2024" max="2024" width="11.140625" style="143" customWidth="1"/>
    <col min="2025" max="2025" width="8.7109375" style="143"/>
    <col min="2026" max="2034" width="8.7109375" style="143" customWidth="1"/>
    <col min="2035" max="2270" width="8.7109375" style="143"/>
    <col min="2271" max="2271" width="23.85546875" style="143" customWidth="1"/>
    <col min="2272" max="2278" width="10.7109375" style="143" customWidth="1"/>
    <col min="2279" max="2279" width="9.7109375" style="143" bestFit="1" customWidth="1"/>
    <col min="2280" max="2280" width="11.140625" style="143" customWidth="1"/>
    <col min="2281" max="2281" width="8.7109375" style="143"/>
    <col min="2282" max="2290" width="8.7109375" style="143" customWidth="1"/>
    <col min="2291" max="2526" width="8.7109375" style="143"/>
    <col min="2527" max="2527" width="23.85546875" style="143" customWidth="1"/>
    <col min="2528" max="2534" width="10.7109375" style="143" customWidth="1"/>
    <col min="2535" max="2535" width="9.7109375" style="143" bestFit="1" customWidth="1"/>
    <col min="2536" max="2536" width="11.140625" style="143" customWidth="1"/>
    <col min="2537" max="2537" width="8.7109375" style="143"/>
    <col min="2538" max="2546" width="8.7109375" style="143" customWidth="1"/>
    <col min="2547" max="2782" width="8.7109375" style="143"/>
    <col min="2783" max="2783" width="23.85546875" style="143" customWidth="1"/>
    <col min="2784" max="2790" width="10.7109375" style="143" customWidth="1"/>
    <col min="2791" max="2791" width="9.7109375" style="143" bestFit="1" customWidth="1"/>
    <col min="2792" max="2792" width="11.140625" style="143" customWidth="1"/>
    <col min="2793" max="2793" width="8.7109375" style="143"/>
    <col min="2794" max="2802" width="8.7109375" style="143" customWidth="1"/>
    <col min="2803" max="3038" width="8.7109375" style="143"/>
    <col min="3039" max="3039" width="23.85546875" style="143" customWidth="1"/>
    <col min="3040" max="3046" width="10.7109375" style="143" customWidth="1"/>
    <col min="3047" max="3047" width="9.7109375" style="143" bestFit="1" customWidth="1"/>
    <col min="3048" max="3048" width="11.140625" style="143" customWidth="1"/>
    <col min="3049" max="3049" width="8.7109375" style="143"/>
    <col min="3050" max="3058" width="8.7109375" style="143" customWidth="1"/>
    <col min="3059" max="3294" width="8.7109375" style="143"/>
    <col min="3295" max="3295" width="23.85546875" style="143" customWidth="1"/>
    <col min="3296" max="3302" width="10.7109375" style="143" customWidth="1"/>
    <col min="3303" max="3303" width="9.7109375" style="143" bestFit="1" customWidth="1"/>
    <col min="3304" max="3304" width="11.140625" style="143" customWidth="1"/>
    <col min="3305" max="3305" width="8.7109375" style="143"/>
    <col min="3306" max="3314" width="8.7109375" style="143" customWidth="1"/>
    <col min="3315" max="3550" width="8.7109375" style="143"/>
    <col min="3551" max="3551" width="23.85546875" style="143" customWidth="1"/>
    <col min="3552" max="3558" width="10.7109375" style="143" customWidth="1"/>
    <col min="3559" max="3559" width="9.7109375" style="143" bestFit="1" customWidth="1"/>
    <col min="3560" max="3560" width="11.140625" style="143" customWidth="1"/>
    <col min="3561" max="3561" width="8.7109375" style="143"/>
    <col min="3562" max="3570" width="8.7109375" style="143" customWidth="1"/>
    <col min="3571" max="3806" width="8.7109375" style="143"/>
    <col min="3807" max="3807" width="23.85546875" style="143" customWidth="1"/>
    <col min="3808" max="3814" width="10.7109375" style="143" customWidth="1"/>
    <col min="3815" max="3815" width="9.7109375" style="143" bestFit="1" customWidth="1"/>
    <col min="3816" max="3816" width="11.140625" style="143" customWidth="1"/>
    <col min="3817" max="3817" width="8.7109375" style="143"/>
    <col min="3818" max="3826" width="8.7109375" style="143" customWidth="1"/>
    <col min="3827" max="4062" width="8.7109375" style="143"/>
    <col min="4063" max="4063" width="23.85546875" style="143" customWidth="1"/>
    <col min="4064" max="4070" width="10.7109375" style="143" customWidth="1"/>
    <col min="4071" max="4071" width="9.7109375" style="143" bestFit="1" customWidth="1"/>
    <col min="4072" max="4072" width="11.140625" style="143" customWidth="1"/>
    <col min="4073" max="4073" width="8.7109375" style="143"/>
    <col min="4074" max="4082" width="8.7109375" style="143" customWidth="1"/>
    <col min="4083" max="4318" width="8.7109375" style="143"/>
    <col min="4319" max="4319" width="23.85546875" style="143" customWidth="1"/>
    <col min="4320" max="4326" width="10.7109375" style="143" customWidth="1"/>
    <col min="4327" max="4327" width="9.7109375" style="143" bestFit="1" customWidth="1"/>
    <col min="4328" max="4328" width="11.140625" style="143" customWidth="1"/>
    <col min="4329" max="4329" width="8.7109375" style="143"/>
    <col min="4330" max="4338" width="8.7109375" style="143" customWidth="1"/>
    <col min="4339" max="4574" width="8.7109375" style="143"/>
    <col min="4575" max="4575" width="23.85546875" style="143" customWidth="1"/>
    <col min="4576" max="4582" width="10.7109375" style="143" customWidth="1"/>
    <col min="4583" max="4583" width="9.7109375" style="143" bestFit="1" customWidth="1"/>
    <col min="4584" max="4584" width="11.140625" style="143" customWidth="1"/>
    <col min="4585" max="4585" width="8.7109375" style="143"/>
    <col min="4586" max="4594" width="8.7109375" style="143" customWidth="1"/>
    <col min="4595" max="4830" width="8.7109375" style="143"/>
    <col min="4831" max="4831" width="23.85546875" style="143" customWidth="1"/>
    <col min="4832" max="4838" width="10.7109375" style="143" customWidth="1"/>
    <col min="4839" max="4839" width="9.7109375" style="143" bestFit="1" customWidth="1"/>
    <col min="4840" max="4840" width="11.140625" style="143" customWidth="1"/>
    <col min="4841" max="4841" width="8.7109375" style="143"/>
    <col min="4842" max="4850" width="8.7109375" style="143" customWidth="1"/>
    <col min="4851" max="5086" width="8.7109375" style="143"/>
    <col min="5087" max="5087" width="23.85546875" style="143" customWidth="1"/>
    <col min="5088" max="5094" width="10.7109375" style="143" customWidth="1"/>
    <col min="5095" max="5095" width="9.7109375" style="143" bestFit="1" customWidth="1"/>
    <col min="5096" max="5096" width="11.140625" style="143" customWidth="1"/>
    <col min="5097" max="5097" width="8.7109375" style="143"/>
    <col min="5098" max="5106" width="8.7109375" style="143" customWidth="1"/>
    <col min="5107" max="5342" width="8.7109375" style="143"/>
    <col min="5343" max="5343" width="23.85546875" style="143" customWidth="1"/>
    <col min="5344" max="5350" width="10.7109375" style="143" customWidth="1"/>
    <col min="5351" max="5351" width="9.7109375" style="143" bestFit="1" customWidth="1"/>
    <col min="5352" max="5352" width="11.140625" style="143" customWidth="1"/>
    <col min="5353" max="5353" width="8.7109375" style="143"/>
    <col min="5354" max="5362" width="8.7109375" style="143" customWidth="1"/>
    <col min="5363" max="5598" width="8.7109375" style="143"/>
    <col min="5599" max="5599" width="23.85546875" style="143" customWidth="1"/>
    <col min="5600" max="5606" width="10.7109375" style="143" customWidth="1"/>
    <col min="5607" max="5607" width="9.7109375" style="143" bestFit="1" customWidth="1"/>
    <col min="5608" max="5608" width="11.140625" style="143" customWidth="1"/>
    <col min="5609" max="5609" width="8.7109375" style="143"/>
    <col min="5610" max="5618" width="8.7109375" style="143" customWidth="1"/>
    <col min="5619" max="5854" width="8.7109375" style="143"/>
    <col min="5855" max="5855" width="23.85546875" style="143" customWidth="1"/>
    <col min="5856" max="5862" width="10.7109375" style="143" customWidth="1"/>
    <col min="5863" max="5863" width="9.7109375" style="143" bestFit="1" customWidth="1"/>
    <col min="5864" max="5864" width="11.140625" style="143" customWidth="1"/>
    <col min="5865" max="5865" width="8.7109375" style="143"/>
    <col min="5866" max="5874" width="8.7109375" style="143" customWidth="1"/>
    <col min="5875" max="6110" width="8.7109375" style="143"/>
    <col min="6111" max="6111" width="23.85546875" style="143" customWidth="1"/>
    <col min="6112" max="6118" width="10.7109375" style="143" customWidth="1"/>
    <col min="6119" max="6119" width="9.7109375" style="143" bestFit="1" customWidth="1"/>
    <col min="6120" max="6120" width="11.140625" style="143" customWidth="1"/>
    <col min="6121" max="6121" width="8.7109375" style="143"/>
    <col min="6122" max="6130" width="8.7109375" style="143" customWidth="1"/>
    <col min="6131" max="6366" width="8.7109375" style="143"/>
    <col min="6367" max="6367" width="23.85546875" style="143" customWidth="1"/>
    <col min="6368" max="6374" width="10.7109375" style="143" customWidth="1"/>
    <col min="6375" max="6375" width="9.7109375" style="143" bestFit="1" customWidth="1"/>
    <col min="6376" max="6376" width="11.140625" style="143" customWidth="1"/>
    <col min="6377" max="6377" width="8.7109375" style="143"/>
    <col min="6378" max="6386" width="8.7109375" style="143" customWidth="1"/>
    <col min="6387" max="6622" width="8.7109375" style="143"/>
    <col min="6623" max="6623" width="23.85546875" style="143" customWidth="1"/>
    <col min="6624" max="6630" width="10.7109375" style="143" customWidth="1"/>
    <col min="6631" max="6631" width="9.7109375" style="143" bestFit="1" customWidth="1"/>
    <col min="6632" max="6632" width="11.140625" style="143" customWidth="1"/>
    <col min="6633" max="6633" width="8.7109375" style="143"/>
    <col min="6634" max="6642" width="8.7109375" style="143" customWidth="1"/>
    <col min="6643" max="6878" width="8.7109375" style="143"/>
    <col min="6879" max="6879" width="23.85546875" style="143" customWidth="1"/>
    <col min="6880" max="6886" width="10.7109375" style="143" customWidth="1"/>
    <col min="6887" max="6887" width="9.7109375" style="143" bestFit="1" customWidth="1"/>
    <col min="6888" max="6888" width="11.140625" style="143" customWidth="1"/>
    <col min="6889" max="6889" width="8.7109375" style="143"/>
    <col min="6890" max="6898" width="8.7109375" style="143" customWidth="1"/>
    <col min="6899" max="7134" width="8.7109375" style="143"/>
    <col min="7135" max="7135" width="23.85546875" style="143" customWidth="1"/>
    <col min="7136" max="7142" width="10.7109375" style="143" customWidth="1"/>
    <col min="7143" max="7143" width="9.7109375" style="143" bestFit="1" customWidth="1"/>
    <col min="7144" max="7144" width="11.140625" style="143" customWidth="1"/>
    <col min="7145" max="7145" width="8.7109375" style="143"/>
    <col min="7146" max="7154" width="8.7109375" style="143" customWidth="1"/>
    <col min="7155" max="7390" width="8.7109375" style="143"/>
    <col min="7391" max="7391" width="23.85546875" style="143" customWidth="1"/>
    <col min="7392" max="7398" width="10.7109375" style="143" customWidth="1"/>
    <col min="7399" max="7399" width="9.7109375" style="143" bestFit="1" customWidth="1"/>
    <col min="7400" max="7400" width="11.140625" style="143" customWidth="1"/>
    <col min="7401" max="7401" width="8.7109375" style="143"/>
    <col min="7402" max="7410" width="8.7109375" style="143" customWidth="1"/>
    <col min="7411" max="7646" width="8.7109375" style="143"/>
    <col min="7647" max="7647" width="23.85546875" style="143" customWidth="1"/>
    <col min="7648" max="7654" width="10.7109375" style="143" customWidth="1"/>
    <col min="7655" max="7655" width="9.7109375" style="143" bestFit="1" customWidth="1"/>
    <col min="7656" max="7656" width="11.140625" style="143" customWidth="1"/>
    <col min="7657" max="7657" width="8.7109375" style="143"/>
    <col min="7658" max="7666" width="8.7109375" style="143" customWidth="1"/>
    <col min="7667" max="7902" width="8.7109375" style="143"/>
    <col min="7903" max="7903" width="23.85546875" style="143" customWidth="1"/>
    <col min="7904" max="7910" width="10.7109375" style="143" customWidth="1"/>
    <col min="7911" max="7911" width="9.7109375" style="143" bestFit="1" customWidth="1"/>
    <col min="7912" max="7912" width="11.140625" style="143" customWidth="1"/>
    <col min="7913" max="7913" width="8.7109375" style="143"/>
    <col min="7914" max="7922" width="8.7109375" style="143" customWidth="1"/>
    <col min="7923" max="8158" width="8.7109375" style="143"/>
    <col min="8159" max="8159" width="23.85546875" style="143" customWidth="1"/>
    <col min="8160" max="8166" width="10.7109375" style="143" customWidth="1"/>
    <col min="8167" max="8167" width="9.7109375" style="143" bestFit="1" customWidth="1"/>
    <col min="8168" max="8168" width="11.140625" style="143" customWidth="1"/>
    <col min="8169" max="8169" width="8.7109375" style="143"/>
    <col min="8170" max="8178" width="8.7109375" style="143" customWidth="1"/>
    <col min="8179" max="8414" width="8.7109375" style="143"/>
    <col min="8415" max="8415" width="23.85546875" style="143" customWidth="1"/>
    <col min="8416" max="8422" width="10.7109375" style="143" customWidth="1"/>
    <col min="8423" max="8423" width="9.7109375" style="143" bestFit="1" customWidth="1"/>
    <col min="8424" max="8424" width="11.140625" style="143" customWidth="1"/>
    <col min="8425" max="8425" width="8.7109375" style="143"/>
    <col min="8426" max="8434" width="8.7109375" style="143" customWidth="1"/>
    <col min="8435" max="8670" width="8.7109375" style="143"/>
    <col min="8671" max="8671" width="23.85546875" style="143" customWidth="1"/>
    <col min="8672" max="8678" width="10.7109375" style="143" customWidth="1"/>
    <col min="8679" max="8679" width="9.7109375" style="143" bestFit="1" customWidth="1"/>
    <col min="8680" max="8680" width="11.140625" style="143" customWidth="1"/>
    <col min="8681" max="8681" width="8.7109375" style="143"/>
    <col min="8682" max="8690" width="8.7109375" style="143" customWidth="1"/>
    <col min="8691" max="8926" width="8.7109375" style="143"/>
    <col min="8927" max="8927" width="23.85546875" style="143" customWidth="1"/>
    <col min="8928" max="8934" width="10.7109375" style="143" customWidth="1"/>
    <col min="8935" max="8935" width="9.7109375" style="143" bestFit="1" customWidth="1"/>
    <col min="8936" max="8936" width="11.140625" style="143" customWidth="1"/>
    <col min="8937" max="8937" width="8.7109375" style="143"/>
    <col min="8938" max="8946" width="8.7109375" style="143" customWidth="1"/>
    <col min="8947" max="9182" width="8.7109375" style="143"/>
    <col min="9183" max="9183" width="23.85546875" style="143" customWidth="1"/>
    <col min="9184" max="9190" width="10.7109375" style="143" customWidth="1"/>
    <col min="9191" max="9191" width="9.7109375" style="143" bestFit="1" customWidth="1"/>
    <col min="9192" max="9192" width="11.140625" style="143" customWidth="1"/>
    <col min="9193" max="9193" width="8.7109375" style="143"/>
    <col min="9194" max="9202" width="8.7109375" style="143" customWidth="1"/>
    <col min="9203" max="9438" width="8.7109375" style="143"/>
    <col min="9439" max="9439" width="23.85546875" style="143" customWidth="1"/>
    <col min="9440" max="9446" width="10.7109375" style="143" customWidth="1"/>
    <col min="9447" max="9447" width="9.7109375" style="143" bestFit="1" customWidth="1"/>
    <col min="9448" max="9448" width="11.140625" style="143" customWidth="1"/>
    <col min="9449" max="9449" width="8.7109375" style="143"/>
    <col min="9450" max="9458" width="8.7109375" style="143" customWidth="1"/>
    <col min="9459" max="9694" width="8.7109375" style="143"/>
    <col min="9695" max="9695" width="23.85546875" style="143" customWidth="1"/>
    <col min="9696" max="9702" width="10.7109375" style="143" customWidth="1"/>
    <col min="9703" max="9703" width="9.7109375" style="143" bestFit="1" customWidth="1"/>
    <col min="9704" max="9704" width="11.140625" style="143" customWidth="1"/>
    <col min="9705" max="9705" width="8.7109375" style="143"/>
    <col min="9706" max="9714" width="8.7109375" style="143" customWidth="1"/>
    <col min="9715" max="9950" width="8.7109375" style="143"/>
    <col min="9951" max="9951" width="23.85546875" style="143" customWidth="1"/>
    <col min="9952" max="9958" width="10.7109375" style="143" customWidth="1"/>
    <col min="9959" max="9959" width="9.7109375" style="143" bestFit="1" customWidth="1"/>
    <col min="9960" max="9960" width="11.140625" style="143" customWidth="1"/>
    <col min="9961" max="9961" width="8.7109375" style="143"/>
    <col min="9962" max="9970" width="8.7109375" style="143" customWidth="1"/>
    <col min="9971" max="10206" width="8.7109375" style="143"/>
    <col min="10207" max="10207" width="23.85546875" style="143" customWidth="1"/>
    <col min="10208" max="10214" width="10.7109375" style="143" customWidth="1"/>
    <col min="10215" max="10215" width="9.7109375" style="143" bestFit="1" customWidth="1"/>
    <col min="10216" max="10216" width="11.140625" style="143" customWidth="1"/>
    <col min="10217" max="10217" width="8.7109375" style="143"/>
    <col min="10218" max="10226" width="8.7109375" style="143" customWidth="1"/>
    <col min="10227" max="10462" width="8.7109375" style="143"/>
    <col min="10463" max="10463" width="23.85546875" style="143" customWidth="1"/>
    <col min="10464" max="10470" width="10.7109375" style="143" customWidth="1"/>
    <col min="10471" max="10471" width="9.7109375" style="143" bestFit="1" customWidth="1"/>
    <col min="10472" max="10472" width="11.140625" style="143" customWidth="1"/>
    <col min="10473" max="10473" width="8.7109375" style="143"/>
    <col min="10474" max="10482" width="8.7109375" style="143" customWidth="1"/>
    <col min="10483" max="10718" width="8.7109375" style="143"/>
    <col min="10719" max="10719" width="23.85546875" style="143" customWidth="1"/>
    <col min="10720" max="10726" width="10.7109375" style="143" customWidth="1"/>
    <col min="10727" max="10727" width="9.7109375" style="143" bestFit="1" customWidth="1"/>
    <col min="10728" max="10728" width="11.140625" style="143" customWidth="1"/>
    <col min="10729" max="10729" width="8.7109375" style="143"/>
    <col min="10730" max="10738" width="8.7109375" style="143" customWidth="1"/>
    <col min="10739" max="10974" width="8.7109375" style="143"/>
    <col min="10975" max="10975" width="23.85546875" style="143" customWidth="1"/>
    <col min="10976" max="10982" width="10.7109375" style="143" customWidth="1"/>
    <col min="10983" max="10983" width="9.7109375" style="143" bestFit="1" customWidth="1"/>
    <col min="10984" max="10984" width="11.140625" style="143" customWidth="1"/>
    <col min="10985" max="10985" width="8.7109375" style="143"/>
    <col min="10986" max="10994" width="8.7109375" style="143" customWidth="1"/>
    <col min="10995" max="11230" width="8.7109375" style="143"/>
    <col min="11231" max="11231" width="23.85546875" style="143" customWidth="1"/>
    <col min="11232" max="11238" width="10.7109375" style="143" customWidth="1"/>
    <col min="11239" max="11239" width="9.7109375" style="143" bestFit="1" customWidth="1"/>
    <col min="11240" max="11240" width="11.140625" style="143" customWidth="1"/>
    <col min="11241" max="11241" width="8.7109375" style="143"/>
    <col min="11242" max="11250" width="8.7109375" style="143" customWidth="1"/>
    <col min="11251" max="11486" width="8.7109375" style="143"/>
    <col min="11487" max="11487" width="23.85546875" style="143" customWidth="1"/>
    <col min="11488" max="11494" width="10.7109375" style="143" customWidth="1"/>
    <col min="11495" max="11495" width="9.7109375" style="143" bestFit="1" customWidth="1"/>
    <col min="11496" max="11496" width="11.140625" style="143" customWidth="1"/>
    <col min="11497" max="11497" width="8.7109375" style="143"/>
    <col min="11498" max="11506" width="8.7109375" style="143" customWidth="1"/>
    <col min="11507" max="11742" width="8.7109375" style="143"/>
    <col min="11743" max="11743" width="23.85546875" style="143" customWidth="1"/>
    <col min="11744" max="11750" width="10.7109375" style="143" customWidth="1"/>
    <col min="11751" max="11751" width="9.7109375" style="143" bestFit="1" customWidth="1"/>
    <col min="11752" max="11752" width="11.140625" style="143" customWidth="1"/>
    <col min="11753" max="11753" width="8.7109375" style="143"/>
    <col min="11754" max="11762" width="8.7109375" style="143" customWidth="1"/>
    <col min="11763" max="11998" width="8.7109375" style="143"/>
    <col min="11999" max="11999" width="23.85546875" style="143" customWidth="1"/>
    <col min="12000" max="12006" width="10.7109375" style="143" customWidth="1"/>
    <col min="12007" max="12007" width="9.7109375" style="143" bestFit="1" customWidth="1"/>
    <col min="12008" max="12008" width="11.140625" style="143" customWidth="1"/>
    <col min="12009" max="12009" width="8.7109375" style="143"/>
    <col min="12010" max="12018" width="8.7109375" style="143" customWidth="1"/>
    <col min="12019" max="12254" width="8.7109375" style="143"/>
    <col min="12255" max="12255" width="23.85546875" style="143" customWidth="1"/>
    <col min="12256" max="12262" width="10.7109375" style="143" customWidth="1"/>
    <col min="12263" max="12263" width="9.7109375" style="143" bestFit="1" customWidth="1"/>
    <col min="12264" max="12264" width="11.140625" style="143" customWidth="1"/>
    <col min="12265" max="12265" width="8.7109375" style="143"/>
    <col min="12266" max="12274" width="8.7109375" style="143" customWidth="1"/>
    <col min="12275" max="12510" width="8.7109375" style="143"/>
    <col min="12511" max="12511" width="23.85546875" style="143" customWidth="1"/>
    <col min="12512" max="12518" width="10.7109375" style="143" customWidth="1"/>
    <col min="12519" max="12519" width="9.7109375" style="143" bestFit="1" customWidth="1"/>
    <col min="12520" max="12520" width="11.140625" style="143" customWidth="1"/>
    <col min="12521" max="12521" width="8.7109375" style="143"/>
    <col min="12522" max="12530" width="8.7109375" style="143" customWidth="1"/>
    <col min="12531" max="12766" width="8.7109375" style="143"/>
    <col min="12767" max="12767" width="23.85546875" style="143" customWidth="1"/>
    <col min="12768" max="12774" width="10.7109375" style="143" customWidth="1"/>
    <col min="12775" max="12775" width="9.7109375" style="143" bestFit="1" customWidth="1"/>
    <col min="12776" max="12776" width="11.140625" style="143" customWidth="1"/>
    <col min="12777" max="12777" width="8.7109375" style="143"/>
    <col min="12778" max="12786" width="8.7109375" style="143" customWidth="1"/>
    <col min="12787" max="13022" width="8.7109375" style="143"/>
    <col min="13023" max="13023" width="23.85546875" style="143" customWidth="1"/>
    <col min="13024" max="13030" width="10.7109375" style="143" customWidth="1"/>
    <col min="13031" max="13031" width="9.7109375" style="143" bestFit="1" customWidth="1"/>
    <col min="13032" max="13032" width="11.140625" style="143" customWidth="1"/>
    <col min="13033" max="13033" width="8.7109375" style="143"/>
    <col min="13034" max="13042" width="8.7109375" style="143" customWidth="1"/>
    <col min="13043" max="13278" width="8.7109375" style="143"/>
    <col min="13279" max="13279" width="23.85546875" style="143" customWidth="1"/>
    <col min="13280" max="13286" width="10.7109375" style="143" customWidth="1"/>
    <col min="13287" max="13287" width="9.7109375" style="143" bestFit="1" customWidth="1"/>
    <col min="13288" max="13288" width="11.140625" style="143" customWidth="1"/>
    <col min="13289" max="13289" width="8.7109375" style="143"/>
    <col min="13290" max="13298" width="8.7109375" style="143" customWidth="1"/>
    <col min="13299" max="13534" width="8.7109375" style="143"/>
    <col min="13535" max="13535" width="23.85546875" style="143" customWidth="1"/>
    <col min="13536" max="13542" width="10.7109375" style="143" customWidth="1"/>
    <col min="13543" max="13543" width="9.7109375" style="143" bestFit="1" customWidth="1"/>
    <col min="13544" max="13544" width="11.140625" style="143" customWidth="1"/>
    <col min="13545" max="13545" width="8.7109375" style="143"/>
    <col min="13546" max="13554" width="8.7109375" style="143" customWidth="1"/>
    <col min="13555" max="13790" width="8.7109375" style="143"/>
    <col min="13791" max="13791" width="23.85546875" style="143" customWidth="1"/>
    <col min="13792" max="13798" width="10.7109375" style="143" customWidth="1"/>
    <col min="13799" max="13799" width="9.7109375" style="143" bestFit="1" customWidth="1"/>
    <col min="13800" max="13800" width="11.140625" style="143" customWidth="1"/>
    <col min="13801" max="13801" width="8.7109375" style="143"/>
    <col min="13802" max="13810" width="8.7109375" style="143" customWidth="1"/>
    <col min="13811" max="14046" width="8.7109375" style="143"/>
    <col min="14047" max="14047" width="23.85546875" style="143" customWidth="1"/>
    <col min="14048" max="14054" width="10.7109375" style="143" customWidth="1"/>
    <col min="14055" max="14055" width="9.7109375" style="143" bestFit="1" customWidth="1"/>
    <col min="14056" max="14056" width="11.140625" style="143" customWidth="1"/>
    <col min="14057" max="14057" width="8.7109375" style="143"/>
    <col min="14058" max="14066" width="8.7109375" style="143" customWidth="1"/>
    <col min="14067" max="14302" width="8.7109375" style="143"/>
    <col min="14303" max="14303" width="23.85546875" style="143" customWidth="1"/>
    <col min="14304" max="14310" width="10.7109375" style="143" customWidth="1"/>
    <col min="14311" max="14311" width="9.7109375" style="143" bestFit="1" customWidth="1"/>
    <col min="14312" max="14312" width="11.140625" style="143" customWidth="1"/>
    <col min="14313" max="14313" width="8.7109375" style="143"/>
    <col min="14314" max="14322" width="8.7109375" style="143" customWidth="1"/>
    <col min="14323" max="14558" width="8.7109375" style="143"/>
    <col min="14559" max="14559" width="23.85546875" style="143" customWidth="1"/>
    <col min="14560" max="14566" width="10.7109375" style="143" customWidth="1"/>
    <col min="14567" max="14567" width="9.7109375" style="143" bestFit="1" customWidth="1"/>
    <col min="14568" max="14568" width="11.140625" style="143" customWidth="1"/>
    <col min="14569" max="14569" width="8.7109375" style="143"/>
    <col min="14570" max="14578" width="8.7109375" style="143" customWidth="1"/>
    <col min="14579" max="14814" width="8.7109375" style="143"/>
    <col min="14815" max="14815" width="23.85546875" style="143" customWidth="1"/>
    <col min="14816" max="14822" width="10.7109375" style="143" customWidth="1"/>
    <col min="14823" max="14823" width="9.7109375" style="143" bestFit="1" customWidth="1"/>
    <col min="14824" max="14824" width="11.140625" style="143" customWidth="1"/>
    <col min="14825" max="14825" width="8.7109375" style="143"/>
    <col min="14826" max="14834" width="8.7109375" style="143" customWidth="1"/>
    <col min="14835" max="15070" width="8.7109375" style="143"/>
    <col min="15071" max="15071" width="23.85546875" style="143" customWidth="1"/>
    <col min="15072" max="15078" width="10.7109375" style="143" customWidth="1"/>
    <col min="15079" max="15079" width="9.7109375" style="143" bestFit="1" customWidth="1"/>
    <col min="15080" max="15080" width="11.140625" style="143" customWidth="1"/>
    <col min="15081" max="15081" width="8.7109375" style="143"/>
    <col min="15082" max="15090" width="8.7109375" style="143" customWidth="1"/>
    <col min="15091" max="15326" width="8.7109375" style="143"/>
    <col min="15327" max="15327" width="23.85546875" style="143" customWidth="1"/>
    <col min="15328" max="15334" width="10.7109375" style="143" customWidth="1"/>
    <col min="15335" max="15335" width="9.7109375" style="143" bestFit="1" customWidth="1"/>
    <col min="15336" max="15336" width="11.140625" style="143" customWidth="1"/>
    <col min="15337" max="15337" width="8.7109375" style="143"/>
    <col min="15338" max="15346" width="8.7109375" style="143" customWidth="1"/>
    <col min="15347" max="15582" width="8.7109375" style="143"/>
    <col min="15583" max="15583" width="23.85546875" style="143" customWidth="1"/>
    <col min="15584" max="15590" width="10.7109375" style="143" customWidth="1"/>
    <col min="15591" max="15591" width="9.7109375" style="143" bestFit="1" customWidth="1"/>
    <col min="15592" max="15592" width="11.140625" style="143" customWidth="1"/>
    <col min="15593" max="15593" width="8.7109375" style="143"/>
    <col min="15594" max="15602" width="8.7109375" style="143" customWidth="1"/>
    <col min="15603" max="15838" width="8.7109375" style="143"/>
    <col min="15839" max="15839" width="23.85546875" style="143" customWidth="1"/>
    <col min="15840" max="15846" width="10.7109375" style="143" customWidth="1"/>
    <col min="15847" max="15847" width="9.7109375" style="143" bestFit="1" customWidth="1"/>
    <col min="15848" max="15848" width="11.140625" style="143" customWidth="1"/>
    <col min="15849" max="15849" width="8.7109375" style="143"/>
    <col min="15850" max="15858" width="8.7109375" style="143" customWidth="1"/>
    <col min="15859" max="16094" width="8.7109375" style="143"/>
    <col min="16095" max="16095" width="23.85546875" style="143" customWidth="1"/>
    <col min="16096" max="16102" width="10.7109375" style="143" customWidth="1"/>
    <col min="16103" max="16103" width="9.7109375" style="143" bestFit="1" customWidth="1"/>
    <col min="16104" max="16104" width="11.140625" style="143" customWidth="1"/>
    <col min="16105" max="16105" width="8.7109375" style="143"/>
    <col min="16106" max="16114" width="8.7109375" style="143" customWidth="1"/>
    <col min="16115" max="16360" width="8.7109375" style="143"/>
    <col min="16361" max="16384" width="9.140625" style="143" customWidth="1"/>
  </cols>
  <sheetData>
    <row r="1" spans="1:12" x14ac:dyDescent="0.2">
      <c r="A1" s="598" t="s">
        <v>23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599"/>
    </row>
    <row r="2" spans="1:12" x14ac:dyDescent="0.2">
      <c r="A2" s="598" t="s">
        <v>67</v>
      </c>
      <c r="B2" s="599"/>
      <c r="C2" s="599"/>
      <c r="D2" s="599"/>
      <c r="E2" s="599"/>
      <c r="F2" s="599"/>
      <c r="G2" s="599"/>
      <c r="H2" s="599"/>
      <c r="I2" s="599"/>
      <c r="J2" s="599"/>
      <c r="K2" s="599"/>
      <c r="L2" s="599"/>
    </row>
    <row r="3" spans="1:12" x14ac:dyDescent="0.2">
      <c r="A3" s="598" t="s">
        <v>76</v>
      </c>
      <c r="B3" s="599"/>
      <c r="C3" s="599"/>
      <c r="D3" s="599"/>
      <c r="E3" s="599"/>
      <c r="F3" s="599"/>
      <c r="G3" s="599"/>
      <c r="H3" s="599"/>
      <c r="I3" s="599"/>
      <c r="J3" s="599"/>
      <c r="K3" s="599"/>
      <c r="L3" s="599"/>
    </row>
    <row r="4" spans="1:12" x14ac:dyDescent="0.2">
      <c r="A4" s="598" t="s">
        <v>65</v>
      </c>
      <c r="B4" s="599"/>
      <c r="C4" s="599"/>
      <c r="D4" s="599"/>
      <c r="E4" s="599"/>
      <c r="F4" s="599"/>
      <c r="G4" s="599"/>
      <c r="H4" s="599"/>
      <c r="I4" s="599"/>
      <c r="J4" s="599"/>
      <c r="K4" s="599"/>
      <c r="L4" s="599"/>
    </row>
    <row r="5" spans="1:12" x14ac:dyDescent="0.2">
      <c r="A5" s="598" t="s">
        <v>64</v>
      </c>
      <c r="B5" s="599"/>
      <c r="C5" s="599"/>
      <c r="D5" s="599"/>
      <c r="E5" s="599"/>
      <c r="F5" s="599"/>
      <c r="G5" s="599"/>
      <c r="H5" s="599"/>
      <c r="I5" s="599"/>
      <c r="J5" s="599"/>
      <c r="K5" s="599"/>
      <c r="L5" s="599"/>
    </row>
    <row r="6" spans="1:12" x14ac:dyDescent="0.2">
      <c r="A6" s="246"/>
      <c r="C6" s="143"/>
      <c r="D6" s="245"/>
      <c r="E6" s="244"/>
      <c r="F6" s="143"/>
      <c r="G6" s="245"/>
      <c r="H6" s="244"/>
      <c r="I6" s="143"/>
      <c r="J6" s="245"/>
      <c r="K6" s="244"/>
      <c r="L6" s="143"/>
    </row>
    <row r="7" spans="1:12" ht="12" thickBot="1" x14ac:dyDescent="0.25">
      <c r="A7" s="214"/>
      <c r="D7" s="128"/>
      <c r="E7" s="136"/>
      <c r="G7" s="128"/>
      <c r="H7" s="136"/>
      <c r="I7" s="110"/>
      <c r="J7" s="128"/>
      <c r="K7" s="136"/>
      <c r="L7" s="110"/>
    </row>
    <row r="8" spans="1:12" x14ac:dyDescent="0.2">
      <c r="A8" s="600" t="s">
        <v>22</v>
      </c>
      <c r="B8" s="601"/>
      <c r="C8" s="604" t="s">
        <v>75</v>
      </c>
      <c r="D8" s="605"/>
      <c r="E8" s="605"/>
      <c r="F8" s="606" t="s">
        <v>74</v>
      </c>
      <c r="G8" s="605"/>
      <c r="H8" s="607"/>
      <c r="I8" s="606" t="s">
        <v>61</v>
      </c>
      <c r="J8" s="605"/>
      <c r="K8" s="607"/>
      <c r="L8" s="608" t="s">
        <v>60</v>
      </c>
    </row>
    <row r="9" spans="1:12" ht="12" thickBot="1" x14ac:dyDescent="0.25">
      <c r="A9" s="602"/>
      <c r="B9" s="603"/>
      <c r="C9" s="243" t="s">
        <v>6</v>
      </c>
      <c r="D9" s="240" t="s">
        <v>17</v>
      </c>
      <c r="E9" s="242" t="s">
        <v>16</v>
      </c>
      <c r="F9" s="241" t="s">
        <v>6</v>
      </c>
      <c r="G9" s="240" t="s">
        <v>17</v>
      </c>
      <c r="H9" s="239" t="s">
        <v>16</v>
      </c>
      <c r="I9" s="241" t="s">
        <v>6</v>
      </c>
      <c r="J9" s="240" t="s">
        <v>17</v>
      </c>
      <c r="K9" s="239" t="s">
        <v>16</v>
      </c>
      <c r="L9" s="609"/>
    </row>
    <row r="10" spans="1:12" x14ac:dyDescent="0.2">
      <c r="A10" s="200" t="s">
        <v>14</v>
      </c>
      <c r="B10" s="196"/>
      <c r="C10" s="79"/>
      <c r="D10" s="130"/>
      <c r="E10" s="140"/>
      <c r="F10" s="79"/>
      <c r="G10" s="130"/>
      <c r="H10" s="140"/>
      <c r="I10" s="79"/>
      <c r="J10" s="77"/>
      <c r="K10" s="76"/>
      <c r="L10" s="78"/>
    </row>
    <row r="11" spans="1:12" ht="12" thickBot="1" x14ac:dyDescent="0.25">
      <c r="A11" s="196"/>
      <c r="B11" s="196"/>
      <c r="C11" s="68"/>
      <c r="D11" s="195"/>
      <c r="E11" s="194"/>
      <c r="F11" s="68"/>
      <c r="G11" s="195"/>
      <c r="H11" s="194"/>
      <c r="I11" s="68"/>
      <c r="J11" s="66"/>
      <c r="K11" s="65"/>
      <c r="L11" s="67"/>
    </row>
    <row r="12" spans="1:12" x14ac:dyDescent="0.2">
      <c r="A12" s="190" t="s">
        <v>13</v>
      </c>
      <c r="B12" s="238" t="s">
        <v>2</v>
      </c>
      <c r="C12" s="188">
        <v>28521</v>
      </c>
      <c r="D12" s="187">
        <v>23653</v>
      </c>
      <c r="E12" s="186">
        <v>4868</v>
      </c>
      <c r="F12" s="188">
        <v>28872</v>
      </c>
      <c r="G12" s="231">
        <v>25560</v>
      </c>
      <c r="H12" s="230">
        <v>3312</v>
      </c>
      <c r="I12" s="54">
        <v>0.98784289276807979</v>
      </c>
      <c r="J12" s="53">
        <v>0.92539123630672926</v>
      </c>
      <c r="K12" s="52">
        <v>1.4698067632850242</v>
      </c>
      <c r="L12" s="229">
        <v>1.0440767103060096</v>
      </c>
    </row>
    <row r="13" spans="1:12" x14ac:dyDescent="0.2">
      <c r="A13" s="142"/>
      <c r="B13" s="236" t="s">
        <v>1</v>
      </c>
      <c r="C13" s="171">
        <v>14827</v>
      </c>
      <c r="D13" s="170">
        <v>12335</v>
      </c>
      <c r="E13" s="169">
        <v>2492</v>
      </c>
      <c r="F13" s="171">
        <v>15320</v>
      </c>
      <c r="G13" s="228">
        <v>13610</v>
      </c>
      <c r="H13" s="227">
        <v>1710</v>
      </c>
      <c r="I13" s="40">
        <v>0.96781984334203652</v>
      </c>
      <c r="J13" s="39">
        <v>0.90631888317413667</v>
      </c>
      <c r="K13" s="38">
        <v>1.4573099415204678</v>
      </c>
      <c r="L13" s="226"/>
    </row>
    <row r="14" spans="1:12" x14ac:dyDescent="0.2">
      <c r="A14" s="164"/>
      <c r="B14" s="235" t="s">
        <v>0</v>
      </c>
      <c r="C14" s="171">
        <v>13694</v>
      </c>
      <c r="D14" s="161">
        <v>11318</v>
      </c>
      <c r="E14" s="160">
        <v>2376</v>
      </c>
      <c r="F14" s="171">
        <v>13552</v>
      </c>
      <c r="G14" s="225">
        <v>11950</v>
      </c>
      <c r="H14" s="224">
        <v>1602</v>
      </c>
      <c r="I14" s="30">
        <v>1.010478158205431</v>
      </c>
      <c r="J14" s="29">
        <v>0.94711297071129708</v>
      </c>
      <c r="K14" s="28">
        <v>1.4831460674157304</v>
      </c>
      <c r="L14" s="223"/>
    </row>
    <row r="15" spans="1:12" x14ac:dyDescent="0.2">
      <c r="A15" s="181" t="s">
        <v>46</v>
      </c>
      <c r="B15" s="236" t="s">
        <v>2</v>
      </c>
      <c r="C15" s="179">
        <v>12783</v>
      </c>
      <c r="D15" s="178">
        <v>12202</v>
      </c>
      <c r="E15" s="177">
        <v>581</v>
      </c>
      <c r="F15" s="179">
        <v>13382</v>
      </c>
      <c r="G15" s="233">
        <v>13112</v>
      </c>
      <c r="H15" s="232">
        <v>270</v>
      </c>
      <c r="I15" s="46">
        <v>0.95523837991331639</v>
      </c>
      <c r="J15" s="39">
        <v>0.93059792556436849</v>
      </c>
      <c r="K15" s="38">
        <v>2.1518518518518519</v>
      </c>
      <c r="L15" s="226">
        <v>1.0325282531727997</v>
      </c>
    </row>
    <row r="16" spans="1:12" x14ac:dyDescent="0.2">
      <c r="A16" s="142"/>
      <c r="B16" s="236" t="s">
        <v>1</v>
      </c>
      <c r="C16" s="171">
        <v>6596</v>
      </c>
      <c r="D16" s="170">
        <v>6277</v>
      </c>
      <c r="E16" s="169">
        <v>319</v>
      </c>
      <c r="F16" s="171">
        <v>7012</v>
      </c>
      <c r="G16" s="228">
        <v>6866</v>
      </c>
      <c r="H16" s="227">
        <v>146</v>
      </c>
      <c r="I16" s="40">
        <v>0.9406731317741015</v>
      </c>
      <c r="J16" s="39">
        <v>0.91421497232741045</v>
      </c>
      <c r="K16" s="38">
        <v>2.1849315068493151</v>
      </c>
      <c r="L16" s="226"/>
    </row>
    <row r="17" spans="1:12" x14ac:dyDescent="0.2">
      <c r="A17" s="164"/>
      <c r="B17" s="235" t="s">
        <v>0</v>
      </c>
      <c r="C17" s="162">
        <v>6187</v>
      </c>
      <c r="D17" s="161">
        <v>5925</v>
      </c>
      <c r="E17" s="160">
        <v>262</v>
      </c>
      <c r="F17" s="162">
        <v>6370</v>
      </c>
      <c r="G17" s="225">
        <v>6246</v>
      </c>
      <c r="H17" s="224">
        <v>124</v>
      </c>
      <c r="I17" s="30">
        <v>0.97127158555729987</v>
      </c>
      <c r="J17" s="29">
        <v>0.94860710854947161</v>
      </c>
      <c r="K17" s="28">
        <v>2.1129032258064515</v>
      </c>
      <c r="L17" s="223"/>
    </row>
    <row r="18" spans="1:12" x14ac:dyDescent="0.2">
      <c r="A18" s="181" t="s">
        <v>12</v>
      </c>
      <c r="B18" s="236" t="s">
        <v>2</v>
      </c>
      <c r="C18" s="171">
        <v>7458</v>
      </c>
      <c r="D18" s="178">
        <v>6961</v>
      </c>
      <c r="E18" s="177">
        <v>497</v>
      </c>
      <c r="F18" s="171">
        <v>8154</v>
      </c>
      <c r="G18" s="233">
        <v>7959</v>
      </c>
      <c r="H18" s="232">
        <v>195</v>
      </c>
      <c r="I18" s="46">
        <v>0.91464311994113323</v>
      </c>
      <c r="J18" s="39">
        <v>0.87460736273401185</v>
      </c>
      <c r="K18" s="38">
        <v>2.5487179487179485</v>
      </c>
      <c r="L18" s="226">
        <v>1.0262269803506916</v>
      </c>
    </row>
    <row r="19" spans="1:12" x14ac:dyDescent="0.2">
      <c r="A19" s="142"/>
      <c r="B19" s="236" t="s">
        <v>1</v>
      </c>
      <c r="C19" s="171">
        <v>3861</v>
      </c>
      <c r="D19" s="170">
        <v>3582</v>
      </c>
      <c r="E19" s="169">
        <v>279</v>
      </c>
      <c r="F19" s="171">
        <v>4274</v>
      </c>
      <c r="G19" s="228">
        <v>4158</v>
      </c>
      <c r="H19" s="227">
        <v>116</v>
      </c>
      <c r="I19" s="40">
        <v>0.90336920917173613</v>
      </c>
      <c r="J19" s="39">
        <v>0.8614718614718615</v>
      </c>
      <c r="K19" s="38">
        <v>2.4051724137931036</v>
      </c>
      <c r="L19" s="226"/>
    </row>
    <row r="20" spans="1:12" x14ac:dyDescent="0.2">
      <c r="A20" s="164"/>
      <c r="B20" s="235" t="s">
        <v>0</v>
      </c>
      <c r="C20" s="171">
        <v>3597</v>
      </c>
      <c r="D20" s="161">
        <v>3379</v>
      </c>
      <c r="E20" s="160">
        <v>218</v>
      </c>
      <c r="F20" s="171">
        <v>3880</v>
      </c>
      <c r="G20" s="225">
        <v>3801</v>
      </c>
      <c r="H20" s="224">
        <v>79</v>
      </c>
      <c r="I20" s="30">
        <v>0.92706185567010313</v>
      </c>
      <c r="J20" s="29">
        <v>0.88897658510918176</v>
      </c>
      <c r="K20" s="28">
        <v>2.759493670886076</v>
      </c>
      <c r="L20" s="223"/>
    </row>
    <row r="21" spans="1:12" x14ac:dyDescent="0.2">
      <c r="A21" s="181" t="s">
        <v>11</v>
      </c>
      <c r="B21" s="236" t="s">
        <v>2</v>
      </c>
      <c r="C21" s="179">
        <v>7592</v>
      </c>
      <c r="D21" s="178">
        <v>6143</v>
      </c>
      <c r="E21" s="177">
        <v>1449</v>
      </c>
      <c r="F21" s="179">
        <v>8397</v>
      </c>
      <c r="G21" s="233">
        <v>8278</v>
      </c>
      <c r="H21" s="232">
        <v>119</v>
      </c>
      <c r="I21" s="46">
        <v>0.90413242824818385</v>
      </c>
      <c r="J21" s="39">
        <v>0.74208746073930898</v>
      </c>
      <c r="K21" s="38">
        <v>12.176470588235293</v>
      </c>
      <c r="L21" s="226">
        <v>1.0429857752637062</v>
      </c>
    </row>
    <row r="22" spans="1:12" x14ac:dyDescent="0.2">
      <c r="A22" s="142"/>
      <c r="B22" s="236" t="s">
        <v>1</v>
      </c>
      <c r="C22" s="171">
        <v>3826</v>
      </c>
      <c r="D22" s="170">
        <v>3096</v>
      </c>
      <c r="E22" s="169">
        <v>730</v>
      </c>
      <c r="F22" s="171">
        <v>4320</v>
      </c>
      <c r="G22" s="228">
        <v>4258</v>
      </c>
      <c r="H22" s="227">
        <v>62</v>
      </c>
      <c r="I22" s="40">
        <v>0.88564814814814818</v>
      </c>
      <c r="J22" s="39">
        <v>0.72710192578675437</v>
      </c>
      <c r="K22" s="38">
        <v>11.774193548387096</v>
      </c>
      <c r="L22" s="226"/>
    </row>
    <row r="23" spans="1:12" x14ac:dyDescent="0.2">
      <c r="A23" s="164"/>
      <c r="B23" s="235" t="s">
        <v>0</v>
      </c>
      <c r="C23" s="162">
        <v>3766</v>
      </c>
      <c r="D23" s="161">
        <v>3047</v>
      </c>
      <c r="E23" s="160">
        <v>719</v>
      </c>
      <c r="F23" s="162">
        <v>4077</v>
      </c>
      <c r="G23" s="225">
        <v>4020</v>
      </c>
      <c r="H23" s="224">
        <v>57</v>
      </c>
      <c r="I23" s="30">
        <v>0.92371842040716212</v>
      </c>
      <c r="J23" s="29">
        <v>0.75796019900497513</v>
      </c>
      <c r="K23" s="28">
        <v>12.614035087719298</v>
      </c>
      <c r="L23" s="223"/>
    </row>
    <row r="24" spans="1:12" x14ac:dyDescent="0.2">
      <c r="A24" s="181" t="s">
        <v>27</v>
      </c>
      <c r="B24" s="236" t="s">
        <v>2</v>
      </c>
      <c r="C24" s="179">
        <v>4994</v>
      </c>
      <c r="D24" s="178">
        <v>4782</v>
      </c>
      <c r="E24" s="177">
        <v>212</v>
      </c>
      <c r="F24" s="179">
        <v>5983</v>
      </c>
      <c r="G24" s="233">
        <v>5953</v>
      </c>
      <c r="H24" s="232">
        <v>30</v>
      </c>
      <c r="I24" s="46">
        <v>0.83469831188367039</v>
      </c>
      <c r="J24" s="39">
        <v>0.80329245758441126</v>
      </c>
      <c r="K24" s="38">
        <v>7.0666666666666664</v>
      </c>
      <c r="L24" s="226">
        <v>1.1174190035871565</v>
      </c>
    </row>
    <row r="25" spans="1:12" x14ac:dyDescent="0.2">
      <c r="A25" s="142"/>
      <c r="B25" s="236" t="s">
        <v>1</v>
      </c>
      <c r="C25" s="171">
        <v>2449</v>
      </c>
      <c r="D25" s="170">
        <v>2333</v>
      </c>
      <c r="E25" s="169">
        <v>116</v>
      </c>
      <c r="F25" s="171">
        <v>3100</v>
      </c>
      <c r="G25" s="228">
        <v>3085</v>
      </c>
      <c r="H25" s="227">
        <v>15</v>
      </c>
      <c r="I25" s="40">
        <v>0.79</v>
      </c>
      <c r="J25" s="39">
        <v>0.75623987034035656</v>
      </c>
      <c r="K25" s="38">
        <v>7.7333333333333334</v>
      </c>
      <c r="L25" s="226"/>
    </row>
    <row r="26" spans="1:12" x14ac:dyDescent="0.2">
      <c r="A26" s="164"/>
      <c r="B26" s="235" t="s">
        <v>0</v>
      </c>
      <c r="C26" s="162">
        <v>2545</v>
      </c>
      <c r="D26" s="161">
        <v>2449</v>
      </c>
      <c r="E26" s="160">
        <v>96</v>
      </c>
      <c r="F26" s="162">
        <v>2883</v>
      </c>
      <c r="G26" s="225">
        <v>2868</v>
      </c>
      <c r="H26" s="224">
        <v>15</v>
      </c>
      <c r="I26" s="30">
        <v>0.88276101283385366</v>
      </c>
      <c r="J26" s="29">
        <v>0.853905160390516</v>
      </c>
      <c r="K26" s="28">
        <v>6.4</v>
      </c>
      <c r="L26" s="223"/>
    </row>
    <row r="27" spans="1:12" x14ac:dyDescent="0.2">
      <c r="A27" s="181" t="s">
        <v>10</v>
      </c>
      <c r="B27" s="236" t="s">
        <v>2</v>
      </c>
      <c r="C27" s="171">
        <v>7567</v>
      </c>
      <c r="D27" s="178">
        <v>7032</v>
      </c>
      <c r="E27" s="177">
        <v>535</v>
      </c>
      <c r="F27" s="171">
        <v>8475</v>
      </c>
      <c r="G27" s="233">
        <v>8330</v>
      </c>
      <c r="H27" s="232">
        <v>145</v>
      </c>
      <c r="I27" s="46">
        <v>0.8928613569321534</v>
      </c>
      <c r="J27" s="39">
        <v>0.84417767106842734</v>
      </c>
      <c r="K27" s="38">
        <v>3.6896551724137931</v>
      </c>
      <c r="L27" s="226">
        <v>1.0552177207778259</v>
      </c>
    </row>
    <row r="28" spans="1:12" x14ac:dyDescent="0.2">
      <c r="A28" s="142"/>
      <c r="B28" s="236" t="s">
        <v>1</v>
      </c>
      <c r="C28" s="171">
        <v>3768</v>
      </c>
      <c r="D28" s="170">
        <v>3497</v>
      </c>
      <c r="E28" s="169">
        <v>271</v>
      </c>
      <c r="F28" s="171">
        <v>4334</v>
      </c>
      <c r="G28" s="228">
        <v>4255</v>
      </c>
      <c r="H28" s="227">
        <v>79</v>
      </c>
      <c r="I28" s="40">
        <v>0.86940470696815875</v>
      </c>
      <c r="J28" s="39">
        <v>0.82185663924794361</v>
      </c>
      <c r="K28" s="38">
        <v>3.4303797468354431</v>
      </c>
      <c r="L28" s="226"/>
    </row>
    <row r="29" spans="1:12" x14ac:dyDescent="0.2">
      <c r="A29" s="164"/>
      <c r="B29" s="235" t="s">
        <v>0</v>
      </c>
      <c r="C29" s="171">
        <v>3799</v>
      </c>
      <c r="D29" s="161">
        <v>3535</v>
      </c>
      <c r="E29" s="160">
        <v>264</v>
      </c>
      <c r="F29" s="171">
        <v>4141</v>
      </c>
      <c r="G29" s="225">
        <v>4075</v>
      </c>
      <c r="H29" s="224">
        <v>66</v>
      </c>
      <c r="I29" s="30">
        <v>0.91741125332045403</v>
      </c>
      <c r="J29" s="29">
        <v>0.8674846625766871</v>
      </c>
      <c r="K29" s="28">
        <v>4</v>
      </c>
      <c r="L29" s="223"/>
    </row>
    <row r="30" spans="1:12" x14ac:dyDescent="0.2">
      <c r="A30" s="181" t="s">
        <v>9</v>
      </c>
      <c r="B30" s="236" t="s">
        <v>2</v>
      </c>
      <c r="C30" s="179">
        <v>3411</v>
      </c>
      <c r="D30" s="178">
        <v>2981</v>
      </c>
      <c r="E30" s="177">
        <v>430</v>
      </c>
      <c r="F30" s="179">
        <v>3237</v>
      </c>
      <c r="G30" s="233">
        <v>3051</v>
      </c>
      <c r="H30" s="232">
        <v>186</v>
      </c>
      <c r="I30" s="46">
        <v>1.0537534754402225</v>
      </c>
      <c r="J30" s="39">
        <v>0.97705670272041956</v>
      </c>
      <c r="K30" s="38">
        <v>2.3118279569892475</v>
      </c>
      <c r="L30" s="226">
        <v>1.0198721945137157</v>
      </c>
    </row>
    <row r="31" spans="1:12" x14ac:dyDescent="0.2">
      <c r="A31" s="142"/>
      <c r="B31" s="236" t="s">
        <v>1</v>
      </c>
      <c r="C31" s="171">
        <v>1704</v>
      </c>
      <c r="D31" s="170">
        <v>1474</v>
      </c>
      <c r="E31" s="169">
        <v>230</v>
      </c>
      <c r="F31" s="171">
        <v>1633</v>
      </c>
      <c r="G31" s="228">
        <v>1528</v>
      </c>
      <c r="H31" s="227">
        <v>105</v>
      </c>
      <c r="I31" s="40">
        <v>1.0434782608695652</v>
      </c>
      <c r="J31" s="39">
        <v>0.96465968586387429</v>
      </c>
      <c r="K31" s="38">
        <v>2.1904761904761907</v>
      </c>
      <c r="L31" s="226"/>
    </row>
    <row r="32" spans="1:12" x14ac:dyDescent="0.2">
      <c r="A32" s="164"/>
      <c r="B32" s="235" t="s">
        <v>0</v>
      </c>
      <c r="C32" s="162">
        <v>1707</v>
      </c>
      <c r="D32" s="161">
        <v>1507</v>
      </c>
      <c r="E32" s="160">
        <v>200</v>
      </c>
      <c r="F32" s="162">
        <v>1604</v>
      </c>
      <c r="G32" s="225">
        <v>1523</v>
      </c>
      <c r="H32" s="224">
        <v>81</v>
      </c>
      <c r="I32" s="30">
        <v>1.064214463840399</v>
      </c>
      <c r="J32" s="29">
        <v>0.98949441891004597</v>
      </c>
      <c r="K32" s="28">
        <v>2.4691358024691357</v>
      </c>
      <c r="L32" s="223"/>
    </row>
    <row r="33" spans="1:12" x14ac:dyDescent="0.2">
      <c r="A33" s="181" t="s">
        <v>8</v>
      </c>
      <c r="B33" s="236" t="s">
        <v>2</v>
      </c>
      <c r="C33" s="171">
        <v>1940</v>
      </c>
      <c r="D33" s="178">
        <v>1795</v>
      </c>
      <c r="E33" s="177">
        <v>145</v>
      </c>
      <c r="F33" s="171">
        <v>2041</v>
      </c>
      <c r="G33" s="233">
        <v>2004</v>
      </c>
      <c r="H33" s="232">
        <v>37</v>
      </c>
      <c r="I33" s="46">
        <v>0.95051445369916709</v>
      </c>
      <c r="J33" s="39">
        <v>0.8957085828343313</v>
      </c>
      <c r="K33" s="38">
        <v>3.9189189189189189</v>
      </c>
      <c r="L33" s="226">
        <v>1.0271258459868737</v>
      </c>
    </row>
    <row r="34" spans="1:12" x14ac:dyDescent="0.2">
      <c r="A34" s="142"/>
      <c r="B34" s="236" t="s">
        <v>1</v>
      </c>
      <c r="C34" s="171">
        <v>967</v>
      </c>
      <c r="D34" s="170">
        <v>895</v>
      </c>
      <c r="E34" s="169">
        <v>72</v>
      </c>
      <c r="F34" s="171">
        <v>1031</v>
      </c>
      <c r="G34" s="228">
        <v>1012</v>
      </c>
      <c r="H34" s="227">
        <v>19</v>
      </c>
      <c r="I34" s="40">
        <v>0.93792434529582924</v>
      </c>
      <c r="J34" s="39">
        <v>0.88438735177865613</v>
      </c>
      <c r="K34" s="38">
        <v>3.7894736842105261</v>
      </c>
      <c r="L34" s="226"/>
    </row>
    <row r="35" spans="1:12" x14ac:dyDescent="0.2">
      <c r="A35" s="164"/>
      <c r="B35" s="235" t="s">
        <v>0</v>
      </c>
      <c r="C35" s="162">
        <v>973</v>
      </c>
      <c r="D35" s="161">
        <v>900</v>
      </c>
      <c r="E35" s="160">
        <v>73</v>
      </c>
      <c r="F35" s="162">
        <v>1010</v>
      </c>
      <c r="G35" s="225">
        <v>992</v>
      </c>
      <c r="H35" s="224">
        <v>18</v>
      </c>
      <c r="I35" s="30">
        <v>0.96336633663366333</v>
      </c>
      <c r="J35" s="29">
        <v>0.907258064516129</v>
      </c>
      <c r="K35" s="28">
        <v>4.0555555555555554</v>
      </c>
      <c r="L35" s="223"/>
    </row>
    <row r="36" spans="1:12" x14ac:dyDescent="0.2">
      <c r="A36" s="181" t="s">
        <v>7</v>
      </c>
      <c r="B36" s="236" t="s">
        <v>2</v>
      </c>
      <c r="C36" s="171">
        <v>2852</v>
      </c>
      <c r="D36" s="178">
        <v>2607</v>
      </c>
      <c r="E36" s="177">
        <v>245</v>
      </c>
      <c r="F36" s="171">
        <v>2909</v>
      </c>
      <c r="G36" s="233">
        <v>2722</v>
      </c>
      <c r="H36" s="232">
        <v>187</v>
      </c>
      <c r="I36" s="46">
        <v>0.98040563767617739</v>
      </c>
      <c r="J36" s="39">
        <v>0.95775165319617928</v>
      </c>
      <c r="K36" s="38">
        <v>1.3101604278074865</v>
      </c>
      <c r="L36" s="226">
        <v>1.0550692270235802</v>
      </c>
    </row>
    <row r="37" spans="1:12" x14ac:dyDescent="0.2">
      <c r="A37" s="142"/>
      <c r="B37" s="236" t="s">
        <v>1</v>
      </c>
      <c r="C37" s="171">
        <v>1454</v>
      </c>
      <c r="D37" s="170">
        <v>1325</v>
      </c>
      <c r="E37" s="169">
        <v>129</v>
      </c>
      <c r="F37" s="171">
        <v>1522</v>
      </c>
      <c r="G37" s="228">
        <v>1420</v>
      </c>
      <c r="H37" s="227">
        <v>102</v>
      </c>
      <c r="I37" s="40">
        <v>0.9553219448094612</v>
      </c>
      <c r="J37" s="39">
        <v>0.93309859154929575</v>
      </c>
      <c r="K37" s="38">
        <v>1.2647058823529411</v>
      </c>
      <c r="L37" s="226"/>
    </row>
    <row r="38" spans="1:12" x14ac:dyDescent="0.2">
      <c r="A38" s="164"/>
      <c r="B38" s="235" t="s">
        <v>0</v>
      </c>
      <c r="C38" s="162">
        <v>1398</v>
      </c>
      <c r="D38" s="161">
        <v>1282</v>
      </c>
      <c r="E38" s="160">
        <v>116</v>
      </c>
      <c r="F38" s="162">
        <v>1387</v>
      </c>
      <c r="G38" s="225">
        <v>1302</v>
      </c>
      <c r="H38" s="224">
        <v>85</v>
      </c>
      <c r="I38" s="30">
        <v>1.0079307858687816</v>
      </c>
      <c r="J38" s="29">
        <v>0.98463901689708144</v>
      </c>
      <c r="K38" s="28">
        <v>1.3647058823529412</v>
      </c>
      <c r="L38" s="223"/>
    </row>
    <row r="39" spans="1:12" s="203" customFormat="1" x14ac:dyDescent="0.2">
      <c r="A39" s="181" t="s">
        <v>5</v>
      </c>
      <c r="B39" s="236" t="s">
        <v>2</v>
      </c>
      <c r="C39" s="171">
        <v>3670</v>
      </c>
      <c r="D39" s="178">
        <v>3106</v>
      </c>
      <c r="E39" s="177">
        <v>564</v>
      </c>
      <c r="F39" s="171">
        <v>3730</v>
      </c>
      <c r="G39" s="233">
        <v>3480</v>
      </c>
      <c r="H39" s="232">
        <v>250</v>
      </c>
      <c r="I39" s="46">
        <v>0.98391420911528149</v>
      </c>
      <c r="J39" s="39">
        <v>0.89252873563218393</v>
      </c>
      <c r="K39" s="38">
        <v>2.2559999999999998</v>
      </c>
      <c r="L39" s="226">
        <v>0.99924599236172729</v>
      </c>
    </row>
    <row r="40" spans="1:12" s="203" customFormat="1" x14ac:dyDescent="0.2">
      <c r="A40" s="142"/>
      <c r="B40" s="236" t="s">
        <v>1</v>
      </c>
      <c r="C40" s="171">
        <v>1878</v>
      </c>
      <c r="D40" s="170">
        <v>1587</v>
      </c>
      <c r="E40" s="169">
        <v>291</v>
      </c>
      <c r="F40" s="171">
        <v>1908</v>
      </c>
      <c r="G40" s="228">
        <v>1774</v>
      </c>
      <c r="H40" s="227">
        <v>134</v>
      </c>
      <c r="I40" s="40">
        <v>0.98427672955974843</v>
      </c>
      <c r="J40" s="39">
        <v>0.89458850056369787</v>
      </c>
      <c r="K40" s="38">
        <v>2.1716417910447761</v>
      </c>
      <c r="L40" s="226"/>
    </row>
    <row r="41" spans="1:12" s="203" customFormat="1" x14ac:dyDescent="0.2">
      <c r="A41" s="164"/>
      <c r="B41" s="235" t="s">
        <v>0</v>
      </c>
      <c r="C41" s="171">
        <v>1792</v>
      </c>
      <c r="D41" s="161">
        <v>1519</v>
      </c>
      <c r="E41" s="160">
        <v>273</v>
      </c>
      <c r="F41" s="171">
        <v>1822</v>
      </c>
      <c r="G41" s="225">
        <v>1706</v>
      </c>
      <c r="H41" s="224">
        <v>116</v>
      </c>
      <c r="I41" s="30">
        <v>0.98353457738748629</v>
      </c>
      <c r="J41" s="29">
        <v>0.89038686987104343</v>
      </c>
      <c r="K41" s="28">
        <v>2.353448275862069</v>
      </c>
      <c r="L41" s="223"/>
    </row>
    <row r="42" spans="1:12" x14ac:dyDescent="0.2">
      <c r="A42" s="181" t="s">
        <v>4</v>
      </c>
      <c r="B42" s="237" t="s">
        <v>2</v>
      </c>
      <c r="C42" s="179">
        <v>5042</v>
      </c>
      <c r="D42" s="178">
        <v>4361</v>
      </c>
      <c r="E42" s="177">
        <v>681</v>
      </c>
      <c r="F42" s="179">
        <v>4978</v>
      </c>
      <c r="G42" s="233">
        <v>4558</v>
      </c>
      <c r="H42" s="232">
        <v>420</v>
      </c>
      <c r="I42" s="46">
        <v>1.0128565689031739</v>
      </c>
      <c r="J42" s="39">
        <v>0.95677928916191313</v>
      </c>
      <c r="K42" s="38">
        <v>1.6214285714285714</v>
      </c>
      <c r="L42" s="226">
        <v>1.0136657694062021</v>
      </c>
    </row>
    <row r="43" spans="1:12" x14ac:dyDescent="0.2">
      <c r="A43" s="142"/>
      <c r="B43" s="236" t="s">
        <v>1</v>
      </c>
      <c r="C43" s="171">
        <v>2590</v>
      </c>
      <c r="D43" s="170">
        <v>2253</v>
      </c>
      <c r="E43" s="169">
        <v>337</v>
      </c>
      <c r="F43" s="171">
        <v>2574</v>
      </c>
      <c r="G43" s="228">
        <v>2374</v>
      </c>
      <c r="H43" s="227">
        <v>200</v>
      </c>
      <c r="I43" s="40">
        <v>1.0062160062160062</v>
      </c>
      <c r="J43" s="39">
        <v>0.94903117101937662</v>
      </c>
      <c r="K43" s="38">
        <v>1.6850000000000001</v>
      </c>
      <c r="L43" s="226"/>
    </row>
    <row r="44" spans="1:12" x14ac:dyDescent="0.2">
      <c r="A44" s="164"/>
      <c r="B44" s="235" t="s">
        <v>0</v>
      </c>
      <c r="C44" s="162">
        <v>2452</v>
      </c>
      <c r="D44" s="161">
        <v>2108</v>
      </c>
      <c r="E44" s="160">
        <v>344</v>
      </c>
      <c r="F44" s="162">
        <v>2404</v>
      </c>
      <c r="G44" s="225">
        <v>2184</v>
      </c>
      <c r="H44" s="224">
        <v>220</v>
      </c>
      <c r="I44" s="30">
        <v>1.0199667221297837</v>
      </c>
      <c r="J44" s="29">
        <v>0.96520146520146521</v>
      </c>
      <c r="K44" s="28">
        <v>1.5636363636363637</v>
      </c>
      <c r="L44" s="223"/>
    </row>
    <row r="45" spans="1:12" ht="12" customHeight="1" x14ac:dyDescent="0.2">
      <c r="A45" s="155" t="s">
        <v>3</v>
      </c>
      <c r="B45" s="234" t="s">
        <v>2</v>
      </c>
      <c r="C45" s="114">
        <v>85830</v>
      </c>
      <c r="D45" s="115">
        <v>75623</v>
      </c>
      <c r="E45" s="116">
        <v>10207</v>
      </c>
      <c r="F45" s="114">
        <v>90158</v>
      </c>
      <c r="G45" s="117">
        <v>85007</v>
      </c>
      <c r="H45" s="122">
        <v>5151</v>
      </c>
      <c r="I45" s="222">
        <v>0.95199538587812504</v>
      </c>
      <c r="J45" s="20">
        <v>0.88960909101603403</v>
      </c>
      <c r="K45" s="19">
        <v>1.9815569792273344</v>
      </c>
      <c r="L45" s="221">
        <v>1.0404767515669364</v>
      </c>
    </row>
    <row r="46" spans="1:12" x14ac:dyDescent="0.2">
      <c r="A46" s="155"/>
      <c r="B46" s="154" t="s">
        <v>1</v>
      </c>
      <c r="C46" s="114">
        <v>43920</v>
      </c>
      <c r="D46" s="115">
        <v>38654</v>
      </c>
      <c r="E46" s="116">
        <v>5266</v>
      </c>
      <c r="F46" s="114">
        <v>47028</v>
      </c>
      <c r="G46" s="117">
        <v>44340</v>
      </c>
      <c r="H46" s="122">
        <v>2688</v>
      </c>
      <c r="I46" s="21">
        <v>0.93391171217147229</v>
      </c>
      <c r="J46" s="20">
        <v>0.8717636445647271</v>
      </c>
      <c r="K46" s="19">
        <v>1.9590773809523809</v>
      </c>
      <c r="L46" s="221"/>
    </row>
    <row r="47" spans="1:12" ht="12" thickBot="1" x14ac:dyDescent="0.25">
      <c r="A47" s="150"/>
      <c r="B47" s="149" t="s">
        <v>0</v>
      </c>
      <c r="C47" s="118">
        <v>41910</v>
      </c>
      <c r="D47" s="119">
        <v>36969</v>
      </c>
      <c r="E47" s="120">
        <v>4941</v>
      </c>
      <c r="F47" s="118">
        <v>43130</v>
      </c>
      <c r="G47" s="121">
        <v>40667</v>
      </c>
      <c r="H47" s="123">
        <v>2463</v>
      </c>
      <c r="I47" s="12">
        <v>0.97171342453048926</v>
      </c>
      <c r="J47" s="11">
        <v>0.90906631912853175</v>
      </c>
      <c r="K47" s="10">
        <v>2.0060901339829478</v>
      </c>
      <c r="L47" s="220"/>
    </row>
  </sheetData>
  <sheetProtection algorithmName="SHA-512" hashValue="MkvZSUeOXt0pR096DW9/roo60PW8p/cWhTe3/5MPB0xAc65QbqnjbscHEL1uH6k0qfyMVkngonRTYkItTWEfpQ==" saltValue="bVhnB9UuC50M9E+uWKpwng==" spinCount="100000" sheet="1" objects="1" scenarios="1"/>
  <mergeCells count="10">
    <mergeCell ref="A8:B9"/>
    <mergeCell ref="C8:E8"/>
    <mergeCell ref="F8:H8"/>
    <mergeCell ref="I8:K8"/>
    <mergeCell ref="L8:L9"/>
    <mergeCell ref="A1:L1"/>
    <mergeCell ref="A2:L2"/>
    <mergeCell ref="A3:L3"/>
    <mergeCell ref="A4:L4"/>
    <mergeCell ref="A5:L5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>&amp;L&amp;8Prepared by RSD-OPS
&amp;D
&amp;Z&amp;F; &amp;A</oddFooter>
  </headerFooter>
  <picture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9BBC5-5015-40DC-9B55-6FC81713F540}">
  <dimension ref="A1:L47"/>
  <sheetViews>
    <sheetView showGridLines="0" zoomScaleNormal="75" workbookViewId="0">
      <pane xSplit="2" ySplit="9" topLeftCell="C10" activePane="bottomRight" state="frozen"/>
      <selection activeCell="H21" sqref="H21"/>
      <selection pane="topRight" activeCell="H21" sqref="H21"/>
      <selection pane="bottomLeft" activeCell="H21" sqref="H21"/>
      <selection pane="bottomRight" activeCell="C10" sqref="C10"/>
    </sheetView>
  </sheetViews>
  <sheetFormatPr defaultRowHeight="11.25" x14ac:dyDescent="0.2"/>
  <cols>
    <col min="1" max="1" width="23.85546875" style="250" customWidth="1"/>
    <col min="2" max="2" width="10.7109375" style="247" customWidth="1"/>
    <col min="3" max="8" width="10.7109375" style="249" customWidth="1"/>
    <col min="9" max="11" width="10.7109375" style="219" customWidth="1"/>
    <col min="12" max="12" width="10.7109375" style="248" customWidth="1"/>
    <col min="13" max="21" width="8.7109375" style="247" customWidth="1"/>
    <col min="22" max="236" width="8.7109375" style="247"/>
    <col min="237" max="237" width="23.85546875" style="247" customWidth="1"/>
    <col min="238" max="246" width="10.7109375" style="247" customWidth="1"/>
    <col min="247" max="247" width="8.7109375" style="247"/>
    <col min="248" max="251" width="10.28515625" style="247" customWidth="1"/>
    <col min="252" max="252" width="2.42578125" style="247" customWidth="1"/>
    <col min="253" max="256" width="10.28515625" style="247" customWidth="1"/>
    <col min="257" max="492" width="8.7109375" style="247"/>
    <col min="493" max="493" width="23.85546875" style="247" customWidth="1"/>
    <col min="494" max="502" width="10.7109375" style="247" customWidth="1"/>
    <col min="503" max="503" width="8.7109375" style="247"/>
    <col min="504" max="507" width="10.28515625" style="247" customWidth="1"/>
    <col min="508" max="508" width="2.42578125" style="247" customWidth="1"/>
    <col min="509" max="512" width="10.28515625" style="247" customWidth="1"/>
    <col min="513" max="748" width="8.7109375" style="247"/>
    <col min="749" max="749" width="23.85546875" style="247" customWidth="1"/>
    <col min="750" max="758" width="10.7109375" style="247" customWidth="1"/>
    <col min="759" max="759" width="8.7109375" style="247"/>
    <col min="760" max="763" width="10.28515625" style="247" customWidth="1"/>
    <col min="764" max="764" width="2.42578125" style="247" customWidth="1"/>
    <col min="765" max="768" width="10.28515625" style="247" customWidth="1"/>
    <col min="769" max="1004" width="8.7109375" style="247"/>
    <col min="1005" max="1005" width="23.85546875" style="247" customWidth="1"/>
    <col min="1006" max="1014" width="10.7109375" style="247" customWidth="1"/>
    <col min="1015" max="1015" width="8.7109375" style="247"/>
    <col min="1016" max="1019" width="10.28515625" style="247" customWidth="1"/>
    <col min="1020" max="1020" width="2.42578125" style="247" customWidth="1"/>
    <col min="1021" max="1024" width="10.28515625" style="247" customWidth="1"/>
    <col min="1025" max="1260" width="8.7109375" style="247"/>
    <col min="1261" max="1261" width="23.85546875" style="247" customWidth="1"/>
    <col min="1262" max="1270" width="10.7109375" style="247" customWidth="1"/>
    <col min="1271" max="1271" width="8.7109375" style="247"/>
    <col min="1272" max="1275" width="10.28515625" style="247" customWidth="1"/>
    <col min="1276" max="1276" width="2.42578125" style="247" customWidth="1"/>
    <col min="1277" max="1280" width="10.28515625" style="247" customWidth="1"/>
    <col min="1281" max="1516" width="8.7109375" style="247"/>
    <col min="1517" max="1517" width="23.85546875" style="247" customWidth="1"/>
    <col min="1518" max="1526" width="10.7109375" style="247" customWidth="1"/>
    <col min="1527" max="1527" width="8.7109375" style="247"/>
    <col min="1528" max="1531" width="10.28515625" style="247" customWidth="1"/>
    <col min="1532" max="1532" width="2.42578125" style="247" customWidth="1"/>
    <col min="1533" max="1536" width="10.28515625" style="247" customWidth="1"/>
    <col min="1537" max="1772" width="8.7109375" style="247"/>
    <col min="1773" max="1773" width="23.85546875" style="247" customWidth="1"/>
    <col min="1774" max="1782" width="10.7109375" style="247" customWidth="1"/>
    <col min="1783" max="1783" width="8.7109375" style="247"/>
    <col min="1784" max="1787" width="10.28515625" style="247" customWidth="1"/>
    <col min="1788" max="1788" width="2.42578125" style="247" customWidth="1"/>
    <col min="1789" max="1792" width="10.28515625" style="247" customWidth="1"/>
    <col min="1793" max="2028" width="8.7109375" style="247"/>
    <col min="2029" max="2029" width="23.85546875" style="247" customWidth="1"/>
    <col min="2030" max="2038" width="10.7109375" style="247" customWidth="1"/>
    <col min="2039" max="2039" width="8.7109375" style="247"/>
    <col min="2040" max="2043" width="10.28515625" style="247" customWidth="1"/>
    <col min="2044" max="2044" width="2.42578125" style="247" customWidth="1"/>
    <col min="2045" max="2048" width="10.28515625" style="247" customWidth="1"/>
    <col min="2049" max="2284" width="8.7109375" style="247"/>
    <col min="2285" max="2285" width="23.85546875" style="247" customWidth="1"/>
    <col min="2286" max="2294" width="10.7109375" style="247" customWidth="1"/>
    <col min="2295" max="2295" width="8.7109375" style="247"/>
    <col min="2296" max="2299" width="10.28515625" style="247" customWidth="1"/>
    <col min="2300" max="2300" width="2.42578125" style="247" customWidth="1"/>
    <col min="2301" max="2304" width="10.28515625" style="247" customWidth="1"/>
    <col min="2305" max="2540" width="8.7109375" style="247"/>
    <col min="2541" max="2541" width="23.85546875" style="247" customWidth="1"/>
    <col min="2542" max="2550" width="10.7109375" style="247" customWidth="1"/>
    <col min="2551" max="2551" width="8.7109375" style="247"/>
    <col min="2552" max="2555" width="10.28515625" style="247" customWidth="1"/>
    <col min="2556" max="2556" width="2.42578125" style="247" customWidth="1"/>
    <col min="2557" max="2560" width="10.28515625" style="247" customWidth="1"/>
    <col min="2561" max="2796" width="8.7109375" style="247"/>
    <col min="2797" max="2797" width="23.85546875" style="247" customWidth="1"/>
    <col min="2798" max="2806" width="10.7109375" style="247" customWidth="1"/>
    <col min="2807" max="2807" width="8.7109375" style="247"/>
    <col min="2808" max="2811" width="10.28515625" style="247" customWidth="1"/>
    <col min="2812" max="2812" width="2.42578125" style="247" customWidth="1"/>
    <col min="2813" max="2816" width="10.28515625" style="247" customWidth="1"/>
    <col min="2817" max="3052" width="8.7109375" style="247"/>
    <col min="3053" max="3053" width="23.85546875" style="247" customWidth="1"/>
    <col min="3054" max="3062" width="10.7109375" style="247" customWidth="1"/>
    <col min="3063" max="3063" width="8.7109375" style="247"/>
    <col min="3064" max="3067" width="10.28515625" style="247" customWidth="1"/>
    <col min="3068" max="3068" width="2.42578125" style="247" customWidth="1"/>
    <col min="3069" max="3072" width="10.28515625" style="247" customWidth="1"/>
    <col min="3073" max="3308" width="8.7109375" style="247"/>
    <col min="3309" max="3309" width="23.85546875" style="247" customWidth="1"/>
    <col min="3310" max="3318" width="10.7109375" style="247" customWidth="1"/>
    <col min="3319" max="3319" width="8.7109375" style="247"/>
    <col min="3320" max="3323" width="10.28515625" style="247" customWidth="1"/>
    <col min="3324" max="3324" width="2.42578125" style="247" customWidth="1"/>
    <col min="3325" max="3328" width="10.28515625" style="247" customWidth="1"/>
    <col min="3329" max="3564" width="8.7109375" style="247"/>
    <col min="3565" max="3565" width="23.85546875" style="247" customWidth="1"/>
    <col min="3566" max="3574" width="10.7109375" style="247" customWidth="1"/>
    <col min="3575" max="3575" width="8.7109375" style="247"/>
    <col min="3576" max="3579" width="10.28515625" style="247" customWidth="1"/>
    <col min="3580" max="3580" width="2.42578125" style="247" customWidth="1"/>
    <col min="3581" max="3584" width="10.28515625" style="247" customWidth="1"/>
    <col min="3585" max="3820" width="8.7109375" style="247"/>
    <col min="3821" max="3821" width="23.85546875" style="247" customWidth="1"/>
    <col min="3822" max="3830" width="10.7109375" style="247" customWidth="1"/>
    <col min="3831" max="3831" width="8.7109375" style="247"/>
    <col min="3832" max="3835" width="10.28515625" style="247" customWidth="1"/>
    <col min="3836" max="3836" width="2.42578125" style="247" customWidth="1"/>
    <col min="3837" max="3840" width="10.28515625" style="247" customWidth="1"/>
    <col min="3841" max="4076" width="8.7109375" style="247"/>
    <col min="4077" max="4077" width="23.85546875" style="247" customWidth="1"/>
    <col min="4078" max="4086" width="10.7109375" style="247" customWidth="1"/>
    <col min="4087" max="4087" width="8.7109375" style="247"/>
    <col min="4088" max="4091" width="10.28515625" style="247" customWidth="1"/>
    <col min="4092" max="4092" width="2.42578125" style="247" customWidth="1"/>
    <col min="4093" max="4096" width="10.28515625" style="247" customWidth="1"/>
    <col min="4097" max="4332" width="8.7109375" style="247"/>
    <col min="4333" max="4333" width="23.85546875" style="247" customWidth="1"/>
    <col min="4334" max="4342" width="10.7109375" style="247" customWidth="1"/>
    <col min="4343" max="4343" width="8.7109375" style="247"/>
    <col min="4344" max="4347" width="10.28515625" style="247" customWidth="1"/>
    <col min="4348" max="4348" width="2.42578125" style="247" customWidth="1"/>
    <col min="4349" max="4352" width="10.28515625" style="247" customWidth="1"/>
    <col min="4353" max="4588" width="8.7109375" style="247"/>
    <col min="4589" max="4589" width="23.85546875" style="247" customWidth="1"/>
    <col min="4590" max="4598" width="10.7109375" style="247" customWidth="1"/>
    <col min="4599" max="4599" width="8.7109375" style="247"/>
    <col min="4600" max="4603" width="10.28515625" style="247" customWidth="1"/>
    <col min="4604" max="4604" width="2.42578125" style="247" customWidth="1"/>
    <col min="4605" max="4608" width="10.28515625" style="247" customWidth="1"/>
    <col min="4609" max="4844" width="8.7109375" style="247"/>
    <col min="4845" max="4845" width="23.85546875" style="247" customWidth="1"/>
    <col min="4846" max="4854" width="10.7109375" style="247" customWidth="1"/>
    <col min="4855" max="4855" width="8.7109375" style="247"/>
    <col min="4856" max="4859" width="10.28515625" style="247" customWidth="1"/>
    <col min="4860" max="4860" width="2.42578125" style="247" customWidth="1"/>
    <col min="4861" max="4864" width="10.28515625" style="247" customWidth="1"/>
    <col min="4865" max="5100" width="8.7109375" style="247"/>
    <col min="5101" max="5101" width="23.85546875" style="247" customWidth="1"/>
    <col min="5102" max="5110" width="10.7109375" style="247" customWidth="1"/>
    <col min="5111" max="5111" width="8.7109375" style="247"/>
    <col min="5112" max="5115" width="10.28515625" style="247" customWidth="1"/>
    <col min="5116" max="5116" width="2.42578125" style="247" customWidth="1"/>
    <col min="5117" max="5120" width="10.28515625" style="247" customWidth="1"/>
    <col min="5121" max="5356" width="8.7109375" style="247"/>
    <col min="5357" max="5357" width="23.85546875" style="247" customWidth="1"/>
    <col min="5358" max="5366" width="10.7109375" style="247" customWidth="1"/>
    <col min="5367" max="5367" width="8.7109375" style="247"/>
    <col min="5368" max="5371" width="10.28515625" style="247" customWidth="1"/>
    <col min="5372" max="5372" width="2.42578125" style="247" customWidth="1"/>
    <col min="5373" max="5376" width="10.28515625" style="247" customWidth="1"/>
    <col min="5377" max="5612" width="8.7109375" style="247"/>
    <col min="5613" max="5613" width="23.85546875" style="247" customWidth="1"/>
    <col min="5614" max="5622" width="10.7109375" style="247" customWidth="1"/>
    <col min="5623" max="5623" width="8.7109375" style="247"/>
    <col min="5624" max="5627" width="10.28515625" style="247" customWidth="1"/>
    <col min="5628" max="5628" width="2.42578125" style="247" customWidth="1"/>
    <col min="5629" max="5632" width="10.28515625" style="247" customWidth="1"/>
    <col min="5633" max="5868" width="8.7109375" style="247"/>
    <col min="5869" max="5869" width="23.85546875" style="247" customWidth="1"/>
    <col min="5870" max="5878" width="10.7109375" style="247" customWidth="1"/>
    <col min="5879" max="5879" width="8.7109375" style="247"/>
    <col min="5880" max="5883" width="10.28515625" style="247" customWidth="1"/>
    <col min="5884" max="5884" width="2.42578125" style="247" customWidth="1"/>
    <col min="5885" max="5888" width="10.28515625" style="247" customWidth="1"/>
    <col min="5889" max="6124" width="8.7109375" style="247"/>
    <col min="6125" max="6125" width="23.85546875" style="247" customWidth="1"/>
    <col min="6126" max="6134" width="10.7109375" style="247" customWidth="1"/>
    <col min="6135" max="6135" width="8.7109375" style="247"/>
    <col min="6136" max="6139" width="10.28515625" style="247" customWidth="1"/>
    <col min="6140" max="6140" width="2.42578125" style="247" customWidth="1"/>
    <col min="6141" max="6144" width="10.28515625" style="247" customWidth="1"/>
    <col min="6145" max="6380" width="8.7109375" style="247"/>
    <col min="6381" max="6381" width="23.85546875" style="247" customWidth="1"/>
    <col min="6382" max="6390" width="10.7109375" style="247" customWidth="1"/>
    <col min="6391" max="6391" width="8.7109375" style="247"/>
    <col min="6392" max="6395" width="10.28515625" style="247" customWidth="1"/>
    <col min="6396" max="6396" width="2.42578125" style="247" customWidth="1"/>
    <col min="6397" max="6400" width="10.28515625" style="247" customWidth="1"/>
    <col min="6401" max="6636" width="8.7109375" style="247"/>
    <col min="6637" max="6637" width="23.85546875" style="247" customWidth="1"/>
    <col min="6638" max="6646" width="10.7109375" style="247" customWidth="1"/>
    <col min="6647" max="6647" width="8.7109375" style="247"/>
    <col min="6648" max="6651" width="10.28515625" style="247" customWidth="1"/>
    <col min="6652" max="6652" width="2.42578125" style="247" customWidth="1"/>
    <col min="6653" max="6656" width="10.28515625" style="247" customWidth="1"/>
    <col min="6657" max="6892" width="8.7109375" style="247"/>
    <col min="6893" max="6893" width="23.85546875" style="247" customWidth="1"/>
    <col min="6894" max="6902" width="10.7109375" style="247" customWidth="1"/>
    <col min="6903" max="6903" width="8.7109375" style="247"/>
    <col min="6904" max="6907" width="10.28515625" style="247" customWidth="1"/>
    <col min="6908" max="6908" width="2.42578125" style="247" customWidth="1"/>
    <col min="6909" max="6912" width="10.28515625" style="247" customWidth="1"/>
    <col min="6913" max="7148" width="8.7109375" style="247"/>
    <col min="7149" max="7149" width="23.85546875" style="247" customWidth="1"/>
    <col min="7150" max="7158" width="10.7109375" style="247" customWidth="1"/>
    <col min="7159" max="7159" width="8.7109375" style="247"/>
    <col min="7160" max="7163" width="10.28515625" style="247" customWidth="1"/>
    <col min="7164" max="7164" width="2.42578125" style="247" customWidth="1"/>
    <col min="7165" max="7168" width="10.28515625" style="247" customWidth="1"/>
    <col min="7169" max="7404" width="8.7109375" style="247"/>
    <col min="7405" max="7405" width="23.85546875" style="247" customWidth="1"/>
    <col min="7406" max="7414" width="10.7109375" style="247" customWidth="1"/>
    <col min="7415" max="7415" width="8.7109375" style="247"/>
    <col min="7416" max="7419" width="10.28515625" style="247" customWidth="1"/>
    <col min="7420" max="7420" width="2.42578125" style="247" customWidth="1"/>
    <col min="7421" max="7424" width="10.28515625" style="247" customWidth="1"/>
    <col min="7425" max="7660" width="8.7109375" style="247"/>
    <col min="7661" max="7661" width="23.85546875" style="247" customWidth="1"/>
    <col min="7662" max="7670" width="10.7109375" style="247" customWidth="1"/>
    <col min="7671" max="7671" width="8.7109375" style="247"/>
    <col min="7672" max="7675" width="10.28515625" style="247" customWidth="1"/>
    <col min="7676" max="7676" width="2.42578125" style="247" customWidth="1"/>
    <col min="7677" max="7680" width="10.28515625" style="247" customWidth="1"/>
    <col min="7681" max="7916" width="8.7109375" style="247"/>
    <col min="7917" max="7917" width="23.85546875" style="247" customWidth="1"/>
    <col min="7918" max="7926" width="10.7109375" style="247" customWidth="1"/>
    <col min="7927" max="7927" width="8.7109375" style="247"/>
    <col min="7928" max="7931" width="10.28515625" style="247" customWidth="1"/>
    <col min="7932" max="7932" width="2.42578125" style="247" customWidth="1"/>
    <col min="7933" max="7936" width="10.28515625" style="247" customWidth="1"/>
    <col min="7937" max="8172" width="8.7109375" style="247"/>
    <col min="8173" max="8173" width="23.85546875" style="247" customWidth="1"/>
    <col min="8174" max="8182" width="10.7109375" style="247" customWidth="1"/>
    <col min="8183" max="8183" width="8.7109375" style="247"/>
    <col min="8184" max="8187" width="10.28515625" style="247" customWidth="1"/>
    <col min="8188" max="8188" width="2.42578125" style="247" customWidth="1"/>
    <col min="8189" max="8192" width="10.28515625" style="247" customWidth="1"/>
    <col min="8193" max="8428" width="8.7109375" style="247"/>
    <col min="8429" max="8429" width="23.85546875" style="247" customWidth="1"/>
    <col min="8430" max="8438" width="10.7109375" style="247" customWidth="1"/>
    <col min="8439" max="8439" width="8.7109375" style="247"/>
    <col min="8440" max="8443" width="10.28515625" style="247" customWidth="1"/>
    <col min="8444" max="8444" width="2.42578125" style="247" customWidth="1"/>
    <col min="8445" max="8448" width="10.28515625" style="247" customWidth="1"/>
    <col min="8449" max="8684" width="8.7109375" style="247"/>
    <col min="8685" max="8685" width="23.85546875" style="247" customWidth="1"/>
    <col min="8686" max="8694" width="10.7109375" style="247" customWidth="1"/>
    <col min="8695" max="8695" width="8.7109375" style="247"/>
    <col min="8696" max="8699" width="10.28515625" style="247" customWidth="1"/>
    <col min="8700" max="8700" width="2.42578125" style="247" customWidth="1"/>
    <col min="8701" max="8704" width="10.28515625" style="247" customWidth="1"/>
    <col min="8705" max="8940" width="8.7109375" style="247"/>
    <col min="8941" max="8941" width="23.85546875" style="247" customWidth="1"/>
    <col min="8942" max="8950" width="10.7109375" style="247" customWidth="1"/>
    <col min="8951" max="8951" width="8.7109375" style="247"/>
    <col min="8952" max="8955" width="10.28515625" style="247" customWidth="1"/>
    <col min="8956" max="8956" width="2.42578125" style="247" customWidth="1"/>
    <col min="8957" max="8960" width="10.28515625" style="247" customWidth="1"/>
    <col min="8961" max="9196" width="8.7109375" style="247"/>
    <col min="9197" max="9197" width="23.85546875" style="247" customWidth="1"/>
    <col min="9198" max="9206" width="10.7109375" style="247" customWidth="1"/>
    <col min="9207" max="9207" width="8.7109375" style="247"/>
    <col min="9208" max="9211" width="10.28515625" style="247" customWidth="1"/>
    <col min="9212" max="9212" width="2.42578125" style="247" customWidth="1"/>
    <col min="9213" max="9216" width="10.28515625" style="247" customWidth="1"/>
    <col min="9217" max="9452" width="8.7109375" style="247"/>
    <col min="9453" max="9453" width="23.85546875" style="247" customWidth="1"/>
    <col min="9454" max="9462" width="10.7109375" style="247" customWidth="1"/>
    <col min="9463" max="9463" width="8.7109375" style="247"/>
    <col min="9464" max="9467" width="10.28515625" style="247" customWidth="1"/>
    <col min="9468" max="9468" width="2.42578125" style="247" customWidth="1"/>
    <col min="9469" max="9472" width="10.28515625" style="247" customWidth="1"/>
    <col min="9473" max="9708" width="8.7109375" style="247"/>
    <col min="9709" max="9709" width="23.85546875" style="247" customWidth="1"/>
    <col min="9710" max="9718" width="10.7109375" style="247" customWidth="1"/>
    <col min="9719" max="9719" width="8.7109375" style="247"/>
    <col min="9720" max="9723" width="10.28515625" style="247" customWidth="1"/>
    <col min="9724" max="9724" width="2.42578125" style="247" customWidth="1"/>
    <col min="9725" max="9728" width="10.28515625" style="247" customWidth="1"/>
    <col min="9729" max="9964" width="8.7109375" style="247"/>
    <col min="9965" max="9965" width="23.85546875" style="247" customWidth="1"/>
    <col min="9966" max="9974" width="10.7109375" style="247" customWidth="1"/>
    <col min="9975" max="9975" width="8.7109375" style="247"/>
    <col min="9976" max="9979" width="10.28515625" style="247" customWidth="1"/>
    <col min="9980" max="9980" width="2.42578125" style="247" customWidth="1"/>
    <col min="9981" max="9984" width="10.28515625" style="247" customWidth="1"/>
    <col min="9985" max="10220" width="8.7109375" style="247"/>
    <col min="10221" max="10221" width="23.85546875" style="247" customWidth="1"/>
    <col min="10222" max="10230" width="10.7109375" style="247" customWidth="1"/>
    <col min="10231" max="10231" width="8.7109375" style="247"/>
    <col min="10232" max="10235" width="10.28515625" style="247" customWidth="1"/>
    <col min="10236" max="10236" width="2.42578125" style="247" customWidth="1"/>
    <col min="10237" max="10240" width="10.28515625" style="247" customWidth="1"/>
    <col min="10241" max="10476" width="8.7109375" style="247"/>
    <col min="10477" max="10477" width="23.85546875" style="247" customWidth="1"/>
    <col min="10478" max="10486" width="10.7109375" style="247" customWidth="1"/>
    <col min="10487" max="10487" width="8.7109375" style="247"/>
    <col min="10488" max="10491" width="10.28515625" style="247" customWidth="1"/>
    <col min="10492" max="10492" width="2.42578125" style="247" customWidth="1"/>
    <col min="10493" max="10496" width="10.28515625" style="247" customWidth="1"/>
    <col min="10497" max="10732" width="8.7109375" style="247"/>
    <col min="10733" max="10733" width="23.85546875" style="247" customWidth="1"/>
    <col min="10734" max="10742" width="10.7109375" style="247" customWidth="1"/>
    <col min="10743" max="10743" width="8.7109375" style="247"/>
    <col min="10744" max="10747" width="10.28515625" style="247" customWidth="1"/>
    <col min="10748" max="10748" width="2.42578125" style="247" customWidth="1"/>
    <col min="10749" max="10752" width="10.28515625" style="247" customWidth="1"/>
    <col min="10753" max="10988" width="8.7109375" style="247"/>
    <col min="10989" max="10989" width="23.85546875" style="247" customWidth="1"/>
    <col min="10990" max="10998" width="10.7109375" style="247" customWidth="1"/>
    <col min="10999" max="10999" width="8.7109375" style="247"/>
    <col min="11000" max="11003" width="10.28515625" style="247" customWidth="1"/>
    <col min="11004" max="11004" width="2.42578125" style="247" customWidth="1"/>
    <col min="11005" max="11008" width="10.28515625" style="247" customWidth="1"/>
    <col min="11009" max="11244" width="8.7109375" style="247"/>
    <col min="11245" max="11245" width="23.85546875" style="247" customWidth="1"/>
    <col min="11246" max="11254" width="10.7109375" style="247" customWidth="1"/>
    <col min="11255" max="11255" width="8.7109375" style="247"/>
    <col min="11256" max="11259" width="10.28515625" style="247" customWidth="1"/>
    <col min="11260" max="11260" width="2.42578125" style="247" customWidth="1"/>
    <col min="11261" max="11264" width="10.28515625" style="247" customWidth="1"/>
    <col min="11265" max="11500" width="8.7109375" style="247"/>
    <col min="11501" max="11501" width="23.85546875" style="247" customWidth="1"/>
    <col min="11502" max="11510" width="10.7109375" style="247" customWidth="1"/>
    <col min="11511" max="11511" width="8.7109375" style="247"/>
    <col min="11512" max="11515" width="10.28515625" style="247" customWidth="1"/>
    <col min="11516" max="11516" width="2.42578125" style="247" customWidth="1"/>
    <col min="11517" max="11520" width="10.28515625" style="247" customWidth="1"/>
    <col min="11521" max="11756" width="8.7109375" style="247"/>
    <col min="11757" max="11757" width="23.85546875" style="247" customWidth="1"/>
    <col min="11758" max="11766" width="10.7109375" style="247" customWidth="1"/>
    <col min="11767" max="11767" width="8.7109375" style="247"/>
    <col min="11768" max="11771" width="10.28515625" style="247" customWidth="1"/>
    <col min="11772" max="11772" width="2.42578125" style="247" customWidth="1"/>
    <col min="11773" max="11776" width="10.28515625" style="247" customWidth="1"/>
    <col min="11777" max="12012" width="8.7109375" style="247"/>
    <col min="12013" max="12013" width="23.85546875" style="247" customWidth="1"/>
    <col min="12014" max="12022" width="10.7109375" style="247" customWidth="1"/>
    <col min="12023" max="12023" width="8.7109375" style="247"/>
    <col min="12024" max="12027" width="10.28515625" style="247" customWidth="1"/>
    <col min="12028" max="12028" width="2.42578125" style="247" customWidth="1"/>
    <col min="12029" max="12032" width="10.28515625" style="247" customWidth="1"/>
    <col min="12033" max="12268" width="8.7109375" style="247"/>
    <col min="12269" max="12269" width="23.85546875" style="247" customWidth="1"/>
    <col min="12270" max="12278" width="10.7109375" style="247" customWidth="1"/>
    <col min="12279" max="12279" width="8.7109375" style="247"/>
    <col min="12280" max="12283" width="10.28515625" style="247" customWidth="1"/>
    <col min="12284" max="12284" width="2.42578125" style="247" customWidth="1"/>
    <col min="12285" max="12288" width="10.28515625" style="247" customWidth="1"/>
    <col min="12289" max="12524" width="8.7109375" style="247"/>
    <col min="12525" max="12525" width="23.85546875" style="247" customWidth="1"/>
    <col min="12526" max="12534" width="10.7109375" style="247" customWidth="1"/>
    <col min="12535" max="12535" width="8.7109375" style="247"/>
    <col min="12536" max="12539" width="10.28515625" style="247" customWidth="1"/>
    <col min="12540" max="12540" width="2.42578125" style="247" customWidth="1"/>
    <col min="12541" max="12544" width="10.28515625" style="247" customWidth="1"/>
    <col min="12545" max="12780" width="8.7109375" style="247"/>
    <col min="12781" max="12781" width="23.85546875" style="247" customWidth="1"/>
    <col min="12782" max="12790" width="10.7109375" style="247" customWidth="1"/>
    <col min="12791" max="12791" width="8.7109375" style="247"/>
    <col min="12792" max="12795" width="10.28515625" style="247" customWidth="1"/>
    <col min="12796" max="12796" width="2.42578125" style="247" customWidth="1"/>
    <col min="12797" max="12800" width="10.28515625" style="247" customWidth="1"/>
    <col min="12801" max="13036" width="8.7109375" style="247"/>
    <col min="13037" max="13037" width="23.85546875" style="247" customWidth="1"/>
    <col min="13038" max="13046" width="10.7109375" style="247" customWidth="1"/>
    <col min="13047" max="13047" width="8.7109375" style="247"/>
    <col min="13048" max="13051" width="10.28515625" style="247" customWidth="1"/>
    <col min="13052" max="13052" width="2.42578125" style="247" customWidth="1"/>
    <col min="13053" max="13056" width="10.28515625" style="247" customWidth="1"/>
    <col min="13057" max="13292" width="8.7109375" style="247"/>
    <col min="13293" max="13293" width="23.85546875" style="247" customWidth="1"/>
    <col min="13294" max="13302" width="10.7109375" style="247" customWidth="1"/>
    <col min="13303" max="13303" width="8.7109375" style="247"/>
    <col min="13304" max="13307" width="10.28515625" style="247" customWidth="1"/>
    <col min="13308" max="13308" width="2.42578125" style="247" customWidth="1"/>
    <col min="13309" max="13312" width="10.28515625" style="247" customWidth="1"/>
    <col min="13313" max="13548" width="8.7109375" style="247"/>
    <col min="13549" max="13549" width="23.85546875" style="247" customWidth="1"/>
    <col min="13550" max="13558" width="10.7109375" style="247" customWidth="1"/>
    <col min="13559" max="13559" width="8.7109375" style="247"/>
    <col min="13560" max="13563" width="10.28515625" style="247" customWidth="1"/>
    <col min="13564" max="13564" width="2.42578125" style="247" customWidth="1"/>
    <col min="13565" max="13568" width="10.28515625" style="247" customWidth="1"/>
    <col min="13569" max="13804" width="8.7109375" style="247"/>
    <col min="13805" max="13805" width="23.85546875" style="247" customWidth="1"/>
    <col min="13806" max="13814" width="10.7109375" style="247" customWidth="1"/>
    <col min="13815" max="13815" width="8.7109375" style="247"/>
    <col min="13816" max="13819" width="10.28515625" style="247" customWidth="1"/>
    <col min="13820" max="13820" width="2.42578125" style="247" customWidth="1"/>
    <col min="13821" max="13824" width="10.28515625" style="247" customWidth="1"/>
    <col min="13825" max="14060" width="8.7109375" style="247"/>
    <col min="14061" max="14061" width="23.85546875" style="247" customWidth="1"/>
    <col min="14062" max="14070" width="10.7109375" style="247" customWidth="1"/>
    <col min="14071" max="14071" width="8.7109375" style="247"/>
    <col min="14072" max="14075" width="10.28515625" style="247" customWidth="1"/>
    <col min="14076" max="14076" width="2.42578125" style="247" customWidth="1"/>
    <col min="14077" max="14080" width="10.28515625" style="247" customWidth="1"/>
    <col min="14081" max="14316" width="8.7109375" style="247"/>
    <col min="14317" max="14317" width="23.85546875" style="247" customWidth="1"/>
    <col min="14318" max="14326" width="10.7109375" style="247" customWidth="1"/>
    <col min="14327" max="14327" width="8.7109375" style="247"/>
    <col min="14328" max="14331" width="10.28515625" style="247" customWidth="1"/>
    <col min="14332" max="14332" width="2.42578125" style="247" customWidth="1"/>
    <col min="14333" max="14336" width="10.28515625" style="247" customWidth="1"/>
    <col min="14337" max="14572" width="8.7109375" style="247"/>
    <col min="14573" max="14573" width="23.85546875" style="247" customWidth="1"/>
    <col min="14574" max="14582" width="10.7109375" style="247" customWidth="1"/>
    <col min="14583" max="14583" width="8.7109375" style="247"/>
    <col min="14584" max="14587" width="10.28515625" style="247" customWidth="1"/>
    <col min="14588" max="14588" width="2.42578125" style="247" customWidth="1"/>
    <col min="14589" max="14592" width="10.28515625" style="247" customWidth="1"/>
    <col min="14593" max="14828" width="8.7109375" style="247"/>
    <col min="14829" max="14829" width="23.85546875" style="247" customWidth="1"/>
    <col min="14830" max="14838" width="10.7109375" style="247" customWidth="1"/>
    <col min="14839" max="14839" width="8.7109375" style="247"/>
    <col min="14840" max="14843" width="10.28515625" style="247" customWidth="1"/>
    <col min="14844" max="14844" width="2.42578125" style="247" customWidth="1"/>
    <col min="14845" max="14848" width="10.28515625" style="247" customWidth="1"/>
    <col min="14849" max="15084" width="8.7109375" style="247"/>
    <col min="15085" max="15085" width="23.85546875" style="247" customWidth="1"/>
    <col min="15086" max="15094" width="10.7109375" style="247" customWidth="1"/>
    <col min="15095" max="15095" width="8.7109375" style="247"/>
    <col min="15096" max="15099" width="10.28515625" style="247" customWidth="1"/>
    <col min="15100" max="15100" width="2.42578125" style="247" customWidth="1"/>
    <col min="15101" max="15104" width="10.28515625" style="247" customWidth="1"/>
    <col min="15105" max="15340" width="8.7109375" style="247"/>
    <col min="15341" max="15341" width="23.85546875" style="247" customWidth="1"/>
    <col min="15342" max="15350" width="10.7109375" style="247" customWidth="1"/>
    <col min="15351" max="15351" width="8.7109375" style="247"/>
    <col min="15352" max="15355" width="10.28515625" style="247" customWidth="1"/>
    <col min="15356" max="15356" width="2.42578125" style="247" customWidth="1"/>
    <col min="15357" max="15360" width="10.28515625" style="247" customWidth="1"/>
    <col min="15361" max="15596" width="8.7109375" style="247"/>
    <col min="15597" max="15597" width="23.85546875" style="247" customWidth="1"/>
    <col min="15598" max="15606" width="10.7109375" style="247" customWidth="1"/>
    <col min="15607" max="15607" width="8.7109375" style="247"/>
    <col min="15608" max="15611" width="10.28515625" style="247" customWidth="1"/>
    <col min="15612" max="15612" width="2.42578125" style="247" customWidth="1"/>
    <col min="15613" max="15616" width="10.28515625" style="247" customWidth="1"/>
    <col min="15617" max="15852" width="8.7109375" style="247"/>
    <col min="15853" max="15853" width="23.85546875" style="247" customWidth="1"/>
    <col min="15854" max="15862" width="10.7109375" style="247" customWidth="1"/>
    <col min="15863" max="15863" width="8.7109375" style="247"/>
    <col min="15864" max="15867" width="10.28515625" style="247" customWidth="1"/>
    <col min="15868" max="15868" width="2.42578125" style="247" customWidth="1"/>
    <col min="15869" max="15872" width="10.28515625" style="247" customWidth="1"/>
    <col min="15873" max="16108" width="8.7109375" style="247"/>
    <col min="16109" max="16109" width="23.85546875" style="247" customWidth="1"/>
    <col min="16110" max="16118" width="10.7109375" style="247" customWidth="1"/>
    <col min="16119" max="16119" width="8.7109375" style="247"/>
    <col min="16120" max="16123" width="10.28515625" style="247" customWidth="1"/>
    <col min="16124" max="16124" width="2.42578125" style="247" customWidth="1"/>
    <col min="16125" max="16128" width="10.28515625" style="247" customWidth="1"/>
    <col min="16129" max="16382" width="8.7109375" style="247"/>
    <col min="16383" max="16384" width="9.140625" style="247" customWidth="1"/>
  </cols>
  <sheetData>
    <row r="1" spans="1:12" s="143" customFormat="1" x14ac:dyDescent="0.2">
      <c r="A1" s="598" t="s">
        <v>23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599"/>
    </row>
    <row r="2" spans="1:12" s="143" customFormat="1" x14ac:dyDescent="0.2">
      <c r="A2" s="598" t="s">
        <v>67</v>
      </c>
      <c r="B2" s="599"/>
      <c r="C2" s="599"/>
      <c r="D2" s="599"/>
      <c r="E2" s="599"/>
      <c r="F2" s="599"/>
      <c r="G2" s="599"/>
      <c r="H2" s="599"/>
      <c r="I2" s="599"/>
      <c r="J2" s="599"/>
      <c r="K2" s="599"/>
      <c r="L2" s="599"/>
    </row>
    <row r="3" spans="1:12" s="143" customFormat="1" x14ac:dyDescent="0.2">
      <c r="A3" s="598" t="s">
        <v>79</v>
      </c>
      <c r="B3" s="599"/>
      <c r="C3" s="599"/>
      <c r="D3" s="599"/>
      <c r="E3" s="599"/>
      <c r="F3" s="599"/>
      <c r="G3" s="599"/>
      <c r="H3" s="599"/>
      <c r="I3" s="599"/>
      <c r="J3" s="599"/>
      <c r="K3" s="599"/>
      <c r="L3" s="599"/>
    </row>
    <row r="4" spans="1:12" s="143" customFormat="1" x14ac:dyDescent="0.2">
      <c r="A4" s="598" t="s">
        <v>65</v>
      </c>
      <c r="B4" s="599"/>
      <c r="C4" s="599"/>
      <c r="D4" s="599"/>
      <c r="E4" s="599"/>
      <c r="F4" s="599"/>
      <c r="G4" s="599"/>
      <c r="H4" s="599"/>
      <c r="I4" s="599"/>
      <c r="J4" s="599"/>
      <c r="K4" s="599"/>
      <c r="L4" s="599"/>
    </row>
    <row r="5" spans="1:12" s="143" customFormat="1" x14ac:dyDescent="0.2">
      <c r="A5" s="598" t="s">
        <v>64</v>
      </c>
      <c r="B5" s="599"/>
      <c r="C5" s="599"/>
      <c r="D5" s="599"/>
      <c r="E5" s="599"/>
      <c r="F5" s="599"/>
      <c r="G5" s="599"/>
      <c r="H5" s="599"/>
      <c r="I5" s="599"/>
      <c r="J5" s="599"/>
      <c r="K5" s="599"/>
      <c r="L5" s="599"/>
    </row>
    <row r="6" spans="1:12" s="143" customFormat="1" x14ac:dyDescent="0.2">
      <c r="A6" s="246"/>
    </row>
    <row r="7" spans="1:12" s="143" customFormat="1" ht="12" thickBot="1" x14ac:dyDescent="0.25">
      <c r="A7" s="614"/>
      <c r="B7" s="599"/>
      <c r="C7" s="599"/>
      <c r="D7" s="599"/>
      <c r="E7" s="599"/>
      <c r="F7" s="599"/>
      <c r="G7" s="599"/>
      <c r="H7" s="599"/>
      <c r="I7" s="599"/>
      <c r="J7" s="599"/>
      <c r="K7" s="599"/>
      <c r="L7" s="599"/>
    </row>
    <row r="8" spans="1:12" s="143" customFormat="1" x14ac:dyDescent="0.2">
      <c r="A8" s="600" t="s">
        <v>22</v>
      </c>
      <c r="B8" s="601"/>
      <c r="C8" s="604" t="s">
        <v>78</v>
      </c>
      <c r="D8" s="605"/>
      <c r="E8" s="605"/>
      <c r="F8" s="606" t="s">
        <v>77</v>
      </c>
      <c r="G8" s="605"/>
      <c r="H8" s="607"/>
      <c r="I8" s="606" t="s">
        <v>61</v>
      </c>
      <c r="J8" s="605"/>
      <c r="K8" s="607"/>
      <c r="L8" s="608" t="s">
        <v>60</v>
      </c>
    </row>
    <row r="9" spans="1:12" s="143" customFormat="1" ht="12" thickBot="1" x14ac:dyDescent="0.25">
      <c r="A9" s="602"/>
      <c r="B9" s="603"/>
      <c r="C9" s="243" t="s">
        <v>6</v>
      </c>
      <c r="D9" s="240" t="s">
        <v>17</v>
      </c>
      <c r="E9" s="242" t="s">
        <v>16</v>
      </c>
      <c r="F9" s="241" t="s">
        <v>6</v>
      </c>
      <c r="G9" s="240" t="s">
        <v>17</v>
      </c>
      <c r="H9" s="239" t="s">
        <v>16</v>
      </c>
      <c r="I9" s="241" t="s">
        <v>6</v>
      </c>
      <c r="J9" s="240" t="s">
        <v>17</v>
      </c>
      <c r="K9" s="239" t="s">
        <v>16</v>
      </c>
      <c r="L9" s="609"/>
    </row>
    <row r="10" spans="1:12" s="143" customFormat="1" x14ac:dyDescent="0.2">
      <c r="A10" s="200" t="s">
        <v>14</v>
      </c>
      <c r="B10" s="196"/>
      <c r="C10" s="79"/>
      <c r="D10" s="130"/>
      <c r="E10" s="140"/>
      <c r="F10" s="79"/>
      <c r="G10" s="130"/>
      <c r="H10" s="140"/>
      <c r="I10" s="79"/>
      <c r="J10" s="77"/>
      <c r="K10" s="76"/>
      <c r="L10" s="78"/>
    </row>
    <row r="11" spans="1:12" s="143" customFormat="1" ht="12" thickBot="1" x14ac:dyDescent="0.25">
      <c r="A11" s="196"/>
      <c r="B11" s="196"/>
      <c r="C11" s="68"/>
      <c r="D11" s="195"/>
      <c r="E11" s="194"/>
      <c r="F11" s="68"/>
      <c r="G11" s="195"/>
      <c r="H11" s="194"/>
      <c r="I11" s="68"/>
      <c r="J11" s="66"/>
      <c r="K11" s="65"/>
      <c r="L11" s="67"/>
    </row>
    <row r="12" spans="1:12" s="143" customFormat="1" x14ac:dyDescent="0.2">
      <c r="A12" s="190" t="s">
        <v>13</v>
      </c>
      <c r="B12" s="238" t="s">
        <v>2</v>
      </c>
      <c r="C12" s="188">
        <v>39326</v>
      </c>
      <c r="D12" s="187">
        <v>20065</v>
      </c>
      <c r="E12" s="186">
        <v>19261</v>
      </c>
      <c r="F12" s="188">
        <v>37596</v>
      </c>
      <c r="G12" s="231">
        <v>31569</v>
      </c>
      <c r="H12" s="230">
        <v>6027</v>
      </c>
      <c r="I12" s="54">
        <v>1.0460155335674008</v>
      </c>
      <c r="J12" s="53">
        <v>0.63559187810827078</v>
      </c>
      <c r="K12" s="52">
        <v>3.1957856313257009</v>
      </c>
      <c r="L12" s="229">
        <v>1.0242597717521755</v>
      </c>
    </row>
    <row r="13" spans="1:12" s="143" customFormat="1" x14ac:dyDescent="0.2">
      <c r="A13" s="142"/>
      <c r="B13" s="236" t="s">
        <v>1</v>
      </c>
      <c r="C13" s="171">
        <v>19556</v>
      </c>
      <c r="D13" s="170">
        <v>10390</v>
      </c>
      <c r="E13" s="169">
        <v>9166</v>
      </c>
      <c r="F13" s="171">
        <v>18921</v>
      </c>
      <c r="G13" s="228">
        <v>15827</v>
      </c>
      <c r="H13" s="227">
        <v>3094</v>
      </c>
      <c r="I13" s="40">
        <v>1.0335605940489403</v>
      </c>
      <c r="J13" s="39">
        <v>0.65647311556201426</v>
      </c>
      <c r="K13" s="38">
        <v>2.9625080801551391</v>
      </c>
      <c r="L13" s="226"/>
    </row>
    <row r="14" spans="1:12" s="143" customFormat="1" x14ac:dyDescent="0.2">
      <c r="A14" s="164"/>
      <c r="B14" s="235" t="s">
        <v>0</v>
      </c>
      <c r="C14" s="171">
        <v>19770</v>
      </c>
      <c r="D14" s="161">
        <v>9675</v>
      </c>
      <c r="E14" s="160">
        <v>10095</v>
      </c>
      <c r="F14" s="171">
        <v>18675</v>
      </c>
      <c r="G14" s="225">
        <v>15742</v>
      </c>
      <c r="H14" s="224">
        <v>2933</v>
      </c>
      <c r="I14" s="30">
        <v>1.0586345381526105</v>
      </c>
      <c r="J14" s="29">
        <v>0.61459789099225004</v>
      </c>
      <c r="K14" s="28">
        <v>3.4418683941356973</v>
      </c>
      <c r="L14" s="223"/>
    </row>
    <row r="15" spans="1:12" s="143" customFormat="1" x14ac:dyDescent="0.2">
      <c r="A15" s="181" t="s">
        <v>46</v>
      </c>
      <c r="B15" s="236" t="s">
        <v>2</v>
      </c>
      <c r="C15" s="179">
        <v>15371</v>
      </c>
      <c r="D15" s="178">
        <v>12715</v>
      </c>
      <c r="E15" s="177">
        <v>2656</v>
      </c>
      <c r="F15" s="179">
        <v>15521</v>
      </c>
      <c r="G15" s="233">
        <v>14842</v>
      </c>
      <c r="H15" s="232">
        <v>679</v>
      </c>
      <c r="I15" s="46">
        <v>0.99033567424779334</v>
      </c>
      <c r="J15" s="39">
        <v>0.8566904729820779</v>
      </c>
      <c r="K15" s="38">
        <v>3.9116347569955816</v>
      </c>
      <c r="L15" s="226">
        <v>1.063051570136242</v>
      </c>
    </row>
    <row r="16" spans="1:12" s="143" customFormat="1" x14ac:dyDescent="0.2">
      <c r="A16" s="142"/>
      <c r="B16" s="236" t="s">
        <v>1</v>
      </c>
      <c r="C16" s="171">
        <v>7783</v>
      </c>
      <c r="D16" s="170">
        <v>6451</v>
      </c>
      <c r="E16" s="169">
        <v>1332</v>
      </c>
      <c r="F16" s="171">
        <v>8096</v>
      </c>
      <c r="G16" s="228">
        <v>7740</v>
      </c>
      <c r="H16" s="227">
        <v>356</v>
      </c>
      <c r="I16" s="40">
        <v>0.9613389328063241</v>
      </c>
      <c r="J16" s="39">
        <v>0.83346253229974165</v>
      </c>
      <c r="K16" s="38">
        <v>3.7415730337078652</v>
      </c>
      <c r="L16" s="226"/>
    </row>
    <row r="17" spans="1:12" s="143" customFormat="1" x14ac:dyDescent="0.2">
      <c r="A17" s="164"/>
      <c r="B17" s="235" t="s">
        <v>0</v>
      </c>
      <c r="C17" s="162">
        <v>7588</v>
      </c>
      <c r="D17" s="161">
        <v>6264</v>
      </c>
      <c r="E17" s="160">
        <v>1324</v>
      </c>
      <c r="F17" s="162">
        <v>7425</v>
      </c>
      <c r="G17" s="225">
        <v>7102</v>
      </c>
      <c r="H17" s="224">
        <v>323</v>
      </c>
      <c r="I17" s="30">
        <v>1.0219528619528619</v>
      </c>
      <c r="J17" s="29">
        <v>0.88200506899464937</v>
      </c>
      <c r="K17" s="28">
        <v>4.0990712074303408</v>
      </c>
      <c r="L17" s="223"/>
    </row>
    <row r="18" spans="1:12" s="143" customFormat="1" x14ac:dyDescent="0.2">
      <c r="A18" s="181" t="s">
        <v>12</v>
      </c>
      <c r="B18" s="236" t="s">
        <v>2</v>
      </c>
      <c r="C18" s="171">
        <v>9442</v>
      </c>
      <c r="D18" s="178">
        <v>8661</v>
      </c>
      <c r="E18" s="177">
        <v>781</v>
      </c>
      <c r="F18" s="171">
        <v>9561</v>
      </c>
      <c r="G18" s="233">
        <v>8787</v>
      </c>
      <c r="H18" s="232">
        <v>774</v>
      </c>
      <c r="I18" s="46">
        <v>0.98755360317958374</v>
      </c>
      <c r="J18" s="39">
        <v>0.98566063502902013</v>
      </c>
      <c r="K18" s="38">
        <v>1.0090439276485788</v>
      </c>
      <c r="L18" s="226">
        <v>1.0286107112598126</v>
      </c>
    </row>
    <row r="19" spans="1:12" s="143" customFormat="1" x14ac:dyDescent="0.2">
      <c r="A19" s="142"/>
      <c r="B19" s="236" t="s">
        <v>1</v>
      </c>
      <c r="C19" s="171">
        <v>4896</v>
      </c>
      <c r="D19" s="170">
        <v>4480</v>
      </c>
      <c r="E19" s="169">
        <v>416</v>
      </c>
      <c r="F19" s="171">
        <v>5025</v>
      </c>
      <c r="G19" s="228">
        <v>4598</v>
      </c>
      <c r="H19" s="227">
        <v>427</v>
      </c>
      <c r="I19" s="40">
        <v>0.97432835820895525</v>
      </c>
      <c r="J19" s="39">
        <v>0.97433666811657238</v>
      </c>
      <c r="K19" s="38">
        <v>0.97423887587822011</v>
      </c>
      <c r="L19" s="226"/>
    </row>
    <row r="20" spans="1:12" s="143" customFormat="1" x14ac:dyDescent="0.2">
      <c r="A20" s="164"/>
      <c r="B20" s="235" t="s">
        <v>0</v>
      </c>
      <c r="C20" s="171">
        <v>4546</v>
      </c>
      <c r="D20" s="161">
        <v>4181</v>
      </c>
      <c r="E20" s="160">
        <v>365</v>
      </c>
      <c r="F20" s="171">
        <v>4536</v>
      </c>
      <c r="G20" s="225">
        <v>4189</v>
      </c>
      <c r="H20" s="224">
        <v>347</v>
      </c>
      <c r="I20" s="30">
        <v>1.0022045855379189</v>
      </c>
      <c r="J20" s="29">
        <v>0.99809023633325378</v>
      </c>
      <c r="K20" s="28">
        <v>1.0518731988472623</v>
      </c>
      <c r="L20" s="223"/>
    </row>
    <row r="21" spans="1:12" s="143" customFormat="1" x14ac:dyDescent="0.2">
      <c r="A21" s="181" t="s">
        <v>11</v>
      </c>
      <c r="B21" s="236" t="s">
        <v>2</v>
      </c>
      <c r="C21" s="179">
        <v>7915</v>
      </c>
      <c r="D21" s="178">
        <v>6072</v>
      </c>
      <c r="E21" s="177">
        <v>1843</v>
      </c>
      <c r="F21" s="179">
        <v>9649</v>
      </c>
      <c r="G21" s="233">
        <v>8203</v>
      </c>
      <c r="H21" s="232">
        <v>1446</v>
      </c>
      <c r="I21" s="46">
        <v>0.82029225826510521</v>
      </c>
      <c r="J21" s="39">
        <v>0.7402169937827624</v>
      </c>
      <c r="K21" s="38">
        <v>1.2745504840940525</v>
      </c>
      <c r="L21" s="226">
        <v>1.0346376059449944</v>
      </c>
    </row>
    <row r="22" spans="1:12" s="143" customFormat="1" x14ac:dyDescent="0.2">
      <c r="A22" s="142"/>
      <c r="B22" s="236" t="s">
        <v>1</v>
      </c>
      <c r="C22" s="171">
        <v>4021</v>
      </c>
      <c r="D22" s="170">
        <v>3085</v>
      </c>
      <c r="E22" s="169">
        <v>936</v>
      </c>
      <c r="F22" s="171">
        <v>4984</v>
      </c>
      <c r="G22" s="228">
        <v>4234</v>
      </c>
      <c r="H22" s="227">
        <v>750</v>
      </c>
      <c r="I22" s="40">
        <v>0.8067817014446228</v>
      </c>
      <c r="J22" s="39">
        <v>0.72862541332073694</v>
      </c>
      <c r="K22" s="38">
        <v>1.248</v>
      </c>
      <c r="L22" s="226"/>
    </row>
    <row r="23" spans="1:12" s="143" customFormat="1" x14ac:dyDescent="0.2">
      <c r="A23" s="164"/>
      <c r="B23" s="235" t="s">
        <v>0</v>
      </c>
      <c r="C23" s="162">
        <v>3894</v>
      </c>
      <c r="D23" s="161">
        <v>2987</v>
      </c>
      <c r="E23" s="160">
        <v>907</v>
      </c>
      <c r="F23" s="162">
        <v>4665</v>
      </c>
      <c r="G23" s="225">
        <v>3969</v>
      </c>
      <c r="H23" s="224">
        <v>696</v>
      </c>
      <c r="I23" s="30">
        <v>0.83472668810289385</v>
      </c>
      <c r="J23" s="29">
        <v>0.75258251448727642</v>
      </c>
      <c r="K23" s="28">
        <v>1.3031609195402298</v>
      </c>
      <c r="L23" s="223"/>
    </row>
    <row r="24" spans="1:12" s="143" customFormat="1" x14ac:dyDescent="0.2">
      <c r="A24" s="181" t="s">
        <v>27</v>
      </c>
      <c r="B24" s="236" t="s">
        <v>2</v>
      </c>
      <c r="C24" s="179">
        <v>5096</v>
      </c>
      <c r="D24" s="178">
        <v>4801</v>
      </c>
      <c r="E24" s="177">
        <v>295</v>
      </c>
      <c r="F24" s="179">
        <v>6563</v>
      </c>
      <c r="G24" s="233">
        <v>6264</v>
      </c>
      <c r="H24" s="232">
        <v>299</v>
      </c>
      <c r="I24" s="46">
        <v>0.77647417339631264</v>
      </c>
      <c r="J24" s="39">
        <v>0.76644316730523632</v>
      </c>
      <c r="K24" s="38">
        <v>0.98662207357859533</v>
      </c>
      <c r="L24" s="226">
        <v>1.0930796378701857</v>
      </c>
    </row>
    <row r="25" spans="1:12" s="143" customFormat="1" x14ac:dyDescent="0.2">
      <c r="A25" s="142"/>
      <c r="B25" s="236" t="s">
        <v>1</v>
      </c>
      <c r="C25" s="171">
        <v>2401</v>
      </c>
      <c r="D25" s="170">
        <v>2243</v>
      </c>
      <c r="E25" s="169">
        <v>158</v>
      </c>
      <c r="F25" s="171">
        <v>3238</v>
      </c>
      <c r="G25" s="228">
        <v>3077</v>
      </c>
      <c r="H25" s="227">
        <v>161</v>
      </c>
      <c r="I25" s="40">
        <v>0.74150710315009261</v>
      </c>
      <c r="J25" s="39">
        <v>0.72895677608059795</v>
      </c>
      <c r="K25" s="38">
        <v>0.98136645962732916</v>
      </c>
      <c r="L25" s="226"/>
    </row>
    <row r="26" spans="1:12" s="143" customFormat="1" x14ac:dyDescent="0.2">
      <c r="A26" s="164"/>
      <c r="B26" s="235" t="s">
        <v>0</v>
      </c>
      <c r="C26" s="162">
        <v>2695</v>
      </c>
      <c r="D26" s="161">
        <v>2558</v>
      </c>
      <c r="E26" s="160">
        <v>137</v>
      </c>
      <c r="F26" s="162">
        <v>3325</v>
      </c>
      <c r="G26" s="225">
        <v>3187</v>
      </c>
      <c r="H26" s="224">
        <v>138</v>
      </c>
      <c r="I26" s="30">
        <v>0.81052631578947365</v>
      </c>
      <c r="J26" s="29">
        <v>0.80263570756197056</v>
      </c>
      <c r="K26" s="28">
        <v>0.99275362318840576</v>
      </c>
      <c r="L26" s="223"/>
    </row>
    <row r="27" spans="1:12" s="143" customFormat="1" x14ac:dyDescent="0.2">
      <c r="A27" s="181" t="s">
        <v>10</v>
      </c>
      <c r="B27" s="236" t="s">
        <v>2</v>
      </c>
      <c r="C27" s="171">
        <v>8244</v>
      </c>
      <c r="D27" s="178">
        <v>6666</v>
      </c>
      <c r="E27" s="177">
        <v>1578</v>
      </c>
      <c r="F27" s="171">
        <v>9164</v>
      </c>
      <c r="G27" s="233">
        <v>8442</v>
      </c>
      <c r="H27" s="232">
        <v>722</v>
      </c>
      <c r="I27" s="46">
        <v>0.8996071584460934</v>
      </c>
      <c r="J27" s="39">
        <v>0.7896233120113717</v>
      </c>
      <c r="K27" s="38">
        <v>2.1855955678670358</v>
      </c>
      <c r="L27" s="226">
        <v>0.99173512538492459</v>
      </c>
    </row>
    <row r="28" spans="1:12" s="143" customFormat="1" x14ac:dyDescent="0.2">
      <c r="A28" s="142"/>
      <c r="B28" s="236" t="s">
        <v>1</v>
      </c>
      <c r="C28" s="171">
        <v>4149</v>
      </c>
      <c r="D28" s="170">
        <v>3392</v>
      </c>
      <c r="E28" s="169">
        <v>757</v>
      </c>
      <c r="F28" s="171">
        <v>4593</v>
      </c>
      <c r="G28" s="228">
        <v>4235</v>
      </c>
      <c r="H28" s="227">
        <v>358</v>
      </c>
      <c r="I28" s="40">
        <v>0.90333115610711956</v>
      </c>
      <c r="J28" s="39">
        <v>0.80094451003541911</v>
      </c>
      <c r="K28" s="38">
        <v>2.1145251396648046</v>
      </c>
      <c r="L28" s="226"/>
    </row>
    <row r="29" spans="1:12" s="143" customFormat="1" x14ac:dyDescent="0.2">
      <c r="A29" s="164"/>
      <c r="B29" s="235" t="s">
        <v>0</v>
      </c>
      <c r="C29" s="171">
        <v>4095</v>
      </c>
      <c r="D29" s="161">
        <v>3274</v>
      </c>
      <c r="E29" s="160">
        <v>821</v>
      </c>
      <c r="F29" s="171">
        <v>4571</v>
      </c>
      <c r="G29" s="225">
        <v>4207</v>
      </c>
      <c r="H29" s="224">
        <v>364</v>
      </c>
      <c r="I29" s="30">
        <v>0.8958652373660031</v>
      </c>
      <c r="J29" s="29">
        <v>0.77822676491561682</v>
      </c>
      <c r="K29" s="28">
        <v>2.2554945054945055</v>
      </c>
      <c r="L29" s="223"/>
    </row>
    <row r="30" spans="1:12" s="143" customFormat="1" x14ac:dyDescent="0.2">
      <c r="A30" s="181" t="s">
        <v>9</v>
      </c>
      <c r="B30" s="236" t="s">
        <v>2</v>
      </c>
      <c r="C30" s="179">
        <v>5642</v>
      </c>
      <c r="D30" s="178">
        <v>1416</v>
      </c>
      <c r="E30" s="177">
        <v>4226</v>
      </c>
      <c r="F30" s="179">
        <v>4375</v>
      </c>
      <c r="G30" s="233">
        <v>3837</v>
      </c>
      <c r="H30" s="232">
        <v>538</v>
      </c>
      <c r="I30" s="46">
        <v>1.2896000000000001</v>
      </c>
      <c r="J30" s="39">
        <v>0.36903831118060987</v>
      </c>
      <c r="K30" s="38">
        <v>7.8550185873605951</v>
      </c>
      <c r="L30" s="226">
        <v>1.0143134673352718</v>
      </c>
    </row>
    <row r="31" spans="1:12" s="143" customFormat="1" x14ac:dyDescent="0.2">
      <c r="A31" s="142"/>
      <c r="B31" s="236" t="s">
        <v>1</v>
      </c>
      <c r="C31" s="171">
        <v>2741</v>
      </c>
      <c r="D31" s="170">
        <v>774</v>
      </c>
      <c r="E31" s="169">
        <v>1967</v>
      </c>
      <c r="F31" s="171">
        <v>2141</v>
      </c>
      <c r="G31" s="228">
        <v>1850</v>
      </c>
      <c r="H31" s="227">
        <v>291</v>
      </c>
      <c r="I31" s="40">
        <v>1.2802428771602055</v>
      </c>
      <c r="J31" s="39">
        <v>0.41837837837837838</v>
      </c>
      <c r="K31" s="38">
        <v>6.7594501718213058</v>
      </c>
      <c r="L31" s="226"/>
    </row>
    <row r="32" spans="1:12" s="143" customFormat="1" x14ac:dyDescent="0.2">
      <c r="A32" s="164"/>
      <c r="B32" s="235" t="s">
        <v>0</v>
      </c>
      <c r="C32" s="162">
        <v>2901</v>
      </c>
      <c r="D32" s="161">
        <v>642</v>
      </c>
      <c r="E32" s="160">
        <v>2259</v>
      </c>
      <c r="F32" s="162">
        <v>2234</v>
      </c>
      <c r="G32" s="225">
        <v>1987</v>
      </c>
      <c r="H32" s="224">
        <v>247</v>
      </c>
      <c r="I32" s="30">
        <v>1.2985675917636526</v>
      </c>
      <c r="J32" s="29">
        <v>0.32310015098137895</v>
      </c>
      <c r="K32" s="28">
        <v>9.1457489878542511</v>
      </c>
      <c r="L32" s="223"/>
    </row>
    <row r="33" spans="1:12" s="143" customFormat="1" x14ac:dyDescent="0.2">
      <c r="A33" s="181" t="s">
        <v>8</v>
      </c>
      <c r="B33" s="236" t="s">
        <v>2</v>
      </c>
      <c r="C33" s="171">
        <v>2396</v>
      </c>
      <c r="D33" s="178">
        <v>2182</v>
      </c>
      <c r="E33" s="177">
        <v>214</v>
      </c>
      <c r="F33" s="171">
        <v>2288</v>
      </c>
      <c r="G33" s="233">
        <v>2094</v>
      </c>
      <c r="H33" s="232">
        <v>194</v>
      </c>
      <c r="I33" s="46">
        <v>1.0472027972027973</v>
      </c>
      <c r="J33" s="39">
        <v>1.0420248328557784</v>
      </c>
      <c r="K33" s="38">
        <v>1.1030927835051547</v>
      </c>
      <c r="L33" s="226">
        <v>0.93460194174757283</v>
      </c>
    </row>
    <row r="34" spans="1:12" s="143" customFormat="1" x14ac:dyDescent="0.2">
      <c r="A34" s="142"/>
      <c r="B34" s="236" t="s">
        <v>1</v>
      </c>
      <c r="C34" s="171">
        <v>1250</v>
      </c>
      <c r="D34" s="170">
        <v>1140</v>
      </c>
      <c r="E34" s="169">
        <v>110</v>
      </c>
      <c r="F34" s="171">
        <v>1155</v>
      </c>
      <c r="G34" s="228">
        <v>1062</v>
      </c>
      <c r="H34" s="227">
        <v>93</v>
      </c>
      <c r="I34" s="40">
        <v>1.0822510822510822</v>
      </c>
      <c r="J34" s="39">
        <v>1.0734463276836159</v>
      </c>
      <c r="K34" s="38">
        <v>1.1827956989247312</v>
      </c>
      <c r="L34" s="226"/>
    </row>
    <row r="35" spans="1:12" s="143" customFormat="1" x14ac:dyDescent="0.2">
      <c r="A35" s="164"/>
      <c r="B35" s="235" t="s">
        <v>0</v>
      </c>
      <c r="C35" s="162">
        <v>1146</v>
      </c>
      <c r="D35" s="161">
        <v>1042</v>
      </c>
      <c r="E35" s="160">
        <v>104</v>
      </c>
      <c r="F35" s="162">
        <v>1133</v>
      </c>
      <c r="G35" s="225">
        <v>1032</v>
      </c>
      <c r="H35" s="224">
        <v>101</v>
      </c>
      <c r="I35" s="30">
        <v>1.0114739629302736</v>
      </c>
      <c r="J35" s="29">
        <v>1.0096899224806202</v>
      </c>
      <c r="K35" s="28">
        <v>1.0297029702970297</v>
      </c>
      <c r="L35" s="223"/>
    </row>
    <row r="36" spans="1:12" s="143" customFormat="1" x14ac:dyDescent="0.2">
      <c r="A36" s="181" t="s">
        <v>7</v>
      </c>
      <c r="B36" s="236" t="s">
        <v>2</v>
      </c>
      <c r="C36" s="171">
        <v>3430</v>
      </c>
      <c r="D36" s="178">
        <v>2534</v>
      </c>
      <c r="E36" s="177">
        <v>896</v>
      </c>
      <c r="F36" s="171">
        <v>3477</v>
      </c>
      <c r="G36" s="233">
        <v>3196</v>
      </c>
      <c r="H36" s="232">
        <v>281</v>
      </c>
      <c r="I36" s="46">
        <v>0.98648259994247911</v>
      </c>
      <c r="J36" s="39">
        <v>0.79286608260325409</v>
      </c>
      <c r="K36" s="38">
        <v>3.1886120996441281</v>
      </c>
      <c r="L36" s="226">
        <v>0.99262823725981619</v>
      </c>
    </row>
    <row r="37" spans="1:12" s="143" customFormat="1" x14ac:dyDescent="0.2">
      <c r="A37" s="142"/>
      <c r="B37" s="236" t="s">
        <v>1</v>
      </c>
      <c r="C37" s="171">
        <v>1710</v>
      </c>
      <c r="D37" s="170">
        <v>1272</v>
      </c>
      <c r="E37" s="169">
        <v>438</v>
      </c>
      <c r="F37" s="171">
        <v>1727</v>
      </c>
      <c r="G37" s="228">
        <v>1569</v>
      </c>
      <c r="H37" s="227">
        <v>158</v>
      </c>
      <c r="I37" s="40">
        <v>0.99015634047481182</v>
      </c>
      <c r="J37" s="39">
        <v>0.81070745697896751</v>
      </c>
      <c r="K37" s="38">
        <v>2.7721518987341773</v>
      </c>
      <c r="L37" s="226"/>
    </row>
    <row r="38" spans="1:12" s="143" customFormat="1" x14ac:dyDescent="0.2">
      <c r="A38" s="164"/>
      <c r="B38" s="235" t="s">
        <v>0</v>
      </c>
      <c r="C38" s="162">
        <v>1720</v>
      </c>
      <c r="D38" s="161">
        <v>1262</v>
      </c>
      <c r="E38" s="160">
        <v>458</v>
      </c>
      <c r="F38" s="162">
        <v>1750</v>
      </c>
      <c r="G38" s="225">
        <v>1627</v>
      </c>
      <c r="H38" s="224">
        <v>123</v>
      </c>
      <c r="I38" s="30">
        <v>0.98285714285714287</v>
      </c>
      <c r="J38" s="29">
        <v>0.77566072526121699</v>
      </c>
      <c r="K38" s="28">
        <v>3.7235772357723578</v>
      </c>
      <c r="L38" s="223"/>
    </row>
    <row r="39" spans="1:12" s="203" customFormat="1" x14ac:dyDescent="0.2">
      <c r="A39" s="181" t="s">
        <v>5</v>
      </c>
      <c r="B39" s="236" t="s">
        <v>2</v>
      </c>
      <c r="C39" s="171">
        <v>5078</v>
      </c>
      <c r="D39" s="170">
        <v>3420</v>
      </c>
      <c r="E39" s="169">
        <v>1658</v>
      </c>
      <c r="F39" s="171">
        <v>4508</v>
      </c>
      <c r="G39" s="233">
        <v>3531</v>
      </c>
      <c r="H39" s="232">
        <v>977</v>
      </c>
      <c r="I39" s="46">
        <v>1.1264418811002661</v>
      </c>
      <c r="J39" s="39">
        <v>0.96856414613423958</v>
      </c>
      <c r="K39" s="38">
        <v>1.6970317297850563</v>
      </c>
      <c r="L39" s="226">
        <v>1.0151804293556848</v>
      </c>
    </row>
    <row r="40" spans="1:12" s="203" customFormat="1" x14ac:dyDescent="0.2">
      <c r="A40" s="142"/>
      <c r="B40" s="236" t="s">
        <v>1</v>
      </c>
      <c r="C40" s="171">
        <v>2521</v>
      </c>
      <c r="D40" s="170">
        <v>1775</v>
      </c>
      <c r="E40" s="169">
        <v>746</v>
      </c>
      <c r="F40" s="171">
        <v>2255</v>
      </c>
      <c r="G40" s="228">
        <v>1762</v>
      </c>
      <c r="H40" s="227">
        <v>493</v>
      </c>
      <c r="I40" s="40">
        <v>1.117960088691796</v>
      </c>
      <c r="J40" s="39">
        <v>1.0073779795686719</v>
      </c>
      <c r="K40" s="38">
        <v>1.513184584178499</v>
      </c>
      <c r="L40" s="226"/>
    </row>
    <row r="41" spans="1:12" s="203" customFormat="1" x14ac:dyDescent="0.2">
      <c r="A41" s="164"/>
      <c r="B41" s="235" t="s">
        <v>0</v>
      </c>
      <c r="C41" s="171">
        <v>2557</v>
      </c>
      <c r="D41" s="161">
        <v>1645</v>
      </c>
      <c r="E41" s="160">
        <v>912</v>
      </c>
      <c r="F41" s="171">
        <v>2253</v>
      </c>
      <c r="G41" s="225">
        <v>1769</v>
      </c>
      <c r="H41" s="224">
        <v>484</v>
      </c>
      <c r="I41" s="30">
        <v>1.1349312028406568</v>
      </c>
      <c r="J41" s="29">
        <v>0.92990390050876204</v>
      </c>
      <c r="K41" s="28">
        <v>1.884297520661157</v>
      </c>
      <c r="L41" s="223"/>
    </row>
    <row r="42" spans="1:12" s="143" customFormat="1" x14ac:dyDescent="0.2">
      <c r="A42" s="181" t="s">
        <v>4</v>
      </c>
      <c r="B42" s="237" t="s">
        <v>2</v>
      </c>
      <c r="C42" s="179">
        <v>7182</v>
      </c>
      <c r="D42" s="178">
        <v>3353</v>
      </c>
      <c r="E42" s="177">
        <v>3829</v>
      </c>
      <c r="F42" s="179">
        <v>6359</v>
      </c>
      <c r="G42" s="233">
        <v>5312</v>
      </c>
      <c r="H42" s="232">
        <v>1047</v>
      </c>
      <c r="I42" s="46">
        <v>1.1294228652303822</v>
      </c>
      <c r="J42" s="39">
        <v>0.63121234939759041</v>
      </c>
      <c r="K42" s="38">
        <v>3.6571155682903536</v>
      </c>
      <c r="L42" s="226">
        <v>1.0553029221034307</v>
      </c>
    </row>
    <row r="43" spans="1:12" s="143" customFormat="1" x14ac:dyDescent="0.2">
      <c r="A43" s="142"/>
      <c r="B43" s="236" t="s">
        <v>1</v>
      </c>
      <c r="C43" s="171">
        <v>3513</v>
      </c>
      <c r="D43" s="170">
        <v>1790</v>
      </c>
      <c r="E43" s="169">
        <v>1723</v>
      </c>
      <c r="F43" s="171">
        <v>3196</v>
      </c>
      <c r="G43" s="228">
        <v>2677</v>
      </c>
      <c r="H43" s="227">
        <v>519</v>
      </c>
      <c r="I43" s="40">
        <v>1.0991864831038798</v>
      </c>
      <c r="J43" s="39">
        <v>0.66865894658199476</v>
      </c>
      <c r="K43" s="38">
        <v>3.3198458574181116</v>
      </c>
      <c r="L43" s="226"/>
    </row>
    <row r="44" spans="1:12" s="143" customFormat="1" x14ac:dyDescent="0.2">
      <c r="A44" s="164"/>
      <c r="B44" s="235" t="s">
        <v>0</v>
      </c>
      <c r="C44" s="162">
        <v>3669</v>
      </c>
      <c r="D44" s="161">
        <v>1563</v>
      </c>
      <c r="E44" s="160">
        <v>2106</v>
      </c>
      <c r="F44" s="162">
        <v>3163</v>
      </c>
      <c r="G44" s="225">
        <v>2635</v>
      </c>
      <c r="H44" s="224">
        <v>528</v>
      </c>
      <c r="I44" s="30">
        <v>1.1599747075561175</v>
      </c>
      <c r="J44" s="29">
        <v>0.59316888045540794</v>
      </c>
      <c r="K44" s="28">
        <v>3.9886363636363638</v>
      </c>
      <c r="L44" s="223"/>
    </row>
    <row r="45" spans="1:12" s="143" customFormat="1" ht="12" customHeight="1" x14ac:dyDescent="0.2">
      <c r="A45" s="155" t="s">
        <v>3</v>
      </c>
      <c r="B45" s="234" t="s">
        <v>2</v>
      </c>
      <c r="C45" s="114">
        <v>109122</v>
      </c>
      <c r="D45" s="115">
        <v>71885</v>
      </c>
      <c r="E45" s="116">
        <v>37237</v>
      </c>
      <c r="F45" s="114">
        <v>109061</v>
      </c>
      <c r="G45" s="117">
        <v>96077</v>
      </c>
      <c r="H45" s="122">
        <v>12984</v>
      </c>
      <c r="I45" s="222">
        <v>1.0005593200135703</v>
      </c>
      <c r="J45" s="20">
        <v>0.74820196300883668</v>
      </c>
      <c r="K45" s="19">
        <v>2.8679143561306222</v>
      </c>
      <c r="L45" s="221">
        <v>1.0305523800604768</v>
      </c>
    </row>
    <row r="46" spans="1:12" s="143" customFormat="1" x14ac:dyDescent="0.2">
      <c r="A46" s="155"/>
      <c r="B46" s="154" t="s">
        <v>1</v>
      </c>
      <c r="C46" s="114">
        <v>54541</v>
      </c>
      <c r="D46" s="115">
        <v>36792</v>
      </c>
      <c r="E46" s="116">
        <v>17749</v>
      </c>
      <c r="F46" s="114">
        <v>55331</v>
      </c>
      <c r="G46" s="117">
        <v>48631</v>
      </c>
      <c r="H46" s="122">
        <v>6700</v>
      </c>
      <c r="I46" s="21">
        <v>0.98572228949413532</v>
      </c>
      <c r="J46" s="20">
        <v>0.75655446114618252</v>
      </c>
      <c r="K46" s="19">
        <v>2.6491044776119401</v>
      </c>
      <c r="L46" s="221"/>
    </row>
    <row r="47" spans="1:12" s="143" customFormat="1" ht="12" thickBot="1" x14ac:dyDescent="0.25">
      <c r="A47" s="150"/>
      <c r="B47" s="149" t="s">
        <v>0</v>
      </c>
      <c r="C47" s="118">
        <v>54581</v>
      </c>
      <c r="D47" s="119">
        <v>35093</v>
      </c>
      <c r="E47" s="120">
        <v>19488</v>
      </c>
      <c r="F47" s="118">
        <v>53730</v>
      </c>
      <c r="G47" s="121">
        <v>47446</v>
      </c>
      <c r="H47" s="123">
        <v>6284</v>
      </c>
      <c r="I47" s="12">
        <v>1.0158384515168435</v>
      </c>
      <c r="J47" s="11">
        <v>0.73964085486658515</v>
      </c>
      <c r="K47" s="10">
        <v>3.1012094207511138</v>
      </c>
      <c r="L47" s="220"/>
    </row>
  </sheetData>
  <sheetProtection algorithmName="SHA-512" hashValue="N+dSLPn6lv1ySpm4x478pdmiyGch7eT5EsWVcCxmmcZM67WEgzfQzEEp5e5/2vbVr1nhhTiwwPL6wf3GGl2kUA==" saltValue="1YPv++rrMV4n0g3xcKPBYQ==" spinCount="100000" sheet="1" objects="1" scenarios="1"/>
  <mergeCells count="11">
    <mergeCell ref="A7:L7"/>
    <mergeCell ref="A1:L1"/>
    <mergeCell ref="A2:L2"/>
    <mergeCell ref="A3:L3"/>
    <mergeCell ref="A4:L4"/>
    <mergeCell ref="A5:L5"/>
    <mergeCell ref="A8:B9"/>
    <mergeCell ref="C8:E8"/>
    <mergeCell ref="F8:H8"/>
    <mergeCell ref="I8:K8"/>
    <mergeCell ref="L8:L9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 xml:space="preserve">&amp;L&amp;8Prepared by RSD-OPS
&amp;D
&amp;Z&amp;F; &amp;A
</oddFooter>
  </headerFooter>
  <picture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6118A-E6BA-490D-9738-406E34E35C3D}">
  <dimension ref="A1:L47"/>
  <sheetViews>
    <sheetView showGridLines="0" zoomScaleNormal="75" workbookViewId="0">
      <pane xSplit="2" ySplit="9" topLeftCell="C10" activePane="bottomRight" state="frozen"/>
      <selection activeCell="A9" sqref="A9:A12"/>
      <selection pane="topRight" activeCell="A9" sqref="A9:A12"/>
      <selection pane="bottomLeft" activeCell="A9" sqref="A9:A12"/>
      <selection pane="bottomRight" activeCell="A8" sqref="A8:B12"/>
    </sheetView>
  </sheetViews>
  <sheetFormatPr defaultRowHeight="11.25" x14ac:dyDescent="0.2"/>
  <cols>
    <col min="1" max="1" width="23.85546875" style="250" customWidth="1"/>
    <col min="2" max="2" width="10.7109375" style="247" customWidth="1"/>
    <col min="3" max="8" width="10.7109375" style="249" customWidth="1"/>
    <col min="9" max="11" width="10.7109375" style="219" customWidth="1"/>
    <col min="12" max="12" width="10.7109375" style="248" customWidth="1"/>
    <col min="13" max="236" width="8.7109375" style="247"/>
    <col min="237" max="237" width="23.85546875" style="247" customWidth="1"/>
    <col min="238" max="246" width="10.7109375" style="247" customWidth="1"/>
    <col min="247" max="247" width="8.7109375" style="247"/>
    <col min="248" max="251" width="10.28515625" style="247" customWidth="1"/>
    <col min="252" max="252" width="2.42578125" style="247" customWidth="1"/>
    <col min="253" max="256" width="10.28515625" style="247" customWidth="1"/>
    <col min="257" max="492" width="8.7109375" style="247"/>
    <col min="493" max="493" width="23.85546875" style="247" customWidth="1"/>
    <col min="494" max="502" width="10.7109375" style="247" customWidth="1"/>
    <col min="503" max="503" width="8.7109375" style="247"/>
    <col min="504" max="507" width="10.28515625" style="247" customWidth="1"/>
    <col min="508" max="508" width="2.42578125" style="247" customWidth="1"/>
    <col min="509" max="512" width="10.28515625" style="247" customWidth="1"/>
    <col min="513" max="748" width="8.7109375" style="247"/>
    <col min="749" max="749" width="23.85546875" style="247" customWidth="1"/>
    <col min="750" max="758" width="10.7109375" style="247" customWidth="1"/>
    <col min="759" max="759" width="8.7109375" style="247"/>
    <col min="760" max="763" width="10.28515625" style="247" customWidth="1"/>
    <col min="764" max="764" width="2.42578125" style="247" customWidth="1"/>
    <col min="765" max="768" width="10.28515625" style="247" customWidth="1"/>
    <col min="769" max="1004" width="8.7109375" style="247"/>
    <col min="1005" max="1005" width="23.85546875" style="247" customWidth="1"/>
    <col min="1006" max="1014" width="10.7109375" style="247" customWidth="1"/>
    <col min="1015" max="1015" width="8.7109375" style="247"/>
    <col min="1016" max="1019" width="10.28515625" style="247" customWidth="1"/>
    <col min="1020" max="1020" width="2.42578125" style="247" customWidth="1"/>
    <col min="1021" max="1024" width="10.28515625" style="247" customWidth="1"/>
    <col min="1025" max="1260" width="8.7109375" style="247"/>
    <col min="1261" max="1261" width="23.85546875" style="247" customWidth="1"/>
    <col min="1262" max="1270" width="10.7109375" style="247" customWidth="1"/>
    <col min="1271" max="1271" width="8.7109375" style="247"/>
    <col min="1272" max="1275" width="10.28515625" style="247" customWidth="1"/>
    <col min="1276" max="1276" width="2.42578125" style="247" customWidth="1"/>
    <col min="1277" max="1280" width="10.28515625" style="247" customWidth="1"/>
    <col min="1281" max="1516" width="8.7109375" style="247"/>
    <col min="1517" max="1517" width="23.85546875" style="247" customWidth="1"/>
    <col min="1518" max="1526" width="10.7109375" style="247" customWidth="1"/>
    <col min="1527" max="1527" width="8.7109375" style="247"/>
    <col min="1528" max="1531" width="10.28515625" style="247" customWidth="1"/>
    <col min="1532" max="1532" width="2.42578125" style="247" customWidth="1"/>
    <col min="1533" max="1536" width="10.28515625" style="247" customWidth="1"/>
    <col min="1537" max="1772" width="8.7109375" style="247"/>
    <col min="1773" max="1773" width="23.85546875" style="247" customWidth="1"/>
    <col min="1774" max="1782" width="10.7109375" style="247" customWidth="1"/>
    <col min="1783" max="1783" width="8.7109375" style="247"/>
    <col min="1784" max="1787" width="10.28515625" style="247" customWidth="1"/>
    <col min="1788" max="1788" width="2.42578125" style="247" customWidth="1"/>
    <col min="1789" max="1792" width="10.28515625" style="247" customWidth="1"/>
    <col min="1793" max="2028" width="8.7109375" style="247"/>
    <col min="2029" max="2029" width="23.85546875" style="247" customWidth="1"/>
    <col min="2030" max="2038" width="10.7109375" style="247" customWidth="1"/>
    <col min="2039" max="2039" width="8.7109375" style="247"/>
    <col min="2040" max="2043" width="10.28515625" style="247" customWidth="1"/>
    <col min="2044" max="2044" width="2.42578125" style="247" customWidth="1"/>
    <col min="2045" max="2048" width="10.28515625" style="247" customWidth="1"/>
    <col min="2049" max="2284" width="8.7109375" style="247"/>
    <col min="2285" max="2285" width="23.85546875" style="247" customWidth="1"/>
    <col min="2286" max="2294" width="10.7109375" style="247" customWidth="1"/>
    <col min="2295" max="2295" width="8.7109375" style="247"/>
    <col min="2296" max="2299" width="10.28515625" style="247" customWidth="1"/>
    <col min="2300" max="2300" width="2.42578125" style="247" customWidth="1"/>
    <col min="2301" max="2304" width="10.28515625" style="247" customWidth="1"/>
    <col min="2305" max="2540" width="8.7109375" style="247"/>
    <col min="2541" max="2541" width="23.85546875" style="247" customWidth="1"/>
    <col min="2542" max="2550" width="10.7109375" style="247" customWidth="1"/>
    <col min="2551" max="2551" width="8.7109375" style="247"/>
    <col min="2552" max="2555" width="10.28515625" style="247" customWidth="1"/>
    <col min="2556" max="2556" width="2.42578125" style="247" customWidth="1"/>
    <col min="2557" max="2560" width="10.28515625" style="247" customWidth="1"/>
    <col min="2561" max="2796" width="8.7109375" style="247"/>
    <col min="2797" max="2797" width="23.85546875" style="247" customWidth="1"/>
    <col min="2798" max="2806" width="10.7109375" style="247" customWidth="1"/>
    <col min="2807" max="2807" width="8.7109375" style="247"/>
    <col min="2808" max="2811" width="10.28515625" style="247" customWidth="1"/>
    <col min="2812" max="2812" width="2.42578125" style="247" customWidth="1"/>
    <col min="2813" max="2816" width="10.28515625" style="247" customWidth="1"/>
    <col min="2817" max="3052" width="8.7109375" style="247"/>
    <col min="3053" max="3053" width="23.85546875" style="247" customWidth="1"/>
    <col min="3054" max="3062" width="10.7109375" style="247" customWidth="1"/>
    <col min="3063" max="3063" width="8.7109375" style="247"/>
    <col min="3064" max="3067" width="10.28515625" style="247" customWidth="1"/>
    <col min="3068" max="3068" width="2.42578125" style="247" customWidth="1"/>
    <col min="3069" max="3072" width="10.28515625" style="247" customWidth="1"/>
    <col min="3073" max="3308" width="8.7109375" style="247"/>
    <col min="3309" max="3309" width="23.85546875" style="247" customWidth="1"/>
    <col min="3310" max="3318" width="10.7109375" style="247" customWidth="1"/>
    <col min="3319" max="3319" width="8.7109375" style="247"/>
    <col min="3320" max="3323" width="10.28515625" style="247" customWidth="1"/>
    <col min="3324" max="3324" width="2.42578125" style="247" customWidth="1"/>
    <col min="3325" max="3328" width="10.28515625" style="247" customWidth="1"/>
    <col min="3329" max="3564" width="8.7109375" style="247"/>
    <col min="3565" max="3565" width="23.85546875" style="247" customWidth="1"/>
    <col min="3566" max="3574" width="10.7109375" style="247" customWidth="1"/>
    <col min="3575" max="3575" width="8.7109375" style="247"/>
    <col min="3576" max="3579" width="10.28515625" style="247" customWidth="1"/>
    <col min="3580" max="3580" width="2.42578125" style="247" customWidth="1"/>
    <col min="3581" max="3584" width="10.28515625" style="247" customWidth="1"/>
    <col min="3585" max="3820" width="8.7109375" style="247"/>
    <col min="3821" max="3821" width="23.85546875" style="247" customWidth="1"/>
    <col min="3822" max="3830" width="10.7109375" style="247" customWidth="1"/>
    <col min="3831" max="3831" width="8.7109375" style="247"/>
    <col min="3832" max="3835" width="10.28515625" style="247" customWidth="1"/>
    <col min="3836" max="3836" width="2.42578125" style="247" customWidth="1"/>
    <col min="3837" max="3840" width="10.28515625" style="247" customWidth="1"/>
    <col min="3841" max="4076" width="8.7109375" style="247"/>
    <col min="4077" max="4077" width="23.85546875" style="247" customWidth="1"/>
    <col min="4078" max="4086" width="10.7109375" style="247" customWidth="1"/>
    <col min="4087" max="4087" width="8.7109375" style="247"/>
    <col min="4088" max="4091" width="10.28515625" style="247" customWidth="1"/>
    <col min="4092" max="4092" width="2.42578125" style="247" customWidth="1"/>
    <col min="4093" max="4096" width="10.28515625" style="247" customWidth="1"/>
    <col min="4097" max="4332" width="8.7109375" style="247"/>
    <col min="4333" max="4333" width="23.85546875" style="247" customWidth="1"/>
    <col min="4334" max="4342" width="10.7109375" style="247" customWidth="1"/>
    <col min="4343" max="4343" width="8.7109375" style="247"/>
    <col min="4344" max="4347" width="10.28515625" style="247" customWidth="1"/>
    <col min="4348" max="4348" width="2.42578125" style="247" customWidth="1"/>
    <col min="4349" max="4352" width="10.28515625" style="247" customWidth="1"/>
    <col min="4353" max="4588" width="8.7109375" style="247"/>
    <col min="4589" max="4589" width="23.85546875" style="247" customWidth="1"/>
    <col min="4590" max="4598" width="10.7109375" style="247" customWidth="1"/>
    <col min="4599" max="4599" width="8.7109375" style="247"/>
    <col min="4600" max="4603" width="10.28515625" style="247" customWidth="1"/>
    <col min="4604" max="4604" width="2.42578125" style="247" customWidth="1"/>
    <col min="4605" max="4608" width="10.28515625" style="247" customWidth="1"/>
    <col min="4609" max="4844" width="8.7109375" style="247"/>
    <col min="4845" max="4845" width="23.85546875" style="247" customWidth="1"/>
    <col min="4846" max="4854" width="10.7109375" style="247" customWidth="1"/>
    <col min="4855" max="4855" width="8.7109375" style="247"/>
    <col min="4856" max="4859" width="10.28515625" style="247" customWidth="1"/>
    <col min="4860" max="4860" width="2.42578125" style="247" customWidth="1"/>
    <col min="4861" max="4864" width="10.28515625" style="247" customWidth="1"/>
    <col min="4865" max="5100" width="8.7109375" style="247"/>
    <col min="5101" max="5101" width="23.85546875" style="247" customWidth="1"/>
    <col min="5102" max="5110" width="10.7109375" style="247" customWidth="1"/>
    <col min="5111" max="5111" width="8.7109375" style="247"/>
    <col min="5112" max="5115" width="10.28515625" style="247" customWidth="1"/>
    <col min="5116" max="5116" width="2.42578125" style="247" customWidth="1"/>
    <col min="5117" max="5120" width="10.28515625" style="247" customWidth="1"/>
    <col min="5121" max="5356" width="8.7109375" style="247"/>
    <col min="5357" max="5357" width="23.85546875" style="247" customWidth="1"/>
    <col min="5358" max="5366" width="10.7109375" style="247" customWidth="1"/>
    <col min="5367" max="5367" width="8.7109375" style="247"/>
    <col min="5368" max="5371" width="10.28515625" style="247" customWidth="1"/>
    <col min="5372" max="5372" width="2.42578125" style="247" customWidth="1"/>
    <col min="5373" max="5376" width="10.28515625" style="247" customWidth="1"/>
    <col min="5377" max="5612" width="8.7109375" style="247"/>
    <col min="5613" max="5613" width="23.85546875" style="247" customWidth="1"/>
    <col min="5614" max="5622" width="10.7109375" style="247" customWidth="1"/>
    <col min="5623" max="5623" width="8.7109375" style="247"/>
    <col min="5624" max="5627" width="10.28515625" style="247" customWidth="1"/>
    <col min="5628" max="5628" width="2.42578125" style="247" customWidth="1"/>
    <col min="5629" max="5632" width="10.28515625" style="247" customWidth="1"/>
    <col min="5633" max="5868" width="8.7109375" style="247"/>
    <col min="5869" max="5869" width="23.85546875" style="247" customWidth="1"/>
    <col min="5870" max="5878" width="10.7109375" style="247" customWidth="1"/>
    <col min="5879" max="5879" width="8.7109375" style="247"/>
    <col min="5880" max="5883" width="10.28515625" style="247" customWidth="1"/>
    <col min="5884" max="5884" width="2.42578125" style="247" customWidth="1"/>
    <col min="5885" max="5888" width="10.28515625" style="247" customWidth="1"/>
    <col min="5889" max="6124" width="8.7109375" style="247"/>
    <col min="6125" max="6125" width="23.85546875" style="247" customWidth="1"/>
    <col min="6126" max="6134" width="10.7109375" style="247" customWidth="1"/>
    <col min="6135" max="6135" width="8.7109375" style="247"/>
    <col min="6136" max="6139" width="10.28515625" style="247" customWidth="1"/>
    <col min="6140" max="6140" width="2.42578125" style="247" customWidth="1"/>
    <col min="6141" max="6144" width="10.28515625" style="247" customWidth="1"/>
    <col min="6145" max="6380" width="8.7109375" style="247"/>
    <col min="6381" max="6381" width="23.85546875" style="247" customWidth="1"/>
    <col min="6382" max="6390" width="10.7109375" style="247" customWidth="1"/>
    <col min="6391" max="6391" width="8.7109375" style="247"/>
    <col min="6392" max="6395" width="10.28515625" style="247" customWidth="1"/>
    <col min="6396" max="6396" width="2.42578125" style="247" customWidth="1"/>
    <col min="6397" max="6400" width="10.28515625" style="247" customWidth="1"/>
    <col min="6401" max="6636" width="8.7109375" style="247"/>
    <col min="6637" max="6637" width="23.85546875" style="247" customWidth="1"/>
    <col min="6638" max="6646" width="10.7109375" style="247" customWidth="1"/>
    <col min="6647" max="6647" width="8.7109375" style="247"/>
    <col min="6648" max="6651" width="10.28515625" style="247" customWidth="1"/>
    <col min="6652" max="6652" width="2.42578125" style="247" customWidth="1"/>
    <col min="6653" max="6656" width="10.28515625" style="247" customWidth="1"/>
    <col min="6657" max="6892" width="8.7109375" style="247"/>
    <col min="6893" max="6893" width="23.85546875" style="247" customWidth="1"/>
    <col min="6894" max="6902" width="10.7109375" style="247" customWidth="1"/>
    <col min="6903" max="6903" width="8.7109375" style="247"/>
    <col min="6904" max="6907" width="10.28515625" style="247" customWidth="1"/>
    <col min="6908" max="6908" width="2.42578125" style="247" customWidth="1"/>
    <col min="6909" max="6912" width="10.28515625" style="247" customWidth="1"/>
    <col min="6913" max="7148" width="8.7109375" style="247"/>
    <col min="7149" max="7149" width="23.85546875" style="247" customWidth="1"/>
    <col min="7150" max="7158" width="10.7109375" style="247" customWidth="1"/>
    <col min="7159" max="7159" width="8.7109375" style="247"/>
    <col min="7160" max="7163" width="10.28515625" style="247" customWidth="1"/>
    <col min="7164" max="7164" width="2.42578125" style="247" customWidth="1"/>
    <col min="7165" max="7168" width="10.28515625" style="247" customWidth="1"/>
    <col min="7169" max="7404" width="8.7109375" style="247"/>
    <col min="7405" max="7405" width="23.85546875" style="247" customWidth="1"/>
    <col min="7406" max="7414" width="10.7109375" style="247" customWidth="1"/>
    <col min="7415" max="7415" width="8.7109375" style="247"/>
    <col min="7416" max="7419" width="10.28515625" style="247" customWidth="1"/>
    <col min="7420" max="7420" width="2.42578125" style="247" customWidth="1"/>
    <col min="7421" max="7424" width="10.28515625" style="247" customWidth="1"/>
    <col min="7425" max="7660" width="8.7109375" style="247"/>
    <col min="7661" max="7661" width="23.85546875" style="247" customWidth="1"/>
    <col min="7662" max="7670" width="10.7109375" style="247" customWidth="1"/>
    <col min="7671" max="7671" width="8.7109375" style="247"/>
    <col min="7672" max="7675" width="10.28515625" style="247" customWidth="1"/>
    <col min="7676" max="7676" width="2.42578125" style="247" customWidth="1"/>
    <col min="7677" max="7680" width="10.28515625" style="247" customWidth="1"/>
    <col min="7681" max="7916" width="8.7109375" style="247"/>
    <col min="7917" max="7917" width="23.85546875" style="247" customWidth="1"/>
    <col min="7918" max="7926" width="10.7109375" style="247" customWidth="1"/>
    <col min="7927" max="7927" width="8.7109375" style="247"/>
    <col min="7928" max="7931" width="10.28515625" style="247" customWidth="1"/>
    <col min="7932" max="7932" width="2.42578125" style="247" customWidth="1"/>
    <col min="7933" max="7936" width="10.28515625" style="247" customWidth="1"/>
    <col min="7937" max="8172" width="8.7109375" style="247"/>
    <col min="8173" max="8173" width="23.85546875" style="247" customWidth="1"/>
    <col min="8174" max="8182" width="10.7109375" style="247" customWidth="1"/>
    <col min="8183" max="8183" width="8.7109375" style="247"/>
    <col min="8184" max="8187" width="10.28515625" style="247" customWidth="1"/>
    <col min="8188" max="8188" width="2.42578125" style="247" customWidth="1"/>
    <col min="8189" max="8192" width="10.28515625" style="247" customWidth="1"/>
    <col min="8193" max="8428" width="8.7109375" style="247"/>
    <col min="8429" max="8429" width="23.85546875" style="247" customWidth="1"/>
    <col min="8430" max="8438" width="10.7109375" style="247" customWidth="1"/>
    <col min="8439" max="8439" width="8.7109375" style="247"/>
    <col min="8440" max="8443" width="10.28515625" style="247" customWidth="1"/>
    <col min="8444" max="8444" width="2.42578125" style="247" customWidth="1"/>
    <col min="8445" max="8448" width="10.28515625" style="247" customWidth="1"/>
    <col min="8449" max="8684" width="8.7109375" style="247"/>
    <col min="8685" max="8685" width="23.85546875" style="247" customWidth="1"/>
    <col min="8686" max="8694" width="10.7109375" style="247" customWidth="1"/>
    <col min="8695" max="8695" width="8.7109375" style="247"/>
    <col min="8696" max="8699" width="10.28515625" style="247" customWidth="1"/>
    <col min="8700" max="8700" width="2.42578125" style="247" customWidth="1"/>
    <col min="8701" max="8704" width="10.28515625" style="247" customWidth="1"/>
    <col min="8705" max="8940" width="8.7109375" style="247"/>
    <col min="8941" max="8941" width="23.85546875" style="247" customWidth="1"/>
    <col min="8942" max="8950" width="10.7109375" style="247" customWidth="1"/>
    <col min="8951" max="8951" width="8.7109375" style="247"/>
    <col min="8952" max="8955" width="10.28515625" style="247" customWidth="1"/>
    <col min="8956" max="8956" width="2.42578125" style="247" customWidth="1"/>
    <col min="8957" max="8960" width="10.28515625" style="247" customWidth="1"/>
    <col min="8961" max="9196" width="8.7109375" style="247"/>
    <col min="9197" max="9197" width="23.85546875" style="247" customWidth="1"/>
    <col min="9198" max="9206" width="10.7109375" style="247" customWidth="1"/>
    <col min="9207" max="9207" width="8.7109375" style="247"/>
    <col min="9208" max="9211" width="10.28515625" style="247" customWidth="1"/>
    <col min="9212" max="9212" width="2.42578125" style="247" customWidth="1"/>
    <col min="9213" max="9216" width="10.28515625" style="247" customWidth="1"/>
    <col min="9217" max="9452" width="8.7109375" style="247"/>
    <col min="9453" max="9453" width="23.85546875" style="247" customWidth="1"/>
    <col min="9454" max="9462" width="10.7109375" style="247" customWidth="1"/>
    <col min="9463" max="9463" width="8.7109375" style="247"/>
    <col min="9464" max="9467" width="10.28515625" style="247" customWidth="1"/>
    <col min="9468" max="9468" width="2.42578125" style="247" customWidth="1"/>
    <col min="9469" max="9472" width="10.28515625" style="247" customWidth="1"/>
    <col min="9473" max="9708" width="8.7109375" style="247"/>
    <col min="9709" max="9709" width="23.85546875" style="247" customWidth="1"/>
    <col min="9710" max="9718" width="10.7109375" style="247" customWidth="1"/>
    <col min="9719" max="9719" width="8.7109375" style="247"/>
    <col min="9720" max="9723" width="10.28515625" style="247" customWidth="1"/>
    <col min="9724" max="9724" width="2.42578125" style="247" customWidth="1"/>
    <col min="9725" max="9728" width="10.28515625" style="247" customWidth="1"/>
    <col min="9729" max="9964" width="8.7109375" style="247"/>
    <col min="9965" max="9965" width="23.85546875" style="247" customWidth="1"/>
    <col min="9966" max="9974" width="10.7109375" style="247" customWidth="1"/>
    <col min="9975" max="9975" width="8.7109375" style="247"/>
    <col min="9976" max="9979" width="10.28515625" style="247" customWidth="1"/>
    <col min="9980" max="9980" width="2.42578125" style="247" customWidth="1"/>
    <col min="9981" max="9984" width="10.28515625" style="247" customWidth="1"/>
    <col min="9985" max="10220" width="8.7109375" style="247"/>
    <col min="10221" max="10221" width="23.85546875" style="247" customWidth="1"/>
    <col min="10222" max="10230" width="10.7109375" style="247" customWidth="1"/>
    <col min="10231" max="10231" width="8.7109375" style="247"/>
    <col min="10232" max="10235" width="10.28515625" style="247" customWidth="1"/>
    <col min="10236" max="10236" width="2.42578125" style="247" customWidth="1"/>
    <col min="10237" max="10240" width="10.28515625" style="247" customWidth="1"/>
    <col min="10241" max="10476" width="8.7109375" style="247"/>
    <col min="10477" max="10477" width="23.85546875" style="247" customWidth="1"/>
    <col min="10478" max="10486" width="10.7109375" style="247" customWidth="1"/>
    <col min="10487" max="10487" width="8.7109375" style="247"/>
    <col min="10488" max="10491" width="10.28515625" style="247" customWidth="1"/>
    <col min="10492" max="10492" width="2.42578125" style="247" customWidth="1"/>
    <col min="10493" max="10496" width="10.28515625" style="247" customWidth="1"/>
    <col min="10497" max="10732" width="8.7109375" style="247"/>
    <col min="10733" max="10733" width="23.85546875" style="247" customWidth="1"/>
    <col min="10734" max="10742" width="10.7109375" style="247" customWidth="1"/>
    <col min="10743" max="10743" width="8.7109375" style="247"/>
    <col min="10744" max="10747" width="10.28515625" style="247" customWidth="1"/>
    <col min="10748" max="10748" width="2.42578125" style="247" customWidth="1"/>
    <col min="10749" max="10752" width="10.28515625" style="247" customWidth="1"/>
    <col min="10753" max="10988" width="8.7109375" style="247"/>
    <col min="10989" max="10989" width="23.85546875" style="247" customWidth="1"/>
    <col min="10990" max="10998" width="10.7109375" style="247" customWidth="1"/>
    <col min="10999" max="10999" width="8.7109375" style="247"/>
    <col min="11000" max="11003" width="10.28515625" style="247" customWidth="1"/>
    <col min="11004" max="11004" width="2.42578125" style="247" customWidth="1"/>
    <col min="11005" max="11008" width="10.28515625" style="247" customWidth="1"/>
    <col min="11009" max="11244" width="8.7109375" style="247"/>
    <col min="11245" max="11245" width="23.85546875" style="247" customWidth="1"/>
    <col min="11246" max="11254" width="10.7109375" style="247" customWidth="1"/>
    <col min="11255" max="11255" width="8.7109375" style="247"/>
    <col min="11256" max="11259" width="10.28515625" style="247" customWidth="1"/>
    <col min="11260" max="11260" width="2.42578125" style="247" customWidth="1"/>
    <col min="11261" max="11264" width="10.28515625" style="247" customWidth="1"/>
    <col min="11265" max="11500" width="8.7109375" style="247"/>
    <col min="11501" max="11501" width="23.85546875" style="247" customWidth="1"/>
    <col min="11502" max="11510" width="10.7109375" style="247" customWidth="1"/>
    <col min="11511" max="11511" width="8.7109375" style="247"/>
    <col min="11512" max="11515" width="10.28515625" style="247" customWidth="1"/>
    <col min="11516" max="11516" width="2.42578125" style="247" customWidth="1"/>
    <col min="11517" max="11520" width="10.28515625" style="247" customWidth="1"/>
    <col min="11521" max="11756" width="8.7109375" style="247"/>
    <col min="11757" max="11757" width="23.85546875" style="247" customWidth="1"/>
    <col min="11758" max="11766" width="10.7109375" style="247" customWidth="1"/>
    <col min="11767" max="11767" width="8.7109375" style="247"/>
    <col min="11768" max="11771" width="10.28515625" style="247" customWidth="1"/>
    <col min="11772" max="11772" width="2.42578125" style="247" customWidth="1"/>
    <col min="11773" max="11776" width="10.28515625" style="247" customWidth="1"/>
    <col min="11777" max="12012" width="8.7109375" style="247"/>
    <col min="12013" max="12013" width="23.85546875" style="247" customWidth="1"/>
    <col min="12014" max="12022" width="10.7109375" style="247" customWidth="1"/>
    <col min="12023" max="12023" width="8.7109375" style="247"/>
    <col min="12024" max="12027" width="10.28515625" style="247" customWidth="1"/>
    <col min="12028" max="12028" width="2.42578125" style="247" customWidth="1"/>
    <col min="12029" max="12032" width="10.28515625" style="247" customWidth="1"/>
    <col min="12033" max="12268" width="8.7109375" style="247"/>
    <col min="12269" max="12269" width="23.85546875" style="247" customWidth="1"/>
    <col min="12270" max="12278" width="10.7109375" style="247" customWidth="1"/>
    <col min="12279" max="12279" width="8.7109375" style="247"/>
    <col min="12280" max="12283" width="10.28515625" style="247" customWidth="1"/>
    <col min="12284" max="12284" width="2.42578125" style="247" customWidth="1"/>
    <col min="12285" max="12288" width="10.28515625" style="247" customWidth="1"/>
    <col min="12289" max="12524" width="8.7109375" style="247"/>
    <col min="12525" max="12525" width="23.85546875" style="247" customWidth="1"/>
    <col min="12526" max="12534" width="10.7109375" style="247" customWidth="1"/>
    <col min="12535" max="12535" width="8.7109375" style="247"/>
    <col min="12536" max="12539" width="10.28515625" style="247" customWidth="1"/>
    <col min="12540" max="12540" width="2.42578125" style="247" customWidth="1"/>
    <col min="12541" max="12544" width="10.28515625" style="247" customWidth="1"/>
    <col min="12545" max="12780" width="8.7109375" style="247"/>
    <col min="12781" max="12781" width="23.85546875" style="247" customWidth="1"/>
    <col min="12782" max="12790" width="10.7109375" style="247" customWidth="1"/>
    <col min="12791" max="12791" width="8.7109375" style="247"/>
    <col min="12792" max="12795" width="10.28515625" style="247" customWidth="1"/>
    <col min="12796" max="12796" width="2.42578125" style="247" customWidth="1"/>
    <col min="12797" max="12800" width="10.28515625" style="247" customWidth="1"/>
    <col min="12801" max="13036" width="8.7109375" style="247"/>
    <col min="13037" max="13037" width="23.85546875" style="247" customWidth="1"/>
    <col min="13038" max="13046" width="10.7109375" style="247" customWidth="1"/>
    <col min="13047" max="13047" width="8.7109375" style="247"/>
    <col min="13048" max="13051" width="10.28515625" style="247" customWidth="1"/>
    <col min="13052" max="13052" width="2.42578125" style="247" customWidth="1"/>
    <col min="13053" max="13056" width="10.28515625" style="247" customWidth="1"/>
    <col min="13057" max="13292" width="8.7109375" style="247"/>
    <col min="13293" max="13293" width="23.85546875" style="247" customWidth="1"/>
    <col min="13294" max="13302" width="10.7109375" style="247" customWidth="1"/>
    <col min="13303" max="13303" width="8.7109375" style="247"/>
    <col min="13304" max="13307" width="10.28515625" style="247" customWidth="1"/>
    <col min="13308" max="13308" width="2.42578125" style="247" customWidth="1"/>
    <col min="13309" max="13312" width="10.28515625" style="247" customWidth="1"/>
    <col min="13313" max="13548" width="8.7109375" style="247"/>
    <col min="13549" max="13549" width="23.85546875" style="247" customWidth="1"/>
    <col min="13550" max="13558" width="10.7109375" style="247" customWidth="1"/>
    <col min="13559" max="13559" width="8.7109375" style="247"/>
    <col min="13560" max="13563" width="10.28515625" style="247" customWidth="1"/>
    <col min="13564" max="13564" width="2.42578125" style="247" customWidth="1"/>
    <col min="13565" max="13568" width="10.28515625" style="247" customWidth="1"/>
    <col min="13569" max="13804" width="8.7109375" style="247"/>
    <col min="13805" max="13805" width="23.85546875" style="247" customWidth="1"/>
    <col min="13806" max="13814" width="10.7109375" style="247" customWidth="1"/>
    <col min="13815" max="13815" width="8.7109375" style="247"/>
    <col min="13816" max="13819" width="10.28515625" style="247" customWidth="1"/>
    <col min="13820" max="13820" width="2.42578125" style="247" customWidth="1"/>
    <col min="13821" max="13824" width="10.28515625" style="247" customWidth="1"/>
    <col min="13825" max="14060" width="8.7109375" style="247"/>
    <col min="14061" max="14061" width="23.85546875" style="247" customWidth="1"/>
    <col min="14062" max="14070" width="10.7109375" style="247" customWidth="1"/>
    <col min="14071" max="14071" width="8.7109375" style="247"/>
    <col min="14072" max="14075" width="10.28515625" style="247" customWidth="1"/>
    <col min="14076" max="14076" width="2.42578125" style="247" customWidth="1"/>
    <col min="14077" max="14080" width="10.28515625" style="247" customWidth="1"/>
    <col min="14081" max="14316" width="8.7109375" style="247"/>
    <col min="14317" max="14317" width="23.85546875" style="247" customWidth="1"/>
    <col min="14318" max="14326" width="10.7109375" style="247" customWidth="1"/>
    <col min="14327" max="14327" width="8.7109375" style="247"/>
    <col min="14328" max="14331" width="10.28515625" style="247" customWidth="1"/>
    <col min="14332" max="14332" width="2.42578125" style="247" customWidth="1"/>
    <col min="14333" max="14336" width="10.28515625" style="247" customWidth="1"/>
    <col min="14337" max="14572" width="8.7109375" style="247"/>
    <col min="14573" max="14573" width="23.85546875" style="247" customWidth="1"/>
    <col min="14574" max="14582" width="10.7109375" style="247" customWidth="1"/>
    <col min="14583" max="14583" width="8.7109375" style="247"/>
    <col min="14584" max="14587" width="10.28515625" style="247" customWidth="1"/>
    <col min="14588" max="14588" width="2.42578125" style="247" customWidth="1"/>
    <col min="14589" max="14592" width="10.28515625" style="247" customWidth="1"/>
    <col min="14593" max="14828" width="8.7109375" style="247"/>
    <col min="14829" max="14829" width="23.85546875" style="247" customWidth="1"/>
    <col min="14830" max="14838" width="10.7109375" style="247" customWidth="1"/>
    <col min="14839" max="14839" width="8.7109375" style="247"/>
    <col min="14840" max="14843" width="10.28515625" style="247" customWidth="1"/>
    <col min="14844" max="14844" width="2.42578125" style="247" customWidth="1"/>
    <col min="14845" max="14848" width="10.28515625" style="247" customWidth="1"/>
    <col min="14849" max="15084" width="8.7109375" style="247"/>
    <col min="15085" max="15085" width="23.85546875" style="247" customWidth="1"/>
    <col min="15086" max="15094" width="10.7109375" style="247" customWidth="1"/>
    <col min="15095" max="15095" width="8.7109375" style="247"/>
    <col min="15096" max="15099" width="10.28515625" style="247" customWidth="1"/>
    <col min="15100" max="15100" width="2.42578125" style="247" customWidth="1"/>
    <col min="15101" max="15104" width="10.28515625" style="247" customWidth="1"/>
    <col min="15105" max="15340" width="8.7109375" style="247"/>
    <col min="15341" max="15341" width="23.85546875" style="247" customWidth="1"/>
    <col min="15342" max="15350" width="10.7109375" style="247" customWidth="1"/>
    <col min="15351" max="15351" width="8.7109375" style="247"/>
    <col min="15352" max="15355" width="10.28515625" style="247" customWidth="1"/>
    <col min="15356" max="15356" width="2.42578125" style="247" customWidth="1"/>
    <col min="15357" max="15360" width="10.28515625" style="247" customWidth="1"/>
    <col min="15361" max="15596" width="8.7109375" style="247"/>
    <col min="15597" max="15597" width="23.85546875" style="247" customWidth="1"/>
    <col min="15598" max="15606" width="10.7109375" style="247" customWidth="1"/>
    <col min="15607" max="15607" width="8.7109375" style="247"/>
    <col min="15608" max="15611" width="10.28515625" style="247" customWidth="1"/>
    <col min="15612" max="15612" width="2.42578125" style="247" customWidth="1"/>
    <col min="15613" max="15616" width="10.28515625" style="247" customWidth="1"/>
    <col min="15617" max="15852" width="8.7109375" style="247"/>
    <col min="15853" max="15853" width="23.85546875" style="247" customWidth="1"/>
    <col min="15854" max="15862" width="10.7109375" style="247" customWidth="1"/>
    <col min="15863" max="15863" width="8.7109375" style="247"/>
    <col min="15864" max="15867" width="10.28515625" style="247" customWidth="1"/>
    <col min="15868" max="15868" width="2.42578125" style="247" customWidth="1"/>
    <col min="15869" max="15872" width="10.28515625" style="247" customWidth="1"/>
    <col min="15873" max="16108" width="8.7109375" style="247"/>
    <col min="16109" max="16109" width="23.85546875" style="247" customWidth="1"/>
    <col min="16110" max="16118" width="10.7109375" style="247" customWidth="1"/>
    <col min="16119" max="16119" width="8.7109375" style="247"/>
    <col min="16120" max="16123" width="10.28515625" style="247" customWidth="1"/>
    <col min="16124" max="16124" width="2.42578125" style="247" customWidth="1"/>
    <col min="16125" max="16128" width="10.28515625" style="247" customWidth="1"/>
    <col min="16129" max="16381" width="8.7109375" style="247"/>
    <col min="16382" max="16382" width="8.7109375" style="247" customWidth="1"/>
    <col min="16383" max="16384" width="8.7109375" style="247"/>
  </cols>
  <sheetData>
    <row r="1" spans="1:12" s="143" customFormat="1" x14ac:dyDescent="0.2">
      <c r="A1" s="598" t="s">
        <v>23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599"/>
    </row>
    <row r="2" spans="1:12" s="143" customFormat="1" x14ac:dyDescent="0.2">
      <c r="A2" s="598" t="s">
        <v>67</v>
      </c>
      <c r="B2" s="599"/>
      <c r="C2" s="599"/>
      <c r="D2" s="599"/>
      <c r="E2" s="599"/>
      <c r="F2" s="599"/>
      <c r="G2" s="599"/>
      <c r="H2" s="599"/>
      <c r="I2" s="599"/>
      <c r="J2" s="599"/>
      <c r="K2" s="599"/>
      <c r="L2" s="599"/>
    </row>
    <row r="3" spans="1:12" s="143" customFormat="1" x14ac:dyDescent="0.2">
      <c r="A3" s="598" t="s">
        <v>84</v>
      </c>
      <c r="B3" s="599"/>
      <c r="C3" s="599"/>
      <c r="D3" s="599"/>
      <c r="E3" s="599"/>
      <c r="F3" s="599"/>
      <c r="G3" s="599"/>
      <c r="H3" s="599"/>
      <c r="I3" s="599"/>
      <c r="J3" s="599"/>
      <c r="K3" s="599"/>
      <c r="L3" s="599"/>
    </row>
    <row r="4" spans="1:12" s="143" customFormat="1" x14ac:dyDescent="0.2">
      <c r="A4" s="598" t="s">
        <v>83</v>
      </c>
      <c r="B4" s="599"/>
      <c r="C4" s="599"/>
      <c r="D4" s="599"/>
      <c r="E4" s="599"/>
      <c r="F4" s="599"/>
      <c r="G4" s="599"/>
      <c r="H4" s="599"/>
      <c r="I4" s="599"/>
      <c r="J4" s="599"/>
      <c r="K4" s="599"/>
      <c r="L4" s="599"/>
    </row>
    <row r="5" spans="1:12" s="143" customFormat="1" x14ac:dyDescent="0.2">
      <c r="A5" s="598" t="s">
        <v>64</v>
      </c>
      <c r="B5" s="599"/>
      <c r="C5" s="599"/>
      <c r="D5" s="599"/>
      <c r="E5" s="599"/>
      <c r="F5" s="599"/>
      <c r="G5" s="599"/>
      <c r="H5" s="599"/>
      <c r="I5" s="599"/>
      <c r="J5" s="599"/>
      <c r="K5" s="599"/>
      <c r="L5" s="599"/>
    </row>
    <row r="6" spans="1:12" s="143" customFormat="1" x14ac:dyDescent="0.2">
      <c r="A6" s="246"/>
    </row>
    <row r="7" spans="1:12" s="143" customFormat="1" ht="12" thickBot="1" x14ac:dyDescent="0.25">
      <c r="A7" s="614"/>
      <c r="B7" s="599"/>
      <c r="C7" s="599"/>
      <c r="D7" s="599"/>
      <c r="E7" s="599"/>
      <c r="F7" s="599"/>
      <c r="G7" s="599"/>
      <c r="H7" s="599"/>
      <c r="I7" s="599"/>
      <c r="J7" s="599"/>
      <c r="K7" s="599"/>
      <c r="L7" s="599"/>
    </row>
    <row r="8" spans="1:12" s="143" customFormat="1" x14ac:dyDescent="0.2">
      <c r="A8" s="600" t="s">
        <v>22</v>
      </c>
      <c r="B8" s="601"/>
      <c r="C8" s="606" t="s">
        <v>82</v>
      </c>
      <c r="D8" s="605"/>
      <c r="E8" s="605"/>
      <c r="F8" s="606" t="s">
        <v>81</v>
      </c>
      <c r="G8" s="605"/>
      <c r="H8" s="607"/>
      <c r="I8" s="605" t="s">
        <v>80</v>
      </c>
      <c r="J8" s="605"/>
      <c r="K8" s="607"/>
      <c r="L8" s="612" t="s">
        <v>60</v>
      </c>
    </row>
    <row r="9" spans="1:12" s="143" customFormat="1" ht="12" thickBot="1" x14ac:dyDescent="0.25">
      <c r="A9" s="602"/>
      <c r="B9" s="603"/>
      <c r="C9" s="241" t="s">
        <v>6</v>
      </c>
      <c r="D9" s="243" t="s">
        <v>17</v>
      </c>
      <c r="E9" s="258" t="s">
        <v>16</v>
      </c>
      <c r="F9" s="241" t="s">
        <v>6</v>
      </c>
      <c r="G9" s="243" t="s">
        <v>17</v>
      </c>
      <c r="H9" s="256" t="s">
        <v>16</v>
      </c>
      <c r="I9" s="257" t="s">
        <v>6</v>
      </c>
      <c r="J9" s="243" t="s">
        <v>17</v>
      </c>
      <c r="K9" s="256" t="s">
        <v>16</v>
      </c>
      <c r="L9" s="613"/>
    </row>
    <row r="10" spans="1:12" s="143" customFormat="1" x14ac:dyDescent="0.2">
      <c r="A10" s="200" t="s">
        <v>14</v>
      </c>
      <c r="B10" s="196"/>
      <c r="C10" s="79"/>
      <c r="D10" s="130"/>
      <c r="E10" s="140"/>
      <c r="F10" s="79"/>
      <c r="G10" s="130"/>
      <c r="H10" s="140"/>
      <c r="I10" s="79"/>
      <c r="J10" s="77"/>
      <c r="K10" s="76"/>
      <c r="L10" s="78"/>
    </row>
    <row r="11" spans="1:12" s="143" customFormat="1" ht="12" thickBot="1" x14ac:dyDescent="0.25">
      <c r="A11" s="196"/>
      <c r="B11" s="196"/>
      <c r="C11" s="68"/>
      <c r="D11" s="195"/>
      <c r="E11" s="194"/>
      <c r="F11" s="68"/>
      <c r="G11" s="195"/>
      <c r="H11" s="194"/>
      <c r="I11" s="68"/>
      <c r="J11" s="66"/>
      <c r="K11" s="65"/>
      <c r="L11" s="67"/>
    </row>
    <row r="12" spans="1:12" s="143" customFormat="1" x14ac:dyDescent="0.2">
      <c r="A12" s="190" t="s">
        <v>13</v>
      </c>
      <c r="B12" s="238" t="s">
        <v>2</v>
      </c>
      <c r="C12" s="188">
        <v>183125</v>
      </c>
      <c r="D12" s="187">
        <v>163356</v>
      </c>
      <c r="E12" s="186">
        <v>19769</v>
      </c>
      <c r="F12" s="188">
        <v>184738</v>
      </c>
      <c r="G12" s="231">
        <v>165029</v>
      </c>
      <c r="H12" s="230">
        <v>19709</v>
      </c>
      <c r="I12" s="54">
        <v>0.99126871569465946</v>
      </c>
      <c r="J12" s="53">
        <v>0.98986238782274627</v>
      </c>
      <c r="K12" s="52">
        <v>1.0030442944847531</v>
      </c>
      <c r="L12" s="255">
        <v>1.0119458381440163</v>
      </c>
    </row>
    <row r="13" spans="1:12" s="143" customFormat="1" x14ac:dyDescent="0.2">
      <c r="A13" s="142"/>
      <c r="B13" s="236" t="s">
        <v>1</v>
      </c>
      <c r="C13" s="171">
        <v>94364</v>
      </c>
      <c r="D13" s="170">
        <v>84197</v>
      </c>
      <c r="E13" s="169">
        <v>10167</v>
      </c>
      <c r="F13" s="171">
        <v>95743</v>
      </c>
      <c r="G13" s="228">
        <v>85721</v>
      </c>
      <c r="H13" s="227">
        <v>10022</v>
      </c>
      <c r="I13" s="40">
        <v>0.985596858255956</v>
      </c>
      <c r="J13" s="39">
        <v>0.98222139265757513</v>
      </c>
      <c r="K13" s="38">
        <v>1.014468170025943</v>
      </c>
      <c r="L13" s="254"/>
    </row>
    <row r="14" spans="1:12" s="143" customFormat="1" x14ac:dyDescent="0.2">
      <c r="A14" s="164"/>
      <c r="B14" s="235" t="s">
        <v>0</v>
      </c>
      <c r="C14" s="171">
        <v>88761</v>
      </c>
      <c r="D14" s="161">
        <v>79159</v>
      </c>
      <c r="E14" s="160">
        <v>9602</v>
      </c>
      <c r="F14" s="171">
        <v>88995</v>
      </c>
      <c r="G14" s="225">
        <v>79308</v>
      </c>
      <c r="H14" s="224">
        <v>9687</v>
      </c>
      <c r="I14" s="30">
        <v>0.9973706387999326</v>
      </c>
      <c r="J14" s="29">
        <v>0.99812124880213848</v>
      </c>
      <c r="K14" s="28">
        <v>0.99122535356663566</v>
      </c>
      <c r="L14" s="253"/>
    </row>
    <row r="15" spans="1:12" s="143" customFormat="1" x14ac:dyDescent="0.2">
      <c r="A15" s="181" t="s">
        <v>46</v>
      </c>
      <c r="B15" s="236" t="s">
        <v>2</v>
      </c>
      <c r="C15" s="179">
        <v>83690</v>
      </c>
      <c r="D15" s="178">
        <v>81500</v>
      </c>
      <c r="E15" s="177">
        <v>2190</v>
      </c>
      <c r="F15" s="179">
        <v>85375</v>
      </c>
      <c r="G15" s="233">
        <v>83238</v>
      </c>
      <c r="H15" s="232">
        <v>2137</v>
      </c>
      <c r="I15" s="46">
        <v>0.98026354319180087</v>
      </c>
      <c r="J15" s="39">
        <v>0.9791201134097407</v>
      </c>
      <c r="K15" s="38">
        <v>1.0248011230697238</v>
      </c>
      <c r="L15" s="254">
        <v>1.014062880442036</v>
      </c>
    </row>
    <row r="16" spans="1:12" s="143" customFormat="1" x14ac:dyDescent="0.2">
      <c r="A16" s="142"/>
      <c r="B16" s="236" t="s">
        <v>1</v>
      </c>
      <c r="C16" s="171">
        <v>43483</v>
      </c>
      <c r="D16" s="170">
        <v>42306</v>
      </c>
      <c r="E16" s="169">
        <v>1177</v>
      </c>
      <c r="F16" s="171">
        <v>44656</v>
      </c>
      <c r="G16" s="228">
        <v>43515</v>
      </c>
      <c r="H16" s="227">
        <v>1141</v>
      </c>
      <c r="I16" s="40">
        <v>0.97373253314224295</v>
      </c>
      <c r="J16" s="39">
        <v>0.97221647707687009</v>
      </c>
      <c r="K16" s="38">
        <v>1.0315512708150745</v>
      </c>
      <c r="L16" s="254"/>
    </row>
    <row r="17" spans="1:12" s="143" customFormat="1" x14ac:dyDescent="0.2">
      <c r="A17" s="164"/>
      <c r="B17" s="235" t="s">
        <v>0</v>
      </c>
      <c r="C17" s="162">
        <v>40207</v>
      </c>
      <c r="D17" s="161">
        <v>39194</v>
      </c>
      <c r="E17" s="160">
        <v>1013</v>
      </c>
      <c r="F17" s="162">
        <v>40719</v>
      </c>
      <c r="G17" s="225">
        <v>39723</v>
      </c>
      <c r="H17" s="224">
        <v>996</v>
      </c>
      <c r="I17" s="30">
        <v>0.98742601733834323</v>
      </c>
      <c r="J17" s="29">
        <v>0.98668277823930717</v>
      </c>
      <c r="K17" s="28">
        <v>1.0170682730923695</v>
      </c>
      <c r="L17" s="253"/>
    </row>
    <row r="18" spans="1:12" s="143" customFormat="1" x14ac:dyDescent="0.2">
      <c r="A18" s="181" t="s">
        <v>12</v>
      </c>
      <c r="B18" s="236" t="s">
        <v>2</v>
      </c>
      <c r="C18" s="171">
        <v>53850</v>
      </c>
      <c r="D18" s="178">
        <v>52522</v>
      </c>
      <c r="E18" s="177">
        <v>1328</v>
      </c>
      <c r="F18" s="171">
        <v>54970</v>
      </c>
      <c r="G18" s="233">
        <v>53367</v>
      </c>
      <c r="H18" s="232">
        <v>1603</v>
      </c>
      <c r="I18" s="46">
        <v>0.97962525013643809</v>
      </c>
      <c r="J18" s="39">
        <v>0.98416624505780725</v>
      </c>
      <c r="K18" s="38">
        <v>0.82844666250779786</v>
      </c>
      <c r="L18" s="254">
        <v>1.0048957577566153</v>
      </c>
    </row>
    <row r="19" spans="1:12" s="143" customFormat="1" x14ac:dyDescent="0.2">
      <c r="A19" s="142"/>
      <c r="B19" s="236" t="s">
        <v>1</v>
      </c>
      <c r="C19" s="171">
        <v>27740</v>
      </c>
      <c r="D19" s="170">
        <v>27016</v>
      </c>
      <c r="E19" s="169">
        <v>724</v>
      </c>
      <c r="F19" s="171">
        <v>28384</v>
      </c>
      <c r="G19" s="228">
        <v>27518</v>
      </c>
      <c r="H19" s="227">
        <v>866</v>
      </c>
      <c r="I19" s="40">
        <v>0.97731116121758732</v>
      </c>
      <c r="J19" s="39">
        <v>0.98175739515953198</v>
      </c>
      <c r="K19" s="38">
        <v>0.83602771362586603</v>
      </c>
      <c r="L19" s="254"/>
    </row>
    <row r="20" spans="1:12" s="143" customFormat="1" x14ac:dyDescent="0.2">
      <c r="A20" s="164"/>
      <c r="B20" s="235" t="s">
        <v>0</v>
      </c>
      <c r="C20" s="171">
        <v>26110</v>
      </c>
      <c r="D20" s="161">
        <v>25506</v>
      </c>
      <c r="E20" s="160">
        <v>604</v>
      </c>
      <c r="F20" s="171">
        <v>26586</v>
      </c>
      <c r="G20" s="225">
        <v>25849</v>
      </c>
      <c r="H20" s="224">
        <v>737</v>
      </c>
      <c r="I20" s="30">
        <v>0.98209583991574512</v>
      </c>
      <c r="J20" s="29">
        <v>0.98673062787728727</v>
      </c>
      <c r="K20" s="28">
        <v>0.81953867028493899</v>
      </c>
      <c r="L20" s="253"/>
    </row>
    <row r="21" spans="1:12" s="143" customFormat="1" x14ac:dyDescent="0.2">
      <c r="A21" s="181" t="s">
        <v>11</v>
      </c>
      <c r="B21" s="236" t="s">
        <v>2</v>
      </c>
      <c r="C21" s="179">
        <v>50643</v>
      </c>
      <c r="D21" s="178">
        <v>49859</v>
      </c>
      <c r="E21" s="177">
        <v>784</v>
      </c>
      <c r="F21" s="179">
        <v>51579</v>
      </c>
      <c r="G21" s="233">
        <v>50765</v>
      </c>
      <c r="H21" s="232">
        <v>814</v>
      </c>
      <c r="I21" s="46">
        <v>0.9818530797417554</v>
      </c>
      <c r="J21" s="39">
        <v>0.98215305820939625</v>
      </c>
      <c r="K21" s="38">
        <v>0.96314496314496312</v>
      </c>
      <c r="L21" s="254">
        <v>1.0111861305934273</v>
      </c>
    </row>
    <row r="22" spans="1:12" s="143" customFormat="1" x14ac:dyDescent="0.2">
      <c r="A22" s="142"/>
      <c r="B22" s="236" t="s">
        <v>1</v>
      </c>
      <c r="C22" s="171">
        <v>26229</v>
      </c>
      <c r="D22" s="170">
        <v>25830</v>
      </c>
      <c r="E22" s="169">
        <v>399</v>
      </c>
      <c r="F22" s="171">
        <v>26857</v>
      </c>
      <c r="G22" s="228">
        <v>26431</v>
      </c>
      <c r="H22" s="227">
        <v>426</v>
      </c>
      <c r="I22" s="40">
        <v>0.97661689689838771</v>
      </c>
      <c r="J22" s="39">
        <v>0.97726154893874617</v>
      </c>
      <c r="K22" s="38">
        <v>0.93661971830985913</v>
      </c>
      <c r="L22" s="254"/>
    </row>
    <row r="23" spans="1:12" s="143" customFormat="1" x14ac:dyDescent="0.2">
      <c r="A23" s="164"/>
      <c r="B23" s="235" t="s">
        <v>0</v>
      </c>
      <c r="C23" s="162">
        <v>24414</v>
      </c>
      <c r="D23" s="161">
        <v>24029</v>
      </c>
      <c r="E23" s="160">
        <v>385</v>
      </c>
      <c r="F23" s="162">
        <v>24722</v>
      </c>
      <c r="G23" s="225">
        <v>24334</v>
      </c>
      <c r="H23" s="224">
        <v>388</v>
      </c>
      <c r="I23" s="30">
        <v>0.98754146104684082</v>
      </c>
      <c r="J23" s="29">
        <v>0.98746609681926523</v>
      </c>
      <c r="K23" s="28">
        <v>0.99226804123711343</v>
      </c>
      <c r="L23" s="253"/>
    </row>
    <row r="24" spans="1:12" s="143" customFormat="1" x14ac:dyDescent="0.2">
      <c r="A24" s="181" t="s">
        <v>27</v>
      </c>
      <c r="B24" s="236" t="s">
        <v>2</v>
      </c>
      <c r="C24" s="179">
        <v>34405</v>
      </c>
      <c r="D24" s="178">
        <v>34159</v>
      </c>
      <c r="E24" s="177">
        <v>246</v>
      </c>
      <c r="F24" s="179">
        <v>36531</v>
      </c>
      <c r="G24" s="233">
        <v>36227</v>
      </c>
      <c r="H24" s="232">
        <v>304</v>
      </c>
      <c r="I24" s="46">
        <v>0.94180285237195804</v>
      </c>
      <c r="J24" s="39">
        <v>0.94291550501007537</v>
      </c>
      <c r="K24" s="38">
        <v>0.80921052631578949</v>
      </c>
      <c r="L24" s="254">
        <v>1.0284377764831256</v>
      </c>
    </row>
    <row r="25" spans="1:12" s="143" customFormat="1" x14ac:dyDescent="0.2">
      <c r="A25" s="142"/>
      <c r="B25" s="236" t="s">
        <v>1</v>
      </c>
      <c r="C25" s="171">
        <v>17626</v>
      </c>
      <c r="D25" s="170">
        <v>17482</v>
      </c>
      <c r="E25" s="169">
        <v>144</v>
      </c>
      <c r="F25" s="171">
        <v>18971</v>
      </c>
      <c r="G25" s="228">
        <v>18794</v>
      </c>
      <c r="H25" s="227">
        <v>177</v>
      </c>
      <c r="I25" s="40">
        <v>0.92910231405829946</v>
      </c>
      <c r="J25" s="39">
        <v>0.930190486325423</v>
      </c>
      <c r="K25" s="38">
        <v>0.81355932203389836</v>
      </c>
      <c r="L25" s="254"/>
    </row>
    <row r="26" spans="1:12" s="143" customFormat="1" x14ac:dyDescent="0.2">
      <c r="A26" s="164"/>
      <c r="B26" s="235" t="s">
        <v>0</v>
      </c>
      <c r="C26" s="162">
        <v>16779</v>
      </c>
      <c r="D26" s="161">
        <v>16677</v>
      </c>
      <c r="E26" s="160">
        <v>102</v>
      </c>
      <c r="F26" s="162">
        <v>17560</v>
      </c>
      <c r="G26" s="225">
        <v>17433</v>
      </c>
      <c r="H26" s="224">
        <v>127</v>
      </c>
      <c r="I26" s="30">
        <v>0.95552391799544423</v>
      </c>
      <c r="J26" s="29">
        <v>0.95663397005678885</v>
      </c>
      <c r="K26" s="28">
        <v>0.80314960629921262</v>
      </c>
      <c r="L26" s="253"/>
    </row>
    <row r="27" spans="1:12" s="143" customFormat="1" x14ac:dyDescent="0.2">
      <c r="A27" s="181" t="s">
        <v>10</v>
      </c>
      <c r="B27" s="236" t="s">
        <v>2</v>
      </c>
      <c r="C27" s="171">
        <v>50728</v>
      </c>
      <c r="D27" s="178">
        <v>49929</v>
      </c>
      <c r="E27" s="177">
        <v>799</v>
      </c>
      <c r="F27" s="171">
        <v>52711</v>
      </c>
      <c r="G27" s="233">
        <v>51929</v>
      </c>
      <c r="H27" s="232">
        <v>782</v>
      </c>
      <c r="I27" s="46">
        <v>0.9623797689286866</v>
      </c>
      <c r="J27" s="39">
        <v>0.961485874944636</v>
      </c>
      <c r="K27" s="38">
        <v>1.0217391304347827</v>
      </c>
      <c r="L27" s="254">
        <v>1.0154365197006527</v>
      </c>
    </row>
    <row r="28" spans="1:12" s="143" customFormat="1" x14ac:dyDescent="0.2">
      <c r="A28" s="142"/>
      <c r="B28" s="236" t="s">
        <v>1</v>
      </c>
      <c r="C28" s="171">
        <v>26362</v>
      </c>
      <c r="D28" s="170">
        <v>25937</v>
      </c>
      <c r="E28" s="169">
        <v>425</v>
      </c>
      <c r="F28" s="171">
        <v>27594</v>
      </c>
      <c r="G28" s="228">
        <v>27180</v>
      </c>
      <c r="H28" s="227">
        <v>414</v>
      </c>
      <c r="I28" s="40">
        <v>0.95535261288685946</v>
      </c>
      <c r="J28" s="39">
        <v>0.95426784400294329</v>
      </c>
      <c r="K28" s="38">
        <v>1.0265700483091786</v>
      </c>
      <c r="L28" s="254"/>
    </row>
    <row r="29" spans="1:12" s="143" customFormat="1" x14ac:dyDescent="0.2">
      <c r="A29" s="164"/>
      <c r="B29" s="235" t="s">
        <v>0</v>
      </c>
      <c r="C29" s="171">
        <v>24366</v>
      </c>
      <c r="D29" s="161">
        <v>23992</v>
      </c>
      <c r="E29" s="160">
        <v>374</v>
      </c>
      <c r="F29" s="171">
        <v>25117</v>
      </c>
      <c r="G29" s="225">
        <v>24749</v>
      </c>
      <c r="H29" s="224">
        <v>368</v>
      </c>
      <c r="I29" s="30">
        <v>0.97009993231675762</v>
      </c>
      <c r="J29" s="29">
        <v>0.96941290557194226</v>
      </c>
      <c r="K29" s="28">
        <v>1.0163043478260869</v>
      </c>
      <c r="L29" s="253"/>
    </row>
    <row r="30" spans="1:12" s="143" customFormat="1" x14ac:dyDescent="0.2">
      <c r="A30" s="181" t="s">
        <v>9</v>
      </c>
      <c r="B30" s="236" t="s">
        <v>2</v>
      </c>
      <c r="C30" s="179">
        <v>20022</v>
      </c>
      <c r="D30" s="178">
        <v>18631</v>
      </c>
      <c r="E30" s="177">
        <v>1391</v>
      </c>
      <c r="F30" s="179">
        <v>20049</v>
      </c>
      <c r="G30" s="233">
        <v>18711</v>
      </c>
      <c r="H30" s="232">
        <v>1338</v>
      </c>
      <c r="I30" s="46">
        <v>0.99865329941642977</v>
      </c>
      <c r="J30" s="39">
        <v>0.99572444016888462</v>
      </c>
      <c r="K30" s="38">
        <v>1.039611360239163</v>
      </c>
      <c r="L30" s="254">
        <v>1.0065883915264615</v>
      </c>
    </row>
    <row r="31" spans="1:12" s="143" customFormat="1" x14ac:dyDescent="0.2">
      <c r="A31" s="142"/>
      <c r="B31" s="236" t="s">
        <v>1</v>
      </c>
      <c r="C31" s="171">
        <v>10510</v>
      </c>
      <c r="D31" s="170">
        <v>9760</v>
      </c>
      <c r="E31" s="169">
        <v>750</v>
      </c>
      <c r="F31" s="171">
        <v>10557</v>
      </c>
      <c r="G31" s="228">
        <v>9842</v>
      </c>
      <c r="H31" s="227">
        <v>715</v>
      </c>
      <c r="I31" s="40">
        <v>0.99554797764516434</v>
      </c>
      <c r="J31" s="39">
        <v>0.99166836008941273</v>
      </c>
      <c r="K31" s="38">
        <v>1.048951048951049</v>
      </c>
      <c r="L31" s="254"/>
    </row>
    <row r="32" spans="1:12" s="143" customFormat="1" x14ac:dyDescent="0.2">
      <c r="A32" s="164"/>
      <c r="B32" s="235" t="s">
        <v>0</v>
      </c>
      <c r="C32" s="162">
        <v>9512</v>
      </c>
      <c r="D32" s="161">
        <v>8871</v>
      </c>
      <c r="E32" s="160">
        <v>641</v>
      </c>
      <c r="F32" s="162">
        <v>9492</v>
      </c>
      <c r="G32" s="225">
        <v>8869</v>
      </c>
      <c r="H32" s="224">
        <v>623</v>
      </c>
      <c r="I32" s="30">
        <v>1.0021070375052676</v>
      </c>
      <c r="J32" s="29">
        <v>1.0002255045664674</v>
      </c>
      <c r="K32" s="28">
        <v>1.028892455858748</v>
      </c>
      <c r="L32" s="253"/>
    </row>
    <row r="33" spans="1:12" s="143" customFormat="1" x14ac:dyDescent="0.2">
      <c r="A33" s="181" t="s">
        <v>8</v>
      </c>
      <c r="B33" s="236" t="s">
        <v>2</v>
      </c>
      <c r="C33" s="171">
        <v>12697</v>
      </c>
      <c r="D33" s="178">
        <v>12404</v>
      </c>
      <c r="E33" s="177">
        <v>293</v>
      </c>
      <c r="F33" s="171">
        <v>12939</v>
      </c>
      <c r="G33" s="233">
        <v>12657</v>
      </c>
      <c r="H33" s="232">
        <v>282</v>
      </c>
      <c r="I33" s="46">
        <v>0.98129685447097925</v>
      </c>
      <c r="J33" s="39">
        <v>0.98001106107292413</v>
      </c>
      <c r="K33" s="38">
        <v>1.0390070921985815</v>
      </c>
      <c r="L33" s="254">
        <v>1.007947583186332</v>
      </c>
    </row>
    <row r="34" spans="1:12" s="143" customFormat="1" x14ac:dyDescent="0.2">
      <c r="A34" s="142"/>
      <c r="B34" s="236" t="s">
        <v>1</v>
      </c>
      <c r="C34" s="171">
        <v>6581</v>
      </c>
      <c r="D34" s="170">
        <v>6400</v>
      </c>
      <c r="E34" s="169">
        <v>181</v>
      </c>
      <c r="F34" s="171">
        <v>6732</v>
      </c>
      <c r="G34" s="228">
        <v>6565</v>
      </c>
      <c r="H34" s="227">
        <v>167</v>
      </c>
      <c r="I34" s="40">
        <v>0.97756981580510993</v>
      </c>
      <c r="J34" s="39">
        <v>0.97486671744097486</v>
      </c>
      <c r="K34" s="38">
        <v>1.0838323353293413</v>
      </c>
      <c r="L34" s="254"/>
    </row>
    <row r="35" spans="1:12" s="143" customFormat="1" x14ac:dyDescent="0.2">
      <c r="A35" s="164"/>
      <c r="B35" s="235" t="s">
        <v>0</v>
      </c>
      <c r="C35" s="162">
        <v>6116</v>
      </c>
      <c r="D35" s="161">
        <v>6004</v>
      </c>
      <c r="E35" s="160">
        <v>112</v>
      </c>
      <c r="F35" s="162">
        <v>6207</v>
      </c>
      <c r="G35" s="225">
        <v>6092</v>
      </c>
      <c r="H35" s="224">
        <v>115</v>
      </c>
      <c r="I35" s="30">
        <v>0.98533913323666833</v>
      </c>
      <c r="J35" s="29">
        <v>0.98555482600131317</v>
      </c>
      <c r="K35" s="28">
        <v>0.97391304347826091</v>
      </c>
      <c r="L35" s="253"/>
    </row>
    <row r="36" spans="1:12" s="143" customFormat="1" x14ac:dyDescent="0.2">
      <c r="A36" s="181" t="s">
        <v>7</v>
      </c>
      <c r="B36" s="236" t="s">
        <v>2</v>
      </c>
      <c r="C36" s="171">
        <v>17744</v>
      </c>
      <c r="D36" s="178">
        <v>16607</v>
      </c>
      <c r="E36" s="177">
        <v>1137</v>
      </c>
      <c r="F36" s="171">
        <v>18150</v>
      </c>
      <c r="G36" s="233">
        <v>17070</v>
      </c>
      <c r="H36" s="232">
        <v>1080</v>
      </c>
      <c r="I36" s="46">
        <v>0.97763085399449035</v>
      </c>
      <c r="J36" s="39">
        <v>0.9728763913298184</v>
      </c>
      <c r="K36" s="38">
        <v>1.0527777777777778</v>
      </c>
      <c r="L36" s="254">
        <v>1.0344126275602212</v>
      </c>
    </row>
    <row r="37" spans="1:12" s="143" customFormat="1" x14ac:dyDescent="0.2">
      <c r="A37" s="142"/>
      <c r="B37" s="236" t="s">
        <v>1</v>
      </c>
      <c r="C37" s="171">
        <v>9167</v>
      </c>
      <c r="D37" s="170">
        <v>8583</v>
      </c>
      <c r="E37" s="169">
        <v>584</v>
      </c>
      <c r="F37" s="171">
        <v>9530</v>
      </c>
      <c r="G37" s="228">
        <v>8972</v>
      </c>
      <c r="H37" s="227">
        <v>558</v>
      </c>
      <c r="I37" s="40">
        <v>0.961909758656873</v>
      </c>
      <c r="J37" s="39">
        <v>0.95664288898796257</v>
      </c>
      <c r="K37" s="38">
        <v>1.0465949820788532</v>
      </c>
      <c r="L37" s="254"/>
    </row>
    <row r="38" spans="1:12" s="143" customFormat="1" x14ac:dyDescent="0.2">
      <c r="A38" s="164"/>
      <c r="B38" s="235" t="s">
        <v>0</v>
      </c>
      <c r="C38" s="162">
        <v>8577</v>
      </c>
      <c r="D38" s="161">
        <v>8024</v>
      </c>
      <c r="E38" s="160">
        <v>553</v>
      </c>
      <c r="F38" s="162">
        <v>8620</v>
      </c>
      <c r="G38" s="225">
        <v>8098</v>
      </c>
      <c r="H38" s="224">
        <v>522</v>
      </c>
      <c r="I38" s="30">
        <v>0.99501160092807428</v>
      </c>
      <c r="J38" s="29">
        <v>0.99086194122005433</v>
      </c>
      <c r="K38" s="28">
        <v>1.0593869731800767</v>
      </c>
      <c r="L38" s="253"/>
    </row>
    <row r="39" spans="1:12" s="203" customFormat="1" x14ac:dyDescent="0.2">
      <c r="A39" s="181" t="s">
        <v>5</v>
      </c>
      <c r="B39" s="236" t="s">
        <v>2</v>
      </c>
      <c r="C39" s="171">
        <v>22680</v>
      </c>
      <c r="D39" s="170">
        <v>20873</v>
      </c>
      <c r="E39" s="169">
        <v>1807</v>
      </c>
      <c r="F39" s="171">
        <v>22823</v>
      </c>
      <c r="G39" s="233">
        <v>21044</v>
      </c>
      <c r="H39" s="232">
        <v>1779</v>
      </c>
      <c r="I39" s="46">
        <v>0.99373439074617709</v>
      </c>
      <c r="J39" s="39">
        <v>0.99187416840904774</v>
      </c>
      <c r="K39" s="38">
        <v>1.0157391793142214</v>
      </c>
      <c r="L39" s="254">
        <v>1.0085476397716489</v>
      </c>
    </row>
    <row r="40" spans="1:12" s="203" customFormat="1" x14ac:dyDescent="0.2">
      <c r="A40" s="142"/>
      <c r="B40" s="236" t="s">
        <v>1</v>
      </c>
      <c r="C40" s="171">
        <v>11654</v>
      </c>
      <c r="D40" s="170">
        <v>10695</v>
      </c>
      <c r="E40" s="169">
        <v>959</v>
      </c>
      <c r="F40" s="171">
        <v>11776</v>
      </c>
      <c r="G40" s="228">
        <v>10854</v>
      </c>
      <c r="H40" s="227">
        <v>922</v>
      </c>
      <c r="I40" s="40">
        <v>0.98963994565217395</v>
      </c>
      <c r="J40" s="39">
        <v>0.98535102266445551</v>
      </c>
      <c r="K40" s="38">
        <v>1.0401301518438177</v>
      </c>
      <c r="L40" s="254"/>
    </row>
    <row r="41" spans="1:12" s="203" customFormat="1" x14ac:dyDescent="0.2">
      <c r="A41" s="164"/>
      <c r="B41" s="235" t="s">
        <v>0</v>
      </c>
      <c r="C41" s="171">
        <v>11026</v>
      </c>
      <c r="D41" s="161">
        <v>10178</v>
      </c>
      <c r="E41" s="160">
        <v>848</v>
      </c>
      <c r="F41" s="171">
        <v>11047</v>
      </c>
      <c r="G41" s="225">
        <v>10190</v>
      </c>
      <c r="H41" s="224">
        <v>857</v>
      </c>
      <c r="I41" s="30">
        <v>0.9980990314112429</v>
      </c>
      <c r="J41" s="29">
        <v>0.99882237487733072</v>
      </c>
      <c r="K41" s="28">
        <v>0.98949824970828471</v>
      </c>
      <c r="L41" s="253"/>
    </row>
    <row r="42" spans="1:12" s="143" customFormat="1" x14ac:dyDescent="0.2">
      <c r="A42" s="181" t="s">
        <v>4</v>
      </c>
      <c r="B42" s="237" t="s">
        <v>2</v>
      </c>
      <c r="C42" s="179">
        <v>29450</v>
      </c>
      <c r="D42" s="178">
        <v>26947</v>
      </c>
      <c r="E42" s="177">
        <v>2503</v>
      </c>
      <c r="F42" s="179">
        <v>29644</v>
      </c>
      <c r="G42" s="233">
        <v>27192</v>
      </c>
      <c r="H42" s="232">
        <v>2452</v>
      </c>
      <c r="I42" s="46">
        <v>0.99345567399811097</v>
      </c>
      <c r="J42" s="39">
        <v>0.99098999705795821</v>
      </c>
      <c r="K42" s="38">
        <v>1.0207993474714518</v>
      </c>
      <c r="L42" s="254">
        <v>1.0037842729682065</v>
      </c>
    </row>
    <row r="43" spans="1:12" s="143" customFormat="1" x14ac:dyDescent="0.2">
      <c r="A43" s="142"/>
      <c r="B43" s="236" t="s">
        <v>1</v>
      </c>
      <c r="C43" s="171">
        <v>15186</v>
      </c>
      <c r="D43" s="170">
        <v>13927</v>
      </c>
      <c r="E43" s="169">
        <v>1259</v>
      </c>
      <c r="F43" s="171">
        <v>15314</v>
      </c>
      <c r="G43" s="228">
        <v>14069</v>
      </c>
      <c r="H43" s="227">
        <v>1245</v>
      </c>
      <c r="I43" s="40">
        <v>0.99164163510513259</v>
      </c>
      <c r="J43" s="39">
        <v>0.98990688748311895</v>
      </c>
      <c r="K43" s="38">
        <v>1.0112449799196788</v>
      </c>
      <c r="L43" s="254"/>
    </row>
    <row r="44" spans="1:12" s="143" customFormat="1" x14ac:dyDescent="0.2">
      <c r="A44" s="164"/>
      <c r="B44" s="235" t="s">
        <v>0</v>
      </c>
      <c r="C44" s="162">
        <v>14264</v>
      </c>
      <c r="D44" s="161">
        <v>13020</v>
      </c>
      <c r="E44" s="160">
        <v>1244</v>
      </c>
      <c r="F44" s="162">
        <v>14330</v>
      </c>
      <c r="G44" s="225">
        <v>13123</v>
      </c>
      <c r="H44" s="224">
        <v>1207</v>
      </c>
      <c r="I44" s="30">
        <v>0.99539427773900913</v>
      </c>
      <c r="J44" s="29">
        <v>0.99215118494246746</v>
      </c>
      <c r="K44" s="28">
        <v>1.0306545153272577</v>
      </c>
      <c r="L44" s="253"/>
    </row>
    <row r="45" spans="1:12" s="143" customFormat="1" ht="12" customHeight="1" x14ac:dyDescent="0.2">
      <c r="A45" s="155" t="s">
        <v>3</v>
      </c>
      <c r="B45" s="234" t="s">
        <v>2</v>
      </c>
      <c r="C45" s="114">
        <v>559034</v>
      </c>
      <c r="D45" s="115">
        <v>526787</v>
      </c>
      <c r="E45" s="116">
        <v>32247</v>
      </c>
      <c r="F45" s="114">
        <v>569509</v>
      </c>
      <c r="G45" s="117">
        <v>537229</v>
      </c>
      <c r="H45" s="122">
        <v>32280</v>
      </c>
      <c r="I45" s="222">
        <v>0.98160696319109975</v>
      </c>
      <c r="J45" s="20">
        <v>0.98056322350431568</v>
      </c>
      <c r="K45" s="19">
        <v>0.99897769516728629</v>
      </c>
      <c r="L45" s="252">
        <v>1.0127304282625993</v>
      </c>
    </row>
    <row r="46" spans="1:12" s="143" customFormat="1" x14ac:dyDescent="0.2">
      <c r="A46" s="155"/>
      <c r="B46" s="154" t="s">
        <v>1</v>
      </c>
      <c r="C46" s="114">
        <v>288902</v>
      </c>
      <c r="D46" s="115">
        <v>272133</v>
      </c>
      <c r="E46" s="116">
        <v>16769</v>
      </c>
      <c r="F46" s="114">
        <v>296114</v>
      </c>
      <c r="G46" s="117">
        <v>279461</v>
      </c>
      <c r="H46" s="122">
        <v>16653</v>
      </c>
      <c r="I46" s="21">
        <v>0.97564451528803098</v>
      </c>
      <c r="J46" s="20">
        <v>0.97377809426002193</v>
      </c>
      <c r="K46" s="19">
        <v>1.0069657118837447</v>
      </c>
      <c r="L46" s="252"/>
    </row>
    <row r="47" spans="1:12" s="143" customFormat="1" ht="12" thickBot="1" x14ac:dyDescent="0.25">
      <c r="A47" s="150"/>
      <c r="B47" s="149" t="s">
        <v>0</v>
      </c>
      <c r="C47" s="118">
        <v>270132</v>
      </c>
      <c r="D47" s="119">
        <v>254654</v>
      </c>
      <c r="E47" s="120">
        <v>15478</v>
      </c>
      <c r="F47" s="118">
        <v>273395</v>
      </c>
      <c r="G47" s="121">
        <v>257768</v>
      </c>
      <c r="H47" s="123">
        <v>15627</v>
      </c>
      <c r="I47" s="12">
        <v>0.98806488779970369</v>
      </c>
      <c r="J47" s="11">
        <v>0.98791936935538938</v>
      </c>
      <c r="K47" s="10">
        <v>0.9904652204517822</v>
      </c>
      <c r="L47" s="251"/>
    </row>
  </sheetData>
  <sheetProtection algorithmName="SHA-512" hashValue="KFZZX+oemvp6cxuOXIBSeglkYd2XOEyryRW0jCojD1kRFN/LUBkxVQkjFP3UsBZlsGMlX3i9onBU+ITqrdUKVA==" saltValue="LQ3A7W0Y0e/GhwDL91HSTQ==" spinCount="100000" sheet="1" objects="1" scenarios="1"/>
  <mergeCells count="11">
    <mergeCell ref="A7:L7"/>
    <mergeCell ref="A1:L1"/>
    <mergeCell ref="A2:L2"/>
    <mergeCell ref="A3:L3"/>
    <mergeCell ref="A4:L4"/>
    <mergeCell ref="A5:L5"/>
    <mergeCell ref="A8:B9"/>
    <mergeCell ref="C8:E8"/>
    <mergeCell ref="F8:H8"/>
    <mergeCell ref="I8:K8"/>
    <mergeCell ref="L8:L9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 xml:space="preserve">&amp;L&amp;8Prepared by RSD-OPS
&amp;D
&amp;Z&amp;F; &amp;A
</oddFooter>
  </headerFooter>
  <picture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76309-8F83-490A-BC18-D1D051C0B555}">
  <dimension ref="A1:L47"/>
  <sheetViews>
    <sheetView showGridLines="0" zoomScaleNormal="75" workbookViewId="0">
      <pane xSplit="2" ySplit="9" topLeftCell="C10" activePane="bottomRight" state="frozen"/>
      <selection activeCell="A9" sqref="A9:A12"/>
      <selection pane="topRight" activeCell="A9" sqref="A9:A12"/>
      <selection pane="bottomLeft" activeCell="A9" sqref="A9:A12"/>
      <selection pane="bottomRight" activeCell="A8" sqref="A8:B12"/>
    </sheetView>
  </sheetViews>
  <sheetFormatPr defaultRowHeight="11.25" x14ac:dyDescent="0.2"/>
  <cols>
    <col min="1" max="1" width="23.85546875" style="145" customWidth="1"/>
    <col min="2" max="2" width="10.7109375" style="143" customWidth="1"/>
    <col min="3" max="8" width="10.7109375" style="110" customWidth="1"/>
    <col min="9" max="9" width="9.7109375" style="219" bestFit="1" customWidth="1"/>
    <col min="10" max="11" width="9.7109375" style="219" customWidth="1"/>
    <col min="12" max="12" width="11.140625" style="218" customWidth="1"/>
    <col min="13" max="244" width="8.7109375" style="143"/>
    <col min="245" max="245" width="23.85546875" style="143" customWidth="1"/>
    <col min="246" max="252" width="10.7109375" style="143" customWidth="1"/>
    <col min="253" max="253" width="9.7109375" style="143" bestFit="1" customWidth="1"/>
    <col min="254" max="254" width="11.140625" style="143" customWidth="1"/>
    <col min="255" max="255" width="8.7109375" style="143"/>
    <col min="256" max="264" width="8.7109375" style="143" customWidth="1"/>
    <col min="265" max="500" width="8.7109375" style="143"/>
    <col min="501" max="501" width="23.85546875" style="143" customWidth="1"/>
    <col min="502" max="508" width="10.7109375" style="143" customWidth="1"/>
    <col min="509" max="509" width="9.7109375" style="143" bestFit="1" customWidth="1"/>
    <col min="510" max="510" width="11.140625" style="143" customWidth="1"/>
    <col min="511" max="511" width="8.7109375" style="143"/>
    <col min="512" max="520" width="8.7109375" style="143" customWidth="1"/>
    <col min="521" max="756" width="8.7109375" style="143"/>
    <col min="757" max="757" width="23.85546875" style="143" customWidth="1"/>
    <col min="758" max="764" width="10.7109375" style="143" customWidth="1"/>
    <col min="765" max="765" width="9.7109375" style="143" bestFit="1" customWidth="1"/>
    <col min="766" max="766" width="11.140625" style="143" customWidth="1"/>
    <col min="767" max="767" width="8.7109375" style="143"/>
    <col min="768" max="776" width="8.7109375" style="143" customWidth="1"/>
    <col min="777" max="1012" width="8.7109375" style="143"/>
    <col min="1013" max="1013" width="23.85546875" style="143" customWidth="1"/>
    <col min="1014" max="1020" width="10.7109375" style="143" customWidth="1"/>
    <col min="1021" max="1021" width="9.7109375" style="143" bestFit="1" customWidth="1"/>
    <col min="1022" max="1022" width="11.140625" style="143" customWidth="1"/>
    <col min="1023" max="1023" width="8.7109375" style="143"/>
    <col min="1024" max="1032" width="8.7109375" style="143" customWidth="1"/>
    <col min="1033" max="1268" width="8.7109375" style="143"/>
    <col min="1269" max="1269" width="23.85546875" style="143" customWidth="1"/>
    <col min="1270" max="1276" width="10.7109375" style="143" customWidth="1"/>
    <col min="1277" max="1277" width="9.7109375" style="143" bestFit="1" customWidth="1"/>
    <col min="1278" max="1278" width="11.140625" style="143" customWidth="1"/>
    <col min="1279" max="1279" width="8.7109375" style="143"/>
    <col min="1280" max="1288" width="8.7109375" style="143" customWidth="1"/>
    <col min="1289" max="1524" width="8.7109375" style="143"/>
    <col min="1525" max="1525" width="23.85546875" style="143" customWidth="1"/>
    <col min="1526" max="1532" width="10.7109375" style="143" customWidth="1"/>
    <col min="1533" max="1533" width="9.7109375" style="143" bestFit="1" customWidth="1"/>
    <col min="1534" max="1534" width="11.140625" style="143" customWidth="1"/>
    <col min="1535" max="1535" width="8.7109375" style="143"/>
    <col min="1536" max="1544" width="8.7109375" style="143" customWidth="1"/>
    <col min="1545" max="1780" width="8.7109375" style="143"/>
    <col min="1781" max="1781" width="23.85546875" style="143" customWidth="1"/>
    <col min="1782" max="1788" width="10.7109375" style="143" customWidth="1"/>
    <col min="1789" max="1789" width="9.7109375" style="143" bestFit="1" customWidth="1"/>
    <col min="1790" max="1790" width="11.140625" style="143" customWidth="1"/>
    <col min="1791" max="1791" width="8.7109375" style="143"/>
    <col min="1792" max="1800" width="8.7109375" style="143" customWidth="1"/>
    <col min="1801" max="2036" width="8.7109375" style="143"/>
    <col min="2037" max="2037" width="23.85546875" style="143" customWidth="1"/>
    <col min="2038" max="2044" width="10.7109375" style="143" customWidth="1"/>
    <col min="2045" max="2045" width="9.7109375" style="143" bestFit="1" customWidth="1"/>
    <col min="2046" max="2046" width="11.140625" style="143" customWidth="1"/>
    <col min="2047" max="2047" width="8.7109375" style="143"/>
    <col min="2048" max="2056" width="8.7109375" style="143" customWidth="1"/>
    <col min="2057" max="2292" width="8.7109375" style="143"/>
    <col min="2293" max="2293" width="23.85546875" style="143" customWidth="1"/>
    <col min="2294" max="2300" width="10.7109375" style="143" customWidth="1"/>
    <col min="2301" max="2301" width="9.7109375" style="143" bestFit="1" customWidth="1"/>
    <col min="2302" max="2302" width="11.140625" style="143" customWidth="1"/>
    <col min="2303" max="2303" width="8.7109375" style="143"/>
    <col min="2304" max="2312" width="8.7109375" style="143" customWidth="1"/>
    <col min="2313" max="2548" width="8.7109375" style="143"/>
    <col min="2549" max="2549" width="23.85546875" style="143" customWidth="1"/>
    <col min="2550" max="2556" width="10.7109375" style="143" customWidth="1"/>
    <col min="2557" max="2557" width="9.7109375" style="143" bestFit="1" customWidth="1"/>
    <col min="2558" max="2558" width="11.140625" style="143" customWidth="1"/>
    <col min="2559" max="2559" width="8.7109375" style="143"/>
    <col min="2560" max="2568" width="8.7109375" style="143" customWidth="1"/>
    <col min="2569" max="2804" width="8.7109375" style="143"/>
    <col min="2805" max="2805" width="23.85546875" style="143" customWidth="1"/>
    <col min="2806" max="2812" width="10.7109375" style="143" customWidth="1"/>
    <col min="2813" max="2813" width="9.7109375" style="143" bestFit="1" customWidth="1"/>
    <col min="2814" max="2814" width="11.140625" style="143" customWidth="1"/>
    <col min="2815" max="2815" width="8.7109375" style="143"/>
    <col min="2816" max="2824" width="8.7109375" style="143" customWidth="1"/>
    <col min="2825" max="3060" width="8.7109375" style="143"/>
    <col min="3061" max="3061" width="23.85546875" style="143" customWidth="1"/>
    <col min="3062" max="3068" width="10.7109375" style="143" customWidth="1"/>
    <col min="3069" max="3069" width="9.7109375" style="143" bestFit="1" customWidth="1"/>
    <col min="3070" max="3070" width="11.140625" style="143" customWidth="1"/>
    <col min="3071" max="3071" width="8.7109375" style="143"/>
    <col min="3072" max="3080" width="8.7109375" style="143" customWidth="1"/>
    <col min="3081" max="3316" width="8.7109375" style="143"/>
    <col min="3317" max="3317" width="23.85546875" style="143" customWidth="1"/>
    <col min="3318" max="3324" width="10.7109375" style="143" customWidth="1"/>
    <col min="3325" max="3325" width="9.7109375" style="143" bestFit="1" customWidth="1"/>
    <col min="3326" max="3326" width="11.140625" style="143" customWidth="1"/>
    <col min="3327" max="3327" width="8.7109375" style="143"/>
    <col min="3328" max="3336" width="8.7109375" style="143" customWidth="1"/>
    <col min="3337" max="3572" width="8.7109375" style="143"/>
    <col min="3573" max="3573" width="23.85546875" style="143" customWidth="1"/>
    <col min="3574" max="3580" width="10.7109375" style="143" customWidth="1"/>
    <col min="3581" max="3581" width="9.7109375" style="143" bestFit="1" customWidth="1"/>
    <col min="3582" max="3582" width="11.140625" style="143" customWidth="1"/>
    <col min="3583" max="3583" width="8.7109375" style="143"/>
    <col min="3584" max="3592" width="8.7109375" style="143" customWidth="1"/>
    <col min="3593" max="3828" width="8.7109375" style="143"/>
    <col min="3829" max="3829" width="23.85546875" style="143" customWidth="1"/>
    <col min="3830" max="3836" width="10.7109375" style="143" customWidth="1"/>
    <col min="3837" max="3837" width="9.7109375" style="143" bestFit="1" customWidth="1"/>
    <col min="3838" max="3838" width="11.140625" style="143" customWidth="1"/>
    <col min="3839" max="3839" width="8.7109375" style="143"/>
    <col min="3840" max="3848" width="8.7109375" style="143" customWidth="1"/>
    <col min="3849" max="4084" width="8.7109375" style="143"/>
    <col min="4085" max="4085" width="23.85546875" style="143" customWidth="1"/>
    <col min="4086" max="4092" width="10.7109375" style="143" customWidth="1"/>
    <col min="4093" max="4093" width="9.7109375" style="143" bestFit="1" customWidth="1"/>
    <col min="4094" max="4094" width="11.140625" style="143" customWidth="1"/>
    <col min="4095" max="4095" width="8.7109375" style="143"/>
    <col min="4096" max="4104" width="8.7109375" style="143" customWidth="1"/>
    <col min="4105" max="4340" width="8.7109375" style="143"/>
    <col min="4341" max="4341" width="23.85546875" style="143" customWidth="1"/>
    <col min="4342" max="4348" width="10.7109375" style="143" customWidth="1"/>
    <col min="4349" max="4349" width="9.7109375" style="143" bestFit="1" customWidth="1"/>
    <col min="4350" max="4350" width="11.140625" style="143" customWidth="1"/>
    <col min="4351" max="4351" width="8.7109375" style="143"/>
    <col min="4352" max="4360" width="8.7109375" style="143" customWidth="1"/>
    <col min="4361" max="4596" width="8.7109375" style="143"/>
    <col min="4597" max="4597" width="23.85546875" style="143" customWidth="1"/>
    <col min="4598" max="4604" width="10.7109375" style="143" customWidth="1"/>
    <col min="4605" max="4605" width="9.7109375" style="143" bestFit="1" customWidth="1"/>
    <col min="4606" max="4606" width="11.140625" style="143" customWidth="1"/>
    <col min="4607" max="4607" width="8.7109375" style="143"/>
    <col min="4608" max="4616" width="8.7109375" style="143" customWidth="1"/>
    <col min="4617" max="4852" width="8.7109375" style="143"/>
    <col min="4853" max="4853" width="23.85546875" style="143" customWidth="1"/>
    <col min="4854" max="4860" width="10.7109375" style="143" customWidth="1"/>
    <col min="4861" max="4861" width="9.7109375" style="143" bestFit="1" customWidth="1"/>
    <col min="4862" max="4862" width="11.140625" style="143" customWidth="1"/>
    <col min="4863" max="4863" width="8.7109375" style="143"/>
    <col min="4864" max="4872" width="8.7109375" style="143" customWidth="1"/>
    <col min="4873" max="5108" width="8.7109375" style="143"/>
    <col min="5109" max="5109" width="23.85546875" style="143" customWidth="1"/>
    <col min="5110" max="5116" width="10.7109375" style="143" customWidth="1"/>
    <col min="5117" max="5117" width="9.7109375" style="143" bestFit="1" customWidth="1"/>
    <col min="5118" max="5118" width="11.140625" style="143" customWidth="1"/>
    <col min="5119" max="5119" width="8.7109375" style="143"/>
    <col min="5120" max="5128" width="8.7109375" style="143" customWidth="1"/>
    <col min="5129" max="5364" width="8.7109375" style="143"/>
    <col min="5365" max="5365" width="23.85546875" style="143" customWidth="1"/>
    <col min="5366" max="5372" width="10.7109375" style="143" customWidth="1"/>
    <col min="5373" max="5373" width="9.7109375" style="143" bestFit="1" customWidth="1"/>
    <col min="5374" max="5374" width="11.140625" style="143" customWidth="1"/>
    <col min="5375" max="5375" width="8.7109375" style="143"/>
    <col min="5376" max="5384" width="8.7109375" style="143" customWidth="1"/>
    <col min="5385" max="5620" width="8.7109375" style="143"/>
    <col min="5621" max="5621" width="23.85546875" style="143" customWidth="1"/>
    <col min="5622" max="5628" width="10.7109375" style="143" customWidth="1"/>
    <col min="5629" max="5629" width="9.7109375" style="143" bestFit="1" customWidth="1"/>
    <col min="5630" max="5630" width="11.140625" style="143" customWidth="1"/>
    <col min="5631" max="5631" width="8.7109375" style="143"/>
    <col min="5632" max="5640" width="8.7109375" style="143" customWidth="1"/>
    <col min="5641" max="5876" width="8.7109375" style="143"/>
    <col min="5877" max="5877" width="23.85546875" style="143" customWidth="1"/>
    <col min="5878" max="5884" width="10.7109375" style="143" customWidth="1"/>
    <col min="5885" max="5885" width="9.7109375" style="143" bestFit="1" customWidth="1"/>
    <col min="5886" max="5886" width="11.140625" style="143" customWidth="1"/>
    <col min="5887" max="5887" width="8.7109375" style="143"/>
    <col min="5888" max="5896" width="8.7109375" style="143" customWidth="1"/>
    <col min="5897" max="6132" width="8.7109375" style="143"/>
    <col min="6133" max="6133" width="23.85546875" style="143" customWidth="1"/>
    <col min="6134" max="6140" width="10.7109375" style="143" customWidth="1"/>
    <col min="6141" max="6141" width="9.7109375" style="143" bestFit="1" customWidth="1"/>
    <col min="6142" max="6142" width="11.140625" style="143" customWidth="1"/>
    <col min="6143" max="6143" width="8.7109375" style="143"/>
    <col min="6144" max="6152" width="8.7109375" style="143" customWidth="1"/>
    <col min="6153" max="6388" width="8.7109375" style="143"/>
    <col min="6389" max="6389" width="23.85546875" style="143" customWidth="1"/>
    <col min="6390" max="6396" width="10.7109375" style="143" customWidth="1"/>
    <col min="6397" max="6397" width="9.7109375" style="143" bestFit="1" customWidth="1"/>
    <col min="6398" max="6398" width="11.140625" style="143" customWidth="1"/>
    <col min="6399" max="6399" width="8.7109375" style="143"/>
    <col min="6400" max="6408" width="8.7109375" style="143" customWidth="1"/>
    <col min="6409" max="6644" width="8.7109375" style="143"/>
    <col min="6645" max="6645" width="23.85546875" style="143" customWidth="1"/>
    <col min="6646" max="6652" width="10.7109375" style="143" customWidth="1"/>
    <col min="6653" max="6653" width="9.7109375" style="143" bestFit="1" customWidth="1"/>
    <col min="6654" max="6654" width="11.140625" style="143" customWidth="1"/>
    <col min="6655" max="6655" width="8.7109375" style="143"/>
    <col min="6656" max="6664" width="8.7109375" style="143" customWidth="1"/>
    <col min="6665" max="6900" width="8.7109375" style="143"/>
    <col min="6901" max="6901" width="23.85546875" style="143" customWidth="1"/>
    <col min="6902" max="6908" width="10.7109375" style="143" customWidth="1"/>
    <col min="6909" max="6909" width="9.7109375" style="143" bestFit="1" customWidth="1"/>
    <col min="6910" max="6910" width="11.140625" style="143" customWidth="1"/>
    <col min="6911" max="6911" width="8.7109375" style="143"/>
    <col min="6912" max="6920" width="8.7109375" style="143" customWidth="1"/>
    <col min="6921" max="7156" width="8.7109375" style="143"/>
    <col min="7157" max="7157" width="23.85546875" style="143" customWidth="1"/>
    <col min="7158" max="7164" width="10.7109375" style="143" customWidth="1"/>
    <col min="7165" max="7165" width="9.7109375" style="143" bestFit="1" customWidth="1"/>
    <col min="7166" max="7166" width="11.140625" style="143" customWidth="1"/>
    <col min="7167" max="7167" width="8.7109375" style="143"/>
    <col min="7168" max="7176" width="8.7109375" style="143" customWidth="1"/>
    <col min="7177" max="7412" width="8.7109375" style="143"/>
    <col min="7413" max="7413" width="23.85546875" style="143" customWidth="1"/>
    <col min="7414" max="7420" width="10.7109375" style="143" customWidth="1"/>
    <col min="7421" max="7421" width="9.7109375" style="143" bestFit="1" customWidth="1"/>
    <col min="7422" max="7422" width="11.140625" style="143" customWidth="1"/>
    <col min="7423" max="7423" width="8.7109375" style="143"/>
    <col min="7424" max="7432" width="8.7109375" style="143" customWidth="1"/>
    <col min="7433" max="7668" width="8.7109375" style="143"/>
    <col min="7669" max="7669" width="23.85546875" style="143" customWidth="1"/>
    <col min="7670" max="7676" width="10.7109375" style="143" customWidth="1"/>
    <col min="7677" max="7677" width="9.7109375" style="143" bestFit="1" customWidth="1"/>
    <col min="7678" max="7678" width="11.140625" style="143" customWidth="1"/>
    <col min="7679" max="7679" width="8.7109375" style="143"/>
    <col min="7680" max="7688" width="8.7109375" style="143" customWidth="1"/>
    <col min="7689" max="7924" width="8.7109375" style="143"/>
    <col min="7925" max="7925" width="23.85546875" style="143" customWidth="1"/>
    <col min="7926" max="7932" width="10.7109375" style="143" customWidth="1"/>
    <col min="7933" max="7933" width="9.7109375" style="143" bestFit="1" customWidth="1"/>
    <col min="7934" max="7934" width="11.140625" style="143" customWidth="1"/>
    <col min="7935" max="7935" width="8.7109375" style="143"/>
    <col min="7936" max="7944" width="8.7109375" style="143" customWidth="1"/>
    <col min="7945" max="8180" width="8.7109375" style="143"/>
    <col min="8181" max="8181" width="23.85546875" style="143" customWidth="1"/>
    <col min="8182" max="8188" width="10.7109375" style="143" customWidth="1"/>
    <col min="8189" max="8189" width="9.7109375" style="143" bestFit="1" customWidth="1"/>
    <col min="8190" max="8190" width="11.140625" style="143" customWidth="1"/>
    <col min="8191" max="8191" width="8.7109375" style="143"/>
    <col min="8192" max="8200" width="8.7109375" style="143" customWidth="1"/>
    <col min="8201" max="8436" width="8.7109375" style="143"/>
    <col min="8437" max="8437" width="23.85546875" style="143" customWidth="1"/>
    <col min="8438" max="8444" width="10.7109375" style="143" customWidth="1"/>
    <col min="8445" max="8445" width="9.7109375" style="143" bestFit="1" customWidth="1"/>
    <col min="8446" max="8446" width="11.140625" style="143" customWidth="1"/>
    <col min="8447" max="8447" width="8.7109375" style="143"/>
    <col min="8448" max="8456" width="8.7109375" style="143" customWidth="1"/>
    <col min="8457" max="8692" width="8.7109375" style="143"/>
    <col min="8693" max="8693" width="23.85546875" style="143" customWidth="1"/>
    <col min="8694" max="8700" width="10.7109375" style="143" customWidth="1"/>
    <col min="8701" max="8701" width="9.7109375" style="143" bestFit="1" customWidth="1"/>
    <col min="8702" max="8702" width="11.140625" style="143" customWidth="1"/>
    <col min="8703" max="8703" width="8.7109375" style="143"/>
    <col min="8704" max="8712" width="8.7109375" style="143" customWidth="1"/>
    <col min="8713" max="8948" width="8.7109375" style="143"/>
    <col min="8949" max="8949" width="23.85546875" style="143" customWidth="1"/>
    <col min="8950" max="8956" width="10.7109375" style="143" customWidth="1"/>
    <col min="8957" max="8957" width="9.7109375" style="143" bestFit="1" customWidth="1"/>
    <col min="8958" max="8958" width="11.140625" style="143" customWidth="1"/>
    <col min="8959" max="8959" width="8.7109375" style="143"/>
    <col min="8960" max="8968" width="8.7109375" style="143" customWidth="1"/>
    <col min="8969" max="9204" width="8.7109375" style="143"/>
    <col min="9205" max="9205" width="23.85546875" style="143" customWidth="1"/>
    <col min="9206" max="9212" width="10.7109375" style="143" customWidth="1"/>
    <col min="9213" max="9213" width="9.7109375" style="143" bestFit="1" customWidth="1"/>
    <col min="9214" max="9214" width="11.140625" style="143" customWidth="1"/>
    <col min="9215" max="9215" width="8.7109375" style="143"/>
    <col min="9216" max="9224" width="8.7109375" style="143" customWidth="1"/>
    <col min="9225" max="9460" width="8.7109375" style="143"/>
    <col min="9461" max="9461" width="23.85546875" style="143" customWidth="1"/>
    <col min="9462" max="9468" width="10.7109375" style="143" customWidth="1"/>
    <col min="9469" max="9469" width="9.7109375" style="143" bestFit="1" customWidth="1"/>
    <col min="9470" max="9470" width="11.140625" style="143" customWidth="1"/>
    <col min="9471" max="9471" width="8.7109375" style="143"/>
    <col min="9472" max="9480" width="8.7109375" style="143" customWidth="1"/>
    <col min="9481" max="9716" width="8.7109375" style="143"/>
    <col min="9717" max="9717" width="23.85546875" style="143" customWidth="1"/>
    <col min="9718" max="9724" width="10.7109375" style="143" customWidth="1"/>
    <col min="9725" max="9725" width="9.7109375" style="143" bestFit="1" customWidth="1"/>
    <col min="9726" max="9726" width="11.140625" style="143" customWidth="1"/>
    <col min="9727" max="9727" width="8.7109375" style="143"/>
    <col min="9728" max="9736" width="8.7109375" style="143" customWidth="1"/>
    <col min="9737" max="9972" width="8.7109375" style="143"/>
    <col min="9973" max="9973" width="23.85546875" style="143" customWidth="1"/>
    <col min="9974" max="9980" width="10.7109375" style="143" customWidth="1"/>
    <col min="9981" max="9981" width="9.7109375" style="143" bestFit="1" customWidth="1"/>
    <col min="9982" max="9982" width="11.140625" style="143" customWidth="1"/>
    <col min="9983" max="9983" width="8.7109375" style="143"/>
    <col min="9984" max="9992" width="8.7109375" style="143" customWidth="1"/>
    <col min="9993" max="10228" width="8.7109375" style="143"/>
    <col min="10229" max="10229" width="23.85546875" style="143" customWidth="1"/>
    <col min="10230" max="10236" width="10.7109375" style="143" customWidth="1"/>
    <col min="10237" max="10237" width="9.7109375" style="143" bestFit="1" customWidth="1"/>
    <col min="10238" max="10238" width="11.140625" style="143" customWidth="1"/>
    <col min="10239" max="10239" width="8.7109375" style="143"/>
    <col min="10240" max="10248" width="8.7109375" style="143" customWidth="1"/>
    <col min="10249" max="10484" width="8.7109375" style="143"/>
    <col min="10485" max="10485" width="23.85546875" style="143" customWidth="1"/>
    <col min="10486" max="10492" width="10.7109375" style="143" customWidth="1"/>
    <col min="10493" max="10493" width="9.7109375" style="143" bestFit="1" customWidth="1"/>
    <col min="10494" max="10494" width="11.140625" style="143" customWidth="1"/>
    <col min="10495" max="10495" width="8.7109375" style="143"/>
    <col min="10496" max="10504" width="8.7109375" style="143" customWidth="1"/>
    <col min="10505" max="10740" width="8.7109375" style="143"/>
    <col min="10741" max="10741" width="23.85546875" style="143" customWidth="1"/>
    <col min="10742" max="10748" width="10.7109375" style="143" customWidth="1"/>
    <col min="10749" max="10749" width="9.7109375" style="143" bestFit="1" customWidth="1"/>
    <col min="10750" max="10750" width="11.140625" style="143" customWidth="1"/>
    <col min="10751" max="10751" width="8.7109375" style="143"/>
    <col min="10752" max="10760" width="8.7109375" style="143" customWidth="1"/>
    <col min="10761" max="10996" width="8.7109375" style="143"/>
    <col min="10997" max="10997" width="23.85546875" style="143" customWidth="1"/>
    <col min="10998" max="11004" width="10.7109375" style="143" customWidth="1"/>
    <col min="11005" max="11005" width="9.7109375" style="143" bestFit="1" customWidth="1"/>
    <col min="11006" max="11006" width="11.140625" style="143" customWidth="1"/>
    <col min="11007" max="11007" width="8.7109375" style="143"/>
    <col min="11008" max="11016" width="8.7109375" style="143" customWidth="1"/>
    <col min="11017" max="11252" width="8.7109375" style="143"/>
    <col min="11253" max="11253" width="23.85546875" style="143" customWidth="1"/>
    <col min="11254" max="11260" width="10.7109375" style="143" customWidth="1"/>
    <col min="11261" max="11261" width="9.7109375" style="143" bestFit="1" customWidth="1"/>
    <col min="11262" max="11262" width="11.140625" style="143" customWidth="1"/>
    <col min="11263" max="11263" width="8.7109375" style="143"/>
    <col min="11264" max="11272" width="8.7109375" style="143" customWidth="1"/>
    <col min="11273" max="11508" width="8.7109375" style="143"/>
    <col min="11509" max="11509" width="23.85546875" style="143" customWidth="1"/>
    <col min="11510" max="11516" width="10.7109375" style="143" customWidth="1"/>
    <col min="11517" max="11517" width="9.7109375" style="143" bestFit="1" customWidth="1"/>
    <col min="11518" max="11518" width="11.140625" style="143" customWidth="1"/>
    <col min="11519" max="11519" width="8.7109375" style="143"/>
    <col min="11520" max="11528" width="8.7109375" style="143" customWidth="1"/>
    <col min="11529" max="11764" width="8.7109375" style="143"/>
    <col min="11765" max="11765" width="23.85546875" style="143" customWidth="1"/>
    <col min="11766" max="11772" width="10.7109375" style="143" customWidth="1"/>
    <col min="11773" max="11773" width="9.7109375" style="143" bestFit="1" customWidth="1"/>
    <col min="11774" max="11774" width="11.140625" style="143" customWidth="1"/>
    <col min="11775" max="11775" width="8.7109375" style="143"/>
    <col min="11776" max="11784" width="8.7109375" style="143" customWidth="1"/>
    <col min="11785" max="12020" width="8.7109375" style="143"/>
    <col min="12021" max="12021" width="23.85546875" style="143" customWidth="1"/>
    <col min="12022" max="12028" width="10.7109375" style="143" customWidth="1"/>
    <col min="12029" max="12029" width="9.7109375" style="143" bestFit="1" customWidth="1"/>
    <col min="12030" max="12030" width="11.140625" style="143" customWidth="1"/>
    <col min="12031" max="12031" width="8.7109375" style="143"/>
    <col min="12032" max="12040" width="8.7109375" style="143" customWidth="1"/>
    <col min="12041" max="12276" width="8.7109375" style="143"/>
    <col min="12277" max="12277" width="23.85546875" style="143" customWidth="1"/>
    <col min="12278" max="12284" width="10.7109375" style="143" customWidth="1"/>
    <col min="12285" max="12285" width="9.7109375" style="143" bestFit="1" customWidth="1"/>
    <col min="12286" max="12286" width="11.140625" style="143" customWidth="1"/>
    <col min="12287" max="12287" width="8.7109375" style="143"/>
    <col min="12288" max="12296" width="8.7109375" style="143" customWidth="1"/>
    <col min="12297" max="12532" width="8.7109375" style="143"/>
    <col min="12533" max="12533" width="23.85546875" style="143" customWidth="1"/>
    <col min="12534" max="12540" width="10.7109375" style="143" customWidth="1"/>
    <col min="12541" max="12541" width="9.7109375" style="143" bestFit="1" customWidth="1"/>
    <col min="12542" max="12542" width="11.140625" style="143" customWidth="1"/>
    <col min="12543" max="12543" width="8.7109375" style="143"/>
    <col min="12544" max="12552" width="8.7109375" style="143" customWidth="1"/>
    <col min="12553" max="12788" width="8.7109375" style="143"/>
    <col min="12789" max="12789" width="23.85546875" style="143" customWidth="1"/>
    <col min="12790" max="12796" width="10.7109375" style="143" customWidth="1"/>
    <col min="12797" max="12797" width="9.7109375" style="143" bestFit="1" customWidth="1"/>
    <col min="12798" max="12798" width="11.140625" style="143" customWidth="1"/>
    <col min="12799" max="12799" width="8.7109375" style="143"/>
    <col min="12800" max="12808" width="8.7109375" style="143" customWidth="1"/>
    <col min="12809" max="13044" width="8.7109375" style="143"/>
    <col min="13045" max="13045" width="23.85546875" style="143" customWidth="1"/>
    <col min="13046" max="13052" width="10.7109375" style="143" customWidth="1"/>
    <col min="13053" max="13053" width="9.7109375" style="143" bestFit="1" customWidth="1"/>
    <col min="13054" max="13054" width="11.140625" style="143" customWidth="1"/>
    <col min="13055" max="13055" width="8.7109375" style="143"/>
    <col min="13056" max="13064" width="8.7109375" style="143" customWidth="1"/>
    <col min="13065" max="13300" width="8.7109375" style="143"/>
    <col min="13301" max="13301" width="23.85546875" style="143" customWidth="1"/>
    <col min="13302" max="13308" width="10.7109375" style="143" customWidth="1"/>
    <col min="13309" max="13309" width="9.7109375" style="143" bestFit="1" customWidth="1"/>
    <col min="13310" max="13310" width="11.140625" style="143" customWidth="1"/>
    <col min="13311" max="13311" width="8.7109375" style="143"/>
    <col min="13312" max="13320" width="8.7109375" style="143" customWidth="1"/>
    <col min="13321" max="13556" width="8.7109375" style="143"/>
    <col min="13557" max="13557" width="23.85546875" style="143" customWidth="1"/>
    <col min="13558" max="13564" width="10.7109375" style="143" customWidth="1"/>
    <col min="13565" max="13565" width="9.7109375" style="143" bestFit="1" customWidth="1"/>
    <col min="13566" max="13566" width="11.140625" style="143" customWidth="1"/>
    <col min="13567" max="13567" width="8.7109375" style="143"/>
    <col min="13568" max="13576" width="8.7109375" style="143" customWidth="1"/>
    <col min="13577" max="13812" width="8.7109375" style="143"/>
    <col min="13813" max="13813" width="23.85546875" style="143" customWidth="1"/>
    <col min="13814" max="13820" width="10.7109375" style="143" customWidth="1"/>
    <col min="13821" max="13821" width="9.7109375" style="143" bestFit="1" customWidth="1"/>
    <col min="13822" max="13822" width="11.140625" style="143" customWidth="1"/>
    <col min="13823" max="13823" width="8.7109375" style="143"/>
    <col min="13824" max="13832" width="8.7109375" style="143" customWidth="1"/>
    <col min="13833" max="14068" width="8.7109375" style="143"/>
    <col min="14069" max="14069" width="23.85546875" style="143" customWidth="1"/>
    <col min="14070" max="14076" width="10.7109375" style="143" customWidth="1"/>
    <col min="14077" max="14077" width="9.7109375" style="143" bestFit="1" customWidth="1"/>
    <col min="14078" max="14078" width="11.140625" style="143" customWidth="1"/>
    <col min="14079" max="14079" width="8.7109375" style="143"/>
    <col min="14080" max="14088" width="8.7109375" style="143" customWidth="1"/>
    <col min="14089" max="14324" width="8.7109375" style="143"/>
    <col min="14325" max="14325" width="23.85546875" style="143" customWidth="1"/>
    <col min="14326" max="14332" width="10.7109375" style="143" customWidth="1"/>
    <col min="14333" max="14333" width="9.7109375" style="143" bestFit="1" customWidth="1"/>
    <col min="14334" max="14334" width="11.140625" style="143" customWidth="1"/>
    <col min="14335" max="14335" width="8.7109375" style="143"/>
    <col min="14336" max="14344" width="8.7109375" style="143" customWidth="1"/>
    <col min="14345" max="14580" width="8.7109375" style="143"/>
    <col min="14581" max="14581" width="23.85546875" style="143" customWidth="1"/>
    <col min="14582" max="14588" width="10.7109375" style="143" customWidth="1"/>
    <col min="14589" max="14589" width="9.7109375" style="143" bestFit="1" customWidth="1"/>
    <col min="14590" max="14590" width="11.140625" style="143" customWidth="1"/>
    <col min="14591" max="14591" width="8.7109375" style="143"/>
    <col min="14592" max="14600" width="8.7109375" style="143" customWidth="1"/>
    <col min="14601" max="14836" width="8.7109375" style="143"/>
    <col min="14837" max="14837" width="23.85546875" style="143" customWidth="1"/>
    <col min="14838" max="14844" width="10.7109375" style="143" customWidth="1"/>
    <col min="14845" max="14845" width="9.7109375" style="143" bestFit="1" customWidth="1"/>
    <col min="14846" max="14846" width="11.140625" style="143" customWidth="1"/>
    <col min="14847" max="14847" width="8.7109375" style="143"/>
    <col min="14848" max="14856" width="8.7109375" style="143" customWidth="1"/>
    <col min="14857" max="15092" width="8.7109375" style="143"/>
    <col min="15093" max="15093" width="23.85546875" style="143" customWidth="1"/>
    <col min="15094" max="15100" width="10.7109375" style="143" customWidth="1"/>
    <col min="15101" max="15101" width="9.7109375" style="143" bestFit="1" customWidth="1"/>
    <col min="15102" max="15102" width="11.140625" style="143" customWidth="1"/>
    <col min="15103" max="15103" width="8.7109375" style="143"/>
    <col min="15104" max="15112" width="8.7109375" style="143" customWidth="1"/>
    <col min="15113" max="15348" width="8.7109375" style="143"/>
    <col min="15349" max="15349" width="23.85546875" style="143" customWidth="1"/>
    <col min="15350" max="15356" width="10.7109375" style="143" customWidth="1"/>
    <col min="15357" max="15357" width="9.7109375" style="143" bestFit="1" customWidth="1"/>
    <col min="15358" max="15358" width="11.140625" style="143" customWidth="1"/>
    <col min="15359" max="15359" width="8.7109375" style="143"/>
    <col min="15360" max="15368" width="8.7109375" style="143" customWidth="1"/>
    <col min="15369" max="15604" width="8.7109375" style="143"/>
    <col min="15605" max="15605" width="23.85546875" style="143" customWidth="1"/>
    <col min="15606" max="15612" width="10.7109375" style="143" customWidth="1"/>
    <col min="15613" max="15613" width="9.7109375" style="143" bestFit="1" customWidth="1"/>
    <col min="15614" max="15614" width="11.140625" style="143" customWidth="1"/>
    <col min="15615" max="15615" width="8.7109375" style="143"/>
    <col min="15616" max="15624" width="8.7109375" style="143" customWidth="1"/>
    <col min="15625" max="15860" width="8.7109375" style="143"/>
    <col min="15861" max="15861" width="23.85546875" style="143" customWidth="1"/>
    <col min="15862" max="15868" width="10.7109375" style="143" customWidth="1"/>
    <col min="15869" max="15869" width="9.7109375" style="143" bestFit="1" customWidth="1"/>
    <col min="15870" max="15870" width="11.140625" style="143" customWidth="1"/>
    <col min="15871" max="15871" width="8.7109375" style="143"/>
    <col min="15872" max="15880" width="8.7109375" style="143" customWidth="1"/>
    <col min="15881" max="16116" width="8.7109375" style="143"/>
    <col min="16117" max="16117" width="23.85546875" style="143" customWidth="1"/>
    <col min="16118" max="16124" width="10.7109375" style="143" customWidth="1"/>
    <col min="16125" max="16125" width="9.7109375" style="143" bestFit="1" customWidth="1"/>
    <col min="16126" max="16126" width="11.140625" style="143" customWidth="1"/>
    <col min="16127" max="16127" width="8.7109375" style="143"/>
    <col min="16128" max="16136" width="8.7109375" style="143" customWidth="1"/>
    <col min="16137" max="16381" width="8.7109375" style="143"/>
    <col min="16382" max="16382" width="8.7109375" style="143" customWidth="1"/>
    <col min="16383" max="16384" width="8.7109375" style="143"/>
  </cols>
  <sheetData>
    <row r="1" spans="1:12" x14ac:dyDescent="0.2">
      <c r="A1" s="598" t="s">
        <v>23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599"/>
    </row>
    <row r="2" spans="1:12" x14ac:dyDescent="0.2">
      <c r="A2" s="598" t="s">
        <v>67</v>
      </c>
      <c r="B2" s="599"/>
      <c r="C2" s="599"/>
      <c r="D2" s="599"/>
      <c r="E2" s="599"/>
      <c r="F2" s="599"/>
      <c r="G2" s="599"/>
      <c r="H2" s="599"/>
      <c r="I2" s="599"/>
      <c r="J2" s="599"/>
      <c r="K2" s="599"/>
      <c r="L2" s="599"/>
    </row>
    <row r="3" spans="1:12" x14ac:dyDescent="0.2">
      <c r="A3" s="598" t="s">
        <v>87</v>
      </c>
      <c r="B3" s="599"/>
      <c r="C3" s="599"/>
      <c r="D3" s="599"/>
      <c r="E3" s="599"/>
      <c r="F3" s="599"/>
      <c r="G3" s="599"/>
      <c r="H3" s="599"/>
      <c r="I3" s="599"/>
      <c r="J3" s="599"/>
      <c r="K3" s="599"/>
      <c r="L3" s="599"/>
    </row>
    <row r="4" spans="1:12" x14ac:dyDescent="0.2">
      <c r="A4" s="598" t="s">
        <v>83</v>
      </c>
      <c r="B4" s="599"/>
      <c r="C4" s="599"/>
      <c r="D4" s="599"/>
      <c r="E4" s="599"/>
      <c r="F4" s="599"/>
      <c r="G4" s="599"/>
      <c r="H4" s="599"/>
      <c r="I4" s="599"/>
      <c r="J4" s="599"/>
      <c r="K4" s="599"/>
      <c r="L4" s="599"/>
    </row>
    <row r="5" spans="1:12" x14ac:dyDescent="0.2">
      <c r="A5" s="598" t="s">
        <v>64</v>
      </c>
      <c r="B5" s="599"/>
      <c r="C5" s="599"/>
      <c r="D5" s="599"/>
      <c r="E5" s="599"/>
      <c r="F5" s="599"/>
      <c r="G5" s="599"/>
      <c r="H5" s="599"/>
      <c r="I5" s="599"/>
      <c r="J5" s="599"/>
      <c r="K5" s="599"/>
      <c r="L5" s="599"/>
    </row>
    <row r="6" spans="1:12" x14ac:dyDescent="0.2">
      <c r="A6" s="246"/>
      <c r="C6" s="143"/>
      <c r="D6" s="143"/>
      <c r="E6" s="143"/>
      <c r="F6" s="143"/>
      <c r="G6" s="143"/>
      <c r="H6" s="143"/>
      <c r="I6" s="143"/>
      <c r="J6" s="143"/>
      <c r="K6" s="143"/>
      <c r="L6" s="143"/>
    </row>
    <row r="7" spans="1:12" ht="12" thickBot="1" x14ac:dyDescent="0.25">
      <c r="A7" s="614"/>
      <c r="B7" s="599"/>
      <c r="C7" s="599"/>
      <c r="D7" s="599"/>
      <c r="E7" s="599"/>
      <c r="F7" s="599"/>
      <c r="G7" s="599"/>
      <c r="H7" s="599"/>
      <c r="I7" s="599"/>
      <c r="J7" s="599"/>
      <c r="K7" s="599"/>
      <c r="L7" s="599"/>
    </row>
    <row r="8" spans="1:12" x14ac:dyDescent="0.2">
      <c r="A8" s="600" t="s">
        <v>22</v>
      </c>
      <c r="B8" s="601"/>
      <c r="C8" s="606" t="s">
        <v>86</v>
      </c>
      <c r="D8" s="605"/>
      <c r="E8" s="605"/>
      <c r="F8" s="606" t="s">
        <v>85</v>
      </c>
      <c r="G8" s="605"/>
      <c r="H8" s="607"/>
      <c r="I8" s="605" t="s">
        <v>80</v>
      </c>
      <c r="J8" s="605"/>
      <c r="K8" s="607"/>
      <c r="L8" s="612" t="s">
        <v>60</v>
      </c>
    </row>
    <row r="9" spans="1:12" ht="12" thickBot="1" x14ac:dyDescent="0.25">
      <c r="A9" s="602"/>
      <c r="B9" s="603"/>
      <c r="C9" s="241" t="s">
        <v>6</v>
      </c>
      <c r="D9" s="243" t="s">
        <v>17</v>
      </c>
      <c r="E9" s="258" t="s">
        <v>16</v>
      </c>
      <c r="F9" s="241" t="s">
        <v>6</v>
      </c>
      <c r="G9" s="243" t="s">
        <v>17</v>
      </c>
      <c r="H9" s="256" t="s">
        <v>16</v>
      </c>
      <c r="I9" s="257" t="s">
        <v>6</v>
      </c>
      <c r="J9" s="243" t="s">
        <v>17</v>
      </c>
      <c r="K9" s="256" t="s">
        <v>16</v>
      </c>
      <c r="L9" s="613"/>
    </row>
    <row r="10" spans="1:12" x14ac:dyDescent="0.2">
      <c r="A10" s="200" t="s">
        <v>14</v>
      </c>
      <c r="B10" s="196"/>
      <c r="C10" s="79"/>
      <c r="D10" s="130"/>
      <c r="E10" s="140"/>
      <c r="F10" s="79"/>
      <c r="G10" s="130"/>
      <c r="H10" s="140"/>
      <c r="I10" s="79"/>
      <c r="J10" s="77"/>
      <c r="K10" s="76"/>
      <c r="L10" s="78"/>
    </row>
    <row r="11" spans="1:12" ht="12" thickBot="1" x14ac:dyDescent="0.25">
      <c r="A11" s="196"/>
      <c r="B11" s="196"/>
      <c r="C11" s="68"/>
      <c r="D11" s="195"/>
      <c r="E11" s="194"/>
      <c r="F11" s="68"/>
      <c r="G11" s="195"/>
      <c r="H11" s="194"/>
      <c r="I11" s="68"/>
      <c r="J11" s="66"/>
      <c r="K11" s="65"/>
      <c r="L11" s="67"/>
    </row>
    <row r="12" spans="1:12" x14ac:dyDescent="0.2">
      <c r="A12" s="190" t="s">
        <v>13</v>
      </c>
      <c r="B12" s="238" t="s">
        <v>2</v>
      </c>
      <c r="C12" s="188">
        <v>104425</v>
      </c>
      <c r="D12" s="187">
        <v>88479</v>
      </c>
      <c r="E12" s="186">
        <v>15946</v>
      </c>
      <c r="F12" s="188">
        <v>108343</v>
      </c>
      <c r="G12" s="231">
        <v>92956</v>
      </c>
      <c r="H12" s="230">
        <v>15387</v>
      </c>
      <c r="I12" s="54">
        <v>0.96383707299964005</v>
      </c>
      <c r="J12" s="53">
        <v>0.95183742846077712</v>
      </c>
      <c r="K12" s="52">
        <v>1.036329368947813</v>
      </c>
      <c r="L12" s="255">
        <v>1.0332838621024361</v>
      </c>
    </row>
    <row r="13" spans="1:12" x14ac:dyDescent="0.2">
      <c r="A13" s="142"/>
      <c r="B13" s="236" t="s">
        <v>1</v>
      </c>
      <c r="C13" s="171">
        <v>51951</v>
      </c>
      <c r="D13" s="170">
        <v>44179</v>
      </c>
      <c r="E13" s="169">
        <v>7772</v>
      </c>
      <c r="F13" s="171">
        <v>54787</v>
      </c>
      <c r="G13" s="228">
        <v>47329</v>
      </c>
      <c r="H13" s="227">
        <v>7458</v>
      </c>
      <c r="I13" s="40">
        <v>0.94823589537664044</v>
      </c>
      <c r="J13" s="39">
        <v>0.93344461112637067</v>
      </c>
      <c r="K13" s="38">
        <v>1.0421024403325287</v>
      </c>
      <c r="L13" s="254"/>
    </row>
    <row r="14" spans="1:12" x14ac:dyDescent="0.2">
      <c r="A14" s="164"/>
      <c r="B14" s="235" t="s">
        <v>0</v>
      </c>
      <c r="C14" s="171">
        <v>52474</v>
      </c>
      <c r="D14" s="161">
        <v>44300</v>
      </c>
      <c r="E14" s="160">
        <v>8174</v>
      </c>
      <c r="F14" s="171">
        <v>53556</v>
      </c>
      <c r="G14" s="225">
        <v>45627</v>
      </c>
      <c r="H14" s="224">
        <v>7929</v>
      </c>
      <c r="I14" s="30">
        <v>0.97979684815893642</v>
      </c>
      <c r="J14" s="29">
        <v>0.97091634339316635</v>
      </c>
      <c r="K14" s="28">
        <v>1.030899230672216</v>
      </c>
      <c r="L14" s="253"/>
    </row>
    <row r="15" spans="1:12" x14ac:dyDescent="0.2">
      <c r="A15" s="181" t="s">
        <v>46</v>
      </c>
      <c r="B15" s="236" t="s">
        <v>2</v>
      </c>
      <c r="C15" s="179">
        <v>43808</v>
      </c>
      <c r="D15" s="178">
        <v>42084</v>
      </c>
      <c r="E15" s="177">
        <v>1724</v>
      </c>
      <c r="F15" s="179">
        <v>46956</v>
      </c>
      <c r="G15" s="233">
        <v>45216</v>
      </c>
      <c r="H15" s="232">
        <v>1740</v>
      </c>
      <c r="I15" s="46">
        <v>0.93295851435386323</v>
      </c>
      <c r="J15" s="39">
        <v>0.93073248407643316</v>
      </c>
      <c r="K15" s="38">
        <v>0.99080459770114937</v>
      </c>
      <c r="L15" s="254">
        <v>1.0343252132855785</v>
      </c>
    </row>
    <row r="16" spans="1:12" x14ac:dyDescent="0.2">
      <c r="A16" s="142"/>
      <c r="B16" s="236" t="s">
        <v>1</v>
      </c>
      <c r="C16" s="171">
        <v>22070</v>
      </c>
      <c r="D16" s="170">
        <v>21140</v>
      </c>
      <c r="E16" s="169">
        <v>930</v>
      </c>
      <c r="F16" s="171">
        <v>24052</v>
      </c>
      <c r="G16" s="228">
        <v>23117</v>
      </c>
      <c r="H16" s="227">
        <v>935</v>
      </c>
      <c r="I16" s="40">
        <v>0.91759521037751535</v>
      </c>
      <c r="J16" s="39">
        <v>0.91447852229960636</v>
      </c>
      <c r="K16" s="38">
        <v>0.99465240641711228</v>
      </c>
      <c r="L16" s="254"/>
    </row>
    <row r="17" spans="1:12" x14ac:dyDescent="0.2">
      <c r="A17" s="164"/>
      <c r="B17" s="235" t="s">
        <v>0</v>
      </c>
      <c r="C17" s="162">
        <v>21738</v>
      </c>
      <c r="D17" s="161">
        <v>20944</v>
      </c>
      <c r="E17" s="160">
        <v>794</v>
      </c>
      <c r="F17" s="162">
        <v>22904</v>
      </c>
      <c r="G17" s="225">
        <v>22099</v>
      </c>
      <c r="H17" s="224">
        <v>805</v>
      </c>
      <c r="I17" s="30">
        <v>0.94909186168354875</v>
      </c>
      <c r="J17" s="29">
        <v>0.94773519163763065</v>
      </c>
      <c r="K17" s="28">
        <v>0.98633540372670803</v>
      </c>
      <c r="L17" s="253"/>
    </row>
    <row r="18" spans="1:12" x14ac:dyDescent="0.2">
      <c r="A18" s="181" t="s">
        <v>12</v>
      </c>
      <c r="B18" s="236" t="s">
        <v>2</v>
      </c>
      <c r="C18" s="171">
        <v>27695</v>
      </c>
      <c r="D18" s="178">
        <v>25737</v>
      </c>
      <c r="E18" s="177">
        <v>1958</v>
      </c>
      <c r="F18" s="171">
        <v>30156</v>
      </c>
      <c r="G18" s="233">
        <v>28092</v>
      </c>
      <c r="H18" s="232">
        <v>2064</v>
      </c>
      <c r="I18" s="46">
        <v>0.91839103329354022</v>
      </c>
      <c r="J18" s="39">
        <v>0.91616830414352846</v>
      </c>
      <c r="K18" s="38">
        <v>0.9486434108527132</v>
      </c>
      <c r="L18" s="254">
        <v>1.046125178509159</v>
      </c>
    </row>
    <row r="19" spans="1:12" x14ac:dyDescent="0.2">
      <c r="A19" s="142"/>
      <c r="B19" s="236" t="s">
        <v>1</v>
      </c>
      <c r="C19" s="171">
        <v>14002</v>
      </c>
      <c r="D19" s="170">
        <v>12957</v>
      </c>
      <c r="E19" s="169">
        <v>1045</v>
      </c>
      <c r="F19" s="171">
        <v>15586</v>
      </c>
      <c r="G19" s="228">
        <v>14468</v>
      </c>
      <c r="H19" s="227">
        <v>1118</v>
      </c>
      <c r="I19" s="40">
        <v>0.89837033234954444</v>
      </c>
      <c r="J19" s="39">
        <v>0.89556262095659389</v>
      </c>
      <c r="K19" s="38">
        <v>0.93470483005366722</v>
      </c>
      <c r="L19" s="254"/>
    </row>
    <row r="20" spans="1:12" x14ac:dyDescent="0.2">
      <c r="A20" s="164"/>
      <c r="B20" s="235" t="s">
        <v>0</v>
      </c>
      <c r="C20" s="171">
        <v>13693</v>
      </c>
      <c r="D20" s="161">
        <v>12780</v>
      </c>
      <c r="E20" s="160">
        <v>913</v>
      </c>
      <c r="F20" s="171">
        <v>14570</v>
      </c>
      <c r="G20" s="225">
        <v>13624</v>
      </c>
      <c r="H20" s="224">
        <v>946</v>
      </c>
      <c r="I20" s="30">
        <v>0.93980782429649967</v>
      </c>
      <c r="J20" s="29">
        <v>0.93805049911920146</v>
      </c>
      <c r="K20" s="28">
        <v>0.96511627906976749</v>
      </c>
      <c r="L20" s="253"/>
    </row>
    <row r="21" spans="1:12" x14ac:dyDescent="0.2">
      <c r="A21" s="181" t="s">
        <v>11</v>
      </c>
      <c r="B21" s="236" t="s">
        <v>2</v>
      </c>
      <c r="C21" s="179">
        <v>25820</v>
      </c>
      <c r="D21" s="178">
        <v>21611</v>
      </c>
      <c r="E21" s="177">
        <v>4209</v>
      </c>
      <c r="F21" s="179">
        <v>28679</v>
      </c>
      <c r="G21" s="233">
        <v>24345</v>
      </c>
      <c r="H21" s="232">
        <v>4334</v>
      </c>
      <c r="I21" s="46">
        <v>0.9003103316015203</v>
      </c>
      <c r="J21" s="39">
        <v>0.8876976791949065</v>
      </c>
      <c r="K21" s="38">
        <v>0.9711582833410245</v>
      </c>
      <c r="L21" s="254">
        <v>1.0677510957259708</v>
      </c>
    </row>
    <row r="22" spans="1:12" x14ac:dyDescent="0.2">
      <c r="A22" s="142"/>
      <c r="B22" s="236" t="s">
        <v>1</v>
      </c>
      <c r="C22" s="171">
        <v>12680</v>
      </c>
      <c r="D22" s="170">
        <v>10588</v>
      </c>
      <c r="E22" s="169">
        <v>2092</v>
      </c>
      <c r="F22" s="171">
        <v>14554</v>
      </c>
      <c r="G22" s="228">
        <v>12385</v>
      </c>
      <c r="H22" s="227">
        <v>2169</v>
      </c>
      <c r="I22" s="40">
        <v>0.87123814758829188</v>
      </c>
      <c r="J22" s="39">
        <v>0.8549051271699637</v>
      </c>
      <c r="K22" s="38">
        <v>0.96449976947902261</v>
      </c>
      <c r="L22" s="254"/>
    </row>
    <row r="23" spans="1:12" x14ac:dyDescent="0.2">
      <c r="A23" s="164"/>
      <c r="B23" s="235" t="s">
        <v>0</v>
      </c>
      <c r="C23" s="162">
        <v>13140</v>
      </c>
      <c r="D23" s="161">
        <v>11023</v>
      </c>
      <c r="E23" s="160">
        <v>2117</v>
      </c>
      <c r="F23" s="162">
        <v>14125</v>
      </c>
      <c r="G23" s="225">
        <v>11960</v>
      </c>
      <c r="H23" s="224">
        <v>2165</v>
      </c>
      <c r="I23" s="30">
        <v>0.93026548672566367</v>
      </c>
      <c r="J23" s="29">
        <v>0.92165551839464888</v>
      </c>
      <c r="K23" s="28">
        <v>0.97782909930715933</v>
      </c>
      <c r="L23" s="253"/>
    </row>
    <row r="24" spans="1:12" x14ac:dyDescent="0.2">
      <c r="A24" s="181" t="s">
        <v>27</v>
      </c>
      <c r="B24" s="236" t="s">
        <v>2</v>
      </c>
      <c r="C24" s="179">
        <v>16029</v>
      </c>
      <c r="D24" s="178">
        <v>15303</v>
      </c>
      <c r="E24" s="177">
        <v>726</v>
      </c>
      <c r="F24" s="179">
        <v>19167</v>
      </c>
      <c r="G24" s="233">
        <v>18396</v>
      </c>
      <c r="H24" s="232">
        <v>771</v>
      </c>
      <c r="I24" s="46">
        <v>0.83628110815464074</v>
      </c>
      <c r="J24" s="39">
        <v>0.83186562296151334</v>
      </c>
      <c r="K24" s="38">
        <v>0.94163424124513617</v>
      </c>
      <c r="L24" s="254">
        <v>1.0836049831863381</v>
      </c>
    </row>
    <row r="25" spans="1:12" x14ac:dyDescent="0.2">
      <c r="A25" s="142"/>
      <c r="B25" s="236" t="s">
        <v>1</v>
      </c>
      <c r="C25" s="171">
        <v>7444</v>
      </c>
      <c r="D25" s="170">
        <v>7090</v>
      </c>
      <c r="E25" s="169">
        <v>354</v>
      </c>
      <c r="F25" s="171">
        <v>9285</v>
      </c>
      <c r="G25" s="228">
        <v>8911</v>
      </c>
      <c r="H25" s="227">
        <v>374</v>
      </c>
      <c r="I25" s="40">
        <v>0.80172320947765208</v>
      </c>
      <c r="J25" s="39">
        <v>0.79564583099539898</v>
      </c>
      <c r="K25" s="38">
        <v>0.946524064171123</v>
      </c>
      <c r="L25" s="254"/>
    </row>
    <row r="26" spans="1:12" x14ac:dyDescent="0.2">
      <c r="A26" s="164"/>
      <c r="B26" s="235" t="s">
        <v>0</v>
      </c>
      <c r="C26" s="162">
        <v>8585</v>
      </c>
      <c r="D26" s="161">
        <v>8213</v>
      </c>
      <c r="E26" s="160">
        <v>372</v>
      </c>
      <c r="F26" s="162">
        <v>9882</v>
      </c>
      <c r="G26" s="225">
        <v>9485</v>
      </c>
      <c r="H26" s="224">
        <v>397</v>
      </c>
      <c r="I26" s="30">
        <v>0.86875126492612831</v>
      </c>
      <c r="J26" s="29">
        <v>0.8658935160780179</v>
      </c>
      <c r="K26" s="28">
        <v>0.93702770780856426</v>
      </c>
      <c r="L26" s="253"/>
    </row>
    <row r="27" spans="1:12" x14ac:dyDescent="0.2">
      <c r="A27" s="181" t="s">
        <v>10</v>
      </c>
      <c r="B27" s="236" t="s">
        <v>2</v>
      </c>
      <c r="C27" s="171">
        <v>24944</v>
      </c>
      <c r="D27" s="178">
        <v>23133</v>
      </c>
      <c r="E27" s="177">
        <v>1811</v>
      </c>
      <c r="F27" s="171">
        <v>27789</v>
      </c>
      <c r="G27" s="233">
        <v>25917</v>
      </c>
      <c r="H27" s="232">
        <v>1872</v>
      </c>
      <c r="I27" s="46">
        <v>0.89762136097016809</v>
      </c>
      <c r="J27" s="39">
        <v>0.8925801597407107</v>
      </c>
      <c r="K27" s="38">
        <v>0.96741452991452992</v>
      </c>
      <c r="L27" s="254">
        <v>1.0768282304245367</v>
      </c>
    </row>
    <row r="28" spans="1:12" x14ac:dyDescent="0.2">
      <c r="A28" s="142"/>
      <c r="B28" s="236" t="s">
        <v>1</v>
      </c>
      <c r="C28" s="171">
        <v>12282</v>
      </c>
      <c r="D28" s="170">
        <v>11387</v>
      </c>
      <c r="E28" s="169">
        <v>895</v>
      </c>
      <c r="F28" s="171">
        <v>14197</v>
      </c>
      <c r="G28" s="228">
        <v>13266</v>
      </c>
      <c r="H28" s="227">
        <v>931</v>
      </c>
      <c r="I28" s="40">
        <v>0.86511234767908718</v>
      </c>
      <c r="J28" s="39">
        <v>0.85835971656867183</v>
      </c>
      <c r="K28" s="38">
        <v>0.96133190118152523</v>
      </c>
      <c r="L28" s="254"/>
    </row>
    <row r="29" spans="1:12" x14ac:dyDescent="0.2">
      <c r="A29" s="164"/>
      <c r="B29" s="235" t="s">
        <v>0</v>
      </c>
      <c r="C29" s="171">
        <v>12662</v>
      </c>
      <c r="D29" s="161">
        <v>11746</v>
      </c>
      <c r="E29" s="160">
        <v>916</v>
      </c>
      <c r="F29" s="171">
        <v>13592</v>
      </c>
      <c r="G29" s="225">
        <v>12651</v>
      </c>
      <c r="H29" s="224">
        <v>941</v>
      </c>
      <c r="I29" s="30">
        <v>0.93157739846968801</v>
      </c>
      <c r="J29" s="29">
        <v>0.92846415303138097</v>
      </c>
      <c r="K29" s="28">
        <v>0.97343251859723701</v>
      </c>
      <c r="L29" s="253"/>
    </row>
    <row r="30" spans="1:12" x14ac:dyDescent="0.2">
      <c r="A30" s="181" t="s">
        <v>9</v>
      </c>
      <c r="B30" s="236" t="s">
        <v>2</v>
      </c>
      <c r="C30" s="179">
        <v>11734</v>
      </c>
      <c r="D30" s="178">
        <v>10349</v>
      </c>
      <c r="E30" s="177">
        <v>1385</v>
      </c>
      <c r="F30" s="179">
        <v>12271</v>
      </c>
      <c r="G30" s="233">
        <v>10977</v>
      </c>
      <c r="H30" s="232">
        <v>1294</v>
      </c>
      <c r="I30" s="46">
        <v>0.9562382853883139</v>
      </c>
      <c r="J30" s="39">
        <v>0.94278946888949622</v>
      </c>
      <c r="K30" s="38">
        <v>1.0703245749613601</v>
      </c>
      <c r="L30" s="254">
        <v>1.0538458784832894</v>
      </c>
    </row>
    <row r="31" spans="1:12" x14ac:dyDescent="0.2">
      <c r="A31" s="142"/>
      <c r="B31" s="236" t="s">
        <v>1</v>
      </c>
      <c r="C31" s="171">
        <v>5815</v>
      </c>
      <c r="D31" s="170">
        <v>5110</v>
      </c>
      <c r="E31" s="169">
        <v>705</v>
      </c>
      <c r="F31" s="171">
        <v>6242</v>
      </c>
      <c r="G31" s="228">
        <v>5593</v>
      </c>
      <c r="H31" s="227">
        <v>649</v>
      </c>
      <c r="I31" s="40">
        <v>0.93159243832105099</v>
      </c>
      <c r="J31" s="39">
        <v>0.91364205256570719</v>
      </c>
      <c r="K31" s="38">
        <v>1.0862865947611711</v>
      </c>
      <c r="L31" s="254"/>
    </row>
    <row r="32" spans="1:12" x14ac:dyDescent="0.2">
      <c r="A32" s="164"/>
      <c r="B32" s="235" t="s">
        <v>0</v>
      </c>
      <c r="C32" s="162">
        <v>5919</v>
      </c>
      <c r="D32" s="161">
        <v>5239</v>
      </c>
      <c r="E32" s="160">
        <v>680</v>
      </c>
      <c r="F32" s="162">
        <v>6029</v>
      </c>
      <c r="G32" s="225">
        <v>5384</v>
      </c>
      <c r="H32" s="224">
        <v>645</v>
      </c>
      <c r="I32" s="30">
        <v>0.98175485155083764</v>
      </c>
      <c r="J32" s="29">
        <v>0.97306835066864783</v>
      </c>
      <c r="K32" s="28">
        <v>1.054263565891473</v>
      </c>
      <c r="L32" s="253"/>
    </row>
    <row r="33" spans="1:12" x14ac:dyDescent="0.2">
      <c r="A33" s="181" t="s">
        <v>8</v>
      </c>
      <c r="B33" s="236" t="s">
        <v>2</v>
      </c>
      <c r="C33" s="171">
        <v>6817</v>
      </c>
      <c r="D33" s="178">
        <v>6350</v>
      </c>
      <c r="E33" s="177">
        <v>467</v>
      </c>
      <c r="F33" s="171">
        <v>7299</v>
      </c>
      <c r="G33" s="233">
        <v>6828</v>
      </c>
      <c r="H33" s="232">
        <v>471</v>
      </c>
      <c r="I33" s="46">
        <v>0.93396355665159614</v>
      </c>
      <c r="J33" s="39">
        <v>0.92999414176918571</v>
      </c>
      <c r="K33" s="38">
        <v>0.99150743099787686</v>
      </c>
      <c r="L33" s="254">
        <v>1.0474805675285583</v>
      </c>
    </row>
    <row r="34" spans="1:12" x14ac:dyDescent="0.2">
      <c r="A34" s="142"/>
      <c r="B34" s="236" t="s">
        <v>1</v>
      </c>
      <c r="C34" s="171">
        <v>3357</v>
      </c>
      <c r="D34" s="170">
        <v>3136</v>
      </c>
      <c r="E34" s="169">
        <v>221</v>
      </c>
      <c r="F34" s="171">
        <v>3679</v>
      </c>
      <c r="G34" s="228">
        <v>3448</v>
      </c>
      <c r="H34" s="227">
        <v>231</v>
      </c>
      <c r="I34" s="40">
        <v>0.91247621636314213</v>
      </c>
      <c r="J34" s="39">
        <v>0.90951276102088163</v>
      </c>
      <c r="K34" s="38">
        <v>0.95670995670995673</v>
      </c>
      <c r="L34" s="254"/>
    </row>
    <row r="35" spans="1:12" x14ac:dyDescent="0.2">
      <c r="A35" s="164"/>
      <c r="B35" s="235" t="s">
        <v>0</v>
      </c>
      <c r="C35" s="162">
        <v>3460</v>
      </c>
      <c r="D35" s="161">
        <v>3214</v>
      </c>
      <c r="E35" s="160">
        <v>246</v>
      </c>
      <c r="F35" s="162">
        <v>3620</v>
      </c>
      <c r="G35" s="225">
        <v>3380</v>
      </c>
      <c r="H35" s="224">
        <v>240</v>
      </c>
      <c r="I35" s="30">
        <v>0.95580110497237569</v>
      </c>
      <c r="J35" s="29">
        <v>0.95088757396449708</v>
      </c>
      <c r="K35" s="28">
        <v>1.0249999999999999</v>
      </c>
      <c r="L35" s="253"/>
    </row>
    <row r="36" spans="1:12" x14ac:dyDescent="0.2">
      <c r="A36" s="181" t="s">
        <v>7</v>
      </c>
      <c r="B36" s="236" t="s">
        <v>2</v>
      </c>
      <c r="C36" s="171">
        <v>9246</v>
      </c>
      <c r="D36" s="178">
        <v>8485</v>
      </c>
      <c r="E36" s="177">
        <v>761</v>
      </c>
      <c r="F36" s="171">
        <v>10075</v>
      </c>
      <c r="G36" s="233">
        <v>9324</v>
      </c>
      <c r="H36" s="232">
        <v>751</v>
      </c>
      <c r="I36" s="46">
        <v>0.91771712158808938</v>
      </c>
      <c r="J36" s="39">
        <v>0.91001716001716004</v>
      </c>
      <c r="K36" s="38">
        <v>1.0133155792276964</v>
      </c>
      <c r="L36" s="254">
        <v>1.0838982866201736</v>
      </c>
    </row>
    <row r="37" spans="1:12" x14ac:dyDescent="0.2">
      <c r="A37" s="142"/>
      <c r="B37" s="236" t="s">
        <v>1</v>
      </c>
      <c r="C37" s="171">
        <v>4441</v>
      </c>
      <c r="D37" s="170">
        <v>4056</v>
      </c>
      <c r="E37" s="169">
        <v>385</v>
      </c>
      <c r="F37" s="171">
        <v>5042</v>
      </c>
      <c r="G37" s="228">
        <v>4655</v>
      </c>
      <c r="H37" s="227">
        <v>387</v>
      </c>
      <c r="I37" s="40">
        <v>0.88080126933756442</v>
      </c>
      <c r="J37" s="39">
        <v>0.87132116004296456</v>
      </c>
      <c r="K37" s="38">
        <v>0.9948320413436692</v>
      </c>
      <c r="L37" s="254"/>
    </row>
    <row r="38" spans="1:12" x14ac:dyDescent="0.2">
      <c r="A38" s="164"/>
      <c r="B38" s="235" t="s">
        <v>0</v>
      </c>
      <c r="C38" s="162">
        <v>4805</v>
      </c>
      <c r="D38" s="161">
        <v>4429</v>
      </c>
      <c r="E38" s="160">
        <v>376</v>
      </c>
      <c r="F38" s="162">
        <v>5033</v>
      </c>
      <c r="G38" s="225">
        <v>4669</v>
      </c>
      <c r="H38" s="224">
        <v>364</v>
      </c>
      <c r="I38" s="30">
        <v>0.95469898668786013</v>
      </c>
      <c r="J38" s="29">
        <v>0.94859713000642532</v>
      </c>
      <c r="K38" s="28">
        <v>1.0329670329670331</v>
      </c>
      <c r="L38" s="253"/>
    </row>
    <row r="39" spans="1:12" s="203" customFormat="1" x14ac:dyDescent="0.2">
      <c r="A39" s="181" t="s">
        <v>5</v>
      </c>
      <c r="B39" s="236" t="s">
        <v>2</v>
      </c>
      <c r="C39" s="171">
        <v>12761</v>
      </c>
      <c r="D39" s="170">
        <v>10549</v>
      </c>
      <c r="E39" s="169">
        <v>2212</v>
      </c>
      <c r="F39" s="171">
        <v>13278</v>
      </c>
      <c r="G39" s="233">
        <v>11068</v>
      </c>
      <c r="H39" s="232">
        <v>2210</v>
      </c>
      <c r="I39" s="46">
        <v>0.96106341316463317</v>
      </c>
      <c r="J39" s="39">
        <v>0.95310805926996744</v>
      </c>
      <c r="K39" s="38">
        <v>1.0009049773755656</v>
      </c>
      <c r="L39" s="254">
        <v>1.0482523021219559</v>
      </c>
    </row>
    <row r="40" spans="1:12" s="203" customFormat="1" x14ac:dyDescent="0.2">
      <c r="A40" s="142"/>
      <c r="B40" s="236" t="s">
        <v>1</v>
      </c>
      <c r="C40" s="171">
        <v>6383</v>
      </c>
      <c r="D40" s="170">
        <v>5305</v>
      </c>
      <c r="E40" s="169">
        <v>1078</v>
      </c>
      <c r="F40" s="171">
        <v>6798</v>
      </c>
      <c r="G40" s="228">
        <v>5697</v>
      </c>
      <c r="H40" s="227">
        <v>1101</v>
      </c>
      <c r="I40" s="40">
        <v>0.93895263312739041</v>
      </c>
      <c r="J40" s="39">
        <v>0.93119185536247151</v>
      </c>
      <c r="K40" s="38">
        <v>0.97910990009082655</v>
      </c>
      <c r="L40" s="254"/>
    </row>
    <row r="41" spans="1:12" s="203" customFormat="1" x14ac:dyDescent="0.2">
      <c r="A41" s="164"/>
      <c r="B41" s="235" t="s">
        <v>0</v>
      </c>
      <c r="C41" s="171">
        <v>6378</v>
      </c>
      <c r="D41" s="161">
        <v>5244</v>
      </c>
      <c r="E41" s="160">
        <v>1134</v>
      </c>
      <c r="F41" s="171">
        <v>6480</v>
      </c>
      <c r="G41" s="225">
        <v>5371</v>
      </c>
      <c r="H41" s="224">
        <v>1109</v>
      </c>
      <c r="I41" s="30">
        <v>0.98425925925925928</v>
      </c>
      <c r="J41" s="29">
        <v>0.9763544963693912</v>
      </c>
      <c r="K41" s="28">
        <v>1.0225428313796212</v>
      </c>
      <c r="L41" s="253"/>
    </row>
    <row r="42" spans="1:12" x14ac:dyDescent="0.2">
      <c r="A42" s="181" t="s">
        <v>4</v>
      </c>
      <c r="B42" s="237" t="s">
        <v>2</v>
      </c>
      <c r="C42" s="179">
        <v>17707</v>
      </c>
      <c r="D42" s="178">
        <v>15301</v>
      </c>
      <c r="E42" s="177">
        <v>2406</v>
      </c>
      <c r="F42" s="179">
        <v>18347</v>
      </c>
      <c r="G42" s="233">
        <v>16006</v>
      </c>
      <c r="H42" s="232">
        <v>2341</v>
      </c>
      <c r="I42" s="46">
        <v>0.96511691284678691</v>
      </c>
      <c r="J42" s="39">
        <v>0.95595401724353368</v>
      </c>
      <c r="K42" s="38">
        <v>1.0277659120034173</v>
      </c>
      <c r="L42" s="254">
        <v>1.0286345087315629</v>
      </c>
    </row>
    <row r="43" spans="1:12" x14ac:dyDescent="0.2">
      <c r="A43" s="142"/>
      <c r="B43" s="236" t="s">
        <v>1</v>
      </c>
      <c r="C43" s="171">
        <v>8840</v>
      </c>
      <c r="D43" s="170">
        <v>7663</v>
      </c>
      <c r="E43" s="169">
        <v>1177</v>
      </c>
      <c r="F43" s="171">
        <v>9289</v>
      </c>
      <c r="G43" s="228">
        <v>8149</v>
      </c>
      <c r="H43" s="227">
        <v>1140</v>
      </c>
      <c r="I43" s="40">
        <v>0.9516632576165357</v>
      </c>
      <c r="J43" s="39">
        <v>0.94036078046386062</v>
      </c>
      <c r="K43" s="38">
        <v>1.0324561403508772</v>
      </c>
      <c r="L43" s="254"/>
    </row>
    <row r="44" spans="1:12" x14ac:dyDescent="0.2">
      <c r="A44" s="164"/>
      <c r="B44" s="235" t="s">
        <v>0</v>
      </c>
      <c r="C44" s="162">
        <v>8867</v>
      </c>
      <c r="D44" s="161">
        <v>7638</v>
      </c>
      <c r="E44" s="160">
        <v>1229</v>
      </c>
      <c r="F44" s="162">
        <v>9058</v>
      </c>
      <c r="G44" s="225">
        <v>7857</v>
      </c>
      <c r="H44" s="224">
        <v>1201</v>
      </c>
      <c r="I44" s="30">
        <v>0.97891366747626407</v>
      </c>
      <c r="J44" s="29">
        <v>0.97212676594119896</v>
      </c>
      <c r="K44" s="28">
        <v>1.0233139050791007</v>
      </c>
      <c r="L44" s="253"/>
    </row>
    <row r="45" spans="1:12" ht="12" customHeight="1" x14ac:dyDescent="0.2">
      <c r="A45" s="155" t="s">
        <v>3</v>
      </c>
      <c r="B45" s="234" t="s">
        <v>2</v>
      </c>
      <c r="C45" s="114">
        <v>300986</v>
      </c>
      <c r="D45" s="115">
        <v>267381</v>
      </c>
      <c r="E45" s="116">
        <v>33605</v>
      </c>
      <c r="F45" s="114">
        <v>322360</v>
      </c>
      <c r="G45" s="117">
        <v>289125</v>
      </c>
      <c r="H45" s="122">
        <v>33235</v>
      </c>
      <c r="I45" s="222">
        <v>0.93369524754932376</v>
      </c>
      <c r="J45" s="20">
        <v>0.92479377431906618</v>
      </c>
      <c r="K45" s="19">
        <v>1.0111328418835566</v>
      </c>
      <c r="L45" s="252">
        <v>1.046285485472161</v>
      </c>
    </row>
    <row r="46" spans="1:12" x14ac:dyDescent="0.2">
      <c r="A46" s="155"/>
      <c r="B46" s="154" t="s">
        <v>1</v>
      </c>
      <c r="C46" s="114">
        <v>149265</v>
      </c>
      <c r="D46" s="115">
        <v>132611</v>
      </c>
      <c r="E46" s="116">
        <v>16654</v>
      </c>
      <c r="F46" s="114">
        <v>163511</v>
      </c>
      <c r="G46" s="117">
        <v>147018</v>
      </c>
      <c r="H46" s="122">
        <v>16493</v>
      </c>
      <c r="I46" s="21">
        <v>0.91287436319269044</v>
      </c>
      <c r="J46" s="20">
        <v>0.90200519664258794</v>
      </c>
      <c r="K46" s="19">
        <v>1.0097617170920996</v>
      </c>
      <c r="L46" s="252"/>
    </row>
    <row r="47" spans="1:12" ht="12" thickBot="1" x14ac:dyDescent="0.25">
      <c r="A47" s="150"/>
      <c r="B47" s="149" t="s">
        <v>0</v>
      </c>
      <c r="C47" s="118">
        <v>151721</v>
      </c>
      <c r="D47" s="119">
        <v>134770</v>
      </c>
      <c r="E47" s="120">
        <v>16951</v>
      </c>
      <c r="F47" s="118">
        <v>158849</v>
      </c>
      <c r="G47" s="121">
        <v>142107</v>
      </c>
      <c r="H47" s="123">
        <v>16742</v>
      </c>
      <c r="I47" s="12">
        <v>0.95512719626815401</v>
      </c>
      <c r="J47" s="11">
        <v>0.94836989029393348</v>
      </c>
      <c r="K47" s="10">
        <v>1.0124835742444152</v>
      </c>
      <c r="L47" s="251"/>
    </row>
  </sheetData>
  <sheetProtection algorithmName="SHA-512" hashValue="H97LNZRFeF/9DH4+TyrjSIoUsojVeotNRtBwxT6e8wxcfOhptDWMV25tR5xVz+1sntpxnCleLdWkyXBw8uIpug==" saltValue="LJq6RUUZpP95BgQOhW68tw==" spinCount="100000" sheet="1" objects="1" scenarios="1"/>
  <mergeCells count="11">
    <mergeCell ref="A7:L7"/>
    <mergeCell ref="A1:L1"/>
    <mergeCell ref="A2:L2"/>
    <mergeCell ref="A3:L3"/>
    <mergeCell ref="A4:L4"/>
    <mergeCell ref="A5:L5"/>
    <mergeCell ref="A8:B9"/>
    <mergeCell ref="C8:E8"/>
    <mergeCell ref="F8:H8"/>
    <mergeCell ref="I8:K8"/>
    <mergeCell ref="L8:L9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>&amp;L&amp;8Prepared by RSD-OPS
&amp;D
&amp;Z&amp;F; &amp;A</oddFooter>
  </headerFooter>
  <picture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9FB25-03D7-4945-A390-9651ABF24F18}">
  <dimension ref="A1:L47"/>
  <sheetViews>
    <sheetView showGridLines="0" zoomScaleNormal="75" workbookViewId="0">
      <pane xSplit="2" ySplit="9" topLeftCell="C10" activePane="bottomRight" state="frozen"/>
      <selection activeCell="A9" sqref="A9:A12"/>
      <selection pane="topRight" activeCell="A9" sqref="A9:A12"/>
      <selection pane="bottomLeft" activeCell="A9" sqref="A9:A12"/>
      <selection pane="bottomRight" activeCell="A8" sqref="A8:B12"/>
    </sheetView>
  </sheetViews>
  <sheetFormatPr defaultRowHeight="11.25" x14ac:dyDescent="0.2"/>
  <cols>
    <col min="1" max="1" width="23.85546875" style="145" customWidth="1"/>
    <col min="2" max="2" width="10.7109375" style="143" customWidth="1"/>
    <col min="3" max="8" width="10.7109375" style="110" customWidth="1"/>
    <col min="9" max="9" width="9.7109375" style="219" bestFit="1" customWidth="1"/>
    <col min="10" max="11" width="9.7109375" style="219" customWidth="1"/>
    <col min="12" max="12" width="11.140625" style="218" customWidth="1"/>
    <col min="13" max="244" width="8.7109375" style="143"/>
    <col min="245" max="245" width="23.85546875" style="143" customWidth="1"/>
    <col min="246" max="252" width="10.7109375" style="143" customWidth="1"/>
    <col min="253" max="253" width="9.7109375" style="143" bestFit="1" customWidth="1"/>
    <col min="254" max="254" width="11.140625" style="143" customWidth="1"/>
    <col min="255" max="255" width="8.7109375" style="143"/>
    <col min="256" max="264" width="8.7109375" style="143" customWidth="1"/>
    <col min="265" max="500" width="8.7109375" style="143"/>
    <col min="501" max="501" width="23.85546875" style="143" customWidth="1"/>
    <col min="502" max="508" width="10.7109375" style="143" customWidth="1"/>
    <col min="509" max="509" width="9.7109375" style="143" bestFit="1" customWidth="1"/>
    <col min="510" max="510" width="11.140625" style="143" customWidth="1"/>
    <col min="511" max="511" width="8.7109375" style="143"/>
    <col min="512" max="520" width="8.7109375" style="143" customWidth="1"/>
    <col min="521" max="756" width="8.7109375" style="143"/>
    <col min="757" max="757" width="23.85546875" style="143" customWidth="1"/>
    <col min="758" max="764" width="10.7109375" style="143" customWidth="1"/>
    <col min="765" max="765" width="9.7109375" style="143" bestFit="1" customWidth="1"/>
    <col min="766" max="766" width="11.140625" style="143" customWidth="1"/>
    <col min="767" max="767" width="8.7109375" style="143"/>
    <col min="768" max="776" width="8.7109375" style="143" customWidth="1"/>
    <col min="777" max="1012" width="8.7109375" style="143"/>
    <col min="1013" max="1013" width="23.85546875" style="143" customWidth="1"/>
    <col min="1014" max="1020" width="10.7109375" style="143" customWidth="1"/>
    <col min="1021" max="1021" width="9.7109375" style="143" bestFit="1" customWidth="1"/>
    <col min="1022" max="1022" width="11.140625" style="143" customWidth="1"/>
    <col min="1023" max="1023" width="8.7109375" style="143"/>
    <col min="1024" max="1032" width="8.7109375" style="143" customWidth="1"/>
    <col min="1033" max="1268" width="8.7109375" style="143"/>
    <col min="1269" max="1269" width="23.85546875" style="143" customWidth="1"/>
    <col min="1270" max="1276" width="10.7109375" style="143" customWidth="1"/>
    <col min="1277" max="1277" width="9.7109375" style="143" bestFit="1" customWidth="1"/>
    <col min="1278" max="1278" width="11.140625" style="143" customWidth="1"/>
    <col min="1279" max="1279" width="8.7109375" style="143"/>
    <col min="1280" max="1288" width="8.7109375" style="143" customWidth="1"/>
    <col min="1289" max="1524" width="8.7109375" style="143"/>
    <col min="1525" max="1525" width="23.85546875" style="143" customWidth="1"/>
    <col min="1526" max="1532" width="10.7109375" style="143" customWidth="1"/>
    <col min="1533" max="1533" width="9.7109375" style="143" bestFit="1" customWidth="1"/>
    <col min="1534" max="1534" width="11.140625" style="143" customWidth="1"/>
    <col min="1535" max="1535" width="8.7109375" style="143"/>
    <col min="1536" max="1544" width="8.7109375" style="143" customWidth="1"/>
    <col min="1545" max="1780" width="8.7109375" style="143"/>
    <col min="1781" max="1781" width="23.85546875" style="143" customWidth="1"/>
    <col min="1782" max="1788" width="10.7109375" style="143" customWidth="1"/>
    <col min="1789" max="1789" width="9.7109375" style="143" bestFit="1" customWidth="1"/>
    <col min="1790" max="1790" width="11.140625" style="143" customWidth="1"/>
    <col min="1791" max="1791" width="8.7109375" style="143"/>
    <col min="1792" max="1800" width="8.7109375" style="143" customWidth="1"/>
    <col min="1801" max="2036" width="8.7109375" style="143"/>
    <col min="2037" max="2037" width="23.85546875" style="143" customWidth="1"/>
    <col min="2038" max="2044" width="10.7109375" style="143" customWidth="1"/>
    <col min="2045" max="2045" width="9.7109375" style="143" bestFit="1" customWidth="1"/>
    <col min="2046" max="2046" width="11.140625" style="143" customWidth="1"/>
    <col min="2047" max="2047" width="8.7109375" style="143"/>
    <col min="2048" max="2056" width="8.7109375" style="143" customWidth="1"/>
    <col min="2057" max="2292" width="8.7109375" style="143"/>
    <col min="2293" max="2293" width="23.85546875" style="143" customWidth="1"/>
    <col min="2294" max="2300" width="10.7109375" style="143" customWidth="1"/>
    <col min="2301" max="2301" width="9.7109375" style="143" bestFit="1" customWidth="1"/>
    <col min="2302" max="2302" width="11.140625" style="143" customWidth="1"/>
    <col min="2303" max="2303" width="8.7109375" style="143"/>
    <col min="2304" max="2312" width="8.7109375" style="143" customWidth="1"/>
    <col min="2313" max="2548" width="8.7109375" style="143"/>
    <col min="2549" max="2549" width="23.85546875" style="143" customWidth="1"/>
    <col min="2550" max="2556" width="10.7109375" style="143" customWidth="1"/>
    <col min="2557" max="2557" width="9.7109375" style="143" bestFit="1" customWidth="1"/>
    <col min="2558" max="2558" width="11.140625" style="143" customWidth="1"/>
    <col min="2559" max="2559" width="8.7109375" style="143"/>
    <col min="2560" max="2568" width="8.7109375" style="143" customWidth="1"/>
    <col min="2569" max="2804" width="8.7109375" style="143"/>
    <col min="2805" max="2805" width="23.85546875" style="143" customWidth="1"/>
    <col min="2806" max="2812" width="10.7109375" style="143" customWidth="1"/>
    <col min="2813" max="2813" width="9.7109375" style="143" bestFit="1" customWidth="1"/>
    <col min="2814" max="2814" width="11.140625" style="143" customWidth="1"/>
    <col min="2815" max="2815" width="8.7109375" style="143"/>
    <col min="2816" max="2824" width="8.7109375" style="143" customWidth="1"/>
    <col min="2825" max="3060" width="8.7109375" style="143"/>
    <col min="3061" max="3061" width="23.85546875" style="143" customWidth="1"/>
    <col min="3062" max="3068" width="10.7109375" style="143" customWidth="1"/>
    <col min="3069" max="3069" width="9.7109375" style="143" bestFit="1" customWidth="1"/>
    <col min="3070" max="3070" width="11.140625" style="143" customWidth="1"/>
    <col min="3071" max="3071" width="8.7109375" style="143"/>
    <col min="3072" max="3080" width="8.7109375" style="143" customWidth="1"/>
    <col min="3081" max="3316" width="8.7109375" style="143"/>
    <col min="3317" max="3317" width="23.85546875" style="143" customWidth="1"/>
    <col min="3318" max="3324" width="10.7109375" style="143" customWidth="1"/>
    <col min="3325" max="3325" width="9.7109375" style="143" bestFit="1" customWidth="1"/>
    <col min="3326" max="3326" width="11.140625" style="143" customWidth="1"/>
    <col min="3327" max="3327" width="8.7109375" style="143"/>
    <col min="3328" max="3336" width="8.7109375" style="143" customWidth="1"/>
    <col min="3337" max="3572" width="8.7109375" style="143"/>
    <col min="3573" max="3573" width="23.85546875" style="143" customWidth="1"/>
    <col min="3574" max="3580" width="10.7109375" style="143" customWidth="1"/>
    <col min="3581" max="3581" width="9.7109375" style="143" bestFit="1" customWidth="1"/>
    <col min="3582" max="3582" width="11.140625" style="143" customWidth="1"/>
    <col min="3583" max="3583" width="8.7109375" style="143"/>
    <col min="3584" max="3592" width="8.7109375" style="143" customWidth="1"/>
    <col min="3593" max="3828" width="8.7109375" style="143"/>
    <col min="3829" max="3829" width="23.85546875" style="143" customWidth="1"/>
    <col min="3830" max="3836" width="10.7109375" style="143" customWidth="1"/>
    <col min="3837" max="3837" width="9.7109375" style="143" bestFit="1" customWidth="1"/>
    <col min="3838" max="3838" width="11.140625" style="143" customWidth="1"/>
    <col min="3839" max="3839" width="8.7109375" style="143"/>
    <col min="3840" max="3848" width="8.7109375" style="143" customWidth="1"/>
    <col min="3849" max="4084" width="8.7109375" style="143"/>
    <col min="4085" max="4085" width="23.85546875" style="143" customWidth="1"/>
    <col min="4086" max="4092" width="10.7109375" style="143" customWidth="1"/>
    <col min="4093" max="4093" width="9.7109375" style="143" bestFit="1" customWidth="1"/>
    <col min="4094" max="4094" width="11.140625" style="143" customWidth="1"/>
    <col min="4095" max="4095" width="8.7109375" style="143"/>
    <col min="4096" max="4104" width="8.7109375" style="143" customWidth="1"/>
    <col min="4105" max="4340" width="8.7109375" style="143"/>
    <col min="4341" max="4341" width="23.85546875" style="143" customWidth="1"/>
    <col min="4342" max="4348" width="10.7109375" style="143" customWidth="1"/>
    <col min="4349" max="4349" width="9.7109375" style="143" bestFit="1" customWidth="1"/>
    <col min="4350" max="4350" width="11.140625" style="143" customWidth="1"/>
    <col min="4351" max="4351" width="8.7109375" style="143"/>
    <col min="4352" max="4360" width="8.7109375" style="143" customWidth="1"/>
    <col min="4361" max="4596" width="8.7109375" style="143"/>
    <col min="4597" max="4597" width="23.85546875" style="143" customWidth="1"/>
    <col min="4598" max="4604" width="10.7109375" style="143" customWidth="1"/>
    <col min="4605" max="4605" width="9.7109375" style="143" bestFit="1" customWidth="1"/>
    <col min="4606" max="4606" width="11.140625" style="143" customWidth="1"/>
    <col min="4607" max="4607" width="8.7109375" style="143"/>
    <col min="4608" max="4616" width="8.7109375" style="143" customWidth="1"/>
    <col min="4617" max="4852" width="8.7109375" style="143"/>
    <col min="4853" max="4853" width="23.85546875" style="143" customWidth="1"/>
    <col min="4854" max="4860" width="10.7109375" style="143" customWidth="1"/>
    <col min="4861" max="4861" width="9.7109375" style="143" bestFit="1" customWidth="1"/>
    <col min="4862" max="4862" width="11.140625" style="143" customWidth="1"/>
    <col min="4863" max="4863" width="8.7109375" style="143"/>
    <col min="4864" max="4872" width="8.7109375" style="143" customWidth="1"/>
    <col min="4873" max="5108" width="8.7109375" style="143"/>
    <col min="5109" max="5109" width="23.85546875" style="143" customWidth="1"/>
    <col min="5110" max="5116" width="10.7109375" style="143" customWidth="1"/>
    <col min="5117" max="5117" width="9.7109375" style="143" bestFit="1" customWidth="1"/>
    <col min="5118" max="5118" width="11.140625" style="143" customWidth="1"/>
    <col min="5119" max="5119" width="8.7109375" style="143"/>
    <col min="5120" max="5128" width="8.7109375" style="143" customWidth="1"/>
    <col min="5129" max="5364" width="8.7109375" style="143"/>
    <col min="5365" max="5365" width="23.85546875" style="143" customWidth="1"/>
    <col min="5366" max="5372" width="10.7109375" style="143" customWidth="1"/>
    <col min="5373" max="5373" width="9.7109375" style="143" bestFit="1" customWidth="1"/>
    <col min="5374" max="5374" width="11.140625" style="143" customWidth="1"/>
    <col min="5375" max="5375" width="8.7109375" style="143"/>
    <col min="5376" max="5384" width="8.7109375" style="143" customWidth="1"/>
    <col min="5385" max="5620" width="8.7109375" style="143"/>
    <col min="5621" max="5621" width="23.85546875" style="143" customWidth="1"/>
    <col min="5622" max="5628" width="10.7109375" style="143" customWidth="1"/>
    <col min="5629" max="5629" width="9.7109375" style="143" bestFit="1" customWidth="1"/>
    <col min="5630" max="5630" width="11.140625" style="143" customWidth="1"/>
    <col min="5631" max="5631" width="8.7109375" style="143"/>
    <col min="5632" max="5640" width="8.7109375" style="143" customWidth="1"/>
    <col min="5641" max="5876" width="8.7109375" style="143"/>
    <col min="5877" max="5877" width="23.85546875" style="143" customWidth="1"/>
    <col min="5878" max="5884" width="10.7109375" style="143" customWidth="1"/>
    <col min="5885" max="5885" width="9.7109375" style="143" bestFit="1" customWidth="1"/>
    <col min="5886" max="5886" width="11.140625" style="143" customWidth="1"/>
    <col min="5887" max="5887" width="8.7109375" style="143"/>
    <col min="5888" max="5896" width="8.7109375" style="143" customWidth="1"/>
    <col min="5897" max="6132" width="8.7109375" style="143"/>
    <col min="6133" max="6133" width="23.85546875" style="143" customWidth="1"/>
    <col min="6134" max="6140" width="10.7109375" style="143" customWidth="1"/>
    <col min="6141" max="6141" width="9.7109375" style="143" bestFit="1" customWidth="1"/>
    <col min="6142" max="6142" width="11.140625" style="143" customWidth="1"/>
    <col min="6143" max="6143" width="8.7109375" style="143"/>
    <col min="6144" max="6152" width="8.7109375" style="143" customWidth="1"/>
    <col min="6153" max="6388" width="8.7109375" style="143"/>
    <col min="6389" max="6389" width="23.85546875" style="143" customWidth="1"/>
    <col min="6390" max="6396" width="10.7109375" style="143" customWidth="1"/>
    <col min="6397" max="6397" width="9.7109375" style="143" bestFit="1" customWidth="1"/>
    <col min="6398" max="6398" width="11.140625" style="143" customWidth="1"/>
    <col min="6399" max="6399" width="8.7109375" style="143"/>
    <col min="6400" max="6408" width="8.7109375" style="143" customWidth="1"/>
    <col min="6409" max="6644" width="8.7109375" style="143"/>
    <col min="6645" max="6645" width="23.85546875" style="143" customWidth="1"/>
    <col min="6646" max="6652" width="10.7109375" style="143" customWidth="1"/>
    <col min="6653" max="6653" width="9.7109375" style="143" bestFit="1" customWidth="1"/>
    <col min="6654" max="6654" width="11.140625" style="143" customWidth="1"/>
    <col min="6655" max="6655" width="8.7109375" style="143"/>
    <col min="6656" max="6664" width="8.7109375" style="143" customWidth="1"/>
    <col min="6665" max="6900" width="8.7109375" style="143"/>
    <col min="6901" max="6901" width="23.85546875" style="143" customWidth="1"/>
    <col min="6902" max="6908" width="10.7109375" style="143" customWidth="1"/>
    <col min="6909" max="6909" width="9.7109375" style="143" bestFit="1" customWidth="1"/>
    <col min="6910" max="6910" width="11.140625" style="143" customWidth="1"/>
    <col min="6911" max="6911" width="8.7109375" style="143"/>
    <col min="6912" max="6920" width="8.7109375" style="143" customWidth="1"/>
    <col min="6921" max="7156" width="8.7109375" style="143"/>
    <col min="7157" max="7157" width="23.85546875" style="143" customWidth="1"/>
    <col min="7158" max="7164" width="10.7109375" style="143" customWidth="1"/>
    <col min="7165" max="7165" width="9.7109375" style="143" bestFit="1" customWidth="1"/>
    <col min="7166" max="7166" width="11.140625" style="143" customWidth="1"/>
    <col min="7167" max="7167" width="8.7109375" style="143"/>
    <col min="7168" max="7176" width="8.7109375" style="143" customWidth="1"/>
    <col min="7177" max="7412" width="8.7109375" style="143"/>
    <col min="7413" max="7413" width="23.85546875" style="143" customWidth="1"/>
    <col min="7414" max="7420" width="10.7109375" style="143" customWidth="1"/>
    <col min="7421" max="7421" width="9.7109375" style="143" bestFit="1" customWidth="1"/>
    <col min="7422" max="7422" width="11.140625" style="143" customWidth="1"/>
    <col min="7423" max="7423" width="8.7109375" style="143"/>
    <col min="7424" max="7432" width="8.7109375" style="143" customWidth="1"/>
    <col min="7433" max="7668" width="8.7109375" style="143"/>
    <col min="7669" max="7669" width="23.85546875" style="143" customWidth="1"/>
    <col min="7670" max="7676" width="10.7109375" style="143" customWidth="1"/>
    <col min="7677" max="7677" width="9.7109375" style="143" bestFit="1" customWidth="1"/>
    <col min="7678" max="7678" width="11.140625" style="143" customWidth="1"/>
    <col min="7679" max="7679" width="8.7109375" style="143"/>
    <col min="7680" max="7688" width="8.7109375" style="143" customWidth="1"/>
    <col min="7689" max="7924" width="8.7109375" style="143"/>
    <col min="7925" max="7925" width="23.85546875" style="143" customWidth="1"/>
    <col min="7926" max="7932" width="10.7109375" style="143" customWidth="1"/>
    <col min="7933" max="7933" width="9.7109375" style="143" bestFit="1" customWidth="1"/>
    <col min="7934" max="7934" width="11.140625" style="143" customWidth="1"/>
    <col min="7935" max="7935" width="8.7109375" style="143"/>
    <col min="7936" max="7944" width="8.7109375" style="143" customWidth="1"/>
    <col min="7945" max="8180" width="8.7109375" style="143"/>
    <col min="8181" max="8181" width="23.85546875" style="143" customWidth="1"/>
    <col min="8182" max="8188" width="10.7109375" style="143" customWidth="1"/>
    <col min="8189" max="8189" width="9.7109375" style="143" bestFit="1" customWidth="1"/>
    <col min="8190" max="8190" width="11.140625" style="143" customWidth="1"/>
    <col min="8191" max="8191" width="8.7109375" style="143"/>
    <col min="8192" max="8200" width="8.7109375" style="143" customWidth="1"/>
    <col min="8201" max="8436" width="8.7109375" style="143"/>
    <col min="8437" max="8437" width="23.85546875" style="143" customWidth="1"/>
    <col min="8438" max="8444" width="10.7109375" style="143" customWidth="1"/>
    <col min="8445" max="8445" width="9.7109375" style="143" bestFit="1" customWidth="1"/>
    <col min="8446" max="8446" width="11.140625" style="143" customWidth="1"/>
    <col min="8447" max="8447" width="8.7109375" style="143"/>
    <col min="8448" max="8456" width="8.7109375" style="143" customWidth="1"/>
    <col min="8457" max="8692" width="8.7109375" style="143"/>
    <col min="8693" max="8693" width="23.85546875" style="143" customWidth="1"/>
    <col min="8694" max="8700" width="10.7109375" style="143" customWidth="1"/>
    <col min="8701" max="8701" width="9.7109375" style="143" bestFit="1" customWidth="1"/>
    <col min="8702" max="8702" width="11.140625" style="143" customWidth="1"/>
    <col min="8703" max="8703" width="8.7109375" style="143"/>
    <col min="8704" max="8712" width="8.7109375" style="143" customWidth="1"/>
    <col min="8713" max="8948" width="8.7109375" style="143"/>
    <col min="8949" max="8949" width="23.85546875" style="143" customWidth="1"/>
    <col min="8950" max="8956" width="10.7109375" style="143" customWidth="1"/>
    <col min="8957" max="8957" width="9.7109375" style="143" bestFit="1" customWidth="1"/>
    <col min="8958" max="8958" width="11.140625" style="143" customWidth="1"/>
    <col min="8959" max="8959" width="8.7109375" style="143"/>
    <col min="8960" max="8968" width="8.7109375" style="143" customWidth="1"/>
    <col min="8969" max="9204" width="8.7109375" style="143"/>
    <col min="9205" max="9205" width="23.85546875" style="143" customWidth="1"/>
    <col min="9206" max="9212" width="10.7109375" style="143" customWidth="1"/>
    <col min="9213" max="9213" width="9.7109375" style="143" bestFit="1" customWidth="1"/>
    <col min="9214" max="9214" width="11.140625" style="143" customWidth="1"/>
    <col min="9215" max="9215" width="8.7109375" style="143"/>
    <col min="9216" max="9224" width="8.7109375" style="143" customWidth="1"/>
    <col min="9225" max="9460" width="8.7109375" style="143"/>
    <col min="9461" max="9461" width="23.85546875" style="143" customWidth="1"/>
    <col min="9462" max="9468" width="10.7109375" style="143" customWidth="1"/>
    <col min="9469" max="9469" width="9.7109375" style="143" bestFit="1" customWidth="1"/>
    <col min="9470" max="9470" width="11.140625" style="143" customWidth="1"/>
    <col min="9471" max="9471" width="8.7109375" style="143"/>
    <col min="9472" max="9480" width="8.7109375" style="143" customWidth="1"/>
    <col min="9481" max="9716" width="8.7109375" style="143"/>
    <col min="9717" max="9717" width="23.85546875" style="143" customWidth="1"/>
    <col min="9718" max="9724" width="10.7109375" style="143" customWidth="1"/>
    <col min="9725" max="9725" width="9.7109375" style="143" bestFit="1" customWidth="1"/>
    <col min="9726" max="9726" width="11.140625" style="143" customWidth="1"/>
    <col min="9727" max="9727" width="8.7109375" style="143"/>
    <col min="9728" max="9736" width="8.7109375" style="143" customWidth="1"/>
    <col min="9737" max="9972" width="8.7109375" style="143"/>
    <col min="9973" max="9973" width="23.85546875" style="143" customWidth="1"/>
    <col min="9974" max="9980" width="10.7109375" style="143" customWidth="1"/>
    <col min="9981" max="9981" width="9.7109375" style="143" bestFit="1" customWidth="1"/>
    <col min="9982" max="9982" width="11.140625" style="143" customWidth="1"/>
    <col min="9983" max="9983" width="8.7109375" style="143"/>
    <col min="9984" max="9992" width="8.7109375" style="143" customWidth="1"/>
    <col min="9993" max="10228" width="8.7109375" style="143"/>
    <col min="10229" max="10229" width="23.85546875" style="143" customWidth="1"/>
    <col min="10230" max="10236" width="10.7109375" style="143" customWidth="1"/>
    <col min="10237" max="10237" width="9.7109375" style="143" bestFit="1" customWidth="1"/>
    <col min="10238" max="10238" width="11.140625" style="143" customWidth="1"/>
    <col min="10239" max="10239" width="8.7109375" style="143"/>
    <col min="10240" max="10248" width="8.7109375" style="143" customWidth="1"/>
    <col min="10249" max="10484" width="8.7109375" style="143"/>
    <col min="10485" max="10485" width="23.85546875" style="143" customWidth="1"/>
    <col min="10486" max="10492" width="10.7109375" style="143" customWidth="1"/>
    <col min="10493" max="10493" width="9.7109375" style="143" bestFit="1" customWidth="1"/>
    <col min="10494" max="10494" width="11.140625" style="143" customWidth="1"/>
    <col min="10495" max="10495" width="8.7109375" style="143"/>
    <col min="10496" max="10504" width="8.7109375" style="143" customWidth="1"/>
    <col min="10505" max="10740" width="8.7109375" style="143"/>
    <col min="10741" max="10741" width="23.85546875" style="143" customWidth="1"/>
    <col min="10742" max="10748" width="10.7109375" style="143" customWidth="1"/>
    <col min="10749" max="10749" width="9.7109375" style="143" bestFit="1" customWidth="1"/>
    <col min="10750" max="10750" width="11.140625" style="143" customWidth="1"/>
    <col min="10751" max="10751" width="8.7109375" style="143"/>
    <col min="10752" max="10760" width="8.7109375" style="143" customWidth="1"/>
    <col min="10761" max="10996" width="8.7109375" style="143"/>
    <col min="10997" max="10997" width="23.85546875" style="143" customWidth="1"/>
    <col min="10998" max="11004" width="10.7109375" style="143" customWidth="1"/>
    <col min="11005" max="11005" width="9.7109375" style="143" bestFit="1" customWidth="1"/>
    <col min="11006" max="11006" width="11.140625" style="143" customWidth="1"/>
    <col min="11007" max="11007" width="8.7109375" style="143"/>
    <col min="11008" max="11016" width="8.7109375" style="143" customWidth="1"/>
    <col min="11017" max="11252" width="8.7109375" style="143"/>
    <col min="11253" max="11253" width="23.85546875" style="143" customWidth="1"/>
    <col min="11254" max="11260" width="10.7109375" style="143" customWidth="1"/>
    <col min="11261" max="11261" width="9.7109375" style="143" bestFit="1" customWidth="1"/>
    <col min="11262" max="11262" width="11.140625" style="143" customWidth="1"/>
    <col min="11263" max="11263" width="8.7109375" style="143"/>
    <col min="11264" max="11272" width="8.7109375" style="143" customWidth="1"/>
    <col min="11273" max="11508" width="8.7109375" style="143"/>
    <col min="11509" max="11509" width="23.85546875" style="143" customWidth="1"/>
    <col min="11510" max="11516" width="10.7109375" style="143" customWidth="1"/>
    <col min="11517" max="11517" width="9.7109375" style="143" bestFit="1" customWidth="1"/>
    <col min="11518" max="11518" width="11.140625" style="143" customWidth="1"/>
    <col min="11519" max="11519" width="8.7109375" style="143"/>
    <col min="11520" max="11528" width="8.7109375" style="143" customWidth="1"/>
    <col min="11529" max="11764" width="8.7109375" style="143"/>
    <col min="11765" max="11765" width="23.85546875" style="143" customWidth="1"/>
    <col min="11766" max="11772" width="10.7109375" style="143" customWidth="1"/>
    <col min="11773" max="11773" width="9.7109375" style="143" bestFit="1" customWidth="1"/>
    <col min="11774" max="11774" width="11.140625" style="143" customWidth="1"/>
    <col min="11775" max="11775" width="8.7109375" style="143"/>
    <col min="11776" max="11784" width="8.7109375" style="143" customWidth="1"/>
    <col min="11785" max="12020" width="8.7109375" style="143"/>
    <col min="12021" max="12021" width="23.85546875" style="143" customWidth="1"/>
    <col min="12022" max="12028" width="10.7109375" style="143" customWidth="1"/>
    <col min="12029" max="12029" width="9.7109375" style="143" bestFit="1" customWidth="1"/>
    <col min="12030" max="12030" width="11.140625" style="143" customWidth="1"/>
    <col min="12031" max="12031" width="8.7109375" style="143"/>
    <col min="12032" max="12040" width="8.7109375" style="143" customWidth="1"/>
    <col min="12041" max="12276" width="8.7109375" style="143"/>
    <col min="12277" max="12277" width="23.85546875" style="143" customWidth="1"/>
    <col min="12278" max="12284" width="10.7109375" style="143" customWidth="1"/>
    <col min="12285" max="12285" width="9.7109375" style="143" bestFit="1" customWidth="1"/>
    <col min="12286" max="12286" width="11.140625" style="143" customWidth="1"/>
    <col min="12287" max="12287" width="8.7109375" style="143"/>
    <col min="12288" max="12296" width="8.7109375" style="143" customWidth="1"/>
    <col min="12297" max="12532" width="8.7109375" style="143"/>
    <col min="12533" max="12533" width="23.85546875" style="143" customWidth="1"/>
    <col min="12534" max="12540" width="10.7109375" style="143" customWidth="1"/>
    <col min="12541" max="12541" width="9.7109375" style="143" bestFit="1" customWidth="1"/>
    <col min="12542" max="12542" width="11.140625" style="143" customWidth="1"/>
    <col min="12543" max="12543" width="8.7109375" style="143"/>
    <col min="12544" max="12552" width="8.7109375" style="143" customWidth="1"/>
    <col min="12553" max="12788" width="8.7109375" style="143"/>
    <col min="12789" max="12789" width="23.85546875" style="143" customWidth="1"/>
    <col min="12790" max="12796" width="10.7109375" style="143" customWidth="1"/>
    <col min="12797" max="12797" width="9.7109375" style="143" bestFit="1" customWidth="1"/>
    <col min="12798" max="12798" width="11.140625" style="143" customWidth="1"/>
    <col min="12799" max="12799" width="8.7109375" style="143"/>
    <col min="12800" max="12808" width="8.7109375" style="143" customWidth="1"/>
    <col min="12809" max="13044" width="8.7109375" style="143"/>
    <col min="13045" max="13045" width="23.85546875" style="143" customWidth="1"/>
    <col min="13046" max="13052" width="10.7109375" style="143" customWidth="1"/>
    <col min="13053" max="13053" width="9.7109375" style="143" bestFit="1" customWidth="1"/>
    <col min="13054" max="13054" width="11.140625" style="143" customWidth="1"/>
    <col min="13055" max="13055" width="8.7109375" style="143"/>
    <col min="13056" max="13064" width="8.7109375" style="143" customWidth="1"/>
    <col min="13065" max="13300" width="8.7109375" style="143"/>
    <col min="13301" max="13301" width="23.85546875" style="143" customWidth="1"/>
    <col min="13302" max="13308" width="10.7109375" style="143" customWidth="1"/>
    <col min="13309" max="13309" width="9.7109375" style="143" bestFit="1" customWidth="1"/>
    <col min="13310" max="13310" width="11.140625" style="143" customWidth="1"/>
    <col min="13311" max="13311" width="8.7109375" style="143"/>
    <col min="13312" max="13320" width="8.7109375" style="143" customWidth="1"/>
    <col min="13321" max="13556" width="8.7109375" style="143"/>
    <col min="13557" max="13557" width="23.85546875" style="143" customWidth="1"/>
    <col min="13558" max="13564" width="10.7109375" style="143" customWidth="1"/>
    <col min="13565" max="13565" width="9.7109375" style="143" bestFit="1" customWidth="1"/>
    <col min="13566" max="13566" width="11.140625" style="143" customWidth="1"/>
    <col min="13567" max="13567" width="8.7109375" style="143"/>
    <col min="13568" max="13576" width="8.7109375" style="143" customWidth="1"/>
    <col min="13577" max="13812" width="8.7109375" style="143"/>
    <col min="13813" max="13813" width="23.85546875" style="143" customWidth="1"/>
    <col min="13814" max="13820" width="10.7109375" style="143" customWidth="1"/>
    <col min="13821" max="13821" width="9.7109375" style="143" bestFit="1" customWidth="1"/>
    <col min="13822" max="13822" width="11.140625" style="143" customWidth="1"/>
    <col min="13823" max="13823" width="8.7109375" style="143"/>
    <col min="13824" max="13832" width="8.7109375" style="143" customWidth="1"/>
    <col min="13833" max="14068" width="8.7109375" style="143"/>
    <col min="14069" max="14069" width="23.85546875" style="143" customWidth="1"/>
    <col min="14070" max="14076" width="10.7109375" style="143" customWidth="1"/>
    <col min="14077" max="14077" width="9.7109375" style="143" bestFit="1" customWidth="1"/>
    <col min="14078" max="14078" width="11.140625" style="143" customWidth="1"/>
    <col min="14079" max="14079" width="8.7109375" style="143"/>
    <col min="14080" max="14088" width="8.7109375" style="143" customWidth="1"/>
    <col min="14089" max="14324" width="8.7109375" style="143"/>
    <col min="14325" max="14325" width="23.85546875" style="143" customWidth="1"/>
    <col min="14326" max="14332" width="10.7109375" style="143" customWidth="1"/>
    <col min="14333" max="14333" width="9.7109375" style="143" bestFit="1" customWidth="1"/>
    <col min="14334" max="14334" width="11.140625" style="143" customWidth="1"/>
    <col min="14335" max="14335" width="8.7109375" style="143"/>
    <col min="14336" max="14344" width="8.7109375" style="143" customWidth="1"/>
    <col min="14345" max="14580" width="8.7109375" style="143"/>
    <col min="14581" max="14581" width="23.85546875" style="143" customWidth="1"/>
    <col min="14582" max="14588" width="10.7109375" style="143" customWidth="1"/>
    <col min="14589" max="14589" width="9.7109375" style="143" bestFit="1" customWidth="1"/>
    <col min="14590" max="14590" width="11.140625" style="143" customWidth="1"/>
    <col min="14591" max="14591" width="8.7109375" style="143"/>
    <col min="14592" max="14600" width="8.7109375" style="143" customWidth="1"/>
    <col min="14601" max="14836" width="8.7109375" style="143"/>
    <col min="14837" max="14837" width="23.85546875" style="143" customWidth="1"/>
    <col min="14838" max="14844" width="10.7109375" style="143" customWidth="1"/>
    <col min="14845" max="14845" width="9.7109375" style="143" bestFit="1" customWidth="1"/>
    <col min="14846" max="14846" width="11.140625" style="143" customWidth="1"/>
    <col min="14847" max="14847" width="8.7109375" style="143"/>
    <col min="14848" max="14856" width="8.7109375" style="143" customWidth="1"/>
    <col min="14857" max="15092" width="8.7109375" style="143"/>
    <col min="15093" max="15093" width="23.85546875" style="143" customWidth="1"/>
    <col min="15094" max="15100" width="10.7109375" style="143" customWidth="1"/>
    <col min="15101" max="15101" width="9.7109375" style="143" bestFit="1" customWidth="1"/>
    <col min="15102" max="15102" width="11.140625" style="143" customWidth="1"/>
    <col min="15103" max="15103" width="8.7109375" style="143"/>
    <col min="15104" max="15112" width="8.7109375" style="143" customWidth="1"/>
    <col min="15113" max="15348" width="8.7109375" style="143"/>
    <col min="15349" max="15349" width="23.85546875" style="143" customWidth="1"/>
    <col min="15350" max="15356" width="10.7109375" style="143" customWidth="1"/>
    <col min="15357" max="15357" width="9.7109375" style="143" bestFit="1" customWidth="1"/>
    <col min="15358" max="15358" width="11.140625" style="143" customWidth="1"/>
    <col min="15359" max="15359" width="8.7109375" style="143"/>
    <col min="15360" max="15368" width="8.7109375" style="143" customWidth="1"/>
    <col min="15369" max="15604" width="8.7109375" style="143"/>
    <col min="15605" max="15605" width="23.85546875" style="143" customWidth="1"/>
    <col min="15606" max="15612" width="10.7109375" style="143" customWidth="1"/>
    <col min="15613" max="15613" width="9.7109375" style="143" bestFit="1" customWidth="1"/>
    <col min="15614" max="15614" width="11.140625" style="143" customWidth="1"/>
    <col min="15615" max="15615" width="8.7109375" style="143"/>
    <col min="15616" max="15624" width="8.7109375" style="143" customWidth="1"/>
    <col min="15625" max="15860" width="8.7109375" style="143"/>
    <col min="15861" max="15861" width="23.85546875" style="143" customWidth="1"/>
    <col min="15862" max="15868" width="10.7109375" style="143" customWidth="1"/>
    <col min="15869" max="15869" width="9.7109375" style="143" bestFit="1" customWidth="1"/>
    <col min="15870" max="15870" width="11.140625" style="143" customWidth="1"/>
    <col min="15871" max="15871" width="8.7109375" style="143"/>
    <col min="15872" max="15880" width="8.7109375" style="143" customWidth="1"/>
    <col min="15881" max="16116" width="8.7109375" style="143"/>
    <col min="16117" max="16117" width="23.85546875" style="143" customWidth="1"/>
    <col min="16118" max="16124" width="10.7109375" style="143" customWidth="1"/>
    <col min="16125" max="16125" width="9.7109375" style="143" bestFit="1" customWidth="1"/>
    <col min="16126" max="16126" width="11.140625" style="143" customWidth="1"/>
    <col min="16127" max="16127" width="8.7109375" style="143"/>
    <col min="16128" max="16136" width="8.7109375" style="143" customWidth="1"/>
    <col min="16137" max="16381" width="8.7109375" style="143"/>
    <col min="16382" max="16382" width="8.7109375" style="143" customWidth="1"/>
    <col min="16383" max="16384" width="8.7109375" style="143"/>
  </cols>
  <sheetData>
    <row r="1" spans="1:12" x14ac:dyDescent="0.2">
      <c r="A1" s="598" t="s">
        <v>23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599"/>
    </row>
    <row r="2" spans="1:12" x14ac:dyDescent="0.2">
      <c r="A2" s="598" t="s">
        <v>67</v>
      </c>
      <c r="B2" s="599"/>
      <c r="C2" s="599"/>
      <c r="D2" s="599"/>
      <c r="E2" s="599"/>
      <c r="F2" s="599"/>
      <c r="G2" s="599"/>
      <c r="H2" s="599"/>
      <c r="I2" s="599"/>
      <c r="J2" s="599"/>
      <c r="K2" s="599"/>
      <c r="L2" s="599"/>
    </row>
    <row r="3" spans="1:12" x14ac:dyDescent="0.2">
      <c r="A3" s="598" t="s">
        <v>90</v>
      </c>
      <c r="B3" s="599"/>
      <c r="C3" s="599"/>
      <c r="D3" s="599"/>
      <c r="E3" s="599"/>
      <c r="F3" s="599"/>
      <c r="G3" s="599"/>
      <c r="H3" s="599"/>
      <c r="I3" s="599"/>
      <c r="J3" s="599"/>
      <c r="K3" s="599"/>
      <c r="L3" s="599"/>
    </row>
    <row r="4" spans="1:12" x14ac:dyDescent="0.2">
      <c r="A4" s="598" t="s">
        <v>83</v>
      </c>
      <c r="B4" s="599"/>
      <c r="C4" s="599"/>
      <c r="D4" s="599"/>
      <c r="E4" s="599"/>
      <c r="F4" s="599"/>
      <c r="G4" s="599"/>
      <c r="H4" s="599"/>
      <c r="I4" s="599"/>
      <c r="J4" s="599"/>
      <c r="K4" s="599"/>
      <c r="L4" s="599"/>
    </row>
    <row r="5" spans="1:12" x14ac:dyDescent="0.2">
      <c r="A5" s="598" t="s">
        <v>64</v>
      </c>
      <c r="B5" s="599"/>
      <c r="C5" s="599"/>
      <c r="D5" s="599"/>
      <c r="E5" s="599"/>
      <c r="F5" s="599"/>
      <c r="G5" s="599"/>
      <c r="H5" s="599"/>
      <c r="I5" s="599"/>
      <c r="J5" s="599"/>
      <c r="K5" s="599"/>
      <c r="L5" s="599"/>
    </row>
    <row r="6" spans="1:12" x14ac:dyDescent="0.2">
      <c r="A6" s="246"/>
      <c r="C6" s="143"/>
      <c r="D6" s="143"/>
      <c r="E6" s="143"/>
      <c r="F6" s="143"/>
      <c r="G6" s="143"/>
      <c r="H6" s="143"/>
      <c r="I6" s="143"/>
      <c r="J6" s="143"/>
      <c r="K6" s="143"/>
      <c r="L6" s="143"/>
    </row>
    <row r="7" spans="1:12" ht="12" thickBot="1" x14ac:dyDescent="0.25">
      <c r="A7" s="614"/>
      <c r="B7" s="599"/>
      <c r="C7" s="599"/>
      <c r="D7" s="599"/>
      <c r="E7" s="599"/>
      <c r="F7" s="599"/>
      <c r="G7" s="599"/>
      <c r="H7" s="599"/>
      <c r="I7" s="599"/>
      <c r="J7" s="599"/>
      <c r="K7" s="599"/>
      <c r="L7" s="599"/>
    </row>
    <row r="8" spans="1:12" ht="10.5" customHeight="1" x14ac:dyDescent="0.2">
      <c r="A8" s="600" t="s">
        <v>22</v>
      </c>
      <c r="B8" s="601"/>
      <c r="C8" s="606" t="s">
        <v>89</v>
      </c>
      <c r="D8" s="605"/>
      <c r="E8" s="605"/>
      <c r="F8" s="606" t="s">
        <v>88</v>
      </c>
      <c r="G8" s="605"/>
      <c r="H8" s="607"/>
      <c r="I8" s="605" t="s">
        <v>80</v>
      </c>
      <c r="J8" s="605"/>
      <c r="K8" s="607"/>
      <c r="L8" s="612" t="s">
        <v>60</v>
      </c>
    </row>
    <row r="9" spans="1:12" ht="12" thickBot="1" x14ac:dyDescent="0.25">
      <c r="A9" s="602"/>
      <c r="B9" s="603"/>
      <c r="C9" s="241" t="s">
        <v>6</v>
      </c>
      <c r="D9" s="243" t="s">
        <v>17</v>
      </c>
      <c r="E9" s="258" t="s">
        <v>16</v>
      </c>
      <c r="F9" s="241" t="s">
        <v>6</v>
      </c>
      <c r="G9" s="243" t="s">
        <v>17</v>
      </c>
      <c r="H9" s="256" t="s">
        <v>16</v>
      </c>
      <c r="I9" s="257" t="s">
        <v>6</v>
      </c>
      <c r="J9" s="243" t="s">
        <v>17</v>
      </c>
      <c r="K9" s="256" t="s">
        <v>16</v>
      </c>
      <c r="L9" s="613"/>
    </row>
    <row r="10" spans="1:12" x14ac:dyDescent="0.2">
      <c r="A10" s="200" t="s">
        <v>14</v>
      </c>
      <c r="B10" s="196"/>
      <c r="C10" s="79"/>
      <c r="D10" s="130"/>
      <c r="E10" s="140"/>
      <c r="F10" s="79"/>
      <c r="G10" s="130"/>
      <c r="H10" s="140"/>
      <c r="I10" s="79"/>
      <c r="J10" s="77"/>
      <c r="K10" s="76"/>
      <c r="L10" s="78"/>
    </row>
    <row r="11" spans="1:12" ht="12" thickBot="1" x14ac:dyDescent="0.25">
      <c r="A11" s="196"/>
      <c r="B11" s="196"/>
      <c r="C11" s="68"/>
      <c r="D11" s="195"/>
      <c r="E11" s="194"/>
      <c r="F11" s="68"/>
      <c r="G11" s="195"/>
      <c r="H11" s="194"/>
      <c r="I11" s="68"/>
      <c r="J11" s="66"/>
      <c r="K11" s="65"/>
      <c r="L11" s="67"/>
    </row>
    <row r="12" spans="1:12" x14ac:dyDescent="0.2">
      <c r="A12" s="190" t="s">
        <v>13</v>
      </c>
      <c r="B12" s="238" t="s">
        <v>2</v>
      </c>
      <c r="C12" s="188">
        <v>181803</v>
      </c>
      <c r="D12" s="187">
        <v>128372</v>
      </c>
      <c r="E12" s="186">
        <v>53431</v>
      </c>
      <c r="F12" s="188">
        <v>187375</v>
      </c>
      <c r="G12" s="231">
        <v>146362</v>
      </c>
      <c r="H12" s="230">
        <v>41013</v>
      </c>
      <c r="I12" s="54">
        <v>0.97026284189459644</v>
      </c>
      <c r="J12" s="53">
        <v>0.8770855823232806</v>
      </c>
      <c r="K12" s="52">
        <v>1.3027820447175287</v>
      </c>
      <c r="L12" s="255">
        <v>1.0250514174495415</v>
      </c>
    </row>
    <row r="13" spans="1:12" x14ac:dyDescent="0.2">
      <c r="A13" s="142"/>
      <c r="B13" s="236" t="s">
        <v>1</v>
      </c>
      <c r="C13" s="171">
        <v>89955</v>
      </c>
      <c r="D13" s="170">
        <v>64730</v>
      </c>
      <c r="E13" s="169">
        <v>25225</v>
      </c>
      <c r="F13" s="171">
        <v>93871</v>
      </c>
      <c r="G13" s="228">
        <v>74410</v>
      </c>
      <c r="H13" s="227">
        <v>19461</v>
      </c>
      <c r="I13" s="40">
        <v>0.95828317584770595</v>
      </c>
      <c r="J13" s="39">
        <v>0.86990995833893292</v>
      </c>
      <c r="K13" s="38">
        <v>1.2961821078053544</v>
      </c>
      <c r="L13" s="254"/>
    </row>
    <row r="14" spans="1:12" x14ac:dyDescent="0.2">
      <c r="A14" s="164"/>
      <c r="B14" s="235" t="s">
        <v>0</v>
      </c>
      <c r="C14" s="171">
        <v>91848</v>
      </c>
      <c r="D14" s="161">
        <v>63642</v>
      </c>
      <c r="E14" s="160">
        <v>28206</v>
      </c>
      <c r="F14" s="171">
        <v>93504</v>
      </c>
      <c r="G14" s="225">
        <v>71952</v>
      </c>
      <c r="H14" s="224">
        <v>21552</v>
      </c>
      <c r="I14" s="30">
        <v>0.98228952772073919</v>
      </c>
      <c r="J14" s="29">
        <v>0.88450633755837227</v>
      </c>
      <c r="K14" s="28">
        <v>1.3087416481069043</v>
      </c>
      <c r="L14" s="253"/>
    </row>
    <row r="15" spans="1:12" x14ac:dyDescent="0.2">
      <c r="A15" s="181" t="s">
        <v>46</v>
      </c>
      <c r="B15" s="236" t="s">
        <v>2</v>
      </c>
      <c r="C15" s="179">
        <v>73930</v>
      </c>
      <c r="D15" s="178">
        <v>67130</v>
      </c>
      <c r="E15" s="177">
        <v>6800</v>
      </c>
      <c r="F15" s="179">
        <v>79492</v>
      </c>
      <c r="G15" s="233">
        <v>74240</v>
      </c>
      <c r="H15" s="232">
        <v>5252</v>
      </c>
      <c r="I15" s="46">
        <v>0.93003069491269563</v>
      </c>
      <c r="J15" s="39">
        <v>0.90422952586206895</v>
      </c>
      <c r="K15" s="38">
        <v>1.2947448591012947</v>
      </c>
      <c r="L15" s="254">
        <v>1.0380546867036096</v>
      </c>
    </row>
    <row r="16" spans="1:12" x14ac:dyDescent="0.2">
      <c r="A16" s="142"/>
      <c r="B16" s="236" t="s">
        <v>1</v>
      </c>
      <c r="C16" s="171">
        <v>37204</v>
      </c>
      <c r="D16" s="170">
        <v>33761</v>
      </c>
      <c r="E16" s="169">
        <v>3443</v>
      </c>
      <c r="F16" s="171">
        <v>40745</v>
      </c>
      <c r="G16" s="228">
        <v>38052</v>
      </c>
      <c r="H16" s="227">
        <v>2693</v>
      </c>
      <c r="I16" s="40">
        <v>0.91309363112038289</v>
      </c>
      <c r="J16" s="39">
        <v>0.88723325974981604</v>
      </c>
      <c r="K16" s="38">
        <v>1.2784998143334572</v>
      </c>
      <c r="L16" s="254"/>
    </row>
    <row r="17" spans="1:12" x14ac:dyDescent="0.2">
      <c r="A17" s="164"/>
      <c r="B17" s="235" t="s">
        <v>0</v>
      </c>
      <c r="C17" s="162">
        <v>36726</v>
      </c>
      <c r="D17" s="161">
        <v>33369</v>
      </c>
      <c r="E17" s="160">
        <v>3357</v>
      </c>
      <c r="F17" s="162">
        <v>38747</v>
      </c>
      <c r="G17" s="225">
        <v>36188</v>
      </c>
      <c r="H17" s="224">
        <v>2559</v>
      </c>
      <c r="I17" s="30">
        <v>0.94784112318373037</v>
      </c>
      <c r="J17" s="29">
        <v>0.92210124903282853</v>
      </c>
      <c r="K17" s="28">
        <v>1.3118405627198124</v>
      </c>
      <c r="L17" s="253"/>
    </row>
    <row r="18" spans="1:12" x14ac:dyDescent="0.2">
      <c r="A18" s="181" t="s">
        <v>12</v>
      </c>
      <c r="B18" s="236" t="s">
        <v>2</v>
      </c>
      <c r="C18" s="171">
        <v>46708</v>
      </c>
      <c r="D18" s="178">
        <v>43174</v>
      </c>
      <c r="E18" s="177">
        <v>3534</v>
      </c>
      <c r="F18" s="171">
        <v>50917</v>
      </c>
      <c r="G18" s="233">
        <v>47228</v>
      </c>
      <c r="H18" s="232">
        <v>3689</v>
      </c>
      <c r="I18" s="46">
        <v>0.9173360567197596</v>
      </c>
      <c r="J18" s="39">
        <v>0.91416109087829256</v>
      </c>
      <c r="K18" s="38">
        <v>0.95798319327731096</v>
      </c>
      <c r="L18" s="254">
        <v>1.0376535427568594</v>
      </c>
    </row>
    <row r="19" spans="1:12" x14ac:dyDescent="0.2">
      <c r="A19" s="142"/>
      <c r="B19" s="236" t="s">
        <v>1</v>
      </c>
      <c r="C19" s="171">
        <v>23690</v>
      </c>
      <c r="D19" s="170">
        <v>21817</v>
      </c>
      <c r="E19" s="169">
        <v>1873</v>
      </c>
      <c r="F19" s="171">
        <v>26295</v>
      </c>
      <c r="G19" s="228">
        <v>24313</v>
      </c>
      <c r="H19" s="227">
        <v>1982</v>
      </c>
      <c r="I19" s="40">
        <v>0.90093173607149646</v>
      </c>
      <c r="J19" s="39">
        <v>0.89733887220828368</v>
      </c>
      <c r="K19" s="38">
        <v>0.94500504540867813</v>
      </c>
      <c r="L19" s="254"/>
    </row>
    <row r="20" spans="1:12" x14ac:dyDescent="0.2">
      <c r="A20" s="164"/>
      <c r="B20" s="235" t="s">
        <v>0</v>
      </c>
      <c r="C20" s="171">
        <v>23018</v>
      </c>
      <c r="D20" s="161">
        <v>21357</v>
      </c>
      <c r="E20" s="160">
        <v>1661</v>
      </c>
      <c r="F20" s="171">
        <v>24622</v>
      </c>
      <c r="G20" s="225">
        <v>22915</v>
      </c>
      <c r="H20" s="224">
        <v>1707</v>
      </c>
      <c r="I20" s="30">
        <v>0.93485500771667618</v>
      </c>
      <c r="J20" s="29">
        <v>0.93200960069823258</v>
      </c>
      <c r="K20" s="28">
        <v>0.97305213825424719</v>
      </c>
      <c r="L20" s="253"/>
    </row>
    <row r="21" spans="1:12" x14ac:dyDescent="0.2">
      <c r="A21" s="181" t="s">
        <v>11</v>
      </c>
      <c r="B21" s="236" t="s">
        <v>2</v>
      </c>
      <c r="C21" s="179">
        <v>41816</v>
      </c>
      <c r="D21" s="178">
        <v>33795</v>
      </c>
      <c r="E21" s="177">
        <v>8021</v>
      </c>
      <c r="F21" s="179">
        <v>47764</v>
      </c>
      <c r="G21" s="233">
        <v>39788</v>
      </c>
      <c r="H21" s="232">
        <v>7976</v>
      </c>
      <c r="I21" s="46">
        <v>0.87547106607486813</v>
      </c>
      <c r="J21" s="39">
        <v>0.84937669649140446</v>
      </c>
      <c r="K21" s="38">
        <v>1.0056419257773319</v>
      </c>
      <c r="L21" s="254">
        <v>1.0535143323302139</v>
      </c>
    </row>
    <row r="22" spans="1:12" x14ac:dyDescent="0.2">
      <c r="A22" s="142"/>
      <c r="B22" s="236" t="s">
        <v>1</v>
      </c>
      <c r="C22" s="171">
        <v>20722</v>
      </c>
      <c r="D22" s="170">
        <v>16713</v>
      </c>
      <c r="E22" s="169">
        <v>4009</v>
      </c>
      <c r="F22" s="171">
        <v>24292</v>
      </c>
      <c r="G22" s="228">
        <v>20247</v>
      </c>
      <c r="H22" s="227">
        <v>4045</v>
      </c>
      <c r="I22" s="40">
        <v>0.85303803721389759</v>
      </c>
      <c r="J22" s="39">
        <v>0.82545562305526743</v>
      </c>
      <c r="K22" s="38">
        <v>0.99110012360939437</v>
      </c>
      <c r="L22" s="254"/>
    </row>
    <row r="23" spans="1:12" x14ac:dyDescent="0.2">
      <c r="A23" s="164"/>
      <c r="B23" s="235" t="s">
        <v>0</v>
      </c>
      <c r="C23" s="162">
        <v>21094</v>
      </c>
      <c r="D23" s="161">
        <v>17082</v>
      </c>
      <c r="E23" s="160">
        <v>4012</v>
      </c>
      <c r="F23" s="162">
        <v>23472</v>
      </c>
      <c r="G23" s="225">
        <v>19541</v>
      </c>
      <c r="H23" s="224">
        <v>3931</v>
      </c>
      <c r="I23" s="30">
        <v>0.89868779822767553</v>
      </c>
      <c r="J23" s="29">
        <v>0.87416201832045448</v>
      </c>
      <c r="K23" s="28">
        <v>1.0206054439074026</v>
      </c>
      <c r="L23" s="253"/>
    </row>
    <row r="24" spans="1:12" x14ac:dyDescent="0.2">
      <c r="A24" s="181" t="s">
        <v>27</v>
      </c>
      <c r="B24" s="236" t="s">
        <v>2</v>
      </c>
      <c r="C24" s="179">
        <v>25867</v>
      </c>
      <c r="D24" s="178">
        <v>24528</v>
      </c>
      <c r="E24" s="177">
        <v>1339</v>
      </c>
      <c r="F24" s="179">
        <v>32043</v>
      </c>
      <c r="G24" s="233">
        <v>30533</v>
      </c>
      <c r="H24" s="232">
        <v>1510</v>
      </c>
      <c r="I24" s="46">
        <v>0.80725899572449522</v>
      </c>
      <c r="J24" s="39">
        <v>0.8033275472439656</v>
      </c>
      <c r="K24" s="38">
        <v>0.88675496688741717</v>
      </c>
      <c r="L24" s="254">
        <v>1.0800038273376742</v>
      </c>
    </row>
    <row r="25" spans="1:12" x14ac:dyDescent="0.2">
      <c r="A25" s="142"/>
      <c r="B25" s="236" t="s">
        <v>1</v>
      </c>
      <c r="C25" s="171">
        <v>11976</v>
      </c>
      <c r="D25" s="170">
        <v>11305</v>
      </c>
      <c r="E25" s="169">
        <v>671</v>
      </c>
      <c r="F25" s="171">
        <v>15450</v>
      </c>
      <c r="G25" s="228">
        <v>14685</v>
      </c>
      <c r="H25" s="227">
        <v>765</v>
      </c>
      <c r="I25" s="40">
        <v>0.77514563106796119</v>
      </c>
      <c r="J25" s="39">
        <v>0.76983316309159011</v>
      </c>
      <c r="K25" s="38">
        <v>0.87712418300653594</v>
      </c>
      <c r="L25" s="254"/>
    </row>
    <row r="26" spans="1:12" x14ac:dyDescent="0.2">
      <c r="A26" s="164"/>
      <c r="B26" s="235" t="s">
        <v>0</v>
      </c>
      <c r="C26" s="162">
        <v>13891</v>
      </c>
      <c r="D26" s="161">
        <v>13223</v>
      </c>
      <c r="E26" s="160">
        <v>668</v>
      </c>
      <c r="F26" s="162">
        <v>16593</v>
      </c>
      <c r="G26" s="225">
        <v>15848</v>
      </c>
      <c r="H26" s="224">
        <v>745</v>
      </c>
      <c r="I26" s="30">
        <v>0.83716024829747482</v>
      </c>
      <c r="J26" s="29">
        <v>0.83436395759717319</v>
      </c>
      <c r="K26" s="28">
        <v>0.89664429530201339</v>
      </c>
      <c r="L26" s="253"/>
    </row>
    <row r="27" spans="1:12" x14ac:dyDescent="0.2">
      <c r="A27" s="181" t="s">
        <v>10</v>
      </c>
      <c r="B27" s="236" t="s">
        <v>2</v>
      </c>
      <c r="C27" s="171">
        <v>40857</v>
      </c>
      <c r="D27" s="178">
        <v>36149</v>
      </c>
      <c r="E27" s="177">
        <v>4708</v>
      </c>
      <c r="F27" s="171">
        <v>45832</v>
      </c>
      <c r="G27" s="233">
        <v>41784</v>
      </c>
      <c r="H27" s="232">
        <v>4048</v>
      </c>
      <c r="I27" s="46">
        <v>0.89145138767673238</v>
      </c>
      <c r="J27" s="39">
        <v>0.86513976641776758</v>
      </c>
      <c r="K27" s="38">
        <v>1.1630434782608696</v>
      </c>
      <c r="L27" s="254">
        <v>1.0466096695955174</v>
      </c>
    </row>
    <row r="28" spans="1:12" x14ac:dyDescent="0.2">
      <c r="A28" s="142"/>
      <c r="B28" s="236" t="s">
        <v>1</v>
      </c>
      <c r="C28" s="171">
        <v>20039</v>
      </c>
      <c r="D28" s="170">
        <v>17778</v>
      </c>
      <c r="E28" s="169">
        <v>2261</v>
      </c>
      <c r="F28" s="171">
        <v>23001</v>
      </c>
      <c r="G28" s="228">
        <v>21050</v>
      </c>
      <c r="H28" s="227">
        <v>1951</v>
      </c>
      <c r="I28" s="40">
        <v>0.87122299030476935</v>
      </c>
      <c r="J28" s="39">
        <v>0.84456057007125895</v>
      </c>
      <c r="K28" s="38">
        <v>1.158892875448488</v>
      </c>
      <c r="L28" s="254"/>
    </row>
    <row r="29" spans="1:12" x14ac:dyDescent="0.2">
      <c r="A29" s="164"/>
      <c r="B29" s="235" t="s">
        <v>0</v>
      </c>
      <c r="C29" s="171">
        <v>20818</v>
      </c>
      <c r="D29" s="161">
        <v>18371</v>
      </c>
      <c r="E29" s="160">
        <v>2447</v>
      </c>
      <c r="F29" s="171">
        <v>22831</v>
      </c>
      <c r="G29" s="225">
        <v>20734</v>
      </c>
      <c r="H29" s="224">
        <v>2097</v>
      </c>
      <c r="I29" s="30">
        <v>0.91183040602689325</v>
      </c>
      <c r="J29" s="29">
        <v>0.88603260345326518</v>
      </c>
      <c r="K29" s="28">
        <v>1.1669051025274202</v>
      </c>
      <c r="L29" s="253"/>
    </row>
    <row r="30" spans="1:12" x14ac:dyDescent="0.2">
      <c r="A30" s="181" t="s">
        <v>9</v>
      </c>
      <c r="B30" s="236" t="s">
        <v>2</v>
      </c>
      <c r="C30" s="179">
        <v>22658</v>
      </c>
      <c r="D30" s="178">
        <v>13132</v>
      </c>
      <c r="E30" s="177">
        <v>9526</v>
      </c>
      <c r="F30" s="179">
        <v>22583</v>
      </c>
      <c r="G30" s="233">
        <v>16277</v>
      </c>
      <c r="H30" s="232">
        <v>6306</v>
      </c>
      <c r="I30" s="46">
        <v>1.0033210822299961</v>
      </c>
      <c r="J30" s="39">
        <v>0.80678257664188735</v>
      </c>
      <c r="K30" s="38">
        <v>1.5106248017760862</v>
      </c>
      <c r="L30" s="254">
        <v>1.0270245978495767</v>
      </c>
    </row>
    <row r="31" spans="1:12" x14ac:dyDescent="0.2">
      <c r="A31" s="142"/>
      <c r="B31" s="236" t="s">
        <v>1</v>
      </c>
      <c r="C31" s="171">
        <v>11022</v>
      </c>
      <c r="D31" s="170">
        <v>6601</v>
      </c>
      <c r="E31" s="169">
        <v>4421</v>
      </c>
      <c r="F31" s="171">
        <v>11136</v>
      </c>
      <c r="G31" s="228">
        <v>8211</v>
      </c>
      <c r="H31" s="227">
        <v>2925</v>
      </c>
      <c r="I31" s="40">
        <v>0.98976293103448276</v>
      </c>
      <c r="J31" s="39">
        <v>0.80392156862745101</v>
      </c>
      <c r="K31" s="38">
        <v>1.5114529914529915</v>
      </c>
      <c r="L31" s="254"/>
    </row>
    <row r="32" spans="1:12" x14ac:dyDescent="0.2">
      <c r="A32" s="164"/>
      <c r="B32" s="235" t="s">
        <v>0</v>
      </c>
      <c r="C32" s="162">
        <v>11636</v>
      </c>
      <c r="D32" s="161">
        <v>6531</v>
      </c>
      <c r="E32" s="160">
        <v>5105</v>
      </c>
      <c r="F32" s="162">
        <v>11447</v>
      </c>
      <c r="G32" s="225">
        <v>8066</v>
      </c>
      <c r="H32" s="224">
        <v>3381</v>
      </c>
      <c r="I32" s="30">
        <v>1.016510876212108</v>
      </c>
      <c r="J32" s="29">
        <v>0.80969501611703443</v>
      </c>
      <c r="K32" s="28">
        <v>1.5099083111505471</v>
      </c>
      <c r="L32" s="253"/>
    </row>
    <row r="33" spans="1:12" x14ac:dyDescent="0.2">
      <c r="A33" s="181" t="s">
        <v>8</v>
      </c>
      <c r="B33" s="236" t="s">
        <v>2</v>
      </c>
      <c r="C33" s="171">
        <v>11524</v>
      </c>
      <c r="D33" s="178">
        <v>10616</v>
      </c>
      <c r="E33" s="177">
        <v>908</v>
      </c>
      <c r="F33" s="171">
        <v>12230</v>
      </c>
      <c r="G33" s="233">
        <v>11306</v>
      </c>
      <c r="H33" s="232">
        <v>924</v>
      </c>
      <c r="I33" s="46">
        <v>0.94227309893704003</v>
      </c>
      <c r="J33" s="39">
        <v>0.93897045816380686</v>
      </c>
      <c r="K33" s="38">
        <v>0.98268398268398272</v>
      </c>
      <c r="L33" s="254">
        <v>1.0208881413386217</v>
      </c>
    </row>
    <row r="34" spans="1:12" x14ac:dyDescent="0.2">
      <c r="A34" s="142"/>
      <c r="B34" s="236" t="s">
        <v>1</v>
      </c>
      <c r="C34" s="171">
        <v>5775</v>
      </c>
      <c r="D34" s="170">
        <v>5335</v>
      </c>
      <c r="E34" s="169">
        <v>440</v>
      </c>
      <c r="F34" s="171">
        <v>6192</v>
      </c>
      <c r="G34" s="228">
        <v>5746</v>
      </c>
      <c r="H34" s="227">
        <v>446</v>
      </c>
      <c r="I34" s="40">
        <v>0.93265503875968991</v>
      </c>
      <c r="J34" s="39">
        <v>0.92847198050817958</v>
      </c>
      <c r="K34" s="38">
        <v>0.98654708520179368</v>
      </c>
      <c r="L34" s="254"/>
    </row>
    <row r="35" spans="1:12" x14ac:dyDescent="0.2">
      <c r="A35" s="164"/>
      <c r="B35" s="235" t="s">
        <v>0</v>
      </c>
      <c r="C35" s="162">
        <v>5749</v>
      </c>
      <c r="D35" s="161">
        <v>5281</v>
      </c>
      <c r="E35" s="160">
        <v>468</v>
      </c>
      <c r="F35" s="162">
        <v>6038</v>
      </c>
      <c r="G35" s="225">
        <v>5560</v>
      </c>
      <c r="H35" s="224">
        <v>478</v>
      </c>
      <c r="I35" s="30">
        <v>0.95213646902948001</v>
      </c>
      <c r="J35" s="29">
        <v>0.94982014388489211</v>
      </c>
      <c r="K35" s="28">
        <v>0.97907949790794979</v>
      </c>
      <c r="L35" s="253"/>
    </row>
    <row r="36" spans="1:12" x14ac:dyDescent="0.2">
      <c r="A36" s="181" t="s">
        <v>7</v>
      </c>
      <c r="B36" s="236" t="s">
        <v>2</v>
      </c>
      <c r="C36" s="171">
        <v>16073</v>
      </c>
      <c r="D36" s="178">
        <v>13625</v>
      </c>
      <c r="E36" s="177">
        <v>2448</v>
      </c>
      <c r="F36" s="171">
        <v>17478</v>
      </c>
      <c r="G36" s="233">
        <v>15578</v>
      </c>
      <c r="H36" s="232">
        <v>1900</v>
      </c>
      <c r="I36" s="46">
        <v>0.91961322805813017</v>
      </c>
      <c r="J36" s="39">
        <v>0.87463088971626657</v>
      </c>
      <c r="K36" s="38">
        <v>1.2884210526315789</v>
      </c>
      <c r="L36" s="254">
        <v>1.0445237955862554</v>
      </c>
    </row>
    <row r="37" spans="1:12" x14ac:dyDescent="0.2">
      <c r="A37" s="142"/>
      <c r="B37" s="236" t="s">
        <v>1</v>
      </c>
      <c r="C37" s="171">
        <v>7765</v>
      </c>
      <c r="D37" s="170">
        <v>6559</v>
      </c>
      <c r="E37" s="169">
        <v>1206</v>
      </c>
      <c r="F37" s="171">
        <v>8634</v>
      </c>
      <c r="G37" s="228">
        <v>7648</v>
      </c>
      <c r="H37" s="227">
        <v>986</v>
      </c>
      <c r="I37" s="40">
        <v>0.89935140143618253</v>
      </c>
      <c r="J37" s="39">
        <v>0.85760983263598323</v>
      </c>
      <c r="K37" s="38">
        <v>1.2231237322515214</v>
      </c>
      <c r="L37" s="254"/>
    </row>
    <row r="38" spans="1:12" x14ac:dyDescent="0.2">
      <c r="A38" s="164"/>
      <c r="B38" s="235" t="s">
        <v>0</v>
      </c>
      <c r="C38" s="162">
        <v>8308</v>
      </c>
      <c r="D38" s="161">
        <v>7066</v>
      </c>
      <c r="E38" s="160">
        <v>1242</v>
      </c>
      <c r="F38" s="162">
        <v>8844</v>
      </c>
      <c r="G38" s="225">
        <v>7930</v>
      </c>
      <c r="H38" s="224">
        <v>914</v>
      </c>
      <c r="I38" s="30">
        <v>0.93939393939393945</v>
      </c>
      <c r="J38" s="29">
        <v>0.89104665825977303</v>
      </c>
      <c r="K38" s="28">
        <v>1.3588621444201312</v>
      </c>
      <c r="L38" s="253"/>
    </row>
    <row r="39" spans="1:12" s="203" customFormat="1" x14ac:dyDescent="0.2">
      <c r="A39" s="181" t="s">
        <v>5</v>
      </c>
      <c r="B39" s="236" t="s">
        <v>2</v>
      </c>
      <c r="C39" s="171">
        <v>22619</v>
      </c>
      <c r="D39" s="170">
        <v>17227</v>
      </c>
      <c r="E39" s="169">
        <v>5392</v>
      </c>
      <c r="F39" s="171">
        <v>23062</v>
      </c>
      <c r="G39" s="233">
        <v>18162</v>
      </c>
      <c r="H39" s="232">
        <v>4900</v>
      </c>
      <c r="I39" s="46">
        <v>0.98079091145607489</v>
      </c>
      <c r="J39" s="39">
        <v>0.94851888558528796</v>
      </c>
      <c r="K39" s="38">
        <v>1.1004081632653062</v>
      </c>
      <c r="L39" s="254">
        <v>1.0289693369613619</v>
      </c>
    </row>
    <row r="40" spans="1:12" s="203" customFormat="1" x14ac:dyDescent="0.2">
      <c r="A40" s="142"/>
      <c r="B40" s="236" t="s">
        <v>1</v>
      </c>
      <c r="C40" s="171">
        <v>11251</v>
      </c>
      <c r="D40" s="170">
        <v>8742</v>
      </c>
      <c r="E40" s="169">
        <v>2509</v>
      </c>
      <c r="F40" s="171">
        <v>11636</v>
      </c>
      <c r="G40" s="228">
        <v>9271</v>
      </c>
      <c r="H40" s="227">
        <v>2365</v>
      </c>
      <c r="I40" s="40">
        <v>0.96691302853214167</v>
      </c>
      <c r="J40" s="39">
        <v>0.94294035163412793</v>
      </c>
      <c r="K40" s="38">
        <v>1.0608879492600423</v>
      </c>
      <c r="L40" s="254"/>
    </row>
    <row r="41" spans="1:12" s="203" customFormat="1" x14ac:dyDescent="0.2">
      <c r="A41" s="164"/>
      <c r="B41" s="235" t="s">
        <v>0</v>
      </c>
      <c r="C41" s="171">
        <v>11368</v>
      </c>
      <c r="D41" s="161">
        <v>8485</v>
      </c>
      <c r="E41" s="160">
        <v>2883</v>
      </c>
      <c r="F41" s="171">
        <v>11426</v>
      </c>
      <c r="G41" s="225">
        <v>8891</v>
      </c>
      <c r="H41" s="224">
        <v>2535</v>
      </c>
      <c r="I41" s="30">
        <v>0.99492385786802029</v>
      </c>
      <c r="J41" s="29">
        <v>0.9543358452367563</v>
      </c>
      <c r="K41" s="28">
        <v>1.1372781065088757</v>
      </c>
      <c r="L41" s="253"/>
    </row>
    <row r="42" spans="1:12" x14ac:dyDescent="0.2">
      <c r="A42" s="181" t="s">
        <v>4</v>
      </c>
      <c r="B42" s="237" t="s">
        <v>2</v>
      </c>
      <c r="C42" s="179">
        <v>31880</v>
      </c>
      <c r="D42" s="178">
        <v>22046</v>
      </c>
      <c r="E42" s="177">
        <v>9834</v>
      </c>
      <c r="F42" s="179">
        <v>32321</v>
      </c>
      <c r="G42" s="233">
        <v>25011</v>
      </c>
      <c r="H42" s="232">
        <v>7310</v>
      </c>
      <c r="I42" s="46">
        <v>0.98635562018501899</v>
      </c>
      <c r="J42" s="39">
        <v>0.88145216104913837</v>
      </c>
      <c r="K42" s="38">
        <v>1.345280437756498</v>
      </c>
      <c r="L42" s="254">
        <v>1.0331796172358445</v>
      </c>
    </row>
    <row r="43" spans="1:12" x14ac:dyDescent="0.2">
      <c r="A43" s="142"/>
      <c r="B43" s="236" t="s">
        <v>1</v>
      </c>
      <c r="C43" s="171">
        <v>15778</v>
      </c>
      <c r="D43" s="170">
        <v>11277</v>
      </c>
      <c r="E43" s="169">
        <v>4501</v>
      </c>
      <c r="F43" s="171">
        <v>16260</v>
      </c>
      <c r="G43" s="228">
        <v>12841</v>
      </c>
      <c r="H43" s="227">
        <v>3419</v>
      </c>
      <c r="I43" s="40">
        <v>0.97035670356703563</v>
      </c>
      <c r="J43" s="39">
        <v>0.87820263219375438</v>
      </c>
      <c r="K43" s="38">
        <v>1.3164668031588185</v>
      </c>
      <c r="L43" s="254"/>
    </row>
    <row r="44" spans="1:12" x14ac:dyDescent="0.2">
      <c r="A44" s="164"/>
      <c r="B44" s="235" t="s">
        <v>0</v>
      </c>
      <c r="C44" s="162">
        <v>16102</v>
      </c>
      <c r="D44" s="161">
        <v>10769</v>
      </c>
      <c r="E44" s="160">
        <v>5333</v>
      </c>
      <c r="F44" s="162">
        <v>16061</v>
      </c>
      <c r="G44" s="225">
        <v>12170</v>
      </c>
      <c r="H44" s="224">
        <v>3891</v>
      </c>
      <c r="I44" s="30">
        <v>1.0025527675736257</v>
      </c>
      <c r="J44" s="29">
        <v>0.88488085456039445</v>
      </c>
      <c r="K44" s="28">
        <v>1.3705988177846311</v>
      </c>
      <c r="L44" s="253"/>
    </row>
    <row r="45" spans="1:12" ht="12" customHeight="1" x14ac:dyDescent="0.2">
      <c r="A45" s="155" t="s">
        <v>3</v>
      </c>
      <c r="B45" s="234" t="s">
        <v>2</v>
      </c>
      <c r="C45" s="114">
        <v>515735</v>
      </c>
      <c r="D45" s="115">
        <v>409794</v>
      </c>
      <c r="E45" s="116">
        <v>105941</v>
      </c>
      <c r="F45" s="114">
        <v>551097</v>
      </c>
      <c r="G45" s="117">
        <v>466269</v>
      </c>
      <c r="H45" s="122">
        <v>84828</v>
      </c>
      <c r="I45" s="222">
        <v>0.93583343767068228</v>
      </c>
      <c r="J45" s="20">
        <v>0.87887893040283616</v>
      </c>
      <c r="K45" s="19">
        <v>1.2488918753241853</v>
      </c>
      <c r="L45" s="252">
        <v>1.0357438652515945</v>
      </c>
    </row>
    <row r="46" spans="1:12" x14ac:dyDescent="0.2">
      <c r="A46" s="155"/>
      <c r="B46" s="154" t="s">
        <v>1</v>
      </c>
      <c r="C46" s="114">
        <v>255177</v>
      </c>
      <c r="D46" s="115">
        <v>204618</v>
      </c>
      <c r="E46" s="116">
        <v>50559</v>
      </c>
      <c r="F46" s="114">
        <v>277512</v>
      </c>
      <c r="G46" s="117">
        <v>236474</v>
      </c>
      <c r="H46" s="122">
        <v>41038</v>
      </c>
      <c r="I46" s="21">
        <v>0.91951699385972496</v>
      </c>
      <c r="J46" s="20">
        <v>0.86528751575226026</v>
      </c>
      <c r="K46" s="19">
        <v>1.2320044836493007</v>
      </c>
      <c r="L46" s="252"/>
    </row>
    <row r="47" spans="1:12" ht="12" thickBot="1" x14ac:dyDescent="0.25">
      <c r="A47" s="150"/>
      <c r="B47" s="149" t="s">
        <v>0</v>
      </c>
      <c r="C47" s="118">
        <v>260558</v>
      </c>
      <c r="D47" s="119">
        <v>205176</v>
      </c>
      <c r="E47" s="120">
        <v>55382</v>
      </c>
      <c r="F47" s="118">
        <v>273585</v>
      </c>
      <c r="G47" s="121">
        <v>229795</v>
      </c>
      <c r="H47" s="123">
        <v>43790</v>
      </c>
      <c r="I47" s="12">
        <v>0.95238408538479813</v>
      </c>
      <c r="J47" s="11">
        <v>0.89286538001261995</v>
      </c>
      <c r="K47" s="10">
        <v>1.2647179721397579</v>
      </c>
      <c r="L47" s="251"/>
    </row>
  </sheetData>
  <sheetProtection algorithmName="SHA-512" hashValue="sD7818ijTtdJ5o1nyceNgsCnjtK55nCyxql0IAkHNwZikWHcNp18j5rD9zB4SgldCYj4OCPf9wadn9DlJTnxWQ==" saltValue="fWq2BNpfI9Ed6zpk2f6//w==" spinCount="100000" sheet="1" objects="1" scenarios="1"/>
  <mergeCells count="11">
    <mergeCell ref="A7:L7"/>
    <mergeCell ref="A1:L1"/>
    <mergeCell ref="A2:L2"/>
    <mergeCell ref="A3:L3"/>
    <mergeCell ref="A4:L4"/>
    <mergeCell ref="A5:L5"/>
    <mergeCell ref="A8:B9"/>
    <mergeCell ref="C8:E8"/>
    <mergeCell ref="F8:H8"/>
    <mergeCell ref="I8:K8"/>
    <mergeCell ref="L8:L9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>&amp;L&amp;8Prepared by RSD-OPS
&amp;D
&amp;Z&amp;F; &amp;A</oddFooter>
  </headerFooter>
  <picture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D2213-A478-41C0-88AD-F178F2869A70}">
  <sheetPr>
    <tabColor rgb="FF0000FF"/>
    <pageSetUpPr fitToPage="1"/>
  </sheetPr>
  <dimension ref="A1:O46"/>
  <sheetViews>
    <sheetView showGridLines="0" zoomScaleNormal="100" workbookViewId="0">
      <pane xSplit="1" ySplit="8" topLeftCell="B9" activePane="bottomRight" state="frozen"/>
      <selection activeCell="A9" sqref="A9:A12"/>
      <selection pane="topRight" activeCell="A9" sqref="A9:A12"/>
      <selection pane="bottomLeft" activeCell="A9" sqref="A9:A12"/>
      <selection pane="bottomRight" activeCell="A9" sqref="A9:A12"/>
    </sheetView>
  </sheetViews>
  <sheetFormatPr defaultColWidth="9.140625" defaultRowHeight="11.25" x14ac:dyDescent="0.2"/>
  <cols>
    <col min="1" max="1" width="46.42578125" style="359" customWidth="1"/>
    <col min="2" max="2" width="9.5703125" style="143" customWidth="1"/>
    <col min="3" max="6" width="6.85546875" style="219" bestFit="1" customWidth="1"/>
    <col min="7" max="7" width="7" style="219" bestFit="1" customWidth="1"/>
    <col min="8" max="8" width="6.5703125" style="219" bestFit="1" customWidth="1"/>
    <col min="9" max="9" width="7" style="263" bestFit="1" customWidth="1"/>
    <col min="10" max="10" width="8.85546875" style="263" bestFit="1" customWidth="1"/>
    <col min="11" max="11" width="9.42578125" style="263" bestFit="1" customWidth="1"/>
    <col min="12" max="12" width="11.140625" style="264" bestFit="1" customWidth="1"/>
    <col min="13" max="13" width="7.85546875" style="264" bestFit="1" customWidth="1"/>
    <col min="14" max="14" width="8.85546875" style="264" bestFit="1" customWidth="1"/>
    <col min="15" max="15" width="8.42578125" style="193" bestFit="1" customWidth="1"/>
    <col min="16" max="16384" width="9.140625" style="143"/>
  </cols>
  <sheetData>
    <row r="1" spans="1:15" x14ac:dyDescent="0.2">
      <c r="A1" s="584" t="s">
        <v>23</v>
      </c>
      <c r="B1" s="584"/>
      <c r="C1" s="584"/>
      <c r="D1" s="584"/>
      <c r="E1" s="584"/>
      <c r="F1" s="584"/>
      <c r="G1" s="584"/>
      <c r="H1" s="584"/>
      <c r="I1" s="584"/>
      <c r="J1" s="584"/>
      <c r="K1" s="584"/>
      <c r="L1" s="584"/>
      <c r="M1" s="584"/>
      <c r="N1" s="584"/>
      <c r="O1" s="584"/>
    </row>
    <row r="2" spans="1:15" x14ac:dyDescent="0.2">
      <c r="A2" s="584" t="s">
        <v>91</v>
      </c>
      <c r="B2" s="584"/>
      <c r="C2" s="584"/>
      <c r="D2" s="584"/>
      <c r="E2" s="584"/>
      <c r="F2" s="584"/>
      <c r="G2" s="584"/>
      <c r="H2" s="584"/>
      <c r="I2" s="584"/>
      <c r="J2" s="584"/>
      <c r="K2" s="584"/>
      <c r="L2" s="584"/>
      <c r="M2" s="584"/>
      <c r="N2" s="584"/>
      <c r="O2" s="584"/>
    </row>
    <row r="3" spans="1:15" ht="12.75" x14ac:dyDescent="0.2">
      <c r="A3" s="619" t="s">
        <v>92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  <c r="M3" s="619"/>
      <c r="N3" s="619"/>
      <c r="O3" s="619"/>
    </row>
    <row r="4" spans="1:15" ht="12.75" x14ac:dyDescent="0.2">
      <c r="A4" s="619" t="s">
        <v>93</v>
      </c>
      <c r="B4" s="619"/>
      <c r="C4" s="619"/>
      <c r="D4" s="619"/>
      <c r="E4" s="619"/>
      <c r="F4" s="619"/>
      <c r="G4" s="619"/>
      <c r="H4" s="619"/>
      <c r="I4" s="619"/>
      <c r="J4" s="619"/>
      <c r="K4" s="619"/>
      <c r="L4" s="619"/>
      <c r="M4" s="619"/>
      <c r="N4" s="619"/>
      <c r="O4" s="619"/>
    </row>
    <row r="5" spans="1:15" ht="12.75" x14ac:dyDescent="0.2">
      <c r="A5" s="620" t="s">
        <v>48</v>
      </c>
      <c r="B5" s="620"/>
      <c r="C5" s="620"/>
      <c r="D5" s="620"/>
      <c r="E5" s="620"/>
      <c r="F5" s="620"/>
      <c r="G5" s="620"/>
      <c r="H5" s="620"/>
      <c r="I5" s="620"/>
      <c r="J5" s="620"/>
      <c r="K5" s="620"/>
      <c r="L5" s="620"/>
      <c r="M5" s="620"/>
      <c r="N5" s="620"/>
      <c r="O5" s="620"/>
    </row>
    <row r="6" spans="1:15" ht="12.75" x14ac:dyDescent="0.2">
      <c r="A6" s="618"/>
      <c r="B6" s="618"/>
      <c r="C6" s="618"/>
      <c r="D6" s="618"/>
      <c r="E6" s="618"/>
      <c r="F6" s="618"/>
      <c r="G6" s="618"/>
      <c r="H6" s="618"/>
      <c r="I6" s="618"/>
      <c r="J6" s="618"/>
      <c r="K6" s="618"/>
      <c r="L6" s="618"/>
      <c r="M6" s="618"/>
      <c r="N6" s="618"/>
      <c r="O6" s="618"/>
    </row>
    <row r="7" spans="1:15" ht="12.75" x14ac:dyDescent="0.2">
      <c r="A7" s="259"/>
      <c r="B7" s="259"/>
      <c r="C7" s="259"/>
      <c r="D7" s="259"/>
      <c r="E7" s="259"/>
      <c r="F7" s="259"/>
      <c r="G7" s="259"/>
      <c r="H7" s="259"/>
      <c r="I7" s="259"/>
      <c r="J7" s="259"/>
      <c r="K7" s="259"/>
      <c r="L7" s="259"/>
      <c r="M7" s="260"/>
      <c r="N7" s="260"/>
      <c r="O7" s="260"/>
    </row>
    <row r="8" spans="1:15" ht="13.5" thickBot="1" x14ac:dyDescent="0.25">
      <c r="A8" s="261" t="s">
        <v>94</v>
      </c>
      <c r="B8" s="262"/>
      <c r="C8" s="263"/>
      <c r="D8" s="263"/>
      <c r="E8" s="263"/>
      <c r="F8" s="263"/>
      <c r="G8" s="263"/>
      <c r="H8" s="263"/>
      <c r="I8" s="259"/>
    </row>
    <row r="9" spans="1:15" ht="10.35" customHeight="1" x14ac:dyDescent="0.25">
      <c r="A9" s="339" t="s">
        <v>114</v>
      </c>
      <c r="B9" s="615" t="s">
        <v>95</v>
      </c>
      <c r="C9" s="617" t="s">
        <v>96</v>
      </c>
      <c r="D9" s="617"/>
      <c r="E9" s="617"/>
      <c r="F9" s="617"/>
      <c r="G9" s="617"/>
      <c r="H9" s="617"/>
      <c r="I9" s="265" t="s">
        <v>97</v>
      </c>
      <c r="J9" s="299" t="s">
        <v>98</v>
      </c>
      <c r="K9" s="299" t="s">
        <v>99</v>
      </c>
      <c r="L9" s="267" t="s">
        <v>100</v>
      </c>
      <c r="M9" s="268" t="s">
        <v>101</v>
      </c>
      <c r="N9" s="269" t="s">
        <v>101</v>
      </c>
      <c r="O9" s="270" t="s">
        <v>101</v>
      </c>
    </row>
    <row r="10" spans="1:15" ht="13.7" customHeight="1" thickBot="1" x14ac:dyDescent="0.3">
      <c r="A10" s="340"/>
      <c r="B10" s="616"/>
      <c r="C10" s="272" t="s">
        <v>102</v>
      </c>
      <c r="D10" s="272" t="s">
        <v>103</v>
      </c>
      <c r="E10" s="272" t="s">
        <v>104</v>
      </c>
      <c r="F10" s="272" t="s">
        <v>105</v>
      </c>
      <c r="G10" s="272" t="s">
        <v>106</v>
      </c>
      <c r="H10" s="272" t="s">
        <v>107</v>
      </c>
      <c r="I10" s="272" t="s">
        <v>108</v>
      </c>
      <c r="J10" s="300" t="s">
        <v>109</v>
      </c>
      <c r="K10" s="300" t="s">
        <v>110</v>
      </c>
      <c r="L10" s="276" t="s">
        <v>111</v>
      </c>
      <c r="M10" s="277" t="s">
        <v>112</v>
      </c>
      <c r="N10" s="278" t="s">
        <v>98</v>
      </c>
      <c r="O10" s="279" t="s">
        <v>99</v>
      </c>
    </row>
    <row r="11" spans="1:15" x14ac:dyDescent="0.2">
      <c r="A11" s="301" t="s">
        <v>117</v>
      </c>
      <c r="B11" s="302" t="s">
        <v>113</v>
      </c>
      <c r="C11" s="303">
        <v>1</v>
      </c>
      <c r="D11" s="303">
        <v>0.9999999999995095</v>
      </c>
      <c r="E11" s="304">
        <v>0.99888375056385958</v>
      </c>
      <c r="F11" s="304">
        <v>0.99706527323486305</v>
      </c>
      <c r="G11" s="304">
        <v>0.99212930600429972</v>
      </c>
      <c r="H11" s="304">
        <v>0.98370374462726495</v>
      </c>
      <c r="I11" s="305">
        <v>0.97342644253420296</v>
      </c>
      <c r="J11" s="306">
        <v>0.96932487900151509</v>
      </c>
      <c r="K11" s="307">
        <v>0.96457106921348956</v>
      </c>
      <c r="L11" s="292">
        <v>7.2571117084278658</v>
      </c>
      <c r="M11" s="292">
        <v>1.0494908328377799</v>
      </c>
      <c r="N11" s="292">
        <v>1.0568693656288251</v>
      </c>
      <c r="O11" s="291">
        <v>1.0512801748026908</v>
      </c>
    </row>
    <row r="12" spans="1:15" x14ac:dyDescent="0.2">
      <c r="A12" s="155"/>
      <c r="B12" s="309" t="s">
        <v>1</v>
      </c>
      <c r="C12" s="282">
        <v>1</v>
      </c>
      <c r="D12" s="282">
        <v>0.99999999999823108</v>
      </c>
      <c r="E12" s="283">
        <v>0.99844905122393968</v>
      </c>
      <c r="F12" s="283">
        <v>0.99334034844174901</v>
      </c>
      <c r="G12" s="283">
        <v>0.98670271745805183</v>
      </c>
      <c r="H12" s="283">
        <v>0.96935695887131035</v>
      </c>
      <c r="I12" s="310">
        <v>0.94929845265321966</v>
      </c>
      <c r="J12" s="297">
        <v>0.94218245943280865</v>
      </c>
      <c r="K12" s="283">
        <v>0.940583051052296</v>
      </c>
      <c r="L12" s="284">
        <v>7.442192363735038</v>
      </c>
      <c r="M12" s="284"/>
      <c r="N12" s="284"/>
      <c r="O12" s="285"/>
    </row>
    <row r="13" spans="1:15" x14ac:dyDescent="0.2">
      <c r="A13" s="286"/>
      <c r="B13" s="312" t="s">
        <v>0</v>
      </c>
      <c r="C13" s="287">
        <v>1</v>
      </c>
      <c r="D13" s="287">
        <v>0.99999999999991107</v>
      </c>
      <c r="E13" s="288">
        <v>0.99934365256622126</v>
      </c>
      <c r="F13" s="288">
        <v>0.99934365251735779</v>
      </c>
      <c r="G13" s="288">
        <v>0.99628002379394143</v>
      </c>
      <c r="H13" s="288">
        <v>0.99628002368775326</v>
      </c>
      <c r="I13" s="313">
        <v>0.99628002368664326</v>
      </c>
      <c r="J13" s="314">
        <v>0.99576377820735873</v>
      </c>
      <c r="K13" s="288">
        <v>0.98881631432670603</v>
      </c>
      <c r="L13" s="289">
        <v>7.0791712258169648</v>
      </c>
      <c r="M13" s="289"/>
      <c r="N13" s="289"/>
      <c r="O13" s="290"/>
    </row>
    <row r="14" spans="1:15" ht="10.5" customHeight="1" x14ac:dyDescent="0.2">
      <c r="A14" s="301" t="s">
        <v>118</v>
      </c>
      <c r="B14" s="302" t="s">
        <v>113</v>
      </c>
      <c r="C14" s="303">
        <v>1</v>
      </c>
      <c r="D14" s="303">
        <v>0.99999999999564115</v>
      </c>
      <c r="E14" s="304">
        <v>0.99580816123545146</v>
      </c>
      <c r="F14" s="304">
        <v>0.98431244371185567</v>
      </c>
      <c r="G14" s="304">
        <v>0.96908597025234422</v>
      </c>
      <c r="H14" s="304">
        <v>0.95262127263774388</v>
      </c>
      <c r="I14" s="305">
        <v>0.93296850216999494</v>
      </c>
      <c r="J14" s="306">
        <v>0.91902783527530318</v>
      </c>
      <c r="K14" s="307">
        <v>0.91877039822329998</v>
      </c>
      <c r="L14" s="292">
        <v>7.6188784635818285</v>
      </c>
      <c r="M14" s="292">
        <v>1.0572291120018378</v>
      </c>
      <c r="N14" s="292">
        <v>1.0691932635213448</v>
      </c>
      <c r="O14" s="291">
        <v>1.0655146138775888</v>
      </c>
    </row>
    <row r="15" spans="1:15" x14ac:dyDescent="0.2">
      <c r="A15" s="155"/>
      <c r="B15" s="309" t="s">
        <v>1</v>
      </c>
      <c r="C15" s="282">
        <v>1</v>
      </c>
      <c r="D15" s="282">
        <v>0.99999999998228861</v>
      </c>
      <c r="E15" s="283">
        <v>0.99044247571143629</v>
      </c>
      <c r="F15" s="283">
        <v>0.97553981599720763</v>
      </c>
      <c r="G15" s="283">
        <v>0.95595940462332196</v>
      </c>
      <c r="H15" s="283">
        <v>0.93403017738422822</v>
      </c>
      <c r="I15" s="310">
        <v>0.90740905393315008</v>
      </c>
      <c r="J15" s="297">
        <v>0.88904044202358989</v>
      </c>
      <c r="K15" s="283">
        <v>0.8907603137180673</v>
      </c>
      <c r="L15" s="284">
        <v>7.8584551783427958</v>
      </c>
      <c r="M15" s="284"/>
      <c r="N15" s="284"/>
      <c r="O15" s="285"/>
    </row>
    <row r="16" spans="1:15" x14ac:dyDescent="0.2">
      <c r="A16" s="286"/>
      <c r="B16" s="312" t="s">
        <v>0</v>
      </c>
      <c r="C16" s="287">
        <v>1</v>
      </c>
      <c r="D16" s="287">
        <v>0.99999999999935196</v>
      </c>
      <c r="E16" s="288">
        <v>0.99999999992784139</v>
      </c>
      <c r="F16" s="288">
        <v>0.99224411816137026</v>
      </c>
      <c r="G16" s="288">
        <v>0.98207822869478112</v>
      </c>
      <c r="H16" s="288">
        <v>0.971454514129105</v>
      </c>
      <c r="I16" s="313">
        <v>0.95933926831217198</v>
      </c>
      <c r="J16" s="314">
        <v>0.95055605160966106</v>
      </c>
      <c r="K16" s="288">
        <v>0.94911813172878634</v>
      </c>
      <c r="L16" s="289">
        <v>7.375267383470737</v>
      </c>
      <c r="M16" s="289"/>
      <c r="N16" s="289"/>
      <c r="O16" s="290"/>
    </row>
    <row r="17" spans="1:15" x14ac:dyDescent="0.2">
      <c r="A17" s="301" t="s">
        <v>119</v>
      </c>
      <c r="B17" s="302" t="s">
        <v>113</v>
      </c>
      <c r="C17" s="303">
        <v>1</v>
      </c>
      <c r="D17" s="303">
        <v>0.97040913415793884</v>
      </c>
      <c r="E17" s="304">
        <v>0.95787617485654941</v>
      </c>
      <c r="F17" s="304">
        <v>0.94143961625203543</v>
      </c>
      <c r="G17" s="304">
        <v>0.92033707202909487</v>
      </c>
      <c r="H17" s="304">
        <v>0.91382618871289156</v>
      </c>
      <c r="I17" s="305">
        <v>0.88815876243438641</v>
      </c>
      <c r="J17" s="306">
        <v>0.88278329559407875</v>
      </c>
      <c r="K17" s="307">
        <v>0.9252859455067467</v>
      </c>
      <c r="L17" s="292">
        <v>7.5652289262497616</v>
      </c>
      <c r="M17" s="292">
        <v>1.0236705485494717</v>
      </c>
      <c r="N17" s="292">
        <v>1.0269439980790465</v>
      </c>
      <c r="O17" s="291">
        <v>1.028405220472854</v>
      </c>
    </row>
    <row r="18" spans="1:15" x14ac:dyDescent="0.2">
      <c r="A18" s="155"/>
      <c r="B18" s="309" t="s">
        <v>1</v>
      </c>
      <c r="C18" s="282">
        <v>1</v>
      </c>
      <c r="D18" s="282">
        <v>0.96885750497915535</v>
      </c>
      <c r="E18" s="283">
        <v>0.95977992112912802</v>
      </c>
      <c r="F18" s="283">
        <v>0.94168727741354674</v>
      </c>
      <c r="G18" s="283">
        <v>0.91328122832443936</v>
      </c>
      <c r="H18" s="283">
        <v>0.9071146789404062</v>
      </c>
      <c r="I18" s="310">
        <v>0.87840550641972348</v>
      </c>
      <c r="J18" s="297">
        <v>0.87175721480201718</v>
      </c>
      <c r="K18" s="283">
        <v>0.91297917697196673</v>
      </c>
      <c r="L18" s="284">
        <v>7.6672066313895098</v>
      </c>
      <c r="M18" s="284"/>
      <c r="N18" s="284"/>
      <c r="O18" s="285"/>
    </row>
    <row r="19" spans="1:15" x14ac:dyDescent="0.2">
      <c r="A19" s="286"/>
      <c r="B19" s="312" t="s">
        <v>0</v>
      </c>
      <c r="C19" s="287">
        <v>1</v>
      </c>
      <c r="D19" s="287">
        <v>0.97212753158211274</v>
      </c>
      <c r="E19" s="288">
        <v>0.95595603389178119</v>
      </c>
      <c r="F19" s="288">
        <v>0.94126596803826135</v>
      </c>
      <c r="G19" s="288">
        <v>0.9284665386937071</v>
      </c>
      <c r="H19" s="288">
        <v>0.92160083593832753</v>
      </c>
      <c r="I19" s="313">
        <v>0.89919784660555491</v>
      </c>
      <c r="J19" s="314">
        <v>0.89524583952303771</v>
      </c>
      <c r="K19" s="288">
        <v>0.93891255178098021</v>
      </c>
      <c r="L19" s="289">
        <v>7.4554334018881958</v>
      </c>
      <c r="M19" s="289"/>
      <c r="N19" s="289"/>
      <c r="O19" s="290"/>
    </row>
    <row r="20" spans="1:15" x14ac:dyDescent="0.2">
      <c r="A20" s="301" t="s">
        <v>120</v>
      </c>
      <c r="B20" s="302" t="s">
        <v>113</v>
      </c>
      <c r="C20" s="303">
        <v>1</v>
      </c>
      <c r="D20" s="303">
        <v>0.98623481781370048</v>
      </c>
      <c r="E20" s="304">
        <v>0.98474353529269409</v>
      </c>
      <c r="F20" s="304">
        <v>0.9775289338793075</v>
      </c>
      <c r="G20" s="304">
        <v>0.96353258579692225</v>
      </c>
      <c r="H20" s="304">
        <v>0.94423474865555734</v>
      </c>
      <c r="I20" s="305">
        <v>0.92038443693353844</v>
      </c>
      <c r="J20" s="306">
        <v>0.90934468106280009</v>
      </c>
      <c r="K20" s="307">
        <v>0.9231127917555092</v>
      </c>
      <c r="L20" s="292">
        <v>7.583038673625035</v>
      </c>
      <c r="M20" s="292">
        <v>1.0592162042221016</v>
      </c>
      <c r="N20" s="292">
        <v>1.068895724354388</v>
      </c>
      <c r="O20" s="291">
        <v>1.0632389618068001</v>
      </c>
    </row>
    <row r="21" spans="1:15" x14ac:dyDescent="0.2">
      <c r="A21" s="155"/>
      <c r="B21" s="309" t="s">
        <v>1</v>
      </c>
      <c r="C21" s="282">
        <v>1</v>
      </c>
      <c r="D21" s="282">
        <v>0.98318012908256014</v>
      </c>
      <c r="E21" s="283">
        <v>0.98318012894994022</v>
      </c>
      <c r="F21" s="283">
        <v>0.97377629434672675</v>
      </c>
      <c r="G21" s="283">
        <v>0.95272372988061971</v>
      </c>
      <c r="H21" s="283">
        <v>0.9269092970830588</v>
      </c>
      <c r="I21" s="310">
        <v>0.89374238543303741</v>
      </c>
      <c r="J21" s="297">
        <v>0.87910800627282926</v>
      </c>
      <c r="K21" s="283">
        <v>0.89558274308285368</v>
      </c>
      <c r="L21" s="284">
        <v>7.8161398866440699</v>
      </c>
      <c r="M21" s="284"/>
      <c r="N21" s="284"/>
      <c r="O21" s="285"/>
    </row>
    <row r="22" spans="1:15" x14ac:dyDescent="0.2">
      <c r="A22" s="286"/>
      <c r="B22" s="312" t="s">
        <v>0</v>
      </c>
      <c r="C22" s="287">
        <v>1</v>
      </c>
      <c r="D22" s="287">
        <v>0.98951122299138006</v>
      </c>
      <c r="E22" s="288">
        <v>0.98350539932147163</v>
      </c>
      <c r="F22" s="288">
        <v>0.97862952026372285</v>
      </c>
      <c r="G22" s="288">
        <v>0.9724866073548718</v>
      </c>
      <c r="H22" s="288">
        <v>0.96047118103016316</v>
      </c>
      <c r="I22" s="313">
        <v>0.94666641705078836</v>
      </c>
      <c r="J22" s="314">
        <v>0.93967478915073765</v>
      </c>
      <c r="K22" s="288">
        <v>0.95221846596749959</v>
      </c>
      <c r="L22" s="289">
        <v>7.3512542028762953</v>
      </c>
      <c r="M22" s="289"/>
      <c r="N22" s="289"/>
      <c r="O22" s="290"/>
    </row>
    <row r="23" spans="1:15" x14ac:dyDescent="0.2">
      <c r="A23" s="301" t="s">
        <v>121</v>
      </c>
      <c r="B23" s="302" t="s">
        <v>113</v>
      </c>
      <c r="C23" s="303">
        <v>1</v>
      </c>
      <c r="D23" s="303">
        <v>0.91593983061519957</v>
      </c>
      <c r="E23" s="304">
        <v>0.87272772789423347</v>
      </c>
      <c r="F23" s="304">
        <v>0.83634337315296414</v>
      </c>
      <c r="G23" s="304">
        <v>0.79695567899777087</v>
      </c>
      <c r="H23" s="304">
        <v>0.7478975426308847</v>
      </c>
      <c r="I23" s="305">
        <v>0.69513234116553224</v>
      </c>
      <c r="J23" s="306">
        <v>0.66871047181161414</v>
      </c>
      <c r="K23" s="307">
        <v>0.76259747366771657</v>
      </c>
      <c r="L23" s="292">
        <v>9.1791544578996085</v>
      </c>
      <c r="M23" s="292">
        <v>1.226446384156362</v>
      </c>
      <c r="N23" s="292">
        <v>1.2601085592543608</v>
      </c>
      <c r="O23" s="291">
        <v>1.1946353901150621</v>
      </c>
    </row>
    <row r="24" spans="1:15" x14ac:dyDescent="0.2">
      <c r="A24" s="155"/>
      <c r="B24" s="309" t="s">
        <v>1</v>
      </c>
      <c r="C24" s="282">
        <v>1</v>
      </c>
      <c r="D24" s="282">
        <v>0.89702683103578051</v>
      </c>
      <c r="E24" s="283">
        <v>0.85393386856955722</v>
      </c>
      <c r="F24" s="283">
        <v>0.8083652150970605</v>
      </c>
      <c r="G24" s="283">
        <v>0.75779697795670808</v>
      </c>
      <c r="H24" s="283">
        <v>0.69450410324245004</v>
      </c>
      <c r="I24" s="310">
        <v>0.62852180291152682</v>
      </c>
      <c r="J24" s="297">
        <v>0.59661649902013936</v>
      </c>
      <c r="K24" s="283">
        <v>0.69811327033896919</v>
      </c>
      <c r="L24" s="284">
        <v>10.027026125146062</v>
      </c>
      <c r="M24" s="284"/>
      <c r="N24" s="284"/>
      <c r="O24" s="285"/>
    </row>
    <row r="25" spans="1:15" x14ac:dyDescent="0.2">
      <c r="A25" s="286"/>
      <c r="B25" s="312" t="s">
        <v>0</v>
      </c>
      <c r="C25" s="287">
        <v>1</v>
      </c>
      <c r="D25" s="287">
        <v>0.93667196608363923</v>
      </c>
      <c r="E25" s="288">
        <v>0.89334329715958283</v>
      </c>
      <c r="F25" s="288">
        <v>0.8669619740721739</v>
      </c>
      <c r="G25" s="288">
        <v>0.84069034737112591</v>
      </c>
      <c r="H25" s="288">
        <v>0.80829934871183007</v>
      </c>
      <c r="I25" s="313">
        <v>0.77084829254427967</v>
      </c>
      <c r="J25" s="314">
        <v>0.75180155700764861</v>
      </c>
      <c r="K25" s="288">
        <v>0.83399081905589634</v>
      </c>
      <c r="L25" s="289">
        <v>8.3933777687435676</v>
      </c>
      <c r="M25" s="289"/>
      <c r="N25" s="289"/>
      <c r="O25" s="290"/>
    </row>
    <row r="26" spans="1:15" x14ac:dyDescent="0.2">
      <c r="A26" s="301" t="s">
        <v>122</v>
      </c>
      <c r="B26" s="302" t="s">
        <v>113</v>
      </c>
      <c r="C26" s="341">
        <v>1</v>
      </c>
      <c r="D26" s="341">
        <v>0.98370185818726641</v>
      </c>
      <c r="E26" s="342">
        <v>0.96567329687898151</v>
      </c>
      <c r="F26" s="342">
        <v>0.94708746408957312</v>
      </c>
      <c r="G26" s="342">
        <v>0.91290991079662376</v>
      </c>
      <c r="H26" s="342">
        <v>0.87918528081669955</v>
      </c>
      <c r="I26" s="343">
        <v>0.84414804791219322</v>
      </c>
      <c r="J26" s="344">
        <v>0.83109105639850511</v>
      </c>
      <c r="K26" s="307">
        <v>0.85614717622700087</v>
      </c>
      <c r="L26" s="345">
        <v>8.1761643259149217</v>
      </c>
      <c r="M26" s="345">
        <v>1.0658312232817571</v>
      </c>
      <c r="N26" s="345">
        <v>1.0734015375504322</v>
      </c>
      <c r="O26" s="346">
        <v>1.0793783847546332</v>
      </c>
    </row>
    <row r="27" spans="1:15" ht="12" x14ac:dyDescent="0.2">
      <c r="A27" s="347"/>
      <c r="B27" s="309" t="s">
        <v>1</v>
      </c>
      <c r="C27" s="348">
        <v>1</v>
      </c>
      <c r="D27" s="348">
        <v>0.98252234357891433</v>
      </c>
      <c r="E27" s="349">
        <v>0.9646232907009028</v>
      </c>
      <c r="F27" s="349">
        <v>0.94075566372726271</v>
      </c>
      <c r="G27" s="349">
        <v>0.89773913543545458</v>
      </c>
      <c r="H27" s="349">
        <v>0.86203472993222263</v>
      </c>
      <c r="I27" s="350">
        <v>0.81839554021156247</v>
      </c>
      <c r="J27" s="351">
        <v>0.80292839922475689</v>
      </c>
      <c r="K27" s="349">
        <v>0.82490836131008882</v>
      </c>
      <c r="L27" s="293">
        <v>8.4857910627586079</v>
      </c>
      <c r="M27" s="293"/>
      <c r="N27" s="293"/>
      <c r="O27" s="352"/>
    </row>
    <row r="28" spans="1:15" x14ac:dyDescent="0.2">
      <c r="A28" s="286"/>
      <c r="B28" s="312" t="s">
        <v>0</v>
      </c>
      <c r="C28" s="353">
        <v>1</v>
      </c>
      <c r="D28" s="353">
        <v>0.98499347542011451</v>
      </c>
      <c r="E28" s="354">
        <v>0.96682549636549031</v>
      </c>
      <c r="F28" s="354">
        <v>0.95384796467409083</v>
      </c>
      <c r="G28" s="354">
        <v>0.92966528714801377</v>
      </c>
      <c r="H28" s="354">
        <v>0.89806784397530837</v>
      </c>
      <c r="I28" s="355">
        <v>0.87227151975202399</v>
      </c>
      <c r="J28" s="356">
        <v>0.86186457827076135</v>
      </c>
      <c r="K28" s="354">
        <v>0.89038825460147497</v>
      </c>
      <c r="L28" s="357">
        <v>7.8617389254905428</v>
      </c>
      <c r="M28" s="357"/>
      <c r="N28" s="357"/>
      <c r="O28" s="358"/>
    </row>
    <row r="29" spans="1:15" x14ac:dyDescent="0.2">
      <c r="A29" s="301" t="s">
        <v>123</v>
      </c>
      <c r="B29" s="302" t="s">
        <v>113</v>
      </c>
      <c r="C29" s="341">
        <v>1</v>
      </c>
      <c r="D29" s="341">
        <v>0.99999999999986378</v>
      </c>
      <c r="E29" s="342">
        <v>0.99999999998962119</v>
      </c>
      <c r="F29" s="342">
        <v>0.99840425524288035</v>
      </c>
      <c r="G29" s="342">
        <v>0.99840425513345599</v>
      </c>
      <c r="H29" s="342">
        <v>0.99840425497552876</v>
      </c>
      <c r="I29" s="343">
        <v>0.98212460418127301</v>
      </c>
      <c r="J29" s="344">
        <v>0.97418454207511973</v>
      </c>
      <c r="K29" s="307">
        <v>0.9667949876613332</v>
      </c>
      <c r="L29" s="345">
        <v>7.2404181748324179</v>
      </c>
      <c r="M29" s="345">
        <v>1.0225942573173301</v>
      </c>
      <c r="N29" s="345">
        <v>1.0289422767891669</v>
      </c>
      <c r="O29" s="346">
        <v>1.0329698278829371</v>
      </c>
    </row>
    <row r="30" spans="1:15" x14ac:dyDescent="0.2">
      <c r="A30" s="155"/>
      <c r="B30" s="309" t="s">
        <v>1</v>
      </c>
      <c r="C30" s="348">
        <v>1</v>
      </c>
      <c r="D30" s="348">
        <v>0.99999999999882816</v>
      </c>
      <c r="E30" s="349">
        <v>0.99999999993899924</v>
      </c>
      <c r="F30" s="349">
        <v>0.9999999998139304</v>
      </c>
      <c r="G30" s="349">
        <v>0.99948240105079922</v>
      </c>
      <c r="H30" s="349">
        <v>0.99527109813213288</v>
      </c>
      <c r="I30" s="350">
        <v>0.96905554700094232</v>
      </c>
      <c r="J30" s="351">
        <v>0.95826161140352017</v>
      </c>
      <c r="K30" s="349">
        <v>0.95004638856048884</v>
      </c>
      <c r="L30" s="293">
        <v>7.3680612697306351</v>
      </c>
      <c r="M30" s="293"/>
      <c r="N30" s="293"/>
      <c r="O30" s="352"/>
    </row>
    <row r="31" spans="1:15" x14ac:dyDescent="0.2">
      <c r="A31" s="286"/>
      <c r="B31" s="312" t="s">
        <v>0</v>
      </c>
      <c r="C31" s="353">
        <v>1</v>
      </c>
      <c r="D31" s="353">
        <v>0.999999999999995</v>
      </c>
      <c r="E31" s="354">
        <v>0.99999999999867428</v>
      </c>
      <c r="F31" s="354">
        <v>0.99607182935847138</v>
      </c>
      <c r="G31" s="354">
        <v>0.99607182933623928</v>
      </c>
      <c r="H31" s="354">
        <v>0.99607182931090377</v>
      </c>
      <c r="I31" s="355">
        <v>0.99095063738466771</v>
      </c>
      <c r="J31" s="356">
        <v>0.98599588419719397</v>
      </c>
      <c r="K31" s="354">
        <v>0.98136925447213408</v>
      </c>
      <c r="L31" s="357">
        <v>7.1328910785626869</v>
      </c>
      <c r="M31" s="357"/>
      <c r="N31" s="357"/>
      <c r="O31" s="358"/>
    </row>
    <row r="32" spans="1:15" ht="12" customHeight="1" x14ac:dyDescent="0.2">
      <c r="A32" s="301" t="s">
        <v>124</v>
      </c>
      <c r="B32" s="302" t="s">
        <v>113</v>
      </c>
      <c r="C32" s="341">
        <v>1</v>
      </c>
      <c r="D32" s="341">
        <v>0.99999999999308153</v>
      </c>
      <c r="E32" s="342">
        <v>0.99035757270180425</v>
      </c>
      <c r="F32" s="342">
        <v>0.98716928829298289</v>
      </c>
      <c r="G32" s="342">
        <v>0.97270522150916228</v>
      </c>
      <c r="H32" s="342">
        <v>0.95695583973887688</v>
      </c>
      <c r="I32" s="343">
        <v>0.93750396393278879</v>
      </c>
      <c r="J32" s="344">
        <v>0.93147350546026708</v>
      </c>
      <c r="K32" s="307">
        <v>0.92618234220586626</v>
      </c>
      <c r="L32" s="345">
        <v>7.5579069919733826</v>
      </c>
      <c r="M32" s="345">
        <v>1.039544700592645</v>
      </c>
      <c r="N32" s="345">
        <v>1.0467308514161588</v>
      </c>
      <c r="O32" s="346">
        <v>1.0456210504154519</v>
      </c>
    </row>
    <row r="33" spans="1:15" ht="10.5" customHeight="1" x14ac:dyDescent="0.2">
      <c r="A33" s="155"/>
      <c r="B33" s="309" t="s">
        <v>1</v>
      </c>
      <c r="C33" s="348">
        <v>1</v>
      </c>
      <c r="D33" s="348">
        <v>0.98800959230701946</v>
      </c>
      <c r="E33" s="349">
        <v>0.98171653523122782</v>
      </c>
      <c r="F33" s="349">
        <v>0.97565183229893437</v>
      </c>
      <c r="G33" s="349">
        <v>0.94915988895884107</v>
      </c>
      <c r="H33" s="349">
        <v>0.93036408267618909</v>
      </c>
      <c r="I33" s="350">
        <v>0.9145096705164738</v>
      </c>
      <c r="J33" s="351">
        <v>0.90551742296710924</v>
      </c>
      <c r="K33" s="349">
        <v>0.90554505430323851</v>
      </c>
      <c r="L33" s="293">
        <v>7.7301509921956031</v>
      </c>
      <c r="M33" s="293"/>
      <c r="N33" s="293"/>
      <c r="O33" s="352"/>
    </row>
    <row r="34" spans="1:15" x14ac:dyDescent="0.2">
      <c r="A34" s="286"/>
      <c r="B34" s="312" t="s">
        <v>0</v>
      </c>
      <c r="C34" s="353">
        <v>1</v>
      </c>
      <c r="D34" s="353">
        <v>0.99999999999824396</v>
      </c>
      <c r="E34" s="354">
        <v>0.9870235197478926</v>
      </c>
      <c r="F34" s="354">
        <v>0.98702351825026913</v>
      </c>
      <c r="G34" s="354">
        <v>0.98617845952589145</v>
      </c>
      <c r="H34" s="354">
        <v>0.97386084469735257</v>
      </c>
      <c r="I34" s="355">
        <v>0.9506736816261262</v>
      </c>
      <c r="J34" s="356">
        <v>0.94783302311452833</v>
      </c>
      <c r="K34" s="354">
        <v>0.94685697087906973</v>
      </c>
      <c r="L34" s="357">
        <v>7.3928800392113532</v>
      </c>
      <c r="M34" s="357"/>
      <c r="N34" s="357"/>
      <c r="O34" s="358"/>
    </row>
    <row r="35" spans="1:15" x14ac:dyDescent="0.2">
      <c r="A35" s="301" t="s">
        <v>125</v>
      </c>
      <c r="B35" s="302" t="s">
        <v>113</v>
      </c>
      <c r="C35" s="341">
        <v>1</v>
      </c>
      <c r="D35" s="341">
        <v>0.99999999997106925</v>
      </c>
      <c r="E35" s="342">
        <v>0.9994022606375208</v>
      </c>
      <c r="F35" s="342">
        <v>0.99193269570124853</v>
      </c>
      <c r="G35" s="342">
        <v>0.97474114577061044</v>
      </c>
      <c r="H35" s="342">
        <v>0.95966413136004913</v>
      </c>
      <c r="I35" s="343">
        <v>0.9335112668208847</v>
      </c>
      <c r="J35" s="344">
        <v>0.92235094969076414</v>
      </c>
      <c r="K35" s="307">
        <v>0.89405875537537494</v>
      </c>
      <c r="L35" s="345">
        <v>7.8294630614752112</v>
      </c>
      <c r="M35" s="345">
        <v>1.1452205188313132</v>
      </c>
      <c r="N35" s="345">
        <v>1.142538710727599</v>
      </c>
      <c r="O35" s="346">
        <v>1.1438395228364344</v>
      </c>
    </row>
    <row r="36" spans="1:15" ht="12" x14ac:dyDescent="0.2">
      <c r="A36" s="347"/>
      <c r="B36" s="309" t="s">
        <v>1</v>
      </c>
      <c r="C36" s="348">
        <v>1</v>
      </c>
      <c r="D36" s="348">
        <v>0.99778638613006987</v>
      </c>
      <c r="E36" s="349">
        <v>0.99662878841214431</v>
      </c>
      <c r="F36" s="349">
        <v>0.98798643688127463</v>
      </c>
      <c r="G36" s="349">
        <v>0.95428053505492916</v>
      </c>
      <c r="H36" s="349">
        <v>0.92024310232193163</v>
      </c>
      <c r="I36" s="350">
        <v>0.86778726026878672</v>
      </c>
      <c r="J36" s="351">
        <v>0.85837909925916367</v>
      </c>
      <c r="K36" s="349">
        <v>0.83335828498423947</v>
      </c>
      <c r="L36" s="293">
        <v>8.3997484948894279</v>
      </c>
      <c r="M36" s="293"/>
      <c r="N36" s="293"/>
      <c r="O36" s="352"/>
    </row>
    <row r="37" spans="1:15" x14ac:dyDescent="0.2">
      <c r="A37" s="286"/>
      <c r="B37" s="312" t="s">
        <v>0</v>
      </c>
      <c r="C37" s="353">
        <v>1</v>
      </c>
      <c r="D37" s="353">
        <v>0.99999999999756495</v>
      </c>
      <c r="E37" s="354">
        <v>0.99999999946686924</v>
      </c>
      <c r="F37" s="354">
        <v>0.99380803671892182</v>
      </c>
      <c r="G37" s="354">
        <v>0.99380797260804332</v>
      </c>
      <c r="H37" s="354">
        <v>0.99380778647550794</v>
      </c>
      <c r="I37" s="355">
        <v>0.99380777644022378</v>
      </c>
      <c r="J37" s="356">
        <v>0.9807313493830826</v>
      </c>
      <c r="K37" s="354">
        <v>0.95322814304816184</v>
      </c>
      <c r="L37" s="357">
        <v>7.3434676169084998</v>
      </c>
      <c r="M37" s="357"/>
      <c r="N37" s="357"/>
      <c r="O37" s="358"/>
    </row>
    <row r="38" spans="1:15" x14ac:dyDescent="0.2">
      <c r="A38" s="301" t="s">
        <v>126</v>
      </c>
      <c r="B38" s="302" t="s">
        <v>113</v>
      </c>
      <c r="C38" s="303">
        <v>1</v>
      </c>
      <c r="D38" s="303">
        <v>0.99999999999996902</v>
      </c>
      <c r="E38" s="304">
        <v>0.99999999999660705</v>
      </c>
      <c r="F38" s="304">
        <v>0.99908361965039383</v>
      </c>
      <c r="G38" s="304">
        <v>0.99290763904210944</v>
      </c>
      <c r="H38" s="304">
        <v>0.98135260400207336</v>
      </c>
      <c r="I38" s="305">
        <v>0.97548014825839002</v>
      </c>
      <c r="J38" s="306">
        <v>0.96679869062524093</v>
      </c>
      <c r="K38" s="307">
        <v>0.96462033530774471</v>
      </c>
      <c r="L38" s="292">
        <v>7.2567410656616271</v>
      </c>
      <c r="M38" s="292">
        <v>1.0392829142181337</v>
      </c>
      <c r="N38" s="292">
        <v>1.0383247039701546</v>
      </c>
      <c r="O38" s="291">
        <v>1.0326761536560045</v>
      </c>
    </row>
    <row r="39" spans="1:15" x14ac:dyDescent="0.2">
      <c r="A39" s="155"/>
      <c r="B39" s="309" t="s">
        <v>1</v>
      </c>
      <c r="C39" s="282">
        <v>1</v>
      </c>
      <c r="D39" s="282">
        <v>0.9999999999998983</v>
      </c>
      <c r="E39" s="283">
        <v>0.9999999999896797</v>
      </c>
      <c r="F39" s="283">
        <v>0.99235611493935527</v>
      </c>
      <c r="G39" s="283">
        <v>0.97859189102330313</v>
      </c>
      <c r="H39" s="283">
        <v>0.96455301912740277</v>
      </c>
      <c r="I39" s="310">
        <v>0.95180743361047448</v>
      </c>
      <c r="J39" s="297">
        <v>0.94376257413949483</v>
      </c>
      <c r="K39" s="283">
        <v>0.94695193604222572</v>
      </c>
      <c r="L39" s="284">
        <v>7.3921386435476508</v>
      </c>
      <c r="M39" s="284"/>
      <c r="N39" s="284"/>
      <c r="O39" s="285"/>
    </row>
    <row r="40" spans="1:15" x14ac:dyDescent="0.2">
      <c r="A40" s="286"/>
      <c r="B40" s="312" t="s">
        <v>0</v>
      </c>
      <c r="C40" s="287">
        <v>1</v>
      </c>
      <c r="D40" s="287">
        <v>0.99863138686130704</v>
      </c>
      <c r="E40" s="288">
        <v>0.99818990525708085</v>
      </c>
      <c r="F40" s="288">
        <v>0.9981899052472345</v>
      </c>
      <c r="G40" s="288">
        <v>0.99818990524030193</v>
      </c>
      <c r="H40" s="288">
        <v>0.98919720337724759</v>
      </c>
      <c r="I40" s="313">
        <v>0.98919720337717665</v>
      </c>
      <c r="J40" s="314">
        <v>0.97993199541150211</v>
      </c>
      <c r="K40" s="288">
        <v>0.97789468300919247</v>
      </c>
      <c r="L40" s="289">
        <v>7.1582350549851581</v>
      </c>
      <c r="M40" s="289"/>
      <c r="N40" s="289"/>
      <c r="O40" s="290"/>
    </row>
    <row r="41" spans="1:15" x14ac:dyDescent="0.2">
      <c r="A41" s="301" t="s">
        <v>127</v>
      </c>
      <c r="B41" s="302" t="s">
        <v>113</v>
      </c>
      <c r="C41" s="303">
        <v>1</v>
      </c>
      <c r="D41" s="303">
        <v>0.99999999999992695</v>
      </c>
      <c r="E41" s="304">
        <v>0.99866354827196457</v>
      </c>
      <c r="F41" s="304">
        <v>0.99655814363546769</v>
      </c>
      <c r="G41" s="304">
        <v>0.99655814329842218</v>
      </c>
      <c r="H41" s="304">
        <v>0.98963874379876871</v>
      </c>
      <c r="I41" s="305">
        <v>0.97764917797235029</v>
      </c>
      <c r="J41" s="306">
        <v>0.9679616532305868</v>
      </c>
      <c r="K41" s="307">
        <v>0.96069113955933472</v>
      </c>
      <c r="L41" s="292">
        <v>7.2864209023629307</v>
      </c>
      <c r="M41" s="292">
        <v>1.0051747217335858</v>
      </c>
      <c r="N41" s="292">
        <v>1.0107637482063057</v>
      </c>
      <c r="O41" s="291">
        <v>1.020183666906443</v>
      </c>
    </row>
    <row r="42" spans="1:15" x14ac:dyDescent="0.2">
      <c r="A42" s="155"/>
      <c r="B42" s="309" t="s">
        <v>1</v>
      </c>
      <c r="C42" s="282">
        <v>1</v>
      </c>
      <c r="D42" s="282">
        <v>0.99999999999956934</v>
      </c>
      <c r="E42" s="283">
        <v>0.99544715443672405</v>
      </c>
      <c r="F42" s="283">
        <v>0.99544715398256922</v>
      </c>
      <c r="G42" s="283">
        <v>0.99026433144794945</v>
      </c>
      <c r="H42" s="283">
        <v>0.98575287180660509</v>
      </c>
      <c r="I42" s="310">
        <v>0.97141464790125276</v>
      </c>
      <c r="J42" s="297">
        <v>0.95920039658422052</v>
      </c>
      <c r="K42" s="283">
        <v>0.94957905522777009</v>
      </c>
      <c r="L42" s="284">
        <v>7.3716874455712906</v>
      </c>
      <c r="M42" s="284"/>
      <c r="N42" s="284"/>
      <c r="O42" s="285"/>
    </row>
    <row r="43" spans="1:15" x14ac:dyDescent="0.2">
      <c r="A43" s="286"/>
      <c r="B43" s="312" t="s">
        <v>0</v>
      </c>
      <c r="C43" s="287">
        <v>1</v>
      </c>
      <c r="D43" s="287">
        <v>0.999999999999994</v>
      </c>
      <c r="E43" s="288">
        <v>0.9999999999991791</v>
      </c>
      <c r="F43" s="288">
        <v>0.99526584120866535</v>
      </c>
      <c r="G43" s="288">
        <v>0.99526584117126526</v>
      </c>
      <c r="H43" s="288">
        <v>0.98590178076431534</v>
      </c>
      <c r="I43" s="313">
        <v>0.97644144839207103</v>
      </c>
      <c r="J43" s="314">
        <v>0.96952498813244159</v>
      </c>
      <c r="K43" s="288">
        <v>0.9687450425798223</v>
      </c>
      <c r="L43" s="289">
        <v>7.2258434286885311</v>
      </c>
      <c r="M43" s="289"/>
      <c r="N43" s="289"/>
      <c r="O43" s="290"/>
    </row>
    <row r="44" spans="1:15" s="203" customFormat="1" x14ac:dyDescent="0.2">
      <c r="A44" s="315" t="s">
        <v>15</v>
      </c>
      <c r="B44" s="316" t="s">
        <v>113</v>
      </c>
      <c r="C44" s="317">
        <v>1</v>
      </c>
      <c r="D44" s="317">
        <v>0.99222332637352895</v>
      </c>
      <c r="E44" s="318">
        <v>0.98585249827184829</v>
      </c>
      <c r="F44" s="318">
        <v>0.97635056556922661</v>
      </c>
      <c r="G44" s="318">
        <v>0.96227690443027103</v>
      </c>
      <c r="H44" s="318">
        <v>0.94633149838954689</v>
      </c>
      <c r="I44" s="319">
        <v>0.92520593037315391</v>
      </c>
      <c r="J44" s="317">
        <v>0.91513120506107315</v>
      </c>
      <c r="K44" s="320">
        <v>0.92423573497134559</v>
      </c>
      <c r="L44" s="321">
        <v>7.5738253079091589</v>
      </c>
      <c r="M44" s="321">
        <v>1.0609067491025097</v>
      </c>
      <c r="N44" s="321">
        <v>1.0692734767320771</v>
      </c>
      <c r="O44" s="322">
        <v>1.0635510716911372</v>
      </c>
    </row>
    <row r="45" spans="1:15" s="203" customFormat="1" x14ac:dyDescent="0.2">
      <c r="A45" s="323"/>
      <c r="B45" s="324" t="s">
        <v>1</v>
      </c>
      <c r="C45" s="325">
        <v>1</v>
      </c>
      <c r="D45" s="325">
        <v>0.99061817925576823</v>
      </c>
      <c r="E45" s="326">
        <v>0.98407036092980804</v>
      </c>
      <c r="F45" s="326">
        <v>0.9712931775226894</v>
      </c>
      <c r="G45" s="326">
        <v>0.95125382458119923</v>
      </c>
      <c r="H45" s="326">
        <v>0.92884127525629323</v>
      </c>
      <c r="I45" s="327">
        <v>0.89897789361005664</v>
      </c>
      <c r="J45" s="325">
        <v>0.88583119666713606</v>
      </c>
      <c r="K45" s="326">
        <v>0.89695370544073716</v>
      </c>
      <c r="L45" s="328">
        <v>7.8041931902833293</v>
      </c>
      <c r="M45" s="328"/>
      <c r="N45" s="328"/>
      <c r="O45" s="329"/>
    </row>
    <row r="46" spans="1:15" s="203" customFormat="1" ht="12" thickBot="1" x14ac:dyDescent="0.25">
      <c r="A46" s="330"/>
      <c r="B46" s="331" t="s">
        <v>0</v>
      </c>
      <c r="C46" s="332">
        <v>1</v>
      </c>
      <c r="D46" s="332">
        <v>0.99394799054362137</v>
      </c>
      <c r="E46" s="333">
        <v>0.98776644896625565</v>
      </c>
      <c r="F46" s="333">
        <v>0.9817745210187635</v>
      </c>
      <c r="G46" s="333">
        <v>0.97436667616373585</v>
      </c>
      <c r="H46" s="333">
        <v>0.96536685664347976</v>
      </c>
      <c r="I46" s="334">
        <v>0.95373171462486694</v>
      </c>
      <c r="J46" s="332">
        <v>0.94719580345800491</v>
      </c>
      <c r="K46" s="333">
        <v>0.95395607467883248</v>
      </c>
      <c r="L46" s="335">
        <v>7.3378640650269817</v>
      </c>
      <c r="M46" s="335"/>
      <c r="N46" s="335"/>
      <c r="O46" s="336"/>
    </row>
  </sheetData>
  <sheetProtection algorithmName="SHA-512" hashValue="2lVll4j28zZQTDglpREEox/HBxFnf+hV0mLhV/tMRLvGduktuvLZYtzjtb7XzA7/2bkdRTyQKjKVLz2tWNg3og==" saltValue="iR+tH9J5W4ndYDc6uN3xag==" spinCount="100000" sheet="1" objects="1" scenarios="1"/>
  <mergeCells count="8">
    <mergeCell ref="B9:B10"/>
    <mergeCell ref="C9:H9"/>
    <mergeCell ref="A6:O6"/>
    <mergeCell ref="A1:O1"/>
    <mergeCell ref="A2:O2"/>
    <mergeCell ref="A3:O3"/>
    <mergeCell ref="A4:O4"/>
    <mergeCell ref="A5:O5"/>
  </mergeCells>
  <printOptions horizontalCentered="1"/>
  <pageMargins left="0" right="0" top="1" bottom="0.75" header="0.5" footer="0.35"/>
  <pageSetup paperSize="9" scale="66" orientation="portrait" horizontalDpi="300" verticalDpi="300" r:id="rId1"/>
  <headerFooter alignWithMargins="0">
    <oddFooter>&amp;C&amp;8Page &amp;P of &amp;N</oddFooter>
  </headerFooter>
  <picture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579EA-3AAF-465B-AB37-1811818AF896}">
  <sheetPr>
    <tabColor rgb="FF0000FF"/>
    <pageSetUpPr fitToPage="1"/>
  </sheetPr>
  <dimension ref="A1:N46"/>
  <sheetViews>
    <sheetView showGridLines="0" zoomScale="98" zoomScaleNormal="98" workbookViewId="0">
      <pane xSplit="2" ySplit="8" topLeftCell="C9" activePane="bottomRight" state="frozen"/>
      <selection activeCell="A9" sqref="A9:A12"/>
      <selection pane="topRight" activeCell="A9" sqref="A9:A12"/>
      <selection pane="bottomLeft" activeCell="A9" sqref="A9:A12"/>
      <selection pane="bottomRight" activeCell="A9" sqref="A9:A12"/>
    </sheetView>
  </sheetViews>
  <sheetFormatPr defaultRowHeight="11.25" x14ac:dyDescent="0.2"/>
  <cols>
    <col min="1" max="1" width="46.42578125" style="337" customWidth="1"/>
    <col min="2" max="2" width="10.42578125" style="338" customWidth="1"/>
    <col min="3" max="4" width="6.5703125" style="219" customWidth="1"/>
    <col min="5" max="5" width="7" style="219" bestFit="1" customWidth="1"/>
    <col min="6" max="6" width="7.42578125" style="219" bestFit="1" customWidth="1"/>
    <col min="7" max="7" width="7.5703125" style="219" bestFit="1" customWidth="1"/>
    <col min="8" max="8" width="7.42578125" style="219" bestFit="1" customWidth="1"/>
    <col min="9" max="9" width="7.5703125" style="219" bestFit="1" customWidth="1"/>
    <col min="10" max="10" width="10.42578125" style="263" customWidth="1"/>
    <col min="11" max="11" width="9.5703125" style="364" customWidth="1"/>
    <col min="12" max="14" width="8.7109375" style="360"/>
    <col min="15" max="198" width="8.7109375" style="338"/>
    <col min="199" max="199" width="23.85546875" style="338" customWidth="1"/>
    <col min="200" max="200" width="10.5703125" style="338" customWidth="1"/>
    <col min="201" max="201" width="6.5703125" style="338" customWidth="1"/>
    <col min="202" max="202" width="7" style="338" bestFit="1" customWidth="1"/>
    <col min="203" max="203" width="7.42578125" style="338" bestFit="1" customWidth="1"/>
    <col min="204" max="204" width="7.5703125" style="338" bestFit="1" customWidth="1"/>
    <col min="205" max="205" width="7.42578125" style="338" bestFit="1" customWidth="1"/>
    <col min="206" max="206" width="7.5703125" style="338" bestFit="1" customWidth="1"/>
    <col min="207" max="207" width="10.42578125" style="338" bestFit="1" customWidth="1"/>
    <col min="208" max="208" width="10.140625" style="338" bestFit="1" customWidth="1"/>
    <col min="209" max="209" width="23.85546875" style="338" customWidth="1"/>
    <col min="210" max="210" width="10.5703125" style="338" customWidth="1"/>
    <col min="211" max="211" width="6.5703125" style="338" customWidth="1"/>
    <col min="212" max="212" width="7" style="338" customWidth="1"/>
    <col min="213" max="213" width="7.42578125" style="338" customWidth="1"/>
    <col min="214" max="214" width="7.5703125" style="338" customWidth="1"/>
    <col min="215" max="215" width="7.42578125" style="338" customWidth="1"/>
    <col min="216" max="216" width="7.5703125" style="338" customWidth="1"/>
    <col min="217" max="217" width="10.42578125" style="338" customWidth="1"/>
    <col min="218" max="218" width="10.140625" style="338" customWidth="1"/>
    <col min="219" max="219" width="14.85546875" style="338" customWidth="1"/>
    <col min="220" max="220" width="10.5703125" style="338" customWidth="1"/>
    <col min="221" max="221" width="6.5703125" style="338" customWidth="1"/>
    <col min="222" max="222" width="7" style="338" customWidth="1"/>
    <col min="223" max="223" width="7.42578125" style="338" customWidth="1"/>
    <col min="224" max="224" width="7.5703125" style="338" customWidth="1"/>
    <col min="225" max="225" width="7.42578125" style="338" customWidth="1"/>
    <col min="226" max="226" width="7.5703125" style="338" customWidth="1"/>
    <col min="227" max="227" width="10.42578125" style="338" customWidth="1"/>
    <col min="228" max="228" width="10.140625" style="338" customWidth="1"/>
    <col min="229" max="229" width="8.7109375" style="338"/>
    <col min="230" max="248" width="9.140625" style="338" customWidth="1"/>
    <col min="249" max="454" width="8.7109375" style="338"/>
    <col min="455" max="455" width="23.85546875" style="338" customWidth="1"/>
    <col min="456" max="456" width="10.5703125" style="338" customWidth="1"/>
    <col min="457" max="457" width="6.5703125" style="338" customWidth="1"/>
    <col min="458" max="458" width="7" style="338" bestFit="1" customWidth="1"/>
    <col min="459" max="459" width="7.42578125" style="338" bestFit="1" customWidth="1"/>
    <col min="460" max="460" width="7.5703125" style="338" bestFit="1" customWidth="1"/>
    <col min="461" max="461" width="7.42578125" style="338" bestFit="1" customWidth="1"/>
    <col min="462" max="462" width="7.5703125" style="338" bestFit="1" customWidth="1"/>
    <col min="463" max="463" width="10.42578125" style="338" bestFit="1" customWidth="1"/>
    <col min="464" max="464" width="10.140625" style="338" bestFit="1" customWidth="1"/>
    <col min="465" max="465" width="23.85546875" style="338" customWidth="1"/>
    <col min="466" max="466" width="10.5703125" style="338" customWidth="1"/>
    <col min="467" max="467" width="6.5703125" style="338" customWidth="1"/>
    <col min="468" max="468" width="7" style="338" customWidth="1"/>
    <col min="469" max="469" width="7.42578125" style="338" customWidth="1"/>
    <col min="470" max="470" width="7.5703125" style="338" customWidth="1"/>
    <col min="471" max="471" width="7.42578125" style="338" customWidth="1"/>
    <col min="472" max="472" width="7.5703125" style="338" customWidth="1"/>
    <col min="473" max="473" width="10.42578125" style="338" customWidth="1"/>
    <col min="474" max="474" width="10.140625" style="338" customWidth="1"/>
    <col min="475" max="475" width="14.85546875" style="338" customWidth="1"/>
    <col min="476" max="476" width="10.5703125" style="338" customWidth="1"/>
    <col min="477" max="477" width="6.5703125" style="338" customWidth="1"/>
    <col min="478" max="478" width="7" style="338" customWidth="1"/>
    <col min="479" max="479" width="7.42578125" style="338" customWidth="1"/>
    <col min="480" max="480" width="7.5703125" style="338" customWidth="1"/>
    <col min="481" max="481" width="7.42578125" style="338" customWidth="1"/>
    <col min="482" max="482" width="7.5703125" style="338" customWidth="1"/>
    <col min="483" max="483" width="10.42578125" style="338" customWidth="1"/>
    <col min="484" max="484" width="10.140625" style="338" customWidth="1"/>
    <col min="485" max="485" width="8.7109375" style="338"/>
    <col min="486" max="504" width="9.140625" style="338" customWidth="1"/>
    <col min="505" max="710" width="8.7109375" style="338"/>
    <col min="711" max="711" width="23.85546875" style="338" customWidth="1"/>
    <col min="712" max="712" width="10.5703125" style="338" customWidth="1"/>
    <col min="713" max="713" width="6.5703125" style="338" customWidth="1"/>
    <col min="714" max="714" width="7" style="338" bestFit="1" customWidth="1"/>
    <col min="715" max="715" width="7.42578125" style="338" bestFit="1" customWidth="1"/>
    <col min="716" max="716" width="7.5703125" style="338" bestFit="1" customWidth="1"/>
    <col min="717" max="717" width="7.42578125" style="338" bestFit="1" customWidth="1"/>
    <col min="718" max="718" width="7.5703125" style="338" bestFit="1" customWidth="1"/>
    <col min="719" max="719" width="10.42578125" style="338" bestFit="1" customWidth="1"/>
    <col min="720" max="720" width="10.140625" style="338" bestFit="1" customWidth="1"/>
    <col min="721" max="721" width="23.85546875" style="338" customWidth="1"/>
    <col min="722" max="722" width="10.5703125" style="338" customWidth="1"/>
    <col min="723" max="723" width="6.5703125" style="338" customWidth="1"/>
    <col min="724" max="724" width="7" style="338" customWidth="1"/>
    <col min="725" max="725" width="7.42578125" style="338" customWidth="1"/>
    <col min="726" max="726" width="7.5703125" style="338" customWidth="1"/>
    <col min="727" max="727" width="7.42578125" style="338" customWidth="1"/>
    <col min="728" max="728" width="7.5703125" style="338" customWidth="1"/>
    <col min="729" max="729" width="10.42578125" style="338" customWidth="1"/>
    <col min="730" max="730" width="10.140625" style="338" customWidth="1"/>
    <col min="731" max="731" width="14.85546875" style="338" customWidth="1"/>
    <col min="732" max="732" width="10.5703125" style="338" customWidth="1"/>
    <col min="733" max="733" width="6.5703125" style="338" customWidth="1"/>
    <col min="734" max="734" width="7" style="338" customWidth="1"/>
    <col min="735" max="735" width="7.42578125" style="338" customWidth="1"/>
    <col min="736" max="736" width="7.5703125" style="338" customWidth="1"/>
    <col min="737" max="737" width="7.42578125" style="338" customWidth="1"/>
    <col min="738" max="738" width="7.5703125" style="338" customWidth="1"/>
    <col min="739" max="739" width="10.42578125" style="338" customWidth="1"/>
    <col min="740" max="740" width="10.140625" style="338" customWidth="1"/>
    <col min="741" max="741" width="8.7109375" style="338"/>
    <col min="742" max="760" width="9.140625" style="338" customWidth="1"/>
    <col min="761" max="966" width="8.7109375" style="338"/>
    <col min="967" max="967" width="23.85546875" style="338" customWidth="1"/>
    <col min="968" max="968" width="10.5703125" style="338" customWidth="1"/>
    <col min="969" max="969" width="6.5703125" style="338" customWidth="1"/>
    <col min="970" max="970" width="7" style="338" bestFit="1" customWidth="1"/>
    <col min="971" max="971" width="7.42578125" style="338" bestFit="1" customWidth="1"/>
    <col min="972" max="972" width="7.5703125" style="338" bestFit="1" customWidth="1"/>
    <col min="973" max="973" width="7.42578125" style="338" bestFit="1" customWidth="1"/>
    <col min="974" max="974" width="7.5703125" style="338" bestFit="1" customWidth="1"/>
    <col min="975" max="975" width="10.42578125" style="338" bestFit="1" customWidth="1"/>
    <col min="976" max="976" width="10.140625" style="338" bestFit="1" customWidth="1"/>
    <col min="977" max="977" width="23.85546875" style="338" customWidth="1"/>
    <col min="978" max="978" width="10.5703125" style="338" customWidth="1"/>
    <col min="979" max="979" width="6.5703125" style="338" customWidth="1"/>
    <col min="980" max="980" width="7" style="338" customWidth="1"/>
    <col min="981" max="981" width="7.42578125" style="338" customWidth="1"/>
    <col min="982" max="982" width="7.5703125" style="338" customWidth="1"/>
    <col min="983" max="983" width="7.42578125" style="338" customWidth="1"/>
    <col min="984" max="984" width="7.5703125" style="338" customWidth="1"/>
    <col min="985" max="985" width="10.42578125" style="338" customWidth="1"/>
    <col min="986" max="986" width="10.140625" style="338" customWidth="1"/>
    <col min="987" max="987" width="14.85546875" style="338" customWidth="1"/>
    <col min="988" max="988" width="10.5703125" style="338" customWidth="1"/>
    <col min="989" max="989" width="6.5703125" style="338" customWidth="1"/>
    <col min="990" max="990" width="7" style="338" customWidth="1"/>
    <col min="991" max="991" width="7.42578125" style="338" customWidth="1"/>
    <col min="992" max="992" width="7.5703125" style="338" customWidth="1"/>
    <col min="993" max="993" width="7.42578125" style="338" customWidth="1"/>
    <col min="994" max="994" width="7.5703125" style="338" customWidth="1"/>
    <col min="995" max="995" width="10.42578125" style="338" customWidth="1"/>
    <col min="996" max="996" width="10.140625" style="338" customWidth="1"/>
    <col min="997" max="997" width="8.7109375" style="338"/>
    <col min="998" max="1016" width="9.140625" style="338" customWidth="1"/>
    <col min="1017" max="1222" width="8.7109375" style="338"/>
    <col min="1223" max="1223" width="23.85546875" style="338" customWidth="1"/>
    <col min="1224" max="1224" width="10.5703125" style="338" customWidth="1"/>
    <col min="1225" max="1225" width="6.5703125" style="338" customWidth="1"/>
    <col min="1226" max="1226" width="7" style="338" bestFit="1" customWidth="1"/>
    <col min="1227" max="1227" width="7.42578125" style="338" bestFit="1" customWidth="1"/>
    <col min="1228" max="1228" width="7.5703125" style="338" bestFit="1" customWidth="1"/>
    <col min="1229" max="1229" width="7.42578125" style="338" bestFit="1" customWidth="1"/>
    <col min="1230" max="1230" width="7.5703125" style="338" bestFit="1" customWidth="1"/>
    <col min="1231" max="1231" width="10.42578125" style="338" bestFit="1" customWidth="1"/>
    <col min="1232" max="1232" width="10.140625" style="338" bestFit="1" customWidth="1"/>
    <col min="1233" max="1233" width="23.85546875" style="338" customWidth="1"/>
    <col min="1234" max="1234" width="10.5703125" style="338" customWidth="1"/>
    <col min="1235" max="1235" width="6.5703125" style="338" customWidth="1"/>
    <col min="1236" max="1236" width="7" style="338" customWidth="1"/>
    <col min="1237" max="1237" width="7.42578125" style="338" customWidth="1"/>
    <col min="1238" max="1238" width="7.5703125" style="338" customWidth="1"/>
    <col min="1239" max="1239" width="7.42578125" style="338" customWidth="1"/>
    <col min="1240" max="1240" width="7.5703125" style="338" customWidth="1"/>
    <col min="1241" max="1241" width="10.42578125" style="338" customWidth="1"/>
    <col min="1242" max="1242" width="10.140625" style="338" customWidth="1"/>
    <col min="1243" max="1243" width="14.85546875" style="338" customWidth="1"/>
    <col min="1244" max="1244" width="10.5703125" style="338" customWidth="1"/>
    <col min="1245" max="1245" width="6.5703125" style="338" customWidth="1"/>
    <col min="1246" max="1246" width="7" style="338" customWidth="1"/>
    <col min="1247" max="1247" width="7.42578125" style="338" customWidth="1"/>
    <col min="1248" max="1248" width="7.5703125" style="338" customWidth="1"/>
    <col min="1249" max="1249" width="7.42578125" style="338" customWidth="1"/>
    <col min="1250" max="1250" width="7.5703125" style="338" customWidth="1"/>
    <col min="1251" max="1251" width="10.42578125" style="338" customWidth="1"/>
    <col min="1252" max="1252" width="10.140625" style="338" customWidth="1"/>
    <col min="1253" max="1253" width="8.7109375" style="338"/>
    <col min="1254" max="1272" width="9.140625" style="338" customWidth="1"/>
    <col min="1273" max="1478" width="8.7109375" style="338"/>
    <col min="1479" max="1479" width="23.85546875" style="338" customWidth="1"/>
    <col min="1480" max="1480" width="10.5703125" style="338" customWidth="1"/>
    <col min="1481" max="1481" width="6.5703125" style="338" customWidth="1"/>
    <col min="1482" max="1482" width="7" style="338" bestFit="1" customWidth="1"/>
    <col min="1483" max="1483" width="7.42578125" style="338" bestFit="1" customWidth="1"/>
    <col min="1484" max="1484" width="7.5703125" style="338" bestFit="1" customWidth="1"/>
    <col min="1485" max="1485" width="7.42578125" style="338" bestFit="1" customWidth="1"/>
    <col min="1486" max="1486" width="7.5703125" style="338" bestFit="1" customWidth="1"/>
    <col min="1487" max="1487" width="10.42578125" style="338" bestFit="1" customWidth="1"/>
    <col min="1488" max="1488" width="10.140625" style="338" bestFit="1" customWidth="1"/>
    <col min="1489" max="1489" width="23.85546875" style="338" customWidth="1"/>
    <col min="1490" max="1490" width="10.5703125" style="338" customWidth="1"/>
    <col min="1491" max="1491" width="6.5703125" style="338" customWidth="1"/>
    <col min="1492" max="1492" width="7" style="338" customWidth="1"/>
    <col min="1493" max="1493" width="7.42578125" style="338" customWidth="1"/>
    <col min="1494" max="1494" width="7.5703125" style="338" customWidth="1"/>
    <col min="1495" max="1495" width="7.42578125" style="338" customWidth="1"/>
    <col min="1496" max="1496" width="7.5703125" style="338" customWidth="1"/>
    <col min="1497" max="1497" width="10.42578125" style="338" customWidth="1"/>
    <col min="1498" max="1498" width="10.140625" style="338" customWidth="1"/>
    <col min="1499" max="1499" width="14.85546875" style="338" customWidth="1"/>
    <col min="1500" max="1500" width="10.5703125" style="338" customWidth="1"/>
    <col min="1501" max="1501" width="6.5703125" style="338" customWidth="1"/>
    <col min="1502" max="1502" width="7" style="338" customWidth="1"/>
    <col min="1503" max="1503" width="7.42578125" style="338" customWidth="1"/>
    <col min="1504" max="1504" width="7.5703125" style="338" customWidth="1"/>
    <col min="1505" max="1505" width="7.42578125" style="338" customWidth="1"/>
    <col min="1506" max="1506" width="7.5703125" style="338" customWidth="1"/>
    <col min="1507" max="1507" width="10.42578125" style="338" customWidth="1"/>
    <col min="1508" max="1508" width="10.140625" style="338" customWidth="1"/>
    <col min="1509" max="1509" width="8.7109375" style="338"/>
    <col min="1510" max="1528" width="9.140625" style="338" customWidth="1"/>
    <col min="1529" max="1734" width="8.7109375" style="338"/>
    <col min="1735" max="1735" width="23.85546875" style="338" customWidth="1"/>
    <col min="1736" max="1736" width="10.5703125" style="338" customWidth="1"/>
    <col min="1737" max="1737" width="6.5703125" style="338" customWidth="1"/>
    <col min="1738" max="1738" width="7" style="338" bestFit="1" customWidth="1"/>
    <col min="1739" max="1739" width="7.42578125" style="338" bestFit="1" customWidth="1"/>
    <col min="1740" max="1740" width="7.5703125" style="338" bestFit="1" customWidth="1"/>
    <col min="1741" max="1741" width="7.42578125" style="338" bestFit="1" customWidth="1"/>
    <col min="1742" max="1742" width="7.5703125" style="338" bestFit="1" customWidth="1"/>
    <col min="1743" max="1743" width="10.42578125" style="338" bestFit="1" customWidth="1"/>
    <col min="1744" max="1744" width="10.140625" style="338" bestFit="1" customWidth="1"/>
    <col min="1745" max="1745" width="23.85546875" style="338" customWidth="1"/>
    <col min="1746" max="1746" width="10.5703125" style="338" customWidth="1"/>
    <col min="1747" max="1747" width="6.5703125" style="338" customWidth="1"/>
    <col min="1748" max="1748" width="7" style="338" customWidth="1"/>
    <col min="1749" max="1749" width="7.42578125" style="338" customWidth="1"/>
    <col min="1750" max="1750" width="7.5703125" style="338" customWidth="1"/>
    <col min="1751" max="1751" width="7.42578125" style="338" customWidth="1"/>
    <col min="1752" max="1752" width="7.5703125" style="338" customWidth="1"/>
    <col min="1753" max="1753" width="10.42578125" style="338" customWidth="1"/>
    <col min="1754" max="1754" width="10.140625" style="338" customWidth="1"/>
    <col min="1755" max="1755" width="14.85546875" style="338" customWidth="1"/>
    <col min="1756" max="1756" width="10.5703125" style="338" customWidth="1"/>
    <col min="1757" max="1757" width="6.5703125" style="338" customWidth="1"/>
    <col min="1758" max="1758" width="7" style="338" customWidth="1"/>
    <col min="1759" max="1759" width="7.42578125" style="338" customWidth="1"/>
    <col min="1760" max="1760" width="7.5703125" style="338" customWidth="1"/>
    <col min="1761" max="1761" width="7.42578125" style="338" customWidth="1"/>
    <col min="1762" max="1762" width="7.5703125" style="338" customWidth="1"/>
    <col min="1763" max="1763" width="10.42578125" style="338" customWidth="1"/>
    <col min="1764" max="1764" width="10.140625" style="338" customWidth="1"/>
    <col min="1765" max="1765" width="8.7109375" style="338"/>
    <col min="1766" max="1784" width="9.140625" style="338" customWidth="1"/>
    <col min="1785" max="1990" width="8.7109375" style="338"/>
    <col min="1991" max="1991" width="23.85546875" style="338" customWidth="1"/>
    <col min="1992" max="1992" width="10.5703125" style="338" customWidth="1"/>
    <col min="1993" max="1993" width="6.5703125" style="338" customWidth="1"/>
    <col min="1994" max="1994" width="7" style="338" bestFit="1" customWidth="1"/>
    <col min="1995" max="1995" width="7.42578125" style="338" bestFit="1" customWidth="1"/>
    <col min="1996" max="1996" width="7.5703125" style="338" bestFit="1" customWidth="1"/>
    <col min="1997" max="1997" width="7.42578125" style="338" bestFit="1" customWidth="1"/>
    <col min="1998" max="1998" width="7.5703125" style="338" bestFit="1" customWidth="1"/>
    <col min="1999" max="1999" width="10.42578125" style="338" bestFit="1" customWidth="1"/>
    <col min="2000" max="2000" width="10.140625" style="338" bestFit="1" customWidth="1"/>
    <col min="2001" max="2001" width="23.85546875" style="338" customWidth="1"/>
    <col min="2002" max="2002" width="10.5703125" style="338" customWidth="1"/>
    <col min="2003" max="2003" width="6.5703125" style="338" customWidth="1"/>
    <col min="2004" max="2004" width="7" style="338" customWidth="1"/>
    <col min="2005" max="2005" width="7.42578125" style="338" customWidth="1"/>
    <col min="2006" max="2006" width="7.5703125" style="338" customWidth="1"/>
    <col min="2007" max="2007" width="7.42578125" style="338" customWidth="1"/>
    <col min="2008" max="2008" width="7.5703125" style="338" customWidth="1"/>
    <col min="2009" max="2009" width="10.42578125" style="338" customWidth="1"/>
    <col min="2010" max="2010" width="10.140625" style="338" customWidth="1"/>
    <col min="2011" max="2011" width="14.85546875" style="338" customWidth="1"/>
    <col min="2012" max="2012" width="10.5703125" style="338" customWidth="1"/>
    <col min="2013" max="2013" width="6.5703125" style="338" customWidth="1"/>
    <col min="2014" max="2014" width="7" style="338" customWidth="1"/>
    <col min="2015" max="2015" width="7.42578125" style="338" customWidth="1"/>
    <col min="2016" max="2016" width="7.5703125" style="338" customWidth="1"/>
    <col min="2017" max="2017" width="7.42578125" style="338" customWidth="1"/>
    <col min="2018" max="2018" width="7.5703125" style="338" customWidth="1"/>
    <col min="2019" max="2019" width="10.42578125" style="338" customWidth="1"/>
    <col min="2020" max="2020" width="10.140625" style="338" customWidth="1"/>
    <col min="2021" max="2021" width="8.7109375" style="338"/>
    <col min="2022" max="2040" width="9.140625" style="338" customWidth="1"/>
    <col min="2041" max="2246" width="8.7109375" style="338"/>
    <col min="2247" max="2247" width="23.85546875" style="338" customWidth="1"/>
    <col min="2248" max="2248" width="10.5703125" style="338" customWidth="1"/>
    <col min="2249" max="2249" width="6.5703125" style="338" customWidth="1"/>
    <col min="2250" max="2250" width="7" style="338" bestFit="1" customWidth="1"/>
    <col min="2251" max="2251" width="7.42578125" style="338" bestFit="1" customWidth="1"/>
    <col min="2252" max="2252" width="7.5703125" style="338" bestFit="1" customWidth="1"/>
    <col min="2253" max="2253" width="7.42578125" style="338" bestFit="1" customWidth="1"/>
    <col min="2254" max="2254" width="7.5703125" style="338" bestFit="1" customWidth="1"/>
    <col min="2255" max="2255" width="10.42578125" style="338" bestFit="1" customWidth="1"/>
    <col min="2256" max="2256" width="10.140625" style="338" bestFit="1" customWidth="1"/>
    <col min="2257" max="2257" width="23.85546875" style="338" customWidth="1"/>
    <col min="2258" max="2258" width="10.5703125" style="338" customWidth="1"/>
    <col min="2259" max="2259" width="6.5703125" style="338" customWidth="1"/>
    <col min="2260" max="2260" width="7" style="338" customWidth="1"/>
    <col min="2261" max="2261" width="7.42578125" style="338" customWidth="1"/>
    <col min="2262" max="2262" width="7.5703125" style="338" customWidth="1"/>
    <col min="2263" max="2263" width="7.42578125" style="338" customWidth="1"/>
    <col min="2264" max="2264" width="7.5703125" style="338" customWidth="1"/>
    <col min="2265" max="2265" width="10.42578125" style="338" customWidth="1"/>
    <col min="2266" max="2266" width="10.140625" style="338" customWidth="1"/>
    <col min="2267" max="2267" width="14.85546875" style="338" customWidth="1"/>
    <col min="2268" max="2268" width="10.5703125" style="338" customWidth="1"/>
    <col min="2269" max="2269" width="6.5703125" style="338" customWidth="1"/>
    <col min="2270" max="2270" width="7" style="338" customWidth="1"/>
    <col min="2271" max="2271" width="7.42578125" style="338" customWidth="1"/>
    <col min="2272" max="2272" width="7.5703125" style="338" customWidth="1"/>
    <col min="2273" max="2273" width="7.42578125" style="338" customWidth="1"/>
    <col min="2274" max="2274" width="7.5703125" style="338" customWidth="1"/>
    <col min="2275" max="2275" width="10.42578125" style="338" customWidth="1"/>
    <col min="2276" max="2276" width="10.140625" style="338" customWidth="1"/>
    <col min="2277" max="2277" width="8.7109375" style="338"/>
    <col min="2278" max="2296" width="9.140625" style="338" customWidth="1"/>
    <col min="2297" max="2502" width="8.7109375" style="338"/>
    <col min="2503" max="2503" width="23.85546875" style="338" customWidth="1"/>
    <col min="2504" max="2504" width="10.5703125" style="338" customWidth="1"/>
    <col min="2505" max="2505" width="6.5703125" style="338" customWidth="1"/>
    <col min="2506" max="2506" width="7" style="338" bestFit="1" customWidth="1"/>
    <col min="2507" max="2507" width="7.42578125" style="338" bestFit="1" customWidth="1"/>
    <col min="2508" max="2508" width="7.5703125" style="338" bestFit="1" customWidth="1"/>
    <col min="2509" max="2509" width="7.42578125" style="338" bestFit="1" customWidth="1"/>
    <col min="2510" max="2510" width="7.5703125" style="338" bestFit="1" customWidth="1"/>
    <col min="2511" max="2511" width="10.42578125" style="338" bestFit="1" customWidth="1"/>
    <col min="2512" max="2512" width="10.140625" style="338" bestFit="1" customWidth="1"/>
    <col min="2513" max="2513" width="23.85546875" style="338" customWidth="1"/>
    <col min="2514" max="2514" width="10.5703125" style="338" customWidth="1"/>
    <col min="2515" max="2515" width="6.5703125" style="338" customWidth="1"/>
    <col min="2516" max="2516" width="7" style="338" customWidth="1"/>
    <col min="2517" max="2517" width="7.42578125" style="338" customWidth="1"/>
    <col min="2518" max="2518" width="7.5703125" style="338" customWidth="1"/>
    <col min="2519" max="2519" width="7.42578125" style="338" customWidth="1"/>
    <col min="2520" max="2520" width="7.5703125" style="338" customWidth="1"/>
    <col min="2521" max="2521" width="10.42578125" style="338" customWidth="1"/>
    <col min="2522" max="2522" width="10.140625" style="338" customWidth="1"/>
    <col min="2523" max="2523" width="14.85546875" style="338" customWidth="1"/>
    <col min="2524" max="2524" width="10.5703125" style="338" customWidth="1"/>
    <col min="2525" max="2525" width="6.5703125" style="338" customWidth="1"/>
    <col min="2526" max="2526" width="7" style="338" customWidth="1"/>
    <col min="2527" max="2527" width="7.42578125" style="338" customWidth="1"/>
    <col min="2528" max="2528" width="7.5703125" style="338" customWidth="1"/>
    <col min="2529" max="2529" width="7.42578125" style="338" customWidth="1"/>
    <col min="2530" max="2530" width="7.5703125" style="338" customWidth="1"/>
    <col min="2531" max="2531" width="10.42578125" style="338" customWidth="1"/>
    <col min="2532" max="2532" width="10.140625" style="338" customWidth="1"/>
    <col min="2533" max="2533" width="8.7109375" style="338"/>
    <col min="2534" max="2552" width="9.140625" style="338" customWidth="1"/>
    <col min="2553" max="2758" width="8.7109375" style="338"/>
    <col min="2759" max="2759" width="23.85546875" style="338" customWidth="1"/>
    <col min="2760" max="2760" width="10.5703125" style="338" customWidth="1"/>
    <col min="2761" max="2761" width="6.5703125" style="338" customWidth="1"/>
    <col min="2762" max="2762" width="7" style="338" bestFit="1" customWidth="1"/>
    <col min="2763" max="2763" width="7.42578125" style="338" bestFit="1" customWidth="1"/>
    <col min="2764" max="2764" width="7.5703125" style="338" bestFit="1" customWidth="1"/>
    <col min="2765" max="2765" width="7.42578125" style="338" bestFit="1" customWidth="1"/>
    <col min="2766" max="2766" width="7.5703125" style="338" bestFit="1" customWidth="1"/>
    <col min="2767" max="2767" width="10.42578125" style="338" bestFit="1" customWidth="1"/>
    <col min="2768" max="2768" width="10.140625" style="338" bestFit="1" customWidth="1"/>
    <col min="2769" max="2769" width="23.85546875" style="338" customWidth="1"/>
    <col min="2770" max="2770" width="10.5703125" style="338" customWidth="1"/>
    <col min="2771" max="2771" width="6.5703125" style="338" customWidth="1"/>
    <col min="2772" max="2772" width="7" style="338" customWidth="1"/>
    <col min="2773" max="2773" width="7.42578125" style="338" customWidth="1"/>
    <col min="2774" max="2774" width="7.5703125" style="338" customWidth="1"/>
    <col min="2775" max="2775" width="7.42578125" style="338" customWidth="1"/>
    <col min="2776" max="2776" width="7.5703125" style="338" customWidth="1"/>
    <col min="2777" max="2777" width="10.42578125" style="338" customWidth="1"/>
    <col min="2778" max="2778" width="10.140625" style="338" customWidth="1"/>
    <col min="2779" max="2779" width="14.85546875" style="338" customWidth="1"/>
    <col min="2780" max="2780" width="10.5703125" style="338" customWidth="1"/>
    <col min="2781" max="2781" width="6.5703125" style="338" customWidth="1"/>
    <col min="2782" max="2782" width="7" style="338" customWidth="1"/>
    <col min="2783" max="2783" width="7.42578125" style="338" customWidth="1"/>
    <col min="2784" max="2784" width="7.5703125" style="338" customWidth="1"/>
    <col min="2785" max="2785" width="7.42578125" style="338" customWidth="1"/>
    <col min="2786" max="2786" width="7.5703125" style="338" customWidth="1"/>
    <col min="2787" max="2787" width="10.42578125" style="338" customWidth="1"/>
    <col min="2788" max="2788" width="10.140625" style="338" customWidth="1"/>
    <col min="2789" max="2789" width="8.7109375" style="338"/>
    <col min="2790" max="2808" width="9.140625" style="338" customWidth="1"/>
    <col min="2809" max="3014" width="8.7109375" style="338"/>
    <col min="3015" max="3015" width="23.85546875" style="338" customWidth="1"/>
    <col min="3016" max="3016" width="10.5703125" style="338" customWidth="1"/>
    <col min="3017" max="3017" width="6.5703125" style="338" customWidth="1"/>
    <col min="3018" max="3018" width="7" style="338" bestFit="1" customWidth="1"/>
    <col min="3019" max="3019" width="7.42578125" style="338" bestFit="1" customWidth="1"/>
    <col min="3020" max="3020" width="7.5703125" style="338" bestFit="1" customWidth="1"/>
    <col min="3021" max="3021" width="7.42578125" style="338" bestFit="1" customWidth="1"/>
    <col min="3022" max="3022" width="7.5703125" style="338" bestFit="1" customWidth="1"/>
    <col min="3023" max="3023" width="10.42578125" style="338" bestFit="1" customWidth="1"/>
    <col min="3024" max="3024" width="10.140625" style="338" bestFit="1" customWidth="1"/>
    <col min="3025" max="3025" width="23.85546875" style="338" customWidth="1"/>
    <col min="3026" max="3026" width="10.5703125" style="338" customWidth="1"/>
    <col min="3027" max="3027" width="6.5703125" style="338" customWidth="1"/>
    <col min="3028" max="3028" width="7" style="338" customWidth="1"/>
    <col min="3029" max="3029" width="7.42578125" style="338" customWidth="1"/>
    <col min="3030" max="3030" width="7.5703125" style="338" customWidth="1"/>
    <col min="3031" max="3031" width="7.42578125" style="338" customWidth="1"/>
    <col min="3032" max="3032" width="7.5703125" style="338" customWidth="1"/>
    <col min="3033" max="3033" width="10.42578125" style="338" customWidth="1"/>
    <col min="3034" max="3034" width="10.140625" style="338" customWidth="1"/>
    <col min="3035" max="3035" width="14.85546875" style="338" customWidth="1"/>
    <col min="3036" max="3036" width="10.5703125" style="338" customWidth="1"/>
    <col min="3037" max="3037" width="6.5703125" style="338" customWidth="1"/>
    <col min="3038" max="3038" width="7" style="338" customWidth="1"/>
    <col min="3039" max="3039" width="7.42578125" style="338" customWidth="1"/>
    <col min="3040" max="3040" width="7.5703125" style="338" customWidth="1"/>
    <col min="3041" max="3041" width="7.42578125" style="338" customWidth="1"/>
    <col min="3042" max="3042" width="7.5703125" style="338" customWidth="1"/>
    <col min="3043" max="3043" width="10.42578125" style="338" customWidth="1"/>
    <col min="3044" max="3044" width="10.140625" style="338" customWidth="1"/>
    <col min="3045" max="3045" width="8.7109375" style="338"/>
    <col min="3046" max="3064" width="9.140625" style="338" customWidth="1"/>
    <col min="3065" max="3270" width="8.7109375" style="338"/>
    <col min="3271" max="3271" width="23.85546875" style="338" customWidth="1"/>
    <col min="3272" max="3272" width="10.5703125" style="338" customWidth="1"/>
    <col min="3273" max="3273" width="6.5703125" style="338" customWidth="1"/>
    <col min="3274" max="3274" width="7" style="338" bestFit="1" customWidth="1"/>
    <col min="3275" max="3275" width="7.42578125" style="338" bestFit="1" customWidth="1"/>
    <col min="3276" max="3276" width="7.5703125" style="338" bestFit="1" customWidth="1"/>
    <col min="3277" max="3277" width="7.42578125" style="338" bestFit="1" customWidth="1"/>
    <col min="3278" max="3278" width="7.5703125" style="338" bestFit="1" customWidth="1"/>
    <col min="3279" max="3279" width="10.42578125" style="338" bestFit="1" customWidth="1"/>
    <col min="3280" max="3280" width="10.140625" style="338" bestFit="1" customWidth="1"/>
    <col min="3281" max="3281" width="23.85546875" style="338" customWidth="1"/>
    <col min="3282" max="3282" width="10.5703125" style="338" customWidth="1"/>
    <col min="3283" max="3283" width="6.5703125" style="338" customWidth="1"/>
    <col min="3284" max="3284" width="7" style="338" customWidth="1"/>
    <col min="3285" max="3285" width="7.42578125" style="338" customWidth="1"/>
    <col min="3286" max="3286" width="7.5703125" style="338" customWidth="1"/>
    <col min="3287" max="3287" width="7.42578125" style="338" customWidth="1"/>
    <col min="3288" max="3288" width="7.5703125" style="338" customWidth="1"/>
    <col min="3289" max="3289" width="10.42578125" style="338" customWidth="1"/>
    <col min="3290" max="3290" width="10.140625" style="338" customWidth="1"/>
    <col min="3291" max="3291" width="14.85546875" style="338" customWidth="1"/>
    <col min="3292" max="3292" width="10.5703125" style="338" customWidth="1"/>
    <col min="3293" max="3293" width="6.5703125" style="338" customWidth="1"/>
    <col min="3294" max="3294" width="7" style="338" customWidth="1"/>
    <col min="3295" max="3295" width="7.42578125" style="338" customWidth="1"/>
    <col min="3296" max="3296" width="7.5703125" style="338" customWidth="1"/>
    <col min="3297" max="3297" width="7.42578125" style="338" customWidth="1"/>
    <col min="3298" max="3298" width="7.5703125" style="338" customWidth="1"/>
    <col min="3299" max="3299" width="10.42578125" style="338" customWidth="1"/>
    <col min="3300" max="3300" width="10.140625" style="338" customWidth="1"/>
    <col min="3301" max="3301" width="8.7109375" style="338"/>
    <col min="3302" max="3320" width="9.140625" style="338" customWidth="1"/>
    <col min="3321" max="3526" width="8.7109375" style="338"/>
    <col min="3527" max="3527" width="23.85546875" style="338" customWidth="1"/>
    <col min="3528" max="3528" width="10.5703125" style="338" customWidth="1"/>
    <col min="3529" max="3529" width="6.5703125" style="338" customWidth="1"/>
    <col min="3530" max="3530" width="7" style="338" bestFit="1" customWidth="1"/>
    <col min="3531" max="3531" width="7.42578125" style="338" bestFit="1" customWidth="1"/>
    <col min="3532" max="3532" width="7.5703125" style="338" bestFit="1" customWidth="1"/>
    <col min="3533" max="3533" width="7.42578125" style="338" bestFit="1" customWidth="1"/>
    <col min="3534" max="3534" width="7.5703125" style="338" bestFit="1" customWidth="1"/>
    <col min="3535" max="3535" width="10.42578125" style="338" bestFit="1" customWidth="1"/>
    <col min="3536" max="3536" width="10.140625" style="338" bestFit="1" customWidth="1"/>
    <col min="3537" max="3537" width="23.85546875" style="338" customWidth="1"/>
    <col min="3538" max="3538" width="10.5703125" style="338" customWidth="1"/>
    <col min="3539" max="3539" width="6.5703125" style="338" customWidth="1"/>
    <col min="3540" max="3540" width="7" style="338" customWidth="1"/>
    <col min="3541" max="3541" width="7.42578125" style="338" customWidth="1"/>
    <col min="3542" max="3542" width="7.5703125" style="338" customWidth="1"/>
    <col min="3543" max="3543" width="7.42578125" style="338" customWidth="1"/>
    <col min="3544" max="3544" width="7.5703125" style="338" customWidth="1"/>
    <col min="3545" max="3545" width="10.42578125" style="338" customWidth="1"/>
    <col min="3546" max="3546" width="10.140625" style="338" customWidth="1"/>
    <col min="3547" max="3547" width="14.85546875" style="338" customWidth="1"/>
    <col min="3548" max="3548" width="10.5703125" style="338" customWidth="1"/>
    <col min="3549" max="3549" width="6.5703125" style="338" customWidth="1"/>
    <col min="3550" max="3550" width="7" style="338" customWidth="1"/>
    <col min="3551" max="3551" width="7.42578125" style="338" customWidth="1"/>
    <col min="3552" max="3552" width="7.5703125" style="338" customWidth="1"/>
    <col min="3553" max="3553" width="7.42578125" style="338" customWidth="1"/>
    <col min="3554" max="3554" width="7.5703125" style="338" customWidth="1"/>
    <col min="3555" max="3555" width="10.42578125" style="338" customWidth="1"/>
    <col min="3556" max="3556" width="10.140625" style="338" customWidth="1"/>
    <col min="3557" max="3557" width="8.7109375" style="338"/>
    <col min="3558" max="3576" width="9.140625" style="338" customWidth="1"/>
    <col min="3577" max="3782" width="8.7109375" style="338"/>
    <col min="3783" max="3783" width="23.85546875" style="338" customWidth="1"/>
    <col min="3784" max="3784" width="10.5703125" style="338" customWidth="1"/>
    <col min="3785" max="3785" width="6.5703125" style="338" customWidth="1"/>
    <col min="3786" max="3786" width="7" style="338" bestFit="1" customWidth="1"/>
    <col min="3787" max="3787" width="7.42578125" style="338" bestFit="1" customWidth="1"/>
    <col min="3788" max="3788" width="7.5703125" style="338" bestFit="1" customWidth="1"/>
    <col min="3789" max="3789" width="7.42578125" style="338" bestFit="1" customWidth="1"/>
    <col min="3790" max="3790" width="7.5703125" style="338" bestFit="1" customWidth="1"/>
    <col min="3791" max="3791" width="10.42578125" style="338" bestFit="1" customWidth="1"/>
    <col min="3792" max="3792" width="10.140625" style="338" bestFit="1" customWidth="1"/>
    <col min="3793" max="3793" width="23.85546875" style="338" customWidth="1"/>
    <col min="3794" max="3794" width="10.5703125" style="338" customWidth="1"/>
    <col min="3795" max="3795" width="6.5703125" style="338" customWidth="1"/>
    <col min="3796" max="3796" width="7" style="338" customWidth="1"/>
    <col min="3797" max="3797" width="7.42578125" style="338" customWidth="1"/>
    <col min="3798" max="3798" width="7.5703125" style="338" customWidth="1"/>
    <col min="3799" max="3799" width="7.42578125" style="338" customWidth="1"/>
    <col min="3800" max="3800" width="7.5703125" style="338" customWidth="1"/>
    <col min="3801" max="3801" width="10.42578125" style="338" customWidth="1"/>
    <col min="3802" max="3802" width="10.140625" style="338" customWidth="1"/>
    <col min="3803" max="3803" width="14.85546875" style="338" customWidth="1"/>
    <col min="3804" max="3804" width="10.5703125" style="338" customWidth="1"/>
    <col min="3805" max="3805" width="6.5703125" style="338" customWidth="1"/>
    <col min="3806" max="3806" width="7" style="338" customWidth="1"/>
    <col min="3807" max="3807" width="7.42578125" style="338" customWidth="1"/>
    <col min="3808" max="3808" width="7.5703125" style="338" customWidth="1"/>
    <col min="3809" max="3809" width="7.42578125" style="338" customWidth="1"/>
    <col min="3810" max="3810" width="7.5703125" style="338" customWidth="1"/>
    <col min="3811" max="3811" width="10.42578125" style="338" customWidth="1"/>
    <col min="3812" max="3812" width="10.140625" style="338" customWidth="1"/>
    <col min="3813" max="3813" width="8.7109375" style="338"/>
    <col min="3814" max="3832" width="9.140625" style="338" customWidth="1"/>
    <col min="3833" max="4038" width="8.7109375" style="338"/>
    <col min="4039" max="4039" width="23.85546875" style="338" customWidth="1"/>
    <col min="4040" max="4040" width="10.5703125" style="338" customWidth="1"/>
    <col min="4041" max="4041" width="6.5703125" style="338" customWidth="1"/>
    <col min="4042" max="4042" width="7" style="338" bestFit="1" customWidth="1"/>
    <col min="4043" max="4043" width="7.42578125" style="338" bestFit="1" customWidth="1"/>
    <col min="4044" max="4044" width="7.5703125" style="338" bestFit="1" customWidth="1"/>
    <col min="4045" max="4045" width="7.42578125" style="338" bestFit="1" customWidth="1"/>
    <col min="4046" max="4046" width="7.5703125" style="338" bestFit="1" customWidth="1"/>
    <col min="4047" max="4047" width="10.42578125" style="338" bestFit="1" customWidth="1"/>
    <col min="4048" max="4048" width="10.140625" style="338" bestFit="1" customWidth="1"/>
    <col min="4049" max="4049" width="23.85546875" style="338" customWidth="1"/>
    <col min="4050" max="4050" width="10.5703125" style="338" customWidth="1"/>
    <col min="4051" max="4051" width="6.5703125" style="338" customWidth="1"/>
    <col min="4052" max="4052" width="7" style="338" customWidth="1"/>
    <col min="4053" max="4053" width="7.42578125" style="338" customWidth="1"/>
    <col min="4054" max="4054" width="7.5703125" style="338" customWidth="1"/>
    <col min="4055" max="4055" width="7.42578125" style="338" customWidth="1"/>
    <col min="4056" max="4056" width="7.5703125" style="338" customWidth="1"/>
    <col min="4057" max="4057" width="10.42578125" style="338" customWidth="1"/>
    <col min="4058" max="4058" width="10.140625" style="338" customWidth="1"/>
    <col min="4059" max="4059" width="14.85546875" style="338" customWidth="1"/>
    <col min="4060" max="4060" width="10.5703125" style="338" customWidth="1"/>
    <col min="4061" max="4061" width="6.5703125" style="338" customWidth="1"/>
    <col min="4062" max="4062" width="7" style="338" customWidth="1"/>
    <col min="4063" max="4063" width="7.42578125" style="338" customWidth="1"/>
    <col min="4064" max="4064" width="7.5703125" style="338" customWidth="1"/>
    <col min="4065" max="4065" width="7.42578125" style="338" customWidth="1"/>
    <col min="4066" max="4066" width="7.5703125" style="338" customWidth="1"/>
    <col min="4067" max="4067" width="10.42578125" style="338" customWidth="1"/>
    <col min="4068" max="4068" width="10.140625" style="338" customWidth="1"/>
    <col min="4069" max="4069" width="8.7109375" style="338"/>
    <col min="4070" max="4088" width="9.140625" style="338" customWidth="1"/>
    <col min="4089" max="4294" width="8.7109375" style="338"/>
    <col min="4295" max="4295" width="23.85546875" style="338" customWidth="1"/>
    <col min="4296" max="4296" width="10.5703125" style="338" customWidth="1"/>
    <col min="4297" max="4297" width="6.5703125" style="338" customWidth="1"/>
    <col min="4298" max="4298" width="7" style="338" bestFit="1" customWidth="1"/>
    <col min="4299" max="4299" width="7.42578125" style="338" bestFit="1" customWidth="1"/>
    <col min="4300" max="4300" width="7.5703125" style="338" bestFit="1" customWidth="1"/>
    <col min="4301" max="4301" width="7.42578125" style="338" bestFit="1" customWidth="1"/>
    <col min="4302" max="4302" width="7.5703125" style="338" bestFit="1" customWidth="1"/>
    <col min="4303" max="4303" width="10.42578125" style="338" bestFit="1" customWidth="1"/>
    <col min="4304" max="4304" width="10.140625" style="338" bestFit="1" customWidth="1"/>
    <col min="4305" max="4305" width="23.85546875" style="338" customWidth="1"/>
    <col min="4306" max="4306" width="10.5703125" style="338" customWidth="1"/>
    <col min="4307" max="4307" width="6.5703125" style="338" customWidth="1"/>
    <col min="4308" max="4308" width="7" style="338" customWidth="1"/>
    <col min="4309" max="4309" width="7.42578125" style="338" customWidth="1"/>
    <col min="4310" max="4310" width="7.5703125" style="338" customWidth="1"/>
    <col min="4311" max="4311" width="7.42578125" style="338" customWidth="1"/>
    <col min="4312" max="4312" width="7.5703125" style="338" customWidth="1"/>
    <col min="4313" max="4313" width="10.42578125" style="338" customWidth="1"/>
    <col min="4314" max="4314" width="10.140625" style="338" customWidth="1"/>
    <col min="4315" max="4315" width="14.85546875" style="338" customWidth="1"/>
    <col min="4316" max="4316" width="10.5703125" style="338" customWidth="1"/>
    <col min="4317" max="4317" width="6.5703125" style="338" customWidth="1"/>
    <col min="4318" max="4318" width="7" style="338" customWidth="1"/>
    <col min="4319" max="4319" width="7.42578125" style="338" customWidth="1"/>
    <col min="4320" max="4320" width="7.5703125" style="338" customWidth="1"/>
    <col min="4321" max="4321" width="7.42578125" style="338" customWidth="1"/>
    <col min="4322" max="4322" width="7.5703125" style="338" customWidth="1"/>
    <col min="4323" max="4323" width="10.42578125" style="338" customWidth="1"/>
    <col min="4324" max="4324" width="10.140625" style="338" customWidth="1"/>
    <col min="4325" max="4325" width="8.7109375" style="338"/>
    <col min="4326" max="4344" width="9.140625" style="338" customWidth="1"/>
    <col min="4345" max="4550" width="8.7109375" style="338"/>
    <col min="4551" max="4551" width="23.85546875" style="338" customWidth="1"/>
    <col min="4552" max="4552" width="10.5703125" style="338" customWidth="1"/>
    <col min="4553" max="4553" width="6.5703125" style="338" customWidth="1"/>
    <col min="4554" max="4554" width="7" style="338" bestFit="1" customWidth="1"/>
    <col min="4555" max="4555" width="7.42578125" style="338" bestFit="1" customWidth="1"/>
    <col min="4556" max="4556" width="7.5703125" style="338" bestFit="1" customWidth="1"/>
    <col min="4557" max="4557" width="7.42578125" style="338" bestFit="1" customWidth="1"/>
    <col min="4558" max="4558" width="7.5703125" style="338" bestFit="1" customWidth="1"/>
    <col min="4559" max="4559" width="10.42578125" style="338" bestFit="1" customWidth="1"/>
    <col min="4560" max="4560" width="10.140625" style="338" bestFit="1" customWidth="1"/>
    <col min="4561" max="4561" width="23.85546875" style="338" customWidth="1"/>
    <col min="4562" max="4562" width="10.5703125" style="338" customWidth="1"/>
    <col min="4563" max="4563" width="6.5703125" style="338" customWidth="1"/>
    <col min="4564" max="4564" width="7" style="338" customWidth="1"/>
    <col min="4565" max="4565" width="7.42578125" style="338" customWidth="1"/>
    <col min="4566" max="4566" width="7.5703125" style="338" customWidth="1"/>
    <col min="4567" max="4567" width="7.42578125" style="338" customWidth="1"/>
    <col min="4568" max="4568" width="7.5703125" style="338" customWidth="1"/>
    <col min="4569" max="4569" width="10.42578125" style="338" customWidth="1"/>
    <col min="4570" max="4570" width="10.140625" style="338" customWidth="1"/>
    <col min="4571" max="4571" width="14.85546875" style="338" customWidth="1"/>
    <col min="4572" max="4572" width="10.5703125" style="338" customWidth="1"/>
    <col min="4573" max="4573" width="6.5703125" style="338" customWidth="1"/>
    <col min="4574" max="4574" width="7" style="338" customWidth="1"/>
    <col min="4575" max="4575" width="7.42578125" style="338" customWidth="1"/>
    <col min="4576" max="4576" width="7.5703125" style="338" customWidth="1"/>
    <col min="4577" max="4577" width="7.42578125" style="338" customWidth="1"/>
    <col min="4578" max="4578" width="7.5703125" style="338" customWidth="1"/>
    <col min="4579" max="4579" width="10.42578125" style="338" customWidth="1"/>
    <col min="4580" max="4580" width="10.140625" style="338" customWidth="1"/>
    <col min="4581" max="4581" width="8.7109375" style="338"/>
    <col min="4582" max="4600" width="9.140625" style="338" customWidth="1"/>
    <col min="4601" max="4806" width="8.7109375" style="338"/>
    <col min="4807" max="4807" width="23.85546875" style="338" customWidth="1"/>
    <col min="4808" max="4808" width="10.5703125" style="338" customWidth="1"/>
    <col min="4809" max="4809" width="6.5703125" style="338" customWidth="1"/>
    <col min="4810" max="4810" width="7" style="338" bestFit="1" customWidth="1"/>
    <col min="4811" max="4811" width="7.42578125" style="338" bestFit="1" customWidth="1"/>
    <col min="4812" max="4812" width="7.5703125" style="338" bestFit="1" customWidth="1"/>
    <col min="4813" max="4813" width="7.42578125" style="338" bestFit="1" customWidth="1"/>
    <col min="4814" max="4814" width="7.5703125" style="338" bestFit="1" customWidth="1"/>
    <col min="4815" max="4815" width="10.42578125" style="338" bestFit="1" customWidth="1"/>
    <col min="4816" max="4816" width="10.140625" style="338" bestFit="1" customWidth="1"/>
    <col min="4817" max="4817" width="23.85546875" style="338" customWidth="1"/>
    <col min="4818" max="4818" width="10.5703125" style="338" customWidth="1"/>
    <col min="4819" max="4819" width="6.5703125" style="338" customWidth="1"/>
    <col min="4820" max="4820" width="7" style="338" customWidth="1"/>
    <col min="4821" max="4821" width="7.42578125" style="338" customWidth="1"/>
    <col min="4822" max="4822" width="7.5703125" style="338" customWidth="1"/>
    <col min="4823" max="4823" width="7.42578125" style="338" customWidth="1"/>
    <col min="4824" max="4824" width="7.5703125" style="338" customWidth="1"/>
    <col min="4825" max="4825" width="10.42578125" style="338" customWidth="1"/>
    <col min="4826" max="4826" width="10.140625" style="338" customWidth="1"/>
    <col min="4827" max="4827" width="14.85546875" style="338" customWidth="1"/>
    <col min="4828" max="4828" width="10.5703125" style="338" customWidth="1"/>
    <col min="4829" max="4829" width="6.5703125" style="338" customWidth="1"/>
    <col min="4830" max="4830" width="7" style="338" customWidth="1"/>
    <col min="4831" max="4831" width="7.42578125" style="338" customWidth="1"/>
    <col min="4832" max="4832" width="7.5703125" style="338" customWidth="1"/>
    <col min="4833" max="4833" width="7.42578125" style="338" customWidth="1"/>
    <col min="4834" max="4834" width="7.5703125" style="338" customWidth="1"/>
    <col min="4835" max="4835" width="10.42578125" style="338" customWidth="1"/>
    <col min="4836" max="4836" width="10.140625" style="338" customWidth="1"/>
    <col min="4837" max="4837" width="8.7109375" style="338"/>
    <col min="4838" max="4856" width="9.140625" style="338" customWidth="1"/>
    <col min="4857" max="5062" width="8.7109375" style="338"/>
    <col min="5063" max="5063" width="23.85546875" style="338" customWidth="1"/>
    <col min="5064" max="5064" width="10.5703125" style="338" customWidth="1"/>
    <col min="5065" max="5065" width="6.5703125" style="338" customWidth="1"/>
    <col min="5066" max="5066" width="7" style="338" bestFit="1" customWidth="1"/>
    <col min="5067" max="5067" width="7.42578125" style="338" bestFit="1" customWidth="1"/>
    <col min="5068" max="5068" width="7.5703125" style="338" bestFit="1" customWidth="1"/>
    <col min="5069" max="5069" width="7.42578125" style="338" bestFit="1" customWidth="1"/>
    <col min="5070" max="5070" width="7.5703125" style="338" bestFit="1" customWidth="1"/>
    <col min="5071" max="5071" width="10.42578125" style="338" bestFit="1" customWidth="1"/>
    <col min="5072" max="5072" width="10.140625" style="338" bestFit="1" customWidth="1"/>
    <col min="5073" max="5073" width="23.85546875" style="338" customWidth="1"/>
    <col min="5074" max="5074" width="10.5703125" style="338" customWidth="1"/>
    <col min="5075" max="5075" width="6.5703125" style="338" customWidth="1"/>
    <col min="5076" max="5076" width="7" style="338" customWidth="1"/>
    <col min="5077" max="5077" width="7.42578125" style="338" customWidth="1"/>
    <col min="5078" max="5078" width="7.5703125" style="338" customWidth="1"/>
    <col min="5079" max="5079" width="7.42578125" style="338" customWidth="1"/>
    <col min="5080" max="5080" width="7.5703125" style="338" customWidth="1"/>
    <col min="5081" max="5081" width="10.42578125" style="338" customWidth="1"/>
    <col min="5082" max="5082" width="10.140625" style="338" customWidth="1"/>
    <col min="5083" max="5083" width="14.85546875" style="338" customWidth="1"/>
    <col min="5084" max="5084" width="10.5703125" style="338" customWidth="1"/>
    <col min="5085" max="5085" width="6.5703125" style="338" customWidth="1"/>
    <col min="5086" max="5086" width="7" style="338" customWidth="1"/>
    <col min="5087" max="5087" width="7.42578125" style="338" customWidth="1"/>
    <col min="5088" max="5088" width="7.5703125" style="338" customWidth="1"/>
    <col min="5089" max="5089" width="7.42578125" style="338" customWidth="1"/>
    <col min="5090" max="5090" width="7.5703125" style="338" customWidth="1"/>
    <col min="5091" max="5091" width="10.42578125" style="338" customWidth="1"/>
    <col min="5092" max="5092" width="10.140625" style="338" customWidth="1"/>
    <col min="5093" max="5093" width="8.7109375" style="338"/>
    <col min="5094" max="5112" width="9.140625" style="338" customWidth="1"/>
    <col min="5113" max="5318" width="8.7109375" style="338"/>
    <col min="5319" max="5319" width="23.85546875" style="338" customWidth="1"/>
    <col min="5320" max="5320" width="10.5703125" style="338" customWidth="1"/>
    <col min="5321" max="5321" width="6.5703125" style="338" customWidth="1"/>
    <col min="5322" max="5322" width="7" style="338" bestFit="1" customWidth="1"/>
    <col min="5323" max="5323" width="7.42578125" style="338" bestFit="1" customWidth="1"/>
    <col min="5324" max="5324" width="7.5703125" style="338" bestFit="1" customWidth="1"/>
    <col min="5325" max="5325" width="7.42578125" style="338" bestFit="1" customWidth="1"/>
    <col min="5326" max="5326" width="7.5703125" style="338" bestFit="1" customWidth="1"/>
    <col min="5327" max="5327" width="10.42578125" style="338" bestFit="1" customWidth="1"/>
    <col min="5328" max="5328" width="10.140625" style="338" bestFit="1" customWidth="1"/>
    <col min="5329" max="5329" width="23.85546875" style="338" customWidth="1"/>
    <col min="5330" max="5330" width="10.5703125" style="338" customWidth="1"/>
    <col min="5331" max="5331" width="6.5703125" style="338" customWidth="1"/>
    <col min="5332" max="5332" width="7" style="338" customWidth="1"/>
    <col min="5333" max="5333" width="7.42578125" style="338" customWidth="1"/>
    <col min="5334" max="5334" width="7.5703125" style="338" customWidth="1"/>
    <col min="5335" max="5335" width="7.42578125" style="338" customWidth="1"/>
    <col min="5336" max="5336" width="7.5703125" style="338" customWidth="1"/>
    <col min="5337" max="5337" width="10.42578125" style="338" customWidth="1"/>
    <col min="5338" max="5338" width="10.140625" style="338" customWidth="1"/>
    <col min="5339" max="5339" width="14.85546875" style="338" customWidth="1"/>
    <col min="5340" max="5340" width="10.5703125" style="338" customWidth="1"/>
    <col min="5341" max="5341" width="6.5703125" style="338" customWidth="1"/>
    <col min="5342" max="5342" width="7" style="338" customWidth="1"/>
    <col min="5343" max="5343" width="7.42578125" style="338" customWidth="1"/>
    <col min="5344" max="5344" width="7.5703125" style="338" customWidth="1"/>
    <col min="5345" max="5345" width="7.42578125" style="338" customWidth="1"/>
    <col min="5346" max="5346" width="7.5703125" style="338" customWidth="1"/>
    <col min="5347" max="5347" width="10.42578125" style="338" customWidth="1"/>
    <col min="5348" max="5348" width="10.140625" style="338" customWidth="1"/>
    <col min="5349" max="5349" width="8.7109375" style="338"/>
    <col min="5350" max="5368" width="9.140625" style="338" customWidth="1"/>
    <col min="5369" max="5574" width="8.7109375" style="338"/>
    <col min="5575" max="5575" width="23.85546875" style="338" customWidth="1"/>
    <col min="5576" max="5576" width="10.5703125" style="338" customWidth="1"/>
    <col min="5577" max="5577" width="6.5703125" style="338" customWidth="1"/>
    <col min="5578" max="5578" width="7" style="338" bestFit="1" customWidth="1"/>
    <col min="5579" max="5579" width="7.42578125" style="338" bestFit="1" customWidth="1"/>
    <col min="5580" max="5580" width="7.5703125" style="338" bestFit="1" customWidth="1"/>
    <col min="5581" max="5581" width="7.42578125" style="338" bestFit="1" customWidth="1"/>
    <col min="5582" max="5582" width="7.5703125" style="338" bestFit="1" customWidth="1"/>
    <col min="5583" max="5583" width="10.42578125" style="338" bestFit="1" customWidth="1"/>
    <col min="5584" max="5584" width="10.140625" style="338" bestFit="1" customWidth="1"/>
    <col min="5585" max="5585" width="23.85546875" style="338" customWidth="1"/>
    <col min="5586" max="5586" width="10.5703125" style="338" customWidth="1"/>
    <col min="5587" max="5587" width="6.5703125" style="338" customWidth="1"/>
    <col min="5588" max="5588" width="7" style="338" customWidth="1"/>
    <col min="5589" max="5589" width="7.42578125" style="338" customWidth="1"/>
    <col min="5590" max="5590" width="7.5703125" style="338" customWidth="1"/>
    <col min="5591" max="5591" width="7.42578125" style="338" customWidth="1"/>
    <col min="5592" max="5592" width="7.5703125" style="338" customWidth="1"/>
    <col min="5593" max="5593" width="10.42578125" style="338" customWidth="1"/>
    <col min="5594" max="5594" width="10.140625" style="338" customWidth="1"/>
    <col min="5595" max="5595" width="14.85546875" style="338" customWidth="1"/>
    <col min="5596" max="5596" width="10.5703125" style="338" customWidth="1"/>
    <col min="5597" max="5597" width="6.5703125" style="338" customWidth="1"/>
    <col min="5598" max="5598" width="7" style="338" customWidth="1"/>
    <col min="5599" max="5599" width="7.42578125" style="338" customWidth="1"/>
    <col min="5600" max="5600" width="7.5703125" style="338" customWidth="1"/>
    <col min="5601" max="5601" width="7.42578125" style="338" customWidth="1"/>
    <col min="5602" max="5602" width="7.5703125" style="338" customWidth="1"/>
    <col min="5603" max="5603" width="10.42578125" style="338" customWidth="1"/>
    <col min="5604" max="5604" width="10.140625" style="338" customWidth="1"/>
    <col min="5605" max="5605" width="8.7109375" style="338"/>
    <col min="5606" max="5624" width="9.140625" style="338" customWidth="1"/>
    <col min="5625" max="5830" width="8.7109375" style="338"/>
    <col min="5831" max="5831" width="23.85546875" style="338" customWidth="1"/>
    <col min="5832" max="5832" width="10.5703125" style="338" customWidth="1"/>
    <col min="5833" max="5833" width="6.5703125" style="338" customWidth="1"/>
    <col min="5834" max="5834" width="7" style="338" bestFit="1" customWidth="1"/>
    <col min="5835" max="5835" width="7.42578125" style="338" bestFit="1" customWidth="1"/>
    <col min="5836" max="5836" width="7.5703125" style="338" bestFit="1" customWidth="1"/>
    <col min="5837" max="5837" width="7.42578125" style="338" bestFit="1" customWidth="1"/>
    <col min="5838" max="5838" width="7.5703125" style="338" bestFit="1" customWidth="1"/>
    <col min="5839" max="5839" width="10.42578125" style="338" bestFit="1" customWidth="1"/>
    <col min="5840" max="5840" width="10.140625" style="338" bestFit="1" customWidth="1"/>
    <col min="5841" max="5841" width="23.85546875" style="338" customWidth="1"/>
    <col min="5842" max="5842" width="10.5703125" style="338" customWidth="1"/>
    <col min="5843" max="5843" width="6.5703125" style="338" customWidth="1"/>
    <col min="5844" max="5844" width="7" style="338" customWidth="1"/>
    <col min="5845" max="5845" width="7.42578125" style="338" customWidth="1"/>
    <col min="5846" max="5846" width="7.5703125" style="338" customWidth="1"/>
    <col min="5847" max="5847" width="7.42578125" style="338" customWidth="1"/>
    <col min="5848" max="5848" width="7.5703125" style="338" customWidth="1"/>
    <col min="5849" max="5849" width="10.42578125" style="338" customWidth="1"/>
    <col min="5850" max="5850" width="10.140625" style="338" customWidth="1"/>
    <col min="5851" max="5851" width="14.85546875" style="338" customWidth="1"/>
    <col min="5852" max="5852" width="10.5703125" style="338" customWidth="1"/>
    <col min="5853" max="5853" width="6.5703125" style="338" customWidth="1"/>
    <col min="5854" max="5854" width="7" style="338" customWidth="1"/>
    <col min="5855" max="5855" width="7.42578125" style="338" customWidth="1"/>
    <col min="5856" max="5856" width="7.5703125" style="338" customWidth="1"/>
    <col min="5857" max="5857" width="7.42578125" style="338" customWidth="1"/>
    <col min="5858" max="5858" width="7.5703125" style="338" customWidth="1"/>
    <col min="5859" max="5859" width="10.42578125" style="338" customWidth="1"/>
    <col min="5860" max="5860" width="10.140625" style="338" customWidth="1"/>
    <col min="5861" max="5861" width="8.7109375" style="338"/>
    <col min="5862" max="5880" width="9.140625" style="338" customWidth="1"/>
    <col min="5881" max="6086" width="8.7109375" style="338"/>
    <col min="6087" max="6087" width="23.85546875" style="338" customWidth="1"/>
    <col min="6088" max="6088" width="10.5703125" style="338" customWidth="1"/>
    <col min="6089" max="6089" width="6.5703125" style="338" customWidth="1"/>
    <col min="6090" max="6090" width="7" style="338" bestFit="1" customWidth="1"/>
    <col min="6091" max="6091" width="7.42578125" style="338" bestFit="1" customWidth="1"/>
    <col min="6092" max="6092" width="7.5703125" style="338" bestFit="1" customWidth="1"/>
    <col min="6093" max="6093" width="7.42578125" style="338" bestFit="1" customWidth="1"/>
    <col min="6094" max="6094" width="7.5703125" style="338" bestFit="1" customWidth="1"/>
    <col min="6095" max="6095" width="10.42578125" style="338" bestFit="1" customWidth="1"/>
    <col min="6096" max="6096" width="10.140625" style="338" bestFit="1" customWidth="1"/>
    <col min="6097" max="6097" width="23.85546875" style="338" customWidth="1"/>
    <col min="6098" max="6098" width="10.5703125" style="338" customWidth="1"/>
    <col min="6099" max="6099" width="6.5703125" style="338" customWidth="1"/>
    <col min="6100" max="6100" width="7" style="338" customWidth="1"/>
    <col min="6101" max="6101" width="7.42578125" style="338" customWidth="1"/>
    <col min="6102" max="6102" width="7.5703125" style="338" customWidth="1"/>
    <col min="6103" max="6103" width="7.42578125" style="338" customWidth="1"/>
    <col min="6104" max="6104" width="7.5703125" style="338" customWidth="1"/>
    <col min="6105" max="6105" width="10.42578125" style="338" customWidth="1"/>
    <col min="6106" max="6106" width="10.140625" style="338" customWidth="1"/>
    <col min="6107" max="6107" width="14.85546875" style="338" customWidth="1"/>
    <col min="6108" max="6108" width="10.5703125" style="338" customWidth="1"/>
    <col min="6109" max="6109" width="6.5703125" style="338" customWidth="1"/>
    <col min="6110" max="6110" width="7" style="338" customWidth="1"/>
    <col min="6111" max="6111" width="7.42578125" style="338" customWidth="1"/>
    <col min="6112" max="6112" width="7.5703125" style="338" customWidth="1"/>
    <col min="6113" max="6113" width="7.42578125" style="338" customWidth="1"/>
    <col min="6114" max="6114" width="7.5703125" style="338" customWidth="1"/>
    <col min="6115" max="6115" width="10.42578125" style="338" customWidth="1"/>
    <col min="6116" max="6116" width="10.140625" style="338" customWidth="1"/>
    <col min="6117" max="6117" width="8.7109375" style="338"/>
    <col min="6118" max="6136" width="9.140625" style="338" customWidth="1"/>
    <col min="6137" max="6342" width="8.7109375" style="338"/>
    <col min="6343" max="6343" width="23.85546875" style="338" customWidth="1"/>
    <col min="6344" max="6344" width="10.5703125" style="338" customWidth="1"/>
    <col min="6345" max="6345" width="6.5703125" style="338" customWidth="1"/>
    <col min="6346" max="6346" width="7" style="338" bestFit="1" customWidth="1"/>
    <col min="6347" max="6347" width="7.42578125" style="338" bestFit="1" customWidth="1"/>
    <col min="6348" max="6348" width="7.5703125" style="338" bestFit="1" customWidth="1"/>
    <col min="6349" max="6349" width="7.42578125" style="338" bestFit="1" customWidth="1"/>
    <col min="6350" max="6350" width="7.5703125" style="338" bestFit="1" customWidth="1"/>
    <col min="6351" max="6351" width="10.42578125" style="338" bestFit="1" customWidth="1"/>
    <col min="6352" max="6352" width="10.140625" style="338" bestFit="1" customWidth="1"/>
    <col min="6353" max="6353" width="23.85546875" style="338" customWidth="1"/>
    <col min="6354" max="6354" width="10.5703125" style="338" customWidth="1"/>
    <col min="6355" max="6355" width="6.5703125" style="338" customWidth="1"/>
    <col min="6356" max="6356" width="7" style="338" customWidth="1"/>
    <col min="6357" max="6357" width="7.42578125" style="338" customWidth="1"/>
    <col min="6358" max="6358" width="7.5703125" style="338" customWidth="1"/>
    <col min="6359" max="6359" width="7.42578125" style="338" customWidth="1"/>
    <col min="6360" max="6360" width="7.5703125" style="338" customWidth="1"/>
    <col min="6361" max="6361" width="10.42578125" style="338" customWidth="1"/>
    <col min="6362" max="6362" width="10.140625" style="338" customWidth="1"/>
    <col min="6363" max="6363" width="14.85546875" style="338" customWidth="1"/>
    <col min="6364" max="6364" width="10.5703125" style="338" customWidth="1"/>
    <col min="6365" max="6365" width="6.5703125" style="338" customWidth="1"/>
    <col min="6366" max="6366" width="7" style="338" customWidth="1"/>
    <col min="6367" max="6367" width="7.42578125" style="338" customWidth="1"/>
    <col min="6368" max="6368" width="7.5703125" style="338" customWidth="1"/>
    <col min="6369" max="6369" width="7.42578125" style="338" customWidth="1"/>
    <col min="6370" max="6370" width="7.5703125" style="338" customWidth="1"/>
    <col min="6371" max="6371" width="10.42578125" style="338" customWidth="1"/>
    <col min="6372" max="6372" width="10.140625" style="338" customWidth="1"/>
    <col min="6373" max="6373" width="8.7109375" style="338"/>
    <col min="6374" max="6392" width="9.140625" style="338" customWidth="1"/>
    <col min="6393" max="6598" width="8.7109375" style="338"/>
    <col min="6599" max="6599" width="23.85546875" style="338" customWidth="1"/>
    <col min="6600" max="6600" width="10.5703125" style="338" customWidth="1"/>
    <col min="6601" max="6601" width="6.5703125" style="338" customWidth="1"/>
    <col min="6602" max="6602" width="7" style="338" bestFit="1" customWidth="1"/>
    <col min="6603" max="6603" width="7.42578125" style="338" bestFit="1" customWidth="1"/>
    <col min="6604" max="6604" width="7.5703125" style="338" bestFit="1" customWidth="1"/>
    <col min="6605" max="6605" width="7.42578125" style="338" bestFit="1" customWidth="1"/>
    <col min="6606" max="6606" width="7.5703125" style="338" bestFit="1" customWidth="1"/>
    <col min="6607" max="6607" width="10.42578125" style="338" bestFit="1" customWidth="1"/>
    <col min="6608" max="6608" width="10.140625" style="338" bestFit="1" customWidth="1"/>
    <col min="6609" max="6609" width="23.85546875" style="338" customWidth="1"/>
    <col min="6610" max="6610" width="10.5703125" style="338" customWidth="1"/>
    <col min="6611" max="6611" width="6.5703125" style="338" customWidth="1"/>
    <col min="6612" max="6612" width="7" style="338" customWidth="1"/>
    <col min="6613" max="6613" width="7.42578125" style="338" customWidth="1"/>
    <col min="6614" max="6614" width="7.5703125" style="338" customWidth="1"/>
    <col min="6615" max="6615" width="7.42578125" style="338" customWidth="1"/>
    <col min="6616" max="6616" width="7.5703125" style="338" customWidth="1"/>
    <col min="6617" max="6617" width="10.42578125" style="338" customWidth="1"/>
    <col min="6618" max="6618" width="10.140625" style="338" customWidth="1"/>
    <col min="6619" max="6619" width="14.85546875" style="338" customWidth="1"/>
    <col min="6620" max="6620" width="10.5703125" style="338" customWidth="1"/>
    <col min="6621" max="6621" width="6.5703125" style="338" customWidth="1"/>
    <col min="6622" max="6622" width="7" style="338" customWidth="1"/>
    <col min="6623" max="6623" width="7.42578125" style="338" customWidth="1"/>
    <col min="6624" max="6624" width="7.5703125" style="338" customWidth="1"/>
    <col min="6625" max="6625" width="7.42578125" style="338" customWidth="1"/>
    <col min="6626" max="6626" width="7.5703125" style="338" customWidth="1"/>
    <col min="6627" max="6627" width="10.42578125" style="338" customWidth="1"/>
    <col min="6628" max="6628" width="10.140625" style="338" customWidth="1"/>
    <col min="6629" max="6629" width="8.7109375" style="338"/>
    <col min="6630" max="6648" width="9.140625" style="338" customWidth="1"/>
    <col min="6649" max="6854" width="8.7109375" style="338"/>
    <col min="6855" max="6855" width="23.85546875" style="338" customWidth="1"/>
    <col min="6856" max="6856" width="10.5703125" style="338" customWidth="1"/>
    <col min="6857" max="6857" width="6.5703125" style="338" customWidth="1"/>
    <col min="6858" max="6858" width="7" style="338" bestFit="1" customWidth="1"/>
    <col min="6859" max="6859" width="7.42578125" style="338" bestFit="1" customWidth="1"/>
    <col min="6860" max="6860" width="7.5703125" style="338" bestFit="1" customWidth="1"/>
    <col min="6861" max="6861" width="7.42578125" style="338" bestFit="1" customWidth="1"/>
    <col min="6862" max="6862" width="7.5703125" style="338" bestFit="1" customWidth="1"/>
    <col min="6863" max="6863" width="10.42578125" style="338" bestFit="1" customWidth="1"/>
    <col min="6864" max="6864" width="10.140625" style="338" bestFit="1" customWidth="1"/>
    <col min="6865" max="6865" width="23.85546875" style="338" customWidth="1"/>
    <col min="6866" max="6866" width="10.5703125" style="338" customWidth="1"/>
    <col min="6867" max="6867" width="6.5703125" style="338" customWidth="1"/>
    <col min="6868" max="6868" width="7" style="338" customWidth="1"/>
    <col min="6869" max="6869" width="7.42578125" style="338" customWidth="1"/>
    <col min="6870" max="6870" width="7.5703125" style="338" customWidth="1"/>
    <col min="6871" max="6871" width="7.42578125" style="338" customWidth="1"/>
    <col min="6872" max="6872" width="7.5703125" style="338" customWidth="1"/>
    <col min="6873" max="6873" width="10.42578125" style="338" customWidth="1"/>
    <col min="6874" max="6874" width="10.140625" style="338" customWidth="1"/>
    <col min="6875" max="6875" width="14.85546875" style="338" customWidth="1"/>
    <col min="6876" max="6876" width="10.5703125" style="338" customWidth="1"/>
    <col min="6877" max="6877" width="6.5703125" style="338" customWidth="1"/>
    <col min="6878" max="6878" width="7" style="338" customWidth="1"/>
    <col min="6879" max="6879" width="7.42578125" style="338" customWidth="1"/>
    <col min="6880" max="6880" width="7.5703125" style="338" customWidth="1"/>
    <col min="6881" max="6881" width="7.42578125" style="338" customWidth="1"/>
    <col min="6882" max="6882" width="7.5703125" style="338" customWidth="1"/>
    <col min="6883" max="6883" width="10.42578125" style="338" customWidth="1"/>
    <col min="6884" max="6884" width="10.140625" style="338" customWidth="1"/>
    <col min="6885" max="6885" width="8.7109375" style="338"/>
    <col min="6886" max="6904" width="9.140625" style="338" customWidth="1"/>
    <col min="6905" max="7110" width="8.7109375" style="338"/>
    <col min="7111" max="7111" width="23.85546875" style="338" customWidth="1"/>
    <col min="7112" max="7112" width="10.5703125" style="338" customWidth="1"/>
    <col min="7113" max="7113" width="6.5703125" style="338" customWidth="1"/>
    <col min="7114" max="7114" width="7" style="338" bestFit="1" customWidth="1"/>
    <col min="7115" max="7115" width="7.42578125" style="338" bestFit="1" customWidth="1"/>
    <col min="7116" max="7116" width="7.5703125" style="338" bestFit="1" customWidth="1"/>
    <col min="7117" max="7117" width="7.42578125" style="338" bestFit="1" customWidth="1"/>
    <col min="7118" max="7118" width="7.5703125" style="338" bestFit="1" customWidth="1"/>
    <col min="7119" max="7119" width="10.42578125" style="338" bestFit="1" customWidth="1"/>
    <col min="7120" max="7120" width="10.140625" style="338" bestFit="1" customWidth="1"/>
    <col min="7121" max="7121" width="23.85546875" style="338" customWidth="1"/>
    <col min="7122" max="7122" width="10.5703125" style="338" customWidth="1"/>
    <col min="7123" max="7123" width="6.5703125" style="338" customWidth="1"/>
    <col min="7124" max="7124" width="7" style="338" customWidth="1"/>
    <col min="7125" max="7125" width="7.42578125" style="338" customWidth="1"/>
    <col min="7126" max="7126" width="7.5703125" style="338" customWidth="1"/>
    <col min="7127" max="7127" width="7.42578125" style="338" customWidth="1"/>
    <col min="7128" max="7128" width="7.5703125" style="338" customWidth="1"/>
    <col min="7129" max="7129" width="10.42578125" style="338" customWidth="1"/>
    <col min="7130" max="7130" width="10.140625" style="338" customWidth="1"/>
    <col min="7131" max="7131" width="14.85546875" style="338" customWidth="1"/>
    <col min="7132" max="7132" width="10.5703125" style="338" customWidth="1"/>
    <col min="7133" max="7133" width="6.5703125" style="338" customWidth="1"/>
    <col min="7134" max="7134" width="7" style="338" customWidth="1"/>
    <col min="7135" max="7135" width="7.42578125" style="338" customWidth="1"/>
    <col min="7136" max="7136" width="7.5703125" style="338" customWidth="1"/>
    <col min="7137" max="7137" width="7.42578125" style="338" customWidth="1"/>
    <col min="7138" max="7138" width="7.5703125" style="338" customWidth="1"/>
    <col min="7139" max="7139" width="10.42578125" style="338" customWidth="1"/>
    <col min="7140" max="7140" width="10.140625" style="338" customWidth="1"/>
    <col min="7141" max="7141" width="8.7109375" style="338"/>
    <col min="7142" max="7160" width="9.140625" style="338" customWidth="1"/>
    <col min="7161" max="7366" width="8.7109375" style="338"/>
    <col min="7367" max="7367" width="23.85546875" style="338" customWidth="1"/>
    <col min="7368" max="7368" width="10.5703125" style="338" customWidth="1"/>
    <col min="7369" max="7369" width="6.5703125" style="338" customWidth="1"/>
    <col min="7370" max="7370" width="7" style="338" bestFit="1" customWidth="1"/>
    <col min="7371" max="7371" width="7.42578125" style="338" bestFit="1" customWidth="1"/>
    <col min="7372" max="7372" width="7.5703125" style="338" bestFit="1" customWidth="1"/>
    <col min="7373" max="7373" width="7.42578125" style="338" bestFit="1" customWidth="1"/>
    <col min="7374" max="7374" width="7.5703125" style="338" bestFit="1" customWidth="1"/>
    <col min="7375" max="7375" width="10.42578125" style="338" bestFit="1" customWidth="1"/>
    <col min="7376" max="7376" width="10.140625" style="338" bestFit="1" customWidth="1"/>
    <col min="7377" max="7377" width="23.85546875" style="338" customWidth="1"/>
    <col min="7378" max="7378" width="10.5703125" style="338" customWidth="1"/>
    <col min="7379" max="7379" width="6.5703125" style="338" customWidth="1"/>
    <col min="7380" max="7380" width="7" style="338" customWidth="1"/>
    <col min="7381" max="7381" width="7.42578125" style="338" customWidth="1"/>
    <col min="7382" max="7382" width="7.5703125" style="338" customWidth="1"/>
    <col min="7383" max="7383" width="7.42578125" style="338" customWidth="1"/>
    <col min="7384" max="7384" width="7.5703125" style="338" customWidth="1"/>
    <col min="7385" max="7385" width="10.42578125" style="338" customWidth="1"/>
    <col min="7386" max="7386" width="10.140625" style="338" customWidth="1"/>
    <col min="7387" max="7387" width="14.85546875" style="338" customWidth="1"/>
    <col min="7388" max="7388" width="10.5703125" style="338" customWidth="1"/>
    <col min="7389" max="7389" width="6.5703125" style="338" customWidth="1"/>
    <col min="7390" max="7390" width="7" style="338" customWidth="1"/>
    <col min="7391" max="7391" width="7.42578125" style="338" customWidth="1"/>
    <col min="7392" max="7392" width="7.5703125" style="338" customWidth="1"/>
    <col min="7393" max="7393" width="7.42578125" style="338" customWidth="1"/>
    <col min="7394" max="7394" width="7.5703125" style="338" customWidth="1"/>
    <col min="7395" max="7395" width="10.42578125" style="338" customWidth="1"/>
    <col min="7396" max="7396" width="10.140625" style="338" customWidth="1"/>
    <col min="7397" max="7397" width="8.7109375" style="338"/>
    <col min="7398" max="7416" width="9.140625" style="338" customWidth="1"/>
    <col min="7417" max="7622" width="8.7109375" style="338"/>
    <col min="7623" max="7623" width="23.85546875" style="338" customWidth="1"/>
    <col min="7624" max="7624" width="10.5703125" style="338" customWidth="1"/>
    <col min="7625" max="7625" width="6.5703125" style="338" customWidth="1"/>
    <col min="7626" max="7626" width="7" style="338" bestFit="1" customWidth="1"/>
    <col min="7627" max="7627" width="7.42578125" style="338" bestFit="1" customWidth="1"/>
    <col min="7628" max="7628" width="7.5703125" style="338" bestFit="1" customWidth="1"/>
    <col min="7629" max="7629" width="7.42578125" style="338" bestFit="1" customWidth="1"/>
    <col min="7630" max="7630" width="7.5703125" style="338" bestFit="1" customWidth="1"/>
    <col min="7631" max="7631" width="10.42578125" style="338" bestFit="1" customWidth="1"/>
    <col min="7632" max="7632" width="10.140625" style="338" bestFit="1" customWidth="1"/>
    <col min="7633" max="7633" width="23.85546875" style="338" customWidth="1"/>
    <col min="7634" max="7634" width="10.5703125" style="338" customWidth="1"/>
    <col min="7635" max="7635" width="6.5703125" style="338" customWidth="1"/>
    <col min="7636" max="7636" width="7" style="338" customWidth="1"/>
    <col min="7637" max="7637" width="7.42578125" style="338" customWidth="1"/>
    <col min="7638" max="7638" width="7.5703125" style="338" customWidth="1"/>
    <col min="7639" max="7639" width="7.42578125" style="338" customWidth="1"/>
    <col min="7640" max="7640" width="7.5703125" style="338" customWidth="1"/>
    <col min="7641" max="7641" width="10.42578125" style="338" customWidth="1"/>
    <col min="7642" max="7642" width="10.140625" style="338" customWidth="1"/>
    <col min="7643" max="7643" width="14.85546875" style="338" customWidth="1"/>
    <col min="7644" max="7644" width="10.5703125" style="338" customWidth="1"/>
    <col min="7645" max="7645" width="6.5703125" style="338" customWidth="1"/>
    <col min="7646" max="7646" width="7" style="338" customWidth="1"/>
    <col min="7647" max="7647" width="7.42578125" style="338" customWidth="1"/>
    <col min="7648" max="7648" width="7.5703125" style="338" customWidth="1"/>
    <col min="7649" max="7649" width="7.42578125" style="338" customWidth="1"/>
    <col min="7650" max="7650" width="7.5703125" style="338" customWidth="1"/>
    <col min="7651" max="7651" width="10.42578125" style="338" customWidth="1"/>
    <col min="7652" max="7652" width="10.140625" style="338" customWidth="1"/>
    <col min="7653" max="7653" width="8.7109375" style="338"/>
    <col min="7654" max="7672" width="9.140625" style="338" customWidth="1"/>
    <col min="7673" max="7878" width="8.7109375" style="338"/>
    <col min="7879" max="7879" width="23.85546875" style="338" customWidth="1"/>
    <col min="7880" max="7880" width="10.5703125" style="338" customWidth="1"/>
    <col min="7881" max="7881" width="6.5703125" style="338" customWidth="1"/>
    <col min="7882" max="7882" width="7" style="338" bestFit="1" customWidth="1"/>
    <col min="7883" max="7883" width="7.42578125" style="338" bestFit="1" customWidth="1"/>
    <col min="7884" max="7884" width="7.5703125" style="338" bestFit="1" customWidth="1"/>
    <col min="7885" max="7885" width="7.42578125" style="338" bestFit="1" customWidth="1"/>
    <col min="7886" max="7886" width="7.5703125" style="338" bestFit="1" customWidth="1"/>
    <col min="7887" max="7887" width="10.42578125" style="338" bestFit="1" customWidth="1"/>
    <col min="7888" max="7888" width="10.140625" style="338" bestFit="1" customWidth="1"/>
    <col min="7889" max="7889" width="23.85546875" style="338" customWidth="1"/>
    <col min="7890" max="7890" width="10.5703125" style="338" customWidth="1"/>
    <col min="7891" max="7891" width="6.5703125" style="338" customWidth="1"/>
    <col min="7892" max="7892" width="7" style="338" customWidth="1"/>
    <col min="7893" max="7893" width="7.42578125" style="338" customWidth="1"/>
    <col min="7894" max="7894" width="7.5703125" style="338" customWidth="1"/>
    <col min="7895" max="7895" width="7.42578125" style="338" customWidth="1"/>
    <col min="7896" max="7896" width="7.5703125" style="338" customWidth="1"/>
    <col min="7897" max="7897" width="10.42578125" style="338" customWidth="1"/>
    <col min="7898" max="7898" width="10.140625" style="338" customWidth="1"/>
    <col min="7899" max="7899" width="14.85546875" style="338" customWidth="1"/>
    <col min="7900" max="7900" width="10.5703125" style="338" customWidth="1"/>
    <col min="7901" max="7901" width="6.5703125" style="338" customWidth="1"/>
    <col min="7902" max="7902" width="7" style="338" customWidth="1"/>
    <col min="7903" max="7903" width="7.42578125" style="338" customWidth="1"/>
    <col min="7904" max="7904" width="7.5703125" style="338" customWidth="1"/>
    <col min="7905" max="7905" width="7.42578125" style="338" customWidth="1"/>
    <col min="7906" max="7906" width="7.5703125" style="338" customWidth="1"/>
    <col min="7907" max="7907" width="10.42578125" style="338" customWidth="1"/>
    <col min="7908" max="7908" width="10.140625" style="338" customWidth="1"/>
    <col min="7909" max="7909" width="8.7109375" style="338"/>
    <col min="7910" max="7928" width="9.140625" style="338" customWidth="1"/>
    <col min="7929" max="8134" width="8.7109375" style="338"/>
    <col min="8135" max="8135" width="23.85546875" style="338" customWidth="1"/>
    <col min="8136" max="8136" width="10.5703125" style="338" customWidth="1"/>
    <col min="8137" max="8137" width="6.5703125" style="338" customWidth="1"/>
    <col min="8138" max="8138" width="7" style="338" bestFit="1" customWidth="1"/>
    <col min="8139" max="8139" width="7.42578125" style="338" bestFit="1" customWidth="1"/>
    <col min="8140" max="8140" width="7.5703125" style="338" bestFit="1" customWidth="1"/>
    <col min="8141" max="8141" width="7.42578125" style="338" bestFit="1" customWidth="1"/>
    <col min="8142" max="8142" width="7.5703125" style="338" bestFit="1" customWidth="1"/>
    <col min="8143" max="8143" width="10.42578125" style="338" bestFit="1" customWidth="1"/>
    <col min="8144" max="8144" width="10.140625" style="338" bestFit="1" customWidth="1"/>
    <col min="8145" max="8145" width="23.85546875" style="338" customWidth="1"/>
    <col min="8146" max="8146" width="10.5703125" style="338" customWidth="1"/>
    <col min="8147" max="8147" width="6.5703125" style="338" customWidth="1"/>
    <col min="8148" max="8148" width="7" style="338" customWidth="1"/>
    <col min="8149" max="8149" width="7.42578125" style="338" customWidth="1"/>
    <col min="8150" max="8150" width="7.5703125" style="338" customWidth="1"/>
    <col min="8151" max="8151" width="7.42578125" style="338" customWidth="1"/>
    <col min="8152" max="8152" width="7.5703125" style="338" customWidth="1"/>
    <col min="8153" max="8153" width="10.42578125" style="338" customWidth="1"/>
    <col min="8154" max="8154" width="10.140625" style="338" customWidth="1"/>
    <col min="8155" max="8155" width="14.85546875" style="338" customWidth="1"/>
    <col min="8156" max="8156" width="10.5703125" style="338" customWidth="1"/>
    <col min="8157" max="8157" width="6.5703125" style="338" customWidth="1"/>
    <col min="8158" max="8158" width="7" style="338" customWidth="1"/>
    <col min="8159" max="8159" width="7.42578125" style="338" customWidth="1"/>
    <col min="8160" max="8160" width="7.5703125" style="338" customWidth="1"/>
    <col min="8161" max="8161" width="7.42578125" style="338" customWidth="1"/>
    <col min="8162" max="8162" width="7.5703125" style="338" customWidth="1"/>
    <col min="8163" max="8163" width="10.42578125" style="338" customWidth="1"/>
    <col min="8164" max="8164" width="10.140625" style="338" customWidth="1"/>
    <col min="8165" max="8165" width="8.7109375" style="338"/>
    <col min="8166" max="8184" width="9.140625" style="338" customWidth="1"/>
    <col min="8185" max="8390" width="8.7109375" style="338"/>
    <col min="8391" max="8391" width="23.85546875" style="338" customWidth="1"/>
    <col min="8392" max="8392" width="10.5703125" style="338" customWidth="1"/>
    <col min="8393" max="8393" width="6.5703125" style="338" customWidth="1"/>
    <col min="8394" max="8394" width="7" style="338" bestFit="1" customWidth="1"/>
    <col min="8395" max="8395" width="7.42578125" style="338" bestFit="1" customWidth="1"/>
    <col min="8396" max="8396" width="7.5703125" style="338" bestFit="1" customWidth="1"/>
    <col min="8397" max="8397" width="7.42578125" style="338" bestFit="1" customWidth="1"/>
    <col min="8398" max="8398" width="7.5703125" style="338" bestFit="1" customWidth="1"/>
    <col min="8399" max="8399" width="10.42578125" style="338" bestFit="1" customWidth="1"/>
    <col min="8400" max="8400" width="10.140625" style="338" bestFit="1" customWidth="1"/>
    <col min="8401" max="8401" width="23.85546875" style="338" customWidth="1"/>
    <col min="8402" max="8402" width="10.5703125" style="338" customWidth="1"/>
    <col min="8403" max="8403" width="6.5703125" style="338" customWidth="1"/>
    <col min="8404" max="8404" width="7" style="338" customWidth="1"/>
    <col min="8405" max="8405" width="7.42578125" style="338" customWidth="1"/>
    <col min="8406" max="8406" width="7.5703125" style="338" customWidth="1"/>
    <col min="8407" max="8407" width="7.42578125" style="338" customWidth="1"/>
    <col min="8408" max="8408" width="7.5703125" style="338" customWidth="1"/>
    <col min="8409" max="8409" width="10.42578125" style="338" customWidth="1"/>
    <col min="8410" max="8410" width="10.140625" style="338" customWidth="1"/>
    <col min="8411" max="8411" width="14.85546875" style="338" customWidth="1"/>
    <col min="8412" max="8412" width="10.5703125" style="338" customWidth="1"/>
    <col min="8413" max="8413" width="6.5703125" style="338" customWidth="1"/>
    <col min="8414" max="8414" width="7" style="338" customWidth="1"/>
    <col min="8415" max="8415" width="7.42578125" style="338" customWidth="1"/>
    <col min="8416" max="8416" width="7.5703125" style="338" customWidth="1"/>
    <col min="8417" max="8417" width="7.42578125" style="338" customWidth="1"/>
    <col min="8418" max="8418" width="7.5703125" style="338" customWidth="1"/>
    <col min="8419" max="8419" width="10.42578125" style="338" customWidth="1"/>
    <col min="8420" max="8420" width="10.140625" style="338" customWidth="1"/>
    <col min="8421" max="8421" width="8.7109375" style="338"/>
    <col min="8422" max="8440" width="9.140625" style="338" customWidth="1"/>
    <col min="8441" max="8646" width="8.7109375" style="338"/>
    <col min="8647" max="8647" width="23.85546875" style="338" customWidth="1"/>
    <col min="8648" max="8648" width="10.5703125" style="338" customWidth="1"/>
    <col min="8649" max="8649" width="6.5703125" style="338" customWidth="1"/>
    <col min="8650" max="8650" width="7" style="338" bestFit="1" customWidth="1"/>
    <col min="8651" max="8651" width="7.42578125" style="338" bestFit="1" customWidth="1"/>
    <col min="8652" max="8652" width="7.5703125" style="338" bestFit="1" customWidth="1"/>
    <col min="8653" max="8653" width="7.42578125" style="338" bestFit="1" customWidth="1"/>
    <col min="8654" max="8654" width="7.5703125" style="338" bestFit="1" customWidth="1"/>
    <col min="8655" max="8655" width="10.42578125" style="338" bestFit="1" customWidth="1"/>
    <col min="8656" max="8656" width="10.140625" style="338" bestFit="1" customWidth="1"/>
    <col min="8657" max="8657" width="23.85546875" style="338" customWidth="1"/>
    <col min="8658" max="8658" width="10.5703125" style="338" customWidth="1"/>
    <col min="8659" max="8659" width="6.5703125" style="338" customWidth="1"/>
    <col min="8660" max="8660" width="7" style="338" customWidth="1"/>
    <col min="8661" max="8661" width="7.42578125" style="338" customWidth="1"/>
    <col min="8662" max="8662" width="7.5703125" style="338" customWidth="1"/>
    <col min="8663" max="8663" width="7.42578125" style="338" customWidth="1"/>
    <col min="8664" max="8664" width="7.5703125" style="338" customWidth="1"/>
    <col min="8665" max="8665" width="10.42578125" style="338" customWidth="1"/>
    <col min="8666" max="8666" width="10.140625" style="338" customWidth="1"/>
    <col min="8667" max="8667" width="14.85546875" style="338" customWidth="1"/>
    <col min="8668" max="8668" width="10.5703125" style="338" customWidth="1"/>
    <col min="8669" max="8669" width="6.5703125" style="338" customWidth="1"/>
    <col min="8670" max="8670" width="7" style="338" customWidth="1"/>
    <col min="8671" max="8671" width="7.42578125" style="338" customWidth="1"/>
    <col min="8672" max="8672" width="7.5703125" style="338" customWidth="1"/>
    <col min="8673" max="8673" width="7.42578125" style="338" customWidth="1"/>
    <col min="8674" max="8674" width="7.5703125" style="338" customWidth="1"/>
    <col min="8675" max="8675" width="10.42578125" style="338" customWidth="1"/>
    <col min="8676" max="8676" width="10.140625" style="338" customWidth="1"/>
    <col min="8677" max="8677" width="8.7109375" style="338"/>
    <col min="8678" max="8696" width="9.140625" style="338" customWidth="1"/>
    <col min="8697" max="8902" width="8.7109375" style="338"/>
    <col min="8903" max="8903" width="23.85546875" style="338" customWidth="1"/>
    <col min="8904" max="8904" width="10.5703125" style="338" customWidth="1"/>
    <col min="8905" max="8905" width="6.5703125" style="338" customWidth="1"/>
    <col min="8906" max="8906" width="7" style="338" bestFit="1" customWidth="1"/>
    <col min="8907" max="8907" width="7.42578125" style="338" bestFit="1" customWidth="1"/>
    <col min="8908" max="8908" width="7.5703125" style="338" bestFit="1" customWidth="1"/>
    <col min="8909" max="8909" width="7.42578125" style="338" bestFit="1" customWidth="1"/>
    <col min="8910" max="8910" width="7.5703125" style="338" bestFit="1" customWidth="1"/>
    <col min="8911" max="8911" width="10.42578125" style="338" bestFit="1" customWidth="1"/>
    <col min="8912" max="8912" width="10.140625" style="338" bestFit="1" customWidth="1"/>
    <col min="8913" max="8913" width="23.85546875" style="338" customWidth="1"/>
    <col min="8914" max="8914" width="10.5703125" style="338" customWidth="1"/>
    <col min="8915" max="8915" width="6.5703125" style="338" customWidth="1"/>
    <col min="8916" max="8916" width="7" style="338" customWidth="1"/>
    <col min="8917" max="8917" width="7.42578125" style="338" customWidth="1"/>
    <col min="8918" max="8918" width="7.5703125" style="338" customWidth="1"/>
    <col min="8919" max="8919" width="7.42578125" style="338" customWidth="1"/>
    <col min="8920" max="8920" width="7.5703125" style="338" customWidth="1"/>
    <col min="8921" max="8921" width="10.42578125" style="338" customWidth="1"/>
    <col min="8922" max="8922" width="10.140625" style="338" customWidth="1"/>
    <col min="8923" max="8923" width="14.85546875" style="338" customWidth="1"/>
    <col min="8924" max="8924" width="10.5703125" style="338" customWidth="1"/>
    <col min="8925" max="8925" width="6.5703125" style="338" customWidth="1"/>
    <col min="8926" max="8926" width="7" style="338" customWidth="1"/>
    <col min="8927" max="8927" width="7.42578125" style="338" customWidth="1"/>
    <col min="8928" max="8928" width="7.5703125" style="338" customWidth="1"/>
    <col min="8929" max="8929" width="7.42578125" style="338" customWidth="1"/>
    <col min="8930" max="8930" width="7.5703125" style="338" customWidth="1"/>
    <col min="8931" max="8931" width="10.42578125" style="338" customWidth="1"/>
    <col min="8932" max="8932" width="10.140625" style="338" customWidth="1"/>
    <col min="8933" max="8933" width="8.7109375" style="338"/>
    <col min="8934" max="8952" width="9.140625" style="338" customWidth="1"/>
    <col min="8953" max="9158" width="8.7109375" style="338"/>
    <col min="9159" max="9159" width="23.85546875" style="338" customWidth="1"/>
    <col min="9160" max="9160" width="10.5703125" style="338" customWidth="1"/>
    <col min="9161" max="9161" width="6.5703125" style="338" customWidth="1"/>
    <col min="9162" max="9162" width="7" style="338" bestFit="1" customWidth="1"/>
    <col min="9163" max="9163" width="7.42578125" style="338" bestFit="1" customWidth="1"/>
    <col min="9164" max="9164" width="7.5703125" style="338" bestFit="1" customWidth="1"/>
    <col min="9165" max="9165" width="7.42578125" style="338" bestFit="1" customWidth="1"/>
    <col min="9166" max="9166" width="7.5703125" style="338" bestFit="1" customWidth="1"/>
    <col min="9167" max="9167" width="10.42578125" style="338" bestFit="1" customWidth="1"/>
    <col min="9168" max="9168" width="10.140625" style="338" bestFit="1" customWidth="1"/>
    <col min="9169" max="9169" width="23.85546875" style="338" customWidth="1"/>
    <col min="9170" max="9170" width="10.5703125" style="338" customWidth="1"/>
    <col min="9171" max="9171" width="6.5703125" style="338" customWidth="1"/>
    <col min="9172" max="9172" width="7" style="338" customWidth="1"/>
    <col min="9173" max="9173" width="7.42578125" style="338" customWidth="1"/>
    <col min="9174" max="9174" width="7.5703125" style="338" customWidth="1"/>
    <col min="9175" max="9175" width="7.42578125" style="338" customWidth="1"/>
    <col min="9176" max="9176" width="7.5703125" style="338" customWidth="1"/>
    <col min="9177" max="9177" width="10.42578125" style="338" customWidth="1"/>
    <col min="9178" max="9178" width="10.140625" style="338" customWidth="1"/>
    <col min="9179" max="9179" width="14.85546875" style="338" customWidth="1"/>
    <col min="9180" max="9180" width="10.5703125" style="338" customWidth="1"/>
    <col min="9181" max="9181" width="6.5703125" style="338" customWidth="1"/>
    <col min="9182" max="9182" width="7" style="338" customWidth="1"/>
    <col min="9183" max="9183" width="7.42578125" style="338" customWidth="1"/>
    <col min="9184" max="9184" width="7.5703125" style="338" customWidth="1"/>
    <col min="9185" max="9185" width="7.42578125" style="338" customWidth="1"/>
    <col min="9186" max="9186" width="7.5703125" style="338" customWidth="1"/>
    <col min="9187" max="9187" width="10.42578125" style="338" customWidth="1"/>
    <col min="9188" max="9188" width="10.140625" style="338" customWidth="1"/>
    <col min="9189" max="9189" width="8.7109375" style="338"/>
    <col min="9190" max="9208" width="9.140625" style="338" customWidth="1"/>
    <col min="9209" max="9414" width="8.7109375" style="338"/>
    <col min="9415" max="9415" width="23.85546875" style="338" customWidth="1"/>
    <col min="9416" max="9416" width="10.5703125" style="338" customWidth="1"/>
    <col min="9417" max="9417" width="6.5703125" style="338" customWidth="1"/>
    <col min="9418" max="9418" width="7" style="338" bestFit="1" customWidth="1"/>
    <col min="9419" max="9419" width="7.42578125" style="338" bestFit="1" customWidth="1"/>
    <col min="9420" max="9420" width="7.5703125" style="338" bestFit="1" customWidth="1"/>
    <col min="9421" max="9421" width="7.42578125" style="338" bestFit="1" customWidth="1"/>
    <col min="9422" max="9422" width="7.5703125" style="338" bestFit="1" customWidth="1"/>
    <col min="9423" max="9423" width="10.42578125" style="338" bestFit="1" customWidth="1"/>
    <col min="9424" max="9424" width="10.140625" style="338" bestFit="1" customWidth="1"/>
    <col min="9425" max="9425" width="23.85546875" style="338" customWidth="1"/>
    <col min="9426" max="9426" width="10.5703125" style="338" customWidth="1"/>
    <col min="9427" max="9427" width="6.5703125" style="338" customWidth="1"/>
    <col min="9428" max="9428" width="7" style="338" customWidth="1"/>
    <col min="9429" max="9429" width="7.42578125" style="338" customWidth="1"/>
    <col min="9430" max="9430" width="7.5703125" style="338" customWidth="1"/>
    <col min="9431" max="9431" width="7.42578125" style="338" customWidth="1"/>
    <col min="9432" max="9432" width="7.5703125" style="338" customWidth="1"/>
    <col min="9433" max="9433" width="10.42578125" style="338" customWidth="1"/>
    <col min="9434" max="9434" width="10.140625" style="338" customWidth="1"/>
    <col min="9435" max="9435" width="14.85546875" style="338" customWidth="1"/>
    <col min="9436" max="9436" width="10.5703125" style="338" customWidth="1"/>
    <col min="9437" max="9437" width="6.5703125" style="338" customWidth="1"/>
    <col min="9438" max="9438" width="7" style="338" customWidth="1"/>
    <col min="9439" max="9439" width="7.42578125" style="338" customWidth="1"/>
    <col min="9440" max="9440" width="7.5703125" style="338" customWidth="1"/>
    <col min="9441" max="9441" width="7.42578125" style="338" customWidth="1"/>
    <col min="9442" max="9442" width="7.5703125" style="338" customWidth="1"/>
    <col min="9443" max="9443" width="10.42578125" style="338" customWidth="1"/>
    <col min="9444" max="9444" width="10.140625" style="338" customWidth="1"/>
    <col min="9445" max="9445" width="8.7109375" style="338"/>
    <col min="9446" max="9464" width="9.140625" style="338" customWidth="1"/>
    <col min="9465" max="9670" width="8.7109375" style="338"/>
    <col min="9671" max="9671" width="23.85546875" style="338" customWidth="1"/>
    <col min="9672" max="9672" width="10.5703125" style="338" customWidth="1"/>
    <col min="9673" max="9673" width="6.5703125" style="338" customWidth="1"/>
    <col min="9674" max="9674" width="7" style="338" bestFit="1" customWidth="1"/>
    <col min="9675" max="9675" width="7.42578125" style="338" bestFit="1" customWidth="1"/>
    <col min="9676" max="9676" width="7.5703125" style="338" bestFit="1" customWidth="1"/>
    <col min="9677" max="9677" width="7.42578125" style="338" bestFit="1" customWidth="1"/>
    <col min="9678" max="9678" width="7.5703125" style="338" bestFit="1" customWidth="1"/>
    <col min="9679" max="9679" width="10.42578125" style="338" bestFit="1" customWidth="1"/>
    <col min="9680" max="9680" width="10.140625" style="338" bestFit="1" customWidth="1"/>
    <col min="9681" max="9681" width="23.85546875" style="338" customWidth="1"/>
    <col min="9682" max="9682" width="10.5703125" style="338" customWidth="1"/>
    <col min="9683" max="9683" width="6.5703125" style="338" customWidth="1"/>
    <col min="9684" max="9684" width="7" style="338" customWidth="1"/>
    <col min="9685" max="9685" width="7.42578125" style="338" customWidth="1"/>
    <col min="9686" max="9686" width="7.5703125" style="338" customWidth="1"/>
    <col min="9687" max="9687" width="7.42578125" style="338" customWidth="1"/>
    <col min="9688" max="9688" width="7.5703125" style="338" customWidth="1"/>
    <col min="9689" max="9689" width="10.42578125" style="338" customWidth="1"/>
    <col min="9690" max="9690" width="10.140625" style="338" customWidth="1"/>
    <col min="9691" max="9691" width="14.85546875" style="338" customWidth="1"/>
    <col min="9692" max="9692" width="10.5703125" style="338" customWidth="1"/>
    <col min="9693" max="9693" width="6.5703125" style="338" customWidth="1"/>
    <col min="9694" max="9694" width="7" style="338" customWidth="1"/>
    <col min="9695" max="9695" width="7.42578125" style="338" customWidth="1"/>
    <col min="9696" max="9696" width="7.5703125" style="338" customWidth="1"/>
    <col min="9697" max="9697" width="7.42578125" style="338" customWidth="1"/>
    <col min="9698" max="9698" width="7.5703125" style="338" customWidth="1"/>
    <col min="9699" max="9699" width="10.42578125" style="338" customWidth="1"/>
    <col min="9700" max="9700" width="10.140625" style="338" customWidth="1"/>
    <col min="9701" max="9701" width="8.7109375" style="338"/>
    <col min="9702" max="9720" width="9.140625" style="338" customWidth="1"/>
    <col min="9721" max="9926" width="8.7109375" style="338"/>
    <col min="9927" max="9927" width="23.85546875" style="338" customWidth="1"/>
    <col min="9928" max="9928" width="10.5703125" style="338" customWidth="1"/>
    <col min="9929" max="9929" width="6.5703125" style="338" customWidth="1"/>
    <col min="9930" max="9930" width="7" style="338" bestFit="1" customWidth="1"/>
    <col min="9931" max="9931" width="7.42578125" style="338" bestFit="1" customWidth="1"/>
    <col min="9932" max="9932" width="7.5703125" style="338" bestFit="1" customWidth="1"/>
    <col min="9933" max="9933" width="7.42578125" style="338" bestFit="1" customWidth="1"/>
    <col min="9934" max="9934" width="7.5703125" style="338" bestFit="1" customWidth="1"/>
    <col min="9935" max="9935" width="10.42578125" style="338" bestFit="1" customWidth="1"/>
    <col min="9936" max="9936" width="10.140625" style="338" bestFit="1" customWidth="1"/>
    <col min="9937" max="9937" width="23.85546875" style="338" customWidth="1"/>
    <col min="9938" max="9938" width="10.5703125" style="338" customWidth="1"/>
    <col min="9939" max="9939" width="6.5703125" style="338" customWidth="1"/>
    <col min="9940" max="9940" width="7" style="338" customWidth="1"/>
    <col min="9941" max="9941" width="7.42578125" style="338" customWidth="1"/>
    <col min="9942" max="9942" width="7.5703125" style="338" customWidth="1"/>
    <col min="9943" max="9943" width="7.42578125" style="338" customWidth="1"/>
    <col min="9944" max="9944" width="7.5703125" style="338" customWidth="1"/>
    <col min="9945" max="9945" width="10.42578125" style="338" customWidth="1"/>
    <col min="9946" max="9946" width="10.140625" style="338" customWidth="1"/>
    <col min="9947" max="9947" width="14.85546875" style="338" customWidth="1"/>
    <col min="9948" max="9948" width="10.5703125" style="338" customWidth="1"/>
    <col min="9949" max="9949" width="6.5703125" style="338" customWidth="1"/>
    <col min="9950" max="9950" width="7" style="338" customWidth="1"/>
    <col min="9951" max="9951" width="7.42578125" style="338" customWidth="1"/>
    <col min="9952" max="9952" width="7.5703125" style="338" customWidth="1"/>
    <col min="9953" max="9953" width="7.42578125" style="338" customWidth="1"/>
    <col min="9954" max="9954" width="7.5703125" style="338" customWidth="1"/>
    <col min="9955" max="9955" width="10.42578125" style="338" customWidth="1"/>
    <col min="9956" max="9956" width="10.140625" style="338" customWidth="1"/>
    <col min="9957" max="9957" width="8.7109375" style="338"/>
    <col min="9958" max="9976" width="9.140625" style="338" customWidth="1"/>
    <col min="9977" max="10182" width="8.7109375" style="338"/>
    <col min="10183" max="10183" width="23.85546875" style="338" customWidth="1"/>
    <col min="10184" max="10184" width="10.5703125" style="338" customWidth="1"/>
    <col min="10185" max="10185" width="6.5703125" style="338" customWidth="1"/>
    <col min="10186" max="10186" width="7" style="338" bestFit="1" customWidth="1"/>
    <col min="10187" max="10187" width="7.42578125" style="338" bestFit="1" customWidth="1"/>
    <col min="10188" max="10188" width="7.5703125" style="338" bestFit="1" customWidth="1"/>
    <col min="10189" max="10189" width="7.42578125" style="338" bestFit="1" customWidth="1"/>
    <col min="10190" max="10190" width="7.5703125" style="338" bestFit="1" customWidth="1"/>
    <col min="10191" max="10191" width="10.42578125" style="338" bestFit="1" customWidth="1"/>
    <col min="10192" max="10192" width="10.140625" style="338" bestFit="1" customWidth="1"/>
    <col min="10193" max="10193" width="23.85546875" style="338" customWidth="1"/>
    <col min="10194" max="10194" width="10.5703125" style="338" customWidth="1"/>
    <col min="10195" max="10195" width="6.5703125" style="338" customWidth="1"/>
    <col min="10196" max="10196" width="7" style="338" customWidth="1"/>
    <col min="10197" max="10197" width="7.42578125" style="338" customWidth="1"/>
    <col min="10198" max="10198" width="7.5703125" style="338" customWidth="1"/>
    <col min="10199" max="10199" width="7.42578125" style="338" customWidth="1"/>
    <col min="10200" max="10200" width="7.5703125" style="338" customWidth="1"/>
    <col min="10201" max="10201" width="10.42578125" style="338" customWidth="1"/>
    <col min="10202" max="10202" width="10.140625" style="338" customWidth="1"/>
    <col min="10203" max="10203" width="14.85546875" style="338" customWidth="1"/>
    <col min="10204" max="10204" width="10.5703125" style="338" customWidth="1"/>
    <col min="10205" max="10205" width="6.5703125" style="338" customWidth="1"/>
    <col min="10206" max="10206" width="7" style="338" customWidth="1"/>
    <col min="10207" max="10207" width="7.42578125" style="338" customWidth="1"/>
    <col min="10208" max="10208" width="7.5703125" style="338" customWidth="1"/>
    <col min="10209" max="10209" width="7.42578125" style="338" customWidth="1"/>
    <col min="10210" max="10210" width="7.5703125" style="338" customWidth="1"/>
    <col min="10211" max="10211" width="10.42578125" style="338" customWidth="1"/>
    <col min="10212" max="10212" width="10.140625" style="338" customWidth="1"/>
    <col min="10213" max="10213" width="8.7109375" style="338"/>
    <col min="10214" max="10232" width="9.140625" style="338" customWidth="1"/>
    <col min="10233" max="10438" width="8.7109375" style="338"/>
    <col min="10439" max="10439" width="23.85546875" style="338" customWidth="1"/>
    <col min="10440" max="10440" width="10.5703125" style="338" customWidth="1"/>
    <col min="10441" max="10441" width="6.5703125" style="338" customWidth="1"/>
    <col min="10442" max="10442" width="7" style="338" bestFit="1" customWidth="1"/>
    <col min="10443" max="10443" width="7.42578125" style="338" bestFit="1" customWidth="1"/>
    <col min="10444" max="10444" width="7.5703125" style="338" bestFit="1" customWidth="1"/>
    <col min="10445" max="10445" width="7.42578125" style="338" bestFit="1" customWidth="1"/>
    <col min="10446" max="10446" width="7.5703125" style="338" bestFit="1" customWidth="1"/>
    <col min="10447" max="10447" width="10.42578125" style="338" bestFit="1" customWidth="1"/>
    <col min="10448" max="10448" width="10.140625" style="338" bestFit="1" customWidth="1"/>
    <col min="10449" max="10449" width="23.85546875" style="338" customWidth="1"/>
    <col min="10450" max="10450" width="10.5703125" style="338" customWidth="1"/>
    <col min="10451" max="10451" width="6.5703125" style="338" customWidth="1"/>
    <col min="10452" max="10452" width="7" style="338" customWidth="1"/>
    <col min="10453" max="10453" width="7.42578125" style="338" customWidth="1"/>
    <col min="10454" max="10454" width="7.5703125" style="338" customWidth="1"/>
    <col min="10455" max="10455" width="7.42578125" style="338" customWidth="1"/>
    <col min="10456" max="10456" width="7.5703125" style="338" customWidth="1"/>
    <col min="10457" max="10457" width="10.42578125" style="338" customWidth="1"/>
    <col min="10458" max="10458" width="10.140625" style="338" customWidth="1"/>
    <col min="10459" max="10459" width="14.85546875" style="338" customWidth="1"/>
    <col min="10460" max="10460" width="10.5703125" style="338" customWidth="1"/>
    <col min="10461" max="10461" width="6.5703125" style="338" customWidth="1"/>
    <col min="10462" max="10462" width="7" style="338" customWidth="1"/>
    <col min="10463" max="10463" width="7.42578125" style="338" customWidth="1"/>
    <col min="10464" max="10464" width="7.5703125" style="338" customWidth="1"/>
    <col min="10465" max="10465" width="7.42578125" style="338" customWidth="1"/>
    <col min="10466" max="10466" width="7.5703125" style="338" customWidth="1"/>
    <col min="10467" max="10467" width="10.42578125" style="338" customWidth="1"/>
    <col min="10468" max="10468" width="10.140625" style="338" customWidth="1"/>
    <col min="10469" max="10469" width="8.7109375" style="338"/>
    <col min="10470" max="10488" width="9.140625" style="338" customWidth="1"/>
    <col min="10489" max="10694" width="8.7109375" style="338"/>
    <col min="10695" max="10695" width="23.85546875" style="338" customWidth="1"/>
    <col min="10696" max="10696" width="10.5703125" style="338" customWidth="1"/>
    <col min="10697" max="10697" width="6.5703125" style="338" customWidth="1"/>
    <col min="10698" max="10698" width="7" style="338" bestFit="1" customWidth="1"/>
    <col min="10699" max="10699" width="7.42578125" style="338" bestFit="1" customWidth="1"/>
    <col min="10700" max="10700" width="7.5703125" style="338" bestFit="1" customWidth="1"/>
    <col min="10701" max="10701" width="7.42578125" style="338" bestFit="1" customWidth="1"/>
    <col min="10702" max="10702" width="7.5703125" style="338" bestFit="1" customWidth="1"/>
    <col min="10703" max="10703" width="10.42578125" style="338" bestFit="1" customWidth="1"/>
    <col min="10704" max="10704" width="10.140625" style="338" bestFit="1" customWidth="1"/>
    <col min="10705" max="10705" width="23.85546875" style="338" customWidth="1"/>
    <col min="10706" max="10706" width="10.5703125" style="338" customWidth="1"/>
    <col min="10707" max="10707" width="6.5703125" style="338" customWidth="1"/>
    <col min="10708" max="10708" width="7" style="338" customWidth="1"/>
    <col min="10709" max="10709" width="7.42578125" style="338" customWidth="1"/>
    <col min="10710" max="10710" width="7.5703125" style="338" customWidth="1"/>
    <col min="10711" max="10711" width="7.42578125" style="338" customWidth="1"/>
    <col min="10712" max="10712" width="7.5703125" style="338" customWidth="1"/>
    <col min="10713" max="10713" width="10.42578125" style="338" customWidth="1"/>
    <col min="10714" max="10714" width="10.140625" style="338" customWidth="1"/>
    <col min="10715" max="10715" width="14.85546875" style="338" customWidth="1"/>
    <col min="10716" max="10716" width="10.5703125" style="338" customWidth="1"/>
    <col min="10717" max="10717" width="6.5703125" style="338" customWidth="1"/>
    <col min="10718" max="10718" width="7" style="338" customWidth="1"/>
    <col min="10719" max="10719" width="7.42578125" style="338" customWidth="1"/>
    <col min="10720" max="10720" width="7.5703125" style="338" customWidth="1"/>
    <col min="10721" max="10721" width="7.42578125" style="338" customWidth="1"/>
    <col min="10722" max="10722" width="7.5703125" style="338" customWidth="1"/>
    <col min="10723" max="10723" width="10.42578125" style="338" customWidth="1"/>
    <col min="10724" max="10724" width="10.140625" style="338" customWidth="1"/>
    <col min="10725" max="10725" width="8.7109375" style="338"/>
    <col min="10726" max="10744" width="9.140625" style="338" customWidth="1"/>
    <col min="10745" max="10950" width="8.7109375" style="338"/>
    <col min="10951" max="10951" width="23.85546875" style="338" customWidth="1"/>
    <col min="10952" max="10952" width="10.5703125" style="338" customWidth="1"/>
    <col min="10953" max="10953" width="6.5703125" style="338" customWidth="1"/>
    <col min="10954" max="10954" width="7" style="338" bestFit="1" customWidth="1"/>
    <col min="10955" max="10955" width="7.42578125" style="338" bestFit="1" customWidth="1"/>
    <col min="10956" max="10956" width="7.5703125" style="338" bestFit="1" customWidth="1"/>
    <col min="10957" max="10957" width="7.42578125" style="338" bestFit="1" customWidth="1"/>
    <col min="10958" max="10958" width="7.5703125" style="338" bestFit="1" customWidth="1"/>
    <col min="10959" max="10959" width="10.42578125" style="338" bestFit="1" customWidth="1"/>
    <col min="10960" max="10960" width="10.140625" style="338" bestFit="1" customWidth="1"/>
    <col min="10961" max="10961" width="23.85546875" style="338" customWidth="1"/>
    <col min="10962" max="10962" width="10.5703125" style="338" customWidth="1"/>
    <col min="10963" max="10963" width="6.5703125" style="338" customWidth="1"/>
    <col min="10964" max="10964" width="7" style="338" customWidth="1"/>
    <col min="10965" max="10965" width="7.42578125" style="338" customWidth="1"/>
    <col min="10966" max="10966" width="7.5703125" style="338" customWidth="1"/>
    <col min="10967" max="10967" width="7.42578125" style="338" customWidth="1"/>
    <col min="10968" max="10968" width="7.5703125" style="338" customWidth="1"/>
    <col min="10969" max="10969" width="10.42578125" style="338" customWidth="1"/>
    <col min="10970" max="10970" width="10.140625" style="338" customWidth="1"/>
    <col min="10971" max="10971" width="14.85546875" style="338" customWidth="1"/>
    <col min="10972" max="10972" width="10.5703125" style="338" customWidth="1"/>
    <col min="10973" max="10973" width="6.5703125" style="338" customWidth="1"/>
    <col min="10974" max="10974" width="7" style="338" customWidth="1"/>
    <col min="10975" max="10975" width="7.42578125" style="338" customWidth="1"/>
    <col min="10976" max="10976" width="7.5703125" style="338" customWidth="1"/>
    <col min="10977" max="10977" width="7.42578125" style="338" customWidth="1"/>
    <col min="10978" max="10978" width="7.5703125" style="338" customWidth="1"/>
    <col min="10979" max="10979" width="10.42578125" style="338" customWidth="1"/>
    <col min="10980" max="10980" width="10.140625" style="338" customWidth="1"/>
    <col min="10981" max="10981" width="8.7109375" style="338"/>
    <col min="10982" max="11000" width="9.140625" style="338" customWidth="1"/>
    <col min="11001" max="11206" width="8.7109375" style="338"/>
    <col min="11207" max="11207" width="23.85546875" style="338" customWidth="1"/>
    <col min="11208" max="11208" width="10.5703125" style="338" customWidth="1"/>
    <col min="11209" max="11209" width="6.5703125" style="338" customWidth="1"/>
    <col min="11210" max="11210" width="7" style="338" bestFit="1" customWidth="1"/>
    <col min="11211" max="11211" width="7.42578125" style="338" bestFit="1" customWidth="1"/>
    <col min="11212" max="11212" width="7.5703125" style="338" bestFit="1" customWidth="1"/>
    <col min="11213" max="11213" width="7.42578125" style="338" bestFit="1" customWidth="1"/>
    <col min="11214" max="11214" width="7.5703125" style="338" bestFit="1" customWidth="1"/>
    <col min="11215" max="11215" width="10.42578125" style="338" bestFit="1" customWidth="1"/>
    <col min="11216" max="11216" width="10.140625" style="338" bestFit="1" customWidth="1"/>
    <col min="11217" max="11217" width="23.85546875" style="338" customWidth="1"/>
    <col min="11218" max="11218" width="10.5703125" style="338" customWidth="1"/>
    <col min="11219" max="11219" width="6.5703125" style="338" customWidth="1"/>
    <col min="11220" max="11220" width="7" style="338" customWidth="1"/>
    <col min="11221" max="11221" width="7.42578125" style="338" customWidth="1"/>
    <col min="11222" max="11222" width="7.5703125" style="338" customWidth="1"/>
    <col min="11223" max="11223" width="7.42578125" style="338" customWidth="1"/>
    <col min="11224" max="11224" width="7.5703125" style="338" customWidth="1"/>
    <col min="11225" max="11225" width="10.42578125" style="338" customWidth="1"/>
    <col min="11226" max="11226" width="10.140625" style="338" customWidth="1"/>
    <col min="11227" max="11227" width="14.85546875" style="338" customWidth="1"/>
    <col min="11228" max="11228" width="10.5703125" style="338" customWidth="1"/>
    <col min="11229" max="11229" width="6.5703125" style="338" customWidth="1"/>
    <col min="11230" max="11230" width="7" style="338" customWidth="1"/>
    <col min="11231" max="11231" width="7.42578125" style="338" customWidth="1"/>
    <col min="11232" max="11232" width="7.5703125" style="338" customWidth="1"/>
    <col min="11233" max="11233" width="7.42578125" style="338" customWidth="1"/>
    <col min="11234" max="11234" width="7.5703125" style="338" customWidth="1"/>
    <col min="11235" max="11235" width="10.42578125" style="338" customWidth="1"/>
    <col min="11236" max="11236" width="10.140625" style="338" customWidth="1"/>
    <col min="11237" max="11237" width="8.7109375" style="338"/>
    <col min="11238" max="11256" width="9.140625" style="338" customWidth="1"/>
    <col min="11257" max="11462" width="8.7109375" style="338"/>
    <col min="11463" max="11463" width="23.85546875" style="338" customWidth="1"/>
    <col min="11464" max="11464" width="10.5703125" style="338" customWidth="1"/>
    <col min="11465" max="11465" width="6.5703125" style="338" customWidth="1"/>
    <col min="11466" max="11466" width="7" style="338" bestFit="1" customWidth="1"/>
    <col min="11467" max="11467" width="7.42578125" style="338" bestFit="1" customWidth="1"/>
    <col min="11468" max="11468" width="7.5703125" style="338" bestFit="1" customWidth="1"/>
    <col min="11469" max="11469" width="7.42578125" style="338" bestFit="1" customWidth="1"/>
    <col min="11470" max="11470" width="7.5703125" style="338" bestFit="1" customWidth="1"/>
    <col min="11471" max="11471" width="10.42578125" style="338" bestFit="1" customWidth="1"/>
    <col min="11472" max="11472" width="10.140625" style="338" bestFit="1" customWidth="1"/>
    <col min="11473" max="11473" width="23.85546875" style="338" customWidth="1"/>
    <col min="11474" max="11474" width="10.5703125" style="338" customWidth="1"/>
    <col min="11475" max="11475" width="6.5703125" style="338" customWidth="1"/>
    <col min="11476" max="11476" width="7" style="338" customWidth="1"/>
    <col min="11477" max="11477" width="7.42578125" style="338" customWidth="1"/>
    <col min="11478" max="11478" width="7.5703125" style="338" customWidth="1"/>
    <col min="11479" max="11479" width="7.42578125" style="338" customWidth="1"/>
    <col min="11480" max="11480" width="7.5703125" style="338" customWidth="1"/>
    <col min="11481" max="11481" width="10.42578125" style="338" customWidth="1"/>
    <col min="11482" max="11482" width="10.140625" style="338" customWidth="1"/>
    <col min="11483" max="11483" width="14.85546875" style="338" customWidth="1"/>
    <col min="11484" max="11484" width="10.5703125" style="338" customWidth="1"/>
    <col min="11485" max="11485" width="6.5703125" style="338" customWidth="1"/>
    <col min="11486" max="11486" width="7" style="338" customWidth="1"/>
    <col min="11487" max="11487" width="7.42578125" style="338" customWidth="1"/>
    <col min="11488" max="11488" width="7.5703125" style="338" customWidth="1"/>
    <col min="11489" max="11489" width="7.42578125" style="338" customWidth="1"/>
    <col min="11490" max="11490" width="7.5703125" style="338" customWidth="1"/>
    <col min="11491" max="11491" width="10.42578125" style="338" customWidth="1"/>
    <col min="11492" max="11492" width="10.140625" style="338" customWidth="1"/>
    <col min="11493" max="11493" width="8.7109375" style="338"/>
    <col min="11494" max="11512" width="9.140625" style="338" customWidth="1"/>
    <col min="11513" max="11718" width="8.7109375" style="338"/>
    <col min="11719" max="11719" width="23.85546875" style="338" customWidth="1"/>
    <col min="11720" max="11720" width="10.5703125" style="338" customWidth="1"/>
    <col min="11721" max="11721" width="6.5703125" style="338" customWidth="1"/>
    <col min="11722" max="11722" width="7" style="338" bestFit="1" customWidth="1"/>
    <col min="11723" max="11723" width="7.42578125" style="338" bestFit="1" customWidth="1"/>
    <col min="11724" max="11724" width="7.5703125" style="338" bestFit="1" customWidth="1"/>
    <col min="11725" max="11725" width="7.42578125" style="338" bestFit="1" customWidth="1"/>
    <col min="11726" max="11726" width="7.5703125" style="338" bestFit="1" customWidth="1"/>
    <col min="11727" max="11727" width="10.42578125" style="338" bestFit="1" customWidth="1"/>
    <col min="11728" max="11728" width="10.140625" style="338" bestFit="1" customWidth="1"/>
    <col min="11729" max="11729" width="23.85546875" style="338" customWidth="1"/>
    <col min="11730" max="11730" width="10.5703125" style="338" customWidth="1"/>
    <col min="11731" max="11731" width="6.5703125" style="338" customWidth="1"/>
    <col min="11732" max="11732" width="7" style="338" customWidth="1"/>
    <col min="11733" max="11733" width="7.42578125" style="338" customWidth="1"/>
    <col min="11734" max="11734" width="7.5703125" style="338" customWidth="1"/>
    <col min="11735" max="11735" width="7.42578125" style="338" customWidth="1"/>
    <col min="11736" max="11736" width="7.5703125" style="338" customWidth="1"/>
    <col min="11737" max="11737" width="10.42578125" style="338" customWidth="1"/>
    <col min="11738" max="11738" width="10.140625" style="338" customWidth="1"/>
    <col min="11739" max="11739" width="14.85546875" style="338" customWidth="1"/>
    <col min="11740" max="11740" width="10.5703125" style="338" customWidth="1"/>
    <col min="11741" max="11741" width="6.5703125" style="338" customWidth="1"/>
    <col min="11742" max="11742" width="7" style="338" customWidth="1"/>
    <col min="11743" max="11743" width="7.42578125" style="338" customWidth="1"/>
    <col min="11744" max="11744" width="7.5703125" style="338" customWidth="1"/>
    <col min="11745" max="11745" width="7.42578125" style="338" customWidth="1"/>
    <col min="11746" max="11746" width="7.5703125" style="338" customWidth="1"/>
    <col min="11747" max="11747" width="10.42578125" style="338" customWidth="1"/>
    <col min="11748" max="11748" width="10.140625" style="338" customWidth="1"/>
    <col min="11749" max="11749" width="8.7109375" style="338"/>
    <col min="11750" max="11768" width="9.140625" style="338" customWidth="1"/>
    <col min="11769" max="11974" width="8.7109375" style="338"/>
    <col min="11975" max="11975" width="23.85546875" style="338" customWidth="1"/>
    <col min="11976" max="11976" width="10.5703125" style="338" customWidth="1"/>
    <col min="11977" max="11977" width="6.5703125" style="338" customWidth="1"/>
    <col min="11978" max="11978" width="7" style="338" bestFit="1" customWidth="1"/>
    <col min="11979" max="11979" width="7.42578125" style="338" bestFit="1" customWidth="1"/>
    <col min="11980" max="11980" width="7.5703125" style="338" bestFit="1" customWidth="1"/>
    <col min="11981" max="11981" width="7.42578125" style="338" bestFit="1" customWidth="1"/>
    <col min="11982" max="11982" width="7.5703125" style="338" bestFit="1" customWidth="1"/>
    <col min="11983" max="11983" width="10.42578125" style="338" bestFit="1" customWidth="1"/>
    <col min="11984" max="11984" width="10.140625" style="338" bestFit="1" customWidth="1"/>
    <col min="11985" max="11985" width="23.85546875" style="338" customWidth="1"/>
    <col min="11986" max="11986" width="10.5703125" style="338" customWidth="1"/>
    <col min="11987" max="11987" width="6.5703125" style="338" customWidth="1"/>
    <col min="11988" max="11988" width="7" style="338" customWidth="1"/>
    <col min="11989" max="11989" width="7.42578125" style="338" customWidth="1"/>
    <col min="11990" max="11990" width="7.5703125" style="338" customWidth="1"/>
    <col min="11991" max="11991" width="7.42578125" style="338" customWidth="1"/>
    <col min="11992" max="11992" width="7.5703125" style="338" customWidth="1"/>
    <col min="11993" max="11993" width="10.42578125" style="338" customWidth="1"/>
    <col min="11994" max="11994" width="10.140625" style="338" customWidth="1"/>
    <col min="11995" max="11995" width="14.85546875" style="338" customWidth="1"/>
    <col min="11996" max="11996" width="10.5703125" style="338" customWidth="1"/>
    <col min="11997" max="11997" width="6.5703125" style="338" customWidth="1"/>
    <col min="11998" max="11998" width="7" style="338" customWidth="1"/>
    <col min="11999" max="11999" width="7.42578125" style="338" customWidth="1"/>
    <col min="12000" max="12000" width="7.5703125" style="338" customWidth="1"/>
    <col min="12001" max="12001" width="7.42578125" style="338" customWidth="1"/>
    <col min="12002" max="12002" width="7.5703125" style="338" customWidth="1"/>
    <col min="12003" max="12003" width="10.42578125" style="338" customWidth="1"/>
    <col min="12004" max="12004" width="10.140625" style="338" customWidth="1"/>
    <col min="12005" max="12005" width="8.7109375" style="338"/>
    <col min="12006" max="12024" width="9.140625" style="338" customWidth="1"/>
    <col min="12025" max="12230" width="8.7109375" style="338"/>
    <col min="12231" max="12231" width="23.85546875" style="338" customWidth="1"/>
    <col min="12232" max="12232" width="10.5703125" style="338" customWidth="1"/>
    <col min="12233" max="12233" width="6.5703125" style="338" customWidth="1"/>
    <col min="12234" max="12234" width="7" style="338" bestFit="1" customWidth="1"/>
    <col min="12235" max="12235" width="7.42578125" style="338" bestFit="1" customWidth="1"/>
    <col min="12236" max="12236" width="7.5703125" style="338" bestFit="1" customWidth="1"/>
    <col min="12237" max="12237" width="7.42578125" style="338" bestFit="1" customWidth="1"/>
    <col min="12238" max="12238" width="7.5703125" style="338" bestFit="1" customWidth="1"/>
    <col min="12239" max="12239" width="10.42578125" style="338" bestFit="1" customWidth="1"/>
    <col min="12240" max="12240" width="10.140625" style="338" bestFit="1" customWidth="1"/>
    <col min="12241" max="12241" width="23.85546875" style="338" customWidth="1"/>
    <col min="12242" max="12242" width="10.5703125" style="338" customWidth="1"/>
    <col min="12243" max="12243" width="6.5703125" style="338" customWidth="1"/>
    <col min="12244" max="12244" width="7" style="338" customWidth="1"/>
    <col min="12245" max="12245" width="7.42578125" style="338" customWidth="1"/>
    <col min="12246" max="12246" width="7.5703125" style="338" customWidth="1"/>
    <col min="12247" max="12247" width="7.42578125" style="338" customWidth="1"/>
    <col min="12248" max="12248" width="7.5703125" style="338" customWidth="1"/>
    <col min="12249" max="12249" width="10.42578125" style="338" customWidth="1"/>
    <col min="12250" max="12250" width="10.140625" style="338" customWidth="1"/>
    <col min="12251" max="12251" width="14.85546875" style="338" customWidth="1"/>
    <col min="12252" max="12252" width="10.5703125" style="338" customWidth="1"/>
    <col min="12253" max="12253" width="6.5703125" style="338" customWidth="1"/>
    <col min="12254" max="12254" width="7" style="338" customWidth="1"/>
    <col min="12255" max="12255" width="7.42578125" style="338" customWidth="1"/>
    <col min="12256" max="12256" width="7.5703125" style="338" customWidth="1"/>
    <col min="12257" max="12257" width="7.42578125" style="338" customWidth="1"/>
    <col min="12258" max="12258" width="7.5703125" style="338" customWidth="1"/>
    <col min="12259" max="12259" width="10.42578125" style="338" customWidth="1"/>
    <col min="12260" max="12260" width="10.140625" style="338" customWidth="1"/>
    <col min="12261" max="12261" width="8.7109375" style="338"/>
    <col min="12262" max="12280" width="9.140625" style="338" customWidth="1"/>
    <col min="12281" max="12486" width="8.7109375" style="338"/>
    <col min="12487" max="12487" width="23.85546875" style="338" customWidth="1"/>
    <col min="12488" max="12488" width="10.5703125" style="338" customWidth="1"/>
    <col min="12489" max="12489" width="6.5703125" style="338" customWidth="1"/>
    <col min="12490" max="12490" width="7" style="338" bestFit="1" customWidth="1"/>
    <col min="12491" max="12491" width="7.42578125" style="338" bestFit="1" customWidth="1"/>
    <col min="12492" max="12492" width="7.5703125" style="338" bestFit="1" customWidth="1"/>
    <col min="12493" max="12493" width="7.42578125" style="338" bestFit="1" customWidth="1"/>
    <col min="12494" max="12494" width="7.5703125" style="338" bestFit="1" customWidth="1"/>
    <col min="12495" max="12495" width="10.42578125" style="338" bestFit="1" customWidth="1"/>
    <col min="12496" max="12496" width="10.140625" style="338" bestFit="1" customWidth="1"/>
    <col min="12497" max="12497" width="23.85546875" style="338" customWidth="1"/>
    <col min="12498" max="12498" width="10.5703125" style="338" customWidth="1"/>
    <col min="12499" max="12499" width="6.5703125" style="338" customWidth="1"/>
    <col min="12500" max="12500" width="7" style="338" customWidth="1"/>
    <col min="12501" max="12501" width="7.42578125" style="338" customWidth="1"/>
    <col min="12502" max="12502" width="7.5703125" style="338" customWidth="1"/>
    <col min="12503" max="12503" width="7.42578125" style="338" customWidth="1"/>
    <col min="12504" max="12504" width="7.5703125" style="338" customWidth="1"/>
    <col min="12505" max="12505" width="10.42578125" style="338" customWidth="1"/>
    <col min="12506" max="12506" width="10.140625" style="338" customWidth="1"/>
    <col min="12507" max="12507" width="14.85546875" style="338" customWidth="1"/>
    <col min="12508" max="12508" width="10.5703125" style="338" customWidth="1"/>
    <col min="12509" max="12509" width="6.5703125" style="338" customWidth="1"/>
    <col min="12510" max="12510" width="7" style="338" customWidth="1"/>
    <col min="12511" max="12511" width="7.42578125" style="338" customWidth="1"/>
    <col min="12512" max="12512" width="7.5703125" style="338" customWidth="1"/>
    <col min="12513" max="12513" width="7.42578125" style="338" customWidth="1"/>
    <col min="12514" max="12514" width="7.5703125" style="338" customWidth="1"/>
    <col min="12515" max="12515" width="10.42578125" style="338" customWidth="1"/>
    <col min="12516" max="12516" width="10.140625" style="338" customWidth="1"/>
    <col min="12517" max="12517" width="8.7109375" style="338"/>
    <col min="12518" max="12536" width="9.140625" style="338" customWidth="1"/>
    <col min="12537" max="12742" width="8.7109375" style="338"/>
    <col min="12743" max="12743" width="23.85546875" style="338" customWidth="1"/>
    <col min="12744" max="12744" width="10.5703125" style="338" customWidth="1"/>
    <col min="12745" max="12745" width="6.5703125" style="338" customWidth="1"/>
    <col min="12746" max="12746" width="7" style="338" bestFit="1" customWidth="1"/>
    <col min="12747" max="12747" width="7.42578125" style="338" bestFit="1" customWidth="1"/>
    <col min="12748" max="12748" width="7.5703125" style="338" bestFit="1" customWidth="1"/>
    <col min="12749" max="12749" width="7.42578125" style="338" bestFit="1" customWidth="1"/>
    <col min="12750" max="12750" width="7.5703125" style="338" bestFit="1" customWidth="1"/>
    <col min="12751" max="12751" width="10.42578125" style="338" bestFit="1" customWidth="1"/>
    <col min="12752" max="12752" width="10.140625" style="338" bestFit="1" customWidth="1"/>
    <col min="12753" max="12753" width="23.85546875" style="338" customWidth="1"/>
    <col min="12754" max="12754" width="10.5703125" style="338" customWidth="1"/>
    <col min="12755" max="12755" width="6.5703125" style="338" customWidth="1"/>
    <col min="12756" max="12756" width="7" style="338" customWidth="1"/>
    <col min="12757" max="12757" width="7.42578125" style="338" customWidth="1"/>
    <col min="12758" max="12758" width="7.5703125" style="338" customWidth="1"/>
    <col min="12759" max="12759" width="7.42578125" style="338" customWidth="1"/>
    <col min="12760" max="12760" width="7.5703125" style="338" customWidth="1"/>
    <col min="12761" max="12761" width="10.42578125" style="338" customWidth="1"/>
    <col min="12762" max="12762" width="10.140625" style="338" customWidth="1"/>
    <col min="12763" max="12763" width="14.85546875" style="338" customWidth="1"/>
    <col min="12764" max="12764" width="10.5703125" style="338" customWidth="1"/>
    <col min="12765" max="12765" width="6.5703125" style="338" customWidth="1"/>
    <col min="12766" max="12766" width="7" style="338" customWidth="1"/>
    <col min="12767" max="12767" width="7.42578125" style="338" customWidth="1"/>
    <col min="12768" max="12768" width="7.5703125" style="338" customWidth="1"/>
    <col min="12769" max="12769" width="7.42578125" style="338" customWidth="1"/>
    <col min="12770" max="12770" width="7.5703125" style="338" customWidth="1"/>
    <col min="12771" max="12771" width="10.42578125" style="338" customWidth="1"/>
    <col min="12772" max="12772" width="10.140625" style="338" customWidth="1"/>
    <col min="12773" max="12773" width="8.7109375" style="338"/>
    <col min="12774" max="12792" width="9.140625" style="338" customWidth="1"/>
    <col min="12793" max="12998" width="8.7109375" style="338"/>
    <col min="12999" max="12999" width="23.85546875" style="338" customWidth="1"/>
    <col min="13000" max="13000" width="10.5703125" style="338" customWidth="1"/>
    <col min="13001" max="13001" width="6.5703125" style="338" customWidth="1"/>
    <col min="13002" max="13002" width="7" style="338" bestFit="1" customWidth="1"/>
    <col min="13003" max="13003" width="7.42578125" style="338" bestFit="1" customWidth="1"/>
    <col min="13004" max="13004" width="7.5703125" style="338" bestFit="1" customWidth="1"/>
    <col min="13005" max="13005" width="7.42578125" style="338" bestFit="1" customWidth="1"/>
    <col min="13006" max="13006" width="7.5703125" style="338" bestFit="1" customWidth="1"/>
    <col min="13007" max="13007" width="10.42578125" style="338" bestFit="1" customWidth="1"/>
    <col min="13008" max="13008" width="10.140625" style="338" bestFit="1" customWidth="1"/>
    <col min="13009" max="13009" width="23.85546875" style="338" customWidth="1"/>
    <col min="13010" max="13010" width="10.5703125" style="338" customWidth="1"/>
    <col min="13011" max="13011" width="6.5703125" style="338" customWidth="1"/>
    <col min="13012" max="13012" width="7" style="338" customWidth="1"/>
    <col min="13013" max="13013" width="7.42578125" style="338" customWidth="1"/>
    <col min="13014" max="13014" width="7.5703125" style="338" customWidth="1"/>
    <col min="13015" max="13015" width="7.42578125" style="338" customWidth="1"/>
    <col min="13016" max="13016" width="7.5703125" style="338" customWidth="1"/>
    <col min="13017" max="13017" width="10.42578125" style="338" customWidth="1"/>
    <col min="13018" max="13018" width="10.140625" style="338" customWidth="1"/>
    <col min="13019" max="13019" width="14.85546875" style="338" customWidth="1"/>
    <col min="13020" max="13020" width="10.5703125" style="338" customWidth="1"/>
    <col min="13021" max="13021" width="6.5703125" style="338" customWidth="1"/>
    <col min="13022" max="13022" width="7" style="338" customWidth="1"/>
    <col min="13023" max="13023" width="7.42578125" style="338" customWidth="1"/>
    <col min="13024" max="13024" width="7.5703125" style="338" customWidth="1"/>
    <col min="13025" max="13025" width="7.42578125" style="338" customWidth="1"/>
    <col min="13026" max="13026" width="7.5703125" style="338" customWidth="1"/>
    <col min="13027" max="13027" width="10.42578125" style="338" customWidth="1"/>
    <col min="13028" max="13028" width="10.140625" style="338" customWidth="1"/>
    <col min="13029" max="13029" width="8.7109375" style="338"/>
    <col min="13030" max="13048" width="9.140625" style="338" customWidth="1"/>
    <col min="13049" max="13254" width="8.7109375" style="338"/>
    <col min="13255" max="13255" width="23.85546875" style="338" customWidth="1"/>
    <col min="13256" max="13256" width="10.5703125" style="338" customWidth="1"/>
    <col min="13257" max="13257" width="6.5703125" style="338" customWidth="1"/>
    <col min="13258" max="13258" width="7" style="338" bestFit="1" customWidth="1"/>
    <col min="13259" max="13259" width="7.42578125" style="338" bestFit="1" customWidth="1"/>
    <col min="13260" max="13260" width="7.5703125" style="338" bestFit="1" customWidth="1"/>
    <col min="13261" max="13261" width="7.42578125" style="338" bestFit="1" customWidth="1"/>
    <col min="13262" max="13262" width="7.5703125" style="338" bestFit="1" customWidth="1"/>
    <col min="13263" max="13263" width="10.42578125" style="338" bestFit="1" customWidth="1"/>
    <col min="13264" max="13264" width="10.140625" style="338" bestFit="1" customWidth="1"/>
    <col min="13265" max="13265" width="23.85546875" style="338" customWidth="1"/>
    <col min="13266" max="13266" width="10.5703125" style="338" customWidth="1"/>
    <col min="13267" max="13267" width="6.5703125" style="338" customWidth="1"/>
    <col min="13268" max="13268" width="7" style="338" customWidth="1"/>
    <col min="13269" max="13269" width="7.42578125" style="338" customWidth="1"/>
    <col min="13270" max="13270" width="7.5703125" style="338" customWidth="1"/>
    <col min="13271" max="13271" width="7.42578125" style="338" customWidth="1"/>
    <col min="13272" max="13272" width="7.5703125" style="338" customWidth="1"/>
    <col min="13273" max="13273" width="10.42578125" style="338" customWidth="1"/>
    <col min="13274" max="13274" width="10.140625" style="338" customWidth="1"/>
    <col min="13275" max="13275" width="14.85546875" style="338" customWidth="1"/>
    <col min="13276" max="13276" width="10.5703125" style="338" customWidth="1"/>
    <col min="13277" max="13277" width="6.5703125" style="338" customWidth="1"/>
    <col min="13278" max="13278" width="7" style="338" customWidth="1"/>
    <col min="13279" max="13279" width="7.42578125" style="338" customWidth="1"/>
    <col min="13280" max="13280" width="7.5703125" style="338" customWidth="1"/>
    <col min="13281" max="13281" width="7.42578125" style="338" customWidth="1"/>
    <col min="13282" max="13282" width="7.5703125" style="338" customWidth="1"/>
    <col min="13283" max="13283" width="10.42578125" style="338" customWidth="1"/>
    <col min="13284" max="13284" width="10.140625" style="338" customWidth="1"/>
    <col min="13285" max="13285" width="8.7109375" style="338"/>
    <col min="13286" max="13304" width="9.140625" style="338" customWidth="1"/>
    <col min="13305" max="13510" width="8.7109375" style="338"/>
    <col min="13511" max="13511" width="23.85546875" style="338" customWidth="1"/>
    <col min="13512" max="13512" width="10.5703125" style="338" customWidth="1"/>
    <col min="13513" max="13513" width="6.5703125" style="338" customWidth="1"/>
    <col min="13514" max="13514" width="7" style="338" bestFit="1" customWidth="1"/>
    <col min="13515" max="13515" width="7.42578125" style="338" bestFit="1" customWidth="1"/>
    <col min="13516" max="13516" width="7.5703125" style="338" bestFit="1" customWidth="1"/>
    <col min="13517" max="13517" width="7.42578125" style="338" bestFit="1" customWidth="1"/>
    <col min="13518" max="13518" width="7.5703125" style="338" bestFit="1" customWidth="1"/>
    <col min="13519" max="13519" width="10.42578125" style="338" bestFit="1" customWidth="1"/>
    <col min="13520" max="13520" width="10.140625" style="338" bestFit="1" customWidth="1"/>
    <col min="13521" max="13521" width="23.85546875" style="338" customWidth="1"/>
    <col min="13522" max="13522" width="10.5703125" style="338" customWidth="1"/>
    <col min="13523" max="13523" width="6.5703125" style="338" customWidth="1"/>
    <col min="13524" max="13524" width="7" style="338" customWidth="1"/>
    <col min="13525" max="13525" width="7.42578125" style="338" customWidth="1"/>
    <col min="13526" max="13526" width="7.5703125" style="338" customWidth="1"/>
    <col min="13527" max="13527" width="7.42578125" style="338" customWidth="1"/>
    <col min="13528" max="13528" width="7.5703125" style="338" customWidth="1"/>
    <col min="13529" max="13529" width="10.42578125" style="338" customWidth="1"/>
    <col min="13530" max="13530" width="10.140625" style="338" customWidth="1"/>
    <col min="13531" max="13531" width="14.85546875" style="338" customWidth="1"/>
    <col min="13532" max="13532" width="10.5703125" style="338" customWidth="1"/>
    <col min="13533" max="13533" width="6.5703125" style="338" customWidth="1"/>
    <col min="13534" max="13534" width="7" style="338" customWidth="1"/>
    <col min="13535" max="13535" width="7.42578125" style="338" customWidth="1"/>
    <col min="13536" max="13536" width="7.5703125" style="338" customWidth="1"/>
    <col min="13537" max="13537" width="7.42578125" style="338" customWidth="1"/>
    <col min="13538" max="13538" width="7.5703125" style="338" customWidth="1"/>
    <col min="13539" max="13539" width="10.42578125" style="338" customWidth="1"/>
    <col min="13540" max="13540" width="10.140625" style="338" customWidth="1"/>
    <col min="13541" max="13541" width="8.7109375" style="338"/>
    <col min="13542" max="13560" width="9.140625" style="338" customWidth="1"/>
    <col min="13561" max="13766" width="8.7109375" style="338"/>
    <col min="13767" max="13767" width="23.85546875" style="338" customWidth="1"/>
    <col min="13768" max="13768" width="10.5703125" style="338" customWidth="1"/>
    <col min="13769" max="13769" width="6.5703125" style="338" customWidth="1"/>
    <col min="13770" max="13770" width="7" style="338" bestFit="1" customWidth="1"/>
    <col min="13771" max="13771" width="7.42578125" style="338" bestFit="1" customWidth="1"/>
    <col min="13772" max="13772" width="7.5703125" style="338" bestFit="1" customWidth="1"/>
    <col min="13773" max="13773" width="7.42578125" style="338" bestFit="1" customWidth="1"/>
    <col min="13774" max="13774" width="7.5703125" style="338" bestFit="1" customWidth="1"/>
    <col min="13775" max="13775" width="10.42578125" style="338" bestFit="1" customWidth="1"/>
    <col min="13776" max="13776" width="10.140625" style="338" bestFit="1" customWidth="1"/>
    <col min="13777" max="13777" width="23.85546875" style="338" customWidth="1"/>
    <col min="13778" max="13778" width="10.5703125" style="338" customWidth="1"/>
    <col min="13779" max="13779" width="6.5703125" style="338" customWidth="1"/>
    <col min="13780" max="13780" width="7" style="338" customWidth="1"/>
    <col min="13781" max="13781" width="7.42578125" style="338" customWidth="1"/>
    <col min="13782" max="13782" width="7.5703125" style="338" customWidth="1"/>
    <col min="13783" max="13783" width="7.42578125" style="338" customWidth="1"/>
    <col min="13784" max="13784" width="7.5703125" style="338" customWidth="1"/>
    <col min="13785" max="13785" width="10.42578125" style="338" customWidth="1"/>
    <col min="13786" max="13786" width="10.140625" style="338" customWidth="1"/>
    <col min="13787" max="13787" width="14.85546875" style="338" customWidth="1"/>
    <col min="13788" max="13788" width="10.5703125" style="338" customWidth="1"/>
    <col min="13789" max="13789" width="6.5703125" style="338" customWidth="1"/>
    <col min="13790" max="13790" width="7" style="338" customWidth="1"/>
    <col min="13791" max="13791" width="7.42578125" style="338" customWidth="1"/>
    <col min="13792" max="13792" width="7.5703125" style="338" customWidth="1"/>
    <col min="13793" max="13793" width="7.42578125" style="338" customWidth="1"/>
    <col min="13794" max="13794" width="7.5703125" style="338" customWidth="1"/>
    <col min="13795" max="13795" width="10.42578125" style="338" customWidth="1"/>
    <col min="13796" max="13796" width="10.140625" style="338" customWidth="1"/>
    <col min="13797" max="13797" width="8.7109375" style="338"/>
    <col min="13798" max="13816" width="9.140625" style="338" customWidth="1"/>
    <col min="13817" max="14022" width="8.7109375" style="338"/>
    <col min="14023" max="14023" width="23.85546875" style="338" customWidth="1"/>
    <col min="14024" max="14024" width="10.5703125" style="338" customWidth="1"/>
    <col min="14025" max="14025" width="6.5703125" style="338" customWidth="1"/>
    <col min="14026" max="14026" width="7" style="338" bestFit="1" customWidth="1"/>
    <col min="14027" max="14027" width="7.42578125" style="338" bestFit="1" customWidth="1"/>
    <col min="14028" max="14028" width="7.5703125" style="338" bestFit="1" customWidth="1"/>
    <col min="14029" max="14029" width="7.42578125" style="338" bestFit="1" customWidth="1"/>
    <col min="14030" max="14030" width="7.5703125" style="338" bestFit="1" customWidth="1"/>
    <col min="14031" max="14031" width="10.42578125" style="338" bestFit="1" customWidth="1"/>
    <col min="14032" max="14032" width="10.140625" style="338" bestFit="1" customWidth="1"/>
    <col min="14033" max="14033" width="23.85546875" style="338" customWidth="1"/>
    <col min="14034" max="14034" width="10.5703125" style="338" customWidth="1"/>
    <col min="14035" max="14035" width="6.5703125" style="338" customWidth="1"/>
    <col min="14036" max="14036" width="7" style="338" customWidth="1"/>
    <col min="14037" max="14037" width="7.42578125" style="338" customWidth="1"/>
    <col min="14038" max="14038" width="7.5703125" style="338" customWidth="1"/>
    <col min="14039" max="14039" width="7.42578125" style="338" customWidth="1"/>
    <col min="14040" max="14040" width="7.5703125" style="338" customWidth="1"/>
    <col min="14041" max="14041" width="10.42578125" style="338" customWidth="1"/>
    <col min="14042" max="14042" width="10.140625" style="338" customWidth="1"/>
    <col min="14043" max="14043" width="14.85546875" style="338" customWidth="1"/>
    <col min="14044" max="14044" width="10.5703125" style="338" customWidth="1"/>
    <col min="14045" max="14045" width="6.5703125" style="338" customWidth="1"/>
    <col min="14046" max="14046" width="7" style="338" customWidth="1"/>
    <col min="14047" max="14047" width="7.42578125" style="338" customWidth="1"/>
    <col min="14048" max="14048" width="7.5703125" style="338" customWidth="1"/>
    <col min="14049" max="14049" width="7.42578125" style="338" customWidth="1"/>
    <col min="14050" max="14050" width="7.5703125" style="338" customWidth="1"/>
    <col min="14051" max="14051" width="10.42578125" style="338" customWidth="1"/>
    <col min="14052" max="14052" width="10.140625" style="338" customWidth="1"/>
    <col min="14053" max="14053" width="8.7109375" style="338"/>
    <col min="14054" max="14072" width="9.140625" style="338" customWidth="1"/>
    <col min="14073" max="14278" width="8.7109375" style="338"/>
    <col min="14279" max="14279" width="23.85546875" style="338" customWidth="1"/>
    <col min="14280" max="14280" width="10.5703125" style="338" customWidth="1"/>
    <col min="14281" max="14281" width="6.5703125" style="338" customWidth="1"/>
    <col min="14282" max="14282" width="7" style="338" bestFit="1" customWidth="1"/>
    <col min="14283" max="14283" width="7.42578125" style="338" bestFit="1" customWidth="1"/>
    <col min="14284" max="14284" width="7.5703125" style="338" bestFit="1" customWidth="1"/>
    <col min="14285" max="14285" width="7.42578125" style="338" bestFit="1" customWidth="1"/>
    <col min="14286" max="14286" width="7.5703125" style="338" bestFit="1" customWidth="1"/>
    <col min="14287" max="14287" width="10.42578125" style="338" bestFit="1" customWidth="1"/>
    <col min="14288" max="14288" width="10.140625" style="338" bestFit="1" customWidth="1"/>
    <col min="14289" max="14289" width="23.85546875" style="338" customWidth="1"/>
    <col min="14290" max="14290" width="10.5703125" style="338" customWidth="1"/>
    <col min="14291" max="14291" width="6.5703125" style="338" customWidth="1"/>
    <col min="14292" max="14292" width="7" style="338" customWidth="1"/>
    <col min="14293" max="14293" width="7.42578125" style="338" customWidth="1"/>
    <col min="14294" max="14294" width="7.5703125" style="338" customWidth="1"/>
    <col min="14295" max="14295" width="7.42578125" style="338" customWidth="1"/>
    <col min="14296" max="14296" width="7.5703125" style="338" customWidth="1"/>
    <col min="14297" max="14297" width="10.42578125" style="338" customWidth="1"/>
    <col min="14298" max="14298" width="10.140625" style="338" customWidth="1"/>
    <col min="14299" max="14299" width="14.85546875" style="338" customWidth="1"/>
    <col min="14300" max="14300" width="10.5703125" style="338" customWidth="1"/>
    <col min="14301" max="14301" width="6.5703125" style="338" customWidth="1"/>
    <col min="14302" max="14302" width="7" style="338" customWidth="1"/>
    <col min="14303" max="14303" width="7.42578125" style="338" customWidth="1"/>
    <col min="14304" max="14304" width="7.5703125" style="338" customWidth="1"/>
    <col min="14305" max="14305" width="7.42578125" style="338" customWidth="1"/>
    <col min="14306" max="14306" width="7.5703125" style="338" customWidth="1"/>
    <col min="14307" max="14307" width="10.42578125" style="338" customWidth="1"/>
    <col min="14308" max="14308" width="10.140625" style="338" customWidth="1"/>
    <col min="14309" max="14309" width="8.7109375" style="338"/>
    <col min="14310" max="14328" width="9.140625" style="338" customWidth="1"/>
    <col min="14329" max="14534" width="8.7109375" style="338"/>
    <col min="14535" max="14535" width="23.85546875" style="338" customWidth="1"/>
    <col min="14536" max="14536" width="10.5703125" style="338" customWidth="1"/>
    <col min="14537" max="14537" width="6.5703125" style="338" customWidth="1"/>
    <col min="14538" max="14538" width="7" style="338" bestFit="1" customWidth="1"/>
    <col min="14539" max="14539" width="7.42578125" style="338" bestFit="1" customWidth="1"/>
    <col min="14540" max="14540" width="7.5703125" style="338" bestFit="1" customWidth="1"/>
    <col min="14541" max="14541" width="7.42578125" style="338" bestFit="1" customWidth="1"/>
    <col min="14542" max="14542" width="7.5703125" style="338" bestFit="1" customWidth="1"/>
    <col min="14543" max="14543" width="10.42578125" style="338" bestFit="1" customWidth="1"/>
    <col min="14544" max="14544" width="10.140625" style="338" bestFit="1" customWidth="1"/>
    <col min="14545" max="14545" width="23.85546875" style="338" customWidth="1"/>
    <col min="14546" max="14546" width="10.5703125" style="338" customWidth="1"/>
    <col min="14547" max="14547" width="6.5703125" style="338" customWidth="1"/>
    <col min="14548" max="14548" width="7" style="338" customWidth="1"/>
    <col min="14549" max="14549" width="7.42578125" style="338" customWidth="1"/>
    <col min="14550" max="14550" width="7.5703125" style="338" customWidth="1"/>
    <col min="14551" max="14551" width="7.42578125" style="338" customWidth="1"/>
    <col min="14552" max="14552" width="7.5703125" style="338" customWidth="1"/>
    <col min="14553" max="14553" width="10.42578125" style="338" customWidth="1"/>
    <col min="14554" max="14554" width="10.140625" style="338" customWidth="1"/>
    <col min="14555" max="14555" width="14.85546875" style="338" customWidth="1"/>
    <col min="14556" max="14556" width="10.5703125" style="338" customWidth="1"/>
    <col min="14557" max="14557" width="6.5703125" style="338" customWidth="1"/>
    <col min="14558" max="14558" width="7" style="338" customWidth="1"/>
    <col min="14559" max="14559" width="7.42578125" style="338" customWidth="1"/>
    <col min="14560" max="14560" width="7.5703125" style="338" customWidth="1"/>
    <col min="14561" max="14561" width="7.42578125" style="338" customWidth="1"/>
    <col min="14562" max="14562" width="7.5703125" style="338" customWidth="1"/>
    <col min="14563" max="14563" width="10.42578125" style="338" customWidth="1"/>
    <col min="14564" max="14564" width="10.140625" style="338" customWidth="1"/>
    <col min="14565" max="14565" width="8.7109375" style="338"/>
    <col min="14566" max="14584" width="9.140625" style="338" customWidth="1"/>
    <col min="14585" max="14790" width="8.7109375" style="338"/>
    <col min="14791" max="14791" width="23.85546875" style="338" customWidth="1"/>
    <col min="14792" max="14792" width="10.5703125" style="338" customWidth="1"/>
    <col min="14793" max="14793" width="6.5703125" style="338" customWidth="1"/>
    <col min="14794" max="14794" width="7" style="338" bestFit="1" customWidth="1"/>
    <col min="14795" max="14795" width="7.42578125" style="338" bestFit="1" customWidth="1"/>
    <col min="14796" max="14796" width="7.5703125" style="338" bestFit="1" customWidth="1"/>
    <col min="14797" max="14797" width="7.42578125" style="338" bestFit="1" customWidth="1"/>
    <col min="14798" max="14798" width="7.5703125" style="338" bestFit="1" customWidth="1"/>
    <col min="14799" max="14799" width="10.42578125" style="338" bestFit="1" customWidth="1"/>
    <col min="14800" max="14800" width="10.140625" style="338" bestFit="1" customWidth="1"/>
    <col min="14801" max="14801" width="23.85546875" style="338" customWidth="1"/>
    <col min="14802" max="14802" width="10.5703125" style="338" customWidth="1"/>
    <col min="14803" max="14803" width="6.5703125" style="338" customWidth="1"/>
    <col min="14804" max="14804" width="7" style="338" customWidth="1"/>
    <col min="14805" max="14805" width="7.42578125" style="338" customWidth="1"/>
    <col min="14806" max="14806" width="7.5703125" style="338" customWidth="1"/>
    <col min="14807" max="14807" width="7.42578125" style="338" customWidth="1"/>
    <col min="14808" max="14808" width="7.5703125" style="338" customWidth="1"/>
    <col min="14809" max="14809" width="10.42578125" style="338" customWidth="1"/>
    <col min="14810" max="14810" width="10.140625" style="338" customWidth="1"/>
    <col min="14811" max="14811" width="14.85546875" style="338" customWidth="1"/>
    <col min="14812" max="14812" width="10.5703125" style="338" customWidth="1"/>
    <col min="14813" max="14813" width="6.5703125" style="338" customWidth="1"/>
    <col min="14814" max="14814" width="7" style="338" customWidth="1"/>
    <col min="14815" max="14815" width="7.42578125" style="338" customWidth="1"/>
    <col min="14816" max="14816" width="7.5703125" style="338" customWidth="1"/>
    <col min="14817" max="14817" width="7.42578125" style="338" customWidth="1"/>
    <col min="14818" max="14818" width="7.5703125" style="338" customWidth="1"/>
    <col min="14819" max="14819" width="10.42578125" style="338" customWidth="1"/>
    <col min="14820" max="14820" width="10.140625" style="338" customWidth="1"/>
    <col min="14821" max="14821" width="8.7109375" style="338"/>
    <col min="14822" max="14840" width="9.140625" style="338" customWidth="1"/>
    <col min="14841" max="15046" width="8.7109375" style="338"/>
    <col min="15047" max="15047" width="23.85546875" style="338" customWidth="1"/>
    <col min="15048" max="15048" width="10.5703125" style="338" customWidth="1"/>
    <col min="15049" max="15049" width="6.5703125" style="338" customWidth="1"/>
    <col min="15050" max="15050" width="7" style="338" bestFit="1" customWidth="1"/>
    <col min="15051" max="15051" width="7.42578125" style="338" bestFit="1" customWidth="1"/>
    <col min="15052" max="15052" width="7.5703125" style="338" bestFit="1" customWidth="1"/>
    <col min="15053" max="15053" width="7.42578125" style="338" bestFit="1" customWidth="1"/>
    <col min="15054" max="15054" width="7.5703125" style="338" bestFit="1" customWidth="1"/>
    <col min="15055" max="15055" width="10.42578125" style="338" bestFit="1" customWidth="1"/>
    <col min="15056" max="15056" width="10.140625" style="338" bestFit="1" customWidth="1"/>
    <col min="15057" max="15057" width="23.85546875" style="338" customWidth="1"/>
    <col min="15058" max="15058" width="10.5703125" style="338" customWidth="1"/>
    <col min="15059" max="15059" width="6.5703125" style="338" customWidth="1"/>
    <col min="15060" max="15060" width="7" style="338" customWidth="1"/>
    <col min="15061" max="15061" width="7.42578125" style="338" customWidth="1"/>
    <col min="15062" max="15062" width="7.5703125" style="338" customWidth="1"/>
    <col min="15063" max="15063" width="7.42578125" style="338" customWidth="1"/>
    <col min="15064" max="15064" width="7.5703125" style="338" customWidth="1"/>
    <col min="15065" max="15065" width="10.42578125" style="338" customWidth="1"/>
    <col min="15066" max="15066" width="10.140625" style="338" customWidth="1"/>
    <col min="15067" max="15067" width="14.85546875" style="338" customWidth="1"/>
    <col min="15068" max="15068" width="10.5703125" style="338" customWidth="1"/>
    <col min="15069" max="15069" width="6.5703125" style="338" customWidth="1"/>
    <col min="15070" max="15070" width="7" style="338" customWidth="1"/>
    <col min="15071" max="15071" width="7.42578125" style="338" customWidth="1"/>
    <col min="15072" max="15072" width="7.5703125" style="338" customWidth="1"/>
    <col min="15073" max="15073" width="7.42578125" style="338" customWidth="1"/>
    <col min="15074" max="15074" width="7.5703125" style="338" customWidth="1"/>
    <col min="15075" max="15075" width="10.42578125" style="338" customWidth="1"/>
    <col min="15076" max="15076" width="10.140625" style="338" customWidth="1"/>
    <col min="15077" max="15077" width="8.7109375" style="338"/>
    <col min="15078" max="15096" width="9.140625" style="338" customWidth="1"/>
    <col min="15097" max="15302" width="8.7109375" style="338"/>
    <col min="15303" max="15303" width="23.85546875" style="338" customWidth="1"/>
    <col min="15304" max="15304" width="10.5703125" style="338" customWidth="1"/>
    <col min="15305" max="15305" width="6.5703125" style="338" customWidth="1"/>
    <col min="15306" max="15306" width="7" style="338" bestFit="1" customWidth="1"/>
    <col min="15307" max="15307" width="7.42578125" style="338" bestFit="1" customWidth="1"/>
    <col min="15308" max="15308" width="7.5703125" style="338" bestFit="1" customWidth="1"/>
    <col min="15309" max="15309" width="7.42578125" style="338" bestFit="1" customWidth="1"/>
    <col min="15310" max="15310" width="7.5703125" style="338" bestFit="1" customWidth="1"/>
    <col min="15311" max="15311" width="10.42578125" style="338" bestFit="1" customWidth="1"/>
    <col min="15312" max="15312" width="10.140625" style="338" bestFit="1" customWidth="1"/>
    <col min="15313" max="15313" width="23.85546875" style="338" customWidth="1"/>
    <col min="15314" max="15314" width="10.5703125" style="338" customWidth="1"/>
    <col min="15315" max="15315" width="6.5703125" style="338" customWidth="1"/>
    <col min="15316" max="15316" width="7" style="338" customWidth="1"/>
    <col min="15317" max="15317" width="7.42578125" style="338" customWidth="1"/>
    <col min="15318" max="15318" width="7.5703125" style="338" customWidth="1"/>
    <col min="15319" max="15319" width="7.42578125" style="338" customWidth="1"/>
    <col min="15320" max="15320" width="7.5703125" style="338" customWidth="1"/>
    <col min="15321" max="15321" width="10.42578125" style="338" customWidth="1"/>
    <col min="15322" max="15322" width="10.140625" style="338" customWidth="1"/>
    <col min="15323" max="15323" width="14.85546875" style="338" customWidth="1"/>
    <col min="15324" max="15324" width="10.5703125" style="338" customWidth="1"/>
    <col min="15325" max="15325" width="6.5703125" style="338" customWidth="1"/>
    <col min="15326" max="15326" width="7" style="338" customWidth="1"/>
    <col min="15327" max="15327" width="7.42578125" style="338" customWidth="1"/>
    <col min="15328" max="15328" width="7.5703125" style="338" customWidth="1"/>
    <col min="15329" max="15329" width="7.42578125" style="338" customWidth="1"/>
    <col min="15330" max="15330" width="7.5703125" style="338" customWidth="1"/>
    <col min="15331" max="15331" width="10.42578125" style="338" customWidth="1"/>
    <col min="15332" max="15332" width="10.140625" style="338" customWidth="1"/>
    <col min="15333" max="15333" width="8.7109375" style="338"/>
    <col min="15334" max="15352" width="9.140625" style="338" customWidth="1"/>
    <col min="15353" max="15558" width="8.7109375" style="338"/>
    <col min="15559" max="15559" width="23.85546875" style="338" customWidth="1"/>
    <col min="15560" max="15560" width="10.5703125" style="338" customWidth="1"/>
    <col min="15561" max="15561" width="6.5703125" style="338" customWidth="1"/>
    <col min="15562" max="15562" width="7" style="338" bestFit="1" customWidth="1"/>
    <col min="15563" max="15563" width="7.42578125" style="338" bestFit="1" customWidth="1"/>
    <col min="15564" max="15564" width="7.5703125" style="338" bestFit="1" customWidth="1"/>
    <col min="15565" max="15565" width="7.42578125" style="338" bestFit="1" customWidth="1"/>
    <col min="15566" max="15566" width="7.5703125" style="338" bestFit="1" customWidth="1"/>
    <col min="15567" max="15567" width="10.42578125" style="338" bestFit="1" customWidth="1"/>
    <col min="15568" max="15568" width="10.140625" style="338" bestFit="1" customWidth="1"/>
    <col min="15569" max="15569" width="23.85546875" style="338" customWidth="1"/>
    <col min="15570" max="15570" width="10.5703125" style="338" customWidth="1"/>
    <col min="15571" max="15571" width="6.5703125" style="338" customWidth="1"/>
    <col min="15572" max="15572" width="7" style="338" customWidth="1"/>
    <col min="15573" max="15573" width="7.42578125" style="338" customWidth="1"/>
    <col min="15574" max="15574" width="7.5703125" style="338" customWidth="1"/>
    <col min="15575" max="15575" width="7.42578125" style="338" customWidth="1"/>
    <col min="15576" max="15576" width="7.5703125" style="338" customWidth="1"/>
    <col min="15577" max="15577" width="10.42578125" style="338" customWidth="1"/>
    <col min="15578" max="15578" width="10.140625" style="338" customWidth="1"/>
    <col min="15579" max="15579" width="14.85546875" style="338" customWidth="1"/>
    <col min="15580" max="15580" width="10.5703125" style="338" customWidth="1"/>
    <col min="15581" max="15581" width="6.5703125" style="338" customWidth="1"/>
    <col min="15582" max="15582" width="7" style="338" customWidth="1"/>
    <col min="15583" max="15583" width="7.42578125" style="338" customWidth="1"/>
    <col min="15584" max="15584" width="7.5703125" style="338" customWidth="1"/>
    <col min="15585" max="15585" width="7.42578125" style="338" customWidth="1"/>
    <col min="15586" max="15586" width="7.5703125" style="338" customWidth="1"/>
    <col min="15587" max="15587" width="10.42578125" style="338" customWidth="1"/>
    <col min="15588" max="15588" width="10.140625" style="338" customWidth="1"/>
    <col min="15589" max="15589" width="8.7109375" style="338"/>
    <col min="15590" max="15608" width="9.140625" style="338" customWidth="1"/>
    <col min="15609" max="15814" width="8.7109375" style="338"/>
    <col min="15815" max="15815" width="23.85546875" style="338" customWidth="1"/>
    <col min="15816" max="15816" width="10.5703125" style="338" customWidth="1"/>
    <col min="15817" max="15817" width="6.5703125" style="338" customWidth="1"/>
    <col min="15818" max="15818" width="7" style="338" bestFit="1" customWidth="1"/>
    <col min="15819" max="15819" width="7.42578125" style="338" bestFit="1" customWidth="1"/>
    <col min="15820" max="15820" width="7.5703125" style="338" bestFit="1" customWidth="1"/>
    <col min="15821" max="15821" width="7.42578125" style="338" bestFit="1" customWidth="1"/>
    <col min="15822" max="15822" width="7.5703125" style="338" bestFit="1" customWidth="1"/>
    <col min="15823" max="15823" width="10.42578125" style="338" bestFit="1" customWidth="1"/>
    <col min="15824" max="15824" width="10.140625" style="338" bestFit="1" customWidth="1"/>
    <col min="15825" max="15825" width="23.85546875" style="338" customWidth="1"/>
    <col min="15826" max="15826" width="10.5703125" style="338" customWidth="1"/>
    <col min="15827" max="15827" width="6.5703125" style="338" customWidth="1"/>
    <col min="15828" max="15828" width="7" style="338" customWidth="1"/>
    <col min="15829" max="15829" width="7.42578125" style="338" customWidth="1"/>
    <col min="15830" max="15830" width="7.5703125" style="338" customWidth="1"/>
    <col min="15831" max="15831" width="7.42578125" style="338" customWidth="1"/>
    <col min="15832" max="15832" width="7.5703125" style="338" customWidth="1"/>
    <col min="15833" max="15833" width="10.42578125" style="338" customWidth="1"/>
    <col min="15834" max="15834" width="10.140625" style="338" customWidth="1"/>
    <col min="15835" max="15835" width="14.85546875" style="338" customWidth="1"/>
    <col min="15836" max="15836" width="10.5703125" style="338" customWidth="1"/>
    <col min="15837" max="15837" width="6.5703125" style="338" customWidth="1"/>
    <col min="15838" max="15838" width="7" style="338" customWidth="1"/>
    <col min="15839" max="15839" width="7.42578125" style="338" customWidth="1"/>
    <col min="15840" max="15840" width="7.5703125" style="338" customWidth="1"/>
    <col min="15841" max="15841" width="7.42578125" style="338" customWidth="1"/>
    <col min="15842" max="15842" width="7.5703125" style="338" customWidth="1"/>
    <col min="15843" max="15843" width="10.42578125" style="338" customWidth="1"/>
    <col min="15844" max="15844" width="10.140625" style="338" customWidth="1"/>
    <col min="15845" max="15845" width="8.7109375" style="338"/>
    <col min="15846" max="15864" width="9.140625" style="338" customWidth="1"/>
    <col min="15865" max="16070" width="8.7109375" style="338"/>
    <col min="16071" max="16071" width="23.85546875" style="338" customWidth="1"/>
    <col min="16072" max="16072" width="10.5703125" style="338" customWidth="1"/>
    <col min="16073" max="16073" width="6.5703125" style="338" customWidth="1"/>
    <col min="16074" max="16074" width="7" style="338" bestFit="1" customWidth="1"/>
    <col min="16075" max="16075" width="7.42578125" style="338" bestFit="1" customWidth="1"/>
    <col min="16076" max="16076" width="7.5703125" style="338" bestFit="1" customWidth="1"/>
    <col min="16077" max="16077" width="7.42578125" style="338" bestFit="1" customWidth="1"/>
    <col min="16078" max="16078" width="7.5703125" style="338" bestFit="1" customWidth="1"/>
    <col min="16079" max="16079" width="10.42578125" style="338" bestFit="1" customWidth="1"/>
    <col min="16080" max="16080" width="10.140625" style="338" bestFit="1" customWidth="1"/>
    <col min="16081" max="16081" width="23.85546875" style="338" customWidth="1"/>
    <col min="16082" max="16082" width="10.5703125" style="338" customWidth="1"/>
    <col min="16083" max="16083" width="6.5703125" style="338" customWidth="1"/>
    <col min="16084" max="16084" width="7" style="338" customWidth="1"/>
    <col min="16085" max="16085" width="7.42578125" style="338" customWidth="1"/>
    <col min="16086" max="16086" width="7.5703125" style="338" customWidth="1"/>
    <col min="16087" max="16087" width="7.42578125" style="338" customWidth="1"/>
    <col min="16088" max="16088" width="7.5703125" style="338" customWidth="1"/>
    <col min="16089" max="16089" width="10.42578125" style="338" customWidth="1"/>
    <col min="16090" max="16090" width="10.140625" style="338" customWidth="1"/>
    <col min="16091" max="16091" width="14.85546875" style="338" customWidth="1"/>
    <col min="16092" max="16092" width="10.5703125" style="338" customWidth="1"/>
    <col min="16093" max="16093" width="6.5703125" style="338" customWidth="1"/>
    <col min="16094" max="16094" width="7" style="338" customWidth="1"/>
    <col min="16095" max="16095" width="7.42578125" style="338" customWidth="1"/>
    <col min="16096" max="16096" width="7.5703125" style="338" customWidth="1"/>
    <col min="16097" max="16097" width="7.42578125" style="338" customWidth="1"/>
    <col min="16098" max="16098" width="7.5703125" style="338" customWidth="1"/>
    <col min="16099" max="16099" width="10.42578125" style="338" customWidth="1"/>
    <col min="16100" max="16100" width="10.140625" style="338" customWidth="1"/>
    <col min="16101" max="16101" width="8.7109375" style="338"/>
    <col min="16102" max="16120" width="9.140625" style="338" customWidth="1"/>
    <col min="16121" max="16344" width="8.7109375" style="338"/>
    <col min="16345" max="16384" width="9.140625" style="338" customWidth="1"/>
  </cols>
  <sheetData>
    <row r="1" spans="1:11" x14ac:dyDescent="0.2">
      <c r="A1" s="624" t="s">
        <v>23</v>
      </c>
      <c r="B1" s="624"/>
      <c r="C1" s="624"/>
      <c r="D1" s="624"/>
      <c r="E1" s="624"/>
      <c r="F1" s="624"/>
      <c r="G1" s="624"/>
      <c r="H1" s="624"/>
      <c r="I1" s="624"/>
      <c r="J1" s="624"/>
      <c r="K1" s="624"/>
    </row>
    <row r="2" spans="1:11" x14ac:dyDescent="0.2">
      <c r="A2" s="624" t="s">
        <v>91</v>
      </c>
      <c r="B2" s="624"/>
      <c r="C2" s="624"/>
      <c r="D2" s="624"/>
      <c r="E2" s="624"/>
      <c r="F2" s="624"/>
      <c r="G2" s="624"/>
      <c r="H2" s="624"/>
      <c r="I2" s="624"/>
      <c r="J2" s="624"/>
      <c r="K2" s="624"/>
    </row>
    <row r="3" spans="1:11" ht="12.75" x14ac:dyDescent="0.2">
      <c r="A3" s="625" t="s">
        <v>128</v>
      </c>
      <c r="B3" s="625"/>
      <c r="C3" s="625"/>
      <c r="D3" s="625"/>
      <c r="E3" s="625"/>
      <c r="F3" s="625"/>
      <c r="G3" s="625"/>
      <c r="H3" s="625"/>
      <c r="I3" s="625"/>
      <c r="J3" s="625"/>
      <c r="K3" s="625"/>
    </row>
    <row r="4" spans="1:11" ht="12.75" x14ac:dyDescent="0.2">
      <c r="A4" s="625" t="s">
        <v>93</v>
      </c>
      <c r="B4" s="625"/>
      <c r="C4" s="625"/>
      <c r="D4" s="625"/>
      <c r="E4" s="625"/>
      <c r="F4" s="625"/>
      <c r="G4" s="625"/>
      <c r="H4" s="625"/>
      <c r="I4" s="625"/>
      <c r="J4" s="625"/>
      <c r="K4" s="625"/>
    </row>
    <row r="5" spans="1:11" ht="12" x14ac:dyDescent="0.2">
      <c r="A5" s="626" t="s">
        <v>48</v>
      </c>
      <c r="B5" s="626"/>
      <c r="C5" s="626"/>
      <c r="D5" s="626"/>
      <c r="E5" s="626"/>
      <c r="F5" s="626"/>
      <c r="G5" s="626"/>
      <c r="H5" s="626"/>
      <c r="I5" s="626"/>
      <c r="J5" s="626"/>
      <c r="K5" s="626"/>
    </row>
    <row r="6" spans="1:11" ht="15" x14ac:dyDescent="0.2">
      <c r="A6" s="623"/>
      <c r="B6" s="623"/>
      <c r="C6" s="623"/>
      <c r="D6" s="623"/>
      <c r="E6" s="623"/>
      <c r="F6" s="623"/>
      <c r="G6" s="623"/>
      <c r="H6" s="623"/>
      <c r="I6" s="623"/>
      <c r="J6" s="623"/>
      <c r="K6" s="623"/>
    </row>
    <row r="7" spans="1:11" x14ac:dyDescent="0.2">
      <c r="A7" s="361"/>
      <c r="B7" s="362"/>
      <c r="C7" s="78"/>
      <c r="D7" s="78"/>
      <c r="E7" s="78"/>
      <c r="F7" s="78"/>
      <c r="G7" s="78"/>
      <c r="H7" s="78"/>
      <c r="I7" s="78"/>
      <c r="J7" s="363"/>
    </row>
    <row r="8" spans="1:11" ht="13.5" thickBot="1" x14ac:dyDescent="0.25">
      <c r="A8" s="261" t="s">
        <v>94</v>
      </c>
      <c r="B8" s="365"/>
      <c r="C8" s="67"/>
      <c r="D8" s="67"/>
      <c r="E8" s="67"/>
      <c r="F8" s="67"/>
      <c r="G8" s="67"/>
      <c r="H8" s="67"/>
      <c r="I8" s="67"/>
      <c r="J8" s="67"/>
    </row>
    <row r="9" spans="1:11" ht="10.35" customHeight="1" x14ac:dyDescent="0.25">
      <c r="A9" s="339" t="s">
        <v>114</v>
      </c>
      <c r="B9" s="615" t="s">
        <v>95</v>
      </c>
      <c r="C9" s="621" t="s">
        <v>131</v>
      </c>
      <c r="D9" s="617"/>
      <c r="E9" s="617"/>
      <c r="F9" s="617"/>
      <c r="G9" s="617"/>
      <c r="H9" s="617"/>
      <c r="I9" s="622"/>
      <c r="J9" s="373" t="s">
        <v>129</v>
      </c>
      <c r="K9" s="374" t="s">
        <v>115</v>
      </c>
    </row>
    <row r="10" spans="1:11" ht="13.7" customHeight="1" thickBot="1" x14ac:dyDescent="0.3">
      <c r="A10" s="340"/>
      <c r="B10" s="616"/>
      <c r="C10" s="375" t="s">
        <v>102</v>
      </c>
      <c r="D10" s="375" t="s">
        <v>103</v>
      </c>
      <c r="E10" s="375" t="s">
        <v>104</v>
      </c>
      <c r="F10" s="375" t="s">
        <v>105</v>
      </c>
      <c r="G10" s="375" t="s">
        <v>106</v>
      </c>
      <c r="H10" s="375" t="s">
        <v>107</v>
      </c>
      <c r="I10" s="375" t="s">
        <v>108</v>
      </c>
      <c r="J10" s="375" t="s">
        <v>130</v>
      </c>
      <c r="K10" s="376" t="s">
        <v>116</v>
      </c>
    </row>
    <row r="11" spans="1:11" x14ac:dyDescent="0.2">
      <c r="A11" s="301" t="s">
        <v>117</v>
      </c>
      <c r="B11" s="302" t="s">
        <v>113</v>
      </c>
      <c r="C11" s="304">
        <v>0</v>
      </c>
      <c r="D11" s="304">
        <v>1.0934937124110755E-3</v>
      </c>
      <c r="E11" s="304">
        <v>1.793269634901562E-3</v>
      </c>
      <c r="F11" s="304">
        <v>4.8831729267808655E-3</v>
      </c>
      <c r="G11" s="304">
        <v>8.4114583333333437E-3</v>
      </c>
      <c r="H11" s="304">
        <v>1.0373612124159215E-2</v>
      </c>
      <c r="I11" s="304">
        <v>4.1909116098641785E-3</v>
      </c>
      <c r="J11" s="377">
        <v>4.4000000000000003E-3</v>
      </c>
      <c r="K11" s="378">
        <v>7.2289156626506021E-2</v>
      </c>
    </row>
    <row r="12" spans="1:11" s="360" customFormat="1" x14ac:dyDescent="0.2">
      <c r="A12" s="155"/>
      <c r="B12" s="309" t="s">
        <v>1</v>
      </c>
      <c r="C12" s="283">
        <v>0</v>
      </c>
      <c r="D12" s="283">
        <v>1.5109544195416325E-3</v>
      </c>
      <c r="E12" s="283">
        <v>5.0156401682666107E-3</v>
      </c>
      <c r="F12" s="283">
        <v>6.5600433721876295E-3</v>
      </c>
      <c r="G12" s="283">
        <v>1.7365119196988688E-2</v>
      </c>
      <c r="H12" s="283">
        <v>2.0499578414839736E-2</v>
      </c>
      <c r="I12" s="283">
        <v>7.4412532637075923E-3</v>
      </c>
      <c r="J12" s="298">
        <v>8.3000000000000001E-3</v>
      </c>
      <c r="K12" s="379"/>
    </row>
    <row r="13" spans="1:11" s="360" customFormat="1" x14ac:dyDescent="0.2">
      <c r="A13" s="286"/>
      <c r="B13" s="312" t="s">
        <v>0</v>
      </c>
      <c r="C13" s="288">
        <v>0</v>
      </c>
      <c r="D13" s="288">
        <v>6.4676080629522126E-4</v>
      </c>
      <c r="E13" s="288">
        <v>0</v>
      </c>
      <c r="F13" s="288">
        <v>3.0396948384789901E-3</v>
      </c>
      <c r="G13" s="288">
        <v>0</v>
      </c>
      <c r="H13" s="288">
        <v>0</v>
      </c>
      <c r="I13" s="288">
        <v>5.1652892561981911E-4</v>
      </c>
      <c r="J13" s="380">
        <v>5.9999999999999995E-4</v>
      </c>
      <c r="K13" s="381"/>
    </row>
    <row r="14" spans="1:11" s="360" customFormat="1" ht="9.9499999999999993" customHeight="1" x14ac:dyDescent="0.2">
      <c r="A14" s="301" t="s">
        <v>118</v>
      </c>
      <c r="B14" s="302" t="s">
        <v>113</v>
      </c>
      <c r="C14" s="304">
        <v>0</v>
      </c>
      <c r="D14" s="304">
        <v>4.0272431151909815E-3</v>
      </c>
      <c r="E14" s="304">
        <v>1.1178801679777584E-2</v>
      </c>
      <c r="F14" s="304">
        <v>1.503620964772312E-2</v>
      </c>
      <c r="G14" s="304">
        <v>1.6673979815708728E-2</v>
      </c>
      <c r="H14" s="304">
        <v>2.0343553966113537E-2</v>
      </c>
      <c r="I14" s="304">
        <v>1.479599461963832E-2</v>
      </c>
      <c r="J14" s="377">
        <v>1.17E-2</v>
      </c>
      <c r="K14" s="378">
        <v>0.44099378881987583</v>
      </c>
    </row>
    <row r="15" spans="1:11" s="360" customFormat="1" ht="9.9499999999999993" customHeight="1" x14ac:dyDescent="0.2">
      <c r="A15" s="155"/>
      <c r="B15" s="309" t="s">
        <v>1</v>
      </c>
      <c r="C15" s="283">
        <v>0</v>
      </c>
      <c r="D15" s="283">
        <v>9.0878492090205043E-3</v>
      </c>
      <c r="E15" s="283">
        <v>1.4396580812057191E-2</v>
      </c>
      <c r="F15" s="283">
        <v>1.9314285714285728E-2</v>
      </c>
      <c r="G15" s="283">
        <v>2.2345771410242743E-2</v>
      </c>
      <c r="H15" s="283">
        <v>2.7888901588753012E-2</v>
      </c>
      <c r="I15" s="283">
        <v>1.996577296063895E-2</v>
      </c>
      <c r="J15" s="298">
        <v>1.61E-2</v>
      </c>
      <c r="K15" s="379"/>
    </row>
    <row r="16" spans="1:11" s="360" customFormat="1" x14ac:dyDescent="0.2">
      <c r="A16" s="286"/>
      <c r="B16" s="312" t="s">
        <v>0</v>
      </c>
      <c r="C16" s="288">
        <v>0</v>
      </c>
      <c r="D16" s="288">
        <v>0</v>
      </c>
      <c r="E16" s="288">
        <v>7.6097804391217494E-3</v>
      </c>
      <c r="F16" s="288">
        <v>1.0074231177094384E-2</v>
      </c>
      <c r="G16" s="288">
        <v>1.069940308593309E-2</v>
      </c>
      <c r="H16" s="288">
        <v>1.2397688974482346E-2</v>
      </c>
      <c r="I16" s="288">
        <v>9.1051805337519776E-3</v>
      </c>
      <c r="J16" s="380">
        <v>7.1000000000000004E-3</v>
      </c>
      <c r="K16" s="381"/>
    </row>
    <row r="17" spans="1:11" s="360" customFormat="1" x14ac:dyDescent="0.2">
      <c r="A17" s="301" t="s">
        <v>119</v>
      </c>
      <c r="B17" s="302" t="s">
        <v>113</v>
      </c>
      <c r="C17" s="304">
        <v>2.9314732774059826E-2</v>
      </c>
      <c r="D17" s="304">
        <v>1.2637660227477809E-2</v>
      </c>
      <c r="E17" s="304">
        <v>1.6896235078053268E-2</v>
      </c>
      <c r="F17" s="304">
        <v>2.2071982501491338E-2</v>
      </c>
      <c r="G17" s="304">
        <v>6.9924106762172533E-3</v>
      </c>
      <c r="H17" s="304">
        <v>2.7814923776410816E-2</v>
      </c>
      <c r="I17" s="304">
        <v>6.0093205788570581E-3</v>
      </c>
      <c r="J17" s="377">
        <v>1.981236773129447E-2</v>
      </c>
      <c r="K17" s="378">
        <v>0.82626196533714524</v>
      </c>
    </row>
    <row r="18" spans="1:11" s="360" customFormat="1" x14ac:dyDescent="0.2">
      <c r="A18" s="155"/>
      <c r="B18" s="309" t="s">
        <v>1</v>
      </c>
      <c r="C18" s="283">
        <v>3.0791263873970687E-2</v>
      </c>
      <c r="D18" s="283">
        <v>9.1148115687993414E-3</v>
      </c>
      <c r="E18" s="283">
        <v>1.8465909090909172E-2</v>
      </c>
      <c r="F18" s="283">
        <v>2.9531946508172369E-2</v>
      </c>
      <c r="G18" s="283">
        <v>6.6439522998296141E-3</v>
      </c>
      <c r="H18" s="283">
        <v>3.124460555843267E-2</v>
      </c>
      <c r="I18" s="283">
        <v>7.4871314927468235E-3</v>
      </c>
      <c r="J18" s="298">
        <v>2.162964442222276E-2</v>
      </c>
      <c r="K18" s="379"/>
    </row>
    <row r="19" spans="1:11" s="360" customFormat="1" x14ac:dyDescent="0.2">
      <c r="A19" s="286"/>
      <c r="B19" s="312" t="s">
        <v>0</v>
      </c>
      <c r="C19" s="288">
        <v>2.7672705554449561E-2</v>
      </c>
      <c r="D19" s="288">
        <v>1.6378187232458541E-2</v>
      </c>
      <c r="E19" s="288">
        <v>1.5214910612400101E-2</v>
      </c>
      <c r="F19" s="288">
        <v>1.347881899871628E-2</v>
      </c>
      <c r="G19" s="288">
        <v>7.3416424790848644E-3</v>
      </c>
      <c r="H19" s="288">
        <v>2.4151917404129808E-2</v>
      </c>
      <c r="I19" s="288">
        <v>4.3814432989690566E-3</v>
      </c>
      <c r="J19" s="380">
        <v>1.78717525098494E-2</v>
      </c>
      <c r="K19" s="381"/>
    </row>
    <row r="20" spans="1:11" s="360" customFormat="1" x14ac:dyDescent="0.2">
      <c r="A20" s="301" t="s">
        <v>120</v>
      </c>
      <c r="B20" s="302" t="s">
        <v>113</v>
      </c>
      <c r="C20" s="304">
        <v>1.3585056437918297E-2</v>
      </c>
      <c r="D20" s="304">
        <v>1.468428781204123E-3</v>
      </c>
      <c r="E20" s="304">
        <v>7.1589683240168567E-3</v>
      </c>
      <c r="F20" s="304">
        <v>1.4016335585358419E-2</v>
      </c>
      <c r="G20" s="304">
        <v>1.9751483679525283E-2</v>
      </c>
      <c r="H20" s="304">
        <v>2.4937894133384209E-2</v>
      </c>
      <c r="I20" s="304">
        <v>1.1909015124449196E-2</v>
      </c>
      <c r="J20" s="377">
        <v>1.4972805714367165E-2</v>
      </c>
      <c r="K20" s="378">
        <v>0.56714906531028675</v>
      </c>
    </row>
    <row r="21" spans="1:11" s="360" customFormat="1" x14ac:dyDescent="0.2">
      <c r="A21" s="155"/>
      <c r="B21" s="309" t="s">
        <v>1</v>
      </c>
      <c r="C21" s="283">
        <v>1.6567135426700075E-2</v>
      </c>
      <c r="D21" s="283">
        <v>0</v>
      </c>
      <c r="E21" s="283">
        <v>9.2732778198334476E-3</v>
      </c>
      <c r="F21" s="283">
        <v>2.0988360999809164E-2</v>
      </c>
      <c r="G21" s="283">
        <v>2.6539278131634814E-2</v>
      </c>
      <c r="H21" s="283">
        <v>3.5153328347045654E-2</v>
      </c>
      <c r="I21" s="283">
        <v>1.620370370370372E-2</v>
      </c>
      <c r="J21" s="298">
        <v>1.78E-2</v>
      </c>
      <c r="K21" s="379"/>
    </row>
    <row r="22" spans="1:11" s="360" customFormat="1" x14ac:dyDescent="0.2">
      <c r="A22" s="286"/>
      <c r="B22" s="312" t="s">
        <v>0</v>
      </c>
      <c r="C22" s="288">
        <v>1.0373443983402564E-2</v>
      </c>
      <c r="D22" s="288">
        <v>5.9389719434773669E-3</v>
      </c>
      <c r="E22" s="288">
        <v>4.8849989822918882E-3</v>
      </c>
      <c r="F22" s="288">
        <v>6.2018819503849576E-3</v>
      </c>
      <c r="G22" s="288">
        <v>1.2275915822291483E-2</v>
      </c>
      <c r="H22" s="288">
        <v>1.4263384134427515E-2</v>
      </c>
      <c r="I22" s="288">
        <v>7.3583517292126199E-3</v>
      </c>
      <c r="J22" s="380">
        <v>1.0095253362523104E-2</v>
      </c>
      <c r="K22" s="381"/>
    </row>
    <row r="23" spans="1:11" s="360" customFormat="1" x14ac:dyDescent="0.2">
      <c r="A23" s="301" t="s">
        <v>121</v>
      </c>
      <c r="B23" s="302" t="s">
        <v>113</v>
      </c>
      <c r="C23" s="304">
        <v>8.26189588768792E-2</v>
      </c>
      <c r="D23" s="304">
        <v>4.4263171971115289E-2</v>
      </c>
      <c r="E23" s="304">
        <v>3.9336366069039341E-2</v>
      </c>
      <c r="F23" s="304">
        <v>4.4329303396660968E-2</v>
      </c>
      <c r="G23" s="304">
        <v>5.8631921824104261E-2</v>
      </c>
      <c r="H23" s="304">
        <v>6.8015971361696348E-2</v>
      </c>
      <c r="I23" s="304">
        <v>3.6770850743774064E-2</v>
      </c>
      <c r="J23" s="377">
        <v>5.8178119843864472E-2</v>
      </c>
      <c r="K23" s="378">
        <v>0.60171672786045904</v>
      </c>
    </row>
    <row r="24" spans="1:11" s="360" customFormat="1" x14ac:dyDescent="0.2">
      <c r="A24" s="155"/>
      <c r="B24" s="309" t="s">
        <v>1</v>
      </c>
      <c r="C24" s="283">
        <v>0.10090004737091429</v>
      </c>
      <c r="D24" s="283">
        <v>4.4592516658124026E-2</v>
      </c>
      <c r="E24" s="283">
        <v>4.9497293116782637E-2</v>
      </c>
      <c r="F24" s="283">
        <v>5.7864710676446607E-2</v>
      </c>
      <c r="G24" s="283">
        <v>7.8125E-2</v>
      </c>
      <c r="H24" s="283">
        <v>9.0215317525211169E-2</v>
      </c>
      <c r="I24" s="283">
        <v>4.8387096774193616E-2</v>
      </c>
      <c r="J24" s="298">
        <v>7.1911919753032613E-2</v>
      </c>
      <c r="K24" s="379"/>
    </row>
    <row r="25" spans="1:11" s="360" customFormat="1" x14ac:dyDescent="0.2">
      <c r="A25" s="286"/>
      <c r="B25" s="312" t="s">
        <v>0</v>
      </c>
      <c r="C25" s="288">
        <v>6.2451006009929477E-2</v>
      </c>
      <c r="D25" s="288">
        <v>4.3903803131991048E-2</v>
      </c>
      <c r="E25" s="288">
        <v>2.837273991655076E-2</v>
      </c>
      <c r="F25" s="288">
        <v>2.9078665442301754E-2</v>
      </c>
      <c r="G25" s="288">
        <v>3.7414965986394599E-2</v>
      </c>
      <c r="H25" s="288">
        <v>4.5353366722315047E-2</v>
      </c>
      <c r="I25" s="288">
        <v>2.4280263614290698E-2</v>
      </c>
      <c r="J25" s="380">
        <v>4.3270605047958696E-2</v>
      </c>
      <c r="K25" s="381"/>
    </row>
    <row r="26" spans="1:11" s="360" customFormat="1" x14ac:dyDescent="0.2">
      <c r="A26" s="301" t="s">
        <v>122</v>
      </c>
      <c r="B26" s="302" t="s">
        <v>113</v>
      </c>
      <c r="C26" s="342">
        <v>1.5869806934195929E-2</v>
      </c>
      <c r="D26" s="342">
        <v>1.7289139363836137E-2</v>
      </c>
      <c r="E26" s="342">
        <v>1.8255578093306246E-2</v>
      </c>
      <c r="F26" s="342">
        <v>3.414586006118614E-2</v>
      </c>
      <c r="G26" s="342">
        <v>3.5714285714285698E-2</v>
      </c>
      <c r="H26" s="342">
        <v>3.8745737021599114E-2</v>
      </c>
      <c r="I26" s="342">
        <v>1.5221238938053161E-2</v>
      </c>
      <c r="J26" s="382">
        <v>2.9912254287260506E-2</v>
      </c>
      <c r="K26" s="378">
        <v>0.70321099900792294</v>
      </c>
    </row>
    <row r="27" spans="1:11" s="360" customFormat="1" ht="12" x14ac:dyDescent="0.2">
      <c r="A27" s="347"/>
      <c r="B27" s="309" t="s">
        <v>1</v>
      </c>
      <c r="C27" s="349">
        <v>1.6975308641975273E-2</v>
      </c>
      <c r="D27" s="349">
        <v>1.6893732970027275E-2</v>
      </c>
      <c r="E27" s="349">
        <v>2.306698652887984E-2</v>
      </c>
      <c r="F27" s="349">
        <v>4.2478852519308496E-2</v>
      </c>
      <c r="G27" s="349">
        <v>3.7924495776590295E-2</v>
      </c>
      <c r="H27" s="349">
        <v>4.8609832443380574E-2</v>
      </c>
      <c r="I27" s="349">
        <v>1.8458698661744322E-2</v>
      </c>
      <c r="J27" s="383">
        <v>3.4794182834240017E-2</v>
      </c>
      <c r="K27" s="384"/>
    </row>
    <row r="28" spans="1:11" s="360" customFormat="1" x14ac:dyDescent="0.2">
      <c r="A28" s="286"/>
      <c r="B28" s="312" t="s">
        <v>0</v>
      </c>
      <c r="C28" s="354">
        <v>1.4652792524952218E-2</v>
      </c>
      <c r="D28" s="354">
        <v>1.7727639000805762E-2</v>
      </c>
      <c r="E28" s="354">
        <v>1.2971220105391201E-2</v>
      </c>
      <c r="F28" s="354">
        <v>2.4494142705005273E-2</v>
      </c>
      <c r="G28" s="354">
        <v>3.3339507316169636E-2</v>
      </c>
      <c r="H28" s="354">
        <v>2.8292682926829293E-2</v>
      </c>
      <c r="I28" s="354">
        <v>1.1832890606133795E-2</v>
      </c>
      <c r="J28" s="390">
        <v>2.4467652070530248E-2</v>
      </c>
      <c r="K28" s="391"/>
    </row>
    <row r="29" spans="1:11" s="360" customFormat="1" x14ac:dyDescent="0.2">
      <c r="A29" s="301" t="s">
        <v>123</v>
      </c>
      <c r="B29" s="302" t="s">
        <v>113</v>
      </c>
      <c r="C29" s="342">
        <v>0</v>
      </c>
      <c r="D29" s="342">
        <v>0</v>
      </c>
      <c r="E29" s="342">
        <v>1.5781167806417917E-3</v>
      </c>
      <c r="F29" s="342">
        <v>0</v>
      </c>
      <c r="G29" s="342">
        <v>0</v>
      </c>
      <c r="H29" s="342">
        <v>1.6148469510725461E-2</v>
      </c>
      <c r="I29" s="342">
        <v>8.0321285140562138E-3</v>
      </c>
      <c r="J29" s="382">
        <v>3.7000000000000002E-3</v>
      </c>
      <c r="K29" s="378">
        <v>0.33333333333333331</v>
      </c>
    </row>
    <row r="30" spans="1:11" s="360" customFormat="1" x14ac:dyDescent="0.2">
      <c r="A30" s="155"/>
      <c r="B30" s="309" t="s">
        <v>1</v>
      </c>
      <c r="C30" s="349">
        <v>0</v>
      </c>
      <c r="D30" s="349">
        <v>0</v>
      </c>
      <c r="E30" s="349">
        <v>0</v>
      </c>
      <c r="F30" s="349">
        <v>5.1098620337253209E-4</v>
      </c>
      <c r="G30" s="349">
        <v>4.1570438799075626E-3</v>
      </c>
      <c r="H30" s="349">
        <v>2.6086956521739091E-2</v>
      </c>
      <c r="I30" s="349">
        <v>1.102265768524191E-2</v>
      </c>
      <c r="J30" s="383">
        <v>6.0000000000000001E-3</v>
      </c>
      <c r="K30" s="384"/>
    </row>
    <row r="31" spans="1:11" s="360" customFormat="1" x14ac:dyDescent="0.2">
      <c r="A31" s="286"/>
      <c r="B31" s="312" t="s">
        <v>0</v>
      </c>
      <c r="C31" s="354">
        <v>0</v>
      </c>
      <c r="D31" s="354">
        <v>0</v>
      </c>
      <c r="E31" s="354">
        <v>3.90625E-3</v>
      </c>
      <c r="F31" s="354">
        <v>0</v>
      </c>
      <c r="G31" s="354">
        <v>0</v>
      </c>
      <c r="H31" s="354">
        <v>5.0916496945010437E-3</v>
      </c>
      <c r="I31" s="354">
        <v>4.9875311720698479E-3</v>
      </c>
      <c r="J31" s="390">
        <v>2E-3</v>
      </c>
      <c r="K31" s="391"/>
    </row>
    <row r="32" spans="1:11" s="360" customFormat="1" ht="10.5" customHeight="1" x14ac:dyDescent="0.2">
      <c r="A32" s="392" t="s">
        <v>124</v>
      </c>
      <c r="B32" s="302" t="s">
        <v>113</v>
      </c>
      <c r="C32" s="342">
        <v>0</v>
      </c>
      <c r="D32" s="342">
        <v>9.2664092664093145E-3</v>
      </c>
      <c r="E32" s="342">
        <v>3.0876109610189495E-3</v>
      </c>
      <c r="F32" s="342">
        <v>1.4106583072100332E-2</v>
      </c>
      <c r="G32" s="342">
        <v>1.5837104072398134E-2</v>
      </c>
      <c r="H32" s="342">
        <v>1.9968676585747858E-2</v>
      </c>
      <c r="I32" s="342">
        <v>6.3694267515923553E-3</v>
      </c>
      <c r="J32" s="382">
        <v>9.7999999999999997E-3</v>
      </c>
      <c r="K32" s="378">
        <v>0.43364525299823109</v>
      </c>
    </row>
    <row r="33" spans="1:11" s="360" customFormat="1" x14ac:dyDescent="0.2">
      <c r="A33" s="393"/>
      <c r="B33" s="309" t="s">
        <v>1</v>
      </c>
      <c r="C33" s="349">
        <v>1.1636927851047307E-2</v>
      </c>
      <c r="D33" s="349">
        <v>6.0514372163388286E-3</v>
      </c>
      <c r="E33" s="349">
        <v>5.8351568198394821E-3</v>
      </c>
      <c r="F33" s="349">
        <v>2.5735294117646967E-2</v>
      </c>
      <c r="G33" s="349">
        <v>1.921655580192172E-2</v>
      </c>
      <c r="H33" s="349">
        <v>1.6591251885369473E-2</v>
      </c>
      <c r="I33" s="349">
        <v>9.6993210475266878E-3</v>
      </c>
      <c r="J33" s="383">
        <v>1.7295242939118702E-2</v>
      </c>
      <c r="K33" s="384"/>
    </row>
    <row r="34" spans="1:11" s="360" customFormat="1" x14ac:dyDescent="0.2">
      <c r="A34" s="286"/>
      <c r="B34" s="312" t="s">
        <v>0</v>
      </c>
      <c r="C34" s="354">
        <v>0</v>
      </c>
      <c r="D34" s="354">
        <v>1.2618296529968376E-2</v>
      </c>
      <c r="E34" s="354">
        <v>0</v>
      </c>
      <c r="F34" s="354">
        <v>8.3892617449665696E-4</v>
      </c>
      <c r="G34" s="354">
        <v>1.2317167051578148E-2</v>
      </c>
      <c r="H34" s="354">
        <v>2.3615635179153105E-2</v>
      </c>
      <c r="I34" s="354">
        <v>2.9702970297029729E-3</v>
      </c>
      <c r="J34" s="390">
        <v>7.4999999999999997E-3</v>
      </c>
      <c r="K34" s="391"/>
    </row>
    <row r="35" spans="1:11" s="360" customFormat="1" x14ac:dyDescent="0.2">
      <c r="A35" s="301" t="s">
        <v>125</v>
      </c>
      <c r="B35" s="302" t="s">
        <v>113</v>
      </c>
      <c r="C35" s="342">
        <v>0</v>
      </c>
      <c r="D35" s="342">
        <v>5.5834729201564848E-4</v>
      </c>
      <c r="E35" s="342">
        <v>6.9676700111482859E-3</v>
      </c>
      <c r="F35" s="342">
        <v>1.6174801362088598E-2</v>
      </c>
      <c r="G35" s="342">
        <v>1.4553014553014609E-2</v>
      </c>
      <c r="H35" s="342">
        <v>2.6330376940133071E-2</v>
      </c>
      <c r="I35" s="342">
        <v>1.1687865245788909E-2</v>
      </c>
      <c r="J35" s="382">
        <v>1.09E-2</v>
      </c>
      <c r="K35" s="378">
        <v>0.10167159255922338</v>
      </c>
    </row>
    <row r="36" spans="1:11" s="360" customFormat="1" ht="12" x14ac:dyDescent="0.2">
      <c r="A36" s="347"/>
      <c r="B36" s="309" t="s">
        <v>1</v>
      </c>
      <c r="C36" s="349">
        <v>2.1265284423178654E-3</v>
      </c>
      <c r="D36" s="349">
        <v>1.0582010582010914E-3</v>
      </c>
      <c r="E36" s="349">
        <v>7.89889415481837E-3</v>
      </c>
      <c r="F36" s="349">
        <v>3.1113537117903989E-2</v>
      </c>
      <c r="G36" s="349">
        <v>3.2754342431761785E-2</v>
      </c>
      <c r="H36" s="349">
        <v>5.4382259767687402E-2</v>
      </c>
      <c r="I36" s="349">
        <v>1.0512483574244391E-2</v>
      </c>
      <c r="J36" s="383">
        <v>2.6556090369365057E-2</v>
      </c>
      <c r="K36" s="384"/>
    </row>
    <row r="37" spans="1:11" s="360" customFormat="1" x14ac:dyDescent="0.2">
      <c r="A37" s="286"/>
      <c r="B37" s="312" t="s">
        <v>0</v>
      </c>
      <c r="C37" s="354">
        <v>0</v>
      </c>
      <c r="D37" s="354">
        <v>0</v>
      </c>
      <c r="E37" s="354">
        <v>5.9206631142687538E-3</v>
      </c>
      <c r="F37" s="354">
        <v>0</v>
      </c>
      <c r="G37" s="354">
        <v>0</v>
      </c>
      <c r="H37" s="354">
        <v>0</v>
      </c>
      <c r="I37" s="354">
        <v>1.2977649603460817E-2</v>
      </c>
      <c r="J37" s="390">
        <v>2.7000000000000001E-3</v>
      </c>
      <c r="K37" s="391"/>
    </row>
    <row r="38" spans="1:11" s="360" customFormat="1" x14ac:dyDescent="0.2">
      <c r="A38" s="301" t="s">
        <v>126</v>
      </c>
      <c r="B38" s="302" t="s">
        <v>113</v>
      </c>
      <c r="C38" s="342">
        <v>0</v>
      </c>
      <c r="D38" s="342">
        <v>0</v>
      </c>
      <c r="E38" s="342">
        <v>9.0661831368987755E-4</v>
      </c>
      <c r="F38" s="342">
        <v>6.1133317658123021E-3</v>
      </c>
      <c r="G38" s="342">
        <v>1.1570247933884281E-2</v>
      </c>
      <c r="H38" s="342">
        <v>5.9497576024679644E-3</v>
      </c>
      <c r="I38" s="342">
        <v>8.8471849865952024E-3</v>
      </c>
      <c r="J38" s="382">
        <v>4.7999999999999996E-3</v>
      </c>
      <c r="K38" s="378">
        <v>0.35802469135802467</v>
      </c>
    </row>
    <row r="39" spans="1:11" s="360" customFormat="1" x14ac:dyDescent="0.2">
      <c r="A39" s="155"/>
      <c r="B39" s="309" t="s">
        <v>1</v>
      </c>
      <c r="C39" s="349">
        <v>0</v>
      </c>
      <c r="D39" s="349">
        <v>0</v>
      </c>
      <c r="E39" s="349">
        <v>7.5221238938053547E-3</v>
      </c>
      <c r="F39" s="349">
        <v>1.3656387665198277E-2</v>
      </c>
      <c r="G39" s="349">
        <v>1.4225941422594146E-2</v>
      </c>
      <c r="H39" s="349">
        <v>1.3107822410147962E-2</v>
      </c>
      <c r="I39" s="349">
        <v>8.3857442348007627E-3</v>
      </c>
      <c r="J39" s="383">
        <v>8.0999999999999996E-3</v>
      </c>
      <c r="K39" s="384"/>
    </row>
    <row r="40" spans="1:11" s="360" customFormat="1" x14ac:dyDescent="0.2">
      <c r="A40" s="286"/>
      <c r="B40" s="312" t="s">
        <v>0</v>
      </c>
      <c r="C40" s="354">
        <v>1.3556258472662286E-3</v>
      </c>
      <c r="D40" s="354">
        <v>4.3687199650499497E-4</v>
      </c>
      <c r="E40" s="354">
        <v>0</v>
      </c>
      <c r="F40" s="354">
        <v>0</v>
      </c>
      <c r="G40" s="354">
        <v>8.9795918367346905E-3</v>
      </c>
      <c r="H40" s="354">
        <v>0</v>
      </c>
      <c r="I40" s="354">
        <v>9.3304061470911304E-3</v>
      </c>
      <c r="J40" s="390">
        <v>2.8999999999999998E-3</v>
      </c>
      <c r="K40" s="391"/>
    </row>
    <row r="41" spans="1:11" s="360" customFormat="1" x14ac:dyDescent="0.2">
      <c r="A41" s="301" t="s">
        <v>127</v>
      </c>
      <c r="B41" s="302" t="s">
        <v>113</v>
      </c>
      <c r="C41" s="342">
        <v>0</v>
      </c>
      <c r="D41" s="342">
        <v>1.3125512715340681E-3</v>
      </c>
      <c r="E41" s="342">
        <v>2.0743301642177636E-3</v>
      </c>
      <c r="F41" s="342">
        <v>0</v>
      </c>
      <c r="G41" s="342">
        <v>6.8526676456190927E-3</v>
      </c>
      <c r="H41" s="342">
        <v>1.2000000000000011E-2</v>
      </c>
      <c r="I41" s="342">
        <v>9.8433105664925691E-3</v>
      </c>
      <c r="J41" s="382">
        <v>4.5999999999999999E-3</v>
      </c>
      <c r="K41" s="378">
        <v>0.75862068965517249</v>
      </c>
    </row>
    <row r="42" spans="1:11" s="360" customFormat="1" x14ac:dyDescent="0.2">
      <c r="A42" s="155"/>
      <c r="B42" s="309" t="s">
        <v>1</v>
      </c>
      <c r="C42" s="283">
        <v>0</v>
      </c>
      <c r="D42" s="283">
        <v>4.4500953591862791E-3</v>
      </c>
      <c r="E42" s="283">
        <v>0</v>
      </c>
      <c r="F42" s="283">
        <v>5.0881953867029095E-3</v>
      </c>
      <c r="G42" s="283">
        <v>4.4614404079030834E-3</v>
      </c>
      <c r="H42" s="283">
        <v>1.4318255776114563E-2</v>
      </c>
      <c r="I42" s="283">
        <v>1.2432012432012418E-2</v>
      </c>
      <c r="J42" s="298">
        <v>5.7999999999999996E-3</v>
      </c>
      <c r="K42" s="379"/>
    </row>
    <row r="43" spans="1:11" s="360" customFormat="1" x14ac:dyDescent="0.2">
      <c r="A43" s="286"/>
      <c r="B43" s="312" t="s">
        <v>0</v>
      </c>
      <c r="C43" s="288">
        <v>0</v>
      </c>
      <c r="D43" s="288">
        <v>0</v>
      </c>
      <c r="E43" s="288">
        <v>4.682997118155563E-3</v>
      </c>
      <c r="F43" s="288">
        <v>0</v>
      </c>
      <c r="G43" s="288">
        <v>9.3614175860916582E-3</v>
      </c>
      <c r="H43" s="288">
        <v>9.5661086436624743E-3</v>
      </c>
      <c r="I43" s="288">
        <v>7.071547420965052E-3</v>
      </c>
      <c r="J43" s="380">
        <v>4.4000000000000003E-3</v>
      </c>
      <c r="K43" s="381"/>
    </row>
    <row r="44" spans="1:11" s="385" customFormat="1" x14ac:dyDescent="0.2">
      <c r="A44" s="315" t="s">
        <v>15</v>
      </c>
      <c r="B44" s="316" t="s">
        <v>113</v>
      </c>
      <c r="C44" s="318">
        <v>7.6366631452666756E-3</v>
      </c>
      <c r="D44" s="318">
        <v>6.2201823781629084E-3</v>
      </c>
      <c r="E44" s="318">
        <v>9.3832819998567185E-3</v>
      </c>
      <c r="F44" s="318">
        <v>1.4047669657957673E-2</v>
      </c>
      <c r="G44" s="318">
        <v>1.6272635814889358E-2</v>
      </c>
      <c r="H44" s="318">
        <v>2.2014419925715512E-2</v>
      </c>
      <c r="I44" s="318">
        <v>1.0781073227001503E-2</v>
      </c>
      <c r="J44" s="318">
        <v>1.4053007345269285E-2</v>
      </c>
      <c r="K44" s="386">
        <v>0.47125338235649278</v>
      </c>
    </row>
    <row r="45" spans="1:11" s="385" customFormat="1" x14ac:dyDescent="0.2">
      <c r="A45" s="323"/>
      <c r="B45" s="324" t="s">
        <v>1</v>
      </c>
      <c r="C45" s="326">
        <v>9.1796841361968529E-3</v>
      </c>
      <c r="D45" s="326">
        <v>6.3514701248735816E-3</v>
      </c>
      <c r="E45" s="326">
        <v>1.2526634132930092E-2</v>
      </c>
      <c r="F45" s="326">
        <v>1.9928105259484186E-2</v>
      </c>
      <c r="G45" s="326">
        <v>2.297486260609416E-2</v>
      </c>
      <c r="H45" s="326">
        <v>3.1525786869356698E-2</v>
      </c>
      <c r="I45" s="326">
        <v>1.4416943097729007E-2</v>
      </c>
      <c r="J45" s="326">
        <v>1.8837359046644377E-2</v>
      </c>
      <c r="K45" s="387"/>
    </row>
    <row r="46" spans="1:11" s="385" customFormat="1" ht="12" thickBot="1" x14ac:dyDescent="0.25">
      <c r="A46" s="330"/>
      <c r="B46" s="331" t="s">
        <v>0</v>
      </c>
      <c r="C46" s="388">
        <v>5.9662533793232164E-3</v>
      </c>
      <c r="D46" s="388">
        <v>6.0778249298713005E-3</v>
      </c>
      <c r="E46" s="388">
        <v>5.963508562027986E-3</v>
      </c>
      <c r="F46" s="388">
        <v>7.4267638564159411E-3</v>
      </c>
      <c r="G46" s="388">
        <v>9.1384263906677532E-3</v>
      </c>
      <c r="H46" s="388">
        <v>1.1956990794016131E-2</v>
      </c>
      <c r="I46" s="388">
        <v>6.8166009738001021E-3</v>
      </c>
      <c r="J46" s="388">
        <v>8.8771691653948409E-3</v>
      </c>
      <c r="K46" s="389"/>
    </row>
  </sheetData>
  <sheetProtection algorithmName="SHA-512" hashValue="qTksVCfsWDVAs5qh2KnQmEx8r7VRsUmx20VnB1dg6V/a4LrYwKVC4NrWCOlaO6aaAaAE68/OPrpec1suv++v1A==" saltValue="QRwrGwt1lne4VOq4uY7Suw==" spinCount="100000" sheet="1" objects="1" scenarios="1"/>
  <mergeCells count="8">
    <mergeCell ref="B9:B10"/>
    <mergeCell ref="C9:I9"/>
    <mergeCell ref="A6:K6"/>
    <mergeCell ref="A1:K1"/>
    <mergeCell ref="A2:K2"/>
    <mergeCell ref="A3:K3"/>
    <mergeCell ref="A4:K4"/>
    <mergeCell ref="A5:K5"/>
  </mergeCells>
  <conditionalFormatting sqref="C1:K3 C5:K1048576">
    <cfRule type="cellIs" dxfId="10" priority="9" operator="lessThan">
      <formula>0</formula>
    </cfRule>
  </conditionalFormatting>
  <printOptions horizontalCentered="1"/>
  <pageMargins left="0" right="0" top="1" bottom="0.5" header="0.5" footer="0.35"/>
  <pageSetup paperSize="9" scale="91" orientation="portrait" horizontalDpi="300" verticalDpi="300" r:id="rId1"/>
  <headerFooter alignWithMargins="0">
    <oddFooter>&amp;C&amp;8Page &amp;P of &amp;N</oddFooter>
  </headerFooter>
  <picture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F1B12-631D-463F-9E11-985923EE0416}">
  <sheetPr>
    <tabColor rgb="FF0000FF"/>
    <pageSetUpPr fitToPage="1"/>
  </sheetPr>
  <dimension ref="A1:K46"/>
  <sheetViews>
    <sheetView showGridLines="0" zoomScaleNormal="100" workbookViewId="0">
      <pane xSplit="2" ySplit="8" topLeftCell="C9" activePane="bottomRight" state="frozen"/>
      <selection activeCell="A9" sqref="A9:A12"/>
      <selection pane="topRight" activeCell="A9" sqref="A9:A12"/>
      <selection pane="bottomLeft" activeCell="A9" sqref="A9:A12"/>
      <selection pane="bottomRight" activeCell="A9" sqref="A9:A12"/>
    </sheetView>
  </sheetViews>
  <sheetFormatPr defaultRowHeight="11.25" x14ac:dyDescent="0.2"/>
  <cols>
    <col min="1" max="1" width="45.5703125" style="337" customWidth="1"/>
    <col min="2" max="2" width="9.5703125" style="338" customWidth="1"/>
    <col min="3" max="3" width="6.5703125" style="219" bestFit="1" customWidth="1"/>
    <col min="4" max="4" width="6.5703125" style="219" customWidth="1"/>
    <col min="5" max="5" width="7" style="219" bestFit="1" customWidth="1"/>
    <col min="6" max="6" width="7.42578125" style="219" bestFit="1" customWidth="1"/>
    <col min="7" max="7" width="7.5703125" style="219" bestFit="1" customWidth="1"/>
    <col min="8" max="8" width="7.42578125" style="219" bestFit="1" customWidth="1"/>
    <col min="9" max="9" width="7.5703125" style="219" bestFit="1" customWidth="1"/>
    <col min="10" max="10" width="11.85546875" style="263" customWidth="1"/>
    <col min="11" max="11" width="9.5703125" style="394" customWidth="1"/>
    <col min="12" max="208" width="8.7109375" style="338"/>
    <col min="209" max="209" width="23.85546875" style="338" customWidth="1"/>
    <col min="210" max="210" width="10.5703125" style="338" customWidth="1"/>
    <col min="211" max="216" width="8.5703125" style="338" customWidth="1"/>
    <col min="217" max="217" width="10.85546875" style="338" customWidth="1"/>
    <col min="218" max="218" width="8.85546875" style="338" customWidth="1"/>
    <col min="219" max="219" width="17.85546875" style="338" customWidth="1"/>
    <col min="220" max="228" width="8.7109375" style="338"/>
    <col min="229" max="229" width="21.5703125" style="338" customWidth="1"/>
    <col min="230" max="236" width="8.7109375" style="338"/>
    <col min="237" max="237" width="10" style="338" customWidth="1"/>
    <col min="238" max="464" width="8.7109375" style="338"/>
    <col min="465" max="465" width="23.85546875" style="338" customWidth="1"/>
    <col min="466" max="466" width="10.5703125" style="338" customWidth="1"/>
    <col min="467" max="472" width="8.5703125" style="338" customWidth="1"/>
    <col min="473" max="473" width="10.85546875" style="338" customWidth="1"/>
    <col min="474" max="474" width="8.85546875" style="338" customWidth="1"/>
    <col min="475" max="475" width="17.85546875" style="338" customWidth="1"/>
    <col min="476" max="484" width="8.7109375" style="338"/>
    <col min="485" max="485" width="21.5703125" style="338" customWidth="1"/>
    <col min="486" max="492" width="8.7109375" style="338"/>
    <col min="493" max="493" width="10" style="338" customWidth="1"/>
    <col min="494" max="720" width="8.7109375" style="338"/>
    <col min="721" max="721" width="23.85546875" style="338" customWidth="1"/>
    <col min="722" max="722" width="10.5703125" style="338" customWidth="1"/>
    <col min="723" max="728" width="8.5703125" style="338" customWidth="1"/>
    <col min="729" max="729" width="10.85546875" style="338" customWidth="1"/>
    <col min="730" max="730" width="8.85546875" style="338" customWidth="1"/>
    <col min="731" max="731" width="17.85546875" style="338" customWidth="1"/>
    <col min="732" max="740" width="8.7109375" style="338"/>
    <col min="741" max="741" width="21.5703125" style="338" customWidth="1"/>
    <col min="742" max="748" width="8.7109375" style="338"/>
    <col min="749" max="749" width="10" style="338" customWidth="1"/>
    <col min="750" max="976" width="8.7109375" style="338"/>
    <col min="977" max="977" width="23.85546875" style="338" customWidth="1"/>
    <col min="978" max="978" width="10.5703125" style="338" customWidth="1"/>
    <col min="979" max="984" width="8.5703125" style="338" customWidth="1"/>
    <col min="985" max="985" width="10.85546875" style="338" customWidth="1"/>
    <col min="986" max="986" width="8.85546875" style="338" customWidth="1"/>
    <col min="987" max="987" width="17.85546875" style="338" customWidth="1"/>
    <col min="988" max="996" width="8.7109375" style="338"/>
    <col min="997" max="997" width="21.5703125" style="338" customWidth="1"/>
    <col min="998" max="1004" width="8.7109375" style="338"/>
    <col min="1005" max="1005" width="10" style="338" customWidth="1"/>
    <col min="1006" max="1232" width="8.7109375" style="338"/>
    <col min="1233" max="1233" width="23.85546875" style="338" customWidth="1"/>
    <col min="1234" max="1234" width="10.5703125" style="338" customWidth="1"/>
    <col min="1235" max="1240" width="8.5703125" style="338" customWidth="1"/>
    <col min="1241" max="1241" width="10.85546875" style="338" customWidth="1"/>
    <col min="1242" max="1242" width="8.85546875" style="338" customWidth="1"/>
    <col min="1243" max="1243" width="17.85546875" style="338" customWidth="1"/>
    <col min="1244" max="1252" width="8.7109375" style="338"/>
    <col min="1253" max="1253" width="21.5703125" style="338" customWidth="1"/>
    <col min="1254" max="1260" width="8.7109375" style="338"/>
    <col min="1261" max="1261" width="10" style="338" customWidth="1"/>
    <col min="1262" max="1488" width="8.7109375" style="338"/>
    <col min="1489" max="1489" width="23.85546875" style="338" customWidth="1"/>
    <col min="1490" max="1490" width="10.5703125" style="338" customWidth="1"/>
    <col min="1491" max="1496" width="8.5703125" style="338" customWidth="1"/>
    <col min="1497" max="1497" width="10.85546875" style="338" customWidth="1"/>
    <col min="1498" max="1498" width="8.85546875" style="338" customWidth="1"/>
    <col min="1499" max="1499" width="17.85546875" style="338" customWidth="1"/>
    <col min="1500" max="1508" width="8.7109375" style="338"/>
    <col min="1509" max="1509" width="21.5703125" style="338" customWidth="1"/>
    <col min="1510" max="1516" width="8.7109375" style="338"/>
    <col min="1517" max="1517" width="10" style="338" customWidth="1"/>
    <col min="1518" max="1744" width="8.7109375" style="338"/>
    <col min="1745" max="1745" width="23.85546875" style="338" customWidth="1"/>
    <col min="1746" max="1746" width="10.5703125" style="338" customWidth="1"/>
    <col min="1747" max="1752" width="8.5703125" style="338" customWidth="1"/>
    <col min="1753" max="1753" width="10.85546875" style="338" customWidth="1"/>
    <col min="1754" max="1754" width="8.85546875" style="338" customWidth="1"/>
    <col min="1755" max="1755" width="17.85546875" style="338" customWidth="1"/>
    <col min="1756" max="1764" width="8.7109375" style="338"/>
    <col min="1765" max="1765" width="21.5703125" style="338" customWidth="1"/>
    <col min="1766" max="1772" width="8.7109375" style="338"/>
    <col min="1773" max="1773" width="10" style="338" customWidth="1"/>
    <col min="1774" max="2000" width="8.7109375" style="338"/>
    <col min="2001" max="2001" width="23.85546875" style="338" customWidth="1"/>
    <col min="2002" max="2002" width="10.5703125" style="338" customWidth="1"/>
    <col min="2003" max="2008" width="8.5703125" style="338" customWidth="1"/>
    <col min="2009" max="2009" width="10.85546875" style="338" customWidth="1"/>
    <col min="2010" max="2010" width="8.85546875" style="338" customWidth="1"/>
    <col min="2011" max="2011" width="17.85546875" style="338" customWidth="1"/>
    <col min="2012" max="2020" width="8.7109375" style="338"/>
    <col min="2021" max="2021" width="21.5703125" style="338" customWidth="1"/>
    <col min="2022" max="2028" width="8.7109375" style="338"/>
    <col min="2029" max="2029" width="10" style="338" customWidth="1"/>
    <col min="2030" max="2256" width="8.7109375" style="338"/>
    <col min="2257" max="2257" width="23.85546875" style="338" customWidth="1"/>
    <col min="2258" max="2258" width="10.5703125" style="338" customWidth="1"/>
    <col min="2259" max="2264" width="8.5703125" style="338" customWidth="1"/>
    <col min="2265" max="2265" width="10.85546875" style="338" customWidth="1"/>
    <col min="2266" max="2266" width="8.85546875" style="338" customWidth="1"/>
    <col min="2267" max="2267" width="17.85546875" style="338" customWidth="1"/>
    <col min="2268" max="2276" width="8.7109375" style="338"/>
    <col min="2277" max="2277" width="21.5703125" style="338" customWidth="1"/>
    <col min="2278" max="2284" width="8.7109375" style="338"/>
    <col min="2285" max="2285" width="10" style="338" customWidth="1"/>
    <col min="2286" max="2512" width="8.7109375" style="338"/>
    <col min="2513" max="2513" width="23.85546875" style="338" customWidth="1"/>
    <col min="2514" max="2514" width="10.5703125" style="338" customWidth="1"/>
    <col min="2515" max="2520" width="8.5703125" style="338" customWidth="1"/>
    <col min="2521" max="2521" width="10.85546875" style="338" customWidth="1"/>
    <col min="2522" max="2522" width="8.85546875" style="338" customWidth="1"/>
    <col min="2523" max="2523" width="17.85546875" style="338" customWidth="1"/>
    <col min="2524" max="2532" width="8.7109375" style="338"/>
    <col min="2533" max="2533" width="21.5703125" style="338" customWidth="1"/>
    <col min="2534" max="2540" width="8.7109375" style="338"/>
    <col min="2541" max="2541" width="10" style="338" customWidth="1"/>
    <col min="2542" max="2768" width="8.7109375" style="338"/>
    <col min="2769" max="2769" width="23.85546875" style="338" customWidth="1"/>
    <col min="2770" max="2770" width="10.5703125" style="338" customWidth="1"/>
    <col min="2771" max="2776" width="8.5703125" style="338" customWidth="1"/>
    <col min="2777" max="2777" width="10.85546875" style="338" customWidth="1"/>
    <col min="2778" max="2778" width="8.85546875" style="338" customWidth="1"/>
    <col min="2779" max="2779" width="17.85546875" style="338" customWidth="1"/>
    <col min="2780" max="2788" width="8.7109375" style="338"/>
    <col min="2789" max="2789" width="21.5703125" style="338" customWidth="1"/>
    <col min="2790" max="2796" width="8.7109375" style="338"/>
    <col min="2797" max="2797" width="10" style="338" customWidth="1"/>
    <col min="2798" max="3024" width="8.7109375" style="338"/>
    <col min="3025" max="3025" width="23.85546875" style="338" customWidth="1"/>
    <col min="3026" max="3026" width="10.5703125" style="338" customWidth="1"/>
    <col min="3027" max="3032" width="8.5703125" style="338" customWidth="1"/>
    <col min="3033" max="3033" width="10.85546875" style="338" customWidth="1"/>
    <col min="3034" max="3034" width="8.85546875" style="338" customWidth="1"/>
    <col min="3035" max="3035" width="17.85546875" style="338" customWidth="1"/>
    <col min="3036" max="3044" width="8.7109375" style="338"/>
    <col min="3045" max="3045" width="21.5703125" style="338" customWidth="1"/>
    <col min="3046" max="3052" width="8.7109375" style="338"/>
    <col min="3053" max="3053" width="10" style="338" customWidth="1"/>
    <col min="3054" max="3280" width="8.7109375" style="338"/>
    <col min="3281" max="3281" width="23.85546875" style="338" customWidth="1"/>
    <col min="3282" max="3282" width="10.5703125" style="338" customWidth="1"/>
    <col min="3283" max="3288" width="8.5703125" style="338" customWidth="1"/>
    <col min="3289" max="3289" width="10.85546875" style="338" customWidth="1"/>
    <col min="3290" max="3290" width="8.85546875" style="338" customWidth="1"/>
    <col min="3291" max="3291" width="17.85546875" style="338" customWidth="1"/>
    <col min="3292" max="3300" width="8.7109375" style="338"/>
    <col min="3301" max="3301" width="21.5703125" style="338" customWidth="1"/>
    <col min="3302" max="3308" width="8.7109375" style="338"/>
    <col min="3309" max="3309" width="10" style="338" customWidth="1"/>
    <col min="3310" max="3536" width="8.7109375" style="338"/>
    <col min="3537" max="3537" width="23.85546875" style="338" customWidth="1"/>
    <col min="3538" max="3538" width="10.5703125" style="338" customWidth="1"/>
    <col min="3539" max="3544" width="8.5703125" style="338" customWidth="1"/>
    <col min="3545" max="3545" width="10.85546875" style="338" customWidth="1"/>
    <col min="3546" max="3546" width="8.85546875" style="338" customWidth="1"/>
    <col min="3547" max="3547" width="17.85546875" style="338" customWidth="1"/>
    <col min="3548" max="3556" width="8.7109375" style="338"/>
    <col min="3557" max="3557" width="21.5703125" style="338" customWidth="1"/>
    <col min="3558" max="3564" width="8.7109375" style="338"/>
    <col min="3565" max="3565" width="10" style="338" customWidth="1"/>
    <col min="3566" max="3792" width="8.7109375" style="338"/>
    <col min="3793" max="3793" width="23.85546875" style="338" customWidth="1"/>
    <col min="3794" max="3794" width="10.5703125" style="338" customWidth="1"/>
    <col min="3795" max="3800" width="8.5703125" style="338" customWidth="1"/>
    <col min="3801" max="3801" width="10.85546875" style="338" customWidth="1"/>
    <col min="3802" max="3802" width="8.85546875" style="338" customWidth="1"/>
    <col min="3803" max="3803" width="17.85546875" style="338" customWidth="1"/>
    <col min="3804" max="3812" width="8.7109375" style="338"/>
    <col min="3813" max="3813" width="21.5703125" style="338" customWidth="1"/>
    <col min="3814" max="3820" width="8.7109375" style="338"/>
    <col min="3821" max="3821" width="10" style="338" customWidth="1"/>
    <col min="3822" max="4048" width="8.7109375" style="338"/>
    <col min="4049" max="4049" width="23.85546875" style="338" customWidth="1"/>
    <col min="4050" max="4050" width="10.5703125" style="338" customWidth="1"/>
    <col min="4051" max="4056" width="8.5703125" style="338" customWidth="1"/>
    <col min="4057" max="4057" width="10.85546875" style="338" customWidth="1"/>
    <col min="4058" max="4058" width="8.85546875" style="338" customWidth="1"/>
    <col min="4059" max="4059" width="17.85546875" style="338" customWidth="1"/>
    <col min="4060" max="4068" width="8.7109375" style="338"/>
    <col min="4069" max="4069" width="21.5703125" style="338" customWidth="1"/>
    <col min="4070" max="4076" width="8.7109375" style="338"/>
    <col min="4077" max="4077" width="10" style="338" customWidth="1"/>
    <col min="4078" max="4304" width="8.7109375" style="338"/>
    <col min="4305" max="4305" width="23.85546875" style="338" customWidth="1"/>
    <col min="4306" max="4306" width="10.5703125" style="338" customWidth="1"/>
    <col min="4307" max="4312" width="8.5703125" style="338" customWidth="1"/>
    <col min="4313" max="4313" width="10.85546875" style="338" customWidth="1"/>
    <col min="4314" max="4314" width="8.85546875" style="338" customWidth="1"/>
    <col min="4315" max="4315" width="17.85546875" style="338" customWidth="1"/>
    <col min="4316" max="4324" width="8.7109375" style="338"/>
    <col min="4325" max="4325" width="21.5703125" style="338" customWidth="1"/>
    <col min="4326" max="4332" width="8.7109375" style="338"/>
    <col min="4333" max="4333" width="10" style="338" customWidth="1"/>
    <col min="4334" max="4560" width="8.7109375" style="338"/>
    <col min="4561" max="4561" width="23.85546875" style="338" customWidth="1"/>
    <col min="4562" max="4562" width="10.5703125" style="338" customWidth="1"/>
    <col min="4563" max="4568" width="8.5703125" style="338" customWidth="1"/>
    <col min="4569" max="4569" width="10.85546875" style="338" customWidth="1"/>
    <col min="4570" max="4570" width="8.85546875" style="338" customWidth="1"/>
    <col min="4571" max="4571" width="17.85546875" style="338" customWidth="1"/>
    <col min="4572" max="4580" width="8.7109375" style="338"/>
    <col min="4581" max="4581" width="21.5703125" style="338" customWidth="1"/>
    <col min="4582" max="4588" width="8.7109375" style="338"/>
    <col min="4589" max="4589" width="10" style="338" customWidth="1"/>
    <col min="4590" max="4816" width="8.7109375" style="338"/>
    <col min="4817" max="4817" width="23.85546875" style="338" customWidth="1"/>
    <col min="4818" max="4818" width="10.5703125" style="338" customWidth="1"/>
    <col min="4819" max="4824" width="8.5703125" style="338" customWidth="1"/>
    <col min="4825" max="4825" width="10.85546875" style="338" customWidth="1"/>
    <col min="4826" max="4826" width="8.85546875" style="338" customWidth="1"/>
    <col min="4827" max="4827" width="17.85546875" style="338" customWidth="1"/>
    <col min="4828" max="4836" width="8.7109375" style="338"/>
    <col min="4837" max="4837" width="21.5703125" style="338" customWidth="1"/>
    <col min="4838" max="4844" width="8.7109375" style="338"/>
    <col min="4845" max="4845" width="10" style="338" customWidth="1"/>
    <col min="4846" max="5072" width="8.7109375" style="338"/>
    <col min="5073" max="5073" width="23.85546875" style="338" customWidth="1"/>
    <col min="5074" max="5074" width="10.5703125" style="338" customWidth="1"/>
    <col min="5075" max="5080" width="8.5703125" style="338" customWidth="1"/>
    <col min="5081" max="5081" width="10.85546875" style="338" customWidth="1"/>
    <col min="5082" max="5082" width="8.85546875" style="338" customWidth="1"/>
    <col min="5083" max="5083" width="17.85546875" style="338" customWidth="1"/>
    <col min="5084" max="5092" width="8.7109375" style="338"/>
    <col min="5093" max="5093" width="21.5703125" style="338" customWidth="1"/>
    <col min="5094" max="5100" width="8.7109375" style="338"/>
    <col min="5101" max="5101" width="10" style="338" customWidth="1"/>
    <col min="5102" max="5328" width="8.7109375" style="338"/>
    <col min="5329" max="5329" width="23.85546875" style="338" customWidth="1"/>
    <col min="5330" max="5330" width="10.5703125" style="338" customWidth="1"/>
    <col min="5331" max="5336" width="8.5703125" style="338" customWidth="1"/>
    <col min="5337" max="5337" width="10.85546875" style="338" customWidth="1"/>
    <col min="5338" max="5338" width="8.85546875" style="338" customWidth="1"/>
    <col min="5339" max="5339" width="17.85546875" style="338" customWidth="1"/>
    <col min="5340" max="5348" width="8.7109375" style="338"/>
    <col min="5349" max="5349" width="21.5703125" style="338" customWidth="1"/>
    <col min="5350" max="5356" width="8.7109375" style="338"/>
    <col min="5357" max="5357" width="10" style="338" customWidth="1"/>
    <col min="5358" max="5584" width="8.7109375" style="338"/>
    <col min="5585" max="5585" width="23.85546875" style="338" customWidth="1"/>
    <col min="5586" max="5586" width="10.5703125" style="338" customWidth="1"/>
    <col min="5587" max="5592" width="8.5703125" style="338" customWidth="1"/>
    <col min="5593" max="5593" width="10.85546875" style="338" customWidth="1"/>
    <col min="5594" max="5594" width="8.85546875" style="338" customWidth="1"/>
    <col min="5595" max="5595" width="17.85546875" style="338" customWidth="1"/>
    <col min="5596" max="5604" width="8.7109375" style="338"/>
    <col min="5605" max="5605" width="21.5703125" style="338" customWidth="1"/>
    <col min="5606" max="5612" width="8.7109375" style="338"/>
    <col min="5613" max="5613" width="10" style="338" customWidth="1"/>
    <col min="5614" max="5840" width="8.7109375" style="338"/>
    <col min="5841" max="5841" width="23.85546875" style="338" customWidth="1"/>
    <col min="5842" max="5842" width="10.5703125" style="338" customWidth="1"/>
    <col min="5843" max="5848" width="8.5703125" style="338" customWidth="1"/>
    <col min="5849" max="5849" width="10.85546875" style="338" customWidth="1"/>
    <col min="5850" max="5850" width="8.85546875" style="338" customWidth="1"/>
    <col min="5851" max="5851" width="17.85546875" style="338" customWidth="1"/>
    <col min="5852" max="5860" width="8.7109375" style="338"/>
    <col min="5861" max="5861" width="21.5703125" style="338" customWidth="1"/>
    <col min="5862" max="5868" width="8.7109375" style="338"/>
    <col min="5869" max="5869" width="10" style="338" customWidth="1"/>
    <col min="5870" max="6096" width="8.7109375" style="338"/>
    <col min="6097" max="6097" width="23.85546875" style="338" customWidth="1"/>
    <col min="6098" max="6098" width="10.5703125" style="338" customWidth="1"/>
    <col min="6099" max="6104" width="8.5703125" style="338" customWidth="1"/>
    <col min="6105" max="6105" width="10.85546875" style="338" customWidth="1"/>
    <col min="6106" max="6106" width="8.85546875" style="338" customWidth="1"/>
    <col min="6107" max="6107" width="17.85546875" style="338" customWidth="1"/>
    <col min="6108" max="6116" width="8.7109375" style="338"/>
    <col min="6117" max="6117" width="21.5703125" style="338" customWidth="1"/>
    <col min="6118" max="6124" width="8.7109375" style="338"/>
    <col min="6125" max="6125" width="10" style="338" customWidth="1"/>
    <col min="6126" max="6352" width="8.7109375" style="338"/>
    <col min="6353" max="6353" width="23.85546875" style="338" customWidth="1"/>
    <col min="6354" max="6354" width="10.5703125" style="338" customWidth="1"/>
    <col min="6355" max="6360" width="8.5703125" style="338" customWidth="1"/>
    <col min="6361" max="6361" width="10.85546875" style="338" customWidth="1"/>
    <col min="6362" max="6362" width="8.85546875" style="338" customWidth="1"/>
    <col min="6363" max="6363" width="17.85546875" style="338" customWidth="1"/>
    <col min="6364" max="6372" width="8.7109375" style="338"/>
    <col min="6373" max="6373" width="21.5703125" style="338" customWidth="1"/>
    <col min="6374" max="6380" width="8.7109375" style="338"/>
    <col min="6381" max="6381" width="10" style="338" customWidth="1"/>
    <col min="6382" max="6608" width="8.7109375" style="338"/>
    <col min="6609" max="6609" width="23.85546875" style="338" customWidth="1"/>
    <col min="6610" max="6610" width="10.5703125" style="338" customWidth="1"/>
    <col min="6611" max="6616" width="8.5703125" style="338" customWidth="1"/>
    <col min="6617" max="6617" width="10.85546875" style="338" customWidth="1"/>
    <col min="6618" max="6618" width="8.85546875" style="338" customWidth="1"/>
    <col min="6619" max="6619" width="17.85546875" style="338" customWidth="1"/>
    <col min="6620" max="6628" width="8.7109375" style="338"/>
    <col min="6629" max="6629" width="21.5703125" style="338" customWidth="1"/>
    <col min="6630" max="6636" width="8.7109375" style="338"/>
    <col min="6637" max="6637" width="10" style="338" customWidth="1"/>
    <col min="6638" max="6864" width="8.7109375" style="338"/>
    <col min="6865" max="6865" width="23.85546875" style="338" customWidth="1"/>
    <col min="6866" max="6866" width="10.5703125" style="338" customWidth="1"/>
    <col min="6867" max="6872" width="8.5703125" style="338" customWidth="1"/>
    <col min="6873" max="6873" width="10.85546875" style="338" customWidth="1"/>
    <col min="6874" max="6874" width="8.85546875" style="338" customWidth="1"/>
    <col min="6875" max="6875" width="17.85546875" style="338" customWidth="1"/>
    <col min="6876" max="6884" width="8.7109375" style="338"/>
    <col min="6885" max="6885" width="21.5703125" style="338" customWidth="1"/>
    <col min="6886" max="6892" width="8.7109375" style="338"/>
    <col min="6893" max="6893" width="10" style="338" customWidth="1"/>
    <col min="6894" max="7120" width="8.7109375" style="338"/>
    <col min="7121" max="7121" width="23.85546875" style="338" customWidth="1"/>
    <col min="7122" max="7122" width="10.5703125" style="338" customWidth="1"/>
    <col min="7123" max="7128" width="8.5703125" style="338" customWidth="1"/>
    <col min="7129" max="7129" width="10.85546875" style="338" customWidth="1"/>
    <col min="7130" max="7130" width="8.85546875" style="338" customWidth="1"/>
    <col min="7131" max="7131" width="17.85546875" style="338" customWidth="1"/>
    <col min="7132" max="7140" width="8.7109375" style="338"/>
    <col min="7141" max="7141" width="21.5703125" style="338" customWidth="1"/>
    <col min="7142" max="7148" width="8.7109375" style="338"/>
    <col min="7149" max="7149" width="10" style="338" customWidth="1"/>
    <col min="7150" max="7376" width="8.7109375" style="338"/>
    <col min="7377" max="7377" width="23.85546875" style="338" customWidth="1"/>
    <col min="7378" max="7378" width="10.5703125" style="338" customWidth="1"/>
    <col min="7379" max="7384" width="8.5703125" style="338" customWidth="1"/>
    <col min="7385" max="7385" width="10.85546875" style="338" customWidth="1"/>
    <col min="7386" max="7386" width="8.85546875" style="338" customWidth="1"/>
    <col min="7387" max="7387" width="17.85546875" style="338" customWidth="1"/>
    <col min="7388" max="7396" width="8.7109375" style="338"/>
    <col min="7397" max="7397" width="21.5703125" style="338" customWidth="1"/>
    <col min="7398" max="7404" width="8.7109375" style="338"/>
    <col min="7405" max="7405" width="10" style="338" customWidth="1"/>
    <col min="7406" max="7632" width="8.7109375" style="338"/>
    <col min="7633" max="7633" width="23.85546875" style="338" customWidth="1"/>
    <col min="7634" max="7634" width="10.5703125" style="338" customWidth="1"/>
    <col min="7635" max="7640" width="8.5703125" style="338" customWidth="1"/>
    <col min="7641" max="7641" width="10.85546875" style="338" customWidth="1"/>
    <col min="7642" max="7642" width="8.85546875" style="338" customWidth="1"/>
    <col min="7643" max="7643" width="17.85546875" style="338" customWidth="1"/>
    <col min="7644" max="7652" width="8.7109375" style="338"/>
    <col min="7653" max="7653" width="21.5703125" style="338" customWidth="1"/>
    <col min="7654" max="7660" width="8.7109375" style="338"/>
    <col min="7661" max="7661" width="10" style="338" customWidth="1"/>
    <col min="7662" max="7888" width="8.7109375" style="338"/>
    <col min="7889" max="7889" width="23.85546875" style="338" customWidth="1"/>
    <col min="7890" max="7890" width="10.5703125" style="338" customWidth="1"/>
    <col min="7891" max="7896" width="8.5703125" style="338" customWidth="1"/>
    <col min="7897" max="7897" width="10.85546875" style="338" customWidth="1"/>
    <col min="7898" max="7898" width="8.85546875" style="338" customWidth="1"/>
    <col min="7899" max="7899" width="17.85546875" style="338" customWidth="1"/>
    <col min="7900" max="7908" width="8.7109375" style="338"/>
    <col min="7909" max="7909" width="21.5703125" style="338" customWidth="1"/>
    <col min="7910" max="7916" width="8.7109375" style="338"/>
    <col min="7917" max="7917" width="10" style="338" customWidth="1"/>
    <col min="7918" max="8144" width="8.7109375" style="338"/>
    <col min="8145" max="8145" width="23.85546875" style="338" customWidth="1"/>
    <col min="8146" max="8146" width="10.5703125" style="338" customWidth="1"/>
    <col min="8147" max="8152" width="8.5703125" style="338" customWidth="1"/>
    <col min="8153" max="8153" width="10.85546875" style="338" customWidth="1"/>
    <col min="8154" max="8154" width="8.85546875" style="338" customWidth="1"/>
    <col min="8155" max="8155" width="17.85546875" style="338" customWidth="1"/>
    <col min="8156" max="8164" width="8.7109375" style="338"/>
    <col min="8165" max="8165" width="21.5703125" style="338" customWidth="1"/>
    <col min="8166" max="8172" width="8.7109375" style="338"/>
    <col min="8173" max="8173" width="10" style="338" customWidth="1"/>
    <col min="8174" max="8400" width="8.7109375" style="338"/>
    <col min="8401" max="8401" width="23.85546875" style="338" customWidth="1"/>
    <col min="8402" max="8402" width="10.5703125" style="338" customWidth="1"/>
    <col min="8403" max="8408" width="8.5703125" style="338" customWidth="1"/>
    <col min="8409" max="8409" width="10.85546875" style="338" customWidth="1"/>
    <col min="8410" max="8410" width="8.85546875" style="338" customWidth="1"/>
    <col min="8411" max="8411" width="17.85546875" style="338" customWidth="1"/>
    <col min="8412" max="8420" width="8.7109375" style="338"/>
    <col min="8421" max="8421" width="21.5703125" style="338" customWidth="1"/>
    <col min="8422" max="8428" width="8.7109375" style="338"/>
    <col min="8429" max="8429" width="10" style="338" customWidth="1"/>
    <col min="8430" max="8656" width="8.7109375" style="338"/>
    <col min="8657" max="8657" width="23.85546875" style="338" customWidth="1"/>
    <col min="8658" max="8658" width="10.5703125" style="338" customWidth="1"/>
    <col min="8659" max="8664" width="8.5703125" style="338" customWidth="1"/>
    <col min="8665" max="8665" width="10.85546875" style="338" customWidth="1"/>
    <col min="8666" max="8666" width="8.85546875" style="338" customWidth="1"/>
    <col min="8667" max="8667" width="17.85546875" style="338" customWidth="1"/>
    <col min="8668" max="8676" width="8.7109375" style="338"/>
    <col min="8677" max="8677" width="21.5703125" style="338" customWidth="1"/>
    <col min="8678" max="8684" width="8.7109375" style="338"/>
    <col min="8685" max="8685" width="10" style="338" customWidth="1"/>
    <col min="8686" max="8912" width="8.7109375" style="338"/>
    <col min="8913" max="8913" width="23.85546875" style="338" customWidth="1"/>
    <col min="8914" max="8914" width="10.5703125" style="338" customWidth="1"/>
    <col min="8915" max="8920" width="8.5703125" style="338" customWidth="1"/>
    <col min="8921" max="8921" width="10.85546875" style="338" customWidth="1"/>
    <col min="8922" max="8922" width="8.85546875" style="338" customWidth="1"/>
    <col min="8923" max="8923" width="17.85546875" style="338" customWidth="1"/>
    <col min="8924" max="8932" width="8.7109375" style="338"/>
    <col min="8933" max="8933" width="21.5703125" style="338" customWidth="1"/>
    <col min="8934" max="8940" width="8.7109375" style="338"/>
    <col min="8941" max="8941" width="10" style="338" customWidth="1"/>
    <col min="8942" max="9168" width="8.7109375" style="338"/>
    <col min="9169" max="9169" width="23.85546875" style="338" customWidth="1"/>
    <col min="9170" max="9170" width="10.5703125" style="338" customWidth="1"/>
    <col min="9171" max="9176" width="8.5703125" style="338" customWidth="1"/>
    <col min="9177" max="9177" width="10.85546875" style="338" customWidth="1"/>
    <col min="9178" max="9178" width="8.85546875" style="338" customWidth="1"/>
    <col min="9179" max="9179" width="17.85546875" style="338" customWidth="1"/>
    <col min="9180" max="9188" width="8.7109375" style="338"/>
    <col min="9189" max="9189" width="21.5703125" style="338" customWidth="1"/>
    <col min="9190" max="9196" width="8.7109375" style="338"/>
    <col min="9197" max="9197" width="10" style="338" customWidth="1"/>
    <col min="9198" max="9424" width="8.7109375" style="338"/>
    <col min="9425" max="9425" width="23.85546875" style="338" customWidth="1"/>
    <col min="9426" max="9426" width="10.5703125" style="338" customWidth="1"/>
    <col min="9427" max="9432" width="8.5703125" style="338" customWidth="1"/>
    <col min="9433" max="9433" width="10.85546875" style="338" customWidth="1"/>
    <col min="9434" max="9434" width="8.85546875" style="338" customWidth="1"/>
    <col min="9435" max="9435" width="17.85546875" style="338" customWidth="1"/>
    <col min="9436" max="9444" width="8.7109375" style="338"/>
    <col min="9445" max="9445" width="21.5703125" style="338" customWidth="1"/>
    <col min="9446" max="9452" width="8.7109375" style="338"/>
    <col min="9453" max="9453" width="10" style="338" customWidth="1"/>
    <col min="9454" max="9680" width="8.7109375" style="338"/>
    <col min="9681" max="9681" width="23.85546875" style="338" customWidth="1"/>
    <col min="9682" max="9682" width="10.5703125" style="338" customWidth="1"/>
    <col min="9683" max="9688" width="8.5703125" style="338" customWidth="1"/>
    <col min="9689" max="9689" width="10.85546875" style="338" customWidth="1"/>
    <col min="9690" max="9690" width="8.85546875" style="338" customWidth="1"/>
    <col min="9691" max="9691" width="17.85546875" style="338" customWidth="1"/>
    <col min="9692" max="9700" width="8.7109375" style="338"/>
    <col min="9701" max="9701" width="21.5703125" style="338" customWidth="1"/>
    <col min="9702" max="9708" width="8.7109375" style="338"/>
    <col min="9709" max="9709" width="10" style="338" customWidth="1"/>
    <col min="9710" max="9936" width="8.7109375" style="338"/>
    <col min="9937" max="9937" width="23.85546875" style="338" customWidth="1"/>
    <col min="9938" max="9938" width="10.5703125" style="338" customWidth="1"/>
    <col min="9939" max="9944" width="8.5703125" style="338" customWidth="1"/>
    <col min="9945" max="9945" width="10.85546875" style="338" customWidth="1"/>
    <col min="9946" max="9946" width="8.85546875" style="338" customWidth="1"/>
    <col min="9947" max="9947" width="17.85546875" style="338" customWidth="1"/>
    <col min="9948" max="9956" width="8.7109375" style="338"/>
    <col min="9957" max="9957" width="21.5703125" style="338" customWidth="1"/>
    <col min="9958" max="9964" width="8.7109375" style="338"/>
    <col min="9965" max="9965" width="10" style="338" customWidth="1"/>
    <col min="9966" max="10192" width="8.7109375" style="338"/>
    <col min="10193" max="10193" width="23.85546875" style="338" customWidth="1"/>
    <col min="10194" max="10194" width="10.5703125" style="338" customWidth="1"/>
    <col min="10195" max="10200" width="8.5703125" style="338" customWidth="1"/>
    <col min="10201" max="10201" width="10.85546875" style="338" customWidth="1"/>
    <col min="10202" max="10202" width="8.85546875" style="338" customWidth="1"/>
    <col min="10203" max="10203" width="17.85546875" style="338" customWidth="1"/>
    <col min="10204" max="10212" width="8.7109375" style="338"/>
    <col min="10213" max="10213" width="21.5703125" style="338" customWidth="1"/>
    <col min="10214" max="10220" width="8.7109375" style="338"/>
    <col min="10221" max="10221" width="10" style="338" customWidth="1"/>
    <col min="10222" max="10448" width="8.7109375" style="338"/>
    <col min="10449" max="10449" width="23.85546875" style="338" customWidth="1"/>
    <col min="10450" max="10450" width="10.5703125" style="338" customWidth="1"/>
    <col min="10451" max="10456" width="8.5703125" style="338" customWidth="1"/>
    <col min="10457" max="10457" width="10.85546875" style="338" customWidth="1"/>
    <col min="10458" max="10458" width="8.85546875" style="338" customWidth="1"/>
    <col min="10459" max="10459" width="17.85546875" style="338" customWidth="1"/>
    <col min="10460" max="10468" width="8.7109375" style="338"/>
    <col min="10469" max="10469" width="21.5703125" style="338" customWidth="1"/>
    <col min="10470" max="10476" width="8.7109375" style="338"/>
    <col min="10477" max="10477" width="10" style="338" customWidth="1"/>
    <col min="10478" max="10704" width="8.7109375" style="338"/>
    <col min="10705" max="10705" width="23.85546875" style="338" customWidth="1"/>
    <col min="10706" max="10706" width="10.5703125" style="338" customWidth="1"/>
    <col min="10707" max="10712" width="8.5703125" style="338" customWidth="1"/>
    <col min="10713" max="10713" width="10.85546875" style="338" customWidth="1"/>
    <col min="10714" max="10714" width="8.85546875" style="338" customWidth="1"/>
    <col min="10715" max="10715" width="17.85546875" style="338" customWidth="1"/>
    <col min="10716" max="10724" width="8.7109375" style="338"/>
    <col min="10725" max="10725" width="21.5703125" style="338" customWidth="1"/>
    <col min="10726" max="10732" width="8.7109375" style="338"/>
    <col min="10733" max="10733" width="10" style="338" customWidth="1"/>
    <col min="10734" max="10960" width="8.7109375" style="338"/>
    <col min="10961" max="10961" width="23.85546875" style="338" customWidth="1"/>
    <col min="10962" max="10962" width="10.5703125" style="338" customWidth="1"/>
    <col min="10963" max="10968" width="8.5703125" style="338" customWidth="1"/>
    <col min="10969" max="10969" width="10.85546875" style="338" customWidth="1"/>
    <col min="10970" max="10970" width="8.85546875" style="338" customWidth="1"/>
    <col min="10971" max="10971" width="17.85546875" style="338" customWidth="1"/>
    <col min="10972" max="10980" width="8.7109375" style="338"/>
    <col min="10981" max="10981" width="21.5703125" style="338" customWidth="1"/>
    <col min="10982" max="10988" width="8.7109375" style="338"/>
    <col min="10989" max="10989" width="10" style="338" customWidth="1"/>
    <col min="10990" max="11216" width="8.7109375" style="338"/>
    <col min="11217" max="11217" width="23.85546875" style="338" customWidth="1"/>
    <col min="11218" max="11218" width="10.5703125" style="338" customWidth="1"/>
    <col min="11219" max="11224" width="8.5703125" style="338" customWidth="1"/>
    <col min="11225" max="11225" width="10.85546875" style="338" customWidth="1"/>
    <col min="11226" max="11226" width="8.85546875" style="338" customWidth="1"/>
    <col min="11227" max="11227" width="17.85546875" style="338" customWidth="1"/>
    <col min="11228" max="11236" width="8.7109375" style="338"/>
    <col min="11237" max="11237" width="21.5703125" style="338" customWidth="1"/>
    <col min="11238" max="11244" width="8.7109375" style="338"/>
    <col min="11245" max="11245" width="10" style="338" customWidth="1"/>
    <col min="11246" max="11472" width="8.7109375" style="338"/>
    <col min="11473" max="11473" width="23.85546875" style="338" customWidth="1"/>
    <col min="11474" max="11474" width="10.5703125" style="338" customWidth="1"/>
    <col min="11475" max="11480" width="8.5703125" style="338" customWidth="1"/>
    <col min="11481" max="11481" width="10.85546875" style="338" customWidth="1"/>
    <col min="11482" max="11482" width="8.85546875" style="338" customWidth="1"/>
    <col min="11483" max="11483" width="17.85546875" style="338" customWidth="1"/>
    <col min="11484" max="11492" width="8.7109375" style="338"/>
    <col min="11493" max="11493" width="21.5703125" style="338" customWidth="1"/>
    <col min="11494" max="11500" width="8.7109375" style="338"/>
    <col min="11501" max="11501" width="10" style="338" customWidth="1"/>
    <col min="11502" max="11728" width="8.7109375" style="338"/>
    <col min="11729" max="11729" width="23.85546875" style="338" customWidth="1"/>
    <col min="11730" max="11730" width="10.5703125" style="338" customWidth="1"/>
    <col min="11731" max="11736" width="8.5703125" style="338" customWidth="1"/>
    <col min="11737" max="11737" width="10.85546875" style="338" customWidth="1"/>
    <col min="11738" max="11738" width="8.85546875" style="338" customWidth="1"/>
    <col min="11739" max="11739" width="17.85546875" style="338" customWidth="1"/>
    <col min="11740" max="11748" width="8.7109375" style="338"/>
    <col min="11749" max="11749" width="21.5703125" style="338" customWidth="1"/>
    <col min="11750" max="11756" width="8.7109375" style="338"/>
    <col min="11757" max="11757" width="10" style="338" customWidth="1"/>
    <col min="11758" max="11984" width="8.7109375" style="338"/>
    <col min="11985" max="11985" width="23.85546875" style="338" customWidth="1"/>
    <col min="11986" max="11986" width="10.5703125" style="338" customWidth="1"/>
    <col min="11987" max="11992" width="8.5703125" style="338" customWidth="1"/>
    <col min="11993" max="11993" width="10.85546875" style="338" customWidth="1"/>
    <col min="11994" max="11994" width="8.85546875" style="338" customWidth="1"/>
    <col min="11995" max="11995" width="17.85546875" style="338" customWidth="1"/>
    <col min="11996" max="12004" width="8.7109375" style="338"/>
    <col min="12005" max="12005" width="21.5703125" style="338" customWidth="1"/>
    <col min="12006" max="12012" width="8.7109375" style="338"/>
    <col min="12013" max="12013" width="10" style="338" customWidth="1"/>
    <col min="12014" max="12240" width="8.7109375" style="338"/>
    <col min="12241" max="12241" width="23.85546875" style="338" customWidth="1"/>
    <col min="12242" max="12242" width="10.5703125" style="338" customWidth="1"/>
    <col min="12243" max="12248" width="8.5703125" style="338" customWidth="1"/>
    <col min="12249" max="12249" width="10.85546875" style="338" customWidth="1"/>
    <col min="12250" max="12250" width="8.85546875" style="338" customWidth="1"/>
    <col min="12251" max="12251" width="17.85546875" style="338" customWidth="1"/>
    <col min="12252" max="12260" width="8.7109375" style="338"/>
    <col min="12261" max="12261" width="21.5703125" style="338" customWidth="1"/>
    <col min="12262" max="12268" width="8.7109375" style="338"/>
    <col min="12269" max="12269" width="10" style="338" customWidth="1"/>
    <col min="12270" max="12496" width="8.7109375" style="338"/>
    <col min="12497" max="12497" width="23.85546875" style="338" customWidth="1"/>
    <col min="12498" max="12498" width="10.5703125" style="338" customWidth="1"/>
    <col min="12499" max="12504" width="8.5703125" style="338" customWidth="1"/>
    <col min="12505" max="12505" width="10.85546875" style="338" customWidth="1"/>
    <col min="12506" max="12506" width="8.85546875" style="338" customWidth="1"/>
    <col min="12507" max="12507" width="17.85546875" style="338" customWidth="1"/>
    <col min="12508" max="12516" width="8.7109375" style="338"/>
    <col min="12517" max="12517" width="21.5703125" style="338" customWidth="1"/>
    <col min="12518" max="12524" width="8.7109375" style="338"/>
    <col min="12525" max="12525" width="10" style="338" customWidth="1"/>
    <col min="12526" max="12752" width="8.7109375" style="338"/>
    <col min="12753" max="12753" width="23.85546875" style="338" customWidth="1"/>
    <col min="12754" max="12754" width="10.5703125" style="338" customWidth="1"/>
    <col min="12755" max="12760" width="8.5703125" style="338" customWidth="1"/>
    <col min="12761" max="12761" width="10.85546875" style="338" customWidth="1"/>
    <col min="12762" max="12762" width="8.85546875" style="338" customWidth="1"/>
    <col min="12763" max="12763" width="17.85546875" style="338" customWidth="1"/>
    <col min="12764" max="12772" width="8.7109375" style="338"/>
    <col min="12773" max="12773" width="21.5703125" style="338" customWidth="1"/>
    <col min="12774" max="12780" width="8.7109375" style="338"/>
    <col min="12781" max="12781" width="10" style="338" customWidth="1"/>
    <col min="12782" max="13008" width="8.7109375" style="338"/>
    <col min="13009" max="13009" width="23.85546875" style="338" customWidth="1"/>
    <col min="13010" max="13010" width="10.5703125" style="338" customWidth="1"/>
    <col min="13011" max="13016" width="8.5703125" style="338" customWidth="1"/>
    <col min="13017" max="13017" width="10.85546875" style="338" customWidth="1"/>
    <col min="13018" max="13018" width="8.85546875" style="338" customWidth="1"/>
    <col min="13019" max="13019" width="17.85546875" style="338" customWidth="1"/>
    <col min="13020" max="13028" width="8.7109375" style="338"/>
    <col min="13029" max="13029" width="21.5703125" style="338" customWidth="1"/>
    <col min="13030" max="13036" width="8.7109375" style="338"/>
    <col min="13037" max="13037" width="10" style="338" customWidth="1"/>
    <col min="13038" max="13264" width="8.7109375" style="338"/>
    <col min="13265" max="13265" width="23.85546875" style="338" customWidth="1"/>
    <col min="13266" max="13266" width="10.5703125" style="338" customWidth="1"/>
    <col min="13267" max="13272" width="8.5703125" style="338" customWidth="1"/>
    <col min="13273" max="13273" width="10.85546875" style="338" customWidth="1"/>
    <col min="13274" max="13274" width="8.85546875" style="338" customWidth="1"/>
    <col min="13275" max="13275" width="17.85546875" style="338" customWidth="1"/>
    <col min="13276" max="13284" width="8.7109375" style="338"/>
    <col min="13285" max="13285" width="21.5703125" style="338" customWidth="1"/>
    <col min="13286" max="13292" width="8.7109375" style="338"/>
    <col min="13293" max="13293" width="10" style="338" customWidth="1"/>
    <col min="13294" max="13520" width="8.7109375" style="338"/>
    <col min="13521" max="13521" width="23.85546875" style="338" customWidth="1"/>
    <col min="13522" max="13522" width="10.5703125" style="338" customWidth="1"/>
    <col min="13523" max="13528" width="8.5703125" style="338" customWidth="1"/>
    <col min="13529" max="13529" width="10.85546875" style="338" customWidth="1"/>
    <col min="13530" max="13530" width="8.85546875" style="338" customWidth="1"/>
    <col min="13531" max="13531" width="17.85546875" style="338" customWidth="1"/>
    <col min="13532" max="13540" width="8.7109375" style="338"/>
    <col min="13541" max="13541" width="21.5703125" style="338" customWidth="1"/>
    <col min="13542" max="13548" width="8.7109375" style="338"/>
    <col min="13549" max="13549" width="10" style="338" customWidth="1"/>
    <col min="13550" max="13776" width="8.7109375" style="338"/>
    <col min="13777" max="13777" width="23.85546875" style="338" customWidth="1"/>
    <col min="13778" max="13778" width="10.5703125" style="338" customWidth="1"/>
    <col min="13779" max="13784" width="8.5703125" style="338" customWidth="1"/>
    <col min="13785" max="13785" width="10.85546875" style="338" customWidth="1"/>
    <col min="13786" max="13786" width="8.85546875" style="338" customWidth="1"/>
    <col min="13787" max="13787" width="17.85546875" style="338" customWidth="1"/>
    <col min="13788" max="13796" width="8.7109375" style="338"/>
    <col min="13797" max="13797" width="21.5703125" style="338" customWidth="1"/>
    <col min="13798" max="13804" width="8.7109375" style="338"/>
    <col min="13805" max="13805" width="10" style="338" customWidth="1"/>
    <col min="13806" max="14032" width="8.7109375" style="338"/>
    <col min="14033" max="14033" width="23.85546875" style="338" customWidth="1"/>
    <col min="14034" max="14034" width="10.5703125" style="338" customWidth="1"/>
    <col min="14035" max="14040" width="8.5703125" style="338" customWidth="1"/>
    <col min="14041" max="14041" width="10.85546875" style="338" customWidth="1"/>
    <col min="14042" max="14042" width="8.85546875" style="338" customWidth="1"/>
    <col min="14043" max="14043" width="17.85546875" style="338" customWidth="1"/>
    <col min="14044" max="14052" width="8.7109375" style="338"/>
    <col min="14053" max="14053" width="21.5703125" style="338" customWidth="1"/>
    <col min="14054" max="14060" width="8.7109375" style="338"/>
    <col min="14061" max="14061" width="10" style="338" customWidth="1"/>
    <col min="14062" max="14288" width="8.7109375" style="338"/>
    <col min="14289" max="14289" width="23.85546875" style="338" customWidth="1"/>
    <col min="14290" max="14290" width="10.5703125" style="338" customWidth="1"/>
    <col min="14291" max="14296" width="8.5703125" style="338" customWidth="1"/>
    <col min="14297" max="14297" width="10.85546875" style="338" customWidth="1"/>
    <col min="14298" max="14298" width="8.85546875" style="338" customWidth="1"/>
    <col min="14299" max="14299" width="17.85546875" style="338" customWidth="1"/>
    <col min="14300" max="14308" width="8.7109375" style="338"/>
    <col min="14309" max="14309" width="21.5703125" style="338" customWidth="1"/>
    <col min="14310" max="14316" width="8.7109375" style="338"/>
    <col min="14317" max="14317" width="10" style="338" customWidth="1"/>
    <col min="14318" max="14544" width="8.7109375" style="338"/>
    <col min="14545" max="14545" width="23.85546875" style="338" customWidth="1"/>
    <col min="14546" max="14546" width="10.5703125" style="338" customWidth="1"/>
    <col min="14547" max="14552" width="8.5703125" style="338" customWidth="1"/>
    <col min="14553" max="14553" width="10.85546875" style="338" customWidth="1"/>
    <col min="14554" max="14554" width="8.85546875" style="338" customWidth="1"/>
    <col min="14555" max="14555" width="17.85546875" style="338" customWidth="1"/>
    <col min="14556" max="14564" width="8.7109375" style="338"/>
    <col min="14565" max="14565" width="21.5703125" style="338" customWidth="1"/>
    <col min="14566" max="14572" width="8.7109375" style="338"/>
    <col min="14573" max="14573" width="10" style="338" customWidth="1"/>
    <col min="14574" max="14800" width="8.7109375" style="338"/>
    <col min="14801" max="14801" width="23.85546875" style="338" customWidth="1"/>
    <col min="14802" max="14802" width="10.5703125" style="338" customWidth="1"/>
    <col min="14803" max="14808" width="8.5703125" style="338" customWidth="1"/>
    <col min="14809" max="14809" width="10.85546875" style="338" customWidth="1"/>
    <col min="14810" max="14810" width="8.85546875" style="338" customWidth="1"/>
    <col min="14811" max="14811" width="17.85546875" style="338" customWidth="1"/>
    <col min="14812" max="14820" width="8.7109375" style="338"/>
    <col min="14821" max="14821" width="21.5703125" style="338" customWidth="1"/>
    <col min="14822" max="14828" width="8.7109375" style="338"/>
    <col min="14829" max="14829" width="10" style="338" customWidth="1"/>
    <col min="14830" max="15056" width="8.7109375" style="338"/>
    <col min="15057" max="15057" width="23.85546875" style="338" customWidth="1"/>
    <col min="15058" max="15058" width="10.5703125" style="338" customWidth="1"/>
    <col min="15059" max="15064" width="8.5703125" style="338" customWidth="1"/>
    <col min="15065" max="15065" width="10.85546875" style="338" customWidth="1"/>
    <col min="15066" max="15066" width="8.85546875" style="338" customWidth="1"/>
    <col min="15067" max="15067" width="17.85546875" style="338" customWidth="1"/>
    <col min="15068" max="15076" width="8.7109375" style="338"/>
    <col min="15077" max="15077" width="21.5703125" style="338" customWidth="1"/>
    <col min="15078" max="15084" width="8.7109375" style="338"/>
    <col min="15085" max="15085" width="10" style="338" customWidth="1"/>
    <col min="15086" max="15312" width="8.7109375" style="338"/>
    <col min="15313" max="15313" width="23.85546875" style="338" customWidth="1"/>
    <col min="15314" max="15314" width="10.5703125" style="338" customWidth="1"/>
    <col min="15315" max="15320" width="8.5703125" style="338" customWidth="1"/>
    <col min="15321" max="15321" width="10.85546875" style="338" customWidth="1"/>
    <col min="15322" max="15322" width="8.85546875" style="338" customWidth="1"/>
    <col min="15323" max="15323" width="17.85546875" style="338" customWidth="1"/>
    <col min="15324" max="15332" width="8.7109375" style="338"/>
    <col min="15333" max="15333" width="21.5703125" style="338" customWidth="1"/>
    <col min="15334" max="15340" width="8.7109375" style="338"/>
    <col min="15341" max="15341" width="10" style="338" customWidth="1"/>
    <col min="15342" max="15568" width="8.7109375" style="338"/>
    <col min="15569" max="15569" width="23.85546875" style="338" customWidth="1"/>
    <col min="15570" max="15570" width="10.5703125" style="338" customWidth="1"/>
    <col min="15571" max="15576" width="8.5703125" style="338" customWidth="1"/>
    <col min="15577" max="15577" width="10.85546875" style="338" customWidth="1"/>
    <col min="15578" max="15578" width="8.85546875" style="338" customWidth="1"/>
    <col min="15579" max="15579" width="17.85546875" style="338" customWidth="1"/>
    <col min="15580" max="15588" width="8.7109375" style="338"/>
    <col min="15589" max="15589" width="21.5703125" style="338" customWidth="1"/>
    <col min="15590" max="15596" width="8.7109375" style="338"/>
    <col min="15597" max="15597" width="10" style="338" customWidth="1"/>
    <col min="15598" max="15824" width="8.7109375" style="338"/>
    <col min="15825" max="15825" width="23.85546875" style="338" customWidth="1"/>
    <col min="15826" max="15826" width="10.5703125" style="338" customWidth="1"/>
    <col min="15827" max="15832" width="8.5703125" style="338" customWidth="1"/>
    <col min="15833" max="15833" width="10.85546875" style="338" customWidth="1"/>
    <col min="15834" max="15834" width="8.85546875" style="338" customWidth="1"/>
    <col min="15835" max="15835" width="17.85546875" style="338" customWidth="1"/>
    <col min="15836" max="15844" width="8.7109375" style="338"/>
    <col min="15845" max="15845" width="21.5703125" style="338" customWidth="1"/>
    <col min="15846" max="15852" width="8.7109375" style="338"/>
    <col min="15853" max="15853" width="10" style="338" customWidth="1"/>
    <col min="15854" max="16080" width="8.7109375" style="338"/>
    <col min="16081" max="16081" width="23.85546875" style="338" customWidth="1"/>
    <col min="16082" max="16082" width="10.5703125" style="338" customWidth="1"/>
    <col min="16083" max="16088" width="8.5703125" style="338" customWidth="1"/>
    <col min="16089" max="16089" width="10.85546875" style="338" customWidth="1"/>
    <col min="16090" max="16090" width="8.85546875" style="338" customWidth="1"/>
    <col min="16091" max="16091" width="17.85546875" style="338" customWidth="1"/>
    <col min="16092" max="16100" width="8.7109375" style="338"/>
    <col min="16101" max="16101" width="21.5703125" style="338" customWidth="1"/>
    <col min="16102" max="16108" width="8.7109375" style="338"/>
    <col min="16109" max="16109" width="10" style="338" customWidth="1"/>
    <col min="16110" max="16337" width="8.7109375" style="338"/>
    <col min="16338" max="16384" width="9.140625" style="338" customWidth="1"/>
  </cols>
  <sheetData>
    <row r="1" spans="1:11" x14ac:dyDescent="0.2">
      <c r="A1" s="624" t="s">
        <v>23</v>
      </c>
      <c r="B1" s="624"/>
      <c r="C1" s="624"/>
      <c r="D1" s="624"/>
      <c r="E1" s="624"/>
      <c r="F1" s="624"/>
      <c r="G1" s="624"/>
      <c r="H1" s="624"/>
      <c r="I1" s="624"/>
      <c r="J1" s="624"/>
      <c r="K1" s="624"/>
    </row>
    <row r="2" spans="1:11" x14ac:dyDescent="0.2">
      <c r="A2" s="624" t="s">
        <v>91</v>
      </c>
      <c r="B2" s="624"/>
      <c r="C2" s="624"/>
      <c r="D2" s="624"/>
      <c r="E2" s="624"/>
      <c r="F2" s="624"/>
      <c r="G2" s="624"/>
      <c r="H2" s="624"/>
      <c r="I2" s="624"/>
      <c r="J2" s="624"/>
      <c r="K2" s="624"/>
    </row>
    <row r="3" spans="1:11" ht="12.75" x14ac:dyDescent="0.2">
      <c r="A3" s="625" t="s">
        <v>132</v>
      </c>
      <c r="B3" s="625"/>
      <c r="C3" s="625"/>
      <c r="D3" s="625"/>
      <c r="E3" s="625"/>
      <c r="F3" s="625"/>
      <c r="G3" s="625"/>
      <c r="H3" s="625"/>
      <c r="I3" s="625"/>
      <c r="J3" s="625"/>
      <c r="K3" s="625"/>
    </row>
    <row r="4" spans="1:11" ht="12.75" x14ac:dyDescent="0.2">
      <c r="A4" s="625" t="s">
        <v>93</v>
      </c>
      <c r="B4" s="625"/>
      <c r="C4" s="625"/>
      <c r="D4" s="625"/>
      <c r="E4" s="625"/>
      <c r="F4" s="625"/>
      <c r="G4" s="625"/>
      <c r="H4" s="625"/>
      <c r="I4" s="625"/>
      <c r="J4" s="625"/>
      <c r="K4" s="625"/>
    </row>
    <row r="5" spans="1:11" ht="12" x14ac:dyDescent="0.2">
      <c r="A5" s="626" t="s">
        <v>48</v>
      </c>
      <c r="B5" s="626"/>
      <c r="C5" s="626"/>
      <c r="D5" s="626"/>
      <c r="E5" s="626"/>
      <c r="F5" s="626"/>
      <c r="G5" s="626"/>
      <c r="H5" s="626"/>
      <c r="I5" s="626"/>
      <c r="J5" s="626"/>
      <c r="K5" s="626"/>
    </row>
    <row r="6" spans="1:11" ht="15" x14ac:dyDescent="0.2">
      <c r="A6" s="623"/>
      <c r="B6" s="623"/>
      <c r="C6" s="623"/>
      <c r="D6" s="623"/>
      <c r="E6" s="623"/>
      <c r="F6" s="623"/>
      <c r="G6" s="623"/>
      <c r="H6" s="623"/>
      <c r="I6" s="623"/>
      <c r="J6" s="623"/>
      <c r="K6" s="623"/>
    </row>
    <row r="7" spans="1:11" x14ac:dyDescent="0.2">
      <c r="A7" s="361"/>
      <c r="B7" s="362"/>
      <c r="C7" s="78"/>
      <c r="D7" s="78"/>
      <c r="E7" s="78"/>
      <c r="F7" s="78"/>
      <c r="G7" s="78"/>
      <c r="H7" s="78"/>
      <c r="I7" s="78"/>
      <c r="J7" s="78"/>
      <c r="K7" s="364"/>
    </row>
    <row r="8" spans="1:11" ht="13.5" thickBot="1" x14ac:dyDescent="0.25">
      <c r="A8" s="261" t="s">
        <v>94</v>
      </c>
      <c r="B8" s="365"/>
      <c r="C8" s="67"/>
      <c r="D8" s="67"/>
      <c r="E8" s="67"/>
      <c r="F8" s="67"/>
      <c r="G8" s="67"/>
      <c r="H8" s="67"/>
      <c r="I8" s="67"/>
      <c r="J8" s="67"/>
      <c r="K8" s="364"/>
    </row>
    <row r="9" spans="1:11" ht="10.35" customHeight="1" x14ac:dyDescent="0.25">
      <c r="A9" s="339" t="s">
        <v>114</v>
      </c>
      <c r="B9" s="615" t="s">
        <v>95</v>
      </c>
      <c r="C9" s="621" t="s">
        <v>134</v>
      </c>
      <c r="D9" s="617"/>
      <c r="E9" s="617"/>
      <c r="F9" s="617"/>
      <c r="G9" s="617"/>
      <c r="H9" s="617"/>
      <c r="I9" s="622"/>
      <c r="J9" s="373" t="s">
        <v>133</v>
      </c>
      <c r="K9" s="374" t="s">
        <v>115</v>
      </c>
    </row>
    <row r="10" spans="1:11" ht="10.7" customHeight="1" thickBot="1" x14ac:dyDescent="0.3">
      <c r="A10" s="340"/>
      <c r="B10" s="616"/>
      <c r="C10" s="375" t="s">
        <v>102</v>
      </c>
      <c r="D10" s="375" t="s">
        <v>103</v>
      </c>
      <c r="E10" s="375" t="s">
        <v>104</v>
      </c>
      <c r="F10" s="375" t="s">
        <v>105</v>
      </c>
      <c r="G10" s="375" t="s">
        <v>106</v>
      </c>
      <c r="H10" s="375" t="s">
        <v>107</v>
      </c>
      <c r="I10" s="375" t="s">
        <v>108</v>
      </c>
      <c r="J10" s="375" t="s">
        <v>109</v>
      </c>
      <c r="K10" s="376" t="s">
        <v>116</v>
      </c>
    </row>
    <row r="11" spans="1:11" x14ac:dyDescent="0.2">
      <c r="A11" s="301" t="s">
        <v>117</v>
      </c>
      <c r="B11" s="302" t="s">
        <v>113</v>
      </c>
      <c r="C11" s="342">
        <v>1.7438413023556681E-2</v>
      </c>
      <c r="D11" s="342">
        <v>2.0385847067093649E-2</v>
      </c>
      <c r="E11" s="342">
        <v>1.4962593516209476E-2</v>
      </c>
      <c r="F11" s="342">
        <v>1.3599068790279079E-2</v>
      </c>
      <c r="G11" s="342">
        <v>9.5312499999999998E-3</v>
      </c>
      <c r="H11" s="342">
        <v>7.0778291055461004E-3</v>
      </c>
      <c r="I11" s="342">
        <v>5.3685231366029373E-3</v>
      </c>
      <c r="J11" s="382">
        <v>1.2867353776444686E-2</v>
      </c>
      <c r="K11" s="395">
        <v>0.53939393939393931</v>
      </c>
    </row>
    <row r="12" spans="1:11" x14ac:dyDescent="0.2">
      <c r="A12" s="155"/>
      <c r="B12" s="309" t="s">
        <v>1</v>
      </c>
      <c r="C12" s="349">
        <v>2.0945945945945947E-2</v>
      </c>
      <c r="D12" s="349">
        <v>2.5786955426844622E-2</v>
      </c>
      <c r="E12" s="349">
        <v>1.9738970984791285E-2</v>
      </c>
      <c r="F12" s="349">
        <v>1.8270534020059636E-2</v>
      </c>
      <c r="G12" s="349">
        <v>1.2195734002509411E-2</v>
      </c>
      <c r="H12" s="349">
        <v>9.3275716694772338E-3</v>
      </c>
      <c r="I12" s="349">
        <v>7.3107049608355087E-3</v>
      </c>
      <c r="J12" s="383">
        <v>1.6500000000000001E-2</v>
      </c>
      <c r="K12" s="283"/>
    </row>
    <row r="13" spans="1:11" x14ac:dyDescent="0.2">
      <c r="A13" s="286"/>
      <c r="B13" s="312" t="s">
        <v>0</v>
      </c>
      <c r="C13" s="354">
        <v>1.3660284402642482E-2</v>
      </c>
      <c r="D13" s="354">
        <v>1.4606014875498544E-2</v>
      </c>
      <c r="E13" s="354">
        <v>9.7976322388756056E-3</v>
      </c>
      <c r="F13" s="354">
        <v>8.4634640600786751E-3</v>
      </c>
      <c r="G13" s="354">
        <v>6.6576454668470907E-3</v>
      </c>
      <c r="H13" s="354">
        <v>4.711490493875062E-3</v>
      </c>
      <c r="I13" s="354">
        <v>3.1729634002361277E-3</v>
      </c>
      <c r="J13" s="390">
        <v>8.8999999999999999E-3</v>
      </c>
      <c r="K13" s="288"/>
    </row>
    <row r="14" spans="1:11" ht="9.9499999999999993" customHeight="1" x14ac:dyDescent="0.2">
      <c r="A14" s="301" t="s">
        <v>118</v>
      </c>
      <c r="B14" s="302" t="s">
        <v>113</v>
      </c>
      <c r="C14" s="342">
        <v>2.3826120017742855E-2</v>
      </c>
      <c r="D14" s="342">
        <v>3.926562037311223E-2</v>
      </c>
      <c r="E14" s="342">
        <v>3.1643697876619151E-2</v>
      </c>
      <c r="F14" s="342">
        <v>2.7985761630047869E-2</v>
      </c>
      <c r="G14" s="342">
        <v>1.8593681439227731E-2</v>
      </c>
      <c r="H14" s="342">
        <v>1.3894588731898926E-2</v>
      </c>
      <c r="I14" s="342">
        <v>9.7892691675384846E-3</v>
      </c>
      <c r="J14" s="382">
        <v>2.3895999580925108E-2</v>
      </c>
      <c r="K14" s="395">
        <v>0.46875</v>
      </c>
    </row>
    <row r="15" spans="1:11" ht="9.9499999999999993" customHeight="1" x14ac:dyDescent="0.2">
      <c r="A15" s="155"/>
      <c r="B15" s="309" t="s">
        <v>1</v>
      </c>
      <c r="C15" s="349">
        <v>2.9109589041095889E-2</v>
      </c>
      <c r="D15" s="349">
        <v>4.9141703130259173E-2</v>
      </c>
      <c r="E15" s="349">
        <v>4.3189742436171408E-2</v>
      </c>
      <c r="F15" s="349">
        <v>3.7714285714285714E-2</v>
      </c>
      <c r="G15" s="349">
        <v>2.5874051106596813E-2</v>
      </c>
      <c r="H15" s="349">
        <v>2.1488170076580181E-2</v>
      </c>
      <c r="I15" s="349">
        <v>1.3690815744438107E-2</v>
      </c>
      <c r="J15" s="383">
        <v>3.2000000000000001E-2</v>
      </c>
      <c r="K15" s="283"/>
    </row>
    <row r="16" spans="1:11" x14ac:dyDescent="0.2">
      <c r="A16" s="286"/>
      <c r="B16" s="312" t="s">
        <v>0</v>
      </c>
      <c r="C16" s="354">
        <v>1.8145956607495069E-2</v>
      </c>
      <c r="D16" s="354">
        <v>2.8223783241344707E-2</v>
      </c>
      <c r="E16" s="354">
        <v>1.8837325349301399E-2</v>
      </c>
      <c r="F16" s="354">
        <v>1.670201484623542E-2</v>
      </c>
      <c r="G16" s="354">
        <v>1.0924653677215903E-2</v>
      </c>
      <c r="H16" s="354">
        <v>5.8979297063071739E-3</v>
      </c>
      <c r="I16" s="354">
        <v>5.4945054945054949E-3</v>
      </c>
      <c r="J16" s="390">
        <v>1.4999999999999999E-2</v>
      </c>
      <c r="K16" s="288"/>
    </row>
    <row r="17" spans="1:11" x14ac:dyDescent="0.2">
      <c r="A17" s="301" t="s">
        <v>119</v>
      </c>
      <c r="B17" s="302" t="s">
        <v>113</v>
      </c>
      <c r="C17" s="342">
        <v>9.331699500424168E-3</v>
      </c>
      <c r="D17" s="342">
        <v>2.1484022386712404E-2</v>
      </c>
      <c r="E17" s="342">
        <v>1.5335169880624427E-2</v>
      </c>
      <c r="F17" s="342">
        <v>1.5311195068602108E-2</v>
      </c>
      <c r="G17" s="342">
        <v>1.1597168926409142E-2</v>
      </c>
      <c r="H17" s="342">
        <v>9.7173932423999295E-3</v>
      </c>
      <c r="I17" s="342">
        <v>7.1130733382389014E-3</v>
      </c>
      <c r="J17" s="382">
        <v>1.3033512809732414E-2</v>
      </c>
      <c r="K17" s="395">
        <v>0.49146444865118261</v>
      </c>
    </row>
    <row r="18" spans="1:11" x14ac:dyDescent="0.2">
      <c r="A18" s="155"/>
      <c r="B18" s="309" t="s">
        <v>1</v>
      </c>
      <c r="C18" s="349">
        <v>1.1278195488721804E-2</v>
      </c>
      <c r="D18" s="349">
        <v>2.7169149868536371E-2</v>
      </c>
      <c r="E18" s="349">
        <v>2.0419034090909092E-2</v>
      </c>
      <c r="F18" s="349">
        <v>2.0988112927191677E-2</v>
      </c>
      <c r="G18" s="349">
        <v>1.6013628620102215E-2</v>
      </c>
      <c r="H18" s="349">
        <v>1.2774037631624375E-2</v>
      </c>
      <c r="I18" s="349">
        <v>1.0762751520823585E-2</v>
      </c>
      <c r="J18" s="383">
        <v>1.7257609036711641E-2</v>
      </c>
      <c r="K18" s="283"/>
    </row>
    <row r="19" spans="1:11" x14ac:dyDescent="0.2">
      <c r="A19" s="286"/>
      <c r="B19" s="312" t="s">
        <v>0</v>
      </c>
      <c r="C19" s="354">
        <v>7.167031654389807E-3</v>
      </c>
      <c r="D19" s="354">
        <v>1.5447608412432532E-2</v>
      </c>
      <c r="E19" s="354">
        <v>9.8896918980600993E-3</v>
      </c>
      <c r="F19" s="354">
        <v>8.771929824561403E-3</v>
      </c>
      <c r="G19" s="354">
        <v>7.1709066074782312E-3</v>
      </c>
      <c r="H19" s="354">
        <v>6.4528023598820058E-3</v>
      </c>
      <c r="I19" s="354">
        <v>3.092783505154639E-3</v>
      </c>
      <c r="J19" s="390">
        <v>8.4815013102651528E-3</v>
      </c>
      <c r="K19" s="288"/>
    </row>
    <row r="20" spans="1:11" x14ac:dyDescent="0.2">
      <c r="A20" s="301" t="s">
        <v>120</v>
      </c>
      <c r="B20" s="302" t="s">
        <v>113</v>
      </c>
      <c r="C20" s="342">
        <v>1.3085605833583059E-2</v>
      </c>
      <c r="D20" s="342">
        <v>2.8879099363680862E-2</v>
      </c>
      <c r="E20" s="342">
        <v>2.2849857801314113E-2</v>
      </c>
      <c r="F20" s="342">
        <v>2.1074921851366342E-2</v>
      </c>
      <c r="G20" s="342">
        <v>1.3816765578635015E-2</v>
      </c>
      <c r="H20" s="342">
        <v>1.2707815784444869E-2</v>
      </c>
      <c r="I20" s="342">
        <v>7.145409074669525E-3</v>
      </c>
      <c r="J20" s="382">
        <v>1.7288925086087415E-2</v>
      </c>
      <c r="K20" s="395">
        <v>0.48238767674076644</v>
      </c>
    </row>
    <row r="21" spans="1:11" x14ac:dyDescent="0.2">
      <c r="A21" s="155"/>
      <c r="B21" s="309" t="s">
        <v>1</v>
      </c>
      <c r="C21" s="349">
        <v>1.5026006549797726E-2</v>
      </c>
      <c r="D21" s="349">
        <v>3.563390847711928E-2</v>
      </c>
      <c r="E21" s="349">
        <v>3.0469341408024223E-2</v>
      </c>
      <c r="F21" s="349">
        <v>2.919290211791643E-2</v>
      </c>
      <c r="G21" s="349">
        <v>2.0523708421797595E-2</v>
      </c>
      <c r="H21" s="349">
        <v>1.7576664173522813E-2</v>
      </c>
      <c r="I21" s="349">
        <v>1.0416666666666666E-2</v>
      </c>
      <c r="J21" s="383">
        <v>2.3E-2</v>
      </c>
      <c r="K21" s="283"/>
    </row>
    <row r="22" spans="1:11" x14ac:dyDescent="0.2">
      <c r="A22" s="286"/>
      <c r="B22" s="312" t="s">
        <v>0</v>
      </c>
      <c r="C22" s="354">
        <v>1.099585062240664E-2</v>
      </c>
      <c r="D22" s="354">
        <v>2.1503174278107721E-2</v>
      </c>
      <c r="E22" s="354">
        <v>1.4654996946875637E-2</v>
      </c>
      <c r="F22" s="354">
        <v>1.1976047904191617E-2</v>
      </c>
      <c r="G22" s="354">
        <v>6.4302416212003114E-3</v>
      </c>
      <c r="H22" s="354">
        <v>7.6201641266119575E-3</v>
      </c>
      <c r="I22" s="354">
        <v>3.6791758646063282E-3</v>
      </c>
      <c r="J22" s="390">
        <v>1.1094916565037628E-2</v>
      </c>
      <c r="K22" s="288"/>
    </row>
    <row r="23" spans="1:11" x14ac:dyDescent="0.2">
      <c r="A23" s="301" t="s">
        <v>121</v>
      </c>
      <c r="B23" s="302" t="s">
        <v>113</v>
      </c>
      <c r="C23" s="342">
        <v>1.7144986954901228E-2</v>
      </c>
      <c r="D23" s="342">
        <v>6.1781224926450926E-2</v>
      </c>
      <c r="E23" s="342">
        <v>5.646240299705646E-2</v>
      </c>
      <c r="F23" s="342">
        <v>5.8721934369602762E-2</v>
      </c>
      <c r="G23" s="342">
        <v>4.750271444082519E-2</v>
      </c>
      <c r="H23" s="342">
        <v>3.5935563816604711E-2</v>
      </c>
      <c r="I23" s="342">
        <v>3.2592344977436072E-2</v>
      </c>
      <c r="J23" s="382">
        <v>4.4222059608804855E-2</v>
      </c>
      <c r="K23" s="395">
        <v>0.53156566405713501</v>
      </c>
    </row>
    <row r="24" spans="1:11" x14ac:dyDescent="0.2">
      <c r="A24" s="155"/>
      <c r="B24" s="309" t="s">
        <v>1</v>
      </c>
      <c r="C24" s="349">
        <v>2.0132638559924206E-2</v>
      </c>
      <c r="D24" s="349">
        <v>7.1758072783188104E-2</v>
      </c>
      <c r="E24" s="349">
        <v>7.2441350863624646E-2</v>
      </c>
      <c r="F24" s="349">
        <v>7.4979625101874489E-2</v>
      </c>
      <c r="G24" s="349">
        <v>6.458333333333334E-2</v>
      </c>
      <c r="H24" s="349">
        <v>5.0422458435541016E-2</v>
      </c>
      <c r="I24" s="349">
        <v>4.6774193548387098E-2</v>
      </c>
      <c r="J24" s="383">
        <v>5.7049404784543414E-2</v>
      </c>
      <c r="K24" s="283"/>
    </row>
    <row r="25" spans="1:11" x14ac:dyDescent="0.2">
      <c r="A25" s="286"/>
      <c r="B25" s="312" t="s">
        <v>0</v>
      </c>
      <c r="C25" s="354">
        <v>1.3848967859942513E-2</v>
      </c>
      <c r="D25" s="354">
        <v>5.0894854586129752E-2</v>
      </c>
      <c r="E25" s="354">
        <v>3.9221140472879001E-2</v>
      </c>
      <c r="F25" s="354">
        <v>4.0404040404040407E-2</v>
      </c>
      <c r="G25" s="354">
        <v>2.8911564625850341E-2</v>
      </c>
      <c r="H25" s="354">
        <v>2.1146355036171398E-2</v>
      </c>
      <c r="I25" s="354">
        <v>1.7343045438779049E-2</v>
      </c>
      <c r="J25" s="390">
        <v>3.0325504738360116E-2</v>
      </c>
      <c r="K25" s="288"/>
    </row>
    <row r="26" spans="1:11" x14ac:dyDescent="0.2">
      <c r="A26" s="301" t="s">
        <v>122</v>
      </c>
      <c r="B26" s="302" t="s">
        <v>113</v>
      </c>
      <c r="C26" s="342">
        <v>2.6281208935611037E-2</v>
      </c>
      <c r="D26" s="342">
        <v>5.6643423440634257E-2</v>
      </c>
      <c r="E26" s="342">
        <v>5.1482662030329376E-2</v>
      </c>
      <c r="F26" s="342">
        <v>5.3784663969209515E-2</v>
      </c>
      <c r="G26" s="342">
        <v>3.3214285714285717E-2</v>
      </c>
      <c r="H26" s="342">
        <v>2.7756726032588101E-2</v>
      </c>
      <c r="I26" s="342">
        <v>1.5929203539823009E-2</v>
      </c>
      <c r="J26" s="382">
        <v>3.8422037451286598E-2</v>
      </c>
      <c r="K26" s="395">
        <v>0.48784600507072418</v>
      </c>
    </row>
    <row r="27" spans="1:11" ht="12" x14ac:dyDescent="0.2">
      <c r="A27" s="347"/>
      <c r="B27" s="309" t="s">
        <v>1</v>
      </c>
      <c r="C27" s="349">
        <v>2.8742283950617283E-2</v>
      </c>
      <c r="D27" s="349">
        <v>7.2661217075386017E-2</v>
      </c>
      <c r="E27" s="349">
        <v>6.7724672448791295E-2</v>
      </c>
      <c r="F27" s="349">
        <v>7.0981978668628168E-2</v>
      </c>
      <c r="G27" s="349">
        <v>4.637131529046716E-2</v>
      </c>
      <c r="H27" s="349">
        <v>3.9771681090038667E-2</v>
      </c>
      <c r="I27" s="349">
        <v>2.3304107060452238E-2</v>
      </c>
      <c r="J27" s="383">
        <v>5.0873032981245958E-2</v>
      </c>
      <c r="K27" s="349"/>
    </row>
    <row r="28" spans="1:11" x14ac:dyDescent="0.2">
      <c r="A28" s="286"/>
      <c r="B28" s="312" t="s">
        <v>0</v>
      </c>
      <c r="C28" s="354">
        <v>2.357188362709705E-2</v>
      </c>
      <c r="D28" s="354">
        <v>3.8879935535858182E-2</v>
      </c>
      <c r="E28" s="354">
        <v>3.3644102148358328E-2</v>
      </c>
      <c r="F28" s="354">
        <v>3.386581469648562E-2</v>
      </c>
      <c r="G28" s="354">
        <v>1.907760696425264E-2</v>
      </c>
      <c r="H28" s="354">
        <v>1.5024390243902438E-2</v>
      </c>
      <c r="I28" s="354">
        <v>8.2105771552765036E-3</v>
      </c>
      <c r="J28" s="390">
        <v>2.4818205905732034E-2</v>
      </c>
      <c r="K28" s="354"/>
    </row>
    <row r="29" spans="1:11" x14ac:dyDescent="0.2">
      <c r="A29" s="301" t="s">
        <v>123</v>
      </c>
      <c r="B29" s="302" t="s">
        <v>113</v>
      </c>
      <c r="C29" s="342">
        <v>1.4521289687423087E-2</v>
      </c>
      <c r="D29" s="342">
        <v>1.5235457063711912E-2</v>
      </c>
      <c r="E29" s="342">
        <v>1.1046817464492372E-2</v>
      </c>
      <c r="F29" s="342">
        <v>9.0016366612111296E-3</v>
      </c>
      <c r="G29" s="342">
        <v>9.5121951219512193E-3</v>
      </c>
      <c r="H29" s="342">
        <v>9.6408773198361046E-3</v>
      </c>
      <c r="I29" s="342">
        <v>6.4874884151992582E-3</v>
      </c>
      <c r="J29" s="382">
        <v>1.0969322461515961E-2</v>
      </c>
      <c r="K29" s="395">
        <v>0.57664233576642343</v>
      </c>
    </row>
    <row r="30" spans="1:11" x14ac:dyDescent="0.2">
      <c r="A30" s="155"/>
      <c r="B30" s="309" t="s">
        <v>1</v>
      </c>
      <c r="C30" s="349">
        <v>1.9749518304431599E-2</v>
      </c>
      <c r="D30" s="349">
        <v>1.3839285714285714E-2</v>
      </c>
      <c r="E30" s="349">
        <v>1.5920398009950248E-2</v>
      </c>
      <c r="F30" s="349">
        <v>1.2774655084312723E-2</v>
      </c>
      <c r="G30" s="349">
        <v>1.3394919168591224E-2</v>
      </c>
      <c r="H30" s="349">
        <v>9.6109839816933638E-3</v>
      </c>
      <c r="I30" s="349">
        <v>1.0410287813839559E-2</v>
      </c>
      <c r="J30" s="383">
        <v>1.37E-2</v>
      </c>
      <c r="K30" s="349"/>
    </row>
    <row r="31" spans="1:11" x14ac:dyDescent="0.2">
      <c r="A31" s="286"/>
      <c r="B31" s="312" t="s">
        <v>0</v>
      </c>
      <c r="C31" s="354">
        <v>9.0588827377956725E-3</v>
      </c>
      <c r="D31" s="354">
        <v>1.6730401529636712E-2</v>
      </c>
      <c r="E31" s="354">
        <v>5.580357142857143E-3</v>
      </c>
      <c r="F31" s="354">
        <v>4.6811000585137508E-3</v>
      </c>
      <c r="G31" s="354">
        <v>5.1679586563307496E-3</v>
      </c>
      <c r="H31" s="354">
        <v>9.674134419551934E-3</v>
      </c>
      <c r="I31" s="354">
        <v>2.4937655860349127E-3</v>
      </c>
      <c r="J31" s="390">
        <v>7.9000000000000008E-3</v>
      </c>
      <c r="K31" s="354"/>
    </row>
    <row r="32" spans="1:11" ht="10.5" customHeight="1" x14ac:dyDescent="0.2">
      <c r="A32" s="392" t="s">
        <v>124</v>
      </c>
      <c r="B32" s="302" t="s">
        <v>113</v>
      </c>
      <c r="C32" s="342">
        <v>2.5451559934318555E-2</v>
      </c>
      <c r="D32" s="342">
        <v>3.8996138996138997E-2</v>
      </c>
      <c r="E32" s="342">
        <v>4.0910845233500581E-2</v>
      </c>
      <c r="F32" s="342">
        <v>3.7225705329153605E-2</v>
      </c>
      <c r="G32" s="342">
        <v>2.1870286576168928E-2</v>
      </c>
      <c r="H32" s="342">
        <v>1.7619420516836334E-2</v>
      </c>
      <c r="I32" s="342">
        <v>9.7991180793728563E-3</v>
      </c>
      <c r="J32" s="382">
        <v>2.7962792834175472E-2</v>
      </c>
      <c r="K32" s="395">
        <v>0.46857411764705886</v>
      </c>
    </row>
    <row r="33" spans="1:11" x14ac:dyDescent="0.2">
      <c r="A33" s="393"/>
      <c r="B33" s="309" t="s">
        <v>1</v>
      </c>
      <c r="C33" s="349">
        <v>2.9480217222653218E-2</v>
      </c>
      <c r="D33" s="349">
        <v>4.9924357034795766E-2</v>
      </c>
      <c r="E33" s="349">
        <v>5.5433989788475566E-2</v>
      </c>
      <c r="F33" s="349">
        <v>5.2205882352941178E-2</v>
      </c>
      <c r="G33" s="349">
        <v>2.9563932002956393E-2</v>
      </c>
      <c r="H33" s="349">
        <v>2.6395173453996983E-2</v>
      </c>
      <c r="I33" s="349">
        <v>1.3579049466537343E-2</v>
      </c>
      <c r="J33" s="383">
        <v>3.7560760053026956E-2</v>
      </c>
      <c r="K33" s="349"/>
    </row>
    <row r="34" spans="1:11" x14ac:dyDescent="0.2">
      <c r="A34" s="286"/>
      <c r="B34" s="312" t="s">
        <v>0</v>
      </c>
      <c r="C34" s="354">
        <v>2.0924149956408022E-2</v>
      </c>
      <c r="D34" s="354">
        <v>2.7602523659305992E-2</v>
      </c>
      <c r="E34" s="354">
        <v>2.4590163934426229E-2</v>
      </c>
      <c r="F34" s="354">
        <v>2.0134228187919462E-2</v>
      </c>
      <c r="G34" s="354">
        <v>1.3856812933025405E-2</v>
      </c>
      <c r="H34" s="354">
        <v>8.1433224755700327E-3</v>
      </c>
      <c r="I34" s="354">
        <v>5.9405940594059407E-3</v>
      </c>
      <c r="J34" s="390">
        <v>1.7600000000000001E-2</v>
      </c>
      <c r="K34" s="354"/>
    </row>
    <row r="35" spans="1:11" x14ac:dyDescent="0.2">
      <c r="A35" s="301" t="s">
        <v>125</v>
      </c>
      <c r="B35" s="302" t="s">
        <v>113</v>
      </c>
      <c r="C35" s="342">
        <v>3.1223389156968494E-2</v>
      </c>
      <c r="D35" s="342">
        <v>6.5884980457844786E-2</v>
      </c>
      <c r="E35" s="342">
        <v>6.7725752508361201E-2</v>
      </c>
      <c r="F35" s="342">
        <v>6.66855845629966E-2</v>
      </c>
      <c r="G35" s="342">
        <v>5.8991683991683995E-2</v>
      </c>
      <c r="H35" s="342">
        <v>3.3813747228381374E-2</v>
      </c>
      <c r="I35" s="342">
        <v>2.2344448264008249E-2</v>
      </c>
      <c r="J35" s="382">
        <v>5.036205353510699E-2</v>
      </c>
      <c r="K35" s="395">
        <v>0.47435916955017304</v>
      </c>
    </row>
    <row r="36" spans="1:11" ht="12" x14ac:dyDescent="0.2">
      <c r="A36" s="347"/>
      <c r="B36" s="309" t="s">
        <v>1</v>
      </c>
      <c r="C36" s="349">
        <v>3.9340776182881447E-2</v>
      </c>
      <c r="D36" s="349">
        <v>8.7830687830687829E-2</v>
      </c>
      <c r="E36" s="349">
        <v>8.8994207477619797E-2</v>
      </c>
      <c r="F36" s="349">
        <v>8.7882096069868992E-2</v>
      </c>
      <c r="G36" s="349">
        <v>8.1389578163771709E-2</v>
      </c>
      <c r="H36" s="349">
        <v>4.5934530095036959E-2</v>
      </c>
      <c r="I36" s="349">
        <v>3.0223390275952694E-2</v>
      </c>
      <c r="J36" s="383">
        <v>6.703781025284157E-2</v>
      </c>
      <c r="K36" s="349"/>
    </row>
    <row r="37" spans="1:11" x14ac:dyDescent="0.2">
      <c r="A37" s="286"/>
      <c r="B37" s="312" t="s">
        <v>0</v>
      </c>
      <c r="C37" s="354">
        <v>2.192448233861145E-2</v>
      </c>
      <c r="D37" s="354">
        <v>4.1371158392434985E-2</v>
      </c>
      <c r="E37" s="354">
        <v>4.3812907045589107E-2</v>
      </c>
      <c r="F37" s="354">
        <v>4.3735224586288417E-2</v>
      </c>
      <c r="G37" s="354">
        <v>3.4369885433715219E-2</v>
      </c>
      <c r="H37" s="354">
        <v>2.0420070011668612E-2</v>
      </c>
      <c r="I37" s="354">
        <v>1.3698630136986301E-2</v>
      </c>
      <c r="J37" s="390">
        <v>3.1800000000000002E-2</v>
      </c>
      <c r="K37" s="354"/>
    </row>
    <row r="38" spans="1:11" x14ac:dyDescent="0.2">
      <c r="A38" s="301" t="s">
        <v>126</v>
      </c>
      <c r="B38" s="302" t="s">
        <v>113</v>
      </c>
      <c r="C38" s="342">
        <v>1.1751662971175166E-2</v>
      </c>
      <c r="D38" s="342">
        <v>1.5690376569037656E-2</v>
      </c>
      <c r="E38" s="342">
        <v>1.0652765185856755E-2</v>
      </c>
      <c r="F38" s="342">
        <v>1.1051022807430049E-2</v>
      </c>
      <c r="G38" s="342">
        <v>5.7851239669421484E-3</v>
      </c>
      <c r="H38" s="342">
        <v>5.7293962097840455E-3</v>
      </c>
      <c r="I38" s="342">
        <v>5.8981233243967828E-3</v>
      </c>
      <c r="J38" s="382">
        <v>9.5934069471718762E-3</v>
      </c>
      <c r="K38" s="395">
        <v>0.48437499999999994</v>
      </c>
    </row>
    <row r="39" spans="1:11" x14ac:dyDescent="0.2">
      <c r="A39" s="155"/>
      <c r="B39" s="309" t="s">
        <v>1</v>
      </c>
      <c r="C39" s="349">
        <v>1.3931214627775359E-2</v>
      </c>
      <c r="D39" s="349">
        <v>1.9269369731031716E-2</v>
      </c>
      <c r="E39" s="349">
        <v>1.5929203539823009E-2</v>
      </c>
      <c r="F39" s="349">
        <v>1.5418502202643172E-2</v>
      </c>
      <c r="G39" s="349">
        <v>8.368200836820083E-3</v>
      </c>
      <c r="H39" s="349">
        <v>8.033826638477801E-3</v>
      </c>
      <c r="I39" s="349">
        <v>7.8616352201257862E-3</v>
      </c>
      <c r="J39" s="383">
        <v>1.2800000000000001E-2</v>
      </c>
      <c r="K39" s="283"/>
    </row>
    <row r="40" spans="1:11" x14ac:dyDescent="0.2">
      <c r="A40" s="286"/>
      <c r="B40" s="312" t="s">
        <v>0</v>
      </c>
      <c r="C40" s="354">
        <v>9.4893809308630814E-3</v>
      </c>
      <c r="D40" s="354">
        <v>1.1795543905635648E-2</v>
      </c>
      <c r="E40" s="354">
        <v>5.1115241635687732E-3</v>
      </c>
      <c r="F40" s="354">
        <v>6.0514372163388806E-3</v>
      </c>
      <c r="G40" s="354">
        <v>3.2653061224489797E-3</v>
      </c>
      <c r="H40" s="354">
        <v>3.2213529682466636E-3</v>
      </c>
      <c r="I40" s="354">
        <v>3.8419319429198683E-3</v>
      </c>
      <c r="J40" s="390">
        <v>6.1999999999999998E-3</v>
      </c>
      <c r="K40" s="288"/>
    </row>
    <row r="41" spans="1:11" x14ac:dyDescent="0.2">
      <c r="A41" s="301" t="s">
        <v>127</v>
      </c>
      <c r="B41" s="302" t="s">
        <v>113</v>
      </c>
      <c r="C41" s="342">
        <v>1.3284390840762104E-2</v>
      </c>
      <c r="D41" s="342">
        <v>1.7883511074651352E-2</v>
      </c>
      <c r="E41" s="342">
        <v>1.6076058772687987E-2</v>
      </c>
      <c r="F41" s="342">
        <v>1.6503992901508429E-2</v>
      </c>
      <c r="G41" s="342">
        <v>1.3052700277369881E-2</v>
      </c>
      <c r="H41" s="342">
        <v>9.4999999999999998E-3</v>
      </c>
      <c r="I41" s="342">
        <v>6.6291683406990761E-3</v>
      </c>
      <c r="J41" s="382">
        <v>1.3410009171355625E-2</v>
      </c>
      <c r="K41" s="395">
        <v>0.40211640211640209</v>
      </c>
    </row>
    <row r="42" spans="1:11" x14ac:dyDescent="0.2">
      <c r="A42" s="155"/>
      <c r="B42" s="309" t="s">
        <v>1</v>
      </c>
      <c r="C42" s="349">
        <v>1.7117425539198903E-2</v>
      </c>
      <c r="D42" s="349">
        <v>2.2568340750158931E-2</v>
      </c>
      <c r="E42" s="349">
        <v>2.0937188434695914E-2</v>
      </c>
      <c r="F42" s="349">
        <v>2.2727272727272728E-2</v>
      </c>
      <c r="G42" s="349">
        <v>2.07138304652645E-2</v>
      </c>
      <c r="H42" s="349">
        <v>1.5619915392124959E-2</v>
      </c>
      <c r="I42" s="349">
        <v>1.1266511266511266E-2</v>
      </c>
      <c r="J42" s="383">
        <v>1.89E-2</v>
      </c>
      <c r="K42" s="283"/>
    </row>
    <row r="43" spans="1:11" x14ac:dyDescent="0.2">
      <c r="A43" s="286"/>
      <c r="B43" s="312" t="s">
        <v>0</v>
      </c>
      <c r="C43" s="354">
        <v>9.285714285714286E-3</v>
      </c>
      <c r="D43" s="354">
        <v>1.2885723974228552E-2</v>
      </c>
      <c r="E43" s="354">
        <v>1.0806916426512969E-2</v>
      </c>
      <c r="F43" s="354">
        <v>9.6762188314104946E-3</v>
      </c>
      <c r="G43" s="354">
        <v>5.0150451354062184E-3</v>
      </c>
      <c r="H43" s="354">
        <v>3.0748206354629312E-3</v>
      </c>
      <c r="I43" s="354">
        <v>1.6638935108153079E-3</v>
      </c>
      <c r="J43" s="390">
        <v>7.6E-3</v>
      </c>
      <c r="K43" s="288"/>
    </row>
    <row r="44" spans="1:11" s="385" customFormat="1" x14ac:dyDescent="0.2">
      <c r="A44" s="315" t="s">
        <v>15</v>
      </c>
      <c r="B44" s="316" t="s">
        <v>113</v>
      </c>
      <c r="C44" s="318">
        <v>1.8003903382334509E-2</v>
      </c>
      <c r="D44" s="318">
        <v>3.1238946451217723E-2</v>
      </c>
      <c r="E44" s="318">
        <v>2.6457631974786906E-2</v>
      </c>
      <c r="F44" s="318">
        <v>2.5452159367115514E-2</v>
      </c>
      <c r="G44" s="318">
        <v>1.7974513749161636E-2</v>
      </c>
      <c r="H44" s="318">
        <v>1.3851868035831331E-2</v>
      </c>
      <c r="I44" s="318">
        <v>9.9270170145744144E-3</v>
      </c>
      <c r="J44" s="318">
        <v>2.0697075962741375E-2</v>
      </c>
      <c r="K44" s="396">
        <v>0.49611358538538125</v>
      </c>
    </row>
    <row r="45" spans="1:11" s="385" customFormat="1" x14ac:dyDescent="0.2">
      <c r="A45" s="323"/>
      <c r="B45" s="324" t="s">
        <v>1</v>
      </c>
      <c r="C45" s="326">
        <v>2.1545562578578439E-2</v>
      </c>
      <c r="D45" s="326">
        <v>3.9087245650984231E-2</v>
      </c>
      <c r="E45" s="326">
        <v>3.5225788714000963E-2</v>
      </c>
      <c r="F45" s="326">
        <v>3.4097651205807419E-2</v>
      </c>
      <c r="G45" s="326">
        <v>2.4877239764560501E-2</v>
      </c>
      <c r="H45" s="326">
        <v>1.945280484279617E-2</v>
      </c>
      <c r="I45" s="326">
        <v>1.4161775963255933E-2</v>
      </c>
      <c r="J45" s="326">
        <v>2.7297765481487022E-2</v>
      </c>
      <c r="K45" s="397"/>
    </row>
    <row r="46" spans="1:11" s="385" customFormat="1" ht="12" thickBot="1" x14ac:dyDescent="0.25">
      <c r="A46" s="330"/>
      <c r="B46" s="331" t="s">
        <v>0</v>
      </c>
      <c r="C46" s="333">
        <v>1.4169851775892608E-2</v>
      </c>
      <c r="D46" s="333">
        <v>2.2728907430051067E-2</v>
      </c>
      <c r="E46" s="333">
        <v>1.6918417707320721E-2</v>
      </c>
      <c r="F46" s="333">
        <v>1.5718018743737353E-2</v>
      </c>
      <c r="G46" s="333">
        <v>1.0626882204299214E-2</v>
      </c>
      <c r="H46" s="333">
        <v>7.9293728423475256E-3</v>
      </c>
      <c r="I46" s="333">
        <v>5.3095293299327611E-3</v>
      </c>
      <c r="J46" s="333">
        <v>1.3542792306029824E-2</v>
      </c>
      <c r="K46" s="398"/>
    </row>
  </sheetData>
  <sheetProtection algorithmName="SHA-512" hashValue="Yr+am2mwmpdrnvJCuezJ+LmjulU9bHe1HMSt9tbkoMbbI5Nq3/ii72SrucLcFETd3t0gCog/U1/Hqhsa/byxng==" saltValue="UJv8G3IErwLdq6oK55cd9Q==" spinCount="100000" sheet="1" objects="1" scenarios="1"/>
  <mergeCells count="8">
    <mergeCell ref="B9:B10"/>
    <mergeCell ref="C9:I9"/>
    <mergeCell ref="A1:K1"/>
    <mergeCell ref="A2:K2"/>
    <mergeCell ref="A3:K3"/>
    <mergeCell ref="A4:K4"/>
    <mergeCell ref="A5:K5"/>
    <mergeCell ref="A6:K6"/>
  </mergeCells>
  <printOptions horizontalCentered="1"/>
  <pageMargins left="0" right="0" top="1" bottom="0.5" header="0.5" footer="0.35"/>
  <pageSetup paperSize="9" scale="88" orientation="portrait" horizontalDpi="300" verticalDpi="300" r:id="rId1"/>
  <headerFooter alignWithMargins="0">
    <oddFooter>&amp;C&amp;8Page &amp;P of &amp;N</oddFooter>
  </headerFooter>
  <picture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4AB8C-A91F-4FB2-9B3D-4C530BC2EAB3}">
  <sheetPr>
    <tabColor rgb="FF0000FF"/>
    <pageSetUpPr fitToPage="1"/>
  </sheetPr>
  <dimension ref="A1:GY46"/>
  <sheetViews>
    <sheetView showGridLines="0" zoomScaleNormal="100" workbookViewId="0">
      <pane xSplit="2" ySplit="8" topLeftCell="C9" activePane="bottomRight" state="frozen"/>
      <selection activeCell="A9" sqref="A9:A12"/>
      <selection pane="topRight" activeCell="A9" sqref="A9:A12"/>
      <selection pane="bottomLeft" activeCell="A9" sqref="A9:A12"/>
      <selection pane="bottomRight" activeCell="A9" sqref="A9:A12"/>
    </sheetView>
  </sheetViews>
  <sheetFormatPr defaultRowHeight="11.25" x14ac:dyDescent="0.2"/>
  <cols>
    <col min="1" max="1" width="47" style="337" customWidth="1"/>
    <col min="2" max="2" width="10.5703125" style="338" customWidth="1"/>
    <col min="3" max="4" width="8.42578125" style="219" customWidth="1"/>
    <col min="5" max="5" width="7" style="219" bestFit="1" customWidth="1"/>
    <col min="6" max="6" width="7.42578125" style="219" bestFit="1" customWidth="1"/>
    <col min="7" max="7" width="7.5703125" style="219" bestFit="1" customWidth="1"/>
    <col min="8" max="8" width="7.42578125" style="219" bestFit="1" customWidth="1"/>
    <col min="9" max="9" width="9.5703125" style="263" bestFit="1" customWidth="1"/>
    <col min="10" max="10" width="11.85546875" style="263" customWidth="1"/>
    <col min="11" max="11" width="9.42578125" style="394" customWidth="1"/>
    <col min="12" max="213" width="8.7109375" style="338"/>
    <col min="214" max="214" width="19.140625" style="338" customWidth="1"/>
    <col min="215" max="215" width="10.5703125" style="338" customWidth="1"/>
    <col min="216" max="220" width="8.5703125" style="338" customWidth="1"/>
    <col min="221" max="221" width="9.85546875" style="338" customWidth="1"/>
    <col min="222" max="222" width="12.42578125" style="338" customWidth="1"/>
    <col min="223" max="223" width="8.85546875" style="338" customWidth="1"/>
    <col min="224" max="224" width="15.5703125" style="338" customWidth="1"/>
    <col min="225" max="233" width="8.7109375" style="338"/>
    <col min="234" max="234" width="14.5703125" style="338" customWidth="1"/>
    <col min="235" max="469" width="8.7109375" style="338"/>
    <col min="470" max="470" width="19.140625" style="338" customWidth="1"/>
    <col min="471" max="471" width="10.5703125" style="338" customWidth="1"/>
    <col min="472" max="476" width="8.5703125" style="338" customWidth="1"/>
    <col min="477" max="477" width="9.85546875" style="338" customWidth="1"/>
    <col min="478" max="478" width="12.42578125" style="338" customWidth="1"/>
    <col min="479" max="479" width="8.85546875" style="338" customWidth="1"/>
    <col min="480" max="480" width="15.5703125" style="338" customWidth="1"/>
    <col min="481" max="489" width="8.7109375" style="338"/>
    <col min="490" max="490" width="14.5703125" style="338" customWidth="1"/>
    <col min="491" max="725" width="8.7109375" style="338"/>
    <col min="726" max="726" width="19.140625" style="338" customWidth="1"/>
    <col min="727" max="727" width="10.5703125" style="338" customWidth="1"/>
    <col min="728" max="732" width="8.5703125" style="338" customWidth="1"/>
    <col min="733" max="733" width="9.85546875" style="338" customWidth="1"/>
    <col min="734" max="734" width="12.42578125" style="338" customWidth="1"/>
    <col min="735" max="735" width="8.85546875" style="338" customWidth="1"/>
    <col min="736" max="736" width="15.5703125" style="338" customWidth="1"/>
    <col min="737" max="745" width="8.7109375" style="338"/>
    <col min="746" max="746" width="14.5703125" style="338" customWidth="1"/>
    <col min="747" max="981" width="8.7109375" style="338"/>
    <col min="982" max="982" width="19.140625" style="338" customWidth="1"/>
    <col min="983" max="983" width="10.5703125" style="338" customWidth="1"/>
    <col min="984" max="988" width="8.5703125" style="338" customWidth="1"/>
    <col min="989" max="989" width="9.85546875" style="338" customWidth="1"/>
    <col min="990" max="990" width="12.42578125" style="338" customWidth="1"/>
    <col min="991" max="991" width="8.85546875" style="338" customWidth="1"/>
    <col min="992" max="992" width="15.5703125" style="338" customWidth="1"/>
    <col min="993" max="1001" width="8.7109375" style="338"/>
    <col min="1002" max="1002" width="14.5703125" style="338" customWidth="1"/>
    <col min="1003" max="1237" width="8.7109375" style="338"/>
    <col min="1238" max="1238" width="19.140625" style="338" customWidth="1"/>
    <col min="1239" max="1239" width="10.5703125" style="338" customWidth="1"/>
    <col min="1240" max="1244" width="8.5703125" style="338" customWidth="1"/>
    <col min="1245" max="1245" width="9.85546875" style="338" customWidth="1"/>
    <col min="1246" max="1246" width="12.42578125" style="338" customWidth="1"/>
    <col min="1247" max="1247" width="8.85546875" style="338" customWidth="1"/>
    <col min="1248" max="1248" width="15.5703125" style="338" customWidth="1"/>
    <col min="1249" max="1257" width="8.7109375" style="338"/>
    <col min="1258" max="1258" width="14.5703125" style="338" customWidth="1"/>
    <col min="1259" max="1493" width="8.7109375" style="338"/>
    <col min="1494" max="1494" width="19.140625" style="338" customWidth="1"/>
    <col min="1495" max="1495" width="10.5703125" style="338" customWidth="1"/>
    <col min="1496" max="1500" width="8.5703125" style="338" customWidth="1"/>
    <col min="1501" max="1501" width="9.85546875" style="338" customWidth="1"/>
    <col min="1502" max="1502" width="12.42578125" style="338" customWidth="1"/>
    <col min="1503" max="1503" width="8.85546875" style="338" customWidth="1"/>
    <col min="1504" max="1504" width="15.5703125" style="338" customWidth="1"/>
    <col min="1505" max="1513" width="8.7109375" style="338"/>
    <col min="1514" max="1514" width="14.5703125" style="338" customWidth="1"/>
    <col min="1515" max="1749" width="8.7109375" style="338"/>
    <col min="1750" max="1750" width="19.140625" style="338" customWidth="1"/>
    <col min="1751" max="1751" width="10.5703125" style="338" customWidth="1"/>
    <col min="1752" max="1756" width="8.5703125" style="338" customWidth="1"/>
    <col min="1757" max="1757" width="9.85546875" style="338" customWidth="1"/>
    <col min="1758" max="1758" width="12.42578125" style="338" customWidth="1"/>
    <col min="1759" max="1759" width="8.85546875" style="338" customWidth="1"/>
    <col min="1760" max="1760" width="15.5703125" style="338" customWidth="1"/>
    <col min="1761" max="1769" width="8.7109375" style="338"/>
    <col min="1770" max="1770" width="14.5703125" style="338" customWidth="1"/>
    <col min="1771" max="2005" width="8.7109375" style="338"/>
    <col min="2006" max="2006" width="19.140625" style="338" customWidth="1"/>
    <col min="2007" max="2007" width="10.5703125" style="338" customWidth="1"/>
    <col min="2008" max="2012" width="8.5703125" style="338" customWidth="1"/>
    <col min="2013" max="2013" width="9.85546875" style="338" customWidth="1"/>
    <col min="2014" max="2014" width="12.42578125" style="338" customWidth="1"/>
    <col min="2015" max="2015" width="8.85546875" style="338" customWidth="1"/>
    <col min="2016" max="2016" width="15.5703125" style="338" customWidth="1"/>
    <col min="2017" max="2025" width="8.7109375" style="338"/>
    <col min="2026" max="2026" width="14.5703125" style="338" customWidth="1"/>
    <col min="2027" max="2261" width="8.7109375" style="338"/>
    <col min="2262" max="2262" width="19.140625" style="338" customWidth="1"/>
    <col min="2263" max="2263" width="10.5703125" style="338" customWidth="1"/>
    <col min="2264" max="2268" width="8.5703125" style="338" customWidth="1"/>
    <col min="2269" max="2269" width="9.85546875" style="338" customWidth="1"/>
    <col min="2270" max="2270" width="12.42578125" style="338" customWidth="1"/>
    <col min="2271" max="2271" width="8.85546875" style="338" customWidth="1"/>
    <col min="2272" max="2272" width="15.5703125" style="338" customWidth="1"/>
    <col min="2273" max="2281" width="8.7109375" style="338"/>
    <col min="2282" max="2282" width="14.5703125" style="338" customWidth="1"/>
    <col min="2283" max="2517" width="8.7109375" style="338"/>
    <col min="2518" max="2518" width="19.140625" style="338" customWidth="1"/>
    <col min="2519" max="2519" width="10.5703125" style="338" customWidth="1"/>
    <col min="2520" max="2524" width="8.5703125" style="338" customWidth="1"/>
    <col min="2525" max="2525" width="9.85546875" style="338" customWidth="1"/>
    <col min="2526" max="2526" width="12.42578125" style="338" customWidth="1"/>
    <col min="2527" max="2527" width="8.85546875" style="338" customWidth="1"/>
    <col min="2528" max="2528" width="15.5703125" style="338" customWidth="1"/>
    <col min="2529" max="2537" width="8.7109375" style="338"/>
    <col min="2538" max="2538" width="14.5703125" style="338" customWidth="1"/>
    <col min="2539" max="2773" width="8.7109375" style="338"/>
    <col min="2774" max="2774" width="19.140625" style="338" customWidth="1"/>
    <col min="2775" max="2775" width="10.5703125" style="338" customWidth="1"/>
    <col min="2776" max="2780" width="8.5703125" style="338" customWidth="1"/>
    <col min="2781" max="2781" width="9.85546875" style="338" customWidth="1"/>
    <col min="2782" max="2782" width="12.42578125" style="338" customWidth="1"/>
    <col min="2783" max="2783" width="8.85546875" style="338" customWidth="1"/>
    <col min="2784" max="2784" width="15.5703125" style="338" customWidth="1"/>
    <col min="2785" max="2793" width="8.7109375" style="338"/>
    <col min="2794" max="2794" width="14.5703125" style="338" customWidth="1"/>
    <col min="2795" max="3029" width="8.7109375" style="338"/>
    <col min="3030" max="3030" width="19.140625" style="338" customWidth="1"/>
    <col min="3031" max="3031" width="10.5703125" style="338" customWidth="1"/>
    <col min="3032" max="3036" width="8.5703125" style="338" customWidth="1"/>
    <col min="3037" max="3037" width="9.85546875" style="338" customWidth="1"/>
    <col min="3038" max="3038" width="12.42578125" style="338" customWidth="1"/>
    <col min="3039" max="3039" width="8.85546875" style="338" customWidth="1"/>
    <col min="3040" max="3040" width="15.5703125" style="338" customWidth="1"/>
    <col min="3041" max="3049" width="8.7109375" style="338"/>
    <col min="3050" max="3050" width="14.5703125" style="338" customWidth="1"/>
    <col min="3051" max="3285" width="8.7109375" style="338"/>
    <col min="3286" max="3286" width="19.140625" style="338" customWidth="1"/>
    <col min="3287" max="3287" width="10.5703125" style="338" customWidth="1"/>
    <col min="3288" max="3292" width="8.5703125" style="338" customWidth="1"/>
    <col min="3293" max="3293" width="9.85546875" style="338" customWidth="1"/>
    <col min="3294" max="3294" width="12.42578125" style="338" customWidth="1"/>
    <col min="3295" max="3295" width="8.85546875" style="338" customWidth="1"/>
    <col min="3296" max="3296" width="15.5703125" style="338" customWidth="1"/>
    <col min="3297" max="3305" width="8.7109375" style="338"/>
    <col min="3306" max="3306" width="14.5703125" style="338" customWidth="1"/>
    <col min="3307" max="3541" width="8.7109375" style="338"/>
    <col min="3542" max="3542" width="19.140625" style="338" customWidth="1"/>
    <col min="3543" max="3543" width="10.5703125" style="338" customWidth="1"/>
    <col min="3544" max="3548" width="8.5703125" style="338" customWidth="1"/>
    <col min="3549" max="3549" width="9.85546875" style="338" customWidth="1"/>
    <col min="3550" max="3550" width="12.42578125" style="338" customWidth="1"/>
    <col min="3551" max="3551" width="8.85546875" style="338" customWidth="1"/>
    <col min="3552" max="3552" width="15.5703125" style="338" customWidth="1"/>
    <col min="3553" max="3561" width="8.7109375" style="338"/>
    <col min="3562" max="3562" width="14.5703125" style="338" customWidth="1"/>
    <col min="3563" max="3797" width="8.7109375" style="338"/>
    <col min="3798" max="3798" width="19.140625" style="338" customWidth="1"/>
    <col min="3799" max="3799" width="10.5703125" style="338" customWidth="1"/>
    <col min="3800" max="3804" width="8.5703125" style="338" customWidth="1"/>
    <col min="3805" max="3805" width="9.85546875" style="338" customWidth="1"/>
    <col min="3806" max="3806" width="12.42578125" style="338" customWidth="1"/>
    <col min="3807" max="3807" width="8.85546875" style="338" customWidth="1"/>
    <col min="3808" max="3808" width="15.5703125" style="338" customWidth="1"/>
    <col min="3809" max="3817" width="8.7109375" style="338"/>
    <col min="3818" max="3818" width="14.5703125" style="338" customWidth="1"/>
    <col min="3819" max="4053" width="8.7109375" style="338"/>
    <col min="4054" max="4054" width="19.140625" style="338" customWidth="1"/>
    <col min="4055" max="4055" width="10.5703125" style="338" customWidth="1"/>
    <col min="4056" max="4060" width="8.5703125" style="338" customWidth="1"/>
    <col min="4061" max="4061" width="9.85546875" style="338" customWidth="1"/>
    <col min="4062" max="4062" width="12.42578125" style="338" customWidth="1"/>
    <col min="4063" max="4063" width="8.85546875" style="338" customWidth="1"/>
    <col min="4064" max="4064" width="15.5703125" style="338" customWidth="1"/>
    <col min="4065" max="4073" width="8.7109375" style="338"/>
    <col min="4074" max="4074" width="14.5703125" style="338" customWidth="1"/>
    <col min="4075" max="4309" width="8.7109375" style="338"/>
    <col min="4310" max="4310" width="19.140625" style="338" customWidth="1"/>
    <col min="4311" max="4311" width="10.5703125" style="338" customWidth="1"/>
    <col min="4312" max="4316" width="8.5703125" style="338" customWidth="1"/>
    <col min="4317" max="4317" width="9.85546875" style="338" customWidth="1"/>
    <col min="4318" max="4318" width="12.42578125" style="338" customWidth="1"/>
    <col min="4319" max="4319" width="8.85546875" style="338" customWidth="1"/>
    <col min="4320" max="4320" width="15.5703125" style="338" customWidth="1"/>
    <col min="4321" max="4329" width="8.7109375" style="338"/>
    <col min="4330" max="4330" width="14.5703125" style="338" customWidth="1"/>
    <col min="4331" max="4565" width="8.7109375" style="338"/>
    <col min="4566" max="4566" width="19.140625" style="338" customWidth="1"/>
    <col min="4567" max="4567" width="10.5703125" style="338" customWidth="1"/>
    <col min="4568" max="4572" width="8.5703125" style="338" customWidth="1"/>
    <col min="4573" max="4573" width="9.85546875" style="338" customWidth="1"/>
    <col min="4574" max="4574" width="12.42578125" style="338" customWidth="1"/>
    <col min="4575" max="4575" width="8.85546875" style="338" customWidth="1"/>
    <col min="4576" max="4576" width="15.5703125" style="338" customWidth="1"/>
    <col min="4577" max="4585" width="8.7109375" style="338"/>
    <col min="4586" max="4586" width="14.5703125" style="338" customWidth="1"/>
    <col min="4587" max="4821" width="8.7109375" style="338"/>
    <col min="4822" max="4822" width="19.140625" style="338" customWidth="1"/>
    <col min="4823" max="4823" width="10.5703125" style="338" customWidth="1"/>
    <col min="4824" max="4828" width="8.5703125" style="338" customWidth="1"/>
    <col min="4829" max="4829" width="9.85546875" style="338" customWidth="1"/>
    <col min="4830" max="4830" width="12.42578125" style="338" customWidth="1"/>
    <col min="4831" max="4831" width="8.85546875" style="338" customWidth="1"/>
    <col min="4832" max="4832" width="15.5703125" style="338" customWidth="1"/>
    <col min="4833" max="4841" width="8.7109375" style="338"/>
    <col min="4842" max="4842" width="14.5703125" style="338" customWidth="1"/>
    <col min="4843" max="5077" width="8.7109375" style="338"/>
    <col min="5078" max="5078" width="19.140625" style="338" customWidth="1"/>
    <col min="5079" max="5079" width="10.5703125" style="338" customWidth="1"/>
    <col min="5080" max="5084" width="8.5703125" style="338" customWidth="1"/>
    <col min="5085" max="5085" width="9.85546875" style="338" customWidth="1"/>
    <col min="5086" max="5086" width="12.42578125" style="338" customWidth="1"/>
    <col min="5087" max="5087" width="8.85546875" style="338" customWidth="1"/>
    <col min="5088" max="5088" width="15.5703125" style="338" customWidth="1"/>
    <col min="5089" max="5097" width="8.7109375" style="338"/>
    <col min="5098" max="5098" width="14.5703125" style="338" customWidth="1"/>
    <col min="5099" max="5333" width="8.7109375" style="338"/>
    <col min="5334" max="5334" width="19.140625" style="338" customWidth="1"/>
    <col min="5335" max="5335" width="10.5703125" style="338" customWidth="1"/>
    <col min="5336" max="5340" width="8.5703125" style="338" customWidth="1"/>
    <col min="5341" max="5341" width="9.85546875" style="338" customWidth="1"/>
    <col min="5342" max="5342" width="12.42578125" style="338" customWidth="1"/>
    <col min="5343" max="5343" width="8.85546875" style="338" customWidth="1"/>
    <col min="5344" max="5344" width="15.5703125" style="338" customWidth="1"/>
    <col min="5345" max="5353" width="8.7109375" style="338"/>
    <col min="5354" max="5354" width="14.5703125" style="338" customWidth="1"/>
    <col min="5355" max="5589" width="8.7109375" style="338"/>
    <col min="5590" max="5590" width="19.140625" style="338" customWidth="1"/>
    <col min="5591" max="5591" width="10.5703125" style="338" customWidth="1"/>
    <col min="5592" max="5596" width="8.5703125" style="338" customWidth="1"/>
    <col min="5597" max="5597" width="9.85546875" style="338" customWidth="1"/>
    <col min="5598" max="5598" width="12.42578125" style="338" customWidth="1"/>
    <col min="5599" max="5599" width="8.85546875" style="338" customWidth="1"/>
    <col min="5600" max="5600" width="15.5703125" style="338" customWidth="1"/>
    <col min="5601" max="5609" width="8.7109375" style="338"/>
    <col min="5610" max="5610" width="14.5703125" style="338" customWidth="1"/>
    <col min="5611" max="5845" width="8.7109375" style="338"/>
    <col min="5846" max="5846" width="19.140625" style="338" customWidth="1"/>
    <col min="5847" max="5847" width="10.5703125" style="338" customWidth="1"/>
    <col min="5848" max="5852" width="8.5703125" style="338" customWidth="1"/>
    <col min="5853" max="5853" width="9.85546875" style="338" customWidth="1"/>
    <col min="5854" max="5854" width="12.42578125" style="338" customWidth="1"/>
    <col min="5855" max="5855" width="8.85546875" style="338" customWidth="1"/>
    <col min="5856" max="5856" width="15.5703125" style="338" customWidth="1"/>
    <col min="5857" max="5865" width="8.7109375" style="338"/>
    <col min="5866" max="5866" width="14.5703125" style="338" customWidth="1"/>
    <col min="5867" max="6101" width="8.7109375" style="338"/>
    <col min="6102" max="6102" width="19.140625" style="338" customWidth="1"/>
    <col min="6103" max="6103" width="10.5703125" style="338" customWidth="1"/>
    <col min="6104" max="6108" width="8.5703125" style="338" customWidth="1"/>
    <col min="6109" max="6109" width="9.85546875" style="338" customWidth="1"/>
    <col min="6110" max="6110" width="12.42578125" style="338" customWidth="1"/>
    <col min="6111" max="6111" width="8.85546875" style="338" customWidth="1"/>
    <col min="6112" max="6112" width="15.5703125" style="338" customWidth="1"/>
    <col min="6113" max="6121" width="8.7109375" style="338"/>
    <col min="6122" max="6122" width="14.5703125" style="338" customWidth="1"/>
    <col min="6123" max="6357" width="8.7109375" style="338"/>
    <col min="6358" max="6358" width="19.140625" style="338" customWidth="1"/>
    <col min="6359" max="6359" width="10.5703125" style="338" customWidth="1"/>
    <col min="6360" max="6364" width="8.5703125" style="338" customWidth="1"/>
    <col min="6365" max="6365" width="9.85546875" style="338" customWidth="1"/>
    <col min="6366" max="6366" width="12.42578125" style="338" customWidth="1"/>
    <col min="6367" max="6367" width="8.85546875" style="338" customWidth="1"/>
    <col min="6368" max="6368" width="15.5703125" style="338" customWidth="1"/>
    <col min="6369" max="6377" width="8.7109375" style="338"/>
    <col min="6378" max="6378" width="14.5703125" style="338" customWidth="1"/>
    <col min="6379" max="6613" width="8.7109375" style="338"/>
    <col min="6614" max="6614" width="19.140625" style="338" customWidth="1"/>
    <col min="6615" max="6615" width="10.5703125" style="338" customWidth="1"/>
    <col min="6616" max="6620" width="8.5703125" style="338" customWidth="1"/>
    <col min="6621" max="6621" width="9.85546875" style="338" customWidth="1"/>
    <col min="6622" max="6622" width="12.42578125" style="338" customWidth="1"/>
    <col min="6623" max="6623" width="8.85546875" style="338" customWidth="1"/>
    <col min="6624" max="6624" width="15.5703125" style="338" customWidth="1"/>
    <col min="6625" max="6633" width="8.7109375" style="338"/>
    <col min="6634" max="6634" width="14.5703125" style="338" customWidth="1"/>
    <col min="6635" max="6869" width="8.7109375" style="338"/>
    <col min="6870" max="6870" width="19.140625" style="338" customWidth="1"/>
    <col min="6871" max="6871" width="10.5703125" style="338" customWidth="1"/>
    <col min="6872" max="6876" width="8.5703125" style="338" customWidth="1"/>
    <col min="6877" max="6877" width="9.85546875" style="338" customWidth="1"/>
    <col min="6878" max="6878" width="12.42578125" style="338" customWidth="1"/>
    <col min="6879" max="6879" width="8.85546875" style="338" customWidth="1"/>
    <col min="6880" max="6880" width="15.5703125" style="338" customWidth="1"/>
    <col min="6881" max="6889" width="8.7109375" style="338"/>
    <col min="6890" max="6890" width="14.5703125" style="338" customWidth="1"/>
    <col min="6891" max="7125" width="8.7109375" style="338"/>
    <col min="7126" max="7126" width="19.140625" style="338" customWidth="1"/>
    <col min="7127" max="7127" width="10.5703125" style="338" customWidth="1"/>
    <col min="7128" max="7132" width="8.5703125" style="338" customWidth="1"/>
    <col min="7133" max="7133" width="9.85546875" style="338" customWidth="1"/>
    <col min="7134" max="7134" width="12.42578125" style="338" customWidth="1"/>
    <col min="7135" max="7135" width="8.85546875" style="338" customWidth="1"/>
    <col min="7136" max="7136" width="15.5703125" style="338" customWidth="1"/>
    <col min="7137" max="7145" width="8.7109375" style="338"/>
    <col min="7146" max="7146" width="14.5703125" style="338" customWidth="1"/>
    <col min="7147" max="7381" width="8.7109375" style="338"/>
    <col min="7382" max="7382" width="19.140625" style="338" customWidth="1"/>
    <col min="7383" max="7383" width="10.5703125" style="338" customWidth="1"/>
    <col min="7384" max="7388" width="8.5703125" style="338" customWidth="1"/>
    <col min="7389" max="7389" width="9.85546875" style="338" customWidth="1"/>
    <col min="7390" max="7390" width="12.42578125" style="338" customWidth="1"/>
    <col min="7391" max="7391" width="8.85546875" style="338" customWidth="1"/>
    <col min="7392" max="7392" width="15.5703125" style="338" customWidth="1"/>
    <col min="7393" max="7401" width="8.7109375" style="338"/>
    <col min="7402" max="7402" width="14.5703125" style="338" customWidth="1"/>
    <col min="7403" max="7637" width="8.7109375" style="338"/>
    <col min="7638" max="7638" width="19.140625" style="338" customWidth="1"/>
    <col min="7639" max="7639" width="10.5703125" style="338" customWidth="1"/>
    <col min="7640" max="7644" width="8.5703125" style="338" customWidth="1"/>
    <col min="7645" max="7645" width="9.85546875" style="338" customWidth="1"/>
    <col min="7646" max="7646" width="12.42578125" style="338" customWidth="1"/>
    <col min="7647" max="7647" width="8.85546875" style="338" customWidth="1"/>
    <col min="7648" max="7648" width="15.5703125" style="338" customWidth="1"/>
    <col min="7649" max="7657" width="8.7109375" style="338"/>
    <col min="7658" max="7658" width="14.5703125" style="338" customWidth="1"/>
    <col min="7659" max="7893" width="8.7109375" style="338"/>
    <col min="7894" max="7894" width="19.140625" style="338" customWidth="1"/>
    <col min="7895" max="7895" width="10.5703125" style="338" customWidth="1"/>
    <col min="7896" max="7900" width="8.5703125" style="338" customWidth="1"/>
    <col min="7901" max="7901" width="9.85546875" style="338" customWidth="1"/>
    <col min="7902" max="7902" width="12.42578125" style="338" customWidth="1"/>
    <col min="7903" max="7903" width="8.85546875" style="338" customWidth="1"/>
    <col min="7904" max="7904" width="15.5703125" style="338" customWidth="1"/>
    <col min="7905" max="7913" width="8.7109375" style="338"/>
    <col min="7914" max="7914" width="14.5703125" style="338" customWidth="1"/>
    <col min="7915" max="8149" width="8.7109375" style="338"/>
    <col min="8150" max="8150" width="19.140625" style="338" customWidth="1"/>
    <col min="8151" max="8151" width="10.5703125" style="338" customWidth="1"/>
    <col min="8152" max="8156" width="8.5703125" style="338" customWidth="1"/>
    <col min="8157" max="8157" width="9.85546875" style="338" customWidth="1"/>
    <col min="8158" max="8158" width="12.42578125" style="338" customWidth="1"/>
    <col min="8159" max="8159" width="8.85546875" style="338" customWidth="1"/>
    <col min="8160" max="8160" width="15.5703125" style="338" customWidth="1"/>
    <col min="8161" max="8169" width="8.7109375" style="338"/>
    <col min="8170" max="8170" width="14.5703125" style="338" customWidth="1"/>
    <col min="8171" max="8405" width="8.7109375" style="338"/>
    <col min="8406" max="8406" width="19.140625" style="338" customWidth="1"/>
    <col min="8407" max="8407" width="10.5703125" style="338" customWidth="1"/>
    <col min="8408" max="8412" width="8.5703125" style="338" customWidth="1"/>
    <col min="8413" max="8413" width="9.85546875" style="338" customWidth="1"/>
    <col min="8414" max="8414" width="12.42578125" style="338" customWidth="1"/>
    <col min="8415" max="8415" width="8.85546875" style="338" customWidth="1"/>
    <col min="8416" max="8416" width="15.5703125" style="338" customWidth="1"/>
    <col min="8417" max="8425" width="8.7109375" style="338"/>
    <col min="8426" max="8426" width="14.5703125" style="338" customWidth="1"/>
    <col min="8427" max="8661" width="8.7109375" style="338"/>
    <col min="8662" max="8662" width="19.140625" style="338" customWidth="1"/>
    <col min="8663" max="8663" width="10.5703125" style="338" customWidth="1"/>
    <col min="8664" max="8668" width="8.5703125" style="338" customWidth="1"/>
    <col min="8669" max="8669" width="9.85546875" style="338" customWidth="1"/>
    <col min="8670" max="8670" width="12.42578125" style="338" customWidth="1"/>
    <col min="8671" max="8671" width="8.85546875" style="338" customWidth="1"/>
    <col min="8672" max="8672" width="15.5703125" style="338" customWidth="1"/>
    <col min="8673" max="8681" width="8.7109375" style="338"/>
    <col min="8682" max="8682" width="14.5703125" style="338" customWidth="1"/>
    <col min="8683" max="8917" width="8.7109375" style="338"/>
    <col min="8918" max="8918" width="19.140625" style="338" customWidth="1"/>
    <col min="8919" max="8919" width="10.5703125" style="338" customWidth="1"/>
    <col min="8920" max="8924" width="8.5703125" style="338" customWidth="1"/>
    <col min="8925" max="8925" width="9.85546875" style="338" customWidth="1"/>
    <col min="8926" max="8926" width="12.42578125" style="338" customWidth="1"/>
    <col min="8927" max="8927" width="8.85546875" style="338" customWidth="1"/>
    <col min="8928" max="8928" width="15.5703125" style="338" customWidth="1"/>
    <col min="8929" max="8937" width="8.7109375" style="338"/>
    <col min="8938" max="8938" width="14.5703125" style="338" customWidth="1"/>
    <col min="8939" max="9173" width="8.7109375" style="338"/>
    <col min="9174" max="9174" width="19.140625" style="338" customWidth="1"/>
    <col min="9175" max="9175" width="10.5703125" style="338" customWidth="1"/>
    <col min="9176" max="9180" width="8.5703125" style="338" customWidth="1"/>
    <col min="9181" max="9181" width="9.85546875" style="338" customWidth="1"/>
    <col min="9182" max="9182" width="12.42578125" style="338" customWidth="1"/>
    <col min="9183" max="9183" width="8.85546875" style="338" customWidth="1"/>
    <col min="9184" max="9184" width="15.5703125" style="338" customWidth="1"/>
    <col min="9185" max="9193" width="8.7109375" style="338"/>
    <col min="9194" max="9194" width="14.5703125" style="338" customWidth="1"/>
    <col min="9195" max="9429" width="8.7109375" style="338"/>
    <col min="9430" max="9430" width="19.140625" style="338" customWidth="1"/>
    <col min="9431" max="9431" width="10.5703125" style="338" customWidth="1"/>
    <col min="9432" max="9436" width="8.5703125" style="338" customWidth="1"/>
    <col min="9437" max="9437" width="9.85546875" style="338" customWidth="1"/>
    <col min="9438" max="9438" width="12.42578125" style="338" customWidth="1"/>
    <col min="9439" max="9439" width="8.85546875" style="338" customWidth="1"/>
    <col min="9440" max="9440" width="15.5703125" style="338" customWidth="1"/>
    <col min="9441" max="9449" width="8.7109375" style="338"/>
    <col min="9450" max="9450" width="14.5703125" style="338" customWidth="1"/>
    <col min="9451" max="9685" width="8.7109375" style="338"/>
    <col min="9686" max="9686" width="19.140625" style="338" customWidth="1"/>
    <col min="9687" max="9687" width="10.5703125" style="338" customWidth="1"/>
    <col min="9688" max="9692" width="8.5703125" style="338" customWidth="1"/>
    <col min="9693" max="9693" width="9.85546875" style="338" customWidth="1"/>
    <col min="9694" max="9694" width="12.42578125" style="338" customWidth="1"/>
    <col min="9695" max="9695" width="8.85546875" style="338" customWidth="1"/>
    <col min="9696" max="9696" width="15.5703125" style="338" customWidth="1"/>
    <col min="9697" max="9705" width="8.7109375" style="338"/>
    <col min="9706" max="9706" width="14.5703125" style="338" customWidth="1"/>
    <col min="9707" max="9941" width="8.7109375" style="338"/>
    <col min="9942" max="9942" width="19.140625" style="338" customWidth="1"/>
    <col min="9943" max="9943" width="10.5703125" style="338" customWidth="1"/>
    <col min="9944" max="9948" width="8.5703125" style="338" customWidth="1"/>
    <col min="9949" max="9949" width="9.85546875" style="338" customWidth="1"/>
    <col min="9950" max="9950" width="12.42578125" style="338" customWidth="1"/>
    <col min="9951" max="9951" width="8.85546875" style="338" customWidth="1"/>
    <col min="9952" max="9952" width="15.5703125" style="338" customWidth="1"/>
    <col min="9953" max="9961" width="8.7109375" style="338"/>
    <col min="9962" max="9962" width="14.5703125" style="338" customWidth="1"/>
    <col min="9963" max="10197" width="8.7109375" style="338"/>
    <col min="10198" max="10198" width="19.140625" style="338" customWidth="1"/>
    <col min="10199" max="10199" width="10.5703125" style="338" customWidth="1"/>
    <col min="10200" max="10204" width="8.5703125" style="338" customWidth="1"/>
    <col min="10205" max="10205" width="9.85546875" style="338" customWidth="1"/>
    <col min="10206" max="10206" width="12.42578125" style="338" customWidth="1"/>
    <col min="10207" max="10207" width="8.85546875" style="338" customWidth="1"/>
    <col min="10208" max="10208" width="15.5703125" style="338" customWidth="1"/>
    <col min="10209" max="10217" width="8.7109375" style="338"/>
    <col min="10218" max="10218" width="14.5703125" style="338" customWidth="1"/>
    <col min="10219" max="10453" width="8.7109375" style="338"/>
    <col min="10454" max="10454" width="19.140625" style="338" customWidth="1"/>
    <col min="10455" max="10455" width="10.5703125" style="338" customWidth="1"/>
    <col min="10456" max="10460" width="8.5703125" style="338" customWidth="1"/>
    <col min="10461" max="10461" width="9.85546875" style="338" customWidth="1"/>
    <col min="10462" max="10462" width="12.42578125" style="338" customWidth="1"/>
    <col min="10463" max="10463" width="8.85546875" style="338" customWidth="1"/>
    <col min="10464" max="10464" width="15.5703125" style="338" customWidth="1"/>
    <col min="10465" max="10473" width="8.7109375" style="338"/>
    <col min="10474" max="10474" width="14.5703125" style="338" customWidth="1"/>
    <col min="10475" max="10709" width="8.7109375" style="338"/>
    <col min="10710" max="10710" width="19.140625" style="338" customWidth="1"/>
    <col min="10711" max="10711" width="10.5703125" style="338" customWidth="1"/>
    <col min="10712" max="10716" width="8.5703125" style="338" customWidth="1"/>
    <col min="10717" max="10717" width="9.85546875" style="338" customWidth="1"/>
    <col min="10718" max="10718" width="12.42578125" style="338" customWidth="1"/>
    <col min="10719" max="10719" width="8.85546875" style="338" customWidth="1"/>
    <col min="10720" max="10720" width="15.5703125" style="338" customWidth="1"/>
    <col min="10721" max="10729" width="8.7109375" style="338"/>
    <col min="10730" max="10730" width="14.5703125" style="338" customWidth="1"/>
    <col min="10731" max="10965" width="8.7109375" style="338"/>
    <col min="10966" max="10966" width="19.140625" style="338" customWidth="1"/>
    <col min="10967" max="10967" width="10.5703125" style="338" customWidth="1"/>
    <col min="10968" max="10972" width="8.5703125" style="338" customWidth="1"/>
    <col min="10973" max="10973" width="9.85546875" style="338" customWidth="1"/>
    <col min="10974" max="10974" width="12.42578125" style="338" customWidth="1"/>
    <col min="10975" max="10975" width="8.85546875" style="338" customWidth="1"/>
    <col min="10976" max="10976" width="15.5703125" style="338" customWidth="1"/>
    <col min="10977" max="10985" width="8.7109375" style="338"/>
    <col min="10986" max="10986" width="14.5703125" style="338" customWidth="1"/>
    <col min="10987" max="11221" width="8.7109375" style="338"/>
    <col min="11222" max="11222" width="19.140625" style="338" customWidth="1"/>
    <col min="11223" max="11223" width="10.5703125" style="338" customWidth="1"/>
    <col min="11224" max="11228" width="8.5703125" style="338" customWidth="1"/>
    <col min="11229" max="11229" width="9.85546875" style="338" customWidth="1"/>
    <col min="11230" max="11230" width="12.42578125" style="338" customWidth="1"/>
    <col min="11231" max="11231" width="8.85546875" style="338" customWidth="1"/>
    <col min="11232" max="11232" width="15.5703125" style="338" customWidth="1"/>
    <col min="11233" max="11241" width="8.7109375" style="338"/>
    <col min="11242" max="11242" width="14.5703125" style="338" customWidth="1"/>
    <col min="11243" max="11477" width="8.7109375" style="338"/>
    <col min="11478" max="11478" width="19.140625" style="338" customWidth="1"/>
    <col min="11479" max="11479" width="10.5703125" style="338" customWidth="1"/>
    <col min="11480" max="11484" width="8.5703125" style="338" customWidth="1"/>
    <col min="11485" max="11485" width="9.85546875" style="338" customWidth="1"/>
    <col min="11486" max="11486" width="12.42578125" style="338" customWidth="1"/>
    <col min="11487" max="11487" width="8.85546875" style="338" customWidth="1"/>
    <col min="11488" max="11488" width="15.5703125" style="338" customWidth="1"/>
    <col min="11489" max="11497" width="8.7109375" style="338"/>
    <col min="11498" max="11498" width="14.5703125" style="338" customWidth="1"/>
    <col min="11499" max="11733" width="8.7109375" style="338"/>
    <col min="11734" max="11734" width="19.140625" style="338" customWidth="1"/>
    <col min="11735" max="11735" width="10.5703125" style="338" customWidth="1"/>
    <col min="11736" max="11740" width="8.5703125" style="338" customWidth="1"/>
    <col min="11741" max="11741" width="9.85546875" style="338" customWidth="1"/>
    <col min="11742" max="11742" width="12.42578125" style="338" customWidth="1"/>
    <col min="11743" max="11743" width="8.85546875" style="338" customWidth="1"/>
    <col min="11744" max="11744" width="15.5703125" style="338" customWidth="1"/>
    <col min="11745" max="11753" width="8.7109375" style="338"/>
    <col min="11754" max="11754" width="14.5703125" style="338" customWidth="1"/>
    <col min="11755" max="11989" width="8.7109375" style="338"/>
    <col min="11990" max="11990" width="19.140625" style="338" customWidth="1"/>
    <col min="11991" max="11991" width="10.5703125" style="338" customWidth="1"/>
    <col min="11992" max="11996" width="8.5703125" style="338" customWidth="1"/>
    <col min="11997" max="11997" width="9.85546875" style="338" customWidth="1"/>
    <col min="11998" max="11998" width="12.42578125" style="338" customWidth="1"/>
    <col min="11999" max="11999" width="8.85546875" style="338" customWidth="1"/>
    <col min="12000" max="12000" width="15.5703125" style="338" customWidth="1"/>
    <col min="12001" max="12009" width="8.7109375" style="338"/>
    <col min="12010" max="12010" width="14.5703125" style="338" customWidth="1"/>
    <col min="12011" max="12245" width="8.7109375" style="338"/>
    <col min="12246" max="12246" width="19.140625" style="338" customWidth="1"/>
    <col min="12247" max="12247" width="10.5703125" style="338" customWidth="1"/>
    <col min="12248" max="12252" width="8.5703125" style="338" customWidth="1"/>
    <col min="12253" max="12253" width="9.85546875" style="338" customWidth="1"/>
    <col min="12254" max="12254" width="12.42578125" style="338" customWidth="1"/>
    <col min="12255" max="12255" width="8.85546875" style="338" customWidth="1"/>
    <col min="12256" max="12256" width="15.5703125" style="338" customWidth="1"/>
    <col min="12257" max="12265" width="8.7109375" style="338"/>
    <col min="12266" max="12266" width="14.5703125" style="338" customWidth="1"/>
    <col min="12267" max="12501" width="8.7109375" style="338"/>
    <col min="12502" max="12502" width="19.140625" style="338" customWidth="1"/>
    <col min="12503" max="12503" width="10.5703125" style="338" customWidth="1"/>
    <col min="12504" max="12508" width="8.5703125" style="338" customWidth="1"/>
    <col min="12509" max="12509" width="9.85546875" style="338" customWidth="1"/>
    <col min="12510" max="12510" width="12.42578125" style="338" customWidth="1"/>
    <col min="12511" max="12511" width="8.85546875" style="338" customWidth="1"/>
    <col min="12512" max="12512" width="15.5703125" style="338" customWidth="1"/>
    <col min="12513" max="12521" width="8.7109375" style="338"/>
    <col min="12522" max="12522" width="14.5703125" style="338" customWidth="1"/>
    <col min="12523" max="12757" width="8.7109375" style="338"/>
    <col min="12758" max="12758" width="19.140625" style="338" customWidth="1"/>
    <col min="12759" max="12759" width="10.5703125" style="338" customWidth="1"/>
    <col min="12760" max="12764" width="8.5703125" style="338" customWidth="1"/>
    <col min="12765" max="12765" width="9.85546875" style="338" customWidth="1"/>
    <col min="12766" max="12766" width="12.42578125" style="338" customWidth="1"/>
    <col min="12767" max="12767" width="8.85546875" style="338" customWidth="1"/>
    <col min="12768" max="12768" width="15.5703125" style="338" customWidth="1"/>
    <col min="12769" max="12777" width="8.7109375" style="338"/>
    <col min="12778" max="12778" width="14.5703125" style="338" customWidth="1"/>
    <col min="12779" max="13013" width="8.7109375" style="338"/>
    <col min="13014" max="13014" width="19.140625" style="338" customWidth="1"/>
    <col min="13015" max="13015" width="10.5703125" style="338" customWidth="1"/>
    <col min="13016" max="13020" width="8.5703125" style="338" customWidth="1"/>
    <col min="13021" max="13021" width="9.85546875" style="338" customWidth="1"/>
    <col min="13022" max="13022" width="12.42578125" style="338" customWidth="1"/>
    <col min="13023" max="13023" width="8.85546875" style="338" customWidth="1"/>
    <col min="13024" max="13024" width="15.5703125" style="338" customWidth="1"/>
    <col min="13025" max="13033" width="8.7109375" style="338"/>
    <col min="13034" max="13034" width="14.5703125" style="338" customWidth="1"/>
    <col min="13035" max="13269" width="8.7109375" style="338"/>
    <col min="13270" max="13270" width="19.140625" style="338" customWidth="1"/>
    <col min="13271" max="13271" width="10.5703125" style="338" customWidth="1"/>
    <col min="13272" max="13276" width="8.5703125" style="338" customWidth="1"/>
    <col min="13277" max="13277" width="9.85546875" style="338" customWidth="1"/>
    <col min="13278" max="13278" width="12.42578125" style="338" customWidth="1"/>
    <col min="13279" max="13279" width="8.85546875" style="338" customWidth="1"/>
    <col min="13280" max="13280" width="15.5703125" style="338" customWidth="1"/>
    <col min="13281" max="13289" width="8.7109375" style="338"/>
    <col min="13290" max="13290" width="14.5703125" style="338" customWidth="1"/>
    <col min="13291" max="13525" width="8.7109375" style="338"/>
    <col min="13526" max="13526" width="19.140625" style="338" customWidth="1"/>
    <col min="13527" max="13527" width="10.5703125" style="338" customWidth="1"/>
    <col min="13528" max="13532" width="8.5703125" style="338" customWidth="1"/>
    <col min="13533" max="13533" width="9.85546875" style="338" customWidth="1"/>
    <col min="13534" max="13534" width="12.42578125" style="338" customWidth="1"/>
    <col min="13535" max="13535" width="8.85546875" style="338" customWidth="1"/>
    <col min="13536" max="13536" width="15.5703125" style="338" customWidth="1"/>
    <col min="13537" max="13545" width="8.7109375" style="338"/>
    <col min="13546" max="13546" width="14.5703125" style="338" customWidth="1"/>
    <col min="13547" max="13781" width="8.7109375" style="338"/>
    <col min="13782" max="13782" width="19.140625" style="338" customWidth="1"/>
    <col min="13783" max="13783" width="10.5703125" style="338" customWidth="1"/>
    <col min="13784" max="13788" width="8.5703125" style="338" customWidth="1"/>
    <col min="13789" max="13789" width="9.85546875" style="338" customWidth="1"/>
    <col min="13790" max="13790" width="12.42578125" style="338" customWidth="1"/>
    <col min="13791" max="13791" width="8.85546875" style="338" customWidth="1"/>
    <col min="13792" max="13792" width="15.5703125" style="338" customWidth="1"/>
    <col min="13793" max="13801" width="8.7109375" style="338"/>
    <col min="13802" max="13802" width="14.5703125" style="338" customWidth="1"/>
    <col min="13803" max="14037" width="8.7109375" style="338"/>
    <col min="14038" max="14038" width="19.140625" style="338" customWidth="1"/>
    <col min="14039" max="14039" width="10.5703125" style="338" customWidth="1"/>
    <col min="14040" max="14044" width="8.5703125" style="338" customWidth="1"/>
    <col min="14045" max="14045" width="9.85546875" style="338" customWidth="1"/>
    <col min="14046" max="14046" width="12.42578125" style="338" customWidth="1"/>
    <col min="14047" max="14047" width="8.85546875" style="338" customWidth="1"/>
    <col min="14048" max="14048" width="15.5703125" style="338" customWidth="1"/>
    <col min="14049" max="14057" width="8.7109375" style="338"/>
    <col min="14058" max="14058" width="14.5703125" style="338" customWidth="1"/>
    <col min="14059" max="14293" width="8.7109375" style="338"/>
    <col min="14294" max="14294" width="19.140625" style="338" customWidth="1"/>
    <col min="14295" max="14295" width="10.5703125" style="338" customWidth="1"/>
    <col min="14296" max="14300" width="8.5703125" style="338" customWidth="1"/>
    <col min="14301" max="14301" width="9.85546875" style="338" customWidth="1"/>
    <col min="14302" max="14302" width="12.42578125" style="338" customWidth="1"/>
    <col min="14303" max="14303" width="8.85546875" style="338" customWidth="1"/>
    <col min="14304" max="14304" width="15.5703125" style="338" customWidth="1"/>
    <col min="14305" max="14313" width="8.7109375" style="338"/>
    <col min="14314" max="14314" width="14.5703125" style="338" customWidth="1"/>
    <col min="14315" max="14549" width="8.7109375" style="338"/>
    <col min="14550" max="14550" width="19.140625" style="338" customWidth="1"/>
    <col min="14551" max="14551" width="10.5703125" style="338" customWidth="1"/>
    <col min="14552" max="14556" width="8.5703125" style="338" customWidth="1"/>
    <col min="14557" max="14557" width="9.85546875" style="338" customWidth="1"/>
    <col min="14558" max="14558" width="12.42578125" style="338" customWidth="1"/>
    <col min="14559" max="14559" width="8.85546875" style="338" customWidth="1"/>
    <col min="14560" max="14560" width="15.5703125" style="338" customWidth="1"/>
    <col min="14561" max="14569" width="8.7109375" style="338"/>
    <col min="14570" max="14570" width="14.5703125" style="338" customWidth="1"/>
    <col min="14571" max="14805" width="8.7109375" style="338"/>
    <col min="14806" max="14806" width="19.140625" style="338" customWidth="1"/>
    <col min="14807" max="14807" width="10.5703125" style="338" customWidth="1"/>
    <col min="14808" max="14812" width="8.5703125" style="338" customWidth="1"/>
    <col min="14813" max="14813" width="9.85546875" style="338" customWidth="1"/>
    <col min="14814" max="14814" width="12.42578125" style="338" customWidth="1"/>
    <col min="14815" max="14815" width="8.85546875" style="338" customWidth="1"/>
    <col min="14816" max="14816" width="15.5703125" style="338" customWidth="1"/>
    <col min="14817" max="14825" width="8.7109375" style="338"/>
    <col min="14826" max="14826" width="14.5703125" style="338" customWidth="1"/>
    <col min="14827" max="15061" width="8.7109375" style="338"/>
    <col min="15062" max="15062" width="19.140625" style="338" customWidth="1"/>
    <col min="15063" max="15063" width="10.5703125" style="338" customWidth="1"/>
    <col min="15064" max="15068" width="8.5703125" style="338" customWidth="1"/>
    <col min="15069" max="15069" width="9.85546875" style="338" customWidth="1"/>
    <col min="15070" max="15070" width="12.42578125" style="338" customWidth="1"/>
    <col min="15071" max="15071" width="8.85546875" style="338" customWidth="1"/>
    <col min="15072" max="15072" width="15.5703125" style="338" customWidth="1"/>
    <col min="15073" max="15081" width="8.7109375" style="338"/>
    <col min="15082" max="15082" width="14.5703125" style="338" customWidth="1"/>
    <col min="15083" max="15317" width="8.7109375" style="338"/>
    <col min="15318" max="15318" width="19.140625" style="338" customWidth="1"/>
    <col min="15319" max="15319" width="10.5703125" style="338" customWidth="1"/>
    <col min="15320" max="15324" width="8.5703125" style="338" customWidth="1"/>
    <col min="15325" max="15325" width="9.85546875" style="338" customWidth="1"/>
    <col min="15326" max="15326" width="12.42578125" style="338" customWidth="1"/>
    <col min="15327" max="15327" width="8.85546875" style="338" customWidth="1"/>
    <col min="15328" max="15328" width="15.5703125" style="338" customWidth="1"/>
    <col min="15329" max="15337" width="8.7109375" style="338"/>
    <col min="15338" max="15338" width="14.5703125" style="338" customWidth="1"/>
    <col min="15339" max="15573" width="8.7109375" style="338"/>
    <col min="15574" max="15574" width="19.140625" style="338" customWidth="1"/>
    <col min="15575" max="15575" width="10.5703125" style="338" customWidth="1"/>
    <col min="15576" max="15580" width="8.5703125" style="338" customWidth="1"/>
    <col min="15581" max="15581" width="9.85546875" style="338" customWidth="1"/>
    <col min="15582" max="15582" width="12.42578125" style="338" customWidth="1"/>
    <col min="15583" max="15583" width="8.85546875" style="338" customWidth="1"/>
    <col min="15584" max="15584" width="15.5703125" style="338" customWidth="1"/>
    <col min="15585" max="15593" width="8.7109375" style="338"/>
    <col min="15594" max="15594" width="14.5703125" style="338" customWidth="1"/>
    <col min="15595" max="15829" width="8.7109375" style="338"/>
    <col min="15830" max="15830" width="19.140625" style="338" customWidth="1"/>
    <col min="15831" max="15831" width="10.5703125" style="338" customWidth="1"/>
    <col min="15832" max="15836" width="8.5703125" style="338" customWidth="1"/>
    <col min="15837" max="15837" width="9.85546875" style="338" customWidth="1"/>
    <col min="15838" max="15838" width="12.42578125" style="338" customWidth="1"/>
    <col min="15839" max="15839" width="8.85546875" style="338" customWidth="1"/>
    <col min="15840" max="15840" width="15.5703125" style="338" customWidth="1"/>
    <col min="15841" max="15849" width="8.7109375" style="338"/>
    <col min="15850" max="15850" width="14.5703125" style="338" customWidth="1"/>
    <col min="15851" max="16085" width="8.7109375" style="338"/>
    <col min="16086" max="16086" width="19.140625" style="338" customWidth="1"/>
    <col min="16087" max="16087" width="10.5703125" style="338" customWidth="1"/>
    <col min="16088" max="16092" width="8.5703125" style="338" customWidth="1"/>
    <col min="16093" max="16093" width="9.85546875" style="338" customWidth="1"/>
    <col min="16094" max="16094" width="12.42578125" style="338" customWidth="1"/>
    <col min="16095" max="16095" width="8.85546875" style="338" customWidth="1"/>
    <col min="16096" max="16096" width="15.5703125" style="338" customWidth="1"/>
    <col min="16097" max="16105" width="8.7109375" style="338"/>
    <col min="16106" max="16106" width="14.5703125" style="338" customWidth="1"/>
    <col min="16107" max="16338" width="8.7109375" style="338"/>
    <col min="16339" max="16384" width="9.140625" style="338" customWidth="1"/>
  </cols>
  <sheetData>
    <row r="1" spans="1:207" x14ac:dyDescent="0.2">
      <c r="A1" s="624" t="s">
        <v>23</v>
      </c>
      <c r="B1" s="624"/>
      <c r="C1" s="624"/>
      <c r="D1" s="624"/>
      <c r="E1" s="624"/>
      <c r="F1" s="624"/>
      <c r="G1" s="624"/>
      <c r="H1" s="624"/>
      <c r="I1" s="624"/>
      <c r="J1" s="624"/>
      <c r="K1" s="624"/>
      <c r="BP1" s="624"/>
      <c r="BQ1" s="624"/>
      <c r="BR1" s="624"/>
      <c r="BS1" s="624"/>
      <c r="BT1" s="624"/>
      <c r="BU1" s="624"/>
      <c r="BV1" s="624"/>
      <c r="BW1" s="624"/>
      <c r="BX1" s="624"/>
      <c r="BY1" s="624"/>
      <c r="BZ1" s="634"/>
      <c r="CA1" s="634"/>
      <c r="CB1" s="634"/>
      <c r="CC1" s="634"/>
      <c r="CD1" s="634"/>
      <c r="CE1" s="634"/>
      <c r="CF1" s="634"/>
      <c r="CG1" s="634"/>
      <c r="CH1" s="634"/>
      <c r="CI1" s="634"/>
      <c r="CJ1" s="633"/>
      <c r="CK1" s="633"/>
      <c r="CL1" s="633"/>
      <c r="CM1" s="633"/>
      <c r="CN1" s="633"/>
      <c r="CO1" s="633"/>
      <c r="CP1" s="633"/>
      <c r="CQ1" s="633"/>
      <c r="CR1" s="633"/>
      <c r="CS1" s="633"/>
      <c r="FV1" s="624"/>
      <c r="FW1" s="624"/>
      <c r="FX1" s="624"/>
      <c r="FY1" s="624"/>
      <c r="FZ1" s="624"/>
      <c r="GA1" s="624"/>
      <c r="GB1" s="624"/>
      <c r="GC1" s="624"/>
      <c r="GD1" s="624"/>
      <c r="GE1" s="624"/>
      <c r="GF1" s="634"/>
      <c r="GG1" s="634"/>
      <c r="GH1" s="634"/>
      <c r="GI1" s="634"/>
      <c r="GJ1" s="634"/>
      <c r="GK1" s="634"/>
      <c r="GL1" s="634"/>
      <c r="GM1" s="634"/>
      <c r="GN1" s="634"/>
      <c r="GO1" s="634"/>
      <c r="GP1" s="633"/>
      <c r="GQ1" s="633"/>
      <c r="GR1" s="633"/>
      <c r="GS1" s="633"/>
      <c r="GT1" s="633"/>
      <c r="GU1" s="633"/>
      <c r="GV1" s="633"/>
      <c r="GW1" s="633"/>
      <c r="GX1" s="633"/>
      <c r="GY1" s="633"/>
    </row>
    <row r="2" spans="1:207" x14ac:dyDescent="0.2">
      <c r="A2" s="624" t="s">
        <v>91</v>
      </c>
      <c r="B2" s="624"/>
      <c r="C2" s="624"/>
      <c r="D2" s="624"/>
      <c r="E2" s="624"/>
      <c r="F2" s="624"/>
      <c r="G2" s="624"/>
      <c r="H2" s="624"/>
      <c r="I2" s="624"/>
      <c r="J2" s="624"/>
      <c r="K2" s="624"/>
      <c r="BP2" s="624"/>
      <c r="BQ2" s="624"/>
      <c r="BR2" s="624"/>
      <c r="BS2" s="624"/>
      <c r="BT2" s="624"/>
      <c r="BU2" s="624"/>
      <c r="BV2" s="624"/>
      <c r="BW2" s="624"/>
      <c r="BX2" s="624"/>
      <c r="BY2" s="624"/>
      <c r="BZ2" s="634"/>
      <c r="CA2" s="634"/>
      <c r="CB2" s="634"/>
      <c r="CC2" s="634"/>
      <c r="CD2" s="634"/>
      <c r="CE2" s="634"/>
      <c r="CF2" s="634"/>
      <c r="CG2" s="634"/>
      <c r="CH2" s="634"/>
      <c r="CI2" s="634"/>
      <c r="CJ2" s="633"/>
      <c r="CK2" s="633"/>
      <c r="CL2" s="633"/>
      <c r="CM2" s="633"/>
      <c r="CN2" s="633"/>
      <c r="CO2" s="633"/>
      <c r="CP2" s="633"/>
      <c r="CQ2" s="633"/>
      <c r="CR2" s="633"/>
      <c r="CS2" s="633"/>
      <c r="FV2" s="624"/>
      <c r="FW2" s="624"/>
      <c r="FX2" s="624"/>
      <c r="FY2" s="624"/>
      <c r="FZ2" s="624"/>
      <c r="GA2" s="624"/>
      <c r="GB2" s="624"/>
      <c r="GC2" s="624"/>
      <c r="GD2" s="624"/>
      <c r="GE2" s="624"/>
      <c r="GF2" s="634"/>
      <c r="GG2" s="634"/>
      <c r="GH2" s="634"/>
      <c r="GI2" s="634"/>
      <c r="GJ2" s="634"/>
      <c r="GK2" s="634"/>
      <c r="GL2" s="634"/>
      <c r="GM2" s="634"/>
      <c r="GN2" s="634"/>
      <c r="GO2" s="634"/>
      <c r="GP2" s="633"/>
      <c r="GQ2" s="633"/>
      <c r="GR2" s="633"/>
      <c r="GS2" s="633"/>
      <c r="GT2" s="633"/>
      <c r="GU2" s="633"/>
      <c r="GV2" s="633"/>
      <c r="GW2" s="633"/>
      <c r="GX2" s="633"/>
      <c r="GY2" s="633"/>
    </row>
    <row r="3" spans="1:207" ht="12.75" x14ac:dyDescent="0.2">
      <c r="A3" s="625" t="s">
        <v>135</v>
      </c>
      <c r="B3" s="625"/>
      <c r="C3" s="625"/>
      <c r="D3" s="625"/>
      <c r="E3" s="625"/>
      <c r="F3" s="625"/>
      <c r="G3" s="625"/>
      <c r="H3" s="625"/>
      <c r="I3" s="625"/>
      <c r="J3" s="625"/>
      <c r="K3" s="625"/>
      <c r="BP3" s="631"/>
      <c r="BQ3" s="631"/>
      <c r="BR3" s="631"/>
      <c r="BS3" s="631"/>
      <c r="BT3" s="631"/>
      <c r="BU3" s="631"/>
      <c r="BV3" s="631"/>
      <c r="BW3" s="631"/>
      <c r="BX3" s="631"/>
      <c r="BY3" s="631"/>
      <c r="BZ3" s="632"/>
      <c r="CA3" s="632"/>
      <c r="CB3" s="632"/>
      <c r="CC3" s="632"/>
      <c r="CD3" s="632"/>
      <c r="CE3" s="632"/>
      <c r="CF3" s="632"/>
      <c r="CG3" s="632"/>
      <c r="CH3" s="632"/>
      <c r="CI3" s="632"/>
      <c r="CJ3" s="627"/>
      <c r="CK3" s="627"/>
      <c r="CL3" s="627"/>
      <c r="CM3" s="627"/>
      <c r="CN3" s="627"/>
      <c r="CO3" s="627"/>
      <c r="CP3" s="627"/>
      <c r="CQ3" s="627"/>
      <c r="CR3" s="627"/>
      <c r="CS3" s="627"/>
      <c r="FV3" s="631"/>
      <c r="FW3" s="631"/>
      <c r="FX3" s="631"/>
      <c r="FY3" s="631"/>
      <c r="FZ3" s="631"/>
      <c r="GA3" s="631"/>
      <c r="GB3" s="631"/>
      <c r="GC3" s="631"/>
      <c r="GD3" s="631"/>
      <c r="GE3" s="631"/>
      <c r="GF3" s="632"/>
      <c r="GG3" s="632"/>
      <c r="GH3" s="632"/>
      <c r="GI3" s="632"/>
      <c r="GJ3" s="632"/>
      <c r="GK3" s="632"/>
      <c r="GL3" s="632"/>
      <c r="GM3" s="632"/>
      <c r="GN3" s="632"/>
      <c r="GO3" s="632"/>
      <c r="GP3" s="627"/>
      <c r="GQ3" s="627"/>
      <c r="GR3" s="627"/>
      <c r="GS3" s="627"/>
      <c r="GT3" s="627"/>
      <c r="GU3" s="627"/>
      <c r="GV3" s="627"/>
      <c r="GW3" s="627"/>
      <c r="GX3" s="627"/>
      <c r="GY3" s="627"/>
    </row>
    <row r="4" spans="1:207" ht="12.75" x14ac:dyDescent="0.2">
      <c r="A4" s="625" t="s">
        <v>93</v>
      </c>
      <c r="B4" s="625"/>
      <c r="C4" s="625"/>
      <c r="D4" s="625"/>
      <c r="E4" s="625"/>
      <c r="F4" s="625"/>
      <c r="G4" s="625"/>
      <c r="H4" s="625"/>
      <c r="I4" s="625"/>
      <c r="J4" s="625"/>
      <c r="K4" s="625"/>
      <c r="BP4" s="399"/>
      <c r="BQ4" s="399"/>
      <c r="BR4" s="399"/>
      <c r="BS4" s="399"/>
      <c r="BT4" s="399"/>
      <c r="BU4" s="399"/>
      <c r="BV4" s="399"/>
      <c r="BW4" s="399"/>
      <c r="BX4" s="399"/>
      <c r="BY4" s="399"/>
      <c r="BZ4" s="400"/>
      <c r="CA4" s="400"/>
      <c r="CB4" s="400"/>
      <c r="CC4" s="400"/>
      <c r="CD4" s="400"/>
      <c r="CE4" s="400"/>
      <c r="CF4" s="400"/>
      <c r="CG4" s="400"/>
      <c r="CH4" s="400"/>
      <c r="CI4" s="400"/>
      <c r="CJ4" s="401"/>
      <c r="CK4" s="401"/>
      <c r="CL4" s="401"/>
      <c r="CM4" s="401"/>
      <c r="CN4" s="401"/>
      <c r="CO4" s="401"/>
      <c r="CP4" s="401"/>
      <c r="CQ4" s="401"/>
      <c r="CR4" s="401"/>
      <c r="CS4" s="401"/>
      <c r="FV4" s="399"/>
      <c r="FW4" s="399"/>
      <c r="FX4" s="399"/>
      <c r="FY4" s="399"/>
      <c r="FZ4" s="399"/>
      <c r="GA4" s="399"/>
      <c r="GB4" s="399"/>
      <c r="GC4" s="399"/>
      <c r="GD4" s="399"/>
      <c r="GE4" s="399"/>
      <c r="GF4" s="400"/>
      <c r="GG4" s="400"/>
      <c r="GH4" s="400"/>
      <c r="GI4" s="400"/>
      <c r="GJ4" s="400"/>
      <c r="GK4" s="400"/>
      <c r="GL4" s="400"/>
      <c r="GM4" s="400"/>
      <c r="GN4" s="400"/>
      <c r="GO4" s="400"/>
      <c r="GP4" s="401"/>
      <c r="GQ4" s="401"/>
      <c r="GR4" s="401"/>
      <c r="GS4" s="401"/>
      <c r="GT4" s="401"/>
      <c r="GU4" s="401"/>
      <c r="GV4" s="401"/>
      <c r="GW4" s="401"/>
      <c r="GX4" s="401"/>
      <c r="GY4" s="401"/>
    </row>
    <row r="5" spans="1:207" ht="12" x14ac:dyDescent="0.2">
      <c r="A5" s="626" t="s">
        <v>48</v>
      </c>
      <c r="B5" s="626"/>
      <c r="C5" s="626"/>
      <c r="D5" s="626"/>
      <c r="E5" s="626"/>
      <c r="F5" s="626"/>
      <c r="G5" s="626"/>
      <c r="H5" s="626"/>
      <c r="I5" s="626"/>
      <c r="J5" s="626"/>
      <c r="K5" s="626"/>
      <c r="BP5" s="628"/>
      <c r="BQ5" s="628"/>
      <c r="BR5" s="628"/>
      <c r="BS5" s="628"/>
      <c r="BT5" s="628"/>
      <c r="BU5" s="628"/>
      <c r="BV5" s="628"/>
      <c r="BW5" s="628"/>
      <c r="BX5" s="628"/>
      <c r="BY5" s="628"/>
      <c r="BZ5" s="629"/>
      <c r="CA5" s="629"/>
      <c r="CB5" s="629"/>
      <c r="CC5" s="629"/>
      <c r="CD5" s="629"/>
      <c r="CE5" s="629"/>
      <c r="CF5" s="629"/>
      <c r="CG5" s="629"/>
      <c r="CH5" s="629"/>
      <c r="CI5" s="629"/>
      <c r="CJ5" s="630"/>
      <c r="CK5" s="630"/>
      <c r="CL5" s="630"/>
      <c r="CM5" s="630"/>
      <c r="CN5" s="630"/>
      <c r="CO5" s="630"/>
      <c r="CP5" s="630"/>
      <c r="CQ5" s="630"/>
      <c r="CR5" s="630"/>
      <c r="CS5" s="630"/>
      <c r="FV5" s="628"/>
      <c r="FW5" s="628"/>
      <c r="FX5" s="628"/>
      <c r="FY5" s="628"/>
      <c r="FZ5" s="628"/>
      <c r="GA5" s="628"/>
      <c r="GB5" s="628"/>
      <c r="GC5" s="628"/>
      <c r="GD5" s="628"/>
      <c r="GE5" s="628"/>
      <c r="GF5" s="629"/>
      <c r="GG5" s="629"/>
      <c r="GH5" s="629"/>
      <c r="GI5" s="629"/>
      <c r="GJ5" s="629"/>
      <c r="GK5" s="629"/>
      <c r="GL5" s="629"/>
      <c r="GM5" s="629"/>
      <c r="GN5" s="629"/>
      <c r="GO5" s="629"/>
      <c r="GP5" s="630"/>
      <c r="GQ5" s="630"/>
      <c r="GR5" s="630"/>
      <c r="GS5" s="630"/>
      <c r="GT5" s="630"/>
      <c r="GU5" s="630"/>
      <c r="GV5" s="630"/>
      <c r="GW5" s="630"/>
      <c r="GX5" s="630"/>
      <c r="GY5" s="630"/>
    </row>
    <row r="6" spans="1:207" ht="15" x14ac:dyDescent="0.2">
      <c r="A6" s="623"/>
      <c r="B6" s="623"/>
      <c r="C6" s="623"/>
      <c r="D6" s="623"/>
      <c r="E6" s="623"/>
      <c r="F6" s="623"/>
      <c r="G6" s="623"/>
      <c r="H6" s="623"/>
      <c r="I6" s="623"/>
      <c r="J6" s="623"/>
      <c r="K6" s="623"/>
      <c r="BP6" s="402"/>
      <c r="BQ6" s="402"/>
      <c r="BR6" s="103"/>
      <c r="BS6" s="103"/>
      <c r="BT6" s="103"/>
      <c r="BU6" s="103"/>
      <c r="BV6" s="103"/>
      <c r="BW6" s="103"/>
      <c r="BX6" s="103"/>
      <c r="BY6" s="403"/>
      <c r="BZ6" s="404"/>
      <c r="CA6" s="404"/>
      <c r="CB6" s="405"/>
      <c r="CC6" s="405"/>
      <c r="CD6" s="405"/>
      <c r="CE6" s="405"/>
      <c r="CF6" s="405"/>
      <c r="CG6" s="405"/>
      <c r="CH6" s="405"/>
      <c r="CI6" s="406"/>
      <c r="CJ6" s="407"/>
      <c r="CK6" s="407"/>
      <c r="CL6" s="408"/>
      <c r="CM6" s="408"/>
      <c r="CN6" s="408"/>
      <c r="CO6" s="408"/>
      <c r="CP6" s="408"/>
      <c r="CQ6" s="408"/>
      <c r="CR6" s="408"/>
      <c r="CS6" s="409"/>
      <c r="FV6" s="402"/>
      <c r="FW6" s="402"/>
      <c r="FX6" s="103"/>
      <c r="FY6" s="103"/>
      <c r="FZ6" s="103"/>
      <c r="GA6" s="103"/>
      <c r="GB6" s="103"/>
      <c r="GC6" s="103"/>
      <c r="GD6" s="103"/>
      <c r="GE6" s="403"/>
      <c r="GF6" s="404"/>
      <c r="GG6" s="404"/>
      <c r="GH6" s="405"/>
      <c r="GI6" s="405"/>
      <c r="GJ6" s="405"/>
      <c r="GK6" s="405"/>
      <c r="GL6" s="405"/>
      <c r="GM6" s="405"/>
      <c r="GN6" s="405"/>
      <c r="GO6" s="406"/>
      <c r="GP6" s="407"/>
      <c r="GQ6" s="407"/>
      <c r="GR6" s="408"/>
      <c r="GS6" s="408"/>
      <c r="GT6" s="408"/>
      <c r="GU6" s="408"/>
      <c r="GV6" s="408"/>
      <c r="GW6" s="408"/>
      <c r="GX6" s="408"/>
      <c r="GY6" s="409"/>
    </row>
    <row r="7" spans="1:207" x14ac:dyDescent="0.2">
      <c r="A7" s="361"/>
      <c r="B7" s="362"/>
      <c r="C7" s="410"/>
      <c r="D7" s="410"/>
      <c r="E7" s="410"/>
      <c r="F7" s="410"/>
      <c r="G7" s="410"/>
      <c r="H7" s="410"/>
      <c r="I7" s="410"/>
      <c r="J7" s="410"/>
      <c r="K7" s="364"/>
      <c r="BP7" s="361"/>
      <c r="BQ7" s="362"/>
      <c r="BR7" s="410"/>
      <c r="BS7" s="410"/>
      <c r="BT7" s="410"/>
      <c r="BU7" s="410"/>
      <c r="BV7" s="410"/>
      <c r="BW7" s="410"/>
      <c r="BX7" s="410"/>
      <c r="BY7" s="403"/>
      <c r="BZ7" s="411"/>
      <c r="CA7" s="412"/>
      <c r="CB7" s="413"/>
      <c r="CC7" s="413"/>
      <c r="CD7" s="413"/>
      <c r="CE7" s="413"/>
      <c r="CF7" s="413"/>
      <c r="CG7" s="413"/>
      <c r="CH7" s="413"/>
      <c r="CI7" s="406"/>
      <c r="CJ7" s="414"/>
      <c r="CK7" s="415"/>
      <c r="CL7" s="416"/>
      <c r="CM7" s="416"/>
      <c r="CN7" s="416"/>
      <c r="CO7" s="416"/>
      <c r="CP7" s="416"/>
      <c r="CQ7" s="416"/>
      <c r="CR7" s="416"/>
      <c r="CS7" s="409"/>
      <c r="FV7" s="361"/>
      <c r="FW7" s="362"/>
      <c r="FX7" s="410"/>
      <c r="FY7" s="410"/>
      <c r="FZ7" s="410"/>
      <c r="GA7" s="410"/>
      <c r="GB7" s="410"/>
      <c r="GC7" s="410"/>
      <c r="GD7" s="410"/>
      <c r="GE7" s="403"/>
      <c r="GF7" s="411"/>
      <c r="GG7" s="412"/>
      <c r="GH7" s="413"/>
      <c r="GI7" s="413"/>
      <c r="GJ7" s="413"/>
      <c r="GK7" s="413"/>
      <c r="GL7" s="413"/>
      <c r="GM7" s="413"/>
      <c r="GN7" s="413"/>
      <c r="GO7" s="406"/>
      <c r="GP7" s="414"/>
      <c r="GQ7" s="415"/>
      <c r="GR7" s="416"/>
      <c r="GS7" s="416"/>
      <c r="GT7" s="416"/>
      <c r="GU7" s="416"/>
      <c r="GV7" s="416"/>
      <c r="GW7" s="416"/>
      <c r="GX7" s="416"/>
      <c r="GY7" s="409"/>
    </row>
    <row r="8" spans="1:207" ht="13.5" thickBot="1" x14ac:dyDescent="0.25">
      <c r="A8" s="261" t="s">
        <v>94</v>
      </c>
      <c r="B8" s="365"/>
      <c r="C8" s="263"/>
      <c r="D8" s="263"/>
      <c r="E8" s="263"/>
      <c r="F8" s="263"/>
      <c r="G8" s="263"/>
      <c r="H8" s="263"/>
      <c r="K8" s="364"/>
      <c r="BP8" s="362"/>
      <c r="BQ8" s="362"/>
      <c r="BR8" s="263"/>
      <c r="BS8" s="263"/>
      <c r="BT8" s="263"/>
      <c r="BU8" s="263"/>
      <c r="BV8" s="263"/>
      <c r="BW8" s="263"/>
      <c r="BX8" s="263"/>
      <c r="BY8" s="403"/>
      <c r="BZ8" s="412"/>
      <c r="CA8" s="412"/>
      <c r="CB8" s="417"/>
      <c r="CC8" s="417"/>
      <c r="CD8" s="417"/>
      <c r="CE8" s="417"/>
      <c r="CF8" s="417"/>
      <c r="CG8" s="417"/>
      <c r="CH8" s="417"/>
      <c r="CI8" s="406"/>
      <c r="CJ8" s="415"/>
      <c r="CK8" s="415"/>
      <c r="CL8" s="418"/>
      <c r="CM8" s="418"/>
      <c r="CN8" s="418"/>
      <c r="CO8" s="418"/>
      <c r="CP8" s="418"/>
      <c r="CQ8" s="418"/>
      <c r="CR8" s="418"/>
      <c r="CS8" s="409"/>
      <c r="FV8" s="362"/>
      <c r="FW8" s="362"/>
      <c r="FX8" s="263"/>
      <c r="FY8" s="263"/>
      <c r="FZ8" s="263"/>
      <c r="GA8" s="263"/>
      <c r="GB8" s="263"/>
      <c r="GC8" s="263"/>
      <c r="GD8" s="263"/>
      <c r="GE8" s="403"/>
      <c r="GF8" s="412"/>
      <c r="GG8" s="412"/>
      <c r="GH8" s="417"/>
      <c r="GI8" s="417"/>
      <c r="GJ8" s="417"/>
      <c r="GK8" s="417"/>
      <c r="GL8" s="417"/>
      <c r="GM8" s="417"/>
      <c r="GN8" s="417"/>
      <c r="GO8" s="406"/>
      <c r="GP8" s="415"/>
      <c r="GQ8" s="415"/>
      <c r="GR8" s="418"/>
      <c r="GS8" s="418"/>
      <c r="GT8" s="418"/>
      <c r="GU8" s="418"/>
      <c r="GV8" s="418"/>
      <c r="GW8" s="418"/>
      <c r="GX8" s="418"/>
      <c r="GY8" s="409"/>
    </row>
    <row r="9" spans="1:207" ht="10.35" customHeight="1" x14ac:dyDescent="0.25">
      <c r="A9" s="339" t="s">
        <v>114</v>
      </c>
      <c r="B9" s="615" t="s">
        <v>95</v>
      </c>
      <c r="C9" s="366" t="s">
        <v>102</v>
      </c>
      <c r="D9" s="367" t="s">
        <v>103</v>
      </c>
      <c r="E9" s="367" t="s">
        <v>104</v>
      </c>
      <c r="F9" s="367" t="s">
        <v>105</v>
      </c>
      <c r="G9" s="367" t="s">
        <v>106</v>
      </c>
      <c r="H9" s="419" t="s">
        <v>107</v>
      </c>
      <c r="I9" s="266" t="s">
        <v>136</v>
      </c>
      <c r="J9" s="373" t="s">
        <v>137</v>
      </c>
      <c r="K9" s="374" t="s">
        <v>115</v>
      </c>
    </row>
    <row r="10" spans="1:207" ht="10.7" customHeight="1" thickBot="1" x14ac:dyDescent="0.3">
      <c r="A10" s="340"/>
      <c r="B10" s="616"/>
      <c r="C10" s="370"/>
      <c r="D10" s="272"/>
      <c r="E10" s="272"/>
      <c r="F10" s="272"/>
      <c r="G10" s="272"/>
      <c r="H10" s="273"/>
      <c r="I10" s="275" t="s">
        <v>138</v>
      </c>
      <c r="J10" s="271" t="s">
        <v>109</v>
      </c>
      <c r="K10" s="422" t="s">
        <v>116</v>
      </c>
    </row>
    <row r="11" spans="1:207" x14ac:dyDescent="0.2">
      <c r="A11" s="301" t="s">
        <v>117</v>
      </c>
      <c r="B11" s="302" t="s">
        <v>113</v>
      </c>
      <c r="C11" s="342">
        <v>0.98256158697644336</v>
      </c>
      <c r="D11" s="342">
        <v>0.97852065922049525</v>
      </c>
      <c r="E11" s="349">
        <v>0.98324413684888901</v>
      </c>
      <c r="F11" s="349">
        <v>0.98151775828294008</v>
      </c>
      <c r="G11" s="349">
        <v>0.98205729166666667</v>
      </c>
      <c r="H11" s="349">
        <v>0.98254855877029468</v>
      </c>
      <c r="I11" s="383">
        <v>0.99044056525353286</v>
      </c>
      <c r="J11" s="383">
        <v>0.98273264622355538</v>
      </c>
      <c r="K11" s="423">
        <v>1.0156890894175552</v>
      </c>
    </row>
    <row r="12" spans="1:207" x14ac:dyDescent="0.2">
      <c r="A12" s="155"/>
      <c r="B12" s="309" t="s">
        <v>1</v>
      </c>
      <c r="C12" s="349">
        <v>0.9790540540540541</v>
      </c>
      <c r="D12" s="349">
        <v>0.97270209015361375</v>
      </c>
      <c r="E12" s="349">
        <v>0.97524538884694212</v>
      </c>
      <c r="F12" s="349">
        <v>0.97516942260775274</v>
      </c>
      <c r="G12" s="349">
        <v>0.97043914680050192</v>
      </c>
      <c r="H12" s="349">
        <v>0.97017284991568298</v>
      </c>
      <c r="I12" s="383">
        <v>0.98524804177545688</v>
      </c>
      <c r="J12" s="383">
        <v>0.97520000000000007</v>
      </c>
      <c r="K12" s="349"/>
    </row>
    <row r="13" spans="1:207" x14ac:dyDescent="0.2">
      <c r="A13" s="286"/>
      <c r="B13" s="312" t="s">
        <v>0</v>
      </c>
      <c r="C13" s="354">
        <v>0.98633971559735756</v>
      </c>
      <c r="D13" s="354">
        <v>0.98474722431820627</v>
      </c>
      <c r="E13" s="354">
        <v>0.99020236776112436</v>
      </c>
      <c r="F13" s="354">
        <v>0.98849684110144231</v>
      </c>
      <c r="G13" s="354">
        <v>0.99334235453315289</v>
      </c>
      <c r="H13" s="354">
        <v>0.99528850950612491</v>
      </c>
      <c r="I13" s="390">
        <v>0.99631050767414409</v>
      </c>
      <c r="J13" s="390">
        <v>0.99049999999999994</v>
      </c>
      <c r="K13" s="354"/>
    </row>
    <row r="14" spans="1:207" ht="9.9499999999999993" customHeight="1" x14ac:dyDescent="0.2">
      <c r="A14" s="301" t="s">
        <v>118</v>
      </c>
      <c r="B14" s="302" t="s">
        <v>113</v>
      </c>
      <c r="C14" s="342">
        <v>0.97617387998225713</v>
      </c>
      <c r="D14" s="342">
        <v>0.95670713651169681</v>
      </c>
      <c r="E14" s="349">
        <v>0.95717750044360328</v>
      </c>
      <c r="F14" s="349">
        <v>0.95697802872222903</v>
      </c>
      <c r="G14" s="349">
        <v>0.96473233874506359</v>
      </c>
      <c r="H14" s="349">
        <v>0.96576185730198749</v>
      </c>
      <c r="I14" s="383">
        <v>0.97541473621282315</v>
      </c>
      <c r="J14" s="383">
        <v>0.96440400041907481</v>
      </c>
      <c r="K14" s="423">
        <v>1.0273137934657002</v>
      </c>
    </row>
    <row r="15" spans="1:207" ht="9.9499999999999993" customHeight="1" x14ac:dyDescent="0.2">
      <c r="A15" s="155"/>
      <c r="B15" s="309" t="s">
        <v>1</v>
      </c>
      <c r="C15" s="349">
        <v>0.97089041095890416</v>
      </c>
      <c r="D15" s="349">
        <v>0.94177044766072027</v>
      </c>
      <c r="E15" s="349">
        <v>0.94241367675177146</v>
      </c>
      <c r="F15" s="349">
        <v>0.94297142857142857</v>
      </c>
      <c r="G15" s="349">
        <v>0.95178017748316046</v>
      </c>
      <c r="H15" s="349">
        <v>0.95062292833466677</v>
      </c>
      <c r="I15" s="383">
        <v>0.96634341129492296</v>
      </c>
      <c r="J15" s="383">
        <v>0.95189999999999997</v>
      </c>
      <c r="K15" s="349"/>
    </row>
    <row r="16" spans="1:207" x14ac:dyDescent="0.2">
      <c r="A16" s="286"/>
      <c r="B16" s="312" t="s">
        <v>0</v>
      </c>
      <c r="C16" s="354">
        <v>0.98185404339250493</v>
      </c>
      <c r="D16" s="354">
        <v>0.97177621675865533</v>
      </c>
      <c r="E16" s="354">
        <v>0.97355289421157687</v>
      </c>
      <c r="F16" s="354">
        <v>0.97322375397667016</v>
      </c>
      <c r="G16" s="354">
        <v>0.97837594323685095</v>
      </c>
      <c r="H16" s="354">
        <v>0.98170438131921045</v>
      </c>
      <c r="I16" s="390">
        <v>0.98540031397174255</v>
      </c>
      <c r="J16" s="390">
        <v>0.97789999999999999</v>
      </c>
      <c r="K16" s="354"/>
    </row>
    <row r="17" spans="1:11" x14ac:dyDescent="0.2">
      <c r="A17" s="301" t="s">
        <v>119</v>
      </c>
      <c r="B17" s="302" t="s">
        <v>113</v>
      </c>
      <c r="C17" s="342">
        <v>0.96135356772551606</v>
      </c>
      <c r="D17" s="342">
        <v>0.96587831738580976</v>
      </c>
      <c r="E17" s="349">
        <v>0.96776859504132229</v>
      </c>
      <c r="F17" s="349">
        <v>0.96261682242990654</v>
      </c>
      <c r="G17" s="349">
        <v>0.98141042039737358</v>
      </c>
      <c r="H17" s="349">
        <v>0.96246768298118923</v>
      </c>
      <c r="I17" s="383">
        <v>0.98687760608290409</v>
      </c>
      <c r="J17" s="383">
        <v>0.96715411945897312</v>
      </c>
      <c r="K17" s="423">
        <v>1.0130411335027325</v>
      </c>
    </row>
    <row r="18" spans="1:11" x14ac:dyDescent="0.2">
      <c r="A18" s="155"/>
      <c r="B18" s="309" t="s">
        <v>1</v>
      </c>
      <c r="C18" s="349">
        <v>0.95793054063730754</v>
      </c>
      <c r="D18" s="349">
        <v>0.9637160385626643</v>
      </c>
      <c r="E18" s="349">
        <v>0.96111505681818177</v>
      </c>
      <c r="F18" s="349">
        <v>0.94947994056463592</v>
      </c>
      <c r="G18" s="349">
        <v>0.97734241908006814</v>
      </c>
      <c r="H18" s="349">
        <v>0.95598135680994301</v>
      </c>
      <c r="I18" s="383">
        <v>0.98175011698642956</v>
      </c>
      <c r="J18" s="383">
        <v>0.9611127465410656</v>
      </c>
      <c r="K18" s="349"/>
    </row>
    <row r="19" spans="1:11" x14ac:dyDescent="0.2">
      <c r="A19" s="286"/>
      <c r="B19" s="312" t="s">
        <v>0</v>
      </c>
      <c r="C19" s="354">
        <v>0.96516026279116063</v>
      </c>
      <c r="D19" s="354">
        <v>0.96817420435510892</v>
      </c>
      <c r="E19" s="354">
        <v>0.97489539748953979</v>
      </c>
      <c r="F19" s="354">
        <v>0.97774925117672229</v>
      </c>
      <c r="G19" s="354">
        <v>0.98548745091343692</v>
      </c>
      <c r="H19" s="354">
        <v>0.9693952802359882</v>
      </c>
      <c r="I19" s="390">
        <v>0.99252577319587632</v>
      </c>
      <c r="J19" s="390">
        <v>0.97364674617988545</v>
      </c>
      <c r="K19" s="354"/>
    </row>
    <row r="20" spans="1:11" x14ac:dyDescent="0.2">
      <c r="A20" s="301" t="s">
        <v>120</v>
      </c>
      <c r="B20" s="302" t="s">
        <v>113</v>
      </c>
      <c r="C20" s="342">
        <v>0.97332933772849861</v>
      </c>
      <c r="D20" s="342">
        <v>0.96965247185511505</v>
      </c>
      <c r="E20" s="349">
        <v>0.96999117387466904</v>
      </c>
      <c r="F20" s="349">
        <v>0.96490874256327519</v>
      </c>
      <c r="G20" s="349">
        <v>0.96643175074183973</v>
      </c>
      <c r="H20" s="349">
        <v>0.96235429008217088</v>
      </c>
      <c r="I20" s="383">
        <v>0.98094557580088126</v>
      </c>
      <c r="J20" s="383">
        <v>0.96773826919954542</v>
      </c>
      <c r="K20" s="423">
        <v>1.0204439429445782</v>
      </c>
    </row>
    <row r="21" spans="1:11" x14ac:dyDescent="0.2">
      <c r="A21" s="155"/>
      <c r="B21" s="309" t="s">
        <v>1</v>
      </c>
      <c r="C21" s="349">
        <v>0.96840685802350224</v>
      </c>
      <c r="D21" s="349">
        <v>0.96436609152288066</v>
      </c>
      <c r="E21" s="349">
        <v>0.96025738077214229</v>
      </c>
      <c r="F21" s="349">
        <v>0.94981873688227436</v>
      </c>
      <c r="G21" s="349">
        <v>0.95293701344656756</v>
      </c>
      <c r="H21" s="349">
        <v>0.94727000747943157</v>
      </c>
      <c r="I21" s="383">
        <v>0.97337962962962965</v>
      </c>
      <c r="J21" s="383">
        <v>0.95919999999999994</v>
      </c>
      <c r="K21" s="349"/>
    </row>
    <row r="22" spans="1:11" x14ac:dyDescent="0.2">
      <c r="A22" s="286"/>
      <c r="B22" s="312" t="s">
        <v>0</v>
      </c>
      <c r="C22" s="354">
        <v>0.97863070539419084</v>
      </c>
      <c r="D22" s="354">
        <v>0.97255785377841486</v>
      </c>
      <c r="E22" s="354">
        <v>0.98046000407083245</v>
      </c>
      <c r="F22" s="354">
        <v>0.98182207014542344</v>
      </c>
      <c r="G22" s="354">
        <v>0.9812938425565082</v>
      </c>
      <c r="H22" s="354">
        <v>0.97811645173896056</v>
      </c>
      <c r="I22" s="390">
        <v>0.98896247240618107</v>
      </c>
      <c r="J22" s="390">
        <v>0.97880983007243927</v>
      </c>
      <c r="K22" s="354"/>
    </row>
    <row r="23" spans="1:11" x14ac:dyDescent="0.2">
      <c r="A23" s="301" t="s">
        <v>121</v>
      </c>
      <c r="B23" s="302" t="s">
        <v>113</v>
      </c>
      <c r="C23" s="342">
        <v>0.90023605416821961</v>
      </c>
      <c r="D23" s="342">
        <v>0.89395560310243383</v>
      </c>
      <c r="E23" s="349">
        <v>0.90420123093390425</v>
      </c>
      <c r="F23" s="349">
        <v>0.89694876223373632</v>
      </c>
      <c r="G23" s="349">
        <v>0.89386536373507053</v>
      </c>
      <c r="H23" s="349">
        <v>0.89604846482169898</v>
      </c>
      <c r="I23" s="383">
        <v>0.93063680427878992</v>
      </c>
      <c r="J23" s="383">
        <v>0.89759982054733067</v>
      </c>
      <c r="K23" s="423">
        <v>1.0635622921357246</v>
      </c>
    </row>
    <row r="24" spans="1:11" x14ac:dyDescent="0.2">
      <c r="A24" s="155"/>
      <c r="B24" s="309" t="s">
        <v>1</v>
      </c>
      <c r="C24" s="349">
        <v>0.87896731406916151</v>
      </c>
      <c r="D24" s="349">
        <v>0.88364941055868784</v>
      </c>
      <c r="E24" s="349">
        <v>0.87806135601959268</v>
      </c>
      <c r="F24" s="349">
        <v>0.86715566422167889</v>
      </c>
      <c r="G24" s="349">
        <v>0.85729166666666667</v>
      </c>
      <c r="H24" s="349">
        <v>0.85936222403924778</v>
      </c>
      <c r="I24" s="383">
        <v>0.90483870967741931</v>
      </c>
      <c r="J24" s="383">
        <v>0.87103867546242397</v>
      </c>
      <c r="K24" s="349"/>
    </row>
    <row r="25" spans="1:11" x14ac:dyDescent="0.2">
      <c r="A25" s="286"/>
      <c r="B25" s="312" t="s">
        <v>0</v>
      </c>
      <c r="C25" s="354">
        <v>0.92370002613012803</v>
      </c>
      <c r="D25" s="354">
        <v>0.90520134228187921</v>
      </c>
      <c r="E25" s="354">
        <v>0.93240611961057018</v>
      </c>
      <c r="F25" s="354">
        <v>0.9305172941536578</v>
      </c>
      <c r="G25" s="354">
        <v>0.93367346938775508</v>
      </c>
      <c r="H25" s="354">
        <v>0.9335002782415136</v>
      </c>
      <c r="I25" s="390">
        <v>0.95837669094693023</v>
      </c>
      <c r="J25" s="390">
        <v>0.92640389021368119</v>
      </c>
      <c r="K25" s="354"/>
    </row>
    <row r="26" spans="1:11" x14ac:dyDescent="0.2">
      <c r="A26" s="301" t="s">
        <v>122</v>
      </c>
      <c r="B26" s="302" t="s">
        <v>113</v>
      </c>
      <c r="C26" s="342">
        <v>0.95784898413019304</v>
      </c>
      <c r="D26" s="342">
        <v>0.92606743719552964</v>
      </c>
      <c r="E26" s="349">
        <v>0.93026175987636439</v>
      </c>
      <c r="F26" s="349">
        <v>0.9120694759696043</v>
      </c>
      <c r="G26" s="349">
        <v>0.93107142857142855</v>
      </c>
      <c r="H26" s="349">
        <v>0.93349753694581283</v>
      </c>
      <c r="I26" s="383">
        <v>0.96884955752212387</v>
      </c>
      <c r="J26" s="383">
        <v>0.9316657082614529</v>
      </c>
      <c r="K26" s="423">
        <v>1.0397900616367726</v>
      </c>
    </row>
    <row r="27" spans="1:11" ht="12" x14ac:dyDescent="0.2">
      <c r="A27" s="347"/>
      <c r="B27" s="309" t="s">
        <v>1</v>
      </c>
      <c r="C27" s="349">
        <v>0.95428240740740744</v>
      </c>
      <c r="D27" s="349">
        <v>0.91044504995458675</v>
      </c>
      <c r="E27" s="349">
        <v>0.90920834102232884</v>
      </c>
      <c r="F27" s="349">
        <v>0.88653916881206329</v>
      </c>
      <c r="G27" s="349">
        <v>0.91570418893294259</v>
      </c>
      <c r="H27" s="349">
        <v>0.91161848646658072</v>
      </c>
      <c r="I27" s="383">
        <v>0.95823719427780341</v>
      </c>
      <c r="J27" s="383">
        <v>0.91433278418451402</v>
      </c>
      <c r="K27" s="349"/>
    </row>
    <row r="28" spans="1:11" x14ac:dyDescent="0.2">
      <c r="A28" s="286"/>
      <c r="B28" s="312" t="s">
        <v>0</v>
      </c>
      <c r="C28" s="354">
        <v>0.96177532384795072</v>
      </c>
      <c r="D28" s="354">
        <v>0.94339242546333602</v>
      </c>
      <c r="E28" s="354">
        <v>0.95338467774625046</v>
      </c>
      <c r="F28" s="354">
        <v>0.94164004259850909</v>
      </c>
      <c r="G28" s="354">
        <v>0.94758288571957772</v>
      </c>
      <c r="H28" s="354">
        <v>0.95668292682926825</v>
      </c>
      <c r="I28" s="390">
        <v>0.97995653223858969</v>
      </c>
      <c r="J28" s="390">
        <v>0.95071414202373772</v>
      </c>
      <c r="K28" s="354"/>
    </row>
    <row r="29" spans="1:11" x14ac:dyDescent="0.2">
      <c r="A29" s="301" t="s">
        <v>123</v>
      </c>
      <c r="B29" s="302" t="s">
        <v>113</v>
      </c>
      <c r="C29" s="342">
        <v>0.98547871031257694</v>
      </c>
      <c r="D29" s="342">
        <v>0.98476454293628812</v>
      </c>
      <c r="E29" s="349">
        <v>0.98737506575486589</v>
      </c>
      <c r="F29" s="349">
        <v>0.99099836333878888</v>
      </c>
      <c r="G29" s="349">
        <v>0.99048780487804877</v>
      </c>
      <c r="H29" s="349">
        <v>0.97421065316943845</v>
      </c>
      <c r="I29" s="383">
        <v>0.98548038307074448</v>
      </c>
      <c r="J29" s="383">
        <v>0.98533067753848402</v>
      </c>
      <c r="K29" s="423">
        <v>1.009996939712333</v>
      </c>
    </row>
    <row r="30" spans="1:11" x14ac:dyDescent="0.2">
      <c r="A30" s="155"/>
      <c r="B30" s="309" t="s">
        <v>1</v>
      </c>
      <c r="C30" s="349">
        <v>0.98025048169556839</v>
      </c>
      <c r="D30" s="349">
        <v>0.98616071428571428</v>
      </c>
      <c r="E30" s="349">
        <v>0.98407960199004973</v>
      </c>
      <c r="F30" s="349">
        <v>0.98671435871231472</v>
      </c>
      <c r="G30" s="349">
        <v>0.98244803695150118</v>
      </c>
      <c r="H30" s="349">
        <v>0.96430205949656755</v>
      </c>
      <c r="I30" s="383">
        <v>0.97856705450091852</v>
      </c>
      <c r="J30" s="383">
        <v>0.98029999999999995</v>
      </c>
      <c r="K30" s="349"/>
    </row>
    <row r="31" spans="1:11" x14ac:dyDescent="0.2">
      <c r="A31" s="286"/>
      <c r="B31" s="312" t="s">
        <v>0</v>
      </c>
      <c r="C31" s="354">
        <v>0.99094111726220435</v>
      </c>
      <c r="D31" s="354">
        <v>0.98326959847036333</v>
      </c>
      <c r="E31" s="354">
        <v>0.9905133928571429</v>
      </c>
      <c r="F31" s="354">
        <v>0.99531889994148626</v>
      </c>
      <c r="G31" s="354">
        <v>0.9948320413436692</v>
      </c>
      <c r="H31" s="354">
        <v>0.98523421588594706</v>
      </c>
      <c r="I31" s="390">
        <v>0.99251870324189528</v>
      </c>
      <c r="J31" s="390">
        <v>0.99009999999999998</v>
      </c>
      <c r="K31" s="354"/>
    </row>
    <row r="32" spans="1:11" ht="10.5" customHeight="1" x14ac:dyDescent="0.2">
      <c r="A32" s="392" t="s">
        <v>124</v>
      </c>
      <c r="B32" s="302" t="s">
        <v>113</v>
      </c>
      <c r="C32" s="342">
        <v>0.97454844006568142</v>
      </c>
      <c r="D32" s="342">
        <v>0.95173745173745172</v>
      </c>
      <c r="E32" s="349">
        <v>0.95600154380548052</v>
      </c>
      <c r="F32" s="349">
        <v>0.94866771159874608</v>
      </c>
      <c r="G32" s="349">
        <v>0.9622926093514329</v>
      </c>
      <c r="H32" s="349">
        <v>0.96241190289741585</v>
      </c>
      <c r="I32" s="383">
        <v>0.98383145516903481</v>
      </c>
      <c r="J32" s="383">
        <v>0.9622372071658245</v>
      </c>
      <c r="K32" s="423">
        <v>1.0314830365387153</v>
      </c>
    </row>
    <row r="33" spans="1:11" x14ac:dyDescent="0.2">
      <c r="A33" s="393"/>
      <c r="B33" s="309" t="s">
        <v>1</v>
      </c>
      <c r="C33" s="349">
        <v>0.95888285492629943</v>
      </c>
      <c r="D33" s="349">
        <v>0.94402420574886536</v>
      </c>
      <c r="E33" s="349">
        <v>0.93873085339168494</v>
      </c>
      <c r="F33" s="349">
        <v>0.92205882352941182</v>
      </c>
      <c r="G33" s="349">
        <v>0.95121951219512191</v>
      </c>
      <c r="H33" s="349">
        <v>0.95701357466063353</v>
      </c>
      <c r="I33" s="383">
        <v>0.97672162948593599</v>
      </c>
      <c r="J33" s="383">
        <v>0.94514399700785434</v>
      </c>
      <c r="K33" s="349"/>
    </row>
    <row r="34" spans="1:11" x14ac:dyDescent="0.2">
      <c r="A34" s="286"/>
      <c r="B34" s="312" t="s">
        <v>0</v>
      </c>
      <c r="C34" s="354">
        <v>0.97907585004359199</v>
      </c>
      <c r="D34" s="354">
        <v>0.95977917981072558</v>
      </c>
      <c r="E34" s="354">
        <v>0.97540983606557374</v>
      </c>
      <c r="F34" s="354">
        <v>0.97902684563758391</v>
      </c>
      <c r="G34" s="354">
        <v>0.97382602001539642</v>
      </c>
      <c r="H34" s="354">
        <v>0.96824104234527686</v>
      </c>
      <c r="I34" s="390">
        <v>0.99108910891089108</v>
      </c>
      <c r="J34" s="390">
        <v>0.9749000000000001</v>
      </c>
      <c r="K34" s="354"/>
    </row>
    <row r="35" spans="1:11" x14ac:dyDescent="0.2">
      <c r="A35" s="301" t="s">
        <v>125</v>
      </c>
      <c r="B35" s="302" t="s">
        <v>113</v>
      </c>
      <c r="C35" s="342">
        <v>0.96877661084303146</v>
      </c>
      <c r="D35" s="342">
        <v>0.93355667225013961</v>
      </c>
      <c r="E35" s="349">
        <v>0.9253065774804905</v>
      </c>
      <c r="F35" s="349">
        <v>0.91713961407491484</v>
      </c>
      <c r="G35" s="349">
        <v>0.92645530145530142</v>
      </c>
      <c r="H35" s="349">
        <v>0.93985587583148555</v>
      </c>
      <c r="I35" s="383">
        <v>0.96596768649020281</v>
      </c>
      <c r="J35" s="383">
        <v>0.93873794646489295</v>
      </c>
      <c r="K35" s="423">
        <v>1.0651958329304843</v>
      </c>
    </row>
    <row r="36" spans="1:11" ht="12" x14ac:dyDescent="0.2">
      <c r="A36" s="347"/>
      <c r="B36" s="309" t="s">
        <v>1</v>
      </c>
      <c r="C36" s="349">
        <v>0.95853269537480068</v>
      </c>
      <c r="D36" s="349">
        <v>0.91111111111111109</v>
      </c>
      <c r="E36" s="349">
        <v>0.90310689836756186</v>
      </c>
      <c r="F36" s="349">
        <v>0.88100436681222705</v>
      </c>
      <c r="G36" s="349">
        <v>0.88585607940446653</v>
      </c>
      <c r="H36" s="349">
        <v>0.89968321013727559</v>
      </c>
      <c r="I36" s="383">
        <v>0.95926412614980294</v>
      </c>
      <c r="J36" s="383">
        <v>0.90640609937779337</v>
      </c>
      <c r="K36" s="349"/>
    </row>
    <row r="37" spans="1:11" x14ac:dyDescent="0.2">
      <c r="A37" s="286"/>
      <c r="B37" s="312" t="s">
        <v>0</v>
      </c>
      <c r="C37" s="354">
        <v>0.97807551766138856</v>
      </c>
      <c r="D37" s="354">
        <v>0.95862884160756501</v>
      </c>
      <c r="E37" s="354">
        <v>0.95026642984014209</v>
      </c>
      <c r="F37" s="354">
        <v>0.95626477541371158</v>
      </c>
      <c r="G37" s="354">
        <v>0.96563011456628478</v>
      </c>
      <c r="H37" s="354">
        <v>0.97957992998833143</v>
      </c>
      <c r="I37" s="390">
        <v>0.97332372025955294</v>
      </c>
      <c r="J37" s="390">
        <v>0.96549999999999991</v>
      </c>
      <c r="K37" s="354"/>
    </row>
    <row r="38" spans="1:11" x14ac:dyDescent="0.2">
      <c r="A38" s="301" t="s">
        <v>126</v>
      </c>
      <c r="B38" s="302" t="s">
        <v>113</v>
      </c>
      <c r="C38" s="342">
        <v>0.98824833702882486</v>
      </c>
      <c r="D38" s="342">
        <v>0.98430962343096229</v>
      </c>
      <c r="E38" s="349">
        <v>0.98844061650045334</v>
      </c>
      <c r="F38" s="349">
        <v>0.98283564542675761</v>
      </c>
      <c r="G38" s="349">
        <v>0.98264462809917352</v>
      </c>
      <c r="H38" s="349">
        <v>0.98832084618774796</v>
      </c>
      <c r="I38" s="383">
        <v>0.98525469168900803</v>
      </c>
      <c r="J38" s="383">
        <v>0.98560659305282805</v>
      </c>
      <c r="K38" s="423">
        <v>1.0120518843836177</v>
      </c>
    </row>
    <row r="39" spans="1:11" x14ac:dyDescent="0.2">
      <c r="A39" s="155"/>
      <c r="B39" s="309" t="s">
        <v>1</v>
      </c>
      <c r="C39" s="349">
        <v>0.98606878537222464</v>
      </c>
      <c r="D39" s="349">
        <v>0.98073063026896823</v>
      </c>
      <c r="E39" s="349">
        <v>0.97654867256637168</v>
      </c>
      <c r="F39" s="349">
        <v>0.97092511013215854</v>
      </c>
      <c r="G39" s="349">
        <v>0.97740585774058575</v>
      </c>
      <c r="H39" s="349">
        <v>0.97885835095137419</v>
      </c>
      <c r="I39" s="383">
        <v>0.9837526205450734</v>
      </c>
      <c r="J39" s="383">
        <v>0.97909999999999997</v>
      </c>
      <c r="K39" s="349"/>
    </row>
    <row r="40" spans="1:11" x14ac:dyDescent="0.2">
      <c r="A40" s="286"/>
      <c r="B40" s="312" t="s">
        <v>0</v>
      </c>
      <c r="C40" s="354">
        <v>0.98915499322187073</v>
      </c>
      <c r="D40" s="354">
        <v>0.98776758409785936</v>
      </c>
      <c r="E40" s="354">
        <v>0.99488847583643125</v>
      </c>
      <c r="F40" s="354">
        <v>0.99394856278366117</v>
      </c>
      <c r="G40" s="354">
        <v>0.98775510204081629</v>
      </c>
      <c r="H40" s="354">
        <v>0.99677864703175334</v>
      </c>
      <c r="I40" s="390">
        <v>0.98682766190998905</v>
      </c>
      <c r="J40" s="390">
        <v>0.9909</v>
      </c>
      <c r="K40" s="354"/>
    </row>
    <row r="41" spans="1:11" x14ac:dyDescent="0.2">
      <c r="A41" s="301" t="s">
        <v>127</v>
      </c>
      <c r="B41" s="302" t="s">
        <v>113</v>
      </c>
      <c r="C41" s="342">
        <v>0.98671560915923795</v>
      </c>
      <c r="D41" s="342">
        <v>0.98080393765381457</v>
      </c>
      <c r="E41" s="349">
        <v>0.98184961106309421</v>
      </c>
      <c r="F41" s="349">
        <v>0.98349600709849161</v>
      </c>
      <c r="G41" s="349">
        <v>0.98009463207701097</v>
      </c>
      <c r="H41" s="349">
        <v>0.97850000000000004</v>
      </c>
      <c r="I41" s="383">
        <v>0.98352752109280839</v>
      </c>
      <c r="J41" s="383">
        <v>0.98198999082864435</v>
      </c>
      <c r="K41" s="423">
        <v>1.0130216343689122</v>
      </c>
    </row>
    <row r="42" spans="1:11" x14ac:dyDescent="0.2">
      <c r="A42" s="155"/>
      <c r="B42" s="309" t="s">
        <v>1</v>
      </c>
      <c r="C42" s="349">
        <v>0.98288257446080107</v>
      </c>
      <c r="D42" s="349">
        <v>0.97298156389065482</v>
      </c>
      <c r="E42" s="349">
        <v>0.97906281156530406</v>
      </c>
      <c r="F42" s="349">
        <v>0.97218453188602438</v>
      </c>
      <c r="G42" s="349">
        <v>0.97482472912683238</v>
      </c>
      <c r="H42" s="349">
        <v>0.97006182883176051</v>
      </c>
      <c r="I42" s="383">
        <v>0.97630147630147635</v>
      </c>
      <c r="J42" s="383">
        <v>0.97529999999999994</v>
      </c>
      <c r="K42" s="349"/>
    </row>
    <row r="43" spans="1:11" x14ac:dyDescent="0.2">
      <c r="A43" s="286"/>
      <c r="B43" s="312" t="s">
        <v>0</v>
      </c>
      <c r="C43" s="354">
        <v>0.99071428571428566</v>
      </c>
      <c r="D43" s="354">
        <v>0.9871142760257714</v>
      </c>
      <c r="E43" s="354">
        <v>0.98451008645533145</v>
      </c>
      <c r="F43" s="354">
        <v>0.99032378116858955</v>
      </c>
      <c r="G43" s="354">
        <v>0.98562353727850216</v>
      </c>
      <c r="H43" s="354">
        <v>0.98735907072087459</v>
      </c>
      <c r="I43" s="390">
        <v>0.99126455906821964</v>
      </c>
      <c r="J43" s="390">
        <v>0.98799999999999999</v>
      </c>
      <c r="K43" s="354"/>
    </row>
    <row r="44" spans="1:11" s="385" customFormat="1" x14ac:dyDescent="0.2">
      <c r="A44" s="315" t="s">
        <v>15</v>
      </c>
      <c r="B44" s="316" t="s">
        <v>113</v>
      </c>
      <c r="C44" s="318">
        <v>0.97435943347239884</v>
      </c>
      <c r="D44" s="318">
        <v>0.96254087117061937</v>
      </c>
      <c r="E44" s="326">
        <v>0.96415908602535638</v>
      </c>
      <c r="F44" s="326">
        <v>0.96050017097492679</v>
      </c>
      <c r="G44" s="326">
        <v>0.96575285043594905</v>
      </c>
      <c r="H44" s="326">
        <v>0.96413371203845311</v>
      </c>
      <c r="I44" s="326">
        <v>0.97929190975842406</v>
      </c>
      <c r="J44" s="326">
        <v>0.96524991669198934</v>
      </c>
      <c r="K44" s="424">
        <v>1.0248621829637821</v>
      </c>
    </row>
    <row r="45" spans="1:11" s="385" customFormat="1" x14ac:dyDescent="0.2">
      <c r="A45" s="323"/>
      <c r="B45" s="324" t="s">
        <v>1</v>
      </c>
      <c r="C45" s="326">
        <v>0.96927475328522472</v>
      </c>
      <c r="D45" s="326">
        <v>0.95456128422414221</v>
      </c>
      <c r="E45" s="326">
        <v>0.95224757715306896</v>
      </c>
      <c r="F45" s="326">
        <v>0.94597424353470838</v>
      </c>
      <c r="G45" s="326">
        <v>0.95214789762934537</v>
      </c>
      <c r="H45" s="326">
        <v>0.94902140828784709</v>
      </c>
      <c r="I45" s="326">
        <v>0.97142128093901503</v>
      </c>
      <c r="J45" s="326">
        <v>0.9538648754718686</v>
      </c>
      <c r="K45" s="397"/>
    </row>
    <row r="46" spans="1:11" s="385" customFormat="1" ht="12" thickBot="1" x14ac:dyDescent="0.25">
      <c r="A46" s="330"/>
      <c r="B46" s="331" t="s">
        <v>0</v>
      </c>
      <c r="C46" s="333">
        <v>0.9798638948447842</v>
      </c>
      <c r="D46" s="333">
        <v>0.97119326764007763</v>
      </c>
      <c r="E46" s="333">
        <v>0.97711807373065129</v>
      </c>
      <c r="F46" s="333">
        <v>0.97685521739984671</v>
      </c>
      <c r="G46" s="333">
        <v>0.98023469140503305</v>
      </c>
      <c r="H46" s="333">
        <v>0.98011363636363635</v>
      </c>
      <c r="I46" s="333">
        <v>0.98787386969626712</v>
      </c>
      <c r="J46" s="333">
        <v>0.97758003852857533</v>
      </c>
      <c r="K46" s="398"/>
    </row>
  </sheetData>
  <sheetProtection algorithmName="SHA-512" hashValue="ggANCqgCVCX2eEQNnxDxh+kyvA98qfhwD4Y0LJSWB1w8azE2+3RmwGUX+aYOs1BcVNW0aMmftyBrc535S8X99g==" saltValue="2qcFQ2+BMWrHmwfXfm8R2Q==" spinCount="100000" sheet="1" objects="1" scenarios="1"/>
  <mergeCells count="31">
    <mergeCell ref="GF3:GO3"/>
    <mergeCell ref="GP1:GY1"/>
    <mergeCell ref="A2:K2"/>
    <mergeCell ref="BP2:BY2"/>
    <mergeCell ref="BZ2:CI2"/>
    <mergeCell ref="CJ2:CS2"/>
    <mergeCell ref="FV2:GE2"/>
    <mergeCell ref="GF2:GO2"/>
    <mergeCell ref="GP2:GY2"/>
    <mergeCell ref="A1:K1"/>
    <mergeCell ref="BP1:BY1"/>
    <mergeCell ref="BZ1:CI1"/>
    <mergeCell ref="CJ1:CS1"/>
    <mergeCell ref="FV1:GE1"/>
    <mergeCell ref="GF1:GO1"/>
    <mergeCell ref="B9:B10"/>
    <mergeCell ref="A6:K6"/>
    <mergeCell ref="GP3:GY3"/>
    <mergeCell ref="A4:K4"/>
    <mergeCell ref="A5:K5"/>
    <mergeCell ref="BP5:BY5"/>
    <mergeCell ref="BZ5:CI5"/>
    <mergeCell ref="CJ5:CS5"/>
    <mergeCell ref="FV5:GE5"/>
    <mergeCell ref="GF5:GO5"/>
    <mergeCell ref="GP5:GY5"/>
    <mergeCell ref="A3:K3"/>
    <mergeCell ref="BP3:BY3"/>
    <mergeCell ref="BZ3:CI3"/>
    <mergeCell ref="CJ3:CS3"/>
    <mergeCell ref="FV3:GE3"/>
  </mergeCells>
  <printOptions horizontalCentered="1"/>
  <pageMargins left="0" right="0" top="1" bottom="0.75" header="0.5" footer="0.35"/>
  <pageSetup paperSize="9" scale="85" orientation="portrait" horizontalDpi="300" verticalDpi="300" r:id="rId1"/>
  <headerFooter alignWithMargins="0">
    <oddFooter>&amp;C&amp;8Page &amp;P of &amp;N</oddFooter>
  </headerFooter>
  <picture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442D-608B-4A29-8780-5A3889A6AE5B}">
  <sheetPr>
    <tabColor rgb="FF0000FF"/>
    <pageSetUpPr fitToPage="1"/>
  </sheetPr>
  <dimension ref="A1:N46"/>
  <sheetViews>
    <sheetView showGridLines="0" zoomScaleNormal="100" workbookViewId="0">
      <pane xSplit="1" ySplit="8" topLeftCell="B9" activePane="bottomRight" state="frozen"/>
      <selection activeCell="A9" sqref="A9:A12"/>
      <selection pane="topRight" activeCell="A9" sqref="A9:A12"/>
      <selection pane="bottomLeft" activeCell="A9" sqref="A9:A12"/>
      <selection pane="bottomRight" activeCell="A9" sqref="A9:A12"/>
    </sheetView>
  </sheetViews>
  <sheetFormatPr defaultColWidth="9.140625" defaultRowHeight="11.25" x14ac:dyDescent="0.2"/>
  <cols>
    <col min="1" max="1" width="40.140625" style="359" customWidth="1"/>
    <col min="2" max="2" width="9.140625" style="143" bestFit="1" customWidth="1"/>
    <col min="3" max="5" width="6.85546875" style="263" bestFit="1" customWidth="1"/>
    <col min="6" max="6" width="7" style="263" bestFit="1" customWidth="1"/>
    <col min="7" max="7" width="6.5703125" style="263" bestFit="1" customWidth="1"/>
    <col min="8" max="8" width="7" style="263" bestFit="1" customWidth="1"/>
    <col min="9" max="9" width="8.85546875" style="263" bestFit="1" customWidth="1"/>
    <col min="10" max="10" width="9.42578125" style="263" bestFit="1" customWidth="1"/>
    <col min="11" max="11" width="10.7109375" style="264" customWidth="1"/>
    <col min="12" max="12" width="5.42578125" style="264" bestFit="1" customWidth="1"/>
    <col min="13" max="13" width="8.85546875" style="264" bestFit="1" customWidth="1"/>
    <col min="14" max="14" width="8.42578125" style="193" bestFit="1" customWidth="1"/>
    <col min="15" max="18" width="1.5703125" style="143" bestFit="1" customWidth="1"/>
    <col min="19" max="16384" width="9.140625" style="143"/>
  </cols>
  <sheetData>
    <row r="1" spans="1:14" x14ac:dyDescent="0.2">
      <c r="A1" s="584" t="s">
        <v>23</v>
      </c>
      <c r="B1" s="584"/>
      <c r="C1" s="584"/>
      <c r="D1" s="584"/>
      <c r="E1" s="584"/>
      <c r="F1" s="584"/>
      <c r="G1" s="584"/>
      <c r="H1" s="584"/>
      <c r="I1" s="584"/>
      <c r="J1" s="584"/>
      <c r="K1" s="584"/>
      <c r="L1" s="584"/>
      <c r="M1" s="584"/>
      <c r="N1" s="584"/>
    </row>
    <row r="2" spans="1:14" x14ac:dyDescent="0.2">
      <c r="A2" s="584" t="s">
        <v>91</v>
      </c>
      <c r="B2" s="584"/>
      <c r="C2" s="584"/>
      <c r="D2" s="584"/>
      <c r="E2" s="584"/>
      <c r="F2" s="584"/>
      <c r="G2" s="584"/>
      <c r="H2" s="584"/>
      <c r="I2" s="584"/>
      <c r="J2" s="584"/>
      <c r="K2" s="584"/>
      <c r="L2" s="584"/>
      <c r="M2" s="584"/>
      <c r="N2" s="584"/>
    </row>
    <row r="3" spans="1:14" ht="12.75" x14ac:dyDescent="0.2">
      <c r="A3" s="619" t="s">
        <v>92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  <c r="M3" s="619"/>
      <c r="N3" s="619"/>
    </row>
    <row r="4" spans="1:14" ht="12.75" x14ac:dyDescent="0.2">
      <c r="A4" s="619" t="s">
        <v>139</v>
      </c>
      <c r="B4" s="619"/>
      <c r="C4" s="619"/>
      <c r="D4" s="619"/>
      <c r="E4" s="619"/>
      <c r="F4" s="619"/>
      <c r="G4" s="619"/>
      <c r="H4" s="619"/>
      <c r="I4" s="619"/>
      <c r="J4" s="619"/>
      <c r="K4" s="619"/>
      <c r="L4" s="619"/>
      <c r="M4" s="619"/>
      <c r="N4" s="619"/>
    </row>
    <row r="5" spans="1:14" ht="12.75" x14ac:dyDescent="0.2">
      <c r="A5" s="620" t="s">
        <v>64</v>
      </c>
      <c r="B5" s="620"/>
      <c r="C5" s="620"/>
      <c r="D5" s="620"/>
      <c r="E5" s="620"/>
      <c r="F5" s="620"/>
      <c r="G5" s="620"/>
      <c r="H5" s="620"/>
      <c r="I5" s="620"/>
      <c r="J5" s="620"/>
      <c r="K5" s="620"/>
      <c r="L5" s="620"/>
      <c r="M5" s="620"/>
      <c r="N5" s="620"/>
    </row>
    <row r="6" spans="1:14" ht="12.75" x14ac:dyDescent="0.2">
      <c r="A6" s="425"/>
      <c r="B6" s="426"/>
      <c r="C6" s="426"/>
      <c r="D6" s="426"/>
      <c r="E6" s="426"/>
      <c r="F6" s="426"/>
      <c r="G6" s="426"/>
      <c r="H6" s="426"/>
      <c r="I6" s="426"/>
      <c r="J6" s="426"/>
      <c r="K6" s="426"/>
      <c r="L6" s="426"/>
      <c r="M6" s="426"/>
      <c r="N6" s="426"/>
    </row>
    <row r="7" spans="1:14" ht="12.75" x14ac:dyDescent="0.2">
      <c r="A7" s="259"/>
      <c r="B7" s="259"/>
      <c r="C7" s="259"/>
      <c r="D7" s="259"/>
      <c r="E7" s="259"/>
      <c r="F7" s="259"/>
      <c r="G7" s="259"/>
      <c r="H7" s="259"/>
      <c r="I7" s="259"/>
      <c r="J7" s="259"/>
      <c r="K7" s="259"/>
      <c r="L7" s="260"/>
      <c r="M7" s="260"/>
      <c r="N7" s="260"/>
    </row>
    <row r="8" spans="1:14" ht="13.5" thickBot="1" x14ac:dyDescent="0.25">
      <c r="A8" s="261" t="s">
        <v>94</v>
      </c>
      <c r="B8" s="365"/>
      <c r="H8" s="259"/>
    </row>
    <row r="9" spans="1:14" ht="11.45" customHeight="1" x14ac:dyDescent="0.25">
      <c r="A9" s="339" t="s">
        <v>114</v>
      </c>
      <c r="B9" s="615" t="s">
        <v>95</v>
      </c>
      <c r="C9" s="635" t="s">
        <v>96</v>
      </c>
      <c r="D9" s="617"/>
      <c r="E9" s="617"/>
      <c r="F9" s="617"/>
      <c r="G9" s="617"/>
      <c r="H9" s="265" t="s">
        <v>97</v>
      </c>
      <c r="I9" s="299" t="s">
        <v>98</v>
      </c>
      <c r="J9" s="299" t="s">
        <v>99</v>
      </c>
      <c r="K9" s="431" t="s">
        <v>100</v>
      </c>
      <c r="L9" s="268" t="s">
        <v>101</v>
      </c>
      <c r="M9" s="269" t="s">
        <v>101</v>
      </c>
      <c r="N9" s="270" t="s">
        <v>101</v>
      </c>
    </row>
    <row r="10" spans="1:14" ht="17.100000000000001" customHeight="1" thickBot="1" x14ac:dyDescent="0.3">
      <c r="A10" s="340"/>
      <c r="B10" s="616"/>
      <c r="C10" s="272" t="s">
        <v>103</v>
      </c>
      <c r="D10" s="272" t="s">
        <v>104</v>
      </c>
      <c r="E10" s="272" t="s">
        <v>105</v>
      </c>
      <c r="F10" s="272" t="s">
        <v>106</v>
      </c>
      <c r="G10" s="272" t="s">
        <v>107</v>
      </c>
      <c r="H10" s="272" t="s">
        <v>108</v>
      </c>
      <c r="I10" s="300" t="s">
        <v>109</v>
      </c>
      <c r="J10" s="300" t="s">
        <v>110</v>
      </c>
      <c r="K10" s="432" t="s">
        <v>111</v>
      </c>
      <c r="L10" s="277" t="s">
        <v>112</v>
      </c>
      <c r="M10" s="278" t="s">
        <v>98</v>
      </c>
      <c r="N10" s="279" t="s">
        <v>99</v>
      </c>
    </row>
    <row r="11" spans="1:14" x14ac:dyDescent="0.2">
      <c r="A11" s="301" t="s">
        <v>117</v>
      </c>
      <c r="B11" s="302" t="s">
        <v>2</v>
      </c>
      <c r="C11" s="436">
        <v>1</v>
      </c>
      <c r="D11" s="437">
        <v>0.99888375059652945</v>
      </c>
      <c r="E11" s="437">
        <v>0.99706527349260188</v>
      </c>
      <c r="F11" s="437">
        <v>0.99212930662753707</v>
      </c>
      <c r="G11" s="437">
        <v>0.98370374584146925</v>
      </c>
      <c r="H11" s="438">
        <v>0.9734264433711759</v>
      </c>
      <c r="I11" s="436">
        <v>0.96932487984563764</v>
      </c>
      <c r="J11" s="437">
        <v>0.96662621666022797</v>
      </c>
      <c r="K11" s="439">
        <v>6.2071562891502019</v>
      </c>
      <c r="L11" s="308">
        <f>H13/H12</f>
        <v>1.0494908296366341</v>
      </c>
      <c r="M11" s="280">
        <f>I13/I12</f>
        <v>1.0568693623395355</v>
      </c>
      <c r="N11" s="281">
        <f>J13/J12</f>
        <v>1.0490201085415229</v>
      </c>
    </row>
    <row r="12" spans="1:14" x14ac:dyDescent="0.2">
      <c r="A12" s="155"/>
      <c r="B12" s="309" t="s">
        <v>1</v>
      </c>
      <c r="C12" s="351">
        <v>1</v>
      </c>
      <c r="D12" s="383">
        <v>0.99844905132883022</v>
      </c>
      <c r="E12" s="383">
        <v>0.99334034934755544</v>
      </c>
      <c r="F12" s="383">
        <v>0.98670271979688595</v>
      </c>
      <c r="G12" s="383">
        <v>0.96935696361684198</v>
      </c>
      <c r="H12" s="350">
        <v>0.94929845567618432</v>
      </c>
      <c r="I12" s="351">
        <v>0.94218246249238669</v>
      </c>
      <c r="J12" s="383">
        <v>0.94367519079144424</v>
      </c>
      <c r="K12" s="430">
        <v>6.3581198897132207</v>
      </c>
      <c r="L12" s="311"/>
      <c r="M12" s="284"/>
      <c r="N12" s="285"/>
    </row>
    <row r="13" spans="1:14" x14ac:dyDescent="0.2">
      <c r="A13" s="286"/>
      <c r="B13" s="312" t="s">
        <v>0</v>
      </c>
      <c r="C13" s="356">
        <v>1</v>
      </c>
      <c r="D13" s="390">
        <v>0.99934365257328706</v>
      </c>
      <c r="E13" s="390">
        <v>0.9993436525635524</v>
      </c>
      <c r="F13" s="390">
        <v>0.99628002389223858</v>
      </c>
      <c r="G13" s="390">
        <v>0.99628002386072412</v>
      </c>
      <c r="H13" s="355">
        <v>0.99628002382037428</v>
      </c>
      <c r="I13" s="356">
        <v>0.99576377834182206</v>
      </c>
      <c r="J13" s="390">
        <v>0.98993425107198318</v>
      </c>
      <c r="K13" s="440">
        <v>6.0610085907247884</v>
      </c>
      <c r="L13" s="433"/>
      <c r="M13" s="289"/>
      <c r="N13" s="290"/>
    </row>
    <row r="14" spans="1:14" ht="10.5" customHeight="1" x14ac:dyDescent="0.2">
      <c r="A14" s="301" t="s">
        <v>118</v>
      </c>
      <c r="B14" s="302" t="s">
        <v>2</v>
      </c>
      <c r="C14" s="351">
        <v>1</v>
      </c>
      <c r="D14" s="383">
        <v>0.99580816161233499</v>
      </c>
      <c r="E14" s="383">
        <v>0.98431244913369464</v>
      </c>
      <c r="F14" s="383">
        <v>0.96908598636001109</v>
      </c>
      <c r="G14" s="383">
        <v>0.9526213064129635</v>
      </c>
      <c r="H14" s="350">
        <v>0.93296851472247921</v>
      </c>
      <c r="I14" s="351">
        <v>0.9190278482773544</v>
      </c>
      <c r="J14" s="383">
        <v>0.9224788715638681</v>
      </c>
      <c r="K14" s="430">
        <v>6.5042140096154908</v>
      </c>
      <c r="L14" s="311">
        <f t="shared" ref="L14:N14" si="0">H16/H15</f>
        <v>1.0572290732598288</v>
      </c>
      <c r="M14" s="284">
        <f t="shared" si="0"/>
        <v>1.0691932190771052</v>
      </c>
      <c r="N14" s="285">
        <f t="shared" si="0"/>
        <v>1.0628371979135598</v>
      </c>
    </row>
    <row r="15" spans="1:14" x14ac:dyDescent="0.2">
      <c r="A15" s="155"/>
      <c r="B15" s="309" t="s">
        <v>1</v>
      </c>
      <c r="C15" s="351">
        <v>1</v>
      </c>
      <c r="D15" s="383">
        <v>0.99044247719064848</v>
      </c>
      <c r="E15" s="383">
        <v>0.9755398361903681</v>
      </c>
      <c r="F15" s="383">
        <v>0.95595947155414718</v>
      </c>
      <c r="G15" s="383">
        <v>0.93403032145327036</v>
      </c>
      <c r="H15" s="350">
        <v>0.90740908922207608</v>
      </c>
      <c r="I15" s="351">
        <v>0.88904048100093847</v>
      </c>
      <c r="J15" s="383">
        <v>0.89553273137683331</v>
      </c>
      <c r="K15" s="430">
        <v>6.6999226156427838</v>
      </c>
      <c r="L15" s="311"/>
      <c r="M15" s="284"/>
      <c r="N15" s="285"/>
    </row>
    <row r="16" spans="1:14" x14ac:dyDescent="0.2">
      <c r="A16" s="286"/>
      <c r="B16" s="312" t="s">
        <v>0</v>
      </c>
      <c r="C16" s="356">
        <v>1</v>
      </c>
      <c r="D16" s="390">
        <v>0.99999999998573375</v>
      </c>
      <c r="E16" s="390">
        <v>0.99224411899850529</v>
      </c>
      <c r="F16" s="390">
        <v>0.98207823066338207</v>
      </c>
      <c r="G16" s="390">
        <v>0.97145451783661685</v>
      </c>
      <c r="H16" s="355">
        <v>0.95933927046580081</v>
      </c>
      <c r="I16" s="356">
        <v>0.95055605377125141</v>
      </c>
      <c r="J16" s="390">
        <v>0.95180549885643018</v>
      </c>
      <c r="K16" s="440">
        <v>6.303808926517914</v>
      </c>
      <c r="L16" s="433"/>
      <c r="M16" s="289"/>
      <c r="N16" s="290"/>
    </row>
    <row r="17" spans="1:14" x14ac:dyDescent="0.2">
      <c r="A17" s="301" t="s">
        <v>119</v>
      </c>
      <c r="B17" s="302" t="s">
        <v>2</v>
      </c>
      <c r="C17" s="351">
        <v>1</v>
      </c>
      <c r="D17" s="383">
        <v>0.98708487084662322</v>
      </c>
      <c r="E17" s="383">
        <v>0.97014710928083447</v>
      </c>
      <c r="F17" s="383">
        <v>0.94840108138684731</v>
      </c>
      <c r="G17" s="383">
        <v>0.94169166076510658</v>
      </c>
      <c r="H17" s="350">
        <v>0.91524155226088133</v>
      </c>
      <c r="I17" s="351">
        <v>0.90970217032513012</v>
      </c>
      <c r="J17" s="383">
        <v>0.93432071849026943</v>
      </c>
      <c r="K17" s="430">
        <v>6.421777748539232</v>
      </c>
      <c r="L17" s="311">
        <f t="shared" ref="L17:N17" si="1">H19/H18</f>
        <v>1.0202271438753945</v>
      </c>
      <c r="M17" s="284">
        <f t="shared" si="1"/>
        <v>1.0234895821335317</v>
      </c>
      <c r="N17" s="291">
        <f t="shared" si="1"/>
        <v>1.027906009878131</v>
      </c>
    </row>
    <row r="18" spans="1:14" x14ac:dyDescent="0.2">
      <c r="A18" s="155"/>
      <c r="B18" s="309" t="s">
        <v>1</v>
      </c>
      <c r="C18" s="351">
        <v>1</v>
      </c>
      <c r="D18" s="383">
        <v>0.99063063061980527</v>
      </c>
      <c r="E18" s="383">
        <v>0.97195642583660991</v>
      </c>
      <c r="F18" s="383">
        <v>0.9426373067478282</v>
      </c>
      <c r="G18" s="383">
        <v>0.93627254396780601</v>
      </c>
      <c r="H18" s="350">
        <v>0.90664055408660438</v>
      </c>
      <c r="I18" s="351">
        <v>0.89977856304262083</v>
      </c>
      <c r="J18" s="383">
        <v>0.92208201333850948</v>
      </c>
      <c r="K18" s="430">
        <v>6.5070133818967735</v>
      </c>
      <c r="L18" s="311"/>
      <c r="M18" s="284"/>
      <c r="N18" s="285"/>
    </row>
    <row r="19" spans="1:14" x14ac:dyDescent="0.2">
      <c r="A19" s="286"/>
      <c r="B19" s="312" t="s">
        <v>0</v>
      </c>
      <c r="C19" s="356">
        <v>1</v>
      </c>
      <c r="D19" s="390">
        <v>0.98336483931926433</v>
      </c>
      <c r="E19" s="390">
        <v>0.96825358553246399</v>
      </c>
      <c r="F19" s="390">
        <v>0.95508717586546177</v>
      </c>
      <c r="G19" s="390">
        <v>0.94802462233422269</v>
      </c>
      <c r="H19" s="355">
        <v>0.9249793030173814</v>
      </c>
      <c r="I19" s="356">
        <v>0.92091398550120152</v>
      </c>
      <c r="J19" s="390">
        <v>0.94781364311118088</v>
      </c>
      <c r="K19" s="440">
        <v>6.3303583395414202</v>
      </c>
      <c r="L19" s="433"/>
      <c r="M19" s="289"/>
      <c r="N19" s="290"/>
    </row>
    <row r="20" spans="1:14" x14ac:dyDescent="0.2">
      <c r="A20" s="301" t="s">
        <v>120</v>
      </c>
      <c r="B20" s="302" t="s">
        <v>2</v>
      </c>
      <c r="C20" s="351">
        <v>1</v>
      </c>
      <c r="D20" s="383">
        <v>0.9984879032090791</v>
      </c>
      <c r="E20" s="383">
        <v>0.99117260585244771</v>
      </c>
      <c r="F20" s="383">
        <v>0.97698090747104605</v>
      </c>
      <c r="G20" s="383">
        <v>0.95741372638999644</v>
      </c>
      <c r="H20" s="350">
        <v>0.93323052501572046</v>
      </c>
      <c r="I20" s="351">
        <v>0.92203668394787563</v>
      </c>
      <c r="J20" s="383">
        <v>0.9275341229065357</v>
      </c>
      <c r="K20" s="430">
        <v>6.4687647082980675</v>
      </c>
      <c r="L20" s="311">
        <f t="shared" ref="L20:N20" si="2">H22/H21</f>
        <v>1.0524391316749784</v>
      </c>
      <c r="M20" s="284">
        <f t="shared" si="2"/>
        <v>1.0620567197928095</v>
      </c>
      <c r="N20" s="291">
        <f t="shared" si="2"/>
        <v>1.0615190483691415</v>
      </c>
    </row>
    <row r="21" spans="1:14" x14ac:dyDescent="0.2">
      <c r="A21" s="155"/>
      <c r="B21" s="309" t="s">
        <v>1</v>
      </c>
      <c r="C21" s="351">
        <v>1</v>
      </c>
      <c r="D21" s="383">
        <v>0.99999999992704669</v>
      </c>
      <c r="E21" s="383">
        <v>0.99043528957935589</v>
      </c>
      <c r="F21" s="383">
        <v>0.96902256974992018</v>
      </c>
      <c r="G21" s="383">
        <v>0.94276652139906536</v>
      </c>
      <c r="H21" s="350">
        <v>0.90903218286195897</v>
      </c>
      <c r="I21" s="351">
        <v>0.89414744489582065</v>
      </c>
      <c r="J21" s="383">
        <v>0.90072911261512045</v>
      </c>
      <c r="K21" s="430">
        <v>6.6612702042903624</v>
      </c>
      <c r="L21" s="311"/>
      <c r="M21" s="284"/>
      <c r="N21" s="285"/>
    </row>
    <row r="22" spans="1:14" x14ac:dyDescent="0.2">
      <c r="A22" s="286"/>
      <c r="B22" s="312" t="s">
        <v>0</v>
      </c>
      <c r="C22" s="356">
        <v>1</v>
      </c>
      <c r="D22" s="390">
        <v>0.99393051485766126</v>
      </c>
      <c r="E22" s="390">
        <v>0.98900295178540554</v>
      </c>
      <c r="F22" s="390">
        <v>0.98279492441495697</v>
      </c>
      <c r="G22" s="390">
        <v>0.97065213529628047</v>
      </c>
      <c r="H22" s="355">
        <v>0.95670104119585031</v>
      </c>
      <c r="I22" s="356">
        <v>0.94963530233717708</v>
      </c>
      <c r="J22" s="390">
        <v>0.9561411104615839</v>
      </c>
      <c r="K22" s="440">
        <v>6.2752243725860275</v>
      </c>
      <c r="L22" s="433"/>
      <c r="M22" s="289"/>
      <c r="N22" s="290"/>
    </row>
    <row r="23" spans="1:14" x14ac:dyDescent="0.2">
      <c r="A23" s="301" t="s">
        <v>121</v>
      </c>
      <c r="B23" s="302" t="s">
        <v>2</v>
      </c>
      <c r="C23" s="351">
        <v>1</v>
      </c>
      <c r="D23" s="383">
        <v>0.95282211759312774</v>
      </c>
      <c r="E23" s="383">
        <v>0.9130986175141429</v>
      </c>
      <c r="F23" s="383">
        <v>0.87009618989309212</v>
      </c>
      <c r="G23" s="383">
        <v>0.81653589982018882</v>
      </c>
      <c r="H23" s="350">
        <v>0.75892730728238667</v>
      </c>
      <c r="I23" s="351">
        <v>0.73008064897131264</v>
      </c>
      <c r="J23" s="383">
        <v>0.78352942318702612</v>
      </c>
      <c r="K23" s="430">
        <v>7.6576575460240477</v>
      </c>
      <c r="L23" s="311">
        <f t="shared" ref="L23:N23" si="3">H25/H24</f>
        <v>1.1745405047786781</v>
      </c>
      <c r="M23" s="284">
        <f t="shared" si="3"/>
        <v>1.2067775807914387</v>
      </c>
      <c r="N23" s="291">
        <f t="shared" si="3"/>
        <v>1.1805548966891213</v>
      </c>
    </row>
    <row r="24" spans="1:14" x14ac:dyDescent="0.2">
      <c r="A24" s="155"/>
      <c r="B24" s="309" t="s">
        <v>1</v>
      </c>
      <c r="C24" s="351">
        <v>1</v>
      </c>
      <c r="D24" s="383">
        <v>0.95196023363328763</v>
      </c>
      <c r="E24" s="383">
        <v>0.9011606337389314</v>
      </c>
      <c r="F24" s="383">
        <v>0.84478767582494119</v>
      </c>
      <c r="G24" s="383">
        <v>0.77422962908704762</v>
      </c>
      <c r="H24" s="350">
        <v>0.70066972857844489</v>
      </c>
      <c r="I24" s="351">
        <v>0.66510226638760139</v>
      </c>
      <c r="J24" s="383">
        <v>0.72145819715048987</v>
      </c>
      <c r="K24" s="430">
        <v>8.3164901635298101</v>
      </c>
      <c r="L24" s="311"/>
      <c r="M24" s="284"/>
      <c r="N24" s="285"/>
    </row>
    <row r="25" spans="1:14" x14ac:dyDescent="0.2">
      <c r="A25" s="286"/>
      <c r="B25" s="312" t="s">
        <v>0</v>
      </c>
      <c r="C25" s="356">
        <v>1</v>
      </c>
      <c r="D25" s="390">
        <v>0.95374189662249442</v>
      </c>
      <c r="E25" s="390">
        <v>0.92557694824864767</v>
      </c>
      <c r="F25" s="390">
        <v>0.89752911961883719</v>
      </c>
      <c r="G25" s="390">
        <v>0.8629482054424692</v>
      </c>
      <c r="H25" s="355">
        <v>0.82296497668766599</v>
      </c>
      <c r="I25" s="356">
        <v>0.80263050401013258</v>
      </c>
      <c r="J25" s="390">
        <v>0.85172100740251622</v>
      </c>
      <c r="K25" s="440">
        <v>7.0445603053729196</v>
      </c>
      <c r="L25" s="433"/>
      <c r="M25" s="289"/>
      <c r="N25" s="290"/>
    </row>
    <row r="26" spans="1:14" x14ac:dyDescent="0.2">
      <c r="A26" s="301" t="s">
        <v>122</v>
      </c>
      <c r="B26" s="302" t="s">
        <v>2</v>
      </c>
      <c r="C26" s="351">
        <v>1</v>
      </c>
      <c r="D26" s="383">
        <v>0.98167274016421591</v>
      </c>
      <c r="E26" s="383">
        <v>0.96277900202966138</v>
      </c>
      <c r="F26" s="383">
        <v>0.92803527012251286</v>
      </c>
      <c r="G26" s="383">
        <v>0.89375206813296282</v>
      </c>
      <c r="H26" s="350">
        <v>0.85813395600861819</v>
      </c>
      <c r="I26" s="351">
        <v>0.84486064848433018</v>
      </c>
      <c r="J26" s="383">
        <v>0.8644970577676947</v>
      </c>
      <c r="K26" s="430">
        <v>6.9404516141364399</v>
      </c>
      <c r="L26" s="441">
        <f t="shared" ref="L26:N26" si="4">H28/H27</f>
        <v>1.0631583150846142</v>
      </c>
      <c r="M26" s="293">
        <f t="shared" si="4"/>
        <v>1.0707095337834156</v>
      </c>
      <c r="N26" s="346">
        <f t="shared" si="4"/>
        <v>1.0794261008586588</v>
      </c>
    </row>
    <row r="27" spans="1:14" ht="12" x14ac:dyDescent="0.2">
      <c r="A27" s="347"/>
      <c r="B27" s="309" t="s">
        <v>1</v>
      </c>
      <c r="C27" s="351">
        <v>1</v>
      </c>
      <c r="D27" s="383">
        <v>0.98178255561299221</v>
      </c>
      <c r="E27" s="383">
        <v>0.95749045528902799</v>
      </c>
      <c r="F27" s="383">
        <v>0.9137090213126291</v>
      </c>
      <c r="G27" s="383">
        <v>0.87737014882694508</v>
      </c>
      <c r="H27" s="350">
        <v>0.83295282489218081</v>
      </c>
      <c r="I27" s="351">
        <v>0.81721064575870994</v>
      </c>
      <c r="J27" s="383">
        <v>0.83292842286137003</v>
      </c>
      <c r="K27" s="430">
        <v>7.2035001271635331</v>
      </c>
      <c r="L27" s="441"/>
      <c r="M27" s="293"/>
      <c r="N27" s="352"/>
    </row>
    <row r="28" spans="1:14" x14ac:dyDescent="0.2">
      <c r="A28" s="286"/>
      <c r="B28" s="312" t="s">
        <v>0</v>
      </c>
      <c r="C28" s="356">
        <v>1</v>
      </c>
      <c r="D28" s="390">
        <v>0.9815552293798091</v>
      </c>
      <c r="E28" s="390">
        <v>0.9683799877833662</v>
      </c>
      <c r="F28" s="390">
        <v>0.94382889535979952</v>
      </c>
      <c r="G28" s="390">
        <v>0.91175008512162026</v>
      </c>
      <c r="H28" s="355">
        <v>0.88556072185734069</v>
      </c>
      <c r="I28" s="356">
        <v>0.87499522952315234</v>
      </c>
      <c r="J28" s="390">
        <v>0.89908467978360085</v>
      </c>
      <c r="K28" s="440">
        <v>6.6734537190024525</v>
      </c>
      <c r="L28" s="442"/>
      <c r="M28" s="357"/>
      <c r="N28" s="358"/>
    </row>
    <row r="29" spans="1:14" x14ac:dyDescent="0.2">
      <c r="A29" s="301" t="s">
        <v>123</v>
      </c>
      <c r="B29" s="302" t="s">
        <v>2</v>
      </c>
      <c r="C29" s="351">
        <v>1</v>
      </c>
      <c r="D29" s="383">
        <v>0.99999999999980949</v>
      </c>
      <c r="E29" s="383">
        <v>0.99840425530635624</v>
      </c>
      <c r="F29" s="383">
        <v>0.99840425527852572</v>
      </c>
      <c r="G29" s="383">
        <v>0.99840425523135046</v>
      </c>
      <c r="H29" s="350">
        <v>0.982124604341296</v>
      </c>
      <c r="I29" s="351">
        <v>0.97418454223915718</v>
      </c>
      <c r="J29" s="383">
        <v>0.96793038906238849</v>
      </c>
      <c r="K29" s="430">
        <v>6.1987928758100672</v>
      </c>
      <c r="L29" s="441">
        <f t="shared" ref="L29:N29" si="5">H31/H30</f>
        <v>1.0225942566549662</v>
      </c>
      <c r="M29" s="293">
        <f t="shared" si="5"/>
        <v>1.028942276084019</v>
      </c>
      <c r="N29" s="346">
        <f t="shared" si="5"/>
        <v>1.0317646394339242</v>
      </c>
    </row>
    <row r="30" spans="1:14" x14ac:dyDescent="0.2">
      <c r="A30" s="155"/>
      <c r="B30" s="309" t="s">
        <v>1</v>
      </c>
      <c r="C30" s="351">
        <v>1</v>
      </c>
      <c r="D30" s="383">
        <v>0.99999999999990263</v>
      </c>
      <c r="E30" s="383">
        <v>0.99999999999186262</v>
      </c>
      <c r="F30" s="383">
        <v>0.99948240157754775</v>
      </c>
      <c r="G30" s="383">
        <v>0.99527109916879974</v>
      </c>
      <c r="H30" s="350">
        <v>0.96905554765855928</v>
      </c>
      <c r="I30" s="351">
        <v>0.95826161209012317</v>
      </c>
      <c r="J30" s="383">
        <v>0.95185517489822324</v>
      </c>
      <c r="K30" s="430">
        <v>6.3034799392056131</v>
      </c>
      <c r="L30" s="441"/>
      <c r="M30" s="293"/>
      <c r="N30" s="352"/>
    </row>
    <row r="31" spans="1:14" x14ac:dyDescent="0.2">
      <c r="A31" s="286"/>
      <c r="B31" s="312" t="s">
        <v>0</v>
      </c>
      <c r="C31" s="356">
        <v>1</v>
      </c>
      <c r="D31" s="390">
        <v>0.99999999999963307</v>
      </c>
      <c r="E31" s="390">
        <v>0.996071829383259</v>
      </c>
      <c r="F31" s="390">
        <v>0.99607182937252625</v>
      </c>
      <c r="G31" s="390">
        <v>0.99607182936008865</v>
      </c>
      <c r="H31" s="355">
        <v>0.99095063741527567</v>
      </c>
      <c r="I31" s="356">
        <v>0.9859958842279527</v>
      </c>
      <c r="J31" s="390">
        <v>0.98209051132218006</v>
      </c>
      <c r="K31" s="440">
        <v>6.109416526102315</v>
      </c>
      <c r="L31" s="442"/>
      <c r="M31" s="357"/>
      <c r="N31" s="358"/>
    </row>
    <row r="32" spans="1:14" ht="10.5" customHeight="1" x14ac:dyDescent="0.2">
      <c r="A32" s="301" t="s">
        <v>124</v>
      </c>
      <c r="B32" s="302" t="s">
        <v>2</v>
      </c>
      <c r="C32" s="351">
        <v>1</v>
      </c>
      <c r="D32" s="383">
        <v>0.99035757318680584</v>
      </c>
      <c r="E32" s="383">
        <v>0.98716929500144868</v>
      </c>
      <c r="F32" s="383">
        <v>0.97270525120390461</v>
      </c>
      <c r="G32" s="383">
        <v>0.95695591402763946</v>
      </c>
      <c r="H32" s="350">
        <v>0.93750398404313406</v>
      </c>
      <c r="I32" s="351">
        <v>0.93147352693542518</v>
      </c>
      <c r="J32" s="383">
        <v>0.92932461570038571</v>
      </c>
      <c r="K32" s="430">
        <v>6.4563015964858508</v>
      </c>
      <c r="L32" s="441">
        <f t="shared" ref="L32:N32" si="6">H34/H33</f>
        <v>1.0270801062833816</v>
      </c>
      <c r="M32" s="293">
        <f t="shared" si="6"/>
        <v>1.0341800804766854</v>
      </c>
      <c r="N32" s="346">
        <f t="shared" si="6"/>
        <v>1.0438571647326527</v>
      </c>
    </row>
    <row r="33" spans="1:14" x14ac:dyDescent="0.2">
      <c r="A33" s="155"/>
      <c r="B33" s="309" t="s">
        <v>1</v>
      </c>
      <c r="C33" s="351">
        <v>1</v>
      </c>
      <c r="D33" s="383">
        <v>0.99363057248031728</v>
      </c>
      <c r="E33" s="383">
        <v>0.98749229250916259</v>
      </c>
      <c r="F33" s="383">
        <v>0.96067894332970927</v>
      </c>
      <c r="G33" s="383">
        <v>0.9416552357996516</v>
      </c>
      <c r="H33" s="350">
        <v>0.92560811938222298</v>
      </c>
      <c r="I33" s="351">
        <v>0.91650675261780978</v>
      </c>
      <c r="J33" s="383">
        <v>0.91015755558583167</v>
      </c>
      <c r="K33" s="430">
        <v>6.5922652217483835</v>
      </c>
      <c r="L33" s="441"/>
      <c r="M33" s="293"/>
      <c r="N33" s="352"/>
    </row>
    <row r="34" spans="1:14" x14ac:dyDescent="0.2">
      <c r="A34" s="286"/>
      <c r="B34" s="312" t="s">
        <v>0</v>
      </c>
      <c r="C34" s="356">
        <v>1</v>
      </c>
      <c r="D34" s="390">
        <v>0.98702351985818571</v>
      </c>
      <c r="E34" s="390">
        <v>0.98702351939108579</v>
      </c>
      <c r="F34" s="390">
        <v>0.98617846325170255</v>
      </c>
      <c r="G34" s="390">
        <v>0.97386085229937502</v>
      </c>
      <c r="H34" s="355">
        <v>0.9506736856318545</v>
      </c>
      <c r="I34" s="356">
        <v>0.94783302717971207</v>
      </c>
      <c r="J34" s="390">
        <v>0.95007448543382789</v>
      </c>
      <c r="K34" s="440">
        <v>6.3152943184873012</v>
      </c>
      <c r="L34" s="442"/>
      <c r="M34" s="357"/>
      <c r="N34" s="358"/>
    </row>
    <row r="35" spans="1:14" x14ac:dyDescent="0.2">
      <c r="A35" s="301" t="s">
        <v>125</v>
      </c>
      <c r="B35" s="302" t="s">
        <v>2</v>
      </c>
      <c r="C35" s="351">
        <v>1</v>
      </c>
      <c r="D35" s="383">
        <v>0.99940226598305992</v>
      </c>
      <c r="E35" s="383">
        <v>0.99193278205710744</v>
      </c>
      <c r="F35" s="383">
        <v>0.97474153087874016</v>
      </c>
      <c r="G35" s="383">
        <v>0.95966519614965884</v>
      </c>
      <c r="H35" s="350">
        <v>0.93350973939687643</v>
      </c>
      <c r="I35" s="351">
        <v>0.92234954890651155</v>
      </c>
      <c r="J35" s="383">
        <v>0.8941421112973964</v>
      </c>
      <c r="K35" s="430">
        <v>6.7103427119588686</v>
      </c>
      <c r="L35" s="441">
        <f t="shared" ref="L35:N35" si="7">H37/H36</f>
        <v>1.1426956613435506</v>
      </c>
      <c r="M35" s="293">
        <f t="shared" si="7"/>
        <v>1.1400188732748981</v>
      </c>
      <c r="N35" s="346">
        <f t="shared" si="7"/>
        <v>1.1406354758637212</v>
      </c>
    </row>
    <row r="36" spans="1:14" ht="12" x14ac:dyDescent="0.2">
      <c r="A36" s="347"/>
      <c r="B36" s="309" t="s">
        <v>1</v>
      </c>
      <c r="C36" s="351">
        <v>1</v>
      </c>
      <c r="D36" s="383">
        <v>0.99883986691902904</v>
      </c>
      <c r="E36" s="383">
        <v>0.9901787591127954</v>
      </c>
      <c r="F36" s="383">
        <v>0.95639948156863919</v>
      </c>
      <c r="G36" s="383">
        <v>0.92228955584786465</v>
      </c>
      <c r="H36" s="350">
        <v>0.86970461475528793</v>
      </c>
      <c r="I36" s="351">
        <v>0.86027634463612224</v>
      </c>
      <c r="J36" s="383">
        <v>0.83482864315878769</v>
      </c>
      <c r="K36" s="430">
        <v>7.1871036639297197</v>
      </c>
      <c r="L36" s="441"/>
      <c r="M36" s="293"/>
      <c r="N36" s="352"/>
    </row>
    <row r="37" spans="1:14" x14ac:dyDescent="0.2">
      <c r="A37" s="286"/>
      <c r="B37" s="312" t="s">
        <v>0</v>
      </c>
      <c r="C37" s="356">
        <v>1</v>
      </c>
      <c r="D37" s="390">
        <v>0.99999999979256426</v>
      </c>
      <c r="E37" s="390">
        <v>0.99380804301043824</v>
      </c>
      <c r="F37" s="390">
        <v>0.99380800398146873</v>
      </c>
      <c r="G37" s="390">
        <v>0.99380787988436436</v>
      </c>
      <c r="H37" s="355">
        <v>0.99380768993133162</v>
      </c>
      <c r="I37" s="356">
        <v>0.98073126911712005</v>
      </c>
      <c r="J37" s="390">
        <v>0.95223516665408847</v>
      </c>
      <c r="K37" s="440">
        <v>6.3009645202271507</v>
      </c>
      <c r="L37" s="442"/>
      <c r="M37" s="357"/>
      <c r="N37" s="358"/>
    </row>
    <row r="38" spans="1:14" x14ac:dyDescent="0.2">
      <c r="A38" s="301" t="s">
        <v>126</v>
      </c>
      <c r="B38" s="302" t="s">
        <v>2</v>
      </c>
      <c r="C38" s="351">
        <v>1</v>
      </c>
      <c r="D38" s="383">
        <v>0.99999999999976596</v>
      </c>
      <c r="E38" s="383">
        <v>0.99908361968697079</v>
      </c>
      <c r="F38" s="383">
        <v>0.99290763912799973</v>
      </c>
      <c r="G38" s="383">
        <v>0.98135260418647685</v>
      </c>
      <c r="H38" s="350">
        <v>0.97548014838896513</v>
      </c>
      <c r="I38" s="351">
        <v>0.96679869075658487</v>
      </c>
      <c r="J38" s="383">
        <v>0.96616804802615308</v>
      </c>
      <c r="K38" s="430">
        <v>6.2100997981228909</v>
      </c>
      <c r="L38" s="311">
        <f t="shared" ref="L38:N38" si="8">H40/H39</f>
        <v>1.0407072393224166</v>
      </c>
      <c r="M38" s="284">
        <f t="shared" si="8"/>
        <v>1.0397477158443151</v>
      </c>
      <c r="N38" s="291">
        <f t="shared" si="8"/>
        <v>1.0309401512543781</v>
      </c>
    </row>
    <row r="39" spans="1:14" x14ac:dyDescent="0.2">
      <c r="A39" s="155"/>
      <c r="B39" s="309" t="s">
        <v>1</v>
      </c>
      <c r="C39" s="351">
        <v>1</v>
      </c>
      <c r="D39" s="383">
        <v>0.99999999999901346</v>
      </c>
      <c r="E39" s="383">
        <v>0.99235611505453569</v>
      </c>
      <c r="F39" s="383">
        <v>0.97859189137115465</v>
      </c>
      <c r="G39" s="383">
        <v>0.96455301993636233</v>
      </c>
      <c r="H39" s="350">
        <v>0.9518074340838184</v>
      </c>
      <c r="I39" s="351">
        <v>0.9437625746218008</v>
      </c>
      <c r="J39" s="383">
        <v>0.94973072020387594</v>
      </c>
      <c r="K39" s="430">
        <v>6.3175802070633207</v>
      </c>
      <c r="L39" s="311"/>
      <c r="M39" s="284"/>
      <c r="N39" s="285"/>
    </row>
    <row r="40" spans="1:14" x14ac:dyDescent="0.2">
      <c r="A40" s="286"/>
      <c r="B40" s="312" t="s">
        <v>0</v>
      </c>
      <c r="C40" s="356">
        <v>1</v>
      </c>
      <c r="D40" s="390">
        <v>0.99955791335098509</v>
      </c>
      <c r="E40" s="390">
        <v>0.99955791334831434</v>
      </c>
      <c r="F40" s="390">
        <v>0.99955791334627531</v>
      </c>
      <c r="G40" s="390">
        <v>0.99055288709529155</v>
      </c>
      <c r="H40" s="355">
        <v>0.99055288709192357</v>
      </c>
      <c r="I40" s="356">
        <v>0.98127498126236745</v>
      </c>
      <c r="J40" s="390">
        <v>0.97911553233791326</v>
      </c>
      <c r="K40" s="440">
        <v>6.127979591615011</v>
      </c>
      <c r="L40" s="433"/>
      <c r="M40" s="289"/>
      <c r="N40" s="290"/>
    </row>
    <row r="41" spans="1:14" x14ac:dyDescent="0.2">
      <c r="A41" s="301" t="s">
        <v>127</v>
      </c>
      <c r="B41" s="302" t="s">
        <v>2</v>
      </c>
      <c r="C41" s="351">
        <v>1</v>
      </c>
      <c r="D41" s="383">
        <v>0.99866354827873416</v>
      </c>
      <c r="E41" s="383">
        <v>0.996558143715506</v>
      </c>
      <c r="F41" s="383">
        <v>0.9965581435757046</v>
      </c>
      <c r="G41" s="383">
        <v>0.98963874454182743</v>
      </c>
      <c r="H41" s="350">
        <v>0.97764917803170581</v>
      </c>
      <c r="I41" s="351">
        <v>0.9679616533054124</v>
      </c>
      <c r="J41" s="383">
        <v>0.96162888120836554</v>
      </c>
      <c r="K41" s="430">
        <v>6.2394132676844194</v>
      </c>
      <c r="L41" s="311">
        <f t="shared" ref="L41:N41" si="9">H43/H42</f>
        <v>1.0051747230502541</v>
      </c>
      <c r="M41" s="284">
        <f t="shared" si="9"/>
        <v>1.0107637493222952</v>
      </c>
      <c r="N41" s="291">
        <f t="shared" si="9"/>
        <v>1.0204136202308607</v>
      </c>
    </row>
    <row r="42" spans="1:14" x14ac:dyDescent="0.2">
      <c r="A42" s="155"/>
      <c r="B42" s="309" t="s">
        <v>1</v>
      </c>
      <c r="C42" s="351">
        <v>1</v>
      </c>
      <c r="D42" s="383">
        <v>0.99544715446857657</v>
      </c>
      <c r="E42" s="383">
        <v>0.99544715432749475</v>
      </c>
      <c r="F42" s="383">
        <v>0.99026433268603642</v>
      </c>
      <c r="G42" s="383">
        <v>0.98575287544403445</v>
      </c>
      <c r="H42" s="350">
        <v>0.9714146466738327</v>
      </c>
      <c r="I42" s="351">
        <v>0.95920039556975667</v>
      </c>
      <c r="J42" s="383">
        <v>0.95072154554891408</v>
      </c>
      <c r="K42" s="430">
        <v>6.310996135609618</v>
      </c>
      <c r="L42" s="311"/>
      <c r="M42" s="284"/>
      <c r="N42" s="285"/>
    </row>
    <row r="43" spans="1:14" x14ac:dyDescent="0.2">
      <c r="A43" s="286"/>
      <c r="B43" s="312" t="s">
        <v>0</v>
      </c>
      <c r="C43" s="356">
        <v>1</v>
      </c>
      <c r="D43" s="390">
        <v>0.99999999999994105</v>
      </c>
      <c r="E43" s="390">
        <v>0.99526584121887696</v>
      </c>
      <c r="F43" s="390">
        <v>0.99526584120346051</v>
      </c>
      <c r="G43" s="390">
        <v>0.98590178083524405</v>
      </c>
      <c r="H43" s="355">
        <v>0.97644144843733027</v>
      </c>
      <c r="I43" s="356">
        <v>0.96952498817751598</v>
      </c>
      <c r="J43" s="390">
        <v>0.97012921412504649</v>
      </c>
      <c r="K43" s="440">
        <v>6.1847431379657634</v>
      </c>
      <c r="L43" s="433"/>
      <c r="M43" s="289"/>
      <c r="N43" s="290"/>
    </row>
    <row r="44" spans="1:14" x14ac:dyDescent="0.2">
      <c r="A44" s="315" t="s">
        <v>15</v>
      </c>
      <c r="B44" s="316" t="s">
        <v>2</v>
      </c>
      <c r="C44" s="325">
        <v>1</v>
      </c>
      <c r="D44" s="326">
        <v>0.99357923981014584</v>
      </c>
      <c r="E44" s="326">
        <v>0.98400283569596936</v>
      </c>
      <c r="F44" s="326">
        <v>0.96981887335292338</v>
      </c>
      <c r="G44" s="326">
        <v>0.95374849899788816</v>
      </c>
      <c r="H44" s="327">
        <v>0.93245734744397268</v>
      </c>
      <c r="I44" s="325">
        <v>0.92230366048148671</v>
      </c>
      <c r="J44" s="326">
        <v>0.92864140432478126</v>
      </c>
      <c r="K44" s="328">
        <v>6.4610515663606689</v>
      </c>
      <c r="L44" s="434">
        <f t="shared" ref="L44:N44" si="10">H46/H45</f>
        <v>1.0573526283767105</v>
      </c>
      <c r="M44" s="328">
        <f t="shared" si="10"/>
        <v>1.065691324692206</v>
      </c>
      <c r="N44" s="322">
        <f t="shared" si="10"/>
        <v>1.0611958340691465</v>
      </c>
    </row>
    <row r="45" spans="1:14" x14ac:dyDescent="0.2">
      <c r="A45" s="323"/>
      <c r="B45" s="324" t="s">
        <v>1</v>
      </c>
      <c r="C45" s="325">
        <v>1</v>
      </c>
      <c r="D45" s="326">
        <v>0.99339016968066252</v>
      </c>
      <c r="E45" s="326">
        <v>0.98049198191142573</v>
      </c>
      <c r="F45" s="326">
        <v>0.96026285446557047</v>
      </c>
      <c r="G45" s="326">
        <v>0.93763806739738975</v>
      </c>
      <c r="H45" s="327">
        <v>0.90749181265537782</v>
      </c>
      <c r="I45" s="325">
        <v>0.89422060953352189</v>
      </c>
      <c r="J45" s="326">
        <v>0.90219431302949116</v>
      </c>
      <c r="K45" s="328">
        <v>6.6504520293998688</v>
      </c>
      <c r="L45" s="434"/>
      <c r="M45" s="328"/>
      <c r="N45" s="329"/>
    </row>
    <row r="46" spans="1:14" ht="12" thickBot="1" x14ac:dyDescent="0.25">
      <c r="A46" s="330"/>
      <c r="B46" s="331" t="s">
        <v>0</v>
      </c>
      <c r="C46" s="332">
        <v>1</v>
      </c>
      <c r="D46" s="333">
        <v>0.99378081989826206</v>
      </c>
      <c r="E46" s="333">
        <v>0.98775240814569398</v>
      </c>
      <c r="F46" s="333">
        <v>0.98029945833712462</v>
      </c>
      <c r="G46" s="333">
        <v>0.97124484084631002</v>
      </c>
      <c r="H46" s="334">
        <v>0.95953885334150912</v>
      </c>
      <c r="I46" s="332">
        <v>0.95296314594085074</v>
      </c>
      <c r="J46" s="333">
        <v>0.95740484650777158</v>
      </c>
      <c r="K46" s="335">
        <v>6.266941327783738</v>
      </c>
      <c r="L46" s="435"/>
      <c r="M46" s="335"/>
      <c r="N46" s="336"/>
    </row>
  </sheetData>
  <sheetProtection algorithmName="SHA-512" hashValue="4hq4WIk5GFXD7+J3FaAdYpIkFg2xXAqnDWH3469bh0FIQxCZUc1K4htJi5fhFR3LWWzArLBsOnH16tVCjmj0qg==" saltValue="2UIADV52i/NCfuYndavOcQ==" spinCount="100000" sheet="1" objects="1" scenarios="1"/>
  <mergeCells count="7">
    <mergeCell ref="B9:B10"/>
    <mergeCell ref="C9:G9"/>
    <mergeCell ref="A1:N1"/>
    <mergeCell ref="A2:N2"/>
    <mergeCell ref="A3:N3"/>
    <mergeCell ref="A4:N4"/>
    <mergeCell ref="A5:N5"/>
  </mergeCells>
  <printOptions horizontalCentered="1"/>
  <pageMargins left="0" right="0" top="1" bottom="0.75" header="0.5" footer="0.35"/>
  <pageSetup paperSize="9" scale="66" orientation="portrait" horizontalDpi="300" verticalDpi="300" r:id="rId1"/>
  <headerFooter alignWithMargins="0">
    <oddFooter>&amp;C&amp;8Page &amp;P of &amp;N</oddFooter>
  </headerFooter>
  <picture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27D3C-0AC2-4FFB-AD85-E358B26950D1}">
  <sheetPr>
    <tabColor rgb="FF0000FF"/>
    <pageSetUpPr fitToPage="1"/>
  </sheetPr>
  <dimension ref="A1:J46"/>
  <sheetViews>
    <sheetView showGridLines="0" zoomScaleNormal="100" workbookViewId="0">
      <pane xSplit="2" ySplit="8" topLeftCell="C9" activePane="bottomRight" state="frozen"/>
      <selection activeCell="A9" sqref="A9:A12"/>
      <selection pane="topRight" activeCell="A9" sqref="A9:A12"/>
      <selection pane="bottomLeft" activeCell="A9" sqref="A9:A12"/>
      <selection pane="bottomRight" activeCell="C9" sqref="C9"/>
    </sheetView>
  </sheetViews>
  <sheetFormatPr defaultRowHeight="11.25" x14ac:dyDescent="0.2"/>
  <cols>
    <col min="1" max="1" width="42" style="337" customWidth="1"/>
    <col min="2" max="2" width="10.42578125" style="338" bestFit="1" customWidth="1"/>
    <col min="3" max="3" width="6.5703125" style="263" customWidth="1"/>
    <col min="4" max="4" width="7" style="263" bestFit="1" customWidth="1"/>
    <col min="5" max="5" width="7.42578125" style="263" bestFit="1" customWidth="1"/>
    <col min="6" max="6" width="7.5703125" style="263" bestFit="1" customWidth="1"/>
    <col min="7" max="7" width="7.42578125" style="263" bestFit="1" customWidth="1"/>
    <col min="8" max="8" width="7.5703125" style="263" bestFit="1" customWidth="1"/>
    <col min="9" max="9" width="10.42578125" style="263" bestFit="1" customWidth="1"/>
    <col min="10" max="10" width="10.140625" style="403" bestFit="1" customWidth="1"/>
    <col min="11" max="193" width="8.7109375" style="338"/>
    <col min="194" max="194" width="23.85546875" style="338" customWidth="1"/>
    <col min="195" max="195" width="10.5703125" style="338" customWidth="1"/>
    <col min="196" max="196" width="6.5703125" style="338" customWidth="1"/>
    <col min="197" max="197" width="7" style="338" bestFit="1" customWidth="1"/>
    <col min="198" max="198" width="7.42578125" style="338" bestFit="1" customWidth="1"/>
    <col min="199" max="199" width="7.5703125" style="338" bestFit="1" customWidth="1"/>
    <col min="200" max="200" width="7.42578125" style="338" bestFit="1" customWidth="1"/>
    <col min="201" max="201" width="7.5703125" style="338" bestFit="1" customWidth="1"/>
    <col min="202" max="202" width="10.42578125" style="338" bestFit="1" customWidth="1"/>
    <col min="203" max="203" width="10.140625" style="338" bestFit="1" customWidth="1"/>
    <col min="204" max="204" width="23.85546875" style="338" customWidth="1"/>
    <col min="205" max="205" width="10.5703125" style="338" customWidth="1"/>
    <col min="206" max="206" width="6.5703125" style="338" customWidth="1"/>
    <col min="207" max="207" width="7" style="338" customWidth="1"/>
    <col min="208" max="208" width="7.42578125" style="338" customWidth="1"/>
    <col min="209" max="209" width="7.5703125" style="338" customWidth="1"/>
    <col min="210" max="210" width="7.42578125" style="338" customWidth="1"/>
    <col min="211" max="211" width="7.5703125" style="338" customWidth="1"/>
    <col min="212" max="212" width="10.42578125" style="338" customWidth="1"/>
    <col min="213" max="213" width="10.140625" style="338" customWidth="1"/>
    <col min="214" max="214" width="14.85546875" style="338" customWidth="1"/>
    <col min="215" max="215" width="10.5703125" style="338" customWidth="1"/>
    <col min="216" max="216" width="6.5703125" style="338" customWidth="1"/>
    <col min="217" max="217" width="7" style="338" customWidth="1"/>
    <col min="218" max="218" width="7.42578125" style="338" customWidth="1"/>
    <col min="219" max="219" width="7.5703125" style="338" customWidth="1"/>
    <col min="220" max="220" width="7.42578125" style="338" customWidth="1"/>
    <col min="221" max="221" width="7.5703125" style="338" customWidth="1"/>
    <col min="222" max="222" width="10.42578125" style="338" customWidth="1"/>
    <col min="223" max="223" width="10.140625" style="338" customWidth="1"/>
    <col min="224" max="224" width="8.7109375" style="338"/>
    <col min="225" max="243" width="9.140625" style="338" customWidth="1"/>
    <col min="244" max="449" width="8.7109375" style="338"/>
    <col min="450" max="450" width="23.85546875" style="338" customWidth="1"/>
    <col min="451" max="451" width="10.5703125" style="338" customWidth="1"/>
    <col min="452" max="452" width="6.5703125" style="338" customWidth="1"/>
    <col min="453" max="453" width="7" style="338" bestFit="1" customWidth="1"/>
    <col min="454" max="454" width="7.42578125" style="338" bestFit="1" customWidth="1"/>
    <col min="455" max="455" width="7.5703125" style="338" bestFit="1" customWidth="1"/>
    <col min="456" max="456" width="7.42578125" style="338" bestFit="1" customWidth="1"/>
    <col min="457" max="457" width="7.5703125" style="338" bestFit="1" customWidth="1"/>
    <col min="458" max="458" width="10.42578125" style="338" bestFit="1" customWidth="1"/>
    <col min="459" max="459" width="10.140625" style="338" bestFit="1" customWidth="1"/>
    <col min="460" max="460" width="23.85546875" style="338" customWidth="1"/>
    <col min="461" max="461" width="10.5703125" style="338" customWidth="1"/>
    <col min="462" max="462" width="6.5703125" style="338" customWidth="1"/>
    <col min="463" max="463" width="7" style="338" customWidth="1"/>
    <col min="464" max="464" width="7.42578125" style="338" customWidth="1"/>
    <col min="465" max="465" width="7.5703125" style="338" customWidth="1"/>
    <col min="466" max="466" width="7.42578125" style="338" customWidth="1"/>
    <col min="467" max="467" width="7.5703125" style="338" customWidth="1"/>
    <col min="468" max="468" width="10.42578125" style="338" customWidth="1"/>
    <col min="469" max="469" width="10.140625" style="338" customWidth="1"/>
    <col min="470" max="470" width="14.85546875" style="338" customWidth="1"/>
    <col min="471" max="471" width="10.5703125" style="338" customWidth="1"/>
    <col min="472" max="472" width="6.5703125" style="338" customWidth="1"/>
    <col min="473" max="473" width="7" style="338" customWidth="1"/>
    <col min="474" max="474" width="7.42578125" style="338" customWidth="1"/>
    <col min="475" max="475" width="7.5703125" style="338" customWidth="1"/>
    <col min="476" max="476" width="7.42578125" style="338" customWidth="1"/>
    <col min="477" max="477" width="7.5703125" style="338" customWidth="1"/>
    <col min="478" max="478" width="10.42578125" style="338" customWidth="1"/>
    <col min="479" max="479" width="10.140625" style="338" customWidth="1"/>
    <col min="480" max="480" width="8.7109375" style="338"/>
    <col min="481" max="499" width="9.140625" style="338" customWidth="1"/>
    <col min="500" max="705" width="8.7109375" style="338"/>
    <col min="706" max="706" width="23.85546875" style="338" customWidth="1"/>
    <col min="707" max="707" width="10.5703125" style="338" customWidth="1"/>
    <col min="708" max="708" width="6.5703125" style="338" customWidth="1"/>
    <col min="709" max="709" width="7" style="338" bestFit="1" customWidth="1"/>
    <col min="710" max="710" width="7.42578125" style="338" bestFit="1" customWidth="1"/>
    <col min="711" max="711" width="7.5703125" style="338" bestFit="1" customWidth="1"/>
    <col min="712" max="712" width="7.42578125" style="338" bestFit="1" customWidth="1"/>
    <col min="713" max="713" width="7.5703125" style="338" bestFit="1" customWidth="1"/>
    <col min="714" max="714" width="10.42578125" style="338" bestFit="1" customWidth="1"/>
    <col min="715" max="715" width="10.140625" style="338" bestFit="1" customWidth="1"/>
    <col min="716" max="716" width="23.85546875" style="338" customWidth="1"/>
    <col min="717" max="717" width="10.5703125" style="338" customWidth="1"/>
    <col min="718" max="718" width="6.5703125" style="338" customWidth="1"/>
    <col min="719" max="719" width="7" style="338" customWidth="1"/>
    <col min="720" max="720" width="7.42578125" style="338" customWidth="1"/>
    <col min="721" max="721" width="7.5703125" style="338" customWidth="1"/>
    <col min="722" max="722" width="7.42578125" style="338" customWidth="1"/>
    <col min="723" max="723" width="7.5703125" style="338" customWidth="1"/>
    <col min="724" max="724" width="10.42578125" style="338" customWidth="1"/>
    <col min="725" max="725" width="10.140625" style="338" customWidth="1"/>
    <col min="726" max="726" width="14.85546875" style="338" customWidth="1"/>
    <col min="727" max="727" width="10.5703125" style="338" customWidth="1"/>
    <col min="728" max="728" width="6.5703125" style="338" customWidth="1"/>
    <col min="729" max="729" width="7" style="338" customWidth="1"/>
    <col min="730" max="730" width="7.42578125" style="338" customWidth="1"/>
    <col min="731" max="731" width="7.5703125" style="338" customWidth="1"/>
    <col min="732" max="732" width="7.42578125" style="338" customWidth="1"/>
    <col min="733" max="733" width="7.5703125" style="338" customWidth="1"/>
    <col min="734" max="734" width="10.42578125" style="338" customWidth="1"/>
    <col min="735" max="735" width="10.140625" style="338" customWidth="1"/>
    <col min="736" max="736" width="8.7109375" style="338"/>
    <col min="737" max="755" width="9.140625" style="338" customWidth="1"/>
    <col min="756" max="961" width="8.7109375" style="338"/>
    <col min="962" max="962" width="23.85546875" style="338" customWidth="1"/>
    <col min="963" max="963" width="10.5703125" style="338" customWidth="1"/>
    <col min="964" max="964" width="6.5703125" style="338" customWidth="1"/>
    <col min="965" max="965" width="7" style="338" bestFit="1" customWidth="1"/>
    <col min="966" max="966" width="7.42578125" style="338" bestFit="1" customWidth="1"/>
    <col min="967" max="967" width="7.5703125" style="338" bestFit="1" customWidth="1"/>
    <col min="968" max="968" width="7.42578125" style="338" bestFit="1" customWidth="1"/>
    <col min="969" max="969" width="7.5703125" style="338" bestFit="1" customWidth="1"/>
    <col min="970" max="970" width="10.42578125" style="338" bestFit="1" customWidth="1"/>
    <col min="971" max="971" width="10.140625" style="338" bestFit="1" customWidth="1"/>
    <col min="972" max="972" width="23.85546875" style="338" customWidth="1"/>
    <col min="973" max="973" width="10.5703125" style="338" customWidth="1"/>
    <col min="974" max="974" width="6.5703125" style="338" customWidth="1"/>
    <col min="975" max="975" width="7" style="338" customWidth="1"/>
    <col min="976" max="976" width="7.42578125" style="338" customWidth="1"/>
    <col min="977" max="977" width="7.5703125" style="338" customWidth="1"/>
    <col min="978" max="978" width="7.42578125" style="338" customWidth="1"/>
    <col min="979" max="979" width="7.5703125" style="338" customWidth="1"/>
    <col min="980" max="980" width="10.42578125" style="338" customWidth="1"/>
    <col min="981" max="981" width="10.140625" style="338" customWidth="1"/>
    <col min="982" max="982" width="14.85546875" style="338" customWidth="1"/>
    <col min="983" max="983" width="10.5703125" style="338" customWidth="1"/>
    <col min="984" max="984" width="6.5703125" style="338" customWidth="1"/>
    <col min="985" max="985" width="7" style="338" customWidth="1"/>
    <col min="986" max="986" width="7.42578125" style="338" customWidth="1"/>
    <col min="987" max="987" width="7.5703125" style="338" customWidth="1"/>
    <col min="988" max="988" width="7.42578125" style="338" customWidth="1"/>
    <col min="989" max="989" width="7.5703125" style="338" customWidth="1"/>
    <col min="990" max="990" width="10.42578125" style="338" customWidth="1"/>
    <col min="991" max="991" width="10.140625" style="338" customWidth="1"/>
    <col min="992" max="992" width="8.7109375" style="338"/>
    <col min="993" max="1011" width="9.140625" style="338" customWidth="1"/>
    <col min="1012" max="1217" width="8.7109375" style="338"/>
    <col min="1218" max="1218" width="23.85546875" style="338" customWidth="1"/>
    <col min="1219" max="1219" width="10.5703125" style="338" customWidth="1"/>
    <col min="1220" max="1220" width="6.5703125" style="338" customWidth="1"/>
    <col min="1221" max="1221" width="7" style="338" bestFit="1" customWidth="1"/>
    <col min="1222" max="1222" width="7.42578125" style="338" bestFit="1" customWidth="1"/>
    <col min="1223" max="1223" width="7.5703125" style="338" bestFit="1" customWidth="1"/>
    <col min="1224" max="1224" width="7.42578125" style="338" bestFit="1" customWidth="1"/>
    <col min="1225" max="1225" width="7.5703125" style="338" bestFit="1" customWidth="1"/>
    <col min="1226" max="1226" width="10.42578125" style="338" bestFit="1" customWidth="1"/>
    <col min="1227" max="1227" width="10.140625" style="338" bestFit="1" customWidth="1"/>
    <col min="1228" max="1228" width="23.85546875" style="338" customWidth="1"/>
    <col min="1229" max="1229" width="10.5703125" style="338" customWidth="1"/>
    <col min="1230" max="1230" width="6.5703125" style="338" customWidth="1"/>
    <col min="1231" max="1231" width="7" style="338" customWidth="1"/>
    <col min="1232" max="1232" width="7.42578125" style="338" customWidth="1"/>
    <col min="1233" max="1233" width="7.5703125" style="338" customWidth="1"/>
    <col min="1234" max="1234" width="7.42578125" style="338" customWidth="1"/>
    <col min="1235" max="1235" width="7.5703125" style="338" customWidth="1"/>
    <col min="1236" max="1236" width="10.42578125" style="338" customWidth="1"/>
    <col min="1237" max="1237" width="10.140625" style="338" customWidth="1"/>
    <col min="1238" max="1238" width="14.85546875" style="338" customWidth="1"/>
    <col min="1239" max="1239" width="10.5703125" style="338" customWidth="1"/>
    <col min="1240" max="1240" width="6.5703125" style="338" customWidth="1"/>
    <col min="1241" max="1241" width="7" style="338" customWidth="1"/>
    <col min="1242" max="1242" width="7.42578125" style="338" customWidth="1"/>
    <col min="1243" max="1243" width="7.5703125" style="338" customWidth="1"/>
    <col min="1244" max="1244" width="7.42578125" style="338" customWidth="1"/>
    <col min="1245" max="1245" width="7.5703125" style="338" customWidth="1"/>
    <col min="1246" max="1246" width="10.42578125" style="338" customWidth="1"/>
    <col min="1247" max="1247" width="10.140625" style="338" customWidth="1"/>
    <col min="1248" max="1248" width="8.7109375" style="338"/>
    <col min="1249" max="1267" width="9.140625" style="338" customWidth="1"/>
    <col min="1268" max="1473" width="8.7109375" style="338"/>
    <col min="1474" max="1474" width="23.85546875" style="338" customWidth="1"/>
    <col min="1475" max="1475" width="10.5703125" style="338" customWidth="1"/>
    <col min="1476" max="1476" width="6.5703125" style="338" customWidth="1"/>
    <col min="1477" max="1477" width="7" style="338" bestFit="1" customWidth="1"/>
    <col min="1478" max="1478" width="7.42578125" style="338" bestFit="1" customWidth="1"/>
    <col min="1479" max="1479" width="7.5703125" style="338" bestFit="1" customWidth="1"/>
    <col min="1480" max="1480" width="7.42578125" style="338" bestFit="1" customWidth="1"/>
    <col min="1481" max="1481" width="7.5703125" style="338" bestFit="1" customWidth="1"/>
    <col min="1482" max="1482" width="10.42578125" style="338" bestFit="1" customWidth="1"/>
    <col min="1483" max="1483" width="10.140625" style="338" bestFit="1" customWidth="1"/>
    <col min="1484" max="1484" width="23.85546875" style="338" customWidth="1"/>
    <col min="1485" max="1485" width="10.5703125" style="338" customWidth="1"/>
    <col min="1486" max="1486" width="6.5703125" style="338" customWidth="1"/>
    <col min="1487" max="1487" width="7" style="338" customWidth="1"/>
    <col min="1488" max="1488" width="7.42578125" style="338" customWidth="1"/>
    <col min="1489" max="1489" width="7.5703125" style="338" customWidth="1"/>
    <col min="1490" max="1490" width="7.42578125" style="338" customWidth="1"/>
    <col min="1491" max="1491" width="7.5703125" style="338" customWidth="1"/>
    <col min="1492" max="1492" width="10.42578125" style="338" customWidth="1"/>
    <col min="1493" max="1493" width="10.140625" style="338" customWidth="1"/>
    <col min="1494" max="1494" width="14.85546875" style="338" customWidth="1"/>
    <col min="1495" max="1495" width="10.5703125" style="338" customWidth="1"/>
    <col min="1496" max="1496" width="6.5703125" style="338" customWidth="1"/>
    <col min="1497" max="1497" width="7" style="338" customWidth="1"/>
    <col min="1498" max="1498" width="7.42578125" style="338" customWidth="1"/>
    <col min="1499" max="1499" width="7.5703125" style="338" customWidth="1"/>
    <col min="1500" max="1500" width="7.42578125" style="338" customWidth="1"/>
    <col min="1501" max="1501" width="7.5703125" style="338" customWidth="1"/>
    <col min="1502" max="1502" width="10.42578125" style="338" customWidth="1"/>
    <col min="1503" max="1503" width="10.140625" style="338" customWidth="1"/>
    <col min="1504" max="1504" width="8.7109375" style="338"/>
    <col min="1505" max="1523" width="9.140625" style="338" customWidth="1"/>
    <col min="1524" max="1729" width="8.7109375" style="338"/>
    <col min="1730" max="1730" width="23.85546875" style="338" customWidth="1"/>
    <col min="1731" max="1731" width="10.5703125" style="338" customWidth="1"/>
    <col min="1732" max="1732" width="6.5703125" style="338" customWidth="1"/>
    <col min="1733" max="1733" width="7" style="338" bestFit="1" customWidth="1"/>
    <col min="1734" max="1734" width="7.42578125" style="338" bestFit="1" customWidth="1"/>
    <col min="1735" max="1735" width="7.5703125" style="338" bestFit="1" customWidth="1"/>
    <col min="1736" max="1736" width="7.42578125" style="338" bestFit="1" customWidth="1"/>
    <col min="1737" max="1737" width="7.5703125" style="338" bestFit="1" customWidth="1"/>
    <col min="1738" max="1738" width="10.42578125" style="338" bestFit="1" customWidth="1"/>
    <col min="1739" max="1739" width="10.140625" style="338" bestFit="1" customWidth="1"/>
    <col min="1740" max="1740" width="23.85546875" style="338" customWidth="1"/>
    <col min="1741" max="1741" width="10.5703125" style="338" customWidth="1"/>
    <col min="1742" max="1742" width="6.5703125" style="338" customWidth="1"/>
    <col min="1743" max="1743" width="7" style="338" customWidth="1"/>
    <col min="1744" max="1744" width="7.42578125" style="338" customWidth="1"/>
    <col min="1745" max="1745" width="7.5703125" style="338" customWidth="1"/>
    <col min="1746" max="1746" width="7.42578125" style="338" customWidth="1"/>
    <col min="1747" max="1747" width="7.5703125" style="338" customWidth="1"/>
    <col min="1748" max="1748" width="10.42578125" style="338" customWidth="1"/>
    <col min="1749" max="1749" width="10.140625" style="338" customWidth="1"/>
    <col min="1750" max="1750" width="14.85546875" style="338" customWidth="1"/>
    <col min="1751" max="1751" width="10.5703125" style="338" customWidth="1"/>
    <col min="1752" max="1752" width="6.5703125" style="338" customWidth="1"/>
    <col min="1753" max="1753" width="7" style="338" customWidth="1"/>
    <col min="1754" max="1754" width="7.42578125" style="338" customWidth="1"/>
    <col min="1755" max="1755" width="7.5703125" style="338" customWidth="1"/>
    <col min="1756" max="1756" width="7.42578125" style="338" customWidth="1"/>
    <col min="1757" max="1757" width="7.5703125" style="338" customWidth="1"/>
    <col min="1758" max="1758" width="10.42578125" style="338" customWidth="1"/>
    <col min="1759" max="1759" width="10.140625" style="338" customWidth="1"/>
    <col min="1760" max="1760" width="8.7109375" style="338"/>
    <col min="1761" max="1779" width="9.140625" style="338" customWidth="1"/>
    <col min="1780" max="1985" width="8.7109375" style="338"/>
    <col min="1986" max="1986" width="23.85546875" style="338" customWidth="1"/>
    <col min="1987" max="1987" width="10.5703125" style="338" customWidth="1"/>
    <col min="1988" max="1988" width="6.5703125" style="338" customWidth="1"/>
    <col min="1989" max="1989" width="7" style="338" bestFit="1" customWidth="1"/>
    <col min="1990" max="1990" width="7.42578125" style="338" bestFit="1" customWidth="1"/>
    <col min="1991" max="1991" width="7.5703125" style="338" bestFit="1" customWidth="1"/>
    <col min="1992" max="1992" width="7.42578125" style="338" bestFit="1" customWidth="1"/>
    <col min="1993" max="1993" width="7.5703125" style="338" bestFit="1" customWidth="1"/>
    <col min="1994" max="1994" width="10.42578125" style="338" bestFit="1" customWidth="1"/>
    <col min="1995" max="1995" width="10.140625" style="338" bestFit="1" customWidth="1"/>
    <col min="1996" max="1996" width="23.85546875" style="338" customWidth="1"/>
    <col min="1997" max="1997" width="10.5703125" style="338" customWidth="1"/>
    <col min="1998" max="1998" width="6.5703125" style="338" customWidth="1"/>
    <col min="1999" max="1999" width="7" style="338" customWidth="1"/>
    <col min="2000" max="2000" width="7.42578125" style="338" customWidth="1"/>
    <col min="2001" max="2001" width="7.5703125" style="338" customWidth="1"/>
    <col min="2002" max="2002" width="7.42578125" style="338" customWidth="1"/>
    <col min="2003" max="2003" width="7.5703125" style="338" customWidth="1"/>
    <col min="2004" max="2004" width="10.42578125" style="338" customWidth="1"/>
    <col min="2005" max="2005" width="10.140625" style="338" customWidth="1"/>
    <col min="2006" max="2006" width="14.85546875" style="338" customWidth="1"/>
    <col min="2007" max="2007" width="10.5703125" style="338" customWidth="1"/>
    <col min="2008" max="2008" width="6.5703125" style="338" customWidth="1"/>
    <col min="2009" max="2009" width="7" style="338" customWidth="1"/>
    <col min="2010" max="2010" width="7.42578125" style="338" customWidth="1"/>
    <col min="2011" max="2011" width="7.5703125" style="338" customWidth="1"/>
    <col min="2012" max="2012" width="7.42578125" style="338" customWidth="1"/>
    <col min="2013" max="2013" width="7.5703125" style="338" customWidth="1"/>
    <col min="2014" max="2014" width="10.42578125" style="338" customWidth="1"/>
    <col min="2015" max="2015" width="10.140625" style="338" customWidth="1"/>
    <col min="2016" max="2016" width="8.7109375" style="338"/>
    <col min="2017" max="2035" width="9.140625" style="338" customWidth="1"/>
    <col min="2036" max="2241" width="8.7109375" style="338"/>
    <col min="2242" max="2242" width="23.85546875" style="338" customWidth="1"/>
    <col min="2243" max="2243" width="10.5703125" style="338" customWidth="1"/>
    <col min="2244" max="2244" width="6.5703125" style="338" customWidth="1"/>
    <col min="2245" max="2245" width="7" style="338" bestFit="1" customWidth="1"/>
    <col min="2246" max="2246" width="7.42578125" style="338" bestFit="1" customWidth="1"/>
    <col min="2247" max="2247" width="7.5703125" style="338" bestFit="1" customWidth="1"/>
    <col min="2248" max="2248" width="7.42578125" style="338" bestFit="1" customWidth="1"/>
    <col min="2249" max="2249" width="7.5703125" style="338" bestFit="1" customWidth="1"/>
    <col min="2250" max="2250" width="10.42578125" style="338" bestFit="1" customWidth="1"/>
    <col min="2251" max="2251" width="10.140625" style="338" bestFit="1" customWidth="1"/>
    <col min="2252" max="2252" width="23.85546875" style="338" customWidth="1"/>
    <col min="2253" max="2253" width="10.5703125" style="338" customWidth="1"/>
    <col min="2254" max="2254" width="6.5703125" style="338" customWidth="1"/>
    <col min="2255" max="2255" width="7" style="338" customWidth="1"/>
    <col min="2256" max="2256" width="7.42578125" style="338" customWidth="1"/>
    <col min="2257" max="2257" width="7.5703125" style="338" customWidth="1"/>
    <col min="2258" max="2258" width="7.42578125" style="338" customWidth="1"/>
    <col min="2259" max="2259" width="7.5703125" style="338" customWidth="1"/>
    <col min="2260" max="2260" width="10.42578125" style="338" customWidth="1"/>
    <col min="2261" max="2261" width="10.140625" style="338" customWidth="1"/>
    <col min="2262" max="2262" width="14.85546875" style="338" customWidth="1"/>
    <col min="2263" max="2263" width="10.5703125" style="338" customWidth="1"/>
    <col min="2264" max="2264" width="6.5703125" style="338" customWidth="1"/>
    <col min="2265" max="2265" width="7" style="338" customWidth="1"/>
    <col min="2266" max="2266" width="7.42578125" style="338" customWidth="1"/>
    <col min="2267" max="2267" width="7.5703125" style="338" customWidth="1"/>
    <col min="2268" max="2268" width="7.42578125" style="338" customWidth="1"/>
    <col min="2269" max="2269" width="7.5703125" style="338" customWidth="1"/>
    <col min="2270" max="2270" width="10.42578125" style="338" customWidth="1"/>
    <col min="2271" max="2271" width="10.140625" style="338" customWidth="1"/>
    <col min="2272" max="2272" width="8.7109375" style="338"/>
    <col min="2273" max="2291" width="9.140625" style="338" customWidth="1"/>
    <col min="2292" max="2497" width="8.7109375" style="338"/>
    <col min="2498" max="2498" width="23.85546875" style="338" customWidth="1"/>
    <col min="2499" max="2499" width="10.5703125" style="338" customWidth="1"/>
    <col min="2500" max="2500" width="6.5703125" style="338" customWidth="1"/>
    <col min="2501" max="2501" width="7" style="338" bestFit="1" customWidth="1"/>
    <col min="2502" max="2502" width="7.42578125" style="338" bestFit="1" customWidth="1"/>
    <col min="2503" max="2503" width="7.5703125" style="338" bestFit="1" customWidth="1"/>
    <col min="2504" max="2504" width="7.42578125" style="338" bestFit="1" customWidth="1"/>
    <col min="2505" max="2505" width="7.5703125" style="338" bestFit="1" customWidth="1"/>
    <col min="2506" max="2506" width="10.42578125" style="338" bestFit="1" customWidth="1"/>
    <col min="2507" max="2507" width="10.140625" style="338" bestFit="1" customWidth="1"/>
    <col min="2508" max="2508" width="23.85546875" style="338" customWidth="1"/>
    <col min="2509" max="2509" width="10.5703125" style="338" customWidth="1"/>
    <col min="2510" max="2510" width="6.5703125" style="338" customWidth="1"/>
    <col min="2511" max="2511" width="7" style="338" customWidth="1"/>
    <col min="2512" max="2512" width="7.42578125" style="338" customWidth="1"/>
    <col min="2513" max="2513" width="7.5703125" style="338" customWidth="1"/>
    <col min="2514" max="2514" width="7.42578125" style="338" customWidth="1"/>
    <col min="2515" max="2515" width="7.5703125" style="338" customWidth="1"/>
    <col min="2516" max="2516" width="10.42578125" style="338" customWidth="1"/>
    <col min="2517" max="2517" width="10.140625" style="338" customWidth="1"/>
    <col min="2518" max="2518" width="14.85546875" style="338" customWidth="1"/>
    <col min="2519" max="2519" width="10.5703125" style="338" customWidth="1"/>
    <col min="2520" max="2520" width="6.5703125" style="338" customWidth="1"/>
    <col min="2521" max="2521" width="7" style="338" customWidth="1"/>
    <col min="2522" max="2522" width="7.42578125" style="338" customWidth="1"/>
    <col min="2523" max="2523" width="7.5703125" style="338" customWidth="1"/>
    <col min="2524" max="2524" width="7.42578125" style="338" customWidth="1"/>
    <col min="2525" max="2525" width="7.5703125" style="338" customWidth="1"/>
    <col min="2526" max="2526" width="10.42578125" style="338" customWidth="1"/>
    <col min="2527" max="2527" width="10.140625" style="338" customWidth="1"/>
    <col min="2528" max="2528" width="8.7109375" style="338"/>
    <col min="2529" max="2547" width="9.140625" style="338" customWidth="1"/>
    <col min="2548" max="2753" width="8.7109375" style="338"/>
    <col min="2754" max="2754" width="23.85546875" style="338" customWidth="1"/>
    <col min="2755" max="2755" width="10.5703125" style="338" customWidth="1"/>
    <col min="2756" max="2756" width="6.5703125" style="338" customWidth="1"/>
    <col min="2757" max="2757" width="7" style="338" bestFit="1" customWidth="1"/>
    <col min="2758" max="2758" width="7.42578125" style="338" bestFit="1" customWidth="1"/>
    <col min="2759" max="2759" width="7.5703125" style="338" bestFit="1" customWidth="1"/>
    <col min="2760" max="2760" width="7.42578125" style="338" bestFit="1" customWidth="1"/>
    <col min="2761" max="2761" width="7.5703125" style="338" bestFit="1" customWidth="1"/>
    <col min="2762" max="2762" width="10.42578125" style="338" bestFit="1" customWidth="1"/>
    <col min="2763" max="2763" width="10.140625" style="338" bestFit="1" customWidth="1"/>
    <col min="2764" max="2764" width="23.85546875" style="338" customWidth="1"/>
    <col min="2765" max="2765" width="10.5703125" style="338" customWidth="1"/>
    <col min="2766" max="2766" width="6.5703125" style="338" customWidth="1"/>
    <col min="2767" max="2767" width="7" style="338" customWidth="1"/>
    <col min="2768" max="2768" width="7.42578125" style="338" customWidth="1"/>
    <col min="2769" max="2769" width="7.5703125" style="338" customWidth="1"/>
    <col min="2770" max="2770" width="7.42578125" style="338" customWidth="1"/>
    <col min="2771" max="2771" width="7.5703125" style="338" customWidth="1"/>
    <col min="2772" max="2772" width="10.42578125" style="338" customWidth="1"/>
    <col min="2773" max="2773" width="10.140625" style="338" customWidth="1"/>
    <col min="2774" max="2774" width="14.85546875" style="338" customWidth="1"/>
    <col min="2775" max="2775" width="10.5703125" style="338" customWidth="1"/>
    <col min="2776" max="2776" width="6.5703125" style="338" customWidth="1"/>
    <col min="2777" max="2777" width="7" style="338" customWidth="1"/>
    <col min="2778" max="2778" width="7.42578125" style="338" customWidth="1"/>
    <col min="2779" max="2779" width="7.5703125" style="338" customWidth="1"/>
    <col min="2780" max="2780" width="7.42578125" style="338" customWidth="1"/>
    <col min="2781" max="2781" width="7.5703125" style="338" customWidth="1"/>
    <col min="2782" max="2782" width="10.42578125" style="338" customWidth="1"/>
    <col min="2783" max="2783" width="10.140625" style="338" customWidth="1"/>
    <col min="2784" max="2784" width="8.7109375" style="338"/>
    <col min="2785" max="2803" width="9.140625" style="338" customWidth="1"/>
    <col min="2804" max="3009" width="8.7109375" style="338"/>
    <col min="3010" max="3010" width="23.85546875" style="338" customWidth="1"/>
    <col min="3011" max="3011" width="10.5703125" style="338" customWidth="1"/>
    <col min="3012" max="3012" width="6.5703125" style="338" customWidth="1"/>
    <col min="3013" max="3013" width="7" style="338" bestFit="1" customWidth="1"/>
    <col min="3014" max="3014" width="7.42578125" style="338" bestFit="1" customWidth="1"/>
    <col min="3015" max="3015" width="7.5703125" style="338" bestFit="1" customWidth="1"/>
    <col min="3016" max="3016" width="7.42578125" style="338" bestFit="1" customWidth="1"/>
    <col min="3017" max="3017" width="7.5703125" style="338" bestFit="1" customWidth="1"/>
    <col min="3018" max="3018" width="10.42578125" style="338" bestFit="1" customWidth="1"/>
    <col min="3019" max="3019" width="10.140625" style="338" bestFit="1" customWidth="1"/>
    <col min="3020" max="3020" width="23.85546875" style="338" customWidth="1"/>
    <col min="3021" max="3021" width="10.5703125" style="338" customWidth="1"/>
    <col min="3022" max="3022" width="6.5703125" style="338" customWidth="1"/>
    <col min="3023" max="3023" width="7" style="338" customWidth="1"/>
    <col min="3024" max="3024" width="7.42578125" style="338" customWidth="1"/>
    <col min="3025" max="3025" width="7.5703125" style="338" customWidth="1"/>
    <col min="3026" max="3026" width="7.42578125" style="338" customWidth="1"/>
    <col min="3027" max="3027" width="7.5703125" style="338" customWidth="1"/>
    <col min="3028" max="3028" width="10.42578125" style="338" customWidth="1"/>
    <col min="3029" max="3029" width="10.140625" style="338" customWidth="1"/>
    <col min="3030" max="3030" width="14.85546875" style="338" customWidth="1"/>
    <col min="3031" max="3031" width="10.5703125" style="338" customWidth="1"/>
    <col min="3032" max="3032" width="6.5703125" style="338" customWidth="1"/>
    <col min="3033" max="3033" width="7" style="338" customWidth="1"/>
    <col min="3034" max="3034" width="7.42578125" style="338" customWidth="1"/>
    <col min="3035" max="3035" width="7.5703125" style="338" customWidth="1"/>
    <col min="3036" max="3036" width="7.42578125" style="338" customWidth="1"/>
    <col min="3037" max="3037" width="7.5703125" style="338" customWidth="1"/>
    <col min="3038" max="3038" width="10.42578125" style="338" customWidth="1"/>
    <col min="3039" max="3039" width="10.140625" style="338" customWidth="1"/>
    <col min="3040" max="3040" width="8.7109375" style="338"/>
    <col min="3041" max="3059" width="9.140625" style="338" customWidth="1"/>
    <col min="3060" max="3265" width="8.7109375" style="338"/>
    <col min="3266" max="3266" width="23.85546875" style="338" customWidth="1"/>
    <col min="3267" max="3267" width="10.5703125" style="338" customWidth="1"/>
    <col min="3268" max="3268" width="6.5703125" style="338" customWidth="1"/>
    <col min="3269" max="3269" width="7" style="338" bestFit="1" customWidth="1"/>
    <col min="3270" max="3270" width="7.42578125" style="338" bestFit="1" customWidth="1"/>
    <col min="3271" max="3271" width="7.5703125" style="338" bestFit="1" customWidth="1"/>
    <col min="3272" max="3272" width="7.42578125" style="338" bestFit="1" customWidth="1"/>
    <col min="3273" max="3273" width="7.5703125" style="338" bestFit="1" customWidth="1"/>
    <col min="3274" max="3274" width="10.42578125" style="338" bestFit="1" customWidth="1"/>
    <col min="3275" max="3275" width="10.140625" style="338" bestFit="1" customWidth="1"/>
    <col min="3276" max="3276" width="23.85546875" style="338" customWidth="1"/>
    <col min="3277" max="3277" width="10.5703125" style="338" customWidth="1"/>
    <col min="3278" max="3278" width="6.5703125" style="338" customWidth="1"/>
    <col min="3279" max="3279" width="7" style="338" customWidth="1"/>
    <col min="3280" max="3280" width="7.42578125" style="338" customWidth="1"/>
    <col min="3281" max="3281" width="7.5703125" style="338" customWidth="1"/>
    <col min="3282" max="3282" width="7.42578125" style="338" customWidth="1"/>
    <col min="3283" max="3283" width="7.5703125" style="338" customWidth="1"/>
    <col min="3284" max="3284" width="10.42578125" style="338" customWidth="1"/>
    <col min="3285" max="3285" width="10.140625" style="338" customWidth="1"/>
    <col min="3286" max="3286" width="14.85546875" style="338" customWidth="1"/>
    <col min="3287" max="3287" width="10.5703125" style="338" customWidth="1"/>
    <col min="3288" max="3288" width="6.5703125" style="338" customWidth="1"/>
    <col min="3289" max="3289" width="7" style="338" customWidth="1"/>
    <col min="3290" max="3290" width="7.42578125" style="338" customWidth="1"/>
    <col min="3291" max="3291" width="7.5703125" style="338" customWidth="1"/>
    <col min="3292" max="3292" width="7.42578125" style="338" customWidth="1"/>
    <col min="3293" max="3293" width="7.5703125" style="338" customWidth="1"/>
    <col min="3294" max="3294" width="10.42578125" style="338" customWidth="1"/>
    <col min="3295" max="3295" width="10.140625" style="338" customWidth="1"/>
    <col min="3296" max="3296" width="8.7109375" style="338"/>
    <col min="3297" max="3315" width="9.140625" style="338" customWidth="1"/>
    <col min="3316" max="3521" width="8.7109375" style="338"/>
    <col min="3522" max="3522" width="23.85546875" style="338" customWidth="1"/>
    <col min="3523" max="3523" width="10.5703125" style="338" customWidth="1"/>
    <col min="3524" max="3524" width="6.5703125" style="338" customWidth="1"/>
    <col min="3525" max="3525" width="7" style="338" bestFit="1" customWidth="1"/>
    <col min="3526" max="3526" width="7.42578125" style="338" bestFit="1" customWidth="1"/>
    <col min="3527" max="3527" width="7.5703125" style="338" bestFit="1" customWidth="1"/>
    <col min="3528" max="3528" width="7.42578125" style="338" bestFit="1" customWidth="1"/>
    <col min="3529" max="3529" width="7.5703125" style="338" bestFit="1" customWidth="1"/>
    <col min="3530" max="3530" width="10.42578125" style="338" bestFit="1" customWidth="1"/>
    <col min="3531" max="3531" width="10.140625" style="338" bestFit="1" customWidth="1"/>
    <col min="3532" max="3532" width="23.85546875" style="338" customWidth="1"/>
    <col min="3533" max="3533" width="10.5703125" style="338" customWidth="1"/>
    <col min="3534" max="3534" width="6.5703125" style="338" customWidth="1"/>
    <col min="3535" max="3535" width="7" style="338" customWidth="1"/>
    <col min="3536" max="3536" width="7.42578125" style="338" customWidth="1"/>
    <col min="3537" max="3537" width="7.5703125" style="338" customWidth="1"/>
    <col min="3538" max="3538" width="7.42578125" style="338" customWidth="1"/>
    <col min="3539" max="3539" width="7.5703125" style="338" customWidth="1"/>
    <col min="3540" max="3540" width="10.42578125" style="338" customWidth="1"/>
    <col min="3541" max="3541" width="10.140625" style="338" customWidth="1"/>
    <col min="3542" max="3542" width="14.85546875" style="338" customWidth="1"/>
    <col min="3543" max="3543" width="10.5703125" style="338" customWidth="1"/>
    <col min="3544" max="3544" width="6.5703125" style="338" customWidth="1"/>
    <col min="3545" max="3545" width="7" style="338" customWidth="1"/>
    <col min="3546" max="3546" width="7.42578125" style="338" customWidth="1"/>
    <col min="3547" max="3547" width="7.5703125" style="338" customWidth="1"/>
    <col min="3548" max="3548" width="7.42578125" style="338" customWidth="1"/>
    <col min="3549" max="3549" width="7.5703125" style="338" customWidth="1"/>
    <col min="3550" max="3550" width="10.42578125" style="338" customWidth="1"/>
    <col min="3551" max="3551" width="10.140625" style="338" customWidth="1"/>
    <col min="3552" max="3552" width="8.7109375" style="338"/>
    <col min="3553" max="3571" width="9.140625" style="338" customWidth="1"/>
    <col min="3572" max="3777" width="8.7109375" style="338"/>
    <col min="3778" max="3778" width="23.85546875" style="338" customWidth="1"/>
    <col min="3779" max="3779" width="10.5703125" style="338" customWidth="1"/>
    <col min="3780" max="3780" width="6.5703125" style="338" customWidth="1"/>
    <col min="3781" max="3781" width="7" style="338" bestFit="1" customWidth="1"/>
    <col min="3782" max="3782" width="7.42578125" style="338" bestFit="1" customWidth="1"/>
    <col min="3783" max="3783" width="7.5703125" style="338" bestFit="1" customWidth="1"/>
    <col min="3784" max="3784" width="7.42578125" style="338" bestFit="1" customWidth="1"/>
    <col min="3785" max="3785" width="7.5703125" style="338" bestFit="1" customWidth="1"/>
    <col min="3786" max="3786" width="10.42578125" style="338" bestFit="1" customWidth="1"/>
    <col min="3787" max="3787" width="10.140625" style="338" bestFit="1" customWidth="1"/>
    <col min="3788" max="3788" width="23.85546875" style="338" customWidth="1"/>
    <col min="3789" max="3789" width="10.5703125" style="338" customWidth="1"/>
    <col min="3790" max="3790" width="6.5703125" style="338" customWidth="1"/>
    <col min="3791" max="3791" width="7" style="338" customWidth="1"/>
    <col min="3792" max="3792" width="7.42578125" style="338" customWidth="1"/>
    <col min="3793" max="3793" width="7.5703125" style="338" customWidth="1"/>
    <col min="3794" max="3794" width="7.42578125" style="338" customWidth="1"/>
    <col min="3795" max="3795" width="7.5703125" style="338" customWidth="1"/>
    <col min="3796" max="3796" width="10.42578125" style="338" customWidth="1"/>
    <col min="3797" max="3797" width="10.140625" style="338" customWidth="1"/>
    <col min="3798" max="3798" width="14.85546875" style="338" customWidth="1"/>
    <col min="3799" max="3799" width="10.5703125" style="338" customWidth="1"/>
    <col min="3800" max="3800" width="6.5703125" style="338" customWidth="1"/>
    <col min="3801" max="3801" width="7" style="338" customWidth="1"/>
    <col min="3802" max="3802" width="7.42578125" style="338" customWidth="1"/>
    <col min="3803" max="3803" width="7.5703125" style="338" customWidth="1"/>
    <col min="3804" max="3804" width="7.42578125" style="338" customWidth="1"/>
    <col min="3805" max="3805" width="7.5703125" style="338" customWidth="1"/>
    <col min="3806" max="3806" width="10.42578125" style="338" customWidth="1"/>
    <col min="3807" max="3807" width="10.140625" style="338" customWidth="1"/>
    <col min="3808" max="3808" width="8.7109375" style="338"/>
    <col min="3809" max="3827" width="9.140625" style="338" customWidth="1"/>
    <col min="3828" max="4033" width="8.7109375" style="338"/>
    <col min="4034" max="4034" width="23.85546875" style="338" customWidth="1"/>
    <col min="4035" max="4035" width="10.5703125" style="338" customWidth="1"/>
    <col min="4036" max="4036" width="6.5703125" style="338" customWidth="1"/>
    <col min="4037" max="4037" width="7" style="338" bestFit="1" customWidth="1"/>
    <col min="4038" max="4038" width="7.42578125" style="338" bestFit="1" customWidth="1"/>
    <col min="4039" max="4039" width="7.5703125" style="338" bestFit="1" customWidth="1"/>
    <col min="4040" max="4040" width="7.42578125" style="338" bestFit="1" customWidth="1"/>
    <col min="4041" max="4041" width="7.5703125" style="338" bestFit="1" customWidth="1"/>
    <col min="4042" max="4042" width="10.42578125" style="338" bestFit="1" customWidth="1"/>
    <col min="4043" max="4043" width="10.140625" style="338" bestFit="1" customWidth="1"/>
    <col min="4044" max="4044" width="23.85546875" style="338" customWidth="1"/>
    <col min="4045" max="4045" width="10.5703125" style="338" customWidth="1"/>
    <col min="4046" max="4046" width="6.5703125" style="338" customWidth="1"/>
    <col min="4047" max="4047" width="7" style="338" customWidth="1"/>
    <col min="4048" max="4048" width="7.42578125" style="338" customWidth="1"/>
    <col min="4049" max="4049" width="7.5703125" style="338" customWidth="1"/>
    <col min="4050" max="4050" width="7.42578125" style="338" customWidth="1"/>
    <col min="4051" max="4051" width="7.5703125" style="338" customWidth="1"/>
    <col min="4052" max="4052" width="10.42578125" style="338" customWidth="1"/>
    <col min="4053" max="4053" width="10.140625" style="338" customWidth="1"/>
    <col min="4054" max="4054" width="14.85546875" style="338" customWidth="1"/>
    <col min="4055" max="4055" width="10.5703125" style="338" customWidth="1"/>
    <col min="4056" max="4056" width="6.5703125" style="338" customWidth="1"/>
    <col min="4057" max="4057" width="7" style="338" customWidth="1"/>
    <col min="4058" max="4058" width="7.42578125" style="338" customWidth="1"/>
    <col min="4059" max="4059" width="7.5703125" style="338" customWidth="1"/>
    <col min="4060" max="4060" width="7.42578125" style="338" customWidth="1"/>
    <col min="4061" max="4061" width="7.5703125" style="338" customWidth="1"/>
    <col min="4062" max="4062" width="10.42578125" style="338" customWidth="1"/>
    <col min="4063" max="4063" width="10.140625" style="338" customWidth="1"/>
    <col min="4064" max="4064" width="8.7109375" style="338"/>
    <col min="4065" max="4083" width="9.140625" style="338" customWidth="1"/>
    <col min="4084" max="4289" width="8.7109375" style="338"/>
    <col min="4290" max="4290" width="23.85546875" style="338" customWidth="1"/>
    <col min="4291" max="4291" width="10.5703125" style="338" customWidth="1"/>
    <col min="4292" max="4292" width="6.5703125" style="338" customWidth="1"/>
    <col min="4293" max="4293" width="7" style="338" bestFit="1" customWidth="1"/>
    <col min="4294" max="4294" width="7.42578125" style="338" bestFit="1" customWidth="1"/>
    <col min="4295" max="4295" width="7.5703125" style="338" bestFit="1" customWidth="1"/>
    <col min="4296" max="4296" width="7.42578125" style="338" bestFit="1" customWidth="1"/>
    <col min="4297" max="4297" width="7.5703125" style="338" bestFit="1" customWidth="1"/>
    <col min="4298" max="4298" width="10.42578125" style="338" bestFit="1" customWidth="1"/>
    <col min="4299" max="4299" width="10.140625" style="338" bestFit="1" customWidth="1"/>
    <col min="4300" max="4300" width="23.85546875" style="338" customWidth="1"/>
    <col min="4301" max="4301" width="10.5703125" style="338" customWidth="1"/>
    <col min="4302" max="4302" width="6.5703125" style="338" customWidth="1"/>
    <col min="4303" max="4303" width="7" style="338" customWidth="1"/>
    <col min="4304" max="4304" width="7.42578125" style="338" customWidth="1"/>
    <col min="4305" max="4305" width="7.5703125" style="338" customWidth="1"/>
    <col min="4306" max="4306" width="7.42578125" style="338" customWidth="1"/>
    <col min="4307" max="4307" width="7.5703125" style="338" customWidth="1"/>
    <col min="4308" max="4308" width="10.42578125" style="338" customWidth="1"/>
    <col min="4309" max="4309" width="10.140625" style="338" customWidth="1"/>
    <col min="4310" max="4310" width="14.85546875" style="338" customWidth="1"/>
    <col min="4311" max="4311" width="10.5703125" style="338" customWidth="1"/>
    <col min="4312" max="4312" width="6.5703125" style="338" customWidth="1"/>
    <col min="4313" max="4313" width="7" style="338" customWidth="1"/>
    <col min="4314" max="4314" width="7.42578125" style="338" customWidth="1"/>
    <col min="4315" max="4315" width="7.5703125" style="338" customWidth="1"/>
    <col min="4316" max="4316" width="7.42578125" style="338" customWidth="1"/>
    <col min="4317" max="4317" width="7.5703125" style="338" customWidth="1"/>
    <col min="4318" max="4318" width="10.42578125" style="338" customWidth="1"/>
    <col min="4319" max="4319" width="10.140625" style="338" customWidth="1"/>
    <col min="4320" max="4320" width="8.7109375" style="338"/>
    <col min="4321" max="4339" width="9.140625" style="338" customWidth="1"/>
    <col min="4340" max="4545" width="8.7109375" style="338"/>
    <col min="4546" max="4546" width="23.85546875" style="338" customWidth="1"/>
    <col min="4547" max="4547" width="10.5703125" style="338" customWidth="1"/>
    <col min="4548" max="4548" width="6.5703125" style="338" customWidth="1"/>
    <col min="4549" max="4549" width="7" style="338" bestFit="1" customWidth="1"/>
    <col min="4550" max="4550" width="7.42578125" style="338" bestFit="1" customWidth="1"/>
    <col min="4551" max="4551" width="7.5703125" style="338" bestFit="1" customWidth="1"/>
    <col min="4552" max="4552" width="7.42578125" style="338" bestFit="1" customWidth="1"/>
    <col min="4553" max="4553" width="7.5703125" style="338" bestFit="1" customWidth="1"/>
    <col min="4554" max="4554" width="10.42578125" style="338" bestFit="1" customWidth="1"/>
    <col min="4555" max="4555" width="10.140625" style="338" bestFit="1" customWidth="1"/>
    <col min="4556" max="4556" width="23.85546875" style="338" customWidth="1"/>
    <col min="4557" max="4557" width="10.5703125" style="338" customWidth="1"/>
    <col min="4558" max="4558" width="6.5703125" style="338" customWidth="1"/>
    <col min="4559" max="4559" width="7" style="338" customWidth="1"/>
    <col min="4560" max="4560" width="7.42578125" style="338" customWidth="1"/>
    <col min="4561" max="4561" width="7.5703125" style="338" customWidth="1"/>
    <col min="4562" max="4562" width="7.42578125" style="338" customWidth="1"/>
    <col min="4563" max="4563" width="7.5703125" style="338" customWidth="1"/>
    <col min="4564" max="4564" width="10.42578125" style="338" customWidth="1"/>
    <col min="4565" max="4565" width="10.140625" style="338" customWidth="1"/>
    <col min="4566" max="4566" width="14.85546875" style="338" customWidth="1"/>
    <col min="4567" max="4567" width="10.5703125" style="338" customWidth="1"/>
    <col min="4568" max="4568" width="6.5703125" style="338" customWidth="1"/>
    <col min="4569" max="4569" width="7" style="338" customWidth="1"/>
    <col min="4570" max="4570" width="7.42578125" style="338" customWidth="1"/>
    <col min="4571" max="4571" width="7.5703125" style="338" customWidth="1"/>
    <col min="4572" max="4572" width="7.42578125" style="338" customWidth="1"/>
    <col min="4573" max="4573" width="7.5703125" style="338" customWidth="1"/>
    <col min="4574" max="4574" width="10.42578125" style="338" customWidth="1"/>
    <col min="4575" max="4575" width="10.140625" style="338" customWidth="1"/>
    <col min="4576" max="4576" width="8.7109375" style="338"/>
    <col min="4577" max="4595" width="9.140625" style="338" customWidth="1"/>
    <col min="4596" max="4801" width="8.7109375" style="338"/>
    <col min="4802" max="4802" width="23.85546875" style="338" customWidth="1"/>
    <col min="4803" max="4803" width="10.5703125" style="338" customWidth="1"/>
    <col min="4804" max="4804" width="6.5703125" style="338" customWidth="1"/>
    <col min="4805" max="4805" width="7" style="338" bestFit="1" customWidth="1"/>
    <col min="4806" max="4806" width="7.42578125" style="338" bestFit="1" customWidth="1"/>
    <col min="4807" max="4807" width="7.5703125" style="338" bestFit="1" customWidth="1"/>
    <col min="4808" max="4808" width="7.42578125" style="338" bestFit="1" customWidth="1"/>
    <col min="4809" max="4809" width="7.5703125" style="338" bestFit="1" customWidth="1"/>
    <col min="4810" max="4810" width="10.42578125" style="338" bestFit="1" customWidth="1"/>
    <col min="4811" max="4811" width="10.140625" style="338" bestFit="1" customWidth="1"/>
    <col min="4812" max="4812" width="23.85546875" style="338" customWidth="1"/>
    <col min="4813" max="4813" width="10.5703125" style="338" customWidth="1"/>
    <col min="4814" max="4814" width="6.5703125" style="338" customWidth="1"/>
    <col min="4815" max="4815" width="7" style="338" customWidth="1"/>
    <col min="4816" max="4816" width="7.42578125" style="338" customWidth="1"/>
    <col min="4817" max="4817" width="7.5703125" style="338" customWidth="1"/>
    <col min="4818" max="4818" width="7.42578125" style="338" customWidth="1"/>
    <col min="4819" max="4819" width="7.5703125" style="338" customWidth="1"/>
    <col min="4820" max="4820" width="10.42578125" style="338" customWidth="1"/>
    <col min="4821" max="4821" width="10.140625" style="338" customWidth="1"/>
    <col min="4822" max="4822" width="14.85546875" style="338" customWidth="1"/>
    <col min="4823" max="4823" width="10.5703125" style="338" customWidth="1"/>
    <col min="4824" max="4824" width="6.5703125" style="338" customWidth="1"/>
    <col min="4825" max="4825" width="7" style="338" customWidth="1"/>
    <col min="4826" max="4826" width="7.42578125" style="338" customWidth="1"/>
    <col min="4827" max="4827" width="7.5703125" style="338" customWidth="1"/>
    <col min="4828" max="4828" width="7.42578125" style="338" customWidth="1"/>
    <col min="4829" max="4829" width="7.5703125" style="338" customWidth="1"/>
    <col min="4830" max="4830" width="10.42578125" style="338" customWidth="1"/>
    <col min="4831" max="4831" width="10.140625" style="338" customWidth="1"/>
    <col min="4832" max="4832" width="8.7109375" style="338"/>
    <col min="4833" max="4851" width="9.140625" style="338" customWidth="1"/>
    <col min="4852" max="5057" width="8.7109375" style="338"/>
    <col min="5058" max="5058" width="23.85546875" style="338" customWidth="1"/>
    <col min="5059" max="5059" width="10.5703125" style="338" customWidth="1"/>
    <col min="5060" max="5060" width="6.5703125" style="338" customWidth="1"/>
    <col min="5061" max="5061" width="7" style="338" bestFit="1" customWidth="1"/>
    <col min="5062" max="5062" width="7.42578125" style="338" bestFit="1" customWidth="1"/>
    <col min="5063" max="5063" width="7.5703125" style="338" bestFit="1" customWidth="1"/>
    <col min="5064" max="5064" width="7.42578125" style="338" bestFit="1" customWidth="1"/>
    <col min="5065" max="5065" width="7.5703125" style="338" bestFit="1" customWidth="1"/>
    <col min="5066" max="5066" width="10.42578125" style="338" bestFit="1" customWidth="1"/>
    <col min="5067" max="5067" width="10.140625" style="338" bestFit="1" customWidth="1"/>
    <col min="5068" max="5068" width="23.85546875" style="338" customWidth="1"/>
    <col min="5069" max="5069" width="10.5703125" style="338" customWidth="1"/>
    <col min="5070" max="5070" width="6.5703125" style="338" customWidth="1"/>
    <col min="5071" max="5071" width="7" style="338" customWidth="1"/>
    <col min="5072" max="5072" width="7.42578125" style="338" customWidth="1"/>
    <col min="5073" max="5073" width="7.5703125" style="338" customWidth="1"/>
    <col min="5074" max="5074" width="7.42578125" style="338" customWidth="1"/>
    <col min="5075" max="5075" width="7.5703125" style="338" customWidth="1"/>
    <col min="5076" max="5076" width="10.42578125" style="338" customWidth="1"/>
    <col min="5077" max="5077" width="10.140625" style="338" customWidth="1"/>
    <col min="5078" max="5078" width="14.85546875" style="338" customWidth="1"/>
    <col min="5079" max="5079" width="10.5703125" style="338" customWidth="1"/>
    <col min="5080" max="5080" width="6.5703125" style="338" customWidth="1"/>
    <col min="5081" max="5081" width="7" style="338" customWidth="1"/>
    <col min="5082" max="5082" width="7.42578125" style="338" customWidth="1"/>
    <col min="5083" max="5083" width="7.5703125" style="338" customWidth="1"/>
    <col min="5084" max="5084" width="7.42578125" style="338" customWidth="1"/>
    <col min="5085" max="5085" width="7.5703125" style="338" customWidth="1"/>
    <col min="5086" max="5086" width="10.42578125" style="338" customWidth="1"/>
    <col min="5087" max="5087" width="10.140625" style="338" customWidth="1"/>
    <col min="5088" max="5088" width="8.7109375" style="338"/>
    <col min="5089" max="5107" width="9.140625" style="338" customWidth="1"/>
    <col min="5108" max="5313" width="8.7109375" style="338"/>
    <col min="5314" max="5314" width="23.85546875" style="338" customWidth="1"/>
    <col min="5315" max="5315" width="10.5703125" style="338" customWidth="1"/>
    <col min="5316" max="5316" width="6.5703125" style="338" customWidth="1"/>
    <col min="5317" max="5317" width="7" style="338" bestFit="1" customWidth="1"/>
    <col min="5318" max="5318" width="7.42578125" style="338" bestFit="1" customWidth="1"/>
    <col min="5319" max="5319" width="7.5703125" style="338" bestFit="1" customWidth="1"/>
    <col min="5320" max="5320" width="7.42578125" style="338" bestFit="1" customWidth="1"/>
    <col min="5321" max="5321" width="7.5703125" style="338" bestFit="1" customWidth="1"/>
    <col min="5322" max="5322" width="10.42578125" style="338" bestFit="1" customWidth="1"/>
    <col min="5323" max="5323" width="10.140625" style="338" bestFit="1" customWidth="1"/>
    <col min="5324" max="5324" width="23.85546875" style="338" customWidth="1"/>
    <col min="5325" max="5325" width="10.5703125" style="338" customWidth="1"/>
    <col min="5326" max="5326" width="6.5703125" style="338" customWidth="1"/>
    <col min="5327" max="5327" width="7" style="338" customWidth="1"/>
    <col min="5328" max="5328" width="7.42578125" style="338" customWidth="1"/>
    <col min="5329" max="5329" width="7.5703125" style="338" customWidth="1"/>
    <col min="5330" max="5330" width="7.42578125" style="338" customWidth="1"/>
    <col min="5331" max="5331" width="7.5703125" style="338" customWidth="1"/>
    <col min="5332" max="5332" width="10.42578125" style="338" customWidth="1"/>
    <col min="5333" max="5333" width="10.140625" style="338" customWidth="1"/>
    <col min="5334" max="5334" width="14.85546875" style="338" customWidth="1"/>
    <col min="5335" max="5335" width="10.5703125" style="338" customWidth="1"/>
    <col min="5336" max="5336" width="6.5703125" style="338" customWidth="1"/>
    <col min="5337" max="5337" width="7" style="338" customWidth="1"/>
    <col min="5338" max="5338" width="7.42578125" style="338" customWidth="1"/>
    <col min="5339" max="5339" width="7.5703125" style="338" customWidth="1"/>
    <col min="5340" max="5340" width="7.42578125" style="338" customWidth="1"/>
    <col min="5341" max="5341" width="7.5703125" style="338" customWidth="1"/>
    <col min="5342" max="5342" width="10.42578125" style="338" customWidth="1"/>
    <col min="5343" max="5343" width="10.140625" style="338" customWidth="1"/>
    <col min="5344" max="5344" width="8.7109375" style="338"/>
    <col min="5345" max="5363" width="9.140625" style="338" customWidth="1"/>
    <col min="5364" max="5569" width="8.7109375" style="338"/>
    <col min="5570" max="5570" width="23.85546875" style="338" customWidth="1"/>
    <col min="5571" max="5571" width="10.5703125" style="338" customWidth="1"/>
    <col min="5572" max="5572" width="6.5703125" style="338" customWidth="1"/>
    <col min="5573" max="5573" width="7" style="338" bestFit="1" customWidth="1"/>
    <col min="5574" max="5574" width="7.42578125" style="338" bestFit="1" customWidth="1"/>
    <col min="5575" max="5575" width="7.5703125" style="338" bestFit="1" customWidth="1"/>
    <col min="5576" max="5576" width="7.42578125" style="338" bestFit="1" customWidth="1"/>
    <col min="5577" max="5577" width="7.5703125" style="338" bestFit="1" customWidth="1"/>
    <col min="5578" max="5578" width="10.42578125" style="338" bestFit="1" customWidth="1"/>
    <col min="5579" max="5579" width="10.140625" style="338" bestFit="1" customWidth="1"/>
    <col min="5580" max="5580" width="23.85546875" style="338" customWidth="1"/>
    <col min="5581" max="5581" width="10.5703125" style="338" customWidth="1"/>
    <col min="5582" max="5582" width="6.5703125" style="338" customWidth="1"/>
    <col min="5583" max="5583" width="7" style="338" customWidth="1"/>
    <col min="5584" max="5584" width="7.42578125" style="338" customWidth="1"/>
    <col min="5585" max="5585" width="7.5703125" style="338" customWidth="1"/>
    <col min="5586" max="5586" width="7.42578125" style="338" customWidth="1"/>
    <col min="5587" max="5587" width="7.5703125" style="338" customWidth="1"/>
    <col min="5588" max="5588" width="10.42578125" style="338" customWidth="1"/>
    <col min="5589" max="5589" width="10.140625" style="338" customWidth="1"/>
    <col min="5590" max="5590" width="14.85546875" style="338" customWidth="1"/>
    <col min="5591" max="5591" width="10.5703125" style="338" customWidth="1"/>
    <col min="5592" max="5592" width="6.5703125" style="338" customWidth="1"/>
    <col min="5593" max="5593" width="7" style="338" customWidth="1"/>
    <col min="5594" max="5594" width="7.42578125" style="338" customWidth="1"/>
    <col min="5595" max="5595" width="7.5703125" style="338" customWidth="1"/>
    <col min="5596" max="5596" width="7.42578125" style="338" customWidth="1"/>
    <col min="5597" max="5597" width="7.5703125" style="338" customWidth="1"/>
    <col min="5598" max="5598" width="10.42578125" style="338" customWidth="1"/>
    <col min="5599" max="5599" width="10.140625" style="338" customWidth="1"/>
    <col min="5600" max="5600" width="8.7109375" style="338"/>
    <col min="5601" max="5619" width="9.140625" style="338" customWidth="1"/>
    <col min="5620" max="5825" width="8.7109375" style="338"/>
    <col min="5826" max="5826" width="23.85546875" style="338" customWidth="1"/>
    <col min="5827" max="5827" width="10.5703125" style="338" customWidth="1"/>
    <col min="5828" max="5828" width="6.5703125" style="338" customWidth="1"/>
    <col min="5829" max="5829" width="7" style="338" bestFit="1" customWidth="1"/>
    <col min="5830" max="5830" width="7.42578125" style="338" bestFit="1" customWidth="1"/>
    <col min="5831" max="5831" width="7.5703125" style="338" bestFit="1" customWidth="1"/>
    <col min="5832" max="5832" width="7.42578125" style="338" bestFit="1" customWidth="1"/>
    <col min="5833" max="5833" width="7.5703125" style="338" bestFit="1" customWidth="1"/>
    <col min="5834" max="5834" width="10.42578125" style="338" bestFit="1" customWidth="1"/>
    <col min="5835" max="5835" width="10.140625" style="338" bestFit="1" customWidth="1"/>
    <col min="5836" max="5836" width="23.85546875" style="338" customWidth="1"/>
    <col min="5837" max="5837" width="10.5703125" style="338" customWidth="1"/>
    <col min="5838" max="5838" width="6.5703125" style="338" customWidth="1"/>
    <col min="5839" max="5839" width="7" style="338" customWidth="1"/>
    <col min="5840" max="5840" width="7.42578125" style="338" customWidth="1"/>
    <col min="5841" max="5841" width="7.5703125" style="338" customWidth="1"/>
    <col min="5842" max="5842" width="7.42578125" style="338" customWidth="1"/>
    <col min="5843" max="5843" width="7.5703125" style="338" customWidth="1"/>
    <col min="5844" max="5844" width="10.42578125" style="338" customWidth="1"/>
    <col min="5845" max="5845" width="10.140625" style="338" customWidth="1"/>
    <col min="5846" max="5846" width="14.85546875" style="338" customWidth="1"/>
    <col min="5847" max="5847" width="10.5703125" style="338" customWidth="1"/>
    <col min="5848" max="5848" width="6.5703125" style="338" customWidth="1"/>
    <col min="5849" max="5849" width="7" style="338" customWidth="1"/>
    <col min="5850" max="5850" width="7.42578125" style="338" customWidth="1"/>
    <col min="5851" max="5851" width="7.5703125" style="338" customWidth="1"/>
    <col min="5852" max="5852" width="7.42578125" style="338" customWidth="1"/>
    <col min="5853" max="5853" width="7.5703125" style="338" customWidth="1"/>
    <col min="5854" max="5854" width="10.42578125" style="338" customWidth="1"/>
    <col min="5855" max="5855" width="10.140625" style="338" customWidth="1"/>
    <col min="5856" max="5856" width="8.7109375" style="338"/>
    <col min="5857" max="5875" width="9.140625" style="338" customWidth="1"/>
    <col min="5876" max="6081" width="8.7109375" style="338"/>
    <col min="6082" max="6082" width="23.85546875" style="338" customWidth="1"/>
    <col min="6083" max="6083" width="10.5703125" style="338" customWidth="1"/>
    <col min="6084" max="6084" width="6.5703125" style="338" customWidth="1"/>
    <col min="6085" max="6085" width="7" style="338" bestFit="1" customWidth="1"/>
    <col min="6086" max="6086" width="7.42578125" style="338" bestFit="1" customWidth="1"/>
    <col min="6087" max="6087" width="7.5703125" style="338" bestFit="1" customWidth="1"/>
    <col min="6088" max="6088" width="7.42578125" style="338" bestFit="1" customWidth="1"/>
    <col min="6089" max="6089" width="7.5703125" style="338" bestFit="1" customWidth="1"/>
    <col min="6090" max="6090" width="10.42578125" style="338" bestFit="1" customWidth="1"/>
    <col min="6091" max="6091" width="10.140625" style="338" bestFit="1" customWidth="1"/>
    <col min="6092" max="6092" width="23.85546875" style="338" customWidth="1"/>
    <col min="6093" max="6093" width="10.5703125" style="338" customWidth="1"/>
    <col min="6094" max="6094" width="6.5703125" style="338" customWidth="1"/>
    <col min="6095" max="6095" width="7" style="338" customWidth="1"/>
    <col min="6096" max="6096" width="7.42578125" style="338" customWidth="1"/>
    <col min="6097" max="6097" width="7.5703125" style="338" customWidth="1"/>
    <col min="6098" max="6098" width="7.42578125" style="338" customWidth="1"/>
    <col min="6099" max="6099" width="7.5703125" style="338" customWidth="1"/>
    <col min="6100" max="6100" width="10.42578125" style="338" customWidth="1"/>
    <col min="6101" max="6101" width="10.140625" style="338" customWidth="1"/>
    <col min="6102" max="6102" width="14.85546875" style="338" customWidth="1"/>
    <col min="6103" max="6103" width="10.5703125" style="338" customWidth="1"/>
    <col min="6104" max="6104" width="6.5703125" style="338" customWidth="1"/>
    <col min="6105" max="6105" width="7" style="338" customWidth="1"/>
    <col min="6106" max="6106" width="7.42578125" style="338" customWidth="1"/>
    <col min="6107" max="6107" width="7.5703125" style="338" customWidth="1"/>
    <col min="6108" max="6108" width="7.42578125" style="338" customWidth="1"/>
    <col min="6109" max="6109" width="7.5703125" style="338" customWidth="1"/>
    <col min="6110" max="6110" width="10.42578125" style="338" customWidth="1"/>
    <col min="6111" max="6111" width="10.140625" style="338" customWidth="1"/>
    <col min="6112" max="6112" width="8.7109375" style="338"/>
    <col min="6113" max="6131" width="9.140625" style="338" customWidth="1"/>
    <col min="6132" max="6337" width="8.7109375" style="338"/>
    <col min="6338" max="6338" width="23.85546875" style="338" customWidth="1"/>
    <col min="6339" max="6339" width="10.5703125" style="338" customWidth="1"/>
    <col min="6340" max="6340" width="6.5703125" style="338" customWidth="1"/>
    <col min="6341" max="6341" width="7" style="338" bestFit="1" customWidth="1"/>
    <col min="6342" max="6342" width="7.42578125" style="338" bestFit="1" customWidth="1"/>
    <col min="6343" max="6343" width="7.5703125" style="338" bestFit="1" customWidth="1"/>
    <col min="6344" max="6344" width="7.42578125" style="338" bestFit="1" customWidth="1"/>
    <col min="6345" max="6345" width="7.5703125" style="338" bestFit="1" customWidth="1"/>
    <col min="6346" max="6346" width="10.42578125" style="338" bestFit="1" customWidth="1"/>
    <col min="6347" max="6347" width="10.140625" style="338" bestFit="1" customWidth="1"/>
    <col min="6348" max="6348" width="23.85546875" style="338" customWidth="1"/>
    <col min="6349" max="6349" width="10.5703125" style="338" customWidth="1"/>
    <col min="6350" max="6350" width="6.5703125" style="338" customWidth="1"/>
    <col min="6351" max="6351" width="7" style="338" customWidth="1"/>
    <col min="6352" max="6352" width="7.42578125" style="338" customWidth="1"/>
    <col min="6353" max="6353" width="7.5703125" style="338" customWidth="1"/>
    <col min="6354" max="6354" width="7.42578125" style="338" customWidth="1"/>
    <col min="6355" max="6355" width="7.5703125" style="338" customWidth="1"/>
    <col min="6356" max="6356" width="10.42578125" style="338" customWidth="1"/>
    <col min="6357" max="6357" width="10.140625" style="338" customWidth="1"/>
    <col min="6358" max="6358" width="14.85546875" style="338" customWidth="1"/>
    <col min="6359" max="6359" width="10.5703125" style="338" customWidth="1"/>
    <col min="6360" max="6360" width="6.5703125" style="338" customWidth="1"/>
    <col min="6361" max="6361" width="7" style="338" customWidth="1"/>
    <col min="6362" max="6362" width="7.42578125" style="338" customWidth="1"/>
    <col min="6363" max="6363" width="7.5703125" style="338" customWidth="1"/>
    <col min="6364" max="6364" width="7.42578125" style="338" customWidth="1"/>
    <col min="6365" max="6365" width="7.5703125" style="338" customWidth="1"/>
    <col min="6366" max="6366" width="10.42578125" style="338" customWidth="1"/>
    <col min="6367" max="6367" width="10.140625" style="338" customWidth="1"/>
    <col min="6368" max="6368" width="8.7109375" style="338"/>
    <col min="6369" max="6387" width="9.140625" style="338" customWidth="1"/>
    <col min="6388" max="6593" width="8.7109375" style="338"/>
    <col min="6594" max="6594" width="23.85546875" style="338" customWidth="1"/>
    <col min="6595" max="6595" width="10.5703125" style="338" customWidth="1"/>
    <col min="6596" max="6596" width="6.5703125" style="338" customWidth="1"/>
    <col min="6597" max="6597" width="7" style="338" bestFit="1" customWidth="1"/>
    <col min="6598" max="6598" width="7.42578125" style="338" bestFit="1" customWidth="1"/>
    <col min="6599" max="6599" width="7.5703125" style="338" bestFit="1" customWidth="1"/>
    <col min="6600" max="6600" width="7.42578125" style="338" bestFit="1" customWidth="1"/>
    <col min="6601" max="6601" width="7.5703125" style="338" bestFit="1" customWidth="1"/>
    <col min="6602" max="6602" width="10.42578125" style="338" bestFit="1" customWidth="1"/>
    <col min="6603" max="6603" width="10.140625" style="338" bestFit="1" customWidth="1"/>
    <col min="6604" max="6604" width="23.85546875" style="338" customWidth="1"/>
    <col min="6605" max="6605" width="10.5703125" style="338" customWidth="1"/>
    <col min="6606" max="6606" width="6.5703125" style="338" customWidth="1"/>
    <col min="6607" max="6607" width="7" style="338" customWidth="1"/>
    <col min="6608" max="6608" width="7.42578125" style="338" customWidth="1"/>
    <col min="6609" max="6609" width="7.5703125" style="338" customWidth="1"/>
    <col min="6610" max="6610" width="7.42578125" style="338" customWidth="1"/>
    <col min="6611" max="6611" width="7.5703125" style="338" customWidth="1"/>
    <col min="6612" max="6612" width="10.42578125" style="338" customWidth="1"/>
    <col min="6613" max="6613" width="10.140625" style="338" customWidth="1"/>
    <col min="6614" max="6614" width="14.85546875" style="338" customWidth="1"/>
    <col min="6615" max="6615" width="10.5703125" style="338" customWidth="1"/>
    <col min="6616" max="6616" width="6.5703125" style="338" customWidth="1"/>
    <col min="6617" max="6617" width="7" style="338" customWidth="1"/>
    <col min="6618" max="6618" width="7.42578125" style="338" customWidth="1"/>
    <col min="6619" max="6619" width="7.5703125" style="338" customWidth="1"/>
    <col min="6620" max="6620" width="7.42578125" style="338" customWidth="1"/>
    <col min="6621" max="6621" width="7.5703125" style="338" customWidth="1"/>
    <col min="6622" max="6622" width="10.42578125" style="338" customWidth="1"/>
    <col min="6623" max="6623" width="10.140625" style="338" customWidth="1"/>
    <col min="6624" max="6624" width="8.7109375" style="338"/>
    <col min="6625" max="6643" width="9.140625" style="338" customWidth="1"/>
    <col min="6644" max="6849" width="8.7109375" style="338"/>
    <col min="6850" max="6850" width="23.85546875" style="338" customWidth="1"/>
    <col min="6851" max="6851" width="10.5703125" style="338" customWidth="1"/>
    <col min="6852" max="6852" width="6.5703125" style="338" customWidth="1"/>
    <col min="6853" max="6853" width="7" style="338" bestFit="1" customWidth="1"/>
    <col min="6854" max="6854" width="7.42578125" style="338" bestFit="1" customWidth="1"/>
    <col min="6855" max="6855" width="7.5703125" style="338" bestFit="1" customWidth="1"/>
    <col min="6856" max="6856" width="7.42578125" style="338" bestFit="1" customWidth="1"/>
    <col min="6857" max="6857" width="7.5703125" style="338" bestFit="1" customWidth="1"/>
    <col min="6858" max="6858" width="10.42578125" style="338" bestFit="1" customWidth="1"/>
    <col min="6859" max="6859" width="10.140625" style="338" bestFit="1" customWidth="1"/>
    <col min="6860" max="6860" width="23.85546875" style="338" customWidth="1"/>
    <col min="6861" max="6861" width="10.5703125" style="338" customWidth="1"/>
    <col min="6862" max="6862" width="6.5703125" style="338" customWidth="1"/>
    <col min="6863" max="6863" width="7" style="338" customWidth="1"/>
    <col min="6864" max="6864" width="7.42578125" style="338" customWidth="1"/>
    <col min="6865" max="6865" width="7.5703125" style="338" customWidth="1"/>
    <col min="6866" max="6866" width="7.42578125" style="338" customWidth="1"/>
    <col min="6867" max="6867" width="7.5703125" style="338" customWidth="1"/>
    <col min="6868" max="6868" width="10.42578125" style="338" customWidth="1"/>
    <col min="6869" max="6869" width="10.140625" style="338" customWidth="1"/>
    <col min="6870" max="6870" width="14.85546875" style="338" customWidth="1"/>
    <col min="6871" max="6871" width="10.5703125" style="338" customWidth="1"/>
    <col min="6872" max="6872" width="6.5703125" style="338" customWidth="1"/>
    <col min="6873" max="6873" width="7" style="338" customWidth="1"/>
    <col min="6874" max="6874" width="7.42578125" style="338" customWidth="1"/>
    <col min="6875" max="6875" width="7.5703125" style="338" customWidth="1"/>
    <col min="6876" max="6876" width="7.42578125" style="338" customWidth="1"/>
    <col min="6877" max="6877" width="7.5703125" style="338" customWidth="1"/>
    <col min="6878" max="6878" width="10.42578125" style="338" customWidth="1"/>
    <col min="6879" max="6879" width="10.140625" style="338" customWidth="1"/>
    <col min="6880" max="6880" width="8.7109375" style="338"/>
    <col min="6881" max="6899" width="9.140625" style="338" customWidth="1"/>
    <col min="6900" max="7105" width="8.7109375" style="338"/>
    <col min="7106" max="7106" width="23.85546875" style="338" customWidth="1"/>
    <col min="7107" max="7107" width="10.5703125" style="338" customWidth="1"/>
    <col min="7108" max="7108" width="6.5703125" style="338" customWidth="1"/>
    <col min="7109" max="7109" width="7" style="338" bestFit="1" customWidth="1"/>
    <col min="7110" max="7110" width="7.42578125" style="338" bestFit="1" customWidth="1"/>
    <col min="7111" max="7111" width="7.5703125" style="338" bestFit="1" customWidth="1"/>
    <col min="7112" max="7112" width="7.42578125" style="338" bestFit="1" customWidth="1"/>
    <col min="7113" max="7113" width="7.5703125" style="338" bestFit="1" customWidth="1"/>
    <col min="7114" max="7114" width="10.42578125" style="338" bestFit="1" customWidth="1"/>
    <col min="7115" max="7115" width="10.140625" style="338" bestFit="1" customWidth="1"/>
    <col min="7116" max="7116" width="23.85546875" style="338" customWidth="1"/>
    <col min="7117" max="7117" width="10.5703125" style="338" customWidth="1"/>
    <col min="7118" max="7118" width="6.5703125" style="338" customWidth="1"/>
    <col min="7119" max="7119" width="7" style="338" customWidth="1"/>
    <col min="7120" max="7120" width="7.42578125" style="338" customWidth="1"/>
    <col min="7121" max="7121" width="7.5703125" style="338" customWidth="1"/>
    <col min="7122" max="7122" width="7.42578125" style="338" customWidth="1"/>
    <col min="7123" max="7123" width="7.5703125" style="338" customWidth="1"/>
    <col min="7124" max="7124" width="10.42578125" style="338" customWidth="1"/>
    <col min="7125" max="7125" width="10.140625" style="338" customWidth="1"/>
    <col min="7126" max="7126" width="14.85546875" style="338" customWidth="1"/>
    <col min="7127" max="7127" width="10.5703125" style="338" customWidth="1"/>
    <col min="7128" max="7128" width="6.5703125" style="338" customWidth="1"/>
    <col min="7129" max="7129" width="7" style="338" customWidth="1"/>
    <col min="7130" max="7130" width="7.42578125" style="338" customWidth="1"/>
    <col min="7131" max="7131" width="7.5703125" style="338" customWidth="1"/>
    <col min="7132" max="7132" width="7.42578125" style="338" customWidth="1"/>
    <col min="7133" max="7133" width="7.5703125" style="338" customWidth="1"/>
    <col min="7134" max="7134" width="10.42578125" style="338" customWidth="1"/>
    <col min="7135" max="7135" width="10.140625" style="338" customWidth="1"/>
    <col min="7136" max="7136" width="8.7109375" style="338"/>
    <col min="7137" max="7155" width="9.140625" style="338" customWidth="1"/>
    <col min="7156" max="7361" width="8.7109375" style="338"/>
    <col min="7362" max="7362" width="23.85546875" style="338" customWidth="1"/>
    <col min="7363" max="7363" width="10.5703125" style="338" customWidth="1"/>
    <col min="7364" max="7364" width="6.5703125" style="338" customWidth="1"/>
    <col min="7365" max="7365" width="7" style="338" bestFit="1" customWidth="1"/>
    <col min="7366" max="7366" width="7.42578125" style="338" bestFit="1" customWidth="1"/>
    <col min="7367" max="7367" width="7.5703125" style="338" bestFit="1" customWidth="1"/>
    <col min="7368" max="7368" width="7.42578125" style="338" bestFit="1" customWidth="1"/>
    <col min="7369" max="7369" width="7.5703125" style="338" bestFit="1" customWidth="1"/>
    <col min="7370" max="7370" width="10.42578125" style="338" bestFit="1" customWidth="1"/>
    <col min="7371" max="7371" width="10.140625" style="338" bestFit="1" customWidth="1"/>
    <col min="7372" max="7372" width="23.85546875" style="338" customWidth="1"/>
    <col min="7373" max="7373" width="10.5703125" style="338" customWidth="1"/>
    <col min="7374" max="7374" width="6.5703125" style="338" customWidth="1"/>
    <col min="7375" max="7375" width="7" style="338" customWidth="1"/>
    <col min="7376" max="7376" width="7.42578125" style="338" customWidth="1"/>
    <col min="7377" max="7377" width="7.5703125" style="338" customWidth="1"/>
    <col min="7378" max="7378" width="7.42578125" style="338" customWidth="1"/>
    <col min="7379" max="7379" width="7.5703125" style="338" customWidth="1"/>
    <col min="7380" max="7380" width="10.42578125" style="338" customWidth="1"/>
    <col min="7381" max="7381" width="10.140625" style="338" customWidth="1"/>
    <col min="7382" max="7382" width="14.85546875" style="338" customWidth="1"/>
    <col min="7383" max="7383" width="10.5703125" style="338" customWidth="1"/>
    <col min="7384" max="7384" width="6.5703125" style="338" customWidth="1"/>
    <col min="7385" max="7385" width="7" style="338" customWidth="1"/>
    <col min="7386" max="7386" width="7.42578125" style="338" customWidth="1"/>
    <col min="7387" max="7387" width="7.5703125" style="338" customWidth="1"/>
    <col min="7388" max="7388" width="7.42578125" style="338" customWidth="1"/>
    <col min="7389" max="7389" width="7.5703125" style="338" customWidth="1"/>
    <col min="7390" max="7390" width="10.42578125" style="338" customWidth="1"/>
    <col min="7391" max="7391" width="10.140625" style="338" customWidth="1"/>
    <col min="7392" max="7392" width="8.7109375" style="338"/>
    <col min="7393" max="7411" width="9.140625" style="338" customWidth="1"/>
    <col min="7412" max="7617" width="8.7109375" style="338"/>
    <col min="7618" max="7618" width="23.85546875" style="338" customWidth="1"/>
    <col min="7619" max="7619" width="10.5703125" style="338" customWidth="1"/>
    <col min="7620" max="7620" width="6.5703125" style="338" customWidth="1"/>
    <col min="7621" max="7621" width="7" style="338" bestFit="1" customWidth="1"/>
    <col min="7622" max="7622" width="7.42578125" style="338" bestFit="1" customWidth="1"/>
    <col min="7623" max="7623" width="7.5703125" style="338" bestFit="1" customWidth="1"/>
    <col min="7624" max="7624" width="7.42578125" style="338" bestFit="1" customWidth="1"/>
    <col min="7625" max="7625" width="7.5703125" style="338" bestFit="1" customWidth="1"/>
    <col min="7626" max="7626" width="10.42578125" style="338" bestFit="1" customWidth="1"/>
    <col min="7627" max="7627" width="10.140625" style="338" bestFit="1" customWidth="1"/>
    <col min="7628" max="7628" width="23.85546875" style="338" customWidth="1"/>
    <col min="7629" max="7629" width="10.5703125" style="338" customWidth="1"/>
    <col min="7630" max="7630" width="6.5703125" style="338" customWidth="1"/>
    <col min="7631" max="7631" width="7" style="338" customWidth="1"/>
    <col min="7632" max="7632" width="7.42578125" style="338" customWidth="1"/>
    <col min="7633" max="7633" width="7.5703125" style="338" customWidth="1"/>
    <col min="7634" max="7634" width="7.42578125" style="338" customWidth="1"/>
    <col min="7635" max="7635" width="7.5703125" style="338" customWidth="1"/>
    <col min="7636" max="7636" width="10.42578125" style="338" customWidth="1"/>
    <col min="7637" max="7637" width="10.140625" style="338" customWidth="1"/>
    <col min="7638" max="7638" width="14.85546875" style="338" customWidth="1"/>
    <col min="7639" max="7639" width="10.5703125" style="338" customWidth="1"/>
    <col min="7640" max="7640" width="6.5703125" style="338" customWidth="1"/>
    <col min="7641" max="7641" width="7" style="338" customWidth="1"/>
    <col min="7642" max="7642" width="7.42578125" style="338" customWidth="1"/>
    <col min="7643" max="7643" width="7.5703125" style="338" customWidth="1"/>
    <col min="7644" max="7644" width="7.42578125" style="338" customWidth="1"/>
    <col min="7645" max="7645" width="7.5703125" style="338" customWidth="1"/>
    <col min="7646" max="7646" width="10.42578125" style="338" customWidth="1"/>
    <col min="7647" max="7647" width="10.140625" style="338" customWidth="1"/>
    <col min="7648" max="7648" width="8.7109375" style="338"/>
    <col min="7649" max="7667" width="9.140625" style="338" customWidth="1"/>
    <col min="7668" max="7873" width="8.7109375" style="338"/>
    <col min="7874" max="7874" width="23.85546875" style="338" customWidth="1"/>
    <col min="7875" max="7875" width="10.5703125" style="338" customWidth="1"/>
    <col min="7876" max="7876" width="6.5703125" style="338" customWidth="1"/>
    <col min="7877" max="7877" width="7" style="338" bestFit="1" customWidth="1"/>
    <col min="7878" max="7878" width="7.42578125" style="338" bestFit="1" customWidth="1"/>
    <col min="7879" max="7879" width="7.5703125" style="338" bestFit="1" customWidth="1"/>
    <col min="7880" max="7880" width="7.42578125" style="338" bestFit="1" customWidth="1"/>
    <col min="7881" max="7881" width="7.5703125" style="338" bestFit="1" customWidth="1"/>
    <col min="7882" max="7882" width="10.42578125" style="338" bestFit="1" customWidth="1"/>
    <col min="7883" max="7883" width="10.140625" style="338" bestFit="1" customWidth="1"/>
    <col min="7884" max="7884" width="23.85546875" style="338" customWidth="1"/>
    <col min="7885" max="7885" width="10.5703125" style="338" customWidth="1"/>
    <col min="7886" max="7886" width="6.5703125" style="338" customWidth="1"/>
    <col min="7887" max="7887" width="7" style="338" customWidth="1"/>
    <col min="7888" max="7888" width="7.42578125" style="338" customWidth="1"/>
    <col min="7889" max="7889" width="7.5703125" style="338" customWidth="1"/>
    <col min="7890" max="7890" width="7.42578125" style="338" customWidth="1"/>
    <col min="7891" max="7891" width="7.5703125" style="338" customWidth="1"/>
    <col min="7892" max="7892" width="10.42578125" style="338" customWidth="1"/>
    <col min="7893" max="7893" width="10.140625" style="338" customWidth="1"/>
    <col min="7894" max="7894" width="14.85546875" style="338" customWidth="1"/>
    <col min="7895" max="7895" width="10.5703125" style="338" customWidth="1"/>
    <col min="7896" max="7896" width="6.5703125" style="338" customWidth="1"/>
    <col min="7897" max="7897" width="7" style="338" customWidth="1"/>
    <col min="7898" max="7898" width="7.42578125" style="338" customWidth="1"/>
    <col min="7899" max="7899" width="7.5703125" style="338" customWidth="1"/>
    <col min="7900" max="7900" width="7.42578125" style="338" customWidth="1"/>
    <col min="7901" max="7901" width="7.5703125" style="338" customWidth="1"/>
    <col min="7902" max="7902" width="10.42578125" style="338" customWidth="1"/>
    <col min="7903" max="7903" width="10.140625" style="338" customWidth="1"/>
    <col min="7904" max="7904" width="8.7109375" style="338"/>
    <col min="7905" max="7923" width="9.140625" style="338" customWidth="1"/>
    <col min="7924" max="8129" width="8.7109375" style="338"/>
    <col min="8130" max="8130" width="23.85546875" style="338" customWidth="1"/>
    <col min="8131" max="8131" width="10.5703125" style="338" customWidth="1"/>
    <col min="8132" max="8132" width="6.5703125" style="338" customWidth="1"/>
    <col min="8133" max="8133" width="7" style="338" bestFit="1" customWidth="1"/>
    <col min="8134" max="8134" width="7.42578125" style="338" bestFit="1" customWidth="1"/>
    <col min="8135" max="8135" width="7.5703125" style="338" bestFit="1" customWidth="1"/>
    <col min="8136" max="8136" width="7.42578125" style="338" bestFit="1" customWidth="1"/>
    <col min="8137" max="8137" width="7.5703125" style="338" bestFit="1" customWidth="1"/>
    <col min="8138" max="8138" width="10.42578125" style="338" bestFit="1" customWidth="1"/>
    <col min="8139" max="8139" width="10.140625" style="338" bestFit="1" customWidth="1"/>
    <col min="8140" max="8140" width="23.85546875" style="338" customWidth="1"/>
    <col min="8141" max="8141" width="10.5703125" style="338" customWidth="1"/>
    <col min="8142" max="8142" width="6.5703125" style="338" customWidth="1"/>
    <col min="8143" max="8143" width="7" style="338" customWidth="1"/>
    <col min="8144" max="8144" width="7.42578125" style="338" customWidth="1"/>
    <col min="8145" max="8145" width="7.5703125" style="338" customWidth="1"/>
    <col min="8146" max="8146" width="7.42578125" style="338" customWidth="1"/>
    <col min="8147" max="8147" width="7.5703125" style="338" customWidth="1"/>
    <col min="8148" max="8148" width="10.42578125" style="338" customWidth="1"/>
    <col min="8149" max="8149" width="10.140625" style="338" customWidth="1"/>
    <col min="8150" max="8150" width="14.85546875" style="338" customWidth="1"/>
    <col min="8151" max="8151" width="10.5703125" style="338" customWidth="1"/>
    <col min="8152" max="8152" width="6.5703125" style="338" customWidth="1"/>
    <col min="8153" max="8153" width="7" style="338" customWidth="1"/>
    <col min="8154" max="8154" width="7.42578125" style="338" customWidth="1"/>
    <col min="8155" max="8155" width="7.5703125" style="338" customWidth="1"/>
    <col min="8156" max="8156" width="7.42578125" style="338" customWidth="1"/>
    <col min="8157" max="8157" width="7.5703125" style="338" customWidth="1"/>
    <col min="8158" max="8158" width="10.42578125" style="338" customWidth="1"/>
    <col min="8159" max="8159" width="10.140625" style="338" customWidth="1"/>
    <col min="8160" max="8160" width="8.7109375" style="338"/>
    <col min="8161" max="8179" width="9.140625" style="338" customWidth="1"/>
    <col min="8180" max="8385" width="8.7109375" style="338"/>
    <col min="8386" max="8386" width="23.85546875" style="338" customWidth="1"/>
    <col min="8387" max="8387" width="10.5703125" style="338" customWidth="1"/>
    <col min="8388" max="8388" width="6.5703125" style="338" customWidth="1"/>
    <col min="8389" max="8389" width="7" style="338" bestFit="1" customWidth="1"/>
    <col min="8390" max="8390" width="7.42578125" style="338" bestFit="1" customWidth="1"/>
    <col min="8391" max="8391" width="7.5703125" style="338" bestFit="1" customWidth="1"/>
    <col min="8392" max="8392" width="7.42578125" style="338" bestFit="1" customWidth="1"/>
    <col min="8393" max="8393" width="7.5703125" style="338" bestFit="1" customWidth="1"/>
    <col min="8394" max="8394" width="10.42578125" style="338" bestFit="1" customWidth="1"/>
    <col min="8395" max="8395" width="10.140625" style="338" bestFit="1" customWidth="1"/>
    <col min="8396" max="8396" width="23.85546875" style="338" customWidth="1"/>
    <col min="8397" max="8397" width="10.5703125" style="338" customWidth="1"/>
    <col min="8398" max="8398" width="6.5703125" style="338" customWidth="1"/>
    <col min="8399" max="8399" width="7" style="338" customWidth="1"/>
    <col min="8400" max="8400" width="7.42578125" style="338" customWidth="1"/>
    <col min="8401" max="8401" width="7.5703125" style="338" customWidth="1"/>
    <col min="8402" max="8402" width="7.42578125" style="338" customWidth="1"/>
    <col min="8403" max="8403" width="7.5703125" style="338" customWidth="1"/>
    <col min="8404" max="8404" width="10.42578125" style="338" customWidth="1"/>
    <col min="8405" max="8405" width="10.140625" style="338" customWidth="1"/>
    <col min="8406" max="8406" width="14.85546875" style="338" customWidth="1"/>
    <col min="8407" max="8407" width="10.5703125" style="338" customWidth="1"/>
    <col min="8408" max="8408" width="6.5703125" style="338" customWidth="1"/>
    <col min="8409" max="8409" width="7" style="338" customWidth="1"/>
    <col min="8410" max="8410" width="7.42578125" style="338" customWidth="1"/>
    <col min="8411" max="8411" width="7.5703125" style="338" customWidth="1"/>
    <col min="8412" max="8412" width="7.42578125" style="338" customWidth="1"/>
    <col min="8413" max="8413" width="7.5703125" style="338" customWidth="1"/>
    <col min="8414" max="8414" width="10.42578125" style="338" customWidth="1"/>
    <col min="8415" max="8415" width="10.140625" style="338" customWidth="1"/>
    <col min="8416" max="8416" width="8.7109375" style="338"/>
    <col min="8417" max="8435" width="9.140625" style="338" customWidth="1"/>
    <col min="8436" max="8641" width="8.7109375" style="338"/>
    <col min="8642" max="8642" width="23.85546875" style="338" customWidth="1"/>
    <col min="8643" max="8643" width="10.5703125" style="338" customWidth="1"/>
    <col min="8644" max="8644" width="6.5703125" style="338" customWidth="1"/>
    <col min="8645" max="8645" width="7" style="338" bestFit="1" customWidth="1"/>
    <col min="8646" max="8646" width="7.42578125" style="338" bestFit="1" customWidth="1"/>
    <col min="8647" max="8647" width="7.5703125" style="338" bestFit="1" customWidth="1"/>
    <col min="8648" max="8648" width="7.42578125" style="338" bestFit="1" customWidth="1"/>
    <col min="8649" max="8649" width="7.5703125" style="338" bestFit="1" customWidth="1"/>
    <col min="8650" max="8650" width="10.42578125" style="338" bestFit="1" customWidth="1"/>
    <col min="8651" max="8651" width="10.140625" style="338" bestFit="1" customWidth="1"/>
    <col min="8652" max="8652" width="23.85546875" style="338" customWidth="1"/>
    <col min="8653" max="8653" width="10.5703125" style="338" customWidth="1"/>
    <col min="8654" max="8654" width="6.5703125" style="338" customWidth="1"/>
    <col min="8655" max="8655" width="7" style="338" customWidth="1"/>
    <col min="8656" max="8656" width="7.42578125" style="338" customWidth="1"/>
    <col min="8657" max="8657" width="7.5703125" style="338" customWidth="1"/>
    <col min="8658" max="8658" width="7.42578125" style="338" customWidth="1"/>
    <col min="8659" max="8659" width="7.5703125" style="338" customWidth="1"/>
    <col min="8660" max="8660" width="10.42578125" style="338" customWidth="1"/>
    <col min="8661" max="8661" width="10.140625" style="338" customWidth="1"/>
    <col min="8662" max="8662" width="14.85546875" style="338" customWidth="1"/>
    <col min="8663" max="8663" width="10.5703125" style="338" customWidth="1"/>
    <col min="8664" max="8664" width="6.5703125" style="338" customWidth="1"/>
    <col min="8665" max="8665" width="7" style="338" customWidth="1"/>
    <col min="8666" max="8666" width="7.42578125" style="338" customWidth="1"/>
    <col min="8667" max="8667" width="7.5703125" style="338" customWidth="1"/>
    <col min="8668" max="8668" width="7.42578125" style="338" customWidth="1"/>
    <col min="8669" max="8669" width="7.5703125" style="338" customWidth="1"/>
    <col min="8670" max="8670" width="10.42578125" style="338" customWidth="1"/>
    <col min="8671" max="8671" width="10.140625" style="338" customWidth="1"/>
    <col min="8672" max="8672" width="8.7109375" style="338"/>
    <col min="8673" max="8691" width="9.140625" style="338" customWidth="1"/>
    <col min="8692" max="8897" width="8.7109375" style="338"/>
    <col min="8898" max="8898" width="23.85546875" style="338" customWidth="1"/>
    <col min="8899" max="8899" width="10.5703125" style="338" customWidth="1"/>
    <col min="8900" max="8900" width="6.5703125" style="338" customWidth="1"/>
    <col min="8901" max="8901" width="7" style="338" bestFit="1" customWidth="1"/>
    <col min="8902" max="8902" width="7.42578125" style="338" bestFit="1" customWidth="1"/>
    <col min="8903" max="8903" width="7.5703125" style="338" bestFit="1" customWidth="1"/>
    <col min="8904" max="8904" width="7.42578125" style="338" bestFit="1" customWidth="1"/>
    <col min="8905" max="8905" width="7.5703125" style="338" bestFit="1" customWidth="1"/>
    <col min="8906" max="8906" width="10.42578125" style="338" bestFit="1" customWidth="1"/>
    <col min="8907" max="8907" width="10.140625" style="338" bestFit="1" customWidth="1"/>
    <col min="8908" max="8908" width="23.85546875" style="338" customWidth="1"/>
    <col min="8909" max="8909" width="10.5703125" style="338" customWidth="1"/>
    <col min="8910" max="8910" width="6.5703125" style="338" customWidth="1"/>
    <col min="8911" max="8911" width="7" style="338" customWidth="1"/>
    <col min="8912" max="8912" width="7.42578125" style="338" customWidth="1"/>
    <col min="8913" max="8913" width="7.5703125" style="338" customWidth="1"/>
    <col min="8914" max="8914" width="7.42578125" style="338" customWidth="1"/>
    <col min="8915" max="8915" width="7.5703125" style="338" customWidth="1"/>
    <col min="8916" max="8916" width="10.42578125" style="338" customWidth="1"/>
    <col min="8917" max="8917" width="10.140625" style="338" customWidth="1"/>
    <col min="8918" max="8918" width="14.85546875" style="338" customWidth="1"/>
    <col min="8919" max="8919" width="10.5703125" style="338" customWidth="1"/>
    <col min="8920" max="8920" width="6.5703125" style="338" customWidth="1"/>
    <col min="8921" max="8921" width="7" style="338" customWidth="1"/>
    <col min="8922" max="8922" width="7.42578125" style="338" customWidth="1"/>
    <col min="8923" max="8923" width="7.5703125" style="338" customWidth="1"/>
    <col min="8924" max="8924" width="7.42578125" style="338" customWidth="1"/>
    <col min="8925" max="8925" width="7.5703125" style="338" customWidth="1"/>
    <col min="8926" max="8926" width="10.42578125" style="338" customWidth="1"/>
    <col min="8927" max="8927" width="10.140625" style="338" customWidth="1"/>
    <col min="8928" max="8928" width="8.7109375" style="338"/>
    <col min="8929" max="8947" width="9.140625" style="338" customWidth="1"/>
    <col min="8948" max="9153" width="8.7109375" style="338"/>
    <col min="9154" max="9154" width="23.85546875" style="338" customWidth="1"/>
    <col min="9155" max="9155" width="10.5703125" style="338" customWidth="1"/>
    <col min="9156" max="9156" width="6.5703125" style="338" customWidth="1"/>
    <col min="9157" max="9157" width="7" style="338" bestFit="1" customWidth="1"/>
    <col min="9158" max="9158" width="7.42578125" style="338" bestFit="1" customWidth="1"/>
    <col min="9159" max="9159" width="7.5703125" style="338" bestFit="1" customWidth="1"/>
    <col min="9160" max="9160" width="7.42578125" style="338" bestFit="1" customWidth="1"/>
    <col min="9161" max="9161" width="7.5703125" style="338" bestFit="1" customWidth="1"/>
    <col min="9162" max="9162" width="10.42578125" style="338" bestFit="1" customWidth="1"/>
    <col min="9163" max="9163" width="10.140625" style="338" bestFit="1" customWidth="1"/>
    <col min="9164" max="9164" width="23.85546875" style="338" customWidth="1"/>
    <col min="9165" max="9165" width="10.5703125" style="338" customWidth="1"/>
    <col min="9166" max="9166" width="6.5703125" style="338" customWidth="1"/>
    <col min="9167" max="9167" width="7" style="338" customWidth="1"/>
    <col min="9168" max="9168" width="7.42578125" style="338" customWidth="1"/>
    <col min="9169" max="9169" width="7.5703125" style="338" customWidth="1"/>
    <col min="9170" max="9170" width="7.42578125" style="338" customWidth="1"/>
    <col min="9171" max="9171" width="7.5703125" style="338" customWidth="1"/>
    <col min="9172" max="9172" width="10.42578125" style="338" customWidth="1"/>
    <col min="9173" max="9173" width="10.140625" style="338" customWidth="1"/>
    <col min="9174" max="9174" width="14.85546875" style="338" customWidth="1"/>
    <col min="9175" max="9175" width="10.5703125" style="338" customWidth="1"/>
    <col min="9176" max="9176" width="6.5703125" style="338" customWidth="1"/>
    <col min="9177" max="9177" width="7" style="338" customWidth="1"/>
    <col min="9178" max="9178" width="7.42578125" style="338" customWidth="1"/>
    <col min="9179" max="9179" width="7.5703125" style="338" customWidth="1"/>
    <col min="9180" max="9180" width="7.42578125" style="338" customWidth="1"/>
    <col min="9181" max="9181" width="7.5703125" style="338" customWidth="1"/>
    <col min="9182" max="9182" width="10.42578125" style="338" customWidth="1"/>
    <col min="9183" max="9183" width="10.140625" style="338" customWidth="1"/>
    <col min="9184" max="9184" width="8.7109375" style="338"/>
    <col min="9185" max="9203" width="9.140625" style="338" customWidth="1"/>
    <col min="9204" max="9409" width="8.7109375" style="338"/>
    <col min="9410" max="9410" width="23.85546875" style="338" customWidth="1"/>
    <col min="9411" max="9411" width="10.5703125" style="338" customWidth="1"/>
    <col min="9412" max="9412" width="6.5703125" style="338" customWidth="1"/>
    <col min="9413" max="9413" width="7" style="338" bestFit="1" customWidth="1"/>
    <col min="9414" max="9414" width="7.42578125" style="338" bestFit="1" customWidth="1"/>
    <col min="9415" max="9415" width="7.5703125" style="338" bestFit="1" customWidth="1"/>
    <col min="9416" max="9416" width="7.42578125" style="338" bestFit="1" customWidth="1"/>
    <col min="9417" max="9417" width="7.5703125" style="338" bestFit="1" customWidth="1"/>
    <col min="9418" max="9418" width="10.42578125" style="338" bestFit="1" customWidth="1"/>
    <col min="9419" max="9419" width="10.140625" style="338" bestFit="1" customWidth="1"/>
    <col min="9420" max="9420" width="23.85546875" style="338" customWidth="1"/>
    <col min="9421" max="9421" width="10.5703125" style="338" customWidth="1"/>
    <col min="9422" max="9422" width="6.5703125" style="338" customWidth="1"/>
    <col min="9423" max="9423" width="7" style="338" customWidth="1"/>
    <col min="9424" max="9424" width="7.42578125" style="338" customWidth="1"/>
    <col min="9425" max="9425" width="7.5703125" style="338" customWidth="1"/>
    <col min="9426" max="9426" width="7.42578125" style="338" customWidth="1"/>
    <col min="9427" max="9427" width="7.5703125" style="338" customWidth="1"/>
    <col min="9428" max="9428" width="10.42578125" style="338" customWidth="1"/>
    <col min="9429" max="9429" width="10.140625" style="338" customWidth="1"/>
    <col min="9430" max="9430" width="14.85546875" style="338" customWidth="1"/>
    <col min="9431" max="9431" width="10.5703125" style="338" customWidth="1"/>
    <col min="9432" max="9432" width="6.5703125" style="338" customWidth="1"/>
    <col min="9433" max="9433" width="7" style="338" customWidth="1"/>
    <col min="9434" max="9434" width="7.42578125" style="338" customWidth="1"/>
    <col min="9435" max="9435" width="7.5703125" style="338" customWidth="1"/>
    <col min="9436" max="9436" width="7.42578125" style="338" customWidth="1"/>
    <col min="9437" max="9437" width="7.5703125" style="338" customWidth="1"/>
    <col min="9438" max="9438" width="10.42578125" style="338" customWidth="1"/>
    <col min="9439" max="9439" width="10.140625" style="338" customWidth="1"/>
    <col min="9440" max="9440" width="8.7109375" style="338"/>
    <col min="9441" max="9459" width="9.140625" style="338" customWidth="1"/>
    <col min="9460" max="9665" width="8.7109375" style="338"/>
    <col min="9666" max="9666" width="23.85546875" style="338" customWidth="1"/>
    <col min="9667" max="9667" width="10.5703125" style="338" customWidth="1"/>
    <col min="9668" max="9668" width="6.5703125" style="338" customWidth="1"/>
    <col min="9669" max="9669" width="7" style="338" bestFit="1" customWidth="1"/>
    <col min="9670" max="9670" width="7.42578125" style="338" bestFit="1" customWidth="1"/>
    <col min="9671" max="9671" width="7.5703125" style="338" bestFit="1" customWidth="1"/>
    <col min="9672" max="9672" width="7.42578125" style="338" bestFit="1" customWidth="1"/>
    <col min="9673" max="9673" width="7.5703125" style="338" bestFit="1" customWidth="1"/>
    <col min="9674" max="9674" width="10.42578125" style="338" bestFit="1" customWidth="1"/>
    <col min="9675" max="9675" width="10.140625" style="338" bestFit="1" customWidth="1"/>
    <col min="9676" max="9676" width="23.85546875" style="338" customWidth="1"/>
    <col min="9677" max="9677" width="10.5703125" style="338" customWidth="1"/>
    <col min="9678" max="9678" width="6.5703125" style="338" customWidth="1"/>
    <col min="9679" max="9679" width="7" style="338" customWidth="1"/>
    <col min="9680" max="9680" width="7.42578125" style="338" customWidth="1"/>
    <col min="9681" max="9681" width="7.5703125" style="338" customWidth="1"/>
    <col min="9682" max="9682" width="7.42578125" style="338" customWidth="1"/>
    <col min="9683" max="9683" width="7.5703125" style="338" customWidth="1"/>
    <col min="9684" max="9684" width="10.42578125" style="338" customWidth="1"/>
    <col min="9685" max="9685" width="10.140625" style="338" customWidth="1"/>
    <col min="9686" max="9686" width="14.85546875" style="338" customWidth="1"/>
    <col min="9687" max="9687" width="10.5703125" style="338" customWidth="1"/>
    <col min="9688" max="9688" width="6.5703125" style="338" customWidth="1"/>
    <col min="9689" max="9689" width="7" style="338" customWidth="1"/>
    <col min="9690" max="9690" width="7.42578125" style="338" customWidth="1"/>
    <col min="9691" max="9691" width="7.5703125" style="338" customWidth="1"/>
    <col min="9692" max="9692" width="7.42578125" style="338" customWidth="1"/>
    <col min="9693" max="9693" width="7.5703125" style="338" customWidth="1"/>
    <col min="9694" max="9694" width="10.42578125" style="338" customWidth="1"/>
    <col min="9695" max="9695" width="10.140625" style="338" customWidth="1"/>
    <col min="9696" max="9696" width="8.7109375" style="338"/>
    <col min="9697" max="9715" width="9.140625" style="338" customWidth="1"/>
    <col min="9716" max="9921" width="8.7109375" style="338"/>
    <col min="9922" max="9922" width="23.85546875" style="338" customWidth="1"/>
    <col min="9923" max="9923" width="10.5703125" style="338" customWidth="1"/>
    <col min="9924" max="9924" width="6.5703125" style="338" customWidth="1"/>
    <col min="9925" max="9925" width="7" style="338" bestFit="1" customWidth="1"/>
    <col min="9926" max="9926" width="7.42578125" style="338" bestFit="1" customWidth="1"/>
    <col min="9927" max="9927" width="7.5703125" style="338" bestFit="1" customWidth="1"/>
    <col min="9928" max="9928" width="7.42578125" style="338" bestFit="1" customWidth="1"/>
    <col min="9929" max="9929" width="7.5703125" style="338" bestFit="1" customWidth="1"/>
    <col min="9930" max="9930" width="10.42578125" style="338" bestFit="1" customWidth="1"/>
    <col min="9931" max="9931" width="10.140625" style="338" bestFit="1" customWidth="1"/>
    <col min="9932" max="9932" width="23.85546875" style="338" customWidth="1"/>
    <col min="9933" max="9933" width="10.5703125" style="338" customWidth="1"/>
    <col min="9934" max="9934" width="6.5703125" style="338" customWidth="1"/>
    <col min="9935" max="9935" width="7" style="338" customWidth="1"/>
    <col min="9936" max="9936" width="7.42578125" style="338" customWidth="1"/>
    <col min="9937" max="9937" width="7.5703125" style="338" customWidth="1"/>
    <col min="9938" max="9938" width="7.42578125" style="338" customWidth="1"/>
    <col min="9939" max="9939" width="7.5703125" style="338" customWidth="1"/>
    <col min="9940" max="9940" width="10.42578125" style="338" customWidth="1"/>
    <col min="9941" max="9941" width="10.140625" style="338" customWidth="1"/>
    <col min="9942" max="9942" width="14.85546875" style="338" customWidth="1"/>
    <col min="9943" max="9943" width="10.5703125" style="338" customWidth="1"/>
    <col min="9944" max="9944" width="6.5703125" style="338" customWidth="1"/>
    <col min="9945" max="9945" width="7" style="338" customWidth="1"/>
    <col min="9946" max="9946" width="7.42578125" style="338" customWidth="1"/>
    <col min="9947" max="9947" width="7.5703125" style="338" customWidth="1"/>
    <col min="9948" max="9948" width="7.42578125" style="338" customWidth="1"/>
    <col min="9949" max="9949" width="7.5703125" style="338" customWidth="1"/>
    <col min="9950" max="9950" width="10.42578125" style="338" customWidth="1"/>
    <col min="9951" max="9951" width="10.140625" style="338" customWidth="1"/>
    <col min="9952" max="9952" width="8.7109375" style="338"/>
    <col min="9953" max="9971" width="9.140625" style="338" customWidth="1"/>
    <col min="9972" max="10177" width="8.7109375" style="338"/>
    <col min="10178" max="10178" width="23.85546875" style="338" customWidth="1"/>
    <col min="10179" max="10179" width="10.5703125" style="338" customWidth="1"/>
    <col min="10180" max="10180" width="6.5703125" style="338" customWidth="1"/>
    <col min="10181" max="10181" width="7" style="338" bestFit="1" customWidth="1"/>
    <col min="10182" max="10182" width="7.42578125" style="338" bestFit="1" customWidth="1"/>
    <col min="10183" max="10183" width="7.5703125" style="338" bestFit="1" customWidth="1"/>
    <col min="10184" max="10184" width="7.42578125" style="338" bestFit="1" customWidth="1"/>
    <col min="10185" max="10185" width="7.5703125" style="338" bestFit="1" customWidth="1"/>
    <col min="10186" max="10186" width="10.42578125" style="338" bestFit="1" customWidth="1"/>
    <col min="10187" max="10187" width="10.140625" style="338" bestFit="1" customWidth="1"/>
    <col min="10188" max="10188" width="23.85546875" style="338" customWidth="1"/>
    <col min="10189" max="10189" width="10.5703125" style="338" customWidth="1"/>
    <col min="10190" max="10190" width="6.5703125" style="338" customWidth="1"/>
    <col min="10191" max="10191" width="7" style="338" customWidth="1"/>
    <col min="10192" max="10192" width="7.42578125" style="338" customWidth="1"/>
    <col min="10193" max="10193" width="7.5703125" style="338" customWidth="1"/>
    <col min="10194" max="10194" width="7.42578125" style="338" customWidth="1"/>
    <col min="10195" max="10195" width="7.5703125" style="338" customWidth="1"/>
    <col min="10196" max="10196" width="10.42578125" style="338" customWidth="1"/>
    <col min="10197" max="10197" width="10.140625" style="338" customWidth="1"/>
    <col min="10198" max="10198" width="14.85546875" style="338" customWidth="1"/>
    <col min="10199" max="10199" width="10.5703125" style="338" customWidth="1"/>
    <col min="10200" max="10200" width="6.5703125" style="338" customWidth="1"/>
    <col min="10201" max="10201" width="7" style="338" customWidth="1"/>
    <col min="10202" max="10202" width="7.42578125" style="338" customWidth="1"/>
    <col min="10203" max="10203" width="7.5703125" style="338" customWidth="1"/>
    <col min="10204" max="10204" width="7.42578125" style="338" customWidth="1"/>
    <col min="10205" max="10205" width="7.5703125" style="338" customWidth="1"/>
    <col min="10206" max="10206" width="10.42578125" style="338" customWidth="1"/>
    <col min="10207" max="10207" width="10.140625" style="338" customWidth="1"/>
    <col min="10208" max="10208" width="8.7109375" style="338"/>
    <col min="10209" max="10227" width="9.140625" style="338" customWidth="1"/>
    <col min="10228" max="10433" width="8.7109375" style="338"/>
    <col min="10434" max="10434" width="23.85546875" style="338" customWidth="1"/>
    <col min="10435" max="10435" width="10.5703125" style="338" customWidth="1"/>
    <col min="10436" max="10436" width="6.5703125" style="338" customWidth="1"/>
    <col min="10437" max="10437" width="7" style="338" bestFit="1" customWidth="1"/>
    <col min="10438" max="10438" width="7.42578125" style="338" bestFit="1" customWidth="1"/>
    <col min="10439" max="10439" width="7.5703125" style="338" bestFit="1" customWidth="1"/>
    <col min="10440" max="10440" width="7.42578125" style="338" bestFit="1" customWidth="1"/>
    <col min="10441" max="10441" width="7.5703125" style="338" bestFit="1" customWidth="1"/>
    <col min="10442" max="10442" width="10.42578125" style="338" bestFit="1" customWidth="1"/>
    <col min="10443" max="10443" width="10.140625" style="338" bestFit="1" customWidth="1"/>
    <col min="10444" max="10444" width="23.85546875" style="338" customWidth="1"/>
    <col min="10445" max="10445" width="10.5703125" style="338" customWidth="1"/>
    <col min="10446" max="10446" width="6.5703125" style="338" customWidth="1"/>
    <col min="10447" max="10447" width="7" style="338" customWidth="1"/>
    <col min="10448" max="10448" width="7.42578125" style="338" customWidth="1"/>
    <col min="10449" max="10449" width="7.5703125" style="338" customWidth="1"/>
    <col min="10450" max="10450" width="7.42578125" style="338" customWidth="1"/>
    <col min="10451" max="10451" width="7.5703125" style="338" customWidth="1"/>
    <col min="10452" max="10452" width="10.42578125" style="338" customWidth="1"/>
    <col min="10453" max="10453" width="10.140625" style="338" customWidth="1"/>
    <col min="10454" max="10454" width="14.85546875" style="338" customWidth="1"/>
    <col min="10455" max="10455" width="10.5703125" style="338" customWidth="1"/>
    <col min="10456" max="10456" width="6.5703125" style="338" customWidth="1"/>
    <col min="10457" max="10457" width="7" style="338" customWidth="1"/>
    <col min="10458" max="10458" width="7.42578125" style="338" customWidth="1"/>
    <col min="10459" max="10459" width="7.5703125" style="338" customWidth="1"/>
    <col min="10460" max="10460" width="7.42578125" style="338" customWidth="1"/>
    <col min="10461" max="10461" width="7.5703125" style="338" customWidth="1"/>
    <col min="10462" max="10462" width="10.42578125" style="338" customWidth="1"/>
    <col min="10463" max="10463" width="10.140625" style="338" customWidth="1"/>
    <col min="10464" max="10464" width="8.7109375" style="338"/>
    <col min="10465" max="10483" width="9.140625" style="338" customWidth="1"/>
    <col min="10484" max="10689" width="8.7109375" style="338"/>
    <col min="10690" max="10690" width="23.85546875" style="338" customWidth="1"/>
    <col min="10691" max="10691" width="10.5703125" style="338" customWidth="1"/>
    <col min="10692" max="10692" width="6.5703125" style="338" customWidth="1"/>
    <col min="10693" max="10693" width="7" style="338" bestFit="1" customWidth="1"/>
    <col min="10694" max="10694" width="7.42578125" style="338" bestFit="1" customWidth="1"/>
    <col min="10695" max="10695" width="7.5703125" style="338" bestFit="1" customWidth="1"/>
    <col min="10696" max="10696" width="7.42578125" style="338" bestFit="1" customWidth="1"/>
    <col min="10697" max="10697" width="7.5703125" style="338" bestFit="1" customWidth="1"/>
    <col min="10698" max="10698" width="10.42578125" style="338" bestFit="1" customWidth="1"/>
    <col min="10699" max="10699" width="10.140625" style="338" bestFit="1" customWidth="1"/>
    <col min="10700" max="10700" width="23.85546875" style="338" customWidth="1"/>
    <col min="10701" max="10701" width="10.5703125" style="338" customWidth="1"/>
    <col min="10702" max="10702" width="6.5703125" style="338" customWidth="1"/>
    <col min="10703" max="10703" width="7" style="338" customWidth="1"/>
    <col min="10704" max="10704" width="7.42578125" style="338" customWidth="1"/>
    <col min="10705" max="10705" width="7.5703125" style="338" customWidth="1"/>
    <col min="10706" max="10706" width="7.42578125" style="338" customWidth="1"/>
    <col min="10707" max="10707" width="7.5703125" style="338" customWidth="1"/>
    <col min="10708" max="10708" width="10.42578125" style="338" customWidth="1"/>
    <col min="10709" max="10709" width="10.140625" style="338" customWidth="1"/>
    <col min="10710" max="10710" width="14.85546875" style="338" customWidth="1"/>
    <col min="10711" max="10711" width="10.5703125" style="338" customWidth="1"/>
    <col min="10712" max="10712" width="6.5703125" style="338" customWidth="1"/>
    <col min="10713" max="10713" width="7" style="338" customWidth="1"/>
    <col min="10714" max="10714" width="7.42578125" style="338" customWidth="1"/>
    <col min="10715" max="10715" width="7.5703125" style="338" customWidth="1"/>
    <col min="10716" max="10716" width="7.42578125" style="338" customWidth="1"/>
    <col min="10717" max="10717" width="7.5703125" style="338" customWidth="1"/>
    <col min="10718" max="10718" width="10.42578125" style="338" customWidth="1"/>
    <col min="10719" max="10719" width="10.140625" style="338" customWidth="1"/>
    <col min="10720" max="10720" width="8.7109375" style="338"/>
    <col min="10721" max="10739" width="9.140625" style="338" customWidth="1"/>
    <col min="10740" max="10945" width="8.7109375" style="338"/>
    <col min="10946" max="10946" width="23.85546875" style="338" customWidth="1"/>
    <col min="10947" max="10947" width="10.5703125" style="338" customWidth="1"/>
    <col min="10948" max="10948" width="6.5703125" style="338" customWidth="1"/>
    <col min="10949" max="10949" width="7" style="338" bestFit="1" customWidth="1"/>
    <col min="10950" max="10950" width="7.42578125" style="338" bestFit="1" customWidth="1"/>
    <col min="10951" max="10951" width="7.5703125" style="338" bestFit="1" customWidth="1"/>
    <col min="10952" max="10952" width="7.42578125" style="338" bestFit="1" customWidth="1"/>
    <col min="10953" max="10953" width="7.5703125" style="338" bestFit="1" customWidth="1"/>
    <col min="10954" max="10954" width="10.42578125" style="338" bestFit="1" customWidth="1"/>
    <col min="10955" max="10955" width="10.140625" style="338" bestFit="1" customWidth="1"/>
    <col min="10956" max="10956" width="23.85546875" style="338" customWidth="1"/>
    <col min="10957" max="10957" width="10.5703125" style="338" customWidth="1"/>
    <col min="10958" max="10958" width="6.5703125" style="338" customWidth="1"/>
    <col min="10959" max="10959" width="7" style="338" customWidth="1"/>
    <col min="10960" max="10960" width="7.42578125" style="338" customWidth="1"/>
    <col min="10961" max="10961" width="7.5703125" style="338" customWidth="1"/>
    <col min="10962" max="10962" width="7.42578125" style="338" customWidth="1"/>
    <col min="10963" max="10963" width="7.5703125" style="338" customWidth="1"/>
    <col min="10964" max="10964" width="10.42578125" style="338" customWidth="1"/>
    <col min="10965" max="10965" width="10.140625" style="338" customWidth="1"/>
    <col min="10966" max="10966" width="14.85546875" style="338" customWidth="1"/>
    <col min="10967" max="10967" width="10.5703125" style="338" customWidth="1"/>
    <col min="10968" max="10968" width="6.5703125" style="338" customWidth="1"/>
    <col min="10969" max="10969" width="7" style="338" customWidth="1"/>
    <col min="10970" max="10970" width="7.42578125" style="338" customWidth="1"/>
    <col min="10971" max="10971" width="7.5703125" style="338" customWidth="1"/>
    <col min="10972" max="10972" width="7.42578125" style="338" customWidth="1"/>
    <col min="10973" max="10973" width="7.5703125" style="338" customWidth="1"/>
    <col min="10974" max="10974" width="10.42578125" style="338" customWidth="1"/>
    <col min="10975" max="10975" width="10.140625" style="338" customWidth="1"/>
    <col min="10976" max="10976" width="8.7109375" style="338"/>
    <col min="10977" max="10995" width="9.140625" style="338" customWidth="1"/>
    <col min="10996" max="11201" width="8.7109375" style="338"/>
    <col min="11202" max="11202" width="23.85546875" style="338" customWidth="1"/>
    <col min="11203" max="11203" width="10.5703125" style="338" customWidth="1"/>
    <col min="11204" max="11204" width="6.5703125" style="338" customWidth="1"/>
    <col min="11205" max="11205" width="7" style="338" bestFit="1" customWidth="1"/>
    <col min="11206" max="11206" width="7.42578125" style="338" bestFit="1" customWidth="1"/>
    <col min="11207" max="11207" width="7.5703125" style="338" bestFit="1" customWidth="1"/>
    <col min="11208" max="11208" width="7.42578125" style="338" bestFit="1" customWidth="1"/>
    <col min="11209" max="11209" width="7.5703125" style="338" bestFit="1" customWidth="1"/>
    <col min="11210" max="11210" width="10.42578125" style="338" bestFit="1" customWidth="1"/>
    <col min="11211" max="11211" width="10.140625" style="338" bestFit="1" customWidth="1"/>
    <col min="11212" max="11212" width="23.85546875" style="338" customWidth="1"/>
    <col min="11213" max="11213" width="10.5703125" style="338" customWidth="1"/>
    <col min="11214" max="11214" width="6.5703125" style="338" customWidth="1"/>
    <col min="11215" max="11215" width="7" style="338" customWidth="1"/>
    <col min="11216" max="11216" width="7.42578125" style="338" customWidth="1"/>
    <col min="11217" max="11217" width="7.5703125" style="338" customWidth="1"/>
    <col min="11218" max="11218" width="7.42578125" style="338" customWidth="1"/>
    <col min="11219" max="11219" width="7.5703125" style="338" customWidth="1"/>
    <col min="11220" max="11220" width="10.42578125" style="338" customWidth="1"/>
    <col min="11221" max="11221" width="10.140625" style="338" customWidth="1"/>
    <col min="11222" max="11222" width="14.85546875" style="338" customWidth="1"/>
    <col min="11223" max="11223" width="10.5703125" style="338" customWidth="1"/>
    <col min="11224" max="11224" width="6.5703125" style="338" customWidth="1"/>
    <col min="11225" max="11225" width="7" style="338" customWidth="1"/>
    <col min="11226" max="11226" width="7.42578125" style="338" customWidth="1"/>
    <col min="11227" max="11227" width="7.5703125" style="338" customWidth="1"/>
    <col min="11228" max="11228" width="7.42578125" style="338" customWidth="1"/>
    <col min="11229" max="11229" width="7.5703125" style="338" customWidth="1"/>
    <col min="11230" max="11230" width="10.42578125" style="338" customWidth="1"/>
    <col min="11231" max="11231" width="10.140625" style="338" customWidth="1"/>
    <col min="11232" max="11232" width="8.7109375" style="338"/>
    <col min="11233" max="11251" width="9.140625" style="338" customWidth="1"/>
    <col min="11252" max="11457" width="8.7109375" style="338"/>
    <col min="11458" max="11458" width="23.85546875" style="338" customWidth="1"/>
    <col min="11459" max="11459" width="10.5703125" style="338" customWidth="1"/>
    <col min="11460" max="11460" width="6.5703125" style="338" customWidth="1"/>
    <col min="11461" max="11461" width="7" style="338" bestFit="1" customWidth="1"/>
    <col min="11462" max="11462" width="7.42578125" style="338" bestFit="1" customWidth="1"/>
    <col min="11463" max="11463" width="7.5703125" style="338" bestFit="1" customWidth="1"/>
    <col min="11464" max="11464" width="7.42578125" style="338" bestFit="1" customWidth="1"/>
    <col min="11465" max="11465" width="7.5703125" style="338" bestFit="1" customWidth="1"/>
    <col min="11466" max="11466" width="10.42578125" style="338" bestFit="1" customWidth="1"/>
    <col min="11467" max="11467" width="10.140625" style="338" bestFit="1" customWidth="1"/>
    <col min="11468" max="11468" width="23.85546875" style="338" customWidth="1"/>
    <col min="11469" max="11469" width="10.5703125" style="338" customWidth="1"/>
    <col min="11470" max="11470" width="6.5703125" style="338" customWidth="1"/>
    <col min="11471" max="11471" width="7" style="338" customWidth="1"/>
    <col min="11472" max="11472" width="7.42578125" style="338" customWidth="1"/>
    <col min="11473" max="11473" width="7.5703125" style="338" customWidth="1"/>
    <col min="11474" max="11474" width="7.42578125" style="338" customWidth="1"/>
    <col min="11475" max="11475" width="7.5703125" style="338" customWidth="1"/>
    <col min="11476" max="11476" width="10.42578125" style="338" customWidth="1"/>
    <col min="11477" max="11477" width="10.140625" style="338" customWidth="1"/>
    <col min="11478" max="11478" width="14.85546875" style="338" customWidth="1"/>
    <col min="11479" max="11479" width="10.5703125" style="338" customWidth="1"/>
    <col min="11480" max="11480" width="6.5703125" style="338" customWidth="1"/>
    <col min="11481" max="11481" width="7" style="338" customWidth="1"/>
    <col min="11482" max="11482" width="7.42578125" style="338" customWidth="1"/>
    <col min="11483" max="11483" width="7.5703125" style="338" customWidth="1"/>
    <col min="11484" max="11484" width="7.42578125" style="338" customWidth="1"/>
    <col min="11485" max="11485" width="7.5703125" style="338" customWidth="1"/>
    <col min="11486" max="11486" width="10.42578125" style="338" customWidth="1"/>
    <col min="11487" max="11487" width="10.140625" style="338" customWidth="1"/>
    <col min="11488" max="11488" width="8.7109375" style="338"/>
    <col min="11489" max="11507" width="9.140625" style="338" customWidth="1"/>
    <col min="11508" max="11713" width="8.7109375" style="338"/>
    <col min="11714" max="11714" width="23.85546875" style="338" customWidth="1"/>
    <col min="11715" max="11715" width="10.5703125" style="338" customWidth="1"/>
    <col min="11716" max="11716" width="6.5703125" style="338" customWidth="1"/>
    <col min="11717" max="11717" width="7" style="338" bestFit="1" customWidth="1"/>
    <col min="11718" max="11718" width="7.42578125" style="338" bestFit="1" customWidth="1"/>
    <col min="11719" max="11719" width="7.5703125" style="338" bestFit="1" customWidth="1"/>
    <col min="11720" max="11720" width="7.42578125" style="338" bestFit="1" customWidth="1"/>
    <col min="11721" max="11721" width="7.5703125" style="338" bestFit="1" customWidth="1"/>
    <col min="11722" max="11722" width="10.42578125" style="338" bestFit="1" customWidth="1"/>
    <col min="11723" max="11723" width="10.140625" style="338" bestFit="1" customWidth="1"/>
    <col min="11724" max="11724" width="23.85546875" style="338" customWidth="1"/>
    <col min="11725" max="11725" width="10.5703125" style="338" customWidth="1"/>
    <col min="11726" max="11726" width="6.5703125" style="338" customWidth="1"/>
    <col min="11727" max="11727" width="7" style="338" customWidth="1"/>
    <col min="11728" max="11728" width="7.42578125" style="338" customWidth="1"/>
    <col min="11729" max="11729" width="7.5703125" style="338" customWidth="1"/>
    <col min="11730" max="11730" width="7.42578125" style="338" customWidth="1"/>
    <col min="11731" max="11731" width="7.5703125" style="338" customWidth="1"/>
    <col min="11732" max="11732" width="10.42578125" style="338" customWidth="1"/>
    <col min="11733" max="11733" width="10.140625" style="338" customWidth="1"/>
    <col min="11734" max="11734" width="14.85546875" style="338" customWidth="1"/>
    <col min="11735" max="11735" width="10.5703125" style="338" customWidth="1"/>
    <col min="11736" max="11736" width="6.5703125" style="338" customWidth="1"/>
    <col min="11737" max="11737" width="7" style="338" customWidth="1"/>
    <col min="11738" max="11738" width="7.42578125" style="338" customWidth="1"/>
    <col min="11739" max="11739" width="7.5703125" style="338" customWidth="1"/>
    <col min="11740" max="11740" width="7.42578125" style="338" customWidth="1"/>
    <col min="11741" max="11741" width="7.5703125" style="338" customWidth="1"/>
    <col min="11742" max="11742" width="10.42578125" style="338" customWidth="1"/>
    <col min="11743" max="11743" width="10.140625" style="338" customWidth="1"/>
    <col min="11744" max="11744" width="8.7109375" style="338"/>
    <col min="11745" max="11763" width="9.140625" style="338" customWidth="1"/>
    <col min="11764" max="11969" width="8.7109375" style="338"/>
    <col min="11970" max="11970" width="23.85546875" style="338" customWidth="1"/>
    <col min="11971" max="11971" width="10.5703125" style="338" customWidth="1"/>
    <col min="11972" max="11972" width="6.5703125" style="338" customWidth="1"/>
    <col min="11973" max="11973" width="7" style="338" bestFit="1" customWidth="1"/>
    <col min="11974" max="11974" width="7.42578125" style="338" bestFit="1" customWidth="1"/>
    <col min="11975" max="11975" width="7.5703125" style="338" bestFit="1" customWidth="1"/>
    <col min="11976" max="11976" width="7.42578125" style="338" bestFit="1" customWidth="1"/>
    <col min="11977" max="11977" width="7.5703125" style="338" bestFit="1" customWidth="1"/>
    <col min="11978" max="11978" width="10.42578125" style="338" bestFit="1" customWidth="1"/>
    <col min="11979" max="11979" width="10.140625" style="338" bestFit="1" customWidth="1"/>
    <col min="11980" max="11980" width="23.85546875" style="338" customWidth="1"/>
    <col min="11981" max="11981" width="10.5703125" style="338" customWidth="1"/>
    <col min="11982" max="11982" width="6.5703125" style="338" customWidth="1"/>
    <col min="11983" max="11983" width="7" style="338" customWidth="1"/>
    <col min="11984" max="11984" width="7.42578125" style="338" customWidth="1"/>
    <col min="11985" max="11985" width="7.5703125" style="338" customWidth="1"/>
    <col min="11986" max="11986" width="7.42578125" style="338" customWidth="1"/>
    <col min="11987" max="11987" width="7.5703125" style="338" customWidth="1"/>
    <col min="11988" max="11988" width="10.42578125" style="338" customWidth="1"/>
    <col min="11989" max="11989" width="10.140625" style="338" customWidth="1"/>
    <col min="11990" max="11990" width="14.85546875" style="338" customWidth="1"/>
    <col min="11991" max="11991" width="10.5703125" style="338" customWidth="1"/>
    <col min="11992" max="11992" width="6.5703125" style="338" customWidth="1"/>
    <col min="11993" max="11993" width="7" style="338" customWidth="1"/>
    <col min="11994" max="11994" width="7.42578125" style="338" customWidth="1"/>
    <col min="11995" max="11995" width="7.5703125" style="338" customWidth="1"/>
    <col min="11996" max="11996" width="7.42578125" style="338" customWidth="1"/>
    <col min="11997" max="11997" width="7.5703125" style="338" customWidth="1"/>
    <col min="11998" max="11998" width="10.42578125" style="338" customWidth="1"/>
    <col min="11999" max="11999" width="10.140625" style="338" customWidth="1"/>
    <col min="12000" max="12000" width="8.7109375" style="338"/>
    <col min="12001" max="12019" width="9.140625" style="338" customWidth="1"/>
    <col min="12020" max="12225" width="8.7109375" style="338"/>
    <col min="12226" max="12226" width="23.85546875" style="338" customWidth="1"/>
    <col min="12227" max="12227" width="10.5703125" style="338" customWidth="1"/>
    <col min="12228" max="12228" width="6.5703125" style="338" customWidth="1"/>
    <col min="12229" max="12229" width="7" style="338" bestFit="1" customWidth="1"/>
    <col min="12230" max="12230" width="7.42578125" style="338" bestFit="1" customWidth="1"/>
    <col min="12231" max="12231" width="7.5703125" style="338" bestFit="1" customWidth="1"/>
    <col min="12232" max="12232" width="7.42578125" style="338" bestFit="1" customWidth="1"/>
    <col min="12233" max="12233" width="7.5703125" style="338" bestFit="1" customWidth="1"/>
    <col min="12234" max="12234" width="10.42578125" style="338" bestFit="1" customWidth="1"/>
    <col min="12235" max="12235" width="10.140625" style="338" bestFit="1" customWidth="1"/>
    <col min="12236" max="12236" width="23.85546875" style="338" customWidth="1"/>
    <col min="12237" max="12237" width="10.5703125" style="338" customWidth="1"/>
    <col min="12238" max="12238" width="6.5703125" style="338" customWidth="1"/>
    <col min="12239" max="12239" width="7" style="338" customWidth="1"/>
    <col min="12240" max="12240" width="7.42578125" style="338" customWidth="1"/>
    <col min="12241" max="12241" width="7.5703125" style="338" customWidth="1"/>
    <col min="12242" max="12242" width="7.42578125" style="338" customWidth="1"/>
    <col min="12243" max="12243" width="7.5703125" style="338" customWidth="1"/>
    <col min="12244" max="12244" width="10.42578125" style="338" customWidth="1"/>
    <col min="12245" max="12245" width="10.140625" style="338" customWidth="1"/>
    <col min="12246" max="12246" width="14.85546875" style="338" customWidth="1"/>
    <col min="12247" max="12247" width="10.5703125" style="338" customWidth="1"/>
    <col min="12248" max="12248" width="6.5703125" style="338" customWidth="1"/>
    <col min="12249" max="12249" width="7" style="338" customWidth="1"/>
    <col min="12250" max="12250" width="7.42578125" style="338" customWidth="1"/>
    <col min="12251" max="12251" width="7.5703125" style="338" customWidth="1"/>
    <col min="12252" max="12252" width="7.42578125" style="338" customWidth="1"/>
    <col min="12253" max="12253" width="7.5703125" style="338" customWidth="1"/>
    <col min="12254" max="12254" width="10.42578125" style="338" customWidth="1"/>
    <col min="12255" max="12255" width="10.140625" style="338" customWidth="1"/>
    <col min="12256" max="12256" width="8.7109375" style="338"/>
    <col min="12257" max="12275" width="9.140625" style="338" customWidth="1"/>
    <col min="12276" max="12481" width="8.7109375" style="338"/>
    <col min="12482" max="12482" width="23.85546875" style="338" customWidth="1"/>
    <col min="12483" max="12483" width="10.5703125" style="338" customWidth="1"/>
    <col min="12484" max="12484" width="6.5703125" style="338" customWidth="1"/>
    <col min="12485" max="12485" width="7" style="338" bestFit="1" customWidth="1"/>
    <col min="12486" max="12486" width="7.42578125" style="338" bestFit="1" customWidth="1"/>
    <col min="12487" max="12487" width="7.5703125" style="338" bestFit="1" customWidth="1"/>
    <col min="12488" max="12488" width="7.42578125" style="338" bestFit="1" customWidth="1"/>
    <col min="12489" max="12489" width="7.5703125" style="338" bestFit="1" customWidth="1"/>
    <col min="12490" max="12490" width="10.42578125" style="338" bestFit="1" customWidth="1"/>
    <col min="12491" max="12491" width="10.140625" style="338" bestFit="1" customWidth="1"/>
    <col min="12492" max="12492" width="23.85546875" style="338" customWidth="1"/>
    <col min="12493" max="12493" width="10.5703125" style="338" customWidth="1"/>
    <col min="12494" max="12494" width="6.5703125" style="338" customWidth="1"/>
    <col min="12495" max="12495" width="7" style="338" customWidth="1"/>
    <col min="12496" max="12496" width="7.42578125" style="338" customWidth="1"/>
    <col min="12497" max="12497" width="7.5703125" style="338" customWidth="1"/>
    <col min="12498" max="12498" width="7.42578125" style="338" customWidth="1"/>
    <col min="12499" max="12499" width="7.5703125" style="338" customWidth="1"/>
    <col min="12500" max="12500" width="10.42578125" style="338" customWidth="1"/>
    <col min="12501" max="12501" width="10.140625" style="338" customWidth="1"/>
    <col min="12502" max="12502" width="14.85546875" style="338" customWidth="1"/>
    <col min="12503" max="12503" width="10.5703125" style="338" customWidth="1"/>
    <col min="12504" max="12504" width="6.5703125" style="338" customWidth="1"/>
    <col min="12505" max="12505" width="7" style="338" customWidth="1"/>
    <col min="12506" max="12506" width="7.42578125" style="338" customWidth="1"/>
    <col min="12507" max="12507" width="7.5703125" style="338" customWidth="1"/>
    <col min="12508" max="12508" width="7.42578125" style="338" customWidth="1"/>
    <col min="12509" max="12509" width="7.5703125" style="338" customWidth="1"/>
    <col min="12510" max="12510" width="10.42578125" style="338" customWidth="1"/>
    <col min="12511" max="12511" width="10.140625" style="338" customWidth="1"/>
    <col min="12512" max="12512" width="8.7109375" style="338"/>
    <col min="12513" max="12531" width="9.140625" style="338" customWidth="1"/>
    <col min="12532" max="12737" width="8.7109375" style="338"/>
    <col min="12738" max="12738" width="23.85546875" style="338" customWidth="1"/>
    <col min="12739" max="12739" width="10.5703125" style="338" customWidth="1"/>
    <col min="12740" max="12740" width="6.5703125" style="338" customWidth="1"/>
    <col min="12741" max="12741" width="7" style="338" bestFit="1" customWidth="1"/>
    <col min="12742" max="12742" width="7.42578125" style="338" bestFit="1" customWidth="1"/>
    <col min="12743" max="12743" width="7.5703125" style="338" bestFit="1" customWidth="1"/>
    <col min="12744" max="12744" width="7.42578125" style="338" bestFit="1" customWidth="1"/>
    <col min="12745" max="12745" width="7.5703125" style="338" bestFit="1" customWidth="1"/>
    <col min="12746" max="12746" width="10.42578125" style="338" bestFit="1" customWidth="1"/>
    <col min="12747" max="12747" width="10.140625" style="338" bestFit="1" customWidth="1"/>
    <col min="12748" max="12748" width="23.85546875" style="338" customWidth="1"/>
    <col min="12749" max="12749" width="10.5703125" style="338" customWidth="1"/>
    <col min="12750" max="12750" width="6.5703125" style="338" customWidth="1"/>
    <col min="12751" max="12751" width="7" style="338" customWidth="1"/>
    <col min="12752" max="12752" width="7.42578125" style="338" customWidth="1"/>
    <col min="12753" max="12753" width="7.5703125" style="338" customWidth="1"/>
    <col min="12754" max="12754" width="7.42578125" style="338" customWidth="1"/>
    <col min="12755" max="12755" width="7.5703125" style="338" customWidth="1"/>
    <col min="12756" max="12756" width="10.42578125" style="338" customWidth="1"/>
    <col min="12757" max="12757" width="10.140625" style="338" customWidth="1"/>
    <col min="12758" max="12758" width="14.85546875" style="338" customWidth="1"/>
    <col min="12759" max="12759" width="10.5703125" style="338" customWidth="1"/>
    <col min="12760" max="12760" width="6.5703125" style="338" customWidth="1"/>
    <col min="12761" max="12761" width="7" style="338" customWidth="1"/>
    <col min="12762" max="12762" width="7.42578125" style="338" customWidth="1"/>
    <col min="12763" max="12763" width="7.5703125" style="338" customWidth="1"/>
    <col min="12764" max="12764" width="7.42578125" style="338" customWidth="1"/>
    <col min="12765" max="12765" width="7.5703125" style="338" customWidth="1"/>
    <col min="12766" max="12766" width="10.42578125" style="338" customWidth="1"/>
    <col min="12767" max="12767" width="10.140625" style="338" customWidth="1"/>
    <col min="12768" max="12768" width="8.7109375" style="338"/>
    <col min="12769" max="12787" width="9.140625" style="338" customWidth="1"/>
    <col min="12788" max="12993" width="8.7109375" style="338"/>
    <col min="12994" max="12994" width="23.85546875" style="338" customWidth="1"/>
    <col min="12995" max="12995" width="10.5703125" style="338" customWidth="1"/>
    <col min="12996" max="12996" width="6.5703125" style="338" customWidth="1"/>
    <col min="12997" max="12997" width="7" style="338" bestFit="1" customWidth="1"/>
    <col min="12998" max="12998" width="7.42578125" style="338" bestFit="1" customWidth="1"/>
    <col min="12999" max="12999" width="7.5703125" style="338" bestFit="1" customWidth="1"/>
    <col min="13000" max="13000" width="7.42578125" style="338" bestFit="1" customWidth="1"/>
    <col min="13001" max="13001" width="7.5703125" style="338" bestFit="1" customWidth="1"/>
    <col min="13002" max="13002" width="10.42578125" style="338" bestFit="1" customWidth="1"/>
    <col min="13003" max="13003" width="10.140625" style="338" bestFit="1" customWidth="1"/>
    <col min="13004" max="13004" width="23.85546875" style="338" customWidth="1"/>
    <col min="13005" max="13005" width="10.5703125" style="338" customWidth="1"/>
    <col min="13006" max="13006" width="6.5703125" style="338" customWidth="1"/>
    <col min="13007" max="13007" width="7" style="338" customWidth="1"/>
    <col min="13008" max="13008" width="7.42578125" style="338" customWidth="1"/>
    <col min="13009" max="13009" width="7.5703125" style="338" customWidth="1"/>
    <col min="13010" max="13010" width="7.42578125" style="338" customWidth="1"/>
    <col min="13011" max="13011" width="7.5703125" style="338" customWidth="1"/>
    <col min="13012" max="13012" width="10.42578125" style="338" customWidth="1"/>
    <col min="13013" max="13013" width="10.140625" style="338" customWidth="1"/>
    <col min="13014" max="13014" width="14.85546875" style="338" customWidth="1"/>
    <col min="13015" max="13015" width="10.5703125" style="338" customWidth="1"/>
    <col min="13016" max="13016" width="6.5703125" style="338" customWidth="1"/>
    <col min="13017" max="13017" width="7" style="338" customWidth="1"/>
    <col min="13018" max="13018" width="7.42578125" style="338" customWidth="1"/>
    <col min="13019" max="13019" width="7.5703125" style="338" customWidth="1"/>
    <col min="13020" max="13020" width="7.42578125" style="338" customWidth="1"/>
    <col min="13021" max="13021" width="7.5703125" style="338" customWidth="1"/>
    <col min="13022" max="13022" width="10.42578125" style="338" customWidth="1"/>
    <col min="13023" max="13023" width="10.140625" style="338" customWidth="1"/>
    <col min="13024" max="13024" width="8.7109375" style="338"/>
    <col min="13025" max="13043" width="9.140625" style="338" customWidth="1"/>
    <col min="13044" max="13249" width="8.7109375" style="338"/>
    <col min="13250" max="13250" width="23.85546875" style="338" customWidth="1"/>
    <col min="13251" max="13251" width="10.5703125" style="338" customWidth="1"/>
    <col min="13252" max="13252" width="6.5703125" style="338" customWidth="1"/>
    <col min="13253" max="13253" width="7" style="338" bestFit="1" customWidth="1"/>
    <col min="13254" max="13254" width="7.42578125" style="338" bestFit="1" customWidth="1"/>
    <col min="13255" max="13255" width="7.5703125" style="338" bestFit="1" customWidth="1"/>
    <col min="13256" max="13256" width="7.42578125" style="338" bestFit="1" customWidth="1"/>
    <col min="13257" max="13257" width="7.5703125" style="338" bestFit="1" customWidth="1"/>
    <col min="13258" max="13258" width="10.42578125" style="338" bestFit="1" customWidth="1"/>
    <col min="13259" max="13259" width="10.140625" style="338" bestFit="1" customWidth="1"/>
    <col min="13260" max="13260" width="23.85546875" style="338" customWidth="1"/>
    <col min="13261" max="13261" width="10.5703125" style="338" customWidth="1"/>
    <col min="13262" max="13262" width="6.5703125" style="338" customWidth="1"/>
    <col min="13263" max="13263" width="7" style="338" customWidth="1"/>
    <col min="13264" max="13264" width="7.42578125" style="338" customWidth="1"/>
    <col min="13265" max="13265" width="7.5703125" style="338" customWidth="1"/>
    <col min="13266" max="13266" width="7.42578125" style="338" customWidth="1"/>
    <col min="13267" max="13267" width="7.5703125" style="338" customWidth="1"/>
    <col min="13268" max="13268" width="10.42578125" style="338" customWidth="1"/>
    <col min="13269" max="13269" width="10.140625" style="338" customWidth="1"/>
    <col min="13270" max="13270" width="14.85546875" style="338" customWidth="1"/>
    <col min="13271" max="13271" width="10.5703125" style="338" customWidth="1"/>
    <col min="13272" max="13272" width="6.5703125" style="338" customWidth="1"/>
    <col min="13273" max="13273" width="7" style="338" customWidth="1"/>
    <col min="13274" max="13274" width="7.42578125" style="338" customWidth="1"/>
    <col min="13275" max="13275" width="7.5703125" style="338" customWidth="1"/>
    <col min="13276" max="13276" width="7.42578125" style="338" customWidth="1"/>
    <col min="13277" max="13277" width="7.5703125" style="338" customWidth="1"/>
    <col min="13278" max="13278" width="10.42578125" style="338" customWidth="1"/>
    <col min="13279" max="13279" width="10.140625" style="338" customWidth="1"/>
    <col min="13280" max="13280" width="8.7109375" style="338"/>
    <col min="13281" max="13299" width="9.140625" style="338" customWidth="1"/>
    <col min="13300" max="13505" width="8.7109375" style="338"/>
    <col min="13506" max="13506" width="23.85546875" style="338" customWidth="1"/>
    <col min="13507" max="13507" width="10.5703125" style="338" customWidth="1"/>
    <col min="13508" max="13508" width="6.5703125" style="338" customWidth="1"/>
    <col min="13509" max="13509" width="7" style="338" bestFit="1" customWidth="1"/>
    <col min="13510" max="13510" width="7.42578125" style="338" bestFit="1" customWidth="1"/>
    <col min="13511" max="13511" width="7.5703125" style="338" bestFit="1" customWidth="1"/>
    <col min="13512" max="13512" width="7.42578125" style="338" bestFit="1" customWidth="1"/>
    <col min="13513" max="13513" width="7.5703125" style="338" bestFit="1" customWidth="1"/>
    <col min="13514" max="13514" width="10.42578125" style="338" bestFit="1" customWidth="1"/>
    <col min="13515" max="13515" width="10.140625" style="338" bestFit="1" customWidth="1"/>
    <col min="13516" max="13516" width="23.85546875" style="338" customWidth="1"/>
    <col min="13517" max="13517" width="10.5703125" style="338" customWidth="1"/>
    <col min="13518" max="13518" width="6.5703125" style="338" customWidth="1"/>
    <col min="13519" max="13519" width="7" style="338" customWidth="1"/>
    <col min="13520" max="13520" width="7.42578125" style="338" customWidth="1"/>
    <col min="13521" max="13521" width="7.5703125" style="338" customWidth="1"/>
    <col min="13522" max="13522" width="7.42578125" style="338" customWidth="1"/>
    <col min="13523" max="13523" width="7.5703125" style="338" customWidth="1"/>
    <col min="13524" max="13524" width="10.42578125" style="338" customWidth="1"/>
    <col min="13525" max="13525" width="10.140625" style="338" customWidth="1"/>
    <col min="13526" max="13526" width="14.85546875" style="338" customWidth="1"/>
    <col min="13527" max="13527" width="10.5703125" style="338" customWidth="1"/>
    <col min="13528" max="13528" width="6.5703125" style="338" customWidth="1"/>
    <col min="13529" max="13529" width="7" style="338" customWidth="1"/>
    <col min="13530" max="13530" width="7.42578125" style="338" customWidth="1"/>
    <col min="13531" max="13531" width="7.5703125" style="338" customWidth="1"/>
    <col min="13532" max="13532" width="7.42578125" style="338" customWidth="1"/>
    <col min="13533" max="13533" width="7.5703125" style="338" customWidth="1"/>
    <col min="13534" max="13534" width="10.42578125" style="338" customWidth="1"/>
    <col min="13535" max="13535" width="10.140625" style="338" customWidth="1"/>
    <col min="13536" max="13536" width="8.7109375" style="338"/>
    <col min="13537" max="13555" width="9.140625" style="338" customWidth="1"/>
    <col min="13556" max="13761" width="8.7109375" style="338"/>
    <col min="13762" max="13762" width="23.85546875" style="338" customWidth="1"/>
    <col min="13763" max="13763" width="10.5703125" style="338" customWidth="1"/>
    <col min="13764" max="13764" width="6.5703125" style="338" customWidth="1"/>
    <col min="13765" max="13765" width="7" style="338" bestFit="1" customWidth="1"/>
    <col min="13766" max="13766" width="7.42578125" style="338" bestFit="1" customWidth="1"/>
    <col min="13767" max="13767" width="7.5703125" style="338" bestFit="1" customWidth="1"/>
    <col min="13768" max="13768" width="7.42578125" style="338" bestFit="1" customWidth="1"/>
    <col min="13769" max="13769" width="7.5703125" style="338" bestFit="1" customWidth="1"/>
    <col min="13770" max="13770" width="10.42578125" style="338" bestFit="1" customWidth="1"/>
    <col min="13771" max="13771" width="10.140625" style="338" bestFit="1" customWidth="1"/>
    <col min="13772" max="13772" width="23.85546875" style="338" customWidth="1"/>
    <col min="13773" max="13773" width="10.5703125" style="338" customWidth="1"/>
    <col min="13774" max="13774" width="6.5703125" style="338" customWidth="1"/>
    <col min="13775" max="13775" width="7" style="338" customWidth="1"/>
    <col min="13776" max="13776" width="7.42578125" style="338" customWidth="1"/>
    <col min="13777" max="13777" width="7.5703125" style="338" customWidth="1"/>
    <col min="13778" max="13778" width="7.42578125" style="338" customWidth="1"/>
    <col min="13779" max="13779" width="7.5703125" style="338" customWidth="1"/>
    <col min="13780" max="13780" width="10.42578125" style="338" customWidth="1"/>
    <col min="13781" max="13781" width="10.140625" style="338" customWidth="1"/>
    <col min="13782" max="13782" width="14.85546875" style="338" customWidth="1"/>
    <col min="13783" max="13783" width="10.5703125" style="338" customWidth="1"/>
    <col min="13784" max="13784" width="6.5703125" style="338" customWidth="1"/>
    <col min="13785" max="13785" width="7" style="338" customWidth="1"/>
    <col min="13786" max="13786" width="7.42578125" style="338" customWidth="1"/>
    <col min="13787" max="13787" width="7.5703125" style="338" customWidth="1"/>
    <col min="13788" max="13788" width="7.42578125" style="338" customWidth="1"/>
    <col min="13789" max="13789" width="7.5703125" style="338" customWidth="1"/>
    <col min="13790" max="13790" width="10.42578125" style="338" customWidth="1"/>
    <col min="13791" max="13791" width="10.140625" style="338" customWidth="1"/>
    <col min="13792" max="13792" width="8.7109375" style="338"/>
    <col min="13793" max="13811" width="9.140625" style="338" customWidth="1"/>
    <col min="13812" max="14017" width="8.7109375" style="338"/>
    <col min="14018" max="14018" width="23.85546875" style="338" customWidth="1"/>
    <col min="14019" max="14019" width="10.5703125" style="338" customWidth="1"/>
    <col min="14020" max="14020" width="6.5703125" style="338" customWidth="1"/>
    <col min="14021" max="14021" width="7" style="338" bestFit="1" customWidth="1"/>
    <col min="14022" max="14022" width="7.42578125" style="338" bestFit="1" customWidth="1"/>
    <col min="14023" max="14023" width="7.5703125" style="338" bestFit="1" customWidth="1"/>
    <col min="14024" max="14024" width="7.42578125" style="338" bestFit="1" customWidth="1"/>
    <col min="14025" max="14025" width="7.5703125" style="338" bestFit="1" customWidth="1"/>
    <col min="14026" max="14026" width="10.42578125" style="338" bestFit="1" customWidth="1"/>
    <col min="14027" max="14027" width="10.140625" style="338" bestFit="1" customWidth="1"/>
    <col min="14028" max="14028" width="23.85546875" style="338" customWidth="1"/>
    <col min="14029" max="14029" width="10.5703125" style="338" customWidth="1"/>
    <col min="14030" max="14030" width="6.5703125" style="338" customWidth="1"/>
    <col min="14031" max="14031" width="7" style="338" customWidth="1"/>
    <col min="14032" max="14032" width="7.42578125" style="338" customWidth="1"/>
    <col min="14033" max="14033" width="7.5703125" style="338" customWidth="1"/>
    <col min="14034" max="14034" width="7.42578125" style="338" customWidth="1"/>
    <col min="14035" max="14035" width="7.5703125" style="338" customWidth="1"/>
    <col min="14036" max="14036" width="10.42578125" style="338" customWidth="1"/>
    <col min="14037" max="14037" width="10.140625" style="338" customWidth="1"/>
    <col min="14038" max="14038" width="14.85546875" style="338" customWidth="1"/>
    <col min="14039" max="14039" width="10.5703125" style="338" customWidth="1"/>
    <col min="14040" max="14040" width="6.5703125" style="338" customWidth="1"/>
    <col min="14041" max="14041" width="7" style="338" customWidth="1"/>
    <col min="14042" max="14042" width="7.42578125" style="338" customWidth="1"/>
    <col min="14043" max="14043" width="7.5703125" style="338" customWidth="1"/>
    <col min="14044" max="14044" width="7.42578125" style="338" customWidth="1"/>
    <col min="14045" max="14045" width="7.5703125" style="338" customWidth="1"/>
    <col min="14046" max="14046" width="10.42578125" style="338" customWidth="1"/>
    <col min="14047" max="14047" width="10.140625" style="338" customWidth="1"/>
    <col min="14048" max="14048" width="8.7109375" style="338"/>
    <col min="14049" max="14067" width="9.140625" style="338" customWidth="1"/>
    <col min="14068" max="14273" width="8.7109375" style="338"/>
    <col min="14274" max="14274" width="23.85546875" style="338" customWidth="1"/>
    <col min="14275" max="14275" width="10.5703125" style="338" customWidth="1"/>
    <col min="14276" max="14276" width="6.5703125" style="338" customWidth="1"/>
    <col min="14277" max="14277" width="7" style="338" bestFit="1" customWidth="1"/>
    <col min="14278" max="14278" width="7.42578125" style="338" bestFit="1" customWidth="1"/>
    <col min="14279" max="14279" width="7.5703125" style="338" bestFit="1" customWidth="1"/>
    <col min="14280" max="14280" width="7.42578125" style="338" bestFit="1" customWidth="1"/>
    <col min="14281" max="14281" width="7.5703125" style="338" bestFit="1" customWidth="1"/>
    <col min="14282" max="14282" width="10.42578125" style="338" bestFit="1" customWidth="1"/>
    <col min="14283" max="14283" width="10.140625" style="338" bestFit="1" customWidth="1"/>
    <col min="14284" max="14284" width="23.85546875" style="338" customWidth="1"/>
    <col min="14285" max="14285" width="10.5703125" style="338" customWidth="1"/>
    <col min="14286" max="14286" width="6.5703125" style="338" customWidth="1"/>
    <col min="14287" max="14287" width="7" style="338" customWidth="1"/>
    <col min="14288" max="14288" width="7.42578125" style="338" customWidth="1"/>
    <col min="14289" max="14289" width="7.5703125" style="338" customWidth="1"/>
    <col min="14290" max="14290" width="7.42578125" style="338" customWidth="1"/>
    <col min="14291" max="14291" width="7.5703125" style="338" customWidth="1"/>
    <col min="14292" max="14292" width="10.42578125" style="338" customWidth="1"/>
    <col min="14293" max="14293" width="10.140625" style="338" customWidth="1"/>
    <col min="14294" max="14294" width="14.85546875" style="338" customWidth="1"/>
    <col min="14295" max="14295" width="10.5703125" style="338" customWidth="1"/>
    <col min="14296" max="14296" width="6.5703125" style="338" customWidth="1"/>
    <col min="14297" max="14297" width="7" style="338" customWidth="1"/>
    <col min="14298" max="14298" width="7.42578125" style="338" customWidth="1"/>
    <col min="14299" max="14299" width="7.5703125" style="338" customWidth="1"/>
    <col min="14300" max="14300" width="7.42578125" style="338" customWidth="1"/>
    <col min="14301" max="14301" width="7.5703125" style="338" customWidth="1"/>
    <col min="14302" max="14302" width="10.42578125" style="338" customWidth="1"/>
    <col min="14303" max="14303" width="10.140625" style="338" customWidth="1"/>
    <col min="14304" max="14304" width="8.7109375" style="338"/>
    <col min="14305" max="14323" width="9.140625" style="338" customWidth="1"/>
    <col min="14324" max="14529" width="8.7109375" style="338"/>
    <col min="14530" max="14530" width="23.85546875" style="338" customWidth="1"/>
    <col min="14531" max="14531" width="10.5703125" style="338" customWidth="1"/>
    <col min="14532" max="14532" width="6.5703125" style="338" customWidth="1"/>
    <col min="14533" max="14533" width="7" style="338" bestFit="1" customWidth="1"/>
    <col min="14534" max="14534" width="7.42578125" style="338" bestFit="1" customWidth="1"/>
    <col min="14535" max="14535" width="7.5703125" style="338" bestFit="1" customWidth="1"/>
    <col min="14536" max="14536" width="7.42578125" style="338" bestFit="1" customWidth="1"/>
    <col min="14537" max="14537" width="7.5703125" style="338" bestFit="1" customWidth="1"/>
    <col min="14538" max="14538" width="10.42578125" style="338" bestFit="1" customWidth="1"/>
    <col min="14539" max="14539" width="10.140625" style="338" bestFit="1" customWidth="1"/>
    <col min="14540" max="14540" width="23.85546875" style="338" customWidth="1"/>
    <col min="14541" max="14541" width="10.5703125" style="338" customWidth="1"/>
    <col min="14542" max="14542" width="6.5703125" style="338" customWidth="1"/>
    <col min="14543" max="14543" width="7" style="338" customWidth="1"/>
    <col min="14544" max="14544" width="7.42578125" style="338" customWidth="1"/>
    <col min="14545" max="14545" width="7.5703125" style="338" customWidth="1"/>
    <col min="14546" max="14546" width="7.42578125" style="338" customWidth="1"/>
    <col min="14547" max="14547" width="7.5703125" style="338" customWidth="1"/>
    <col min="14548" max="14548" width="10.42578125" style="338" customWidth="1"/>
    <col min="14549" max="14549" width="10.140625" style="338" customWidth="1"/>
    <col min="14550" max="14550" width="14.85546875" style="338" customWidth="1"/>
    <col min="14551" max="14551" width="10.5703125" style="338" customWidth="1"/>
    <col min="14552" max="14552" width="6.5703125" style="338" customWidth="1"/>
    <col min="14553" max="14553" width="7" style="338" customWidth="1"/>
    <col min="14554" max="14554" width="7.42578125" style="338" customWidth="1"/>
    <col min="14555" max="14555" width="7.5703125" style="338" customWidth="1"/>
    <col min="14556" max="14556" width="7.42578125" style="338" customWidth="1"/>
    <col min="14557" max="14557" width="7.5703125" style="338" customWidth="1"/>
    <col min="14558" max="14558" width="10.42578125" style="338" customWidth="1"/>
    <col min="14559" max="14559" width="10.140625" style="338" customWidth="1"/>
    <col min="14560" max="14560" width="8.7109375" style="338"/>
    <col min="14561" max="14579" width="9.140625" style="338" customWidth="1"/>
    <col min="14580" max="14785" width="8.7109375" style="338"/>
    <col min="14786" max="14786" width="23.85546875" style="338" customWidth="1"/>
    <col min="14787" max="14787" width="10.5703125" style="338" customWidth="1"/>
    <col min="14788" max="14788" width="6.5703125" style="338" customWidth="1"/>
    <col min="14789" max="14789" width="7" style="338" bestFit="1" customWidth="1"/>
    <col min="14790" max="14790" width="7.42578125" style="338" bestFit="1" customWidth="1"/>
    <col min="14791" max="14791" width="7.5703125" style="338" bestFit="1" customWidth="1"/>
    <col min="14792" max="14792" width="7.42578125" style="338" bestFit="1" customWidth="1"/>
    <col min="14793" max="14793" width="7.5703125" style="338" bestFit="1" customWidth="1"/>
    <col min="14794" max="14794" width="10.42578125" style="338" bestFit="1" customWidth="1"/>
    <col min="14795" max="14795" width="10.140625" style="338" bestFit="1" customWidth="1"/>
    <col min="14796" max="14796" width="23.85546875" style="338" customWidth="1"/>
    <col min="14797" max="14797" width="10.5703125" style="338" customWidth="1"/>
    <col min="14798" max="14798" width="6.5703125" style="338" customWidth="1"/>
    <col min="14799" max="14799" width="7" style="338" customWidth="1"/>
    <col min="14800" max="14800" width="7.42578125" style="338" customWidth="1"/>
    <col min="14801" max="14801" width="7.5703125" style="338" customWidth="1"/>
    <col min="14802" max="14802" width="7.42578125" style="338" customWidth="1"/>
    <col min="14803" max="14803" width="7.5703125" style="338" customWidth="1"/>
    <col min="14804" max="14804" width="10.42578125" style="338" customWidth="1"/>
    <col min="14805" max="14805" width="10.140625" style="338" customWidth="1"/>
    <col min="14806" max="14806" width="14.85546875" style="338" customWidth="1"/>
    <col min="14807" max="14807" width="10.5703125" style="338" customWidth="1"/>
    <col min="14808" max="14808" width="6.5703125" style="338" customWidth="1"/>
    <col min="14809" max="14809" width="7" style="338" customWidth="1"/>
    <col min="14810" max="14810" width="7.42578125" style="338" customWidth="1"/>
    <col min="14811" max="14811" width="7.5703125" style="338" customWidth="1"/>
    <col min="14812" max="14812" width="7.42578125" style="338" customWidth="1"/>
    <col min="14813" max="14813" width="7.5703125" style="338" customWidth="1"/>
    <col min="14814" max="14814" width="10.42578125" style="338" customWidth="1"/>
    <col min="14815" max="14815" width="10.140625" style="338" customWidth="1"/>
    <col min="14816" max="14816" width="8.7109375" style="338"/>
    <col min="14817" max="14835" width="9.140625" style="338" customWidth="1"/>
    <col min="14836" max="15041" width="8.7109375" style="338"/>
    <col min="15042" max="15042" width="23.85546875" style="338" customWidth="1"/>
    <col min="15043" max="15043" width="10.5703125" style="338" customWidth="1"/>
    <col min="15044" max="15044" width="6.5703125" style="338" customWidth="1"/>
    <col min="15045" max="15045" width="7" style="338" bestFit="1" customWidth="1"/>
    <col min="15046" max="15046" width="7.42578125" style="338" bestFit="1" customWidth="1"/>
    <col min="15047" max="15047" width="7.5703125" style="338" bestFit="1" customWidth="1"/>
    <col min="15048" max="15048" width="7.42578125" style="338" bestFit="1" customWidth="1"/>
    <col min="15049" max="15049" width="7.5703125" style="338" bestFit="1" customWidth="1"/>
    <col min="15050" max="15050" width="10.42578125" style="338" bestFit="1" customWidth="1"/>
    <col min="15051" max="15051" width="10.140625" style="338" bestFit="1" customWidth="1"/>
    <col min="15052" max="15052" width="23.85546875" style="338" customWidth="1"/>
    <col min="15053" max="15053" width="10.5703125" style="338" customWidth="1"/>
    <col min="15054" max="15054" width="6.5703125" style="338" customWidth="1"/>
    <col min="15055" max="15055" width="7" style="338" customWidth="1"/>
    <col min="15056" max="15056" width="7.42578125" style="338" customWidth="1"/>
    <col min="15057" max="15057" width="7.5703125" style="338" customWidth="1"/>
    <col min="15058" max="15058" width="7.42578125" style="338" customWidth="1"/>
    <col min="15059" max="15059" width="7.5703125" style="338" customWidth="1"/>
    <col min="15060" max="15060" width="10.42578125" style="338" customWidth="1"/>
    <col min="15061" max="15061" width="10.140625" style="338" customWidth="1"/>
    <col min="15062" max="15062" width="14.85546875" style="338" customWidth="1"/>
    <col min="15063" max="15063" width="10.5703125" style="338" customWidth="1"/>
    <col min="15064" max="15064" width="6.5703125" style="338" customWidth="1"/>
    <col min="15065" max="15065" width="7" style="338" customWidth="1"/>
    <col min="15066" max="15066" width="7.42578125" style="338" customWidth="1"/>
    <col min="15067" max="15067" width="7.5703125" style="338" customWidth="1"/>
    <col min="15068" max="15068" width="7.42578125" style="338" customWidth="1"/>
    <col min="15069" max="15069" width="7.5703125" style="338" customWidth="1"/>
    <col min="15070" max="15070" width="10.42578125" style="338" customWidth="1"/>
    <col min="15071" max="15071" width="10.140625" style="338" customWidth="1"/>
    <col min="15072" max="15072" width="8.7109375" style="338"/>
    <col min="15073" max="15091" width="9.140625" style="338" customWidth="1"/>
    <col min="15092" max="15297" width="8.7109375" style="338"/>
    <col min="15298" max="15298" width="23.85546875" style="338" customWidth="1"/>
    <col min="15299" max="15299" width="10.5703125" style="338" customWidth="1"/>
    <col min="15300" max="15300" width="6.5703125" style="338" customWidth="1"/>
    <col min="15301" max="15301" width="7" style="338" bestFit="1" customWidth="1"/>
    <col min="15302" max="15302" width="7.42578125" style="338" bestFit="1" customWidth="1"/>
    <col min="15303" max="15303" width="7.5703125" style="338" bestFit="1" customWidth="1"/>
    <col min="15304" max="15304" width="7.42578125" style="338" bestFit="1" customWidth="1"/>
    <col min="15305" max="15305" width="7.5703125" style="338" bestFit="1" customWidth="1"/>
    <col min="15306" max="15306" width="10.42578125" style="338" bestFit="1" customWidth="1"/>
    <col min="15307" max="15307" width="10.140625" style="338" bestFit="1" customWidth="1"/>
    <col min="15308" max="15308" width="23.85546875" style="338" customWidth="1"/>
    <col min="15309" max="15309" width="10.5703125" style="338" customWidth="1"/>
    <col min="15310" max="15310" width="6.5703125" style="338" customWidth="1"/>
    <col min="15311" max="15311" width="7" style="338" customWidth="1"/>
    <col min="15312" max="15312" width="7.42578125" style="338" customWidth="1"/>
    <col min="15313" max="15313" width="7.5703125" style="338" customWidth="1"/>
    <col min="15314" max="15314" width="7.42578125" style="338" customWidth="1"/>
    <col min="15315" max="15315" width="7.5703125" style="338" customWidth="1"/>
    <col min="15316" max="15316" width="10.42578125" style="338" customWidth="1"/>
    <col min="15317" max="15317" width="10.140625" style="338" customWidth="1"/>
    <col min="15318" max="15318" width="14.85546875" style="338" customWidth="1"/>
    <col min="15319" max="15319" width="10.5703125" style="338" customWidth="1"/>
    <col min="15320" max="15320" width="6.5703125" style="338" customWidth="1"/>
    <col min="15321" max="15321" width="7" style="338" customWidth="1"/>
    <col min="15322" max="15322" width="7.42578125" style="338" customWidth="1"/>
    <col min="15323" max="15323" width="7.5703125" style="338" customWidth="1"/>
    <col min="15324" max="15324" width="7.42578125" style="338" customWidth="1"/>
    <col min="15325" max="15325" width="7.5703125" style="338" customWidth="1"/>
    <col min="15326" max="15326" width="10.42578125" style="338" customWidth="1"/>
    <col min="15327" max="15327" width="10.140625" style="338" customWidth="1"/>
    <col min="15328" max="15328" width="8.7109375" style="338"/>
    <col min="15329" max="15347" width="9.140625" style="338" customWidth="1"/>
    <col min="15348" max="15553" width="8.7109375" style="338"/>
    <col min="15554" max="15554" width="23.85546875" style="338" customWidth="1"/>
    <col min="15555" max="15555" width="10.5703125" style="338" customWidth="1"/>
    <col min="15556" max="15556" width="6.5703125" style="338" customWidth="1"/>
    <col min="15557" max="15557" width="7" style="338" bestFit="1" customWidth="1"/>
    <col min="15558" max="15558" width="7.42578125" style="338" bestFit="1" customWidth="1"/>
    <col min="15559" max="15559" width="7.5703125" style="338" bestFit="1" customWidth="1"/>
    <col min="15560" max="15560" width="7.42578125" style="338" bestFit="1" customWidth="1"/>
    <col min="15561" max="15561" width="7.5703125" style="338" bestFit="1" customWidth="1"/>
    <col min="15562" max="15562" width="10.42578125" style="338" bestFit="1" customWidth="1"/>
    <col min="15563" max="15563" width="10.140625" style="338" bestFit="1" customWidth="1"/>
    <col min="15564" max="15564" width="23.85546875" style="338" customWidth="1"/>
    <col min="15565" max="15565" width="10.5703125" style="338" customWidth="1"/>
    <col min="15566" max="15566" width="6.5703125" style="338" customWidth="1"/>
    <col min="15567" max="15567" width="7" style="338" customWidth="1"/>
    <col min="15568" max="15568" width="7.42578125" style="338" customWidth="1"/>
    <col min="15569" max="15569" width="7.5703125" style="338" customWidth="1"/>
    <col min="15570" max="15570" width="7.42578125" style="338" customWidth="1"/>
    <col min="15571" max="15571" width="7.5703125" style="338" customWidth="1"/>
    <col min="15572" max="15572" width="10.42578125" style="338" customWidth="1"/>
    <col min="15573" max="15573" width="10.140625" style="338" customWidth="1"/>
    <col min="15574" max="15574" width="14.85546875" style="338" customWidth="1"/>
    <col min="15575" max="15575" width="10.5703125" style="338" customWidth="1"/>
    <col min="15576" max="15576" width="6.5703125" style="338" customWidth="1"/>
    <col min="15577" max="15577" width="7" style="338" customWidth="1"/>
    <col min="15578" max="15578" width="7.42578125" style="338" customWidth="1"/>
    <col min="15579" max="15579" width="7.5703125" style="338" customWidth="1"/>
    <col min="15580" max="15580" width="7.42578125" style="338" customWidth="1"/>
    <col min="15581" max="15581" width="7.5703125" style="338" customWidth="1"/>
    <col min="15582" max="15582" width="10.42578125" style="338" customWidth="1"/>
    <col min="15583" max="15583" width="10.140625" style="338" customWidth="1"/>
    <col min="15584" max="15584" width="8.7109375" style="338"/>
    <col min="15585" max="15603" width="9.140625" style="338" customWidth="1"/>
    <col min="15604" max="15809" width="8.7109375" style="338"/>
    <col min="15810" max="15810" width="23.85546875" style="338" customWidth="1"/>
    <col min="15811" max="15811" width="10.5703125" style="338" customWidth="1"/>
    <col min="15812" max="15812" width="6.5703125" style="338" customWidth="1"/>
    <col min="15813" max="15813" width="7" style="338" bestFit="1" customWidth="1"/>
    <col min="15814" max="15814" width="7.42578125" style="338" bestFit="1" customWidth="1"/>
    <col min="15815" max="15815" width="7.5703125" style="338" bestFit="1" customWidth="1"/>
    <col min="15816" max="15816" width="7.42578125" style="338" bestFit="1" customWidth="1"/>
    <col min="15817" max="15817" width="7.5703125" style="338" bestFit="1" customWidth="1"/>
    <col min="15818" max="15818" width="10.42578125" style="338" bestFit="1" customWidth="1"/>
    <col min="15819" max="15819" width="10.140625" style="338" bestFit="1" customWidth="1"/>
    <col min="15820" max="15820" width="23.85546875" style="338" customWidth="1"/>
    <col min="15821" max="15821" width="10.5703125" style="338" customWidth="1"/>
    <col min="15822" max="15822" width="6.5703125" style="338" customWidth="1"/>
    <col min="15823" max="15823" width="7" style="338" customWidth="1"/>
    <col min="15824" max="15824" width="7.42578125" style="338" customWidth="1"/>
    <col min="15825" max="15825" width="7.5703125" style="338" customWidth="1"/>
    <col min="15826" max="15826" width="7.42578125" style="338" customWidth="1"/>
    <col min="15827" max="15827" width="7.5703125" style="338" customWidth="1"/>
    <col min="15828" max="15828" width="10.42578125" style="338" customWidth="1"/>
    <col min="15829" max="15829" width="10.140625" style="338" customWidth="1"/>
    <col min="15830" max="15830" width="14.85546875" style="338" customWidth="1"/>
    <col min="15831" max="15831" width="10.5703125" style="338" customWidth="1"/>
    <col min="15832" max="15832" width="6.5703125" style="338" customWidth="1"/>
    <col min="15833" max="15833" width="7" style="338" customWidth="1"/>
    <col min="15834" max="15834" width="7.42578125" style="338" customWidth="1"/>
    <col min="15835" max="15835" width="7.5703125" style="338" customWidth="1"/>
    <col min="15836" max="15836" width="7.42578125" style="338" customWidth="1"/>
    <col min="15837" max="15837" width="7.5703125" style="338" customWidth="1"/>
    <col min="15838" max="15838" width="10.42578125" style="338" customWidth="1"/>
    <col min="15839" max="15839" width="10.140625" style="338" customWidth="1"/>
    <col min="15840" max="15840" width="8.7109375" style="338"/>
    <col min="15841" max="15859" width="9.140625" style="338" customWidth="1"/>
    <col min="15860" max="16065" width="8.7109375" style="338"/>
    <col min="16066" max="16066" width="23.85546875" style="338" customWidth="1"/>
    <col min="16067" max="16067" width="10.5703125" style="338" customWidth="1"/>
    <col min="16068" max="16068" width="6.5703125" style="338" customWidth="1"/>
    <col min="16069" max="16069" width="7" style="338" bestFit="1" customWidth="1"/>
    <col min="16070" max="16070" width="7.42578125" style="338" bestFit="1" customWidth="1"/>
    <col min="16071" max="16071" width="7.5703125" style="338" bestFit="1" customWidth="1"/>
    <col min="16072" max="16072" width="7.42578125" style="338" bestFit="1" customWidth="1"/>
    <col min="16073" max="16073" width="7.5703125" style="338" bestFit="1" customWidth="1"/>
    <col min="16074" max="16074" width="10.42578125" style="338" bestFit="1" customWidth="1"/>
    <col min="16075" max="16075" width="10.140625" style="338" bestFit="1" customWidth="1"/>
    <col min="16076" max="16076" width="23.85546875" style="338" customWidth="1"/>
    <col min="16077" max="16077" width="10.5703125" style="338" customWidth="1"/>
    <col min="16078" max="16078" width="6.5703125" style="338" customWidth="1"/>
    <col min="16079" max="16079" width="7" style="338" customWidth="1"/>
    <col min="16080" max="16080" width="7.42578125" style="338" customWidth="1"/>
    <col min="16081" max="16081" width="7.5703125" style="338" customWidth="1"/>
    <col min="16082" max="16082" width="7.42578125" style="338" customWidth="1"/>
    <col min="16083" max="16083" width="7.5703125" style="338" customWidth="1"/>
    <col min="16084" max="16084" width="10.42578125" style="338" customWidth="1"/>
    <col min="16085" max="16085" width="10.140625" style="338" customWidth="1"/>
    <col min="16086" max="16086" width="14.85546875" style="338" customWidth="1"/>
    <col min="16087" max="16087" width="10.5703125" style="338" customWidth="1"/>
    <col min="16088" max="16088" width="6.5703125" style="338" customWidth="1"/>
    <col min="16089" max="16089" width="7" style="338" customWidth="1"/>
    <col min="16090" max="16090" width="7.42578125" style="338" customWidth="1"/>
    <col min="16091" max="16091" width="7.5703125" style="338" customWidth="1"/>
    <col min="16092" max="16092" width="7.42578125" style="338" customWidth="1"/>
    <col min="16093" max="16093" width="7.5703125" style="338" customWidth="1"/>
    <col min="16094" max="16094" width="10.42578125" style="338" customWidth="1"/>
    <col min="16095" max="16095" width="10.140625" style="338" customWidth="1"/>
    <col min="16096" max="16096" width="8.7109375" style="338"/>
    <col min="16097" max="16115" width="9.140625" style="338" customWidth="1"/>
    <col min="16116" max="16340" width="8.7109375" style="338"/>
    <col min="16341" max="16384" width="9.140625" style="338" customWidth="1"/>
  </cols>
  <sheetData>
    <row r="1" spans="1:10" x14ac:dyDescent="0.2">
      <c r="A1" s="624" t="s">
        <v>23</v>
      </c>
      <c r="B1" s="624"/>
      <c r="C1" s="624"/>
      <c r="D1" s="624"/>
      <c r="E1" s="624"/>
      <c r="F1" s="624"/>
      <c r="G1" s="624"/>
      <c r="H1" s="624"/>
      <c r="I1" s="624"/>
      <c r="J1" s="624"/>
    </row>
    <row r="2" spans="1:10" x14ac:dyDescent="0.2">
      <c r="A2" s="624" t="s">
        <v>91</v>
      </c>
      <c r="B2" s="624"/>
      <c r="C2" s="624"/>
      <c r="D2" s="624"/>
      <c r="E2" s="624"/>
      <c r="F2" s="624"/>
      <c r="G2" s="624"/>
      <c r="H2" s="624"/>
      <c r="I2" s="624"/>
      <c r="J2" s="624"/>
    </row>
    <row r="3" spans="1:10" ht="12.75" x14ac:dyDescent="0.2">
      <c r="A3" s="625" t="s">
        <v>128</v>
      </c>
      <c r="B3" s="625"/>
      <c r="C3" s="625"/>
      <c r="D3" s="625"/>
      <c r="E3" s="625"/>
      <c r="F3" s="625"/>
      <c r="G3" s="625"/>
      <c r="H3" s="625"/>
      <c r="I3" s="625"/>
      <c r="J3" s="625"/>
    </row>
    <row r="4" spans="1:10" ht="12.75" x14ac:dyDescent="0.2">
      <c r="A4" s="625" t="s">
        <v>139</v>
      </c>
      <c r="B4" s="625"/>
      <c r="C4" s="625"/>
      <c r="D4" s="625"/>
      <c r="E4" s="625"/>
      <c r="F4" s="625"/>
      <c r="G4" s="625"/>
      <c r="H4" s="625"/>
      <c r="I4" s="625"/>
      <c r="J4" s="625"/>
    </row>
    <row r="5" spans="1:10" ht="12.75" x14ac:dyDescent="0.2">
      <c r="A5" s="636" t="s">
        <v>64</v>
      </c>
      <c r="B5" s="636"/>
      <c r="C5" s="636"/>
      <c r="D5" s="636"/>
      <c r="E5" s="636"/>
      <c r="F5" s="636"/>
      <c r="G5" s="636"/>
      <c r="H5" s="636"/>
      <c r="I5" s="636"/>
      <c r="J5" s="636"/>
    </row>
    <row r="6" spans="1:10" ht="12.75" x14ac:dyDescent="0.2">
      <c r="A6" s="443"/>
      <c r="B6" s="443"/>
      <c r="C6" s="443"/>
      <c r="D6" s="443"/>
      <c r="E6" s="443"/>
      <c r="F6" s="443"/>
      <c r="G6" s="443"/>
      <c r="H6" s="443"/>
      <c r="I6" s="443"/>
      <c r="J6" s="443"/>
    </row>
    <row r="7" spans="1:10" x14ac:dyDescent="0.2">
      <c r="A7" s="361"/>
      <c r="B7" s="362"/>
      <c r="C7" s="78"/>
      <c r="D7" s="78"/>
      <c r="E7" s="78"/>
      <c r="F7" s="78"/>
      <c r="G7" s="78"/>
      <c r="H7" s="78"/>
      <c r="I7" s="78"/>
    </row>
    <row r="8" spans="1:10" ht="13.5" thickBot="1" x14ac:dyDescent="0.25">
      <c r="A8" s="261" t="s">
        <v>94</v>
      </c>
      <c r="B8" s="365"/>
      <c r="C8" s="67"/>
      <c r="D8" s="67"/>
      <c r="E8" s="67"/>
      <c r="F8" s="67"/>
      <c r="G8" s="67"/>
      <c r="H8" s="67"/>
      <c r="I8" s="67"/>
    </row>
    <row r="9" spans="1:10" x14ac:dyDescent="0.2">
      <c r="A9" s="339" t="s">
        <v>114</v>
      </c>
      <c r="B9" s="615" t="s">
        <v>95</v>
      </c>
      <c r="C9" s="373" t="s">
        <v>103</v>
      </c>
      <c r="D9" s="367" t="s">
        <v>104</v>
      </c>
      <c r="E9" s="367" t="s">
        <v>105</v>
      </c>
      <c r="F9" s="367" t="s">
        <v>106</v>
      </c>
      <c r="G9" s="367" t="s">
        <v>107</v>
      </c>
      <c r="H9" s="367" t="s">
        <v>108</v>
      </c>
      <c r="I9" s="368" t="s">
        <v>129</v>
      </c>
      <c r="J9" s="444" t="s">
        <v>115</v>
      </c>
    </row>
    <row r="10" spans="1:10" x14ac:dyDescent="0.2">
      <c r="A10" s="340"/>
      <c r="B10" s="616"/>
      <c r="C10" s="271"/>
      <c r="D10" s="272"/>
      <c r="E10" s="272"/>
      <c r="F10" s="272"/>
      <c r="G10" s="272"/>
      <c r="H10" s="272"/>
      <c r="I10" s="371" t="s">
        <v>130</v>
      </c>
      <c r="J10" s="445" t="s">
        <v>116</v>
      </c>
    </row>
    <row r="11" spans="1:10" x14ac:dyDescent="0.2">
      <c r="A11" s="301" t="s">
        <v>117</v>
      </c>
      <c r="B11" s="302" t="s">
        <v>2</v>
      </c>
      <c r="C11" s="294">
        <v>1.0934937124110755E-3</v>
      </c>
      <c r="D11" s="295">
        <v>1.793269634901562E-3</v>
      </c>
      <c r="E11" s="295">
        <v>4.8831729267808655E-3</v>
      </c>
      <c r="F11" s="295">
        <v>8.4114583333333437E-3</v>
      </c>
      <c r="G11" s="295">
        <v>1.0373612124159215E-2</v>
      </c>
      <c r="H11" s="427">
        <v>4.1909116098641785E-3</v>
      </c>
      <c r="I11" s="294">
        <v>6.379755889294153E-3</v>
      </c>
      <c r="J11" s="446">
        <v>6.0488508255625621E-2</v>
      </c>
    </row>
    <row r="12" spans="1:10" x14ac:dyDescent="0.2">
      <c r="A12" s="155"/>
      <c r="B12" s="309" t="s">
        <v>1</v>
      </c>
      <c r="C12" s="297">
        <v>1.5109544195416325E-3</v>
      </c>
      <c r="D12" s="298">
        <v>5.0156401682666107E-3</v>
      </c>
      <c r="E12" s="298">
        <v>6.5600433721876295E-3</v>
      </c>
      <c r="F12" s="298">
        <v>1.7365119196988688E-2</v>
      </c>
      <c r="G12" s="298">
        <v>2.0499578414839736E-2</v>
      </c>
      <c r="H12" s="310">
        <v>7.4412532637075923E-3</v>
      </c>
      <c r="I12" s="297">
        <v>1.1572446075902323E-2</v>
      </c>
      <c r="J12" s="447"/>
    </row>
    <row r="13" spans="1:10" x14ac:dyDescent="0.2">
      <c r="A13" s="286"/>
      <c r="B13" s="312" t="s">
        <v>0</v>
      </c>
      <c r="C13" s="314">
        <v>6.4676080629522126E-4</v>
      </c>
      <c r="D13" s="380">
        <v>0</v>
      </c>
      <c r="E13" s="380">
        <v>3.0396948384789901E-3</v>
      </c>
      <c r="F13" s="380">
        <v>0</v>
      </c>
      <c r="G13" s="380">
        <v>0</v>
      </c>
      <c r="H13" s="313">
        <v>5.1652892561981911E-4</v>
      </c>
      <c r="I13" s="314">
        <v>6.9999999999999999E-4</v>
      </c>
      <c r="J13" s="448"/>
    </row>
    <row r="14" spans="1:10" ht="9.9499999999999993" customHeight="1" x14ac:dyDescent="0.2">
      <c r="A14" s="392" t="s">
        <v>118</v>
      </c>
      <c r="B14" s="302" t="s">
        <v>2</v>
      </c>
      <c r="C14" s="294">
        <v>4.0272431151909815E-3</v>
      </c>
      <c r="D14" s="295">
        <v>1.1178801679777584E-2</v>
      </c>
      <c r="E14" s="295">
        <v>1.503620964772312E-2</v>
      </c>
      <c r="F14" s="295">
        <v>1.6673979815708728E-2</v>
      </c>
      <c r="G14" s="295">
        <v>2.0343553966113537E-2</v>
      </c>
      <c r="H14" s="427">
        <v>1.479599461963832E-2</v>
      </c>
      <c r="I14" s="294">
        <v>1.5718016941801808E-2</v>
      </c>
      <c r="J14" s="446">
        <v>0.38499519253262232</v>
      </c>
    </row>
    <row r="15" spans="1:10" ht="9.9499999999999993" customHeight="1" x14ac:dyDescent="0.2">
      <c r="A15" s="393"/>
      <c r="B15" s="309" t="s">
        <v>1</v>
      </c>
      <c r="C15" s="297">
        <v>9.0878492090205043E-3</v>
      </c>
      <c r="D15" s="298">
        <v>1.4396580812057191E-2</v>
      </c>
      <c r="E15" s="298">
        <v>1.9314285714285728E-2</v>
      </c>
      <c r="F15" s="298">
        <v>2.2345771410242743E-2</v>
      </c>
      <c r="G15" s="298">
        <v>2.7888901588753012E-2</v>
      </c>
      <c r="H15" s="310">
        <v>1.996577296063895E-2</v>
      </c>
      <c r="I15" s="297">
        <v>2.1558710760516069E-2</v>
      </c>
      <c r="J15" s="447"/>
    </row>
    <row r="16" spans="1:10" x14ac:dyDescent="0.2">
      <c r="A16" s="286"/>
      <c r="B16" s="312" t="s">
        <v>0</v>
      </c>
      <c r="C16" s="314">
        <v>0</v>
      </c>
      <c r="D16" s="380">
        <v>7.6097804391217494E-3</v>
      </c>
      <c r="E16" s="380">
        <v>1.0074231177094384E-2</v>
      </c>
      <c r="F16" s="380">
        <v>1.069940308593309E-2</v>
      </c>
      <c r="G16" s="380">
        <v>1.2397688974482346E-2</v>
      </c>
      <c r="H16" s="313">
        <v>9.1051805337519776E-3</v>
      </c>
      <c r="I16" s="314">
        <v>8.3000000000000001E-3</v>
      </c>
      <c r="J16" s="448"/>
    </row>
    <row r="17" spans="1:10" x14ac:dyDescent="0.2">
      <c r="A17" s="301" t="s">
        <v>119</v>
      </c>
      <c r="B17" s="302" t="s">
        <v>2</v>
      </c>
      <c r="C17" s="294">
        <v>1.2637660227477809E-2</v>
      </c>
      <c r="D17" s="295">
        <v>1.6896235078053268E-2</v>
      </c>
      <c r="E17" s="295">
        <v>2.2071982501491338E-2</v>
      </c>
      <c r="F17" s="295">
        <v>6.9924106762172533E-3</v>
      </c>
      <c r="G17" s="295">
        <v>2.7814923776410816E-2</v>
      </c>
      <c r="H17" s="427">
        <v>6.0093205788570581E-3</v>
      </c>
      <c r="I17" s="294">
        <v>1.8070734344246598E-2</v>
      </c>
      <c r="J17" s="446">
        <v>0.80336034285250935</v>
      </c>
    </row>
    <row r="18" spans="1:10" x14ac:dyDescent="0.2">
      <c r="A18" s="155"/>
      <c r="B18" s="309" t="s">
        <v>1</v>
      </c>
      <c r="C18" s="297">
        <v>9.1148115687993414E-3</v>
      </c>
      <c r="D18" s="298">
        <v>1.8465909090909172E-2</v>
      </c>
      <c r="E18" s="298">
        <v>2.9531946508172369E-2</v>
      </c>
      <c r="F18" s="298">
        <v>6.6439522998296141E-3</v>
      </c>
      <c r="G18" s="298">
        <v>3.124460555843267E-2</v>
      </c>
      <c r="H18" s="310">
        <v>7.4871314927468235E-3</v>
      </c>
      <c r="I18" s="297">
        <v>1.9980632012694424E-2</v>
      </c>
      <c r="J18" s="447"/>
    </row>
    <row r="19" spans="1:10" x14ac:dyDescent="0.2">
      <c r="A19" s="286"/>
      <c r="B19" s="312" t="s">
        <v>0</v>
      </c>
      <c r="C19" s="314">
        <v>1.6378187232458541E-2</v>
      </c>
      <c r="D19" s="380">
        <v>1.5214910612400101E-2</v>
      </c>
      <c r="E19" s="380">
        <v>1.347881899871628E-2</v>
      </c>
      <c r="F19" s="380">
        <v>7.3416424790848644E-3</v>
      </c>
      <c r="G19" s="380">
        <v>2.4151917404129808E-2</v>
      </c>
      <c r="H19" s="313">
        <v>4.3814432989690566E-3</v>
      </c>
      <c r="I19" s="314">
        <v>1.6051647384128016E-2</v>
      </c>
      <c r="J19" s="448"/>
    </row>
    <row r="20" spans="1:10" x14ac:dyDescent="0.2">
      <c r="A20" s="301" t="s">
        <v>120</v>
      </c>
      <c r="B20" s="302" t="s">
        <v>2</v>
      </c>
      <c r="C20" s="294">
        <v>1.468428781204123E-3</v>
      </c>
      <c r="D20" s="295">
        <v>7.1589683240168567E-3</v>
      </c>
      <c r="E20" s="295">
        <v>1.4016335585358419E-2</v>
      </c>
      <c r="F20" s="295">
        <v>1.9751483679525283E-2</v>
      </c>
      <c r="G20" s="295">
        <v>2.4937894133384209E-2</v>
      </c>
      <c r="H20" s="427">
        <v>1.1909015124449196E-2</v>
      </c>
      <c r="I20" s="294">
        <v>1.5356375202904955E-2</v>
      </c>
      <c r="J20" s="446">
        <v>0.55798607846201431</v>
      </c>
    </row>
    <row r="21" spans="1:10" x14ac:dyDescent="0.2">
      <c r="A21" s="155"/>
      <c r="B21" s="309" t="s">
        <v>1</v>
      </c>
      <c r="C21" s="297">
        <v>0</v>
      </c>
      <c r="D21" s="298">
        <v>9.2732778198334476E-3</v>
      </c>
      <c r="E21" s="298">
        <v>2.0988360999809164E-2</v>
      </c>
      <c r="F21" s="298">
        <v>2.6539278131634814E-2</v>
      </c>
      <c r="G21" s="298">
        <v>3.5153328347045654E-2</v>
      </c>
      <c r="H21" s="310">
        <v>1.620370370370372E-2</v>
      </c>
      <c r="I21" s="297">
        <v>1.7999999999999999E-2</v>
      </c>
      <c r="J21" s="447"/>
    </row>
    <row r="22" spans="1:10" x14ac:dyDescent="0.2">
      <c r="A22" s="286"/>
      <c r="B22" s="312" t="s">
        <v>0</v>
      </c>
      <c r="C22" s="314">
        <v>5.9389719434773669E-3</v>
      </c>
      <c r="D22" s="380">
        <v>4.8849989822918882E-3</v>
      </c>
      <c r="E22" s="380">
        <v>6.2018819503849576E-3</v>
      </c>
      <c r="F22" s="380">
        <v>1.2275915822291483E-2</v>
      </c>
      <c r="G22" s="380">
        <v>1.4263384134427515E-2</v>
      </c>
      <c r="H22" s="313">
        <v>7.3583517292126199E-3</v>
      </c>
      <c r="I22" s="314">
        <v>1.0043749412316257E-2</v>
      </c>
      <c r="J22" s="448"/>
    </row>
    <row r="23" spans="1:10" x14ac:dyDescent="0.2">
      <c r="A23" s="301" t="s">
        <v>121</v>
      </c>
      <c r="B23" s="302" t="s">
        <v>2</v>
      </c>
      <c r="C23" s="294">
        <v>4.4263171971115289E-2</v>
      </c>
      <c r="D23" s="295">
        <v>3.9336366069039341E-2</v>
      </c>
      <c r="E23" s="295">
        <v>4.4329303396660968E-2</v>
      </c>
      <c r="F23" s="295">
        <v>5.8631921824104261E-2</v>
      </c>
      <c r="G23" s="295">
        <v>6.8015971361696348E-2</v>
      </c>
      <c r="H23" s="427">
        <v>3.6770850743774064E-2</v>
      </c>
      <c r="I23" s="294">
        <v>5.3632579887919599E-2</v>
      </c>
      <c r="J23" s="446">
        <v>0.59441749807912969</v>
      </c>
    </row>
    <row r="24" spans="1:10" x14ac:dyDescent="0.2">
      <c r="A24" s="155"/>
      <c r="B24" s="309" t="s">
        <v>1</v>
      </c>
      <c r="C24" s="297">
        <v>4.4592516658124026E-2</v>
      </c>
      <c r="D24" s="298">
        <v>4.9497293116782637E-2</v>
      </c>
      <c r="E24" s="298">
        <v>5.7864710676446607E-2</v>
      </c>
      <c r="F24" s="298">
        <v>7.8125E-2</v>
      </c>
      <c r="G24" s="298">
        <v>9.0215317525211169E-2</v>
      </c>
      <c r="H24" s="310">
        <v>4.8387096774193616E-2</v>
      </c>
      <c r="I24" s="297">
        <v>6.6614567468718133E-2</v>
      </c>
      <c r="J24" s="447"/>
    </row>
    <row r="25" spans="1:10" x14ac:dyDescent="0.2">
      <c r="A25" s="286"/>
      <c r="B25" s="312" t="s">
        <v>0</v>
      </c>
      <c r="C25" s="314">
        <v>4.3903803131991048E-2</v>
      </c>
      <c r="D25" s="380">
        <v>2.837273991655076E-2</v>
      </c>
      <c r="E25" s="380">
        <v>2.9078665442301754E-2</v>
      </c>
      <c r="F25" s="380">
        <v>3.7414965986394599E-2</v>
      </c>
      <c r="G25" s="380">
        <v>4.5353366722315047E-2</v>
      </c>
      <c r="H25" s="313">
        <v>2.4280263614290698E-2</v>
      </c>
      <c r="I25" s="314">
        <v>3.959686453037882E-2</v>
      </c>
      <c r="J25" s="448"/>
    </row>
    <row r="26" spans="1:10" x14ac:dyDescent="0.2">
      <c r="A26" s="301" t="s">
        <v>122</v>
      </c>
      <c r="B26" s="302" t="s">
        <v>2</v>
      </c>
      <c r="C26" s="436">
        <v>1.7289139363836137E-2</v>
      </c>
      <c r="D26" s="437">
        <v>1.8255578093306246E-2</v>
      </c>
      <c r="E26" s="437">
        <v>3.414586006118614E-2</v>
      </c>
      <c r="F26" s="437">
        <v>3.5714285714285698E-2</v>
      </c>
      <c r="G26" s="437">
        <v>3.8745737021599114E-2</v>
      </c>
      <c r="H26" s="438">
        <v>1.5221238938053161E-2</v>
      </c>
      <c r="I26" s="436">
        <v>3.2863412656863766E-2</v>
      </c>
      <c r="J26" s="446">
        <v>0.68053403642853172</v>
      </c>
    </row>
    <row r="27" spans="1:10" ht="12" x14ac:dyDescent="0.2">
      <c r="A27" s="347"/>
      <c r="B27" s="309" t="s">
        <v>1</v>
      </c>
      <c r="C27" s="351">
        <v>1.6893732970027275E-2</v>
      </c>
      <c r="D27" s="383">
        <v>2.306698652887984E-2</v>
      </c>
      <c r="E27" s="383">
        <v>4.2478852519308496E-2</v>
      </c>
      <c r="F27" s="383">
        <v>3.7924495776590295E-2</v>
      </c>
      <c r="G27" s="383">
        <v>4.8609832443380574E-2</v>
      </c>
      <c r="H27" s="350">
        <v>1.8458698661744322E-2</v>
      </c>
      <c r="I27" s="351">
        <v>3.8706129615727551E-2</v>
      </c>
      <c r="J27" s="447"/>
    </row>
    <row r="28" spans="1:10" x14ac:dyDescent="0.2">
      <c r="A28" s="286"/>
      <c r="B28" s="312" t="s">
        <v>0</v>
      </c>
      <c r="C28" s="356">
        <v>1.7727639000805762E-2</v>
      </c>
      <c r="D28" s="390">
        <v>1.2971220105391201E-2</v>
      </c>
      <c r="E28" s="390">
        <v>2.4494142705005273E-2</v>
      </c>
      <c r="F28" s="390">
        <v>3.3339507316169636E-2</v>
      </c>
      <c r="G28" s="390">
        <v>2.8292682926829293E-2</v>
      </c>
      <c r="H28" s="355">
        <v>1.1832890606133795E-2</v>
      </c>
      <c r="I28" s="356">
        <v>2.6340838621917006E-2</v>
      </c>
      <c r="J28" s="448"/>
    </row>
    <row r="29" spans="1:10" x14ac:dyDescent="0.2">
      <c r="A29" s="301" t="s">
        <v>123</v>
      </c>
      <c r="B29" s="302" t="s">
        <v>2</v>
      </c>
      <c r="C29" s="436">
        <v>0</v>
      </c>
      <c r="D29" s="437">
        <v>1.5781167806417917E-3</v>
      </c>
      <c r="E29" s="437">
        <v>0</v>
      </c>
      <c r="F29" s="437">
        <v>0</v>
      </c>
      <c r="G29" s="437">
        <v>1.6148469510725461E-2</v>
      </c>
      <c r="H29" s="438">
        <v>8.0321285140562138E-3</v>
      </c>
      <c r="I29" s="436">
        <v>4.3E-3</v>
      </c>
      <c r="J29" s="446">
        <v>0.32857142857142857</v>
      </c>
    </row>
    <row r="30" spans="1:10" x14ac:dyDescent="0.2">
      <c r="A30" s="155"/>
      <c r="B30" s="309" t="s">
        <v>1</v>
      </c>
      <c r="C30" s="351">
        <v>0</v>
      </c>
      <c r="D30" s="383">
        <v>0</v>
      </c>
      <c r="E30" s="383">
        <v>5.1098620337253209E-4</v>
      </c>
      <c r="F30" s="383">
        <v>4.1570438799075626E-3</v>
      </c>
      <c r="G30" s="383">
        <v>2.6086956521739091E-2</v>
      </c>
      <c r="H30" s="350">
        <v>1.102265768524191E-2</v>
      </c>
      <c r="I30" s="351">
        <v>7.0000000000000001E-3</v>
      </c>
      <c r="J30" s="447"/>
    </row>
    <row r="31" spans="1:10" x14ac:dyDescent="0.2">
      <c r="A31" s="286"/>
      <c r="B31" s="312" t="s">
        <v>0</v>
      </c>
      <c r="C31" s="356">
        <v>0</v>
      </c>
      <c r="D31" s="390">
        <v>3.90625E-3</v>
      </c>
      <c r="E31" s="390">
        <v>0</v>
      </c>
      <c r="F31" s="390">
        <v>0</v>
      </c>
      <c r="G31" s="390">
        <v>5.0916496945010437E-3</v>
      </c>
      <c r="H31" s="355">
        <v>4.9875311720698479E-3</v>
      </c>
      <c r="I31" s="356">
        <v>2.3E-3</v>
      </c>
      <c r="J31" s="448"/>
    </row>
    <row r="32" spans="1:10" ht="9.9499999999999993" customHeight="1" x14ac:dyDescent="0.2">
      <c r="A32" s="392" t="s">
        <v>124</v>
      </c>
      <c r="B32" s="302" t="s">
        <v>2</v>
      </c>
      <c r="C32" s="436">
        <v>9.2664092664093145E-3</v>
      </c>
      <c r="D32" s="437">
        <v>3.0876109610189495E-3</v>
      </c>
      <c r="E32" s="437">
        <v>1.4106583072100332E-2</v>
      </c>
      <c r="F32" s="437">
        <v>1.5837104072398134E-2</v>
      </c>
      <c r="G32" s="437">
        <v>1.9968676585747858E-2</v>
      </c>
      <c r="H32" s="438">
        <v>6.3694267515923553E-3</v>
      </c>
      <c r="I32" s="436">
        <v>1.537255898608559E-2</v>
      </c>
      <c r="J32" s="446">
        <v>0.46814099135414622</v>
      </c>
    </row>
    <row r="33" spans="1:10" ht="9.9499999999999993" customHeight="1" x14ac:dyDescent="0.2">
      <c r="A33" s="393"/>
      <c r="B33" s="309" t="s">
        <v>1</v>
      </c>
      <c r="C33" s="351">
        <v>6.0514372163388286E-3</v>
      </c>
      <c r="D33" s="383">
        <v>5.8351568198394821E-3</v>
      </c>
      <c r="E33" s="383">
        <v>2.5735294117646967E-2</v>
      </c>
      <c r="F33" s="383">
        <v>1.921655580192172E-2</v>
      </c>
      <c r="G33" s="383">
        <v>1.6591251885369473E-2</v>
      </c>
      <c r="H33" s="350">
        <v>9.6993210475266878E-3</v>
      </c>
      <c r="I33" s="351">
        <v>1.8584144863782064E-2</v>
      </c>
      <c r="J33" s="447"/>
    </row>
    <row r="34" spans="1:10" x14ac:dyDescent="0.2">
      <c r="A34" s="286"/>
      <c r="B34" s="312" t="s">
        <v>0</v>
      </c>
      <c r="C34" s="356">
        <v>1.2618296529968376E-2</v>
      </c>
      <c r="D34" s="390">
        <v>0</v>
      </c>
      <c r="E34" s="390">
        <v>8.3892617449665696E-4</v>
      </c>
      <c r="F34" s="390">
        <v>1.2317167051578148E-2</v>
      </c>
      <c r="G34" s="390">
        <v>2.3615635179153105E-2</v>
      </c>
      <c r="H34" s="355">
        <v>2.9702970297029729E-3</v>
      </c>
      <c r="I34" s="356">
        <v>8.6999999999999994E-3</v>
      </c>
      <c r="J34" s="448"/>
    </row>
    <row r="35" spans="1:10" x14ac:dyDescent="0.2">
      <c r="A35" s="301" t="s">
        <v>125</v>
      </c>
      <c r="B35" s="302" t="s">
        <v>2</v>
      </c>
      <c r="C35" s="436">
        <v>5.5834729201564848E-4</v>
      </c>
      <c r="D35" s="437">
        <v>6.9676700111482859E-3</v>
      </c>
      <c r="E35" s="437">
        <v>1.6174801362088598E-2</v>
      </c>
      <c r="F35" s="437">
        <v>1.4553014553014609E-2</v>
      </c>
      <c r="G35" s="437">
        <v>2.6330376940133071E-2</v>
      </c>
      <c r="H35" s="438">
        <v>1.1687865245788909E-2</v>
      </c>
      <c r="I35" s="436">
        <v>1.7951354563729337E-2</v>
      </c>
      <c r="J35" s="446">
        <v>9.6480763786903109E-2</v>
      </c>
    </row>
    <row r="36" spans="1:10" ht="12" x14ac:dyDescent="0.2">
      <c r="A36" s="347"/>
      <c r="B36" s="309" t="s">
        <v>1</v>
      </c>
      <c r="C36" s="351">
        <v>1.0582010582010914E-3</v>
      </c>
      <c r="D36" s="383">
        <v>7.89889415481837E-3</v>
      </c>
      <c r="E36" s="383">
        <v>3.1113537117903989E-2</v>
      </c>
      <c r="F36" s="383">
        <v>3.2754342431761785E-2</v>
      </c>
      <c r="G36" s="383">
        <v>5.4382259767687402E-2</v>
      </c>
      <c r="H36" s="350">
        <v>1.0512483574244391E-2</v>
      </c>
      <c r="I36" s="351">
        <v>3.2130757244490354E-2</v>
      </c>
      <c r="J36" s="447"/>
    </row>
    <row r="37" spans="1:10" x14ac:dyDescent="0.2">
      <c r="A37" s="286"/>
      <c r="B37" s="312" t="s">
        <v>0</v>
      </c>
      <c r="C37" s="356">
        <v>0</v>
      </c>
      <c r="D37" s="390">
        <v>5.9206631142687538E-3</v>
      </c>
      <c r="E37" s="390">
        <v>0</v>
      </c>
      <c r="F37" s="390">
        <v>0</v>
      </c>
      <c r="G37" s="390">
        <v>0</v>
      </c>
      <c r="H37" s="355">
        <v>1.2977649603460817E-2</v>
      </c>
      <c r="I37" s="356">
        <v>3.0999999999999999E-3</v>
      </c>
      <c r="J37" s="448"/>
    </row>
    <row r="38" spans="1:10" x14ac:dyDescent="0.2">
      <c r="A38" s="301" t="s">
        <v>126</v>
      </c>
      <c r="B38" s="302" t="s">
        <v>2</v>
      </c>
      <c r="C38" s="436">
        <v>0</v>
      </c>
      <c r="D38" s="437">
        <v>9.0661831368987755E-4</v>
      </c>
      <c r="E38" s="437">
        <v>6.1133317658123021E-3</v>
      </c>
      <c r="F38" s="437">
        <v>1.1570247933884281E-2</v>
      </c>
      <c r="G38" s="437">
        <v>5.9497576024679644E-3</v>
      </c>
      <c r="H38" s="438">
        <v>8.8471849865952024E-3</v>
      </c>
      <c r="I38" s="436">
        <v>5.5999999999999999E-3</v>
      </c>
      <c r="J38" s="446">
        <v>0.32631578947368423</v>
      </c>
    </row>
    <row r="39" spans="1:10" x14ac:dyDescent="0.2">
      <c r="A39" s="155"/>
      <c r="B39" s="309" t="s">
        <v>1</v>
      </c>
      <c r="C39" s="351">
        <v>0</v>
      </c>
      <c r="D39" s="383">
        <v>7.5221238938053547E-3</v>
      </c>
      <c r="E39" s="383">
        <v>1.3656387665198277E-2</v>
      </c>
      <c r="F39" s="383">
        <v>1.4225941422594146E-2</v>
      </c>
      <c r="G39" s="383">
        <v>1.3107822410147962E-2</v>
      </c>
      <c r="H39" s="350">
        <v>8.3857442348007627E-3</v>
      </c>
      <c r="I39" s="351">
        <v>9.4999999999999998E-3</v>
      </c>
      <c r="J39" s="447"/>
    </row>
    <row r="40" spans="1:10" x14ac:dyDescent="0.2">
      <c r="A40" s="286"/>
      <c r="B40" s="312" t="s">
        <v>0</v>
      </c>
      <c r="C40" s="314">
        <v>4.3687199650499497E-4</v>
      </c>
      <c r="D40" s="380">
        <v>0</v>
      </c>
      <c r="E40" s="380">
        <v>0</v>
      </c>
      <c r="F40" s="380">
        <v>8.9795918367346905E-3</v>
      </c>
      <c r="G40" s="380">
        <v>0</v>
      </c>
      <c r="H40" s="313">
        <v>9.3304061470911304E-3</v>
      </c>
      <c r="I40" s="314">
        <v>3.0999999999999999E-3</v>
      </c>
      <c r="J40" s="448"/>
    </row>
    <row r="41" spans="1:10" x14ac:dyDescent="0.2">
      <c r="A41" s="301" t="s">
        <v>127</v>
      </c>
      <c r="B41" s="302" t="s">
        <v>2</v>
      </c>
      <c r="C41" s="294">
        <v>1.3125512715340681E-3</v>
      </c>
      <c r="D41" s="295">
        <v>2.0743301642177636E-3</v>
      </c>
      <c r="E41" s="295">
        <v>0</v>
      </c>
      <c r="F41" s="295">
        <v>6.8526676456190927E-3</v>
      </c>
      <c r="G41" s="295">
        <v>1.2000000000000011E-2</v>
      </c>
      <c r="H41" s="427">
        <v>9.8433105664925691E-3</v>
      </c>
      <c r="I41" s="294">
        <v>5.3E-3</v>
      </c>
      <c r="J41" s="446">
        <v>0.75000000000000011</v>
      </c>
    </row>
    <row r="42" spans="1:10" x14ac:dyDescent="0.2">
      <c r="A42" s="155"/>
      <c r="B42" s="309" t="s">
        <v>1</v>
      </c>
      <c r="C42" s="297">
        <v>4.4500953591862791E-3</v>
      </c>
      <c r="D42" s="298">
        <v>0</v>
      </c>
      <c r="E42" s="298">
        <v>5.0881953867029095E-3</v>
      </c>
      <c r="F42" s="298">
        <v>4.4614404079030834E-3</v>
      </c>
      <c r="G42" s="298">
        <v>1.4318255776114563E-2</v>
      </c>
      <c r="H42" s="310">
        <v>1.2432012432012418E-2</v>
      </c>
      <c r="I42" s="297">
        <v>6.7999999999999996E-3</v>
      </c>
      <c r="J42" s="447"/>
    </row>
    <row r="43" spans="1:10" x14ac:dyDescent="0.2">
      <c r="A43" s="286"/>
      <c r="B43" s="312" t="s">
        <v>0</v>
      </c>
      <c r="C43" s="314">
        <v>0</v>
      </c>
      <c r="D43" s="380">
        <v>4.682997118155563E-3</v>
      </c>
      <c r="E43" s="380">
        <v>0</v>
      </c>
      <c r="F43" s="380">
        <v>9.3614175860916582E-3</v>
      </c>
      <c r="G43" s="380">
        <v>9.5661086436624743E-3</v>
      </c>
      <c r="H43" s="313">
        <v>7.071547420965052E-3</v>
      </c>
      <c r="I43" s="314">
        <v>5.1000000000000004E-3</v>
      </c>
      <c r="J43" s="448"/>
    </row>
    <row r="44" spans="1:10" x14ac:dyDescent="0.2">
      <c r="A44" s="315" t="s">
        <v>15</v>
      </c>
      <c r="B44" s="316" t="s">
        <v>2</v>
      </c>
      <c r="C44" s="449">
        <v>6.2201823781629084E-3</v>
      </c>
      <c r="D44" s="450">
        <v>9.3832819998567185E-3</v>
      </c>
      <c r="E44" s="450">
        <v>1.4047669657957673E-2</v>
      </c>
      <c r="F44" s="450">
        <v>1.6272635814889358E-2</v>
      </c>
      <c r="G44" s="450">
        <v>2.2014419925715512E-2</v>
      </c>
      <c r="H44" s="451">
        <v>1.0781073227001503E-2</v>
      </c>
      <c r="I44" s="449">
        <v>1.5383639089174887E-2</v>
      </c>
      <c r="J44" s="452">
        <v>0.45157677994702988</v>
      </c>
    </row>
    <row r="45" spans="1:10" x14ac:dyDescent="0.2">
      <c r="A45" s="323"/>
      <c r="B45" s="324" t="s">
        <v>1</v>
      </c>
      <c r="C45" s="325">
        <v>6.3514701248735816E-3</v>
      </c>
      <c r="D45" s="326">
        <v>1.2526634132930092E-2</v>
      </c>
      <c r="E45" s="326">
        <v>1.9928105259484186E-2</v>
      </c>
      <c r="F45" s="326">
        <v>2.297486260609416E-2</v>
      </c>
      <c r="G45" s="326">
        <v>3.1525786869356698E-2</v>
      </c>
      <c r="H45" s="327">
        <v>1.4416943097729007E-2</v>
      </c>
      <c r="I45" s="325">
        <v>2.0885648921120818E-2</v>
      </c>
      <c r="J45" s="453"/>
    </row>
    <row r="46" spans="1:10" ht="12" thickBot="1" x14ac:dyDescent="0.25">
      <c r="A46" s="330"/>
      <c r="B46" s="331" t="s">
        <v>0</v>
      </c>
      <c r="C46" s="454">
        <v>6.0778249298713005E-3</v>
      </c>
      <c r="D46" s="388">
        <v>5.963508562027986E-3</v>
      </c>
      <c r="E46" s="388">
        <v>7.4267638564159411E-3</v>
      </c>
      <c r="F46" s="388">
        <v>9.1384263906677532E-3</v>
      </c>
      <c r="G46" s="388">
        <v>1.1956990794016131E-2</v>
      </c>
      <c r="H46" s="455">
        <v>6.8166009738001021E-3</v>
      </c>
      <c r="I46" s="454">
        <v>9.4314740869038977E-3</v>
      </c>
      <c r="J46" s="456"/>
    </row>
  </sheetData>
  <sheetProtection algorithmName="SHA-512" hashValue="KgJvZlZ10Ga7sdgrgdO/TNkhwYyjWOZh44CbGCclPy4EgaNiVxWvKAIpo7Wer19/XPHwpFRkRQeTsFVjM35gkA==" saltValue="NZwvdwnyWmQk9O9zIY33fw==" spinCount="100000" sheet="1" objects="1" scenarios="1"/>
  <mergeCells count="6">
    <mergeCell ref="B9:B10"/>
    <mergeCell ref="A1:J1"/>
    <mergeCell ref="A2:J2"/>
    <mergeCell ref="A3:J3"/>
    <mergeCell ref="A4:J4"/>
    <mergeCell ref="A5:J5"/>
  </mergeCells>
  <conditionalFormatting sqref="C1:J1048576">
    <cfRule type="cellIs" dxfId="9" priority="3" operator="lessThan">
      <formula>0</formula>
    </cfRule>
  </conditionalFormatting>
  <printOptions horizontalCentered="1"/>
  <pageMargins left="0" right="0" top="1" bottom="0.5" header="0.5" footer="0.35"/>
  <pageSetup paperSize="9" scale="91" orientation="portrait" horizontalDpi="300" verticalDpi="300" r:id="rId1"/>
  <headerFooter alignWithMargins="0">
    <oddFooter>&amp;C&amp;8Page &amp;P of &amp;N</oddFooter>
  </headerFooter>
  <picture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04E66-162D-4439-8E67-BA228B783F31}">
  <sheetPr>
    <tabColor rgb="FF0000FF"/>
    <pageSetUpPr fitToPage="1"/>
  </sheetPr>
  <dimension ref="A1:J46"/>
  <sheetViews>
    <sheetView showGridLines="0" zoomScaleNormal="100" workbookViewId="0">
      <pane xSplit="2" ySplit="8" topLeftCell="C9" activePane="bottomRight" state="frozen"/>
      <selection activeCell="A9" sqref="A9:A12"/>
      <selection pane="topRight" activeCell="A9" sqref="A9:A12"/>
      <selection pane="bottomLeft" activeCell="A9" sqref="A9:A12"/>
      <selection pane="bottomRight" activeCell="A9" sqref="A9:A12"/>
    </sheetView>
  </sheetViews>
  <sheetFormatPr defaultRowHeight="11.25" x14ac:dyDescent="0.2"/>
  <cols>
    <col min="1" max="1" width="42" style="337" customWidth="1"/>
    <col min="2" max="2" width="9.140625" style="338" customWidth="1"/>
    <col min="3" max="3" width="5.85546875" style="263" bestFit="1" customWidth="1"/>
    <col min="4" max="4" width="6.140625" style="263" bestFit="1" customWidth="1"/>
    <col min="5" max="5" width="6.42578125" style="263" bestFit="1" customWidth="1"/>
    <col min="6" max="6" width="6.85546875" style="263" bestFit="1" customWidth="1"/>
    <col min="7" max="7" width="6.42578125" style="263" bestFit="1" customWidth="1"/>
    <col min="8" max="8" width="6.85546875" style="263" bestFit="1" customWidth="1"/>
    <col min="9" max="9" width="11.85546875" style="263" customWidth="1"/>
    <col min="10" max="10" width="10.140625" style="457" bestFit="1" customWidth="1"/>
    <col min="11" max="208" width="8.7109375" style="338"/>
    <col min="209" max="209" width="23.85546875" style="338" customWidth="1"/>
    <col min="210" max="210" width="10.5703125" style="338" customWidth="1"/>
    <col min="211" max="216" width="8.5703125" style="338" customWidth="1"/>
    <col min="217" max="217" width="10.85546875" style="338" customWidth="1"/>
    <col min="218" max="218" width="8.85546875" style="338" customWidth="1"/>
    <col min="219" max="219" width="17.85546875" style="338" customWidth="1"/>
    <col min="220" max="228" width="8.7109375" style="338"/>
    <col min="229" max="229" width="21.5703125" style="338" customWidth="1"/>
    <col min="230" max="236" width="8.7109375" style="338"/>
    <col min="237" max="237" width="10" style="338" customWidth="1"/>
    <col min="238" max="464" width="8.7109375" style="338"/>
    <col min="465" max="465" width="23.85546875" style="338" customWidth="1"/>
    <col min="466" max="466" width="10.5703125" style="338" customWidth="1"/>
    <col min="467" max="472" width="8.5703125" style="338" customWidth="1"/>
    <col min="473" max="473" width="10.85546875" style="338" customWidth="1"/>
    <col min="474" max="474" width="8.85546875" style="338" customWidth="1"/>
    <col min="475" max="475" width="17.85546875" style="338" customWidth="1"/>
    <col min="476" max="484" width="8.7109375" style="338"/>
    <col min="485" max="485" width="21.5703125" style="338" customWidth="1"/>
    <col min="486" max="492" width="8.7109375" style="338"/>
    <col min="493" max="493" width="10" style="338" customWidth="1"/>
    <col min="494" max="720" width="8.7109375" style="338"/>
    <col min="721" max="721" width="23.85546875" style="338" customWidth="1"/>
    <col min="722" max="722" width="10.5703125" style="338" customWidth="1"/>
    <col min="723" max="728" width="8.5703125" style="338" customWidth="1"/>
    <col min="729" max="729" width="10.85546875" style="338" customWidth="1"/>
    <col min="730" max="730" width="8.85546875" style="338" customWidth="1"/>
    <col min="731" max="731" width="17.85546875" style="338" customWidth="1"/>
    <col min="732" max="740" width="8.7109375" style="338"/>
    <col min="741" max="741" width="21.5703125" style="338" customWidth="1"/>
    <col min="742" max="748" width="8.7109375" style="338"/>
    <col min="749" max="749" width="10" style="338" customWidth="1"/>
    <col min="750" max="976" width="8.7109375" style="338"/>
    <col min="977" max="977" width="23.85546875" style="338" customWidth="1"/>
    <col min="978" max="978" width="10.5703125" style="338" customWidth="1"/>
    <col min="979" max="984" width="8.5703125" style="338" customWidth="1"/>
    <col min="985" max="985" width="10.85546875" style="338" customWidth="1"/>
    <col min="986" max="986" width="8.85546875" style="338" customWidth="1"/>
    <col min="987" max="987" width="17.85546875" style="338" customWidth="1"/>
    <col min="988" max="996" width="8.7109375" style="338"/>
    <col min="997" max="997" width="21.5703125" style="338" customWidth="1"/>
    <col min="998" max="1004" width="8.7109375" style="338"/>
    <col min="1005" max="1005" width="10" style="338" customWidth="1"/>
    <col min="1006" max="1232" width="8.7109375" style="338"/>
    <col min="1233" max="1233" width="23.85546875" style="338" customWidth="1"/>
    <col min="1234" max="1234" width="10.5703125" style="338" customWidth="1"/>
    <col min="1235" max="1240" width="8.5703125" style="338" customWidth="1"/>
    <col min="1241" max="1241" width="10.85546875" style="338" customWidth="1"/>
    <col min="1242" max="1242" width="8.85546875" style="338" customWidth="1"/>
    <col min="1243" max="1243" width="17.85546875" style="338" customWidth="1"/>
    <col min="1244" max="1252" width="8.7109375" style="338"/>
    <col min="1253" max="1253" width="21.5703125" style="338" customWidth="1"/>
    <col min="1254" max="1260" width="8.7109375" style="338"/>
    <col min="1261" max="1261" width="10" style="338" customWidth="1"/>
    <col min="1262" max="1488" width="8.7109375" style="338"/>
    <col min="1489" max="1489" width="23.85546875" style="338" customWidth="1"/>
    <col min="1490" max="1490" width="10.5703125" style="338" customWidth="1"/>
    <col min="1491" max="1496" width="8.5703125" style="338" customWidth="1"/>
    <col min="1497" max="1497" width="10.85546875" style="338" customWidth="1"/>
    <col min="1498" max="1498" width="8.85546875" style="338" customWidth="1"/>
    <col min="1499" max="1499" width="17.85546875" style="338" customWidth="1"/>
    <col min="1500" max="1508" width="8.7109375" style="338"/>
    <col min="1509" max="1509" width="21.5703125" style="338" customWidth="1"/>
    <col min="1510" max="1516" width="8.7109375" style="338"/>
    <col min="1517" max="1517" width="10" style="338" customWidth="1"/>
    <col min="1518" max="1744" width="8.7109375" style="338"/>
    <col min="1745" max="1745" width="23.85546875" style="338" customWidth="1"/>
    <col min="1746" max="1746" width="10.5703125" style="338" customWidth="1"/>
    <col min="1747" max="1752" width="8.5703125" style="338" customWidth="1"/>
    <col min="1753" max="1753" width="10.85546875" style="338" customWidth="1"/>
    <col min="1754" max="1754" width="8.85546875" style="338" customWidth="1"/>
    <col min="1755" max="1755" width="17.85546875" style="338" customWidth="1"/>
    <col min="1756" max="1764" width="8.7109375" style="338"/>
    <col min="1765" max="1765" width="21.5703125" style="338" customWidth="1"/>
    <col min="1766" max="1772" width="8.7109375" style="338"/>
    <col min="1773" max="1773" width="10" style="338" customWidth="1"/>
    <col min="1774" max="2000" width="8.7109375" style="338"/>
    <col min="2001" max="2001" width="23.85546875" style="338" customWidth="1"/>
    <col min="2002" max="2002" width="10.5703125" style="338" customWidth="1"/>
    <col min="2003" max="2008" width="8.5703125" style="338" customWidth="1"/>
    <col min="2009" max="2009" width="10.85546875" style="338" customWidth="1"/>
    <col min="2010" max="2010" width="8.85546875" style="338" customWidth="1"/>
    <col min="2011" max="2011" width="17.85546875" style="338" customWidth="1"/>
    <col min="2012" max="2020" width="8.7109375" style="338"/>
    <col min="2021" max="2021" width="21.5703125" style="338" customWidth="1"/>
    <col min="2022" max="2028" width="8.7109375" style="338"/>
    <col min="2029" max="2029" width="10" style="338" customWidth="1"/>
    <col min="2030" max="2256" width="8.7109375" style="338"/>
    <col min="2257" max="2257" width="23.85546875" style="338" customWidth="1"/>
    <col min="2258" max="2258" width="10.5703125" style="338" customWidth="1"/>
    <col min="2259" max="2264" width="8.5703125" style="338" customWidth="1"/>
    <col min="2265" max="2265" width="10.85546875" style="338" customWidth="1"/>
    <col min="2266" max="2266" width="8.85546875" style="338" customWidth="1"/>
    <col min="2267" max="2267" width="17.85546875" style="338" customWidth="1"/>
    <col min="2268" max="2276" width="8.7109375" style="338"/>
    <col min="2277" max="2277" width="21.5703125" style="338" customWidth="1"/>
    <col min="2278" max="2284" width="8.7109375" style="338"/>
    <col min="2285" max="2285" width="10" style="338" customWidth="1"/>
    <col min="2286" max="2512" width="8.7109375" style="338"/>
    <col min="2513" max="2513" width="23.85546875" style="338" customWidth="1"/>
    <col min="2514" max="2514" width="10.5703125" style="338" customWidth="1"/>
    <col min="2515" max="2520" width="8.5703125" style="338" customWidth="1"/>
    <col min="2521" max="2521" width="10.85546875" style="338" customWidth="1"/>
    <col min="2522" max="2522" width="8.85546875" style="338" customWidth="1"/>
    <col min="2523" max="2523" width="17.85546875" style="338" customWidth="1"/>
    <col min="2524" max="2532" width="8.7109375" style="338"/>
    <col min="2533" max="2533" width="21.5703125" style="338" customWidth="1"/>
    <col min="2534" max="2540" width="8.7109375" style="338"/>
    <col min="2541" max="2541" width="10" style="338" customWidth="1"/>
    <col min="2542" max="2768" width="8.7109375" style="338"/>
    <col min="2769" max="2769" width="23.85546875" style="338" customWidth="1"/>
    <col min="2770" max="2770" width="10.5703125" style="338" customWidth="1"/>
    <col min="2771" max="2776" width="8.5703125" style="338" customWidth="1"/>
    <col min="2777" max="2777" width="10.85546875" style="338" customWidth="1"/>
    <col min="2778" max="2778" width="8.85546875" style="338" customWidth="1"/>
    <col min="2779" max="2779" width="17.85546875" style="338" customWidth="1"/>
    <col min="2780" max="2788" width="8.7109375" style="338"/>
    <col min="2789" max="2789" width="21.5703125" style="338" customWidth="1"/>
    <col min="2790" max="2796" width="8.7109375" style="338"/>
    <col min="2797" max="2797" width="10" style="338" customWidth="1"/>
    <col min="2798" max="3024" width="8.7109375" style="338"/>
    <col min="3025" max="3025" width="23.85546875" style="338" customWidth="1"/>
    <col min="3026" max="3026" width="10.5703125" style="338" customWidth="1"/>
    <col min="3027" max="3032" width="8.5703125" style="338" customWidth="1"/>
    <col min="3033" max="3033" width="10.85546875" style="338" customWidth="1"/>
    <col min="3034" max="3034" width="8.85546875" style="338" customWidth="1"/>
    <col min="3035" max="3035" width="17.85546875" style="338" customWidth="1"/>
    <col min="3036" max="3044" width="8.7109375" style="338"/>
    <col min="3045" max="3045" width="21.5703125" style="338" customWidth="1"/>
    <col min="3046" max="3052" width="8.7109375" style="338"/>
    <col min="3053" max="3053" width="10" style="338" customWidth="1"/>
    <col min="3054" max="3280" width="8.7109375" style="338"/>
    <col min="3281" max="3281" width="23.85546875" style="338" customWidth="1"/>
    <col min="3282" max="3282" width="10.5703125" style="338" customWidth="1"/>
    <col min="3283" max="3288" width="8.5703125" style="338" customWidth="1"/>
    <col min="3289" max="3289" width="10.85546875" style="338" customWidth="1"/>
    <col min="3290" max="3290" width="8.85546875" style="338" customWidth="1"/>
    <col min="3291" max="3291" width="17.85546875" style="338" customWidth="1"/>
    <col min="3292" max="3300" width="8.7109375" style="338"/>
    <col min="3301" max="3301" width="21.5703125" style="338" customWidth="1"/>
    <col min="3302" max="3308" width="8.7109375" style="338"/>
    <col min="3309" max="3309" width="10" style="338" customWidth="1"/>
    <col min="3310" max="3536" width="8.7109375" style="338"/>
    <col min="3537" max="3537" width="23.85546875" style="338" customWidth="1"/>
    <col min="3538" max="3538" width="10.5703125" style="338" customWidth="1"/>
    <col min="3539" max="3544" width="8.5703125" style="338" customWidth="1"/>
    <col min="3545" max="3545" width="10.85546875" style="338" customWidth="1"/>
    <col min="3546" max="3546" width="8.85546875" style="338" customWidth="1"/>
    <col min="3547" max="3547" width="17.85546875" style="338" customWidth="1"/>
    <col min="3548" max="3556" width="8.7109375" style="338"/>
    <col min="3557" max="3557" width="21.5703125" style="338" customWidth="1"/>
    <col min="3558" max="3564" width="8.7109375" style="338"/>
    <col min="3565" max="3565" width="10" style="338" customWidth="1"/>
    <col min="3566" max="3792" width="8.7109375" style="338"/>
    <col min="3793" max="3793" width="23.85546875" style="338" customWidth="1"/>
    <col min="3794" max="3794" width="10.5703125" style="338" customWidth="1"/>
    <col min="3795" max="3800" width="8.5703125" style="338" customWidth="1"/>
    <col min="3801" max="3801" width="10.85546875" style="338" customWidth="1"/>
    <col min="3802" max="3802" width="8.85546875" style="338" customWidth="1"/>
    <col min="3803" max="3803" width="17.85546875" style="338" customWidth="1"/>
    <col min="3804" max="3812" width="8.7109375" style="338"/>
    <col min="3813" max="3813" width="21.5703125" style="338" customWidth="1"/>
    <col min="3814" max="3820" width="8.7109375" style="338"/>
    <col min="3821" max="3821" width="10" style="338" customWidth="1"/>
    <col min="3822" max="4048" width="8.7109375" style="338"/>
    <col min="4049" max="4049" width="23.85546875" style="338" customWidth="1"/>
    <col min="4050" max="4050" width="10.5703125" style="338" customWidth="1"/>
    <col min="4051" max="4056" width="8.5703125" style="338" customWidth="1"/>
    <col min="4057" max="4057" width="10.85546875" style="338" customWidth="1"/>
    <col min="4058" max="4058" width="8.85546875" style="338" customWidth="1"/>
    <col min="4059" max="4059" width="17.85546875" style="338" customWidth="1"/>
    <col min="4060" max="4068" width="8.7109375" style="338"/>
    <col min="4069" max="4069" width="21.5703125" style="338" customWidth="1"/>
    <col min="4070" max="4076" width="8.7109375" style="338"/>
    <col min="4077" max="4077" width="10" style="338" customWidth="1"/>
    <col min="4078" max="4304" width="8.7109375" style="338"/>
    <col min="4305" max="4305" width="23.85546875" style="338" customWidth="1"/>
    <col min="4306" max="4306" width="10.5703125" style="338" customWidth="1"/>
    <col min="4307" max="4312" width="8.5703125" style="338" customWidth="1"/>
    <col min="4313" max="4313" width="10.85546875" style="338" customWidth="1"/>
    <col min="4314" max="4314" width="8.85546875" style="338" customWidth="1"/>
    <col min="4315" max="4315" width="17.85546875" style="338" customWidth="1"/>
    <col min="4316" max="4324" width="8.7109375" style="338"/>
    <col min="4325" max="4325" width="21.5703125" style="338" customWidth="1"/>
    <col min="4326" max="4332" width="8.7109375" style="338"/>
    <col min="4333" max="4333" width="10" style="338" customWidth="1"/>
    <col min="4334" max="4560" width="8.7109375" style="338"/>
    <col min="4561" max="4561" width="23.85546875" style="338" customWidth="1"/>
    <col min="4562" max="4562" width="10.5703125" style="338" customWidth="1"/>
    <col min="4563" max="4568" width="8.5703125" style="338" customWidth="1"/>
    <col min="4569" max="4569" width="10.85546875" style="338" customWidth="1"/>
    <col min="4570" max="4570" width="8.85546875" style="338" customWidth="1"/>
    <col min="4571" max="4571" width="17.85546875" style="338" customWidth="1"/>
    <col min="4572" max="4580" width="8.7109375" style="338"/>
    <col min="4581" max="4581" width="21.5703125" style="338" customWidth="1"/>
    <col min="4582" max="4588" width="8.7109375" style="338"/>
    <col min="4589" max="4589" width="10" style="338" customWidth="1"/>
    <col min="4590" max="4816" width="8.7109375" style="338"/>
    <col min="4817" max="4817" width="23.85546875" style="338" customWidth="1"/>
    <col min="4818" max="4818" width="10.5703125" style="338" customWidth="1"/>
    <col min="4819" max="4824" width="8.5703125" style="338" customWidth="1"/>
    <col min="4825" max="4825" width="10.85546875" style="338" customWidth="1"/>
    <col min="4826" max="4826" width="8.85546875" style="338" customWidth="1"/>
    <col min="4827" max="4827" width="17.85546875" style="338" customWidth="1"/>
    <col min="4828" max="4836" width="8.7109375" style="338"/>
    <col min="4837" max="4837" width="21.5703125" style="338" customWidth="1"/>
    <col min="4838" max="4844" width="8.7109375" style="338"/>
    <col min="4845" max="4845" width="10" style="338" customWidth="1"/>
    <col min="4846" max="5072" width="8.7109375" style="338"/>
    <col min="5073" max="5073" width="23.85546875" style="338" customWidth="1"/>
    <col min="5074" max="5074" width="10.5703125" style="338" customWidth="1"/>
    <col min="5075" max="5080" width="8.5703125" style="338" customWidth="1"/>
    <col min="5081" max="5081" width="10.85546875" style="338" customWidth="1"/>
    <col min="5082" max="5082" width="8.85546875" style="338" customWidth="1"/>
    <col min="5083" max="5083" width="17.85546875" style="338" customWidth="1"/>
    <col min="5084" max="5092" width="8.7109375" style="338"/>
    <col min="5093" max="5093" width="21.5703125" style="338" customWidth="1"/>
    <col min="5094" max="5100" width="8.7109375" style="338"/>
    <col min="5101" max="5101" width="10" style="338" customWidth="1"/>
    <col min="5102" max="5328" width="8.7109375" style="338"/>
    <col min="5329" max="5329" width="23.85546875" style="338" customWidth="1"/>
    <col min="5330" max="5330" width="10.5703125" style="338" customWidth="1"/>
    <col min="5331" max="5336" width="8.5703125" style="338" customWidth="1"/>
    <col min="5337" max="5337" width="10.85546875" style="338" customWidth="1"/>
    <col min="5338" max="5338" width="8.85546875" style="338" customWidth="1"/>
    <col min="5339" max="5339" width="17.85546875" style="338" customWidth="1"/>
    <col min="5340" max="5348" width="8.7109375" style="338"/>
    <col min="5349" max="5349" width="21.5703125" style="338" customWidth="1"/>
    <col min="5350" max="5356" width="8.7109375" style="338"/>
    <col min="5357" max="5357" width="10" style="338" customWidth="1"/>
    <col min="5358" max="5584" width="8.7109375" style="338"/>
    <col min="5585" max="5585" width="23.85546875" style="338" customWidth="1"/>
    <col min="5586" max="5586" width="10.5703125" style="338" customWidth="1"/>
    <col min="5587" max="5592" width="8.5703125" style="338" customWidth="1"/>
    <col min="5593" max="5593" width="10.85546875" style="338" customWidth="1"/>
    <col min="5594" max="5594" width="8.85546875" style="338" customWidth="1"/>
    <col min="5595" max="5595" width="17.85546875" style="338" customWidth="1"/>
    <col min="5596" max="5604" width="8.7109375" style="338"/>
    <col min="5605" max="5605" width="21.5703125" style="338" customWidth="1"/>
    <col min="5606" max="5612" width="8.7109375" style="338"/>
    <col min="5613" max="5613" width="10" style="338" customWidth="1"/>
    <col min="5614" max="5840" width="8.7109375" style="338"/>
    <col min="5841" max="5841" width="23.85546875" style="338" customWidth="1"/>
    <col min="5842" max="5842" width="10.5703125" style="338" customWidth="1"/>
    <col min="5843" max="5848" width="8.5703125" style="338" customWidth="1"/>
    <col min="5849" max="5849" width="10.85546875" style="338" customWidth="1"/>
    <col min="5850" max="5850" width="8.85546875" style="338" customWidth="1"/>
    <col min="5851" max="5851" width="17.85546875" style="338" customWidth="1"/>
    <col min="5852" max="5860" width="8.7109375" style="338"/>
    <col min="5861" max="5861" width="21.5703125" style="338" customWidth="1"/>
    <col min="5862" max="5868" width="8.7109375" style="338"/>
    <col min="5869" max="5869" width="10" style="338" customWidth="1"/>
    <col min="5870" max="6096" width="8.7109375" style="338"/>
    <col min="6097" max="6097" width="23.85546875" style="338" customWidth="1"/>
    <col min="6098" max="6098" width="10.5703125" style="338" customWidth="1"/>
    <col min="6099" max="6104" width="8.5703125" style="338" customWidth="1"/>
    <col min="6105" max="6105" width="10.85546875" style="338" customWidth="1"/>
    <col min="6106" max="6106" width="8.85546875" style="338" customWidth="1"/>
    <col min="6107" max="6107" width="17.85546875" style="338" customWidth="1"/>
    <col min="6108" max="6116" width="8.7109375" style="338"/>
    <col min="6117" max="6117" width="21.5703125" style="338" customWidth="1"/>
    <col min="6118" max="6124" width="8.7109375" style="338"/>
    <col min="6125" max="6125" width="10" style="338" customWidth="1"/>
    <col min="6126" max="6352" width="8.7109375" style="338"/>
    <col min="6353" max="6353" width="23.85546875" style="338" customWidth="1"/>
    <col min="6354" max="6354" width="10.5703125" style="338" customWidth="1"/>
    <col min="6355" max="6360" width="8.5703125" style="338" customWidth="1"/>
    <col min="6361" max="6361" width="10.85546875" style="338" customWidth="1"/>
    <col min="6362" max="6362" width="8.85546875" style="338" customWidth="1"/>
    <col min="6363" max="6363" width="17.85546875" style="338" customWidth="1"/>
    <col min="6364" max="6372" width="8.7109375" style="338"/>
    <col min="6373" max="6373" width="21.5703125" style="338" customWidth="1"/>
    <col min="6374" max="6380" width="8.7109375" style="338"/>
    <col min="6381" max="6381" width="10" style="338" customWidth="1"/>
    <col min="6382" max="6608" width="8.7109375" style="338"/>
    <col min="6609" max="6609" width="23.85546875" style="338" customWidth="1"/>
    <col min="6610" max="6610" width="10.5703125" style="338" customWidth="1"/>
    <col min="6611" max="6616" width="8.5703125" style="338" customWidth="1"/>
    <col min="6617" max="6617" width="10.85546875" style="338" customWidth="1"/>
    <col min="6618" max="6618" width="8.85546875" style="338" customWidth="1"/>
    <col min="6619" max="6619" width="17.85546875" style="338" customWidth="1"/>
    <col min="6620" max="6628" width="8.7109375" style="338"/>
    <col min="6629" max="6629" width="21.5703125" style="338" customWidth="1"/>
    <col min="6630" max="6636" width="8.7109375" style="338"/>
    <col min="6637" max="6637" width="10" style="338" customWidth="1"/>
    <col min="6638" max="6864" width="8.7109375" style="338"/>
    <col min="6865" max="6865" width="23.85546875" style="338" customWidth="1"/>
    <col min="6866" max="6866" width="10.5703125" style="338" customWidth="1"/>
    <col min="6867" max="6872" width="8.5703125" style="338" customWidth="1"/>
    <col min="6873" max="6873" width="10.85546875" style="338" customWidth="1"/>
    <col min="6874" max="6874" width="8.85546875" style="338" customWidth="1"/>
    <col min="6875" max="6875" width="17.85546875" style="338" customWidth="1"/>
    <col min="6876" max="6884" width="8.7109375" style="338"/>
    <col min="6885" max="6885" width="21.5703125" style="338" customWidth="1"/>
    <col min="6886" max="6892" width="8.7109375" style="338"/>
    <col min="6893" max="6893" width="10" style="338" customWidth="1"/>
    <col min="6894" max="7120" width="8.7109375" style="338"/>
    <col min="7121" max="7121" width="23.85546875" style="338" customWidth="1"/>
    <col min="7122" max="7122" width="10.5703125" style="338" customWidth="1"/>
    <col min="7123" max="7128" width="8.5703125" style="338" customWidth="1"/>
    <col min="7129" max="7129" width="10.85546875" style="338" customWidth="1"/>
    <col min="7130" max="7130" width="8.85546875" style="338" customWidth="1"/>
    <col min="7131" max="7131" width="17.85546875" style="338" customWidth="1"/>
    <col min="7132" max="7140" width="8.7109375" style="338"/>
    <col min="7141" max="7141" width="21.5703125" style="338" customWidth="1"/>
    <col min="7142" max="7148" width="8.7109375" style="338"/>
    <col min="7149" max="7149" width="10" style="338" customWidth="1"/>
    <col min="7150" max="7376" width="8.7109375" style="338"/>
    <col min="7377" max="7377" width="23.85546875" style="338" customWidth="1"/>
    <col min="7378" max="7378" width="10.5703125" style="338" customWidth="1"/>
    <col min="7379" max="7384" width="8.5703125" style="338" customWidth="1"/>
    <col min="7385" max="7385" width="10.85546875" style="338" customWidth="1"/>
    <col min="7386" max="7386" width="8.85546875" style="338" customWidth="1"/>
    <col min="7387" max="7387" width="17.85546875" style="338" customWidth="1"/>
    <col min="7388" max="7396" width="8.7109375" style="338"/>
    <col min="7397" max="7397" width="21.5703125" style="338" customWidth="1"/>
    <col min="7398" max="7404" width="8.7109375" style="338"/>
    <col min="7405" max="7405" width="10" style="338" customWidth="1"/>
    <col min="7406" max="7632" width="8.7109375" style="338"/>
    <col min="7633" max="7633" width="23.85546875" style="338" customWidth="1"/>
    <col min="7634" max="7634" width="10.5703125" style="338" customWidth="1"/>
    <col min="7635" max="7640" width="8.5703125" style="338" customWidth="1"/>
    <col min="7641" max="7641" width="10.85546875" style="338" customWidth="1"/>
    <col min="7642" max="7642" width="8.85546875" style="338" customWidth="1"/>
    <col min="7643" max="7643" width="17.85546875" style="338" customWidth="1"/>
    <col min="7644" max="7652" width="8.7109375" style="338"/>
    <col min="7653" max="7653" width="21.5703125" style="338" customWidth="1"/>
    <col min="7654" max="7660" width="8.7109375" style="338"/>
    <col min="7661" max="7661" width="10" style="338" customWidth="1"/>
    <col min="7662" max="7888" width="8.7109375" style="338"/>
    <col min="7889" max="7889" width="23.85546875" style="338" customWidth="1"/>
    <col min="7890" max="7890" width="10.5703125" style="338" customWidth="1"/>
    <col min="7891" max="7896" width="8.5703125" style="338" customWidth="1"/>
    <col min="7897" max="7897" width="10.85546875" style="338" customWidth="1"/>
    <col min="7898" max="7898" width="8.85546875" style="338" customWidth="1"/>
    <col min="7899" max="7899" width="17.85546875" style="338" customWidth="1"/>
    <col min="7900" max="7908" width="8.7109375" style="338"/>
    <col min="7909" max="7909" width="21.5703125" style="338" customWidth="1"/>
    <col min="7910" max="7916" width="8.7109375" style="338"/>
    <col min="7917" max="7917" width="10" style="338" customWidth="1"/>
    <col min="7918" max="8144" width="8.7109375" style="338"/>
    <col min="8145" max="8145" width="23.85546875" style="338" customWidth="1"/>
    <col min="8146" max="8146" width="10.5703125" style="338" customWidth="1"/>
    <col min="8147" max="8152" width="8.5703125" style="338" customWidth="1"/>
    <col min="8153" max="8153" width="10.85546875" style="338" customWidth="1"/>
    <col min="8154" max="8154" width="8.85546875" style="338" customWidth="1"/>
    <col min="8155" max="8155" width="17.85546875" style="338" customWidth="1"/>
    <col min="8156" max="8164" width="8.7109375" style="338"/>
    <col min="8165" max="8165" width="21.5703125" style="338" customWidth="1"/>
    <col min="8166" max="8172" width="8.7109375" style="338"/>
    <col min="8173" max="8173" width="10" style="338" customWidth="1"/>
    <col min="8174" max="8400" width="8.7109375" style="338"/>
    <col min="8401" max="8401" width="23.85546875" style="338" customWidth="1"/>
    <col min="8402" max="8402" width="10.5703125" style="338" customWidth="1"/>
    <col min="8403" max="8408" width="8.5703125" style="338" customWidth="1"/>
    <col min="8409" max="8409" width="10.85546875" style="338" customWidth="1"/>
    <col min="8410" max="8410" width="8.85546875" style="338" customWidth="1"/>
    <col min="8411" max="8411" width="17.85546875" style="338" customWidth="1"/>
    <col min="8412" max="8420" width="8.7109375" style="338"/>
    <col min="8421" max="8421" width="21.5703125" style="338" customWidth="1"/>
    <col min="8422" max="8428" width="8.7109375" style="338"/>
    <col min="8429" max="8429" width="10" style="338" customWidth="1"/>
    <col min="8430" max="8656" width="8.7109375" style="338"/>
    <col min="8657" max="8657" width="23.85546875" style="338" customWidth="1"/>
    <col min="8658" max="8658" width="10.5703125" style="338" customWidth="1"/>
    <col min="8659" max="8664" width="8.5703125" style="338" customWidth="1"/>
    <col min="8665" max="8665" width="10.85546875" style="338" customWidth="1"/>
    <col min="8666" max="8666" width="8.85546875" style="338" customWidth="1"/>
    <col min="8667" max="8667" width="17.85546875" style="338" customWidth="1"/>
    <col min="8668" max="8676" width="8.7109375" style="338"/>
    <col min="8677" max="8677" width="21.5703125" style="338" customWidth="1"/>
    <col min="8678" max="8684" width="8.7109375" style="338"/>
    <col min="8685" max="8685" width="10" style="338" customWidth="1"/>
    <col min="8686" max="8912" width="8.7109375" style="338"/>
    <col min="8913" max="8913" width="23.85546875" style="338" customWidth="1"/>
    <col min="8914" max="8914" width="10.5703125" style="338" customWidth="1"/>
    <col min="8915" max="8920" width="8.5703125" style="338" customWidth="1"/>
    <col min="8921" max="8921" width="10.85546875" style="338" customWidth="1"/>
    <col min="8922" max="8922" width="8.85546875" style="338" customWidth="1"/>
    <col min="8923" max="8923" width="17.85546875" style="338" customWidth="1"/>
    <col min="8924" max="8932" width="8.7109375" style="338"/>
    <col min="8933" max="8933" width="21.5703125" style="338" customWidth="1"/>
    <col min="8934" max="8940" width="8.7109375" style="338"/>
    <col min="8941" max="8941" width="10" style="338" customWidth="1"/>
    <col min="8942" max="9168" width="8.7109375" style="338"/>
    <col min="9169" max="9169" width="23.85546875" style="338" customWidth="1"/>
    <col min="9170" max="9170" width="10.5703125" style="338" customWidth="1"/>
    <col min="9171" max="9176" width="8.5703125" style="338" customWidth="1"/>
    <col min="9177" max="9177" width="10.85546875" style="338" customWidth="1"/>
    <col min="9178" max="9178" width="8.85546875" style="338" customWidth="1"/>
    <col min="9179" max="9179" width="17.85546875" style="338" customWidth="1"/>
    <col min="9180" max="9188" width="8.7109375" style="338"/>
    <col min="9189" max="9189" width="21.5703125" style="338" customWidth="1"/>
    <col min="9190" max="9196" width="8.7109375" style="338"/>
    <col min="9197" max="9197" width="10" style="338" customWidth="1"/>
    <col min="9198" max="9424" width="8.7109375" style="338"/>
    <col min="9425" max="9425" width="23.85546875" style="338" customWidth="1"/>
    <col min="9426" max="9426" width="10.5703125" style="338" customWidth="1"/>
    <col min="9427" max="9432" width="8.5703125" style="338" customWidth="1"/>
    <col min="9433" max="9433" width="10.85546875" style="338" customWidth="1"/>
    <col min="9434" max="9434" width="8.85546875" style="338" customWidth="1"/>
    <col min="9435" max="9435" width="17.85546875" style="338" customWidth="1"/>
    <col min="9436" max="9444" width="8.7109375" style="338"/>
    <col min="9445" max="9445" width="21.5703125" style="338" customWidth="1"/>
    <col min="9446" max="9452" width="8.7109375" style="338"/>
    <col min="9453" max="9453" width="10" style="338" customWidth="1"/>
    <col min="9454" max="9680" width="8.7109375" style="338"/>
    <col min="9681" max="9681" width="23.85546875" style="338" customWidth="1"/>
    <col min="9682" max="9682" width="10.5703125" style="338" customWidth="1"/>
    <col min="9683" max="9688" width="8.5703125" style="338" customWidth="1"/>
    <col min="9689" max="9689" width="10.85546875" style="338" customWidth="1"/>
    <col min="9690" max="9690" width="8.85546875" style="338" customWidth="1"/>
    <col min="9691" max="9691" width="17.85546875" style="338" customWidth="1"/>
    <col min="9692" max="9700" width="8.7109375" style="338"/>
    <col min="9701" max="9701" width="21.5703125" style="338" customWidth="1"/>
    <col min="9702" max="9708" width="8.7109375" style="338"/>
    <col min="9709" max="9709" width="10" style="338" customWidth="1"/>
    <col min="9710" max="9936" width="8.7109375" style="338"/>
    <col min="9937" max="9937" width="23.85546875" style="338" customWidth="1"/>
    <col min="9938" max="9938" width="10.5703125" style="338" customWidth="1"/>
    <col min="9939" max="9944" width="8.5703125" style="338" customWidth="1"/>
    <col min="9945" max="9945" width="10.85546875" style="338" customWidth="1"/>
    <col min="9946" max="9946" width="8.85546875" style="338" customWidth="1"/>
    <col min="9947" max="9947" width="17.85546875" style="338" customWidth="1"/>
    <col min="9948" max="9956" width="8.7109375" style="338"/>
    <col min="9957" max="9957" width="21.5703125" style="338" customWidth="1"/>
    <col min="9958" max="9964" width="8.7109375" style="338"/>
    <col min="9965" max="9965" width="10" style="338" customWidth="1"/>
    <col min="9966" max="10192" width="8.7109375" style="338"/>
    <col min="10193" max="10193" width="23.85546875" style="338" customWidth="1"/>
    <col min="10194" max="10194" width="10.5703125" style="338" customWidth="1"/>
    <col min="10195" max="10200" width="8.5703125" style="338" customWidth="1"/>
    <col min="10201" max="10201" width="10.85546875" style="338" customWidth="1"/>
    <col min="10202" max="10202" width="8.85546875" style="338" customWidth="1"/>
    <col min="10203" max="10203" width="17.85546875" style="338" customWidth="1"/>
    <col min="10204" max="10212" width="8.7109375" style="338"/>
    <col min="10213" max="10213" width="21.5703125" style="338" customWidth="1"/>
    <col min="10214" max="10220" width="8.7109375" style="338"/>
    <col min="10221" max="10221" width="10" style="338" customWidth="1"/>
    <col min="10222" max="10448" width="8.7109375" style="338"/>
    <col min="10449" max="10449" width="23.85546875" style="338" customWidth="1"/>
    <col min="10450" max="10450" width="10.5703125" style="338" customWidth="1"/>
    <col min="10451" max="10456" width="8.5703125" style="338" customWidth="1"/>
    <col min="10457" max="10457" width="10.85546875" style="338" customWidth="1"/>
    <col min="10458" max="10458" width="8.85546875" style="338" customWidth="1"/>
    <col min="10459" max="10459" width="17.85546875" style="338" customWidth="1"/>
    <col min="10460" max="10468" width="8.7109375" style="338"/>
    <col min="10469" max="10469" width="21.5703125" style="338" customWidth="1"/>
    <col min="10470" max="10476" width="8.7109375" style="338"/>
    <col min="10477" max="10477" width="10" style="338" customWidth="1"/>
    <col min="10478" max="10704" width="8.7109375" style="338"/>
    <col min="10705" max="10705" width="23.85546875" style="338" customWidth="1"/>
    <col min="10706" max="10706" width="10.5703125" style="338" customWidth="1"/>
    <col min="10707" max="10712" width="8.5703125" style="338" customWidth="1"/>
    <col min="10713" max="10713" width="10.85546875" style="338" customWidth="1"/>
    <col min="10714" max="10714" width="8.85546875" style="338" customWidth="1"/>
    <col min="10715" max="10715" width="17.85546875" style="338" customWidth="1"/>
    <col min="10716" max="10724" width="8.7109375" style="338"/>
    <col min="10725" max="10725" width="21.5703125" style="338" customWidth="1"/>
    <col min="10726" max="10732" width="8.7109375" style="338"/>
    <col min="10733" max="10733" width="10" style="338" customWidth="1"/>
    <col min="10734" max="10960" width="8.7109375" style="338"/>
    <col min="10961" max="10961" width="23.85546875" style="338" customWidth="1"/>
    <col min="10962" max="10962" width="10.5703125" style="338" customWidth="1"/>
    <col min="10963" max="10968" width="8.5703125" style="338" customWidth="1"/>
    <col min="10969" max="10969" width="10.85546875" style="338" customWidth="1"/>
    <col min="10970" max="10970" width="8.85546875" style="338" customWidth="1"/>
    <col min="10971" max="10971" width="17.85546875" style="338" customWidth="1"/>
    <col min="10972" max="10980" width="8.7109375" style="338"/>
    <col min="10981" max="10981" width="21.5703125" style="338" customWidth="1"/>
    <col min="10982" max="10988" width="8.7109375" style="338"/>
    <col min="10989" max="10989" width="10" style="338" customWidth="1"/>
    <col min="10990" max="11216" width="8.7109375" style="338"/>
    <col min="11217" max="11217" width="23.85546875" style="338" customWidth="1"/>
    <col min="11218" max="11218" width="10.5703125" style="338" customWidth="1"/>
    <col min="11219" max="11224" width="8.5703125" style="338" customWidth="1"/>
    <col min="11225" max="11225" width="10.85546875" style="338" customWidth="1"/>
    <col min="11226" max="11226" width="8.85546875" style="338" customWidth="1"/>
    <col min="11227" max="11227" width="17.85546875" style="338" customWidth="1"/>
    <col min="11228" max="11236" width="8.7109375" style="338"/>
    <col min="11237" max="11237" width="21.5703125" style="338" customWidth="1"/>
    <col min="11238" max="11244" width="8.7109375" style="338"/>
    <col min="11245" max="11245" width="10" style="338" customWidth="1"/>
    <col min="11246" max="11472" width="8.7109375" style="338"/>
    <col min="11473" max="11473" width="23.85546875" style="338" customWidth="1"/>
    <col min="11474" max="11474" width="10.5703125" style="338" customWidth="1"/>
    <col min="11475" max="11480" width="8.5703125" style="338" customWidth="1"/>
    <col min="11481" max="11481" width="10.85546875" style="338" customWidth="1"/>
    <col min="11482" max="11482" width="8.85546875" style="338" customWidth="1"/>
    <col min="11483" max="11483" width="17.85546875" style="338" customWidth="1"/>
    <col min="11484" max="11492" width="8.7109375" style="338"/>
    <col min="11493" max="11493" width="21.5703125" style="338" customWidth="1"/>
    <col min="11494" max="11500" width="8.7109375" style="338"/>
    <col min="11501" max="11501" width="10" style="338" customWidth="1"/>
    <col min="11502" max="11728" width="8.7109375" style="338"/>
    <col min="11729" max="11729" width="23.85546875" style="338" customWidth="1"/>
    <col min="11730" max="11730" width="10.5703125" style="338" customWidth="1"/>
    <col min="11731" max="11736" width="8.5703125" style="338" customWidth="1"/>
    <col min="11737" max="11737" width="10.85546875" style="338" customWidth="1"/>
    <col min="11738" max="11738" width="8.85546875" style="338" customWidth="1"/>
    <col min="11739" max="11739" width="17.85546875" style="338" customWidth="1"/>
    <col min="11740" max="11748" width="8.7109375" style="338"/>
    <col min="11749" max="11749" width="21.5703125" style="338" customWidth="1"/>
    <col min="11750" max="11756" width="8.7109375" style="338"/>
    <col min="11757" max="11757" width="10" style="338" customWidth="1"/>
    <col min="11758" max="11984" width="8.7109375" style="338"/>
    <col min="11985" max="11985" width="23.85546875" style="338" customWidth="1"/>
    <col min="11986" max="11986" width="10.5703125" style="338" customWidth="1"/>
    <col min="11987" max="11992" width="8.5703125" style="338" customWidth="1"/>
    <col min="11993" max="11993" width="10.85546875" style="338" customWidth="1"/>
    <col min="11994" max="11994" width="8.85546875" style="338" customWidth="1"/>
    <col min="11995" max="11995" width="17.85546875" style="338" customWidth="1"/>
    <col min="11996" max="12004" width="8.7109375" style="338"/>
    <col min="12005" max="12005" width="21.5703125" style="338" customWidth="1"/>
    <col min="12006" max="12012" width="8.7109375" style="338"/>
    <col min="12013" max="12013" width="10" style="338" customWidth="1"/>
    <col min="12014" max="12240" width="8.7109375" style="338"/>
    <col min="12241" max="12241" width="23.85546875" style="338" customWidth="1"/>
    <col min="12242" max="12242" width="10.5703125" style="338" customWidth="1"/>
    <col min="12243" max="12248" width="8.5703125" style="338" customWidth="1"/>
    <col min="12249" max="12249" width="10.85546875" style="338" customWidth="1"/>
    <col min="12250" max="12250" width="8.85546875" style="338" customWidth="1"/>
    <col min="12251" max="12251" width="17.85546875" style="338" customWidth="1"/>
    <col min="12252" max="12260" width="8.7109375" style="338"/>
    <col min="12261" max="12261" width="21.5703125" style="338" customWidth="1"/>
    <col min="12262" max="12268" width="8.7109375" style="338"/>
    <col min="12269" max="12269" width="10" style="338" customWidth="1"/>
    <col min="12270" max="12496" width="8.7109375" style="338"/>
    <col min="12497" max="12497" width="23.85546875" style="338" customWidth="1"/>
    <col min="12498" max="12498" width="10.5703125" style="338" customWidth="1"/>
    <col min="12499" max="12504" width="8.5703125" style="338" customWidth="1"/>
    <col min="12505" max="12505" width="10.85546875" style="338" customWidth="1"/>
    <col min="12506" max="12506" width="8.85546875" style="338" customWidth="1"/>
    <col min="12507" max="12507" width="17.85546875" style="338" customWidth="1"/>
    <col min="12508" max="12516" width="8.7109375" style="338"/>
    <col min="12517" max="12517" width="21.5703125" style="338" customWidth="1"/>
    <col min="12518" max="12524" width="8.7109375" style="338"/>
    <col min="12525" max="12525" width="10" style="338" customWidth="1"/>
    <col min="12526" max="12752" width="8.7109375" style="338"/>
    <col min="12753" max="12753" width="23.85546875" style="338" customWidth="1"/>
    <col min="12754" max="12754" width="10.5703125" style="338" customWidth="1"/>
    <col min="12755" max="12760" width="8.5703125" style="338" customWidth="1"/>
    <col min="12761" max="12761" width="10.85546875" style="338" customWidth="1"/>
    <col min="12762" max="12762" width="8.85546875" style="338" customWidth="1"/>
    <col min="12763" max="12763" width="17.85546875" style="338" customWidth="1"/>
    <col min="12764" max="12772" width="8.7109375" style="338"/>
    <col min="12773" max="12773" width="21.5703125" style="338" customWidth="1"/>
    <col min="12774" max="12780" width="8.7109375" style="338"/>
    <col min="12781" max="12781" width="10" style="338" customWidth="1"/>
    <col min="12782" max="13008" width="8.7109375" style="338"/>
    <col min="13009" max="13009" width="23.85546875" style="338" customWidth="1"/>
    <col min="13010" max="13010" width="10.5703125" style="338" customWidth="1"/>
    <col min="13011" max="13016" width="8.5703125" style="338" customWidth="1"/>
    <col min="13017" max="13017" width="10.85546875" style="338" customWidth="1"/>
    <col min="13018" max="13018" width="8.85546875" style="338" customWidth="1"/>
    <col min="13019" max="13019" width="17.85546875" style="338" customWidth="1"/>
    <col min="13020" max="13028" width="8.7109375" style="338"/>
    <col min="13029" max="13029" width="21.5703125" style="338" customWidth="1"/>
    <col min="13030" max="13036" width="8.7109375" style="338"/>
    <col min="13037" max="13037" width="10" style="338" customWidth="1"/>
    <col min="13038" max="13264" width="8.7109375" style="338"/>
    <col min="13265" max="13265" width="23.85546875" style="338" customWidth="1"/>
    <col min="13266" max="13266" width="10.5703125" style="338" customWidth="1"/>
    <col min="13267" max="13272" width="8.5703125" style="338" customWidth="1"/>
    <col min="13273" max="13273" width="10.85546875" style="338" customWidth="1"/>
    <col min="13274" max="13274" width="8.85546875" style="338" customWidth="1"/>
    <col min="13275" max="13275" width="17.85546875" style="338" customWidth="1"/>
    <col min="13276" max="13284" width="8.7109375" style="338"/>
    <col min="13285" max="13285" width="21.5703125" style="338" customWidth="1"/>
    <col min="13286" max="13292" width="8.7109375" style="338"/>
    <col min="13293" max="13293" width="10" style="338" customWidth="1"/>
    <col min="13294" max="13520" width="8.7109375" style="338"/>
    <col min="13521" max="13521" width="23.85546875" style="338" customWidth="1"/>
    <col min="13522" max="13522" width="10.5703125" style="338" customWidth="1"/>
    <col min="13523" max="13528" width="8.5703125" style="338" customWidth="1"/>
    <col min="13529" max="13529" width="10.85546875" style="338" customWidth="1"/>
    <col min="13530" max="13530" width="8.85546875" style="338" customWidth="1"/>
    <col min="13531" max="13531" width="17.85546875" style="338" customWidth="1"/>
    <col min="13532" max="13540" width="8.7109375" style="338"/>
    <col min="13541" max="13541" width="21.5703125" style="338" customWidth="1"/>
    <col min="13542" max="13548" width="8.7109375" style="338"/>
    <col min="13549" max="13549" width="10" style="338" customWidth="1"/>
    <col min="13550" max="13776" width="8.7109375" style="338"/>
    <col min="13777" max="13777" width="23.85546875" style="338" customWidth="1"/>
    <col min="13778" max="13778" width="10.5703125" style="338" customWidth="1"/>
    <col min="13779" max="13784" width="8.5703125" style="338" customWidth="1"/>
    <col min="13785" max="13785" width="10.85546875" style="338" customWidth="1"/>
    <col min="13786" max="13786" width="8.85546875" style="338" customWidth="1"/>
    <col min="13787" max="13787" width="17.85546875" style="338" customWidth="1"/>
    <col min="13788" max="13796" width="8.7109375" style="338"/>
    <col min="13797" max="13797" width="21.5703125" style="338" customWidth="1"/>
    <col min="13798" max="13804" width="8.7109375" style="338"/>
    <col min="13805" max="13805" width="10" style="338" customWidth="1"/>
    <col min="13806" max="14032" width="8.7109375" style="338"/>
    <col min="14033" max="14033" width="23.85546875" style="338" customWidth="1"/>
    <col min="14034" max="14034" width="10.5703125" style="338" customWidth="1"/>
    <col min="14035" max="14040" width="8.5703125" style="338" customWidth="1"/>
    <col min="14041" max="14041" width="10.85546875" style="338" customWidth="1"/>
    <col min="14042" max="14042" width="8.85546875" style="338" customWidth="1"/>
    <col min="14043" max="14043" width="17.85546875" style="338" customWidth="1"/>
    <col min="14044" max="14052" width="8.7109375" style="338"/>
    <col min="14053" max="14053" width="21.5703125" style="338" customWidth="1"/>
    <col min="14054" max="14060" width="8.7109375" style="338"/>
    <col min="14061" max="14061" width="10" style="338" customWidth="1"/>
    <col min="14062" max="14288" width="8.7109375" style="338"/>
    <col min="14289" max="14289" width="23.85546875" style="338" customWidth="1"/>
    <col min="14290" max="14290" width="10.5703125" style="338" customWidth="1"/>
    <col min="14291" max="14296" width="8.5703125" style="338" customWidth="1"/>
    <col min="14297" max="14297" width="10.85546875" style="338" customWidth="1"/>
    <col min="14298" max="14298" width="8.85546875" style="338" customWidth="1"/>
    <col min="14299" max="14299" width="17.85546875" style="338" customWidth="1"/>
    <col min="14300" max="14308" width="8.7109375" style="338"/>
    <col min="14309" max="14309" width="21.5703125" style="338" customWidth="1"/>
    <col min="14310" max="14316" width="8.7109375" style="338"/>
    <col min="14317" max="14317" width="10" style="338" customWidth="1"/>
    <col min="14318" max="14544" width="8.7109375" style="338"/>
    <col min="14545" max="14545" width="23.85546875" style="338" customWidth="1"/>
    <col min="14546" max="14546" width="10.5703125" style="338" customWidth="1"/>
    <col min="14547" max="14552" width="8.5703125" style="338" customWidth="1"/>
    <col min="14553" max="14553" width="10.85546875" style="338" customWidth="1"/>
    <col min="14554" max="14554" width="8.85546875" style="338" customWidth="1"/>
    <col min="14555" max="14555" width="17.85546875" style="338" customWidth="1"/>
    <col min="14556" max="14564" width="8.7109375" style="338"/>
    <col min="14565" max="14565" width="21.5703125" style="338" customWidth="1"/>
    <col min="14566" max="14572" width="8.7109375" style="338"/>
    <col min="14573" max="14573" width="10" style="338" customWidth="1"/>
    <col min="14574" max="14800" width="8.7109375" style="338"/>
    <col min="14801" max="14801" width="23.85546875" style="338" customWidth="1"/>
    <col min="14802" max="14802" width="10.5703125" style="338" customWidth="1"/>
    <col min="14803" max="14808" width="8.5703125" style="338" customWidth="1"/>
    <col min="14809" max="14809" width="10.85546875" style="338" customWidth="1"/>
    <col min="14810" max="14810" width="8.85546875" style="338" customWidth="1"/>
    <col min="14811" max="14811" width="17.85546875" style="338" customWidth="1"/>
    <col min="14812" max="14820" width="8.7109375" style="338"/>
    <col min="14821" max="14821" width="21.5703125" style="338" customWidth="1"/>
    <col min="14822" max="14828" width="8.7109375" style="338"/>
    <col min="14829" max="14829" width="10" style="338" customWidth="1"/>
    <col min="14830" max="15056" width="8.7109375" style="338"/>
    <col min="15057" max="15057" width="23.85546875" style="338" customWidth="1"/>
    <col min="15058" max="15058" width="10.5703125" style="338" customWidth="1"/>
    <col min="15059" max="15064" width="8.5703125" style="338" customWidth="1"/>
    <col min="15065" max="15065" width="10.85546875" style="338" customWidth="1"/>
    <col min="15066" max="15066" width="8.85546875" style="338" customWidth="1"/>
    <col min="15067" max="15067" width="17.85546875" style="338" customWidth="1"/>
    <col min="15068" max="15076" width="8.7109375" style="338"/>
    <col min="15077" max="15077" width="21.5703125" style="338" customWidth="1"/>
    <col min="15078" max="15084" width="8.7109375" style="338"/>
    <col min="15085" max="15085" width="10" style="338" customWidth="1"/>
    <col min="15086" max="15312" width="8.7109375" style="338"/>
    <col min="15313" max="15313" width="23.85546875" style="338" customWidth="1"/>
    <col min="15314" max="15314" width="10.5703125" style="338" customWidth="1"/>
    <col min="15315" max="15320" width="8.5703125" style="338" customWidth="1"/>
    <col min="15321" max="15321" width="10.85546875" style="338" customWidth="1"/>
    <col min="15322" max="15322" width="8.85546875" style="338" customWidth="1"/>
    <col min="15323" max="15323" width="17.85546875" style="338" customWidth="1"/>
    <col min="15324" max="15332" width="8.7109375" style="338"/>
    <col min="15333" max="15333" width="21.5703125" style="338" customWidth="1"/>
    <col min="15334" max="15340" width="8.7109375" style="338"/>
    <col min="15341" max="15341" width="10" style="338" customWidth="1"/>
    <col min="15342" max="15568" width="8.7109375" style="338"/>
    <col min="15569" max="15569" width="23.85546875" style="338" customWidth="1"/>
    <col min="15570" max="15570" width="10.5703125" style="338" customWidth="1"/>
    <col min="15571" max="15576" width="8.5703125" style="338" customWidth="1"/>
    <col min="15577" max="15577" width="10.85546875" style="338" customWidth="1"/>
    <col min="15578" max="15578" width="8.85546875" style="338" customWidth="1"/>
    <col min="15579" max="15579" width="17.85546875" style="338" customWidth="1"/>
    <col min="15580" max="15588" width="8.7109375" style="338"/>
    <col min="15589" max="15589" width="21.5703125" style="338" customWidth="1"/>
    <col min="15590" max="15596" width="8.7109375" style="338"/>
    <col min="15597" max="15597" width="10" style="338" customWidth="1"/>
    <col min="15598" max="15824" width="8.7109375" style="338"/>
    <col min="15825" max="15825" width="23.85546875" style="338" customWidth="1"/>
    <col min="15826" max="15826" width="10.5703125" style="338" customWidth="1"/>
    <col min="15827" max="15832" width="8.5703125" style="338" customWidth="1"/>
    <col min="15833" max="15833" width="10.85546875" style="338" customWidth="1"/>
    <col min="15834" max="15834" width="8.85546875" style="338" customWidth="1"/>
    <col min="15835" max="15835" width="17.85546875" style="338" customWidth="1"/>
    <col min="15836" max="15844" width="8.7109375" style="338"/>
    <col min="15845" max="15845" width="21.5703125" style="338" customWidth="1"/>
    <col min="15846" max="15852" width="8.7109375" style="338"/>
    <col min="15853" max="15853" width="10" style="338" customWidth="1"/>
    <col min="15854" max="16080" width="8.7109375" style="338"/>
    <col min="16081" max="16081" width="23.85546875" style="338" customWidth="1"/>
    <col min="16082" max="16082" width="10.5703125" style="338" customWidth="1"/>
    <col min="16083" max="16088" width="8.5703125" style="338" customWidth="1"/>
    <col min="16089" max="16089" width="10.85546875" style="338" customWidth="1"/>
    <col min="16090" max="16090" width="8.85546875" style="338" customWidth="1"/>
    <col min="16091" max="16091" width="17.85546875" style="338" customWidth="1"/>
    <col min="16092" max="16100" width="8.7109375" style="338"/>
    <col min="16101" max="16101" width="21.5703125" style="338" customWidth="1"/>
    <col min="16102" max="16108" width="8.7109375" style="338"/>
    <col min="16109" max="16109" width="10" style="338" customWidth="1"/>
    <col min="16110" max="16340" width="8.7109375" style="338"/>
    <col min="16341" max="16384" width="9.140625" style="338" customWidth="1"/>
  </cols>
  <sheetData>
    <row r="1" spans="1:10" x14ac:dyDescent="0.2">
      <c r="A1" s="624" t="s">
        <v>23</v>
      </c>
      <c r="B1" s="624"/>
      <c r="C1" s="624"/>
      <c r="D1" s="624"/>
      <c r="E1" s="624"/>
      <c r="F1" s="624"/>
      <c r="G1" s="624"/>
      <c r="H1" s="624"/>
      <c r="I1" s="624"/>
      <c r="J1" s="624"/>
    </row>
    <row r="2" spans="1:10" x14ac:dyDescent="0.2">
      <c r="A2" s="624" t="s">
        <v>91</v>
      </c>
      <c r="B2" s="624"/>
      <c r="C2" s="624"/>
      <c r="D2" s="624"/>
      <c r="E2" s="624"/>
      <c r="F2" s="624"/>
      <c r="G2" s="624"/>
      <c r="H2" s="624"/>
      <c r="I2" s="624"/>
      <c r="J2" s="624"/>
    </row>
    <row r="3" spans="1:10" ht="12.75" x14ac:dyDescent="0.2">
      <c r="A3" s="625" t="s">
        <v>132</v>
      </c>
      <c r="B3" s="625"/>
      <c r="C3" s="625"/>
      <c r="D3" s="625"/>
      <c r="E3" s="625"/>
      <c r="F3" s="625"/>
      <c r="G3" s="625"/>
      <c r="H3" s="625"/>
      <c r="I3" s="625"/>
      <c r="J3" s="625"/>
    </row>
    <row r="4" spans="1:10" ht="12.75" x14ac:dyDescent="0.2">
      <c r="A4" s="625" t="s">
        <v>139</v>
      </c>
      <c r="B4" s="625"/>
      <c r="C4" s="625"/>
      <c r="D4" s="625"/>
      <c r="E4" s="625"/>
      <c r="F4" s="625"/>
      <c r="G4" s="625"/>
      <c r="H4" s="625"/>
      <c r="I4" s="625"/>
      <c r="J4" s="625"/>
    </row>
    <row r="5" spans="1:10" ht="12.75" x14ac:dyDescent="0.2">
      <c r="A5" s="636" t="str">
        <f>'G1toG6 SchoolLeaver'!A5</f>
        <v>SY 2023 - 2024</v>
      </c>
      <c r="B5" s="636"/>
      <c r="C5" s="636"/>
      <c r="D5" s="636"/>
      <c r="E5" s="636"/>
      <c r="F5" s="636"/>
      <c r="G5" s="636"/>
      <c r="H5" s="636"/>
      <c r="I5" s="636"/>
      <c r="J5" s="636"/>
    </row>
    <row r="6" spans="1:10" ht="12.75" x14ac:dyDescent="0.2">
      <c r="A6" s="443"/>
      <c r="B6" s="443"/>
      <c r="C6" s="443"/>
      <c r="D6" s="443"/>
      <c r="E6" s="443"/>
      <c r="F6" s="443"/>
      <c r="G6" s="443"/>
      <c r="H6" s="443"/>
      <c r="I6" s="443"/>
      <c r="J6" s="443"/>
    </row>
    <row r="7" spans="1:10" x14ac:dyDescent="0.2">
      <c r="A7" s="361"/>
      <c r="B7" s="362"/>
      <c r="C7" s="78"/>
      <c r="D7" s="78"/>
      <c r="E7" s="78"/>
      <c r="F7" s="78"/>
      <c r="G7" s="78"/>
      <c r="H7" s="78"/>
      <c r="I7" s="78"/>
      <c r="J7" s="403"/>
    </row>
    <row r="8" spans="1:10" ht="13.5" thickBot="1" x14ac:dyDescent="0.25">
      <c r="A8" s="261" t="s">
        <v>94</v>
      </c>
      <c r="B8" s="365"/>
      <c r="C8" s="67"/>
      <c r="D8" s="67"/>
      <c r="E8" s="67"/>
      <c r="F8" s="67"/>
      <c r="G8" s="67"/>
      <c r="H8" s="67"/>
      <c r="I8" s="67"/>
      <c r="J8" s="403"/>
    </row>
    <row r="9" spans="1:10" x14ac:dyDescent="0.2">
      <c r="A9" s="339" t="s">
        <v>114</v>
      </c>
      <c r="B9" s="615" t="s">
        <v>95</v>
      </c>
      <c r="C9" s="373" t="s">
        <v>103</v>
      </c>
      <c r="D9" s="367" t="s">
        <v>104</v>
      </c>
      <c r="E9" s="367" t="s">
        <v>105</v>
      </c>
      <c r="F9" s="367" t="s">
        <v>106</v>
      </c>
      <c r="G9" s="367" t="s">
        <v>107</v>
      </c>
      <c r="H9" s="367" t="s">
        <v>108</v>
      </c>
      <c r="I9" s="373" t="s">
        <v>133</v>
      </c>
      <c r="J9" s="444" t="s">
        <v>115</v>
      </c>
    </row>
    <row r="10" spans="1:10" x14ac:dyDescent="0.2">
      <c r="A10" s="340"/>
      <c r="B10" s="616"/>
      <c r="C10" s="271"/>
      <c r="D10" s="272"/>
      <c r="E10" s="272"/>
      <c r="F10" s="272"/>
      <c r="G10" s="272"/>
      <c r="H10" s="272"/>
      <c r="I10" s="272" t="s">
        <v>109</v>
      </c>
      <c r="J10" s="445" t="s">
        <v>116</v>
      </c>
    </row>
    <row r="11" spans="1:10" x14ac:dyDescent="0.2">
      <c r="A11" s="301" t="s">
        <v>117</v>
      </c>
      <c r="B11" s="302" t="s">
        <v>2</v>
      </c>
      <c r="C11" s="436">
        <v>2.0385847067093649E-2</v>
      </c>
      <c r="D11" s="437">
        <v>1.4962593516209476E-2</v>
      </c>
      <c r="E11" s="437">
        <v>1.3599068790279079E-2</v>
      </c>
      <c r="F11" s="437">
        <v>9.5312499999999998E-3</v>
      </c>
      <c r="G11" s="437">
        <v>7.0778291055461004E-3</v>
      </c>
      <c r="H11" s="438">
        <v>5.3685231366029373E-3</v>
      </c>
      <c r="I11" s="436">
        <v>1.2073404803145921E-2</v>
      </c>
      <c r="J11" s="446">
        <v>0.51494579278763586</v>
      </c>
    </row>
    <row r="12" spans="1:10" x14ac:dyDescent="0.2">
      <c r="A12" s="155"/>
      <c r="B12" s="309" t="s">
        <v>1</v>
      </c>
      <c r="C12" s="351">
        <v>2.5786955426844622E-2</v>
      </c>
      <c r="D12" s="383">
        <v>1.9738970984791285E-2</v>
      </c>
      <c r="E12" s="383">
        <v>1.8270534020059636E-2</v>
      </c>
      <c r="F12" s="383">
        <v>1.2195734002509411E-2</v>
      </c>
      <c r="G12" s="383">
        <v>9.3275716694772338E-3</v>
      </c>
      <c r="H12" s="350">
        <v>7.3107049608355087E-3</v>
      </c>
      <c r="I12" s="351">
        <v>1.5729811008166537E-2</v>
      </c>
      <c r="J12" s="447"/>
    </row>
    <row r="13" spans="1:10" x14ac:dyDescent="0.2">
      <c r="A13" s="286"/>
      <c r="B13" s="312" t="s">
        <v>0</v>
      </c>
      <c r="C13" s="356">
        <v>1.4606014875498544E-2</v>
      </c>
      <c r="D13" s="390">
        <v>9.7976322388756056E-3</v>
      </c>
      <c r="E13" s="390">
        <v>8.4634640600786751E-3</v>
      </c>
      <c r="F13" s="390">
        <v>6.6576454668470907E-3</v>
      </c>
      <c r="G13" s="390">
        <v>4.711490493875062E-3</v>
      </c>
      <c r="H13" s="355">
        <v>3.1729634002361277E-3</v>
      </c>
      <c r="I13" s="356">
        <v>8.0999999999999996E-3</v>
      </c>
      <c r="J13" s="448"/>
    </row>
    <row r="14" spans="1:10" ht="9.9499999999999993" customHeight="1" x14ac:dyDescent="0.2">
      <c r="A14" s="301" t="s">
        <v>118</v>
      </c>
      <c r="B14" s="302" t="s">
        <v>2</v>
      </c>
      <c r="C14" s="436">
        <v>3.926562037311223E-2</v>
      </c>
      <c r="D14" s="437">
        <v>3.1643697876619151E-2</v>
      </c>
      <c r="E14" s="437">
        <v>2.7985761630047869E-2</v>
      </c>
      <c r="F14" s="437">
        <v>1.8593681439227731E-2</v>
      </c>
      <c r="G14" s="437">
        <v>1.3894588731898926E-2</v>
      </c>
      <c r="H14" s="438">
        <v>9.7892691675384846E-3</v>
      </c>
      <c r="I14" s="436">
        <v>2.3907166074303595E-2</v>
      </c>
      <c r="J14" s="446">
        <v>0.4464755661501788</v>
      </c>
    </row>
    <row r="15" spans="1:10" ht="9.9499999999999993" customHeight="1" x14ac:dyDescent="0.2">
      <c r="A15" s="155"/>
      <c r="B15" s="309" t="s">
        <v>1</v>
      </c>
      <c r="C15" s="351">
        <v>4.9141703130259173E-2</v>
      </c>
      <c r="D15" s="383">
        <v>4.3189742436171408E-2</v>
      </c>
      <c r="E15" s="383">
        <v>3.7714285714285714E-2</v>
      </c>
      <c r="F15" s="383">
        <v>2.5874051106596813E-2</v>
      </c>
      <c r="G15" s="383">
        <v>2.1488170076580181E-2</v>
      </c>
      <c r="H15" s="350">
        <v>1.3690815744438107E-2</v>
      </c>
      <c r="I15" s="351">
        <v>3.2476581249516141E-2</v>
      </c>
      <c r="J15" s="447"/>
    </row>
    <row r="16" spans="1:10" x14ac:dyDescent="0.2">
      <c r="A16" s="286"/>
      <c r="B16" s="312" t="s">
        <v>0</v>
      </c>
      <c r="C16" s="356">
        <v>2.8223783241344707E-2</v>
      </c>
      <c r="D16" s="390">
        <v>1.8837325349301399E-2</v>
      </c>
      <c r="E16" s="390">
        <v>1.670201484623542E-2</v>
      </c>
      <c r="F16" s="390">
        <v>1.0924653677215903E-2</v>
      </c>
      <c r="G16" s="390">
        <v>5.8979297063071739E-3</v>
      </c>
      <c r="H16" s="355">
        <v>5.4945054945054949E-3</v>
      </c>
      <c r="I16" s="356">
        <v>1.4500000000000001E-2</v>
      </c>
      <c r="J16" s="448"/>
    </row>
    <row r="17" spans="1:10" x14ac:dyDescent="0.2">
      <c r="A17" s="301" t="s">
        <v>119</v>
      </c>
      <c r="B17" s="302" t="s">
        <v>2</v>
      </c>
      <c r="C17" s="436">
        <v>2.1484022386712404E-2</v>
      </c>
      <c r="D17" s="437">
        <v>1.5335169880624427E-2</v>
      </c>
      <c r="E17" s="437">
        <v>1.5311195068602108E-2</v>
      </c>
      <c r="F17" s="437">
        <v>1.1597168926409142E-2</v>
      </c>
      <c r="G17" s="437">
        <v>9.7173932423999295E-3</v>
      </c>
      <c r="H17" s="438">
        <v>7.1130733382389014E-3</v>
      </c>
      <c r="I17" s="436">
        <v>1.3655661871871238E-2</v>
      </c>
      <c r="J17" s="446">
        <v>0.47582328368686466</v>
      </c>
    </row>
    <row r="18" spans="1:10" x14ac:dyDescent="0.2">
      <c r="A18" s="155"/>
      <c r="B18" s="309" t="s">
        <v>1</v>
      </c>
      <c r="C18" s="351">
        <v>2.7169149868536371E-2</v>
      </c>
      <c r="D18" s="383">
        <v>2.0419034090909092E-2</v>
      </c>
      <c r="E18" s="383">
        <v>2.0988112927191677E-2</v>
      </c>
      <c r="F18" s="383">
        <v>1.6013628620102215E-2</v>
      </c>
      <c r="G18" s="383">
        <v>1.2774037631624375E-2</v>
      </c>
      <c r="H18" s="350">
        <v>1.0762751520823585E-2</v>
      </c>
      <c r="I18" s="351">
        <v>1.8280360095535551E-2</v>
      </c>
      <c r="J18" s="447"/>
    </row>
    <row r="19" spans="1:10" x14ac:dyDescent="0.2">
      <c r="A19" s="286"/>
      <c r="B19" s="312" t="s">
        <v>0</v>
      </c>
      <c r="C19" s="356">
        <v>1.5447608412432532E-2</v>
      </c>
      <c r="D19" s="390">
        <v>9.8896918980600993E-3</v>
      </c>
      <c r="E19" s="390">
        <v>8.771929824561403E-3</v>
      </c>
      <c r="F19" s="390">
        <v>7.1709066074782312E-3</v>
      </c>
      <c r="G19" s="390">
        <v>6.4528023598820058E-3</v>
      </c>
      <c r="H19" s="355">
        <v>3.092783505154639E-3</v>
      </c>
      <c r="I19" s="356">
        <v>8.6982209676360524E-3</v>
      </c>
      <c r="J19" s="448"/>
    </row>
    <row r="20" spans="1:10" x14ac:dyDescent="0.2">
      <c r="A20" s="301" t="s">
        <v>120</v>
      </c>
      <c r="B20" s="302" t="s">
        <v>2</v>
      </c>
      <c r="C20" s="436">
        <v>2.8879099363680862E-2</v>
      </c>
      <c r="D20" s="437">
        <v>2.2849857801314113E-2</v>
      </c>
      <c r="E20" s="437">
        <v>2.1074921851366342E-2</v>
      </c>
      <c r="F20" s="437">
        <v>1.3816765578635015E-2</v>
      </c>
      <c r="G20" s="437">
        <v>1.2707815784444869E-2</v>
      </c>
      <c r="H20" s="438">
        <v>7.145409074669525E-3</v>
      </c>
      <c r="I20" s="436">
        <v>1.7990529545151394E-2</v>
      </c>
      <c r="J20" s="446">
        <v>0.4572632480237297</v>
      </c>
    </row>
    <row r="21" spans="1:10" x14ac:dyDescent="0.2">
      <c r="A21" s="155"/>
      <c r="B21" s="309" t="s">
        <v>1</v>
      </c>
      <c r="C21" s="351">
        <v>3.563390847711928E-2</v>
      </c>
      <c r="D21" s="383">
        <v>3.0469341408024223E-2</v>
      </c>
      <c r="E21" s="383">
        <v>2.919290211791643E-2</v>
      </c>
      <c r="F21" s="383">
        <v>2.0523708421797595E-2</v>
      </c>
      <c r="G21" s="383">
        <v>1.7576664173522813E-2</v>
      </c>
      <c r="H21" s="350">
        <v>1.0416666666666666E-2</v>
      </c>
      <c r="I21" s="351">
        <v>2.4299999999999999E-2</v>
      </c>
      <c r="J21" s="447"/>
    </row>
    <row r="22" spans="1:10" x14ac:dyDescent="0.2">
      <c r="A22" s="286"/>
      <c r="B22" s="312" t="s">
        <v>0</v>
      </c>
      <c r="C22" s="356">
        <v>2.1503174278107721E-2</v>
      </c>
      <c r="D22" s="390">
        <v>1.4654996946875637E-2</v>
      </c>
      <c r="E22" s="390">
        <v>1.1976047904191617E-2</v>
      </c>
      <c r="F22" s="390">
        <v>6.4302416212003114E-3</v>
      </c>
      <c r="G22" s="390">
        <v>7.6201641266119575E-3</v>
      </c>
      <c r="H22" s="355">
        <v>3.6791758646063282E-3</v>
      </c>
      <c r="I22" s="356">
        <v>1.1111496926976631E-2</v>
      </c>
      <c r="J22" s="448"/>
    </row>
    <row r="23" spans="1:10" x14ac:dyDescent="0.2">
      <c r="A23" s="301" t="s">
        <v>121</v>
      </c>
      <c r="B23" s="302" t="s">
        <v>2</v>
      </c>
      <c r="C23" s="436">
        <v>6.1781224926450926E-2</v>
      </c>
      <c r="D23" s="437">
        <v>5.646240299705646E-2</v>
      </c>
      <c r="E23" s="437">
        <v>5.8721934369602762E-2</v>
      </c>
      <c r="F23" s="437">
        <v>4.750271444082519E-2</v>
      </c>
      <c r="G23" s="437">
        <v>3.5935563816604711E-2</v>
      </c>
      <c r="H23" s="438">
        <v>3.2592344977436072E-2</v>
      </c>
      <c r="I23" s="436">
        <v>4.9348449922378509E-2</v>
      </c>
      <c r="J23" s="446">
        <v>0.52112468539171819</v>
      </c>
    </row>
    <row r="24" spans="1:10" x14ac:dyDescent="0.2">
      <c r="A24" s="155"/>
      <c r="B24" s="309" t="s">
        <v>1</v>
      </c>
      <c r="C24" s="351">
        <v>7.1758072783188104E-2</v>
      </c>
      <c r="D24" s="383">
        <v>7.2441350863624646E-2</v>
      </c>
      <c r="E24" s="383">
        <v>7.4979625101874489E-2</v>
      </c>
      <c r="F24" s="383">
        <v>6.458333333333334E-2</v>
      </c>
      <c r="G24" s="383">
        <v>5.0422458435541016E-2</v>
      </c>
      <c r="H24" s="350">
        <v>4.6774193548387098E-2</v>
      </c>
      <c r="I24" s="351">
        <v>6.4111277241629294E-2</v>
      </c>
      <c r="J24" s="447"/>
    </row>
    <row r="25" spans="1:10" x14ac:dyDescent="0.2">
      <c r="A25" s="286"/>
      <c r="B25" s="312" t="s">
        <v>0</v>
      </c>
      <c r="C25" s="356">
        <v>5.0894854586129752E-2</v>
      </c>
      <c r="D25" s="390">
        <v>3.9221140472879001E-2</v>
      </c>
      <c r="E25" s="390">
        <v>4.0404040404040407E-2</v>
      </c>
      <c r="F25" s="390">
        <v>2.8911564625850341E-2</v>
      </c>
      <c r="G25" s="390">
        <v>2.1146355036171398E-2</v>
      </c>
      <c r="H25" s="355">
        <v>1.7343045438779049E-2</v>
      </c>
      <c r="I25" s="356">
        <v>3.340996918260529E-2</v>
      </c>
      <c r="J25" s="448"/>
    </row>
    <row r="26" spans="1:10" x14ac:dyDescent="0.2">
      <c r="A26" s="301" t="s">
        <v>122</v>
      </c>
      <c r="B26" s="302" t="s">
        <v>2</v>
      </c>
      <c r="C26" s="436">
        <v>5.6643423440634257E-2</v>
      </c>
      <c r="D26" s="437">
        <v>5.1482662030329376E-2</v>
      </c>
      <c r="E26" s="437">
        <v>5.3784663969209515E-2</v>
      </c>
      <c r="F26" s="437">
        <v>3.3214285714285717E-2</v>
      </c>
      <c r="G26" s="437">
        <v>2.7756726032588101E-2</v>
      </c>
      <c r="H26" s="438">
        <v>1.5929203539823009E-2</v>
      </c>
      <c r="I26" s="436">
        <v>4.0385055404831172E-2</v>
      </c>
      <c r="J26" s="446">
        <v>0.4593445608974368</v>
      </c>
    </row>
    <row r="27" spans="1:10" ht="12" x14ac:dyDescent="0.2">
      <c r="A27" s="347"/>
      <c r="B27" s="309" t="s">
        <v>1</v>
      </c>
      <c r="C27" s="351">
        <v>7.2661217075386017E-2</v>
      </c>
      <c r="D27" s="383">
        <v>6.7724672448791295E-2</v>
      </c>
      <c r="E27" s="383">
        <v>7.0981978668628168E-2</v>
      </c>
      <c r="F27" s="383">
        <v>4.637131529046716E-2</v>
      </c>
      <c r="G27" s="383">
        <v>3.9771681090038667E-2</v>
      </c>
      <c r="H27" s="350">
        <v>2.3304107060452238E-2</v>
      </c>
      <c r="I27" s="351">
        <v>5.4466299173139561E-2</v>
      </c>
      <c r="J27" s="447"/>
    </row>
    <row r="28" spans="1:10" x14ac:dyDescent="0.2">
      <c r="A28" s="286"/>
      <c r="B28" s="312" t="s">
        <v>0</v>
      </c>
      <c r="C28" s="356">
        <v>3.8879935535858182E-2</v>
      </c>
      <c r="D28" s="390">
        <v>3.3644102148358328E-2</v>
      </c>
      <c r="E28" s="390">
        <v>3.386581469648562E-2</v>
      </c>
      <c r="F28" s="390">
        <v>1.907760696425264E-2</v>
      </c>
      <c r="G28" s="390">
        <v>1.5024390243902438E-2</v>
      </c>
      <c r="H28" s="355">
        <v>8.2105771552765036E-3</v>
      </c>
      <c r="I28" s="356">
        <v>2.5018798277394217E-2</v>
      </c>
      <c r="J28" s="448"/>
    </row>
    <row r="29" spans="1:10" x14ac:dyDescent="0.2">
      <c r="A29" s="301" t="s">
        <v>123</v>
      </c>
      <c r="B29" s="302" t="s">
        <v>2</v>
      </c>
      <c r="C29" s="436">
        <v>1.5235457063711912E-2</v>
      </c>
      <c r="D29" s="437">
        <v>1.1046817464492372E-2</v>
      </c>
      <c r="E29" s="437">
        <v>9.0016366612111296E-3</v>
      </c>
      <c r="F29" s="437">
        <v>9.5121951219512193E-3</v>
      </c>
      <c r="G29" s="437">
        <v>9.6408773198361046E-3</v>
      </c>
      <c r="H29" s="438">
        <v>6.4874884151992582E-3</v>
      </c>
      <c r="I29" s="436">
        <v>1.0349566262990639E-2</v>
      </c>
      <c r="J29" s="446">
        <v>0.61417322834645671</v>
      </c>
    </row>
    <row r="30" spans="1:10" x14ac:dyDescent="0.2">
      <c r="A30" s="155"/>
      <c r="B30" s="309" t="s">
        <v>1</v>
      </c>
      <c r="C30" s="351">
        <v>1.3839285714285714E-2</v>
      </c>
      <c r="D30" s="383">
        <v>1.5920398009950248E-2</v>
      </c>
      <c r="E30" s="383">
        <v>1.2774655084312723E-2</v>
      </c>
      <c r="F30" s="383">
        <v>1.3394919168591224E-2</v>
      </c>
      <c r="G30" s="383">
        <v>9.6109839816933638E-3</v>
      </c>
      <c r="H30" s="350">
        <v>1.0410287813839559E-2</v>
      </c>
      <c r="I30" s="351">
        <v>1.2699999999999999E-2</v>
      </c>
      <c r="J30" s="447"/>
    </row>
    <row r="31" spans="1:10" x14ac:dyDescent="0.2">
      <c r="A31" s="286"/>
      <c r="B31" s="312" t="s">
        <v>0</v>
      </c>
      <c r="C31" s="356">
        <v>1.6730401529636712E-2</v>
      </c>
      <c r="D31" s="390">
        <v>5.580357142857143E-3</v>
      </c>
      <c r="E31" s="390">
        <v>4.6811000585137508E-3</v>
      </c>
      <c r="F31" s="390">
        <v>5.1679586563307496E-3</v>
      </c>
      <c r="G31" s="390">
        <v>9.674134419551934E-3</v>
      </c>
      <c r="H31" s="355">
        <v>2.4937655860349127E-3</v>
      </c>
      <c r="I31" s="356">
        <v>7.7999999999999996E-3</v>
      </c>
      <c r="J31" s="448"/>
    </row>
    <row r="32" spans="1:10" ht="9.9499999999999993" customHeight="1" x14ac:dyDescent="0.2">
      <c r="A32" s="301" t="s">
        <v>124</v>
      </c>
      <c r="B32" s="302" t="s">
        <v>2</v>
      </c>
      <c r="C32" s="436">
        <v>3.8996138996138997E-2</v>
      </c>
      <c r="D32" s="437">
        <v>4.0910845233500581E-2</v>
      </c>
      <c r="E32" s="437">
        <v>3.7225705329153605E-2</v>
      </c>
      <c r="F32" s="437">
        <v>2.1870286576168928E-2</v>
      </c>
      <c r="G32" s="437">
        <v>1.7619420516836334E-2</v>
      </c>
      <c r="H32" s="438">
        <v>9.7991180793728563E-3</v>
      </c>
      <c r="I32" s="436">
        <v>2.8371161548731642E-2</v>
      </c>
      <c r="J32" s="446">
        <v>0.43699006622516556</v>
      </c>
    </row>
    <row r="33" spans="1:10" ht="9.9499999999999993" customHeight="1" x14ac:dyDescent="0.2">
      <c r="A33" s="155"/>
      <c r="B33" s="309" t="s">
        <v>1</v>
      </c>
      <c r="C33" s="351">
        <v>4.9924357034795766E-2</v>
      </c>
      <c r="D33" s="383">
        <v>5.5433989788475566E-2</v>
      </c>
      <c r="E33" s="383">
        <v>5.2205882352941178E-2</v>
      </c>
      <c r="F33" s="383">
        <v>2.9563932002956393E-2</v>
      </c>
      <c r="G33" s="383">
        <v>2.6395173453996983E-2</v>
      </c>
      <c r="H33" s="350">
        <v>1.3579049466537343E-2</v>
      </c>
      <c r="I33" s="351">
        <v>3.8902486152260725E-2</v>
      </c>
      <c r="J33" s="447"/>
    </row>
    <row r="34" spans="1:10" x14ac:dyDescent="0.2">
      <c r="A34" s="286"/>
      <c r="B34" s="312" t="s">
        <v>0</v>
      </c>
      <c r="C34" s="356">
        <v>2.7602523659305992E-2</v>
      </c>
      <c r="D34" s="390">
        <v>2.4590163934426229E-2</v>
      </c>
      <c r="E34" s="390">
        <v>2.0134228187919462E-2</v>
      </c>
      <c r="F34" s="390">
        <v>1.3856812933025405E-2</v>
      </c>
      <c r="G34" s="390">
        <v>8.1433224755700327E-3</v>
      </c>
      <c r="H34" s="355">
        <v>5.9405940594059407E-3</v>
      </c>
      <c r="I34" s="356">
        <v>1.7000000000000001E-2</v>
      </c>
      <c r="J34" s="448"/>
    </row>
    <row r="35" spans="1:10" x14ac:dyDescent="0.2">
      <c r="A35" s="301" t="s">
        <v>125</v>
      </c>
      <c r="B35" s="302" t="s">
        <v>2</v>
      </c>
      <c r="C35" s="436">
        <v>6.5884980457844786E-2</v>
      </c>
      <c r="D35" s="437">
        <v>6.7725752508361201E-2</v>
      </c>
      <c r="E35" s="437">
        <v>6.66855845629966E-2</v>
      </c>
      <c r="F35" s="437">
        <v>5.8991683991683995E-2</v>
      </c>
      <c r="G35" s="437">
        <v>3.3813747228381374E-2</v>
      </c>
      <c r="H35" s="438">
        <v>2.2344448264008249E-2</v>
      </c>
      <c r="I35" s="436">
        <v>5.3563796951422195E-2</v>
      </c>
      <c r="J35" s="446">
        <v>0.46688776796973519</v>
      </c>
    </row>
    <row r="36" spans="1:10" ht="12" x14ac:dyDescent="0.2">
      <c r="A36" s="347"/>
      <c r="B36" s="309" t="s">
        <v>1</v>
      </c>
      <c r="C36" s="351">
        <v>8.7830687830687829E-2</v>
      </c>
      <c r="D36" s="383">
        <v>8.8994207477619797E-2</v>
      </c>
      <c r="E36" s="383">
        <v>8.7882096069868992E-2</v>
      </c>
      <c r="F36" s="383">
        <v>8.1389578163771709E-2</v>
      </c>
      <c r="G36" s="383">
        <v>4.5934530095036959E-2</v>
      </c>
      <c r="H36" s="350">
        <v>3.0223390275952694E-2</v>
      </c>
      <c r="I36" s="351">
        <v>7.1751719145855958E-2</v>
      </c>
      <c r="J36" s="447"/>
    </row>
    <row r="37" spans="1:10" x14ac:dyDescent="0.2">
      <c r="A37" s="286"/>
      <c r="B37" s="312" t="s">
        <v>0</v>
      </c>
      <c r="C37" s="356">
        <v>4.1371158392434985E-2</v>
      </c>
      <c r="D37" s="390">
        <v>4.3812907045589107E-2</v>
      </c>
      <c r="E37" s="390">
        <v>4.3735224586288417E-2</v>
      </c>
      <c r="F37" s="390">
        <v>3.4369885433715219E-2</v>
      </c>
      <c r="G37" s="390">
        <v>2.0420070011668612E-2</v>
      </c>
      <c r="H37" s="355">
        <v>1.3698630136986301E-2</v>
      </c>
      <c r="I37" s="356">
        <v>3.3500000000000002E-2</v>
      </c>
      <c r="J37" s="448"/>
    </row>
    <row r="38" spans="1:10" x14ac:dyDescent="0.2">
      <c r="A38" s="301" t="s">
        <v>126</v>
      </c>
      <c r="B38" s="302" t="s">
        <v>2</v>
      </c>
      <c r="C38" s="436">
        <v>1.5690376569037656E-2</v>
      </c>
      <c r="D38" s="437">
        <v>1.0652765185856755E-2</v>
      </c>
      <c r="E38" s="437">
        <v>1.1051022807430049E-2</v>
      </c>
      <c r="F38" s="437">
        <v>5.7851239669421484E-3</v>
      </c>
      <c r="G38" s="437">
        <v>5.7293962097840455E-3</v>
      </c>
      <c r="H38" s="438">
        <v>5.8981233243967828E-3</v>
      </c>
      <c r="I38" s="436">
        <v>9.2268293601476294E-3</v>
      </c>
      <c r="J38" s="446">
        <v>0.44444444444444442</v>
      </c>
    </row>
    <row r="39" spans="1:10" x14ac:dyDescent="0.2">
      <c r="A39" s="155"/>
      <c r="B39" s="309" t="s">
        <v>1</v>
      </c>
      <c r="C39" s="351">
        <v>1.9269369731031716E-2</v>
      </c>
      <c r="D39" s="383">
        <v>1.5929203539823009E-2</v>
      </c>
      <c r="E39" s="383">
        <v>1.5418502202643172E-2</v>
      </c>
      <c r="F39" s="383">
        <v>8.368200836820083E-3</v>
      </c>
      <c r="G39" s="383">
        <v>8.033826638477801E-3</v>
      </c>
      <c r="H39" s="350">
        <v>7.8616352201257862E-3</v>
      </c>
      <c r="I39" s="351">
        <v>1.26E-2</v>
      </c>
      <c r="J39" s="447"/>
    </row>
    <row r="40" spans="1:10" x14ac:dyDescent="0.2">
      <c r="A40" s="286"/>
      <c r="B40" s="312" t="s">
        <v>0</v>
      </c>
      <c r="C40" s="356">
        <v>1.1795543905635648E-2</v>
      </c>
      <c r="D40" s="390">
        <v>5.1115241635687732E-3</v>
      </c>
      <c r="E40" s="390">
        <v>6.0514372163388806E-3</v>
      </c>
      <c r="F40" s="390">
        <v>3.2653061224489797E-3</v>
      </c>
      <c r="G40" s="390">
        <v>3.2213529682466636E-3</v>
      </c>
      <c r="H40" s="355">
        <v>3.8419319429198683E-3</v>
      </c>
      <c r="I40" s="356">
        <v>5.5999999999999999E-3</v>
      </c>
      <c r="J40" s="448"/>
    </row>
    <row r="41" spans="1:10" x14ac:dyDescent="0.2">
      <c r="A41" s="301" t="s">
        <v>127</v>
      </c>
      <c r="B41" s="302" t="s">
        <v>2</v>
      </c>
      <c r="C41" s="436">
        <v>1.7883511074651352E-2</v>
      </c>
      <c r="D41" s="437">
        <v>1.6076058772687987E-2</v>
      </c>
      <c r="E41" s="437">
        <v>1.6503992901508429E-2</v>
      </c>
      <c r="F41" s="437">
        <v>1.3052700277369881E-2</v>
      </c>
      <c r="G41" s="437">
        <v>9.4999999999999998E-3</v>
      </c>
      <c r="H41" s="438">
        <v>6.6291683406990761E-3</v>
      </c>
      <c r="I41" s="436">
        <v>1.3430766564612097E-2</v>
      </c>
      <c r="J41" s="446">
        <v>0.38020833333333337</v>
      </c>
    </row>
    <row r="42" spans="1:10" x14ac:dyDescent="0.2">
      <c r="A42" s="155"/>
      <c r="B42" s="309" t="s">
        <v>1</v>
      </c>
      <c r="C42" s="351">
        <v>2.2568340750158931E-2</v>
      </c>
      <c r="D42" s="383">
        <v>2.0937188434695914E-2</v>
      </c>
      <c r="E42" s="383">
        <v>2.2727272727272728E-2</v>
      </c>
      <c r="F42" s="383">
        <v>2.07138304652645E-2</v>
      </c>
      <c r="G42" s="383">
        <v>1.5619915392124959E-2</v>
      </c>
      <c r="H42" s="350">
        <v>1.1266511266511266E-2</v>
      </c>
      <c r="I42" s="351">
        <v>1.9199999999999998E-2</v>
      </c>
      <c r="J42" s="447"/>
    </row>
    <row r="43" spans="1:10" x14ac:dyDescent="0.2">
      <c r="A43" s="286"/>
      <c r="B43" s="312" t="s">
        <v>0</v>
      </c>
      <c r="C43" s="356">
        <v>1.2885723974228552E-2</v>
      </c>
      <c r="D43" s="390">
        <v>1.0806916426512969E-2</v>
      </c>
      <c r="E43" s="390">
        <v>9.6762188314104946E-3</v>
      </c>
      <c r="F43" s="390">
        <v>5.0150451354062184E-3</v>
      </c>
      <c r="G43" s="390">
        <v>3.0748206354629312E-3</v>
      </c>
      <c r="H43" s="355">
        <v>1.6638935108153079E-3</v>
      </c>
      <c r="I43" s="356">
        <v>7.3000000000000001E-3</v>
      </c>
      <c r="J43" s="448"/>
    </row>
    <row r="44" spans="1:10" x14ac:dyDescent="0.2">
      <c r="A44" s="315" t="s">
        <v>15</v>
      </c>
      <c r="B44" s="316" t="s">
        <v>2</v>
      </c>
      <c r="C44" s="449">
        <v>3.1238946451217723E-2</v>
      </c>
      <c r="D44" s="450">
        <v>2.6457631974786906E-2</v>
      </c>
      <c r="E44" s="450">
        <v>2.5452159367115514E-2</v>
      </c>
      <c r="F44" s="450">
        <v>1.7974513749161636E-2</v>
      </c>
      <c r="G44" s="450">
        <v>1.3851868035831331E-2</v>
      </c>
      <c r="H44" s="451">
        <v>9.9270170145744144E-3</v>
      </c>
      <c r="I44" s="449">
        <v>2.1153096941335554E-2</v>
      </c>
      <c r="J44" s="452">
        <v>0.4752747465138451</v>
      </c>
    </row>
    <row r="45" spans="1:10" x14ac:dyDescent="0.2">
      <c r="A45" s="323"/>
      <c r="B45" s="324" t="s">
        <v>1</v>
      </c>
      <c r="C45" s="325">
        <v>3.9087245650984231E-2</v>
      </c>
      <c r="D45" s="326">
        <v>3.5225788714000963E-2</v>
      </c>
      <c r="E45" s="326">
        <v>3.4097651205807419E-2</v>
      </c>
      <c r="F45" s="326">
        <v>2.4877239764560501E-2</v>
      </c>
      <c r="G45" s="326">
        <v>1.945280484279617E-2</v>
      </c>
      <c r="H45" s="327">
        <v>1.4161775963255933E-2</v>
      </c>
      <c r="I45" s="325">
        <v>2.8271094765432388E-2</v>
      </c>
      <c r="J45" s="453"/>
    </row>
    <row r="46" spans="1:10" ht="12" thickBot="1" x14ac:dyDescent="0.25">
      <c r="A46" s="330"/>
      <c r="B46" s="331" t="s">
        <v>0</v>
      </c>
      <c r="C46" s="454">
        <v>2.2728907430051067E-2</v>
      </c>
      <c r="D46" s="388">
        <v>1.6918417707320721E-2</v>
      </c>
      <c r="E46" s="388">
        <v>1.5718018743737353E-2</v>
      </c>
      <c r="F46" s="388">
        <v>1.0626882204299214E-2</v>
      </c>
      <c r="G46" s="388">
        <v>7.9293728423475256E-3</v>
      </c>
      <c r="H46" s="455">
        <v>5.3095293299327611E-3</v>
      </c>
      <c r="I46" s="454">
        <v>1.3436537398309771E-2</v>
      </c>
      <c r="J46" s="456"/>
    </row>
  </sheetData>
  <sheetProtection algorithmName="SHA-512" hashValue="GyXNuE74Yw+1YwB/Rprwv9OjQEeFyt+eBdxIPU2W6eYWYiwVn0l8sjW1EG/dC6M6PYG0BjlJHR2nZjTLDMcKxg==" saltValue="0buQWiCmIySeN1PzHiI03Q==" spinCount="100000" sheet="1" objects="1" scenarios="1"/>
  <mergeCells count="6">
    <mergeCell ref="B9:B10"/>
    <mergeCell ref="A1:J1"/>
    <mergeCell ref="A2:J2"/>
    <mergeCell ref="A3:J3"/>
    <mergeCell ref="A4:J4"/>
    <mergeCell ref="A5:J5"/>
  </mergeCells>
  <conditionalFormatting sqref="C5:J6 J9:J46">
    <cfRule type="cellIs" dxfId="8" priority="13" operator="lessThan">
      <formula>0</formula>
    </cfRule>
  </conditionalFormatting>
  <printOptions horizontalCentered="1"/>
  <pageMargins left="0" right="0" top="1" bottom="0.5" header="0.5" footer="0.35"/>
  <pageSetup paperSize="9" scale="88" orientation="portrait" horizontalDpi="300" verticalDpi="300" r:id="rId1"/>
  <headerFooter alignWithMargins="0">
    <oddFooter>&amp;C&amp;8Page &amp;P of &amp;N</oddFooter>
  </headerFooter>
  <picture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20776-F09D-42DC-9F5D-A310B4763EC5}">
  <sheetPr>
    <tabColor rgb="FF0000FF"/>
    <pageSetUpPr fitToPage="1"/>
  </sheetPr>
  <dimension ref="A1:GZ46"/>
  <sheetViews>
    <sheetView showGridLines="0" zoomScaleNormal="100" workbookViewId="0">
      <pane xSplit="2" ySplit="8" topLeftCell="C9" activePane="bottomRight" state="frozen"/>
      <selection activeCell="A9" sqref="A9:A12"/>
      <selection pane="topRight" activeCell="A9" sqref="A9:A12"/>
      <selection pane="bottomLeft" activeCell="A9" sqref="A9:A12"/>
      <selection pane="bottomRight" activeCell="A9" sqref="A9:A12"/>
    </sheetView>
  </sheetViews>
  <sheetFormatPr defaultRowHeight="11.25" x14ac:dyDescent="0.2"/>
  <cols>
    <col min="1" max="1" width="37.140625" style="337" customWidth="1"/>
    <col min="2" max="2" width="9.42578125" style="338" customWidth="1"/>
    <col min="3" max="5" width="6.5703125" style="263" bestFit="1" customWidth="1"/>
    <col min="6" max="6" width="6.85546875" style="263" bestFit="1" customWidth="1"/>
    <col min="7" max="7" width="6.5703125" style="263" bestFit="1" customWidth="1"/>
    <col min="8" max="8" width="8.42578125" style="263" customWidth="1"/>
    <col min="9" max="9" width="11.140625" style="263" customWidth="1"/>
    <col min="10" max="10" width="9.42578125" style="457" customWidth="1"/>
    <col min="11" max="214" width="8.7109375" style="338"/>
    <col min="215" max="215" width="19.140625" style="338" customWidth="1"/>
    <col min="216" max="216" width="10.5703125" style="338" customWidth="1"/>
    <col min="217" max="221" width="8.5703125" style="338" customWidth="1"/>
    <col min="222" max="222" width="9.85546875" style="338" customWidth="1"/>
    <col min="223" max="223" width="12.42578125" style="338" customWidth="1"/>
    <col min="224" max="224" width="8.85546875" style="338" customWidth="1"/>
    <col min="225" max="225" width="15.5703125" style="338" customWidth="1"/>
    <col min="226" max="234" width="8.7109375" style="338"/>
    <col min="235" max="235" width="14.5703125" style="338" customWidth="1"/>
    <col min="236" max="470" width="8.7109375" style="338"/>
    <col min="471" max="471" width="19.140625" style="338" customWidth="1"/>
    <col min="472" max="472" width="10.5703125" style="338" customWidth="1"/>
    <col min="473" max="477" width="8.5703125" style="338" customWidth="1"/>
    <col min="478" max="478" width="9.85546875" style="338" customWidth="1"/>
    <col min="479" max="479" width="12.42578125" style="338" customWidth="1"/>
    <col min="480" max="480" width="8.85546875" style="338" customWidth="1"/>
    <col min="481" max="481" width="15.5703125" style="338" customWidth="1"/>
    <col min="482" max="490" width="8.7109375" style="338"/>
    <col min="491" max="491" width="14.5703125" style="338" customWidth="1"/>
    <col min="492" max="726" width="8.7109375" style="338"/>
    <col min="727" max="727" width="19.140625" style="338" customWidth="1"/>
    <col min="728" max="728" width="10.5703125" style="338" customWidth="1"/>
    <col min="729" max="733" width="8.5703125" style="338" customWidth="1"/>
    <col min="734" max="734" width="9.85546875" style="338" customWidth="1"/>
    <col min="735" max="735" width="12.42578125" style="338" customWidth="1"/>
    <col min="736" max="736" width="8.85546875" style="338" customWidth="1"/>
    <col min="737" max="737" width="15.5703125" style="338" customWidth="1"/>
    <col min="738" max="746" width="8.7109375" style="338"/>
    <col min="747" max="747" width="14.5703125" style="338" customWidth="1"/>
    <col min="748" max="982" width="8.7109375" style="338"/>
    <col min="983" max="983" width="19.140625" style="338" customWidth="1"/>
    <col min="984" max="984" width="10.5703125" style="338" customWidth="1"/>
    <col min="985" max="989" width="8.5703125" style="338" customWidth="1"/>
    <col min="990" max="990" width="9.85546875" style="338" customWidth="1"/>
    <col min="991" max="991" width="12.42578125" style="338" customWidth="1"/>
    <col min="992" max="992" width="8.85546875" style="338" customWidth="1"/>
    <col min="993" max="993" width="15.5703125" style="338" customWidth="1"/>
    <col min="994" max="1002" width="8.7109375" style="338"/>
    <col min="1003" max="1003" width="14.5703125" style="338" customWidth="1"/>
    <col min="1004" max="1238" width="8.7109375" style="338"/>
    <col min="1239" max="1239" width="19.140625" style="338" customWidth="1"/>
    <col min="1240" max="1240" width="10.5703125" style="338" customWidth="1"/>
    <col min="1241" max="1245" width="8.5703125" style="338" customWidth="1"/>
    <col min="1246" max="1246" width="9.85546875" style="338" customWidth="1"/>
    <col min="1247" max="1247" width="12.42578125" style="338" customWidth="1"/>
    <col min="1248" max="1248" width="8.85546875" style="338" customWidth="1"/>
    <col min="1249" max="1249" width="15.5703125" style="338" customWidth="1"/>
    <col min="1250" max="1258" width="8.7109375" style="338"/>
    <col min="1259" max="1259" width="14.5703125" style="338" customWidth="1"/>
    <col min="1260" max="1494" width="8.7109375" style="338"/>
    <col min="1495" max="1495" width="19.140625" style="338" customWidth="1"/>
    <col min="1496" max="1496" width="10.5703125" style="338" customWidth="1"/>
    <col min="1497" max="1501" width="8.5703125" style="338" customWidth="1"/>
    <col min="1502" max="1502" width="9.85546875" style="338" customWidth="1"/>
    <col min="1503" max="1503" width="12.42578125" style="338" customWidth="1"/>
    <col min="1504" max="1504" width="8.85546875" style="338" customWidth="1"/>
    <col min="1505" max="1505" width="15.5703125" style="338" customWidth="1"/>
    <col min="1506" max="1514" width="8.7109375" style="338"/>
    <col min="1515" max="1515" width="14.5703125" style="338" customWidth="1"/>
    <col min="1516" max="1750" width="8.7109375" style="338"/>
    <col min="1751" max="1751" width="19.140625" style="338" customWidth="1"/>
    <col min="1752" max="1752" width="10.5703125" style="338" customWidth="1"/>
    <col min="1753" max="1757" width="8.5703125" style="338" customWidth="1"/>
    <col min="1758" max="1758" width="9.85546875" style="338" customWidth="1"/>
    <col min="1759" max="1759" width="12.42578125" style="338" customWidth="1"/>
    <col min="1760" max="1760" width="8.85546875" style="338" customWidth="1"/>
    <col min="1761" max="1761" width="15.5703125" style="338" customWidth="1"/>
    <col min="1762" max="1770" width="8.7109375" style="338"/>
    <col min="1771" max="1771" width="14.5703125" style="338" customWidth="1"/>
    <col min="1772" max="2006" width="8.7109375" style="338"/>
    <col min="2007" max="2007" width="19.140625" style="338" customWidth="1"/>
    <col min="2008" max="2008" width="10.5703125" style="338" customWidth="1"/>
    <col min="2009" max="2013" width="8.5703125" style="338" customWidth="1"/>
    <col min="2014" max="2014" width="9.85546875" style="338" customWidth="1"/>
    <col min="2015" max="2015" width="12.42578125" style="338" customWidth="1"/>
    <col min="2016" max="2016" width="8.85546875" style="338" customWidth="1"/>
    <col min="2017" max="2017" width="15.5703125" style="338" customWidth="1"/>
    <col min="2018" max="2026" width="8.7109375" style="338"/>
    <col min="2027" max="2027" width="14.5703125" style="338" customWidth="1"/>
    <col min="2028" max="2262" width="8.7109375" style="338"/>
    <col min="2263" max="2263" width="19.140625" style="338" customWidth="1"/>
    <col min="2264" max="2264" width="10.5703125" style="338" customWidth="1"/>
    <col min="2265" max="2269" width="8.5703125" style="338" customWidth="1"/>
    <col min="2270" max="2270" width="9.85546875" style="338" customWidth="1"/>
    <col min="2271" max="2271" width="12.42578125" style="338" customWidth="1"/>
    <col min="2272" max="2272" width="8.85546875" style="338" customWidth="1"/>
    <col min="2273" max="2273" width="15.5703125" style="338" customWidth="1"/>
    <col min="2274" max="2282" width="8.7109375" style="338"/>
    <col min="2283" max="2283" width="14.5703125" style="338" customWidth="1"/>
    <col min="2284" max="2518" width="8.7109375" style="338"/>
    <col min="2519" max="2519" width="19.140625" style="338" customWidth="1"/>
    <col min="2520" max="2520" width="10.5703125" style="338" customWidth="1"/>
    <col min="2521" max="2525" width="8.5703125" style="338" customWidth="1"/>
    <col min="2526" max="2526" width="9.85546875" style="338" customWidth="1"/>
    <col min="2527" max="2527" width="12.42578125" style="338" customWidth="1"/>
    <col min="2528" max="2528" width="8.85546875" style="338" customWidth="1"/>
    <col min="2529" max="2529" width="15.5703125" style="338" customWidth="1"/>
    <col min="2530" max="2538" width="8.7109375" style="338"/>
    <col min="2539" max="2539" width="14.5703125" style="338" customWidth="1"/>
    <col min="2540" max="2774" width="8.7109375" style="338"/>
    <col min="2775" max="2775" width="19.140625" style="338" customWidth="1"/>
    <col min="2776" max="2776" width="10.5703125" style="338" customWidth="1"/>
    <col min="2777" max="2781" width="8.5703125" style="338" customWidth="1"/>
    <col min="2782" max="2782" width="9.85546875" style="338" customWidth="1"/>
    <col min="2783" max="2783" width="12.42578125" style="338" customWidth="1"/>
    <col min="2784" max="2784" width="8.85546875" style="338" customWidth="1"/>
    <col min="2785" max="2785" width="15.5703125" style="338" customWidth="1"/>
    <col min="2786" max="2794" width="8.7109375" style="338"/>
    <col min="2795" max="2795" width="14.5703125" style="338" customWidth="1"/>
    <col min="2796" max="3030" width="8.7109375" style="338"/>
    <col min="3031" max="3031" width="19.140625" style="338" customWidth="1"/>
    <col min="3032" max="3032" width="10.5703125" style="338" customWidth="1"/>
    <col min="3033" max="3037" width="8.5703125" style="338" customWidth="1"/>
    <col min="3038" max="3038" width="9.85546875" style="338" customWidth="1"/>
    <col min="3039" max="3039" width="12.42578125" style="338" customWidth="1"/>
    <col min="3040" max="3040" width="8.85546875" style="338" customWidth="1"/>
    <col min="3041" max="3041" width="15.5703125" style="338" customWidth="1"/>
    <col min="3042" max="3050" width="8.7109375" style="338"/>
    <col min="3051" max="3051" width="14.5703125" style="338" customWidth="1"/>
    <col min="3052" max="3286" width="8.7109375" style="338"/>
    <col min="3287" max="3287" width="19.140625" style="338" customWidth="1"/>
    <col min="3288" max="3288" width="10.5703125" style="338" customWidth="1"/>
    <col min="3289" max="3293" width="8.5703125" style="338" customWidth="1"/>
    <col min="3294" max="3294" width="9.85546875" style="338" customWidth="1"/>
    <col min="3295" max="3295" width="12.42578125" style="338" customWidth="1"/>
    <col min="3296" max="3296" width="8.85546875" style="338" customWidth="1"/>
    <col min="3297" max="3297" width="15.5703125" style="338" customWidth="1"/>
    <col min="3298" max="3306" width="8.7109375" style="338"/>
    <col min="3307" max="3307" width="14.5703125" style="338" customWidth="1"/>
    <col min="3308" max="3542" width="8.7109375" style="338"/>
    <col min="3543" max="3543" width="19.140625" style="338" customWidth="1"/>
    <col min="3544" max="3544" width="10.5703125" style="338" customWidth="1"/>
    <col min="3545" max="3549" width="8.5703125" style="338" customWidth="1"/>
    <col min="3550" max="3550" width="9.85546875" style="338" customWidth="1"/>
    <col min="3551" max="3551" width="12.42578125" style="338" customWidth="1"/>
    <col min="3552" max="3552" width="8.85546875" style="338" customWidth="1"/>
    <col min="3553" max="3553" width="15.5703125" style="338" customWidth="1"/>
    <col min="3554" max="3562" width="8.7109375" style="338"/>
    <col min="3563" max="3563" width="14.5703125" style="338" customWidth="1"/>
    <col min="3564" max="3798" width="8.7109375" style="338"/>
    <col min="3799" max="3799" width="19.140625" style="338" customWidth="1"/>
    <col min="3800" max="3800" width="10.5703125" style="338" customWidth="1"/>
    <col min="3801" max="3805" width="8.5703125" style="338" customWidth="1"/>
    <col min="3806" max="3806" width="9.85546875" style="338" customWidth="1"/>
    <col min="3807" max="3807" width="12.42578125" style="338" customWidth="1"/>
    <col min="3808" max="3808" width="8.85546875" style="338" customWidth="1"/>
    <col min="3809" max="3809" width="15.5703125" style="338" customWidth="1"/>
    <col min="3810" max="3818" width="8.7109375" style="338"/>
    <col min="3819" max="3819" width="14.5703125" style="338" customWidth="1"/>
    <col min="3820" max="4054" width="8.7109375" style="338"/>
    <col min="4055" max="4055" width="19.140625" style="338" customWidth="1"/>
    <col min="4056" max="4056" width="10.5703125" style="338" customWidth="1"/>
    <col min="4057" max="4061" width="8.5703125" style="338" customWidth="1"/>
    <col min="4062" max="4062" width="9.85546875" style="338" customWidth="1"/>
    <col min="4063" max="4063" width="12.42578125" style="338" customWidth="1"/>
    <col min="4064" max="4064" width="8.85546875" style="338" customWidth="1"/>
    <col min="4065" max="4065" width="15.5703125" style="338" customWidth="1"/>
    <col min="4066" max="4074" width="8.7109375" style="338"/>
    <col min="4075" max="4075" width="14.5703125" style="338" customWidth="1"/>
    <col min="4076" max="4310" width="8.7109375" style="338"/>
    <col min="4311" max="4311" width="19.140625" style="338" customWidth="1"/>
    <col min="4312" max="4312" width="10.5703125" style="338" customWidth="1"/>
    <col min="4313" max="4317" width="8.5703125" style="338" customWidth="1"/>
    <col min="4318" max="4318" width="9.85546875" style="338" customWidth="1"/>
    <col min="4319" max="4319" width="12.42578125" style="338" customWidth="1"/>
    <col min="4320" max="4320" width="8.85546875" style="338" customWidth="1"/>
    <col min="4321" max="4321" width="15.5703125" style="338" customWidth="1"/>
    <col min="4322" max="4330" width="8.7109375" style="338"/>
    <col min="4331" max="4331" width="14.5703125" style="338" customWidth="1"/>
    <col min="4332" max="4566" width="8.7109375" style="338"/>
    <col min="4567" max="4567" width="19.140625" style="338" customWidth="1"/>
    <col min="4568" max="4568" width="10.5703125" style="338" customWidth="1"/>
    <col min="4569" max="4573" width="8.5703125" style="338" customWidth="1"/>
    <col min="4574" max="4574" width="9.85546875" style="338" customWidth="1"/>
    <col min="4575" max="4575" width="12.42578125" style="338" customWidth="1"/>
    <col min="4576" max="4576" width="8.85546875" style="338" customWidth="1"/>
    <col min="4577" max="4577" width="15.5703125" style="338" customWidth="1"/>
    <col min="4578" max="4586" width="8.7109375" style="338"/>
    <col min="4587" max="4587" width="14.5703125" style="338" customWidth="1"/>
    <col min="4588" max="4822" width="8.7109375" style="338"/>
    <col min="4823" max="4823" width="19.140625" style="338" customWidth="1"/>
    <col min="4824" max="4824" width="10.5703125" style="338" customWidth="1"/>
    <col min="4825" max="4829" width="8.5703125" style="338" customWidth="1"/>
    <col min="4830" max="4830" width="9.85546875" style="338" customWidth="1"/>
    <col min="4831" max="4831" width="12.42578125" style="338" customWidth="1"/>
    <col min="4832" max="4832" width="8.85546875" style="338" customWidth="1"/>
    <col min="4833" max="4833" width="15.5703125" style="338" customWidth="1"/>
    <col min="4834" max="4842" width="8.7109375" style="338"/>
    <col min="4843" max="4843" width="14.5703125" style="338" customWidth="1"/>
    <col min="4844" max="5078" width="8.7109375" style="338"/>
    <col min="5079" max="5079" width="19.140625" style="338" customWidth="1"/>
    <col min="5080" max="5080" width="10.5703125" style="338" customWidth="1"/>
    <col min="5081" max="5085" width="8.5703125" style="338" customWidth="1"/>
    <col min="5086" max="5086" width="9.85546875" style="338" customWidth="1"/>
    <col min="5087" max="5087" width="12.42578125" style="338" customWidth="1"/>
    <col min="5088" max="5088" width="8.85546875" style="338" customWidth="1"/>
    <col min="5089" max="5089" width="15.5703125" style="338" customWidth="1"/>
    <col min="5090" max="5098" width="8.7109375" style="338"/>
    <col min="5099" max="5099" width="14.5703125" style="338" customWidth="1"/>
    <col min="5100" max="5334" width="8.7109375" style="338"/>
    <col min="5335" max="5335" width="19.140625" style="338" customWidth="1"/>
    <col min="5336" max="5336" width="10.5703125" style="338" customWidth="1"/>
    <col min="5337" max="5341" width="8.5703125" style="338" customWidth="1"/>
    <col min="5342" max="5342" width="9.85546875" style="338" customWidth="1"/>
    <col min="5343" max="5343" width="12.42578125" style="338" customWidth="1"/>
    <col min="5344" max="5344" width="8.85546875" style="338" customWidth="1"/>
    <col min="5345" max="5345" width="15.5703125" style="338" customWidth="1"/>
    <col min="5346" max="5354" width="8.7109375" style="338"/>
    <col min="5355" max="5355" width="14.5703125" style="338" customWidth="1"/>
    <col min="5356" max="5590" width="8.7109375" style="338"/>
    <col min="5591" max="5591" width="19.140625" style="338" customWidth="1"/>
    <col min="5592" max="5592" width="10.5703125" style="338" customWidth="1"/>
    <col min="5593" max="5597" width="8.5703125" style="338" customWidth="1"/>
    <col min="5598" max="5598" width="9.85546875" style="338" customWidth="1"/>
    <col min="5599" max="5599" width="12.42578125" style="338" customWidth="1"/>
    <col min="5600" max="5600" width="8.85546875" style="338" customWidth="1"/>
    <col min="5601" max="5601" width="15.5703125" style="338" customWidth="1"/>
    <col min="5602" max="5610" width="8.7109375" style="338"/>
    <col min="5611" max="5611" width="14.5703125" style="338" customWidth="1"/>
    <col min="5612" max="5846" width="8.7109375" style="338"/>
    <col min="5847" max="5847" width="19.140625" style="338" customWidth="1"/>
    <col min="5848" max="5848" width="10.5703125" style="338" customWidth="1"/>
    <col min="5849" max="5853" width="8.5703125" style="338" customWidth="1"/>
    <col min="5854" max="5854" width="9.85546875" style="338" customWidth="1"/>
    <col min="5855" max="5855" width="12.42578125" style="338" customWidth="1"/>
    <col min="5856" max="5856" width="8.85546875" style="338" customWidth="1"/>
    <col min="5857" max="5857" width="15.5703125" style="338" customWidth="1"/>
    <col min="5858" max="5866" width="8.7109375" style="338"/>
    <col min="5867" max="5867" width="14.5703125" style="338" customWidth="1"/>
    <col min="5868" max="6102" width="8.7109375" style="338"/>
    <col min="6103" max="6103" width="19.140625" style="338" customWidth="1"/>
    <col min="6104" max="6104" width="10.5703125" style="338" customWidth="1"/>
    <col min="6105" max="6109" width="8.5703125" style="338" customWidth="1"/>
    <col min="6110" max="6110" width="9.85546875" style="338" customWidth="1"/>
    <col min="6111" max="6111" width="12.42578125" style="338" customWidth="1"/>
    <col min="6112" max="6112" width="8.85546875" style="338" customWidth="1"/>
    <col min="6113" max="6113" width="15.5703125" style="338" customWidth="1"/>
    <col min="6114" max="6122" width="8.7109375" style="338"/>
    <col min="6123" max="6123" width="14.5703125" style="338" customWidth="1"/>
    <col min="6124" max="6358" width="8.7109375" style="338"/>
    <col min="6359" max="6359" width="19.140625" style="338" customWidth="1"/>
    <col min="6360" max="6360" width="10.5703125" style="338" customWidth="1"/>
    <col min="6361" max="6365" width="8.5703125" style="338" customWidth="1"/>
    <col min="6366" max="6366" width="9.85546875" style="338" customWidth="1"/>
    <col min="6367" max="6367" width="12.42578125" style="338" customWidth="1"/>
    <col min="6368" max="6368" width="8.85546875" style="338" customWidth="1"/>
    <col min="6369" max="6369" width="15.5703125" style="338" customWidth="1"/>
    <col min="6370" max="6378" width="8.7109375" style="338"/>
    <col min="6379" max="6379" width="14.5703125" style="338" customWidth="1"/>
    <col min="6380" max="6614" width="8.7109375" style="338"/>
    <col min="6615" max="6615" width="19.140625" style="338" customWidth="1"/>
    <col min="6616" max="6616" width="10.5703125" style="338" customWidth="1"/>
    <col min="6617" max="6621" width="8.5703125" style="338" customWidth="1"/>
    <col min="6622" max="6622" width="9.85546875" style="338" customWidth="1"/>
    <col min="6623" max="6623" width="12.42578125" style="338" customWidth="1"/>
    <col min="6624" max="6624" width="8.85546875" style="338" customWidth="1"/>
    <col min="6625" max="6625" width="15.5703125" style="338" customWidth="1"/>
    <col min="6626" max="6634" width="8.7109375" style="338"/>
    <col min="6635" max="6635" width="14.5703125" style="338" customWidth="1"/>
    <col min="6636" max="6870" width="8.7109375" style="338"/>
    <col min="6871" max="6871" width="19.140625" style="338" customWidth="1"/>
    <col min="6872" max="6872" width="10.5703125" style="338" customWidth="1"/>
    <col min="6873" max="6877" width="8.5703125" style="338" customWidth="1"/>
    <col min="6878" max="6878" width="9.85546875" style="338" customWidth="1"/>
    <col min="6879" max="6879" width="12.42578125" style="338" customWidth="1"/>
    <col min="6880" max="6880" width="8.85546875" style="338" customWidth="1"/>
    <col min="6881" max="6881" width="15.5703125" style="338" customWidth="1"/>
    <col min="6882" max="6890" width="8.7109375" style="338"/>
    <col min="6891" max="6891" width="14.5703125" style="338" customWidth="1"/>
    <col min="6892" max="7126" width="8.7109375" style="338"/>
    <col min="7127" max="7127" width="19.140625" style="338" customWidth="1"/>
    <col min="7128" max="7128" width="10.5703125" style="338" customWidth="1"/>
    <col min="7129" max="7133" width="8.5703125" style="338" customWidth="1"/>
    <col min="7134" max="7134" width="9.85546875" style="338" customWidth="1"/>
    <col min="7135" max="7135" width="12.42578125" style="338" customWidth="1"/>
    <col min="7136" max="7136" width="8.85546875" style="338" customWidth="1"/>
    <col min="7137" max="7137" width="15.5703125" style="338" customWidth="1"/>
    <col min="7138" max="7146" width="8.7109375" style="338"/>
    <col min="7147" max="7147" width="14.5703125" style="338" customWidth="1"/>
    <col min="7148" max="7382" width="8.7109375" style="338"/>
    <col min="7383" max="7383" width="19.140625" style="338" customWidth="1"/>
    <col min="7384" max="7384" width="10.5703125" style="338" customWidth="1"/>
    <col min="7385" max="7389" width="8.5703125" style="338" customWidth="1"/>
    <col min="7390" max="7390" width="9.85546875" style="338" customWidth="1"/>
    <col min="7391" max="7391" width="12.42578125" style="338" customWidth="1"/>
    <col min="7392" max="7392" width="8.85546875" style="338" customWidth="1"/>
    <col min="7393" max="7393" width="15.5703125" style="338" customWidth="1"/>
    <col min="7394" max="7402" width="8.7109375" style="338"/>
    <col min="7403" max="7403" width="14.5703125" style="338" customWidth="1"/>
    <col min="7404" max="7638" width="8.7109375" style="338"/>
    <col min="7639" max="7639" width="19.140625" style="338" customWidth="1"/>
    <col min="7640" max="7640" width="10.5703125" style="338" customWidth="1"/>
    <col min="7641" max="7645" width="8.5703125" style="338" customWidth="1"/>
    <col min="7646" max="7646" width="9.85546875" style="338" customWidth="1"/>
    <col min="7647" max="7647" width="12.42578125" style="338" customWidth="1"/>
    <col min="7648" max="7648" width="8.85546875" style="338" customWidth="1"/>
    <col min="7649" max="7649" width="15.5703125" style="338" customWidth="1"/>
    <col min="7650" max="7658" width="8.7109375" style="338"/>
    <col min="7659" max="7659" width="14.5703125" style="338" customWidth="1"/>
    <col min="7660" max="7894" width="8.7109375" style="338"/>
    <col min="7895" max="7895" width="19.140625" style="338" customWidth="1"/>
    <col min="7896" max="7896" width="10.5703125" style="338" customWidth="1"/>
    <col min="7897" max="7901" width="8.5703125" style="338" customWidth="1"/>
    <col min="7902" max="7902" width="9.85546875" style="338" customWidth="1"/>
    <col min="7903" max="7903" width="12.42578125" style="338" customWidth="1"/>
    <col min="7904" max="7904" width="8.85546875" style="338" customWidth="1"/>
    <col min="7905" max="7905" width="15.5703125" style="338" customWidth="1"/>
    <col min="7906" max="7914" width="8.7109375" style="338"/>
    <col min="7915" max="7915" width="14.5703125" style="338" customWidth="1"/>
    <col min="7916" max="8150" width="8.7109375" style="338"/>
    <col min="8151" max="8151" width="19.140625" style="338" customWidth="1"/>
    <col min="8152" max="8152" width="10.5703125" style="338" customWidth="1"/>
    <col min="8153" max="8157" width="8.5703125" style="338" customWidth="1"/>
    <col min="8158" max="8158" width="9.85546875" style="338" customWidth="1"/>
    <col min="8159" max="8159" width="12.42578125" style="338" customWidth="1"/>
    <col min="8160" max="8160" width="8.85546875" style="338" customWidth="1"/>
    <col min="8161" max="8161" width="15.5703125" style="338" customWidth="1"/>
    <col min="8162" max="8170" width="8.7109375" style="338"/>
    <col min="8171" max="8171" width="14.5703125" style="338" customWidth="1"/>
    <col min="8172" max="8406" width="8.7109375" style="338"/>
    <col min="8407" max="8407" width="19.140625" style="338" customWidth="1"/>
    <col min="8408" max="8408" width="10.5703125" style="338" customWidth="1"/>
    <col min="8409" max="8413" width="8.5703125" style="338" customWidth="1"/>
    <col min="8414" max="8414" width="9.85546875" style="338" customWidth="1"/>
    <col min="8415" max="8415" width="12.42578125" style="338" customWidth="1"/>
    <col min="8416" max="8416" width="8.85546875" style="338" customWidth="1"/>
    <col min="8417" max="8417" width="15.5703125" style="338" customWidth="1"/>
    <col min="8418" max="8426" width="8.7109375" style="338"/>
    <col min="8427" max="8427" width="14.5703125" style="338" customWidth="1"/>
    <col min="8428" max="8662" width="8.7109375" style="338"/>
    <col min="8663" max="8663" width="19.140625" style="338" customWidth="1"/>
    <col min="8664" max="8664" width="10.5703125" style="338" customWidth="1"/>
    <col min="8665" max="8669" width="8.5703125" style="338" customWidth="1"/>
    <col min="8670" max="8670" width="9.85546875" style="338" customWidth="1"/>
    <col min="8671" max="8671" width="12.42578125" style="338" customWidth="1"/>
    <col min="8672" max="8672" width="8.85546875" style="338" customWidth="1"/>
    <col min="8673" max="8673" width="15.5703125" style="338" customWidth="1"/>
    <col min="8674" max="8682" width="8.7109375" style="338"/>
    <col min="8683" max="8683" width="14.5703125" style="338" customWidth="1"/>
    <col min="8684" max="8918" width="8.7109375" style="338"/>
    <col min="8919" max="8919" width="19.140625" style="338" customWidth="1"/>
    <col min="8920" max="8920" width="10.5703125" style="338" customWidth="1"/>
    <col min="8921" max="8925" width="8.5703125" style="338" customWidth="1"/>
    <col min="8926" max="8926" width="9.85546875" style="338" customWidth="1"/>
    <col min="8927" max="8927" width="12.42578125" style="338" customWidth="1"/>
    <col min="8928" max="8928" width="8.85546875" style="338" customWidth="1"/>
    <col min="8929" max="8929" width="15.5703125" style="338" customWidth="1"/>
    <col min="8930" max="8938" width="8.7109375" style="338"/>
    <col min="8939" max="8939" width="14.5703125" style="338" customWidth="1"/>
    <col min="8940" max="9174" width="8.7109375" style="338"/>
    <col min="9175" max="9175" width="19.140625" style="338" customWidth="1"/>
    <col min="9176" max="9176" width="10.5703125" style="338" customWidth="1"/>
    <col min="9177" max="9181" width="8.5703125" style="338" customWidth="1"/>
    <col min="9182" max="9182" width="9.85546875" style="338" customWidth="1"/>
    <col min="9183" max="9183" width="12.42578125" style="338" customWidth="1"/>
    <col min="9184" max="9184" width="8.85546875" style="338" customWidth="1"/>
    <col min="9185" max="9185" width="15.5703125" style="338" customWidth="1"/>
    <col min="9186" max="9194" width="8.7109375" style="338"/>
    <col min="9195" max="9195" width="14.5703125" style="338" customWidth="1"/>
    <col min="9196" max="9430" width="8.7109375" style="338"/>
    <col min="9431" max="9431" width="19.140625" style="338" customWidth="1"/>
    <col min="9432" max="9432" width="10.5703125" style="338" customWidth="1"/>
    <col min="9433" max="9437" width="8.5703125" style="338" customWidth="1"/>
    <col min="9438" max="9438" width="9.85546875" style="338" customWidth="1"/>
    <col min="9439" max="9439" width="12.42578125" style="338" customWidth="1"/>
    <col min="9440" max="9440" width="8.85546875" style="338" customWidth="1"/>
    <col min="9441" max="9441" width="15.5703125" style="338" customWidth="1"/>
    <col min="9442" max="9450" width="8.7109375" style="338"/>
    <col min="9451" max="9451" width="14.5703125" style="338" customWidth="1"/>
    <col min="9452" max="9686" width="8.7109375" style="338"/>
    <col min="9687" max="9687" width="19.140625" style="338" customWidth="1"/>
    <col min="9688" max="9688" width="10.5703125" style="338" customWidth="1"/>
    <col min="9689" max="9693" width="8.5703125" style="338" customWidth="1"/>
    <col min="9694" max="9694" width="9.85546875" style="338" customWidth="1"/>
    <col min="9695" max="9695" width="12.42578125" style="338" customWidth="1"/>
    <col min="9696" max="9696" width="8.85546875" style="338" customWidth="1"/>
    <col min="9697" max="9697" width="15.5703125" style="338" customWidth="1"/>
    <col min="9698" max="9706" width="8.7109375" style="338"/>
    <col min="9707" max="9707" width="14.5703125" style="338" customWidth="1"/>
    <col min="9708" max="9942" width="8.7109375" style="338"/>
    <col min="9943" max="9943" width="19.140625" style="338" customWidth="1"/>
    <col min="9944" max="9944" width="10.5703125" style="338" customWidth="1"/>
    <col min="9945" max="9949" width="8.5703125" style="338" customWidth="1"/>
    <col min="9950" max="9950" width="9.85546875" style="338" customWidth="1"/>
    <col min="9951" max="9951" width="12.42578125" style="338" customWidth="1"/>
    <col min="9952" max="9952" width="8.85546875" style="338" customWidth="1"/>
    <col min="9953" max="9953" width="15.5703125" style="338" customWidth="1"/>
    <col min="9954" max="9962" width="8.7109375" style="338"/>
    <col min="9963" max="9963" width="14.5703125" style="338" customWidth="1"/>
    <col min="9964" max="10198" width="8.7109375" style="338"/>
    <col min="10199" max="10199" width="19.140625" style="338" customWidth="1"/>
    <col min="10200" max="10200" width="10.5703125" style="338" customWidth="1"/>
    <col min="10201" max="10205" width="8.5703125" style="338" customWidth="1"/>
    <col min="10206" max="10206" width="9.85546875" style="338" customWidth="1"/>
    <col min="10207" max="10207" width="12.42578125" style="338" customWidth="1"/>
    <col min="10208" max="10208" width="8.85546875" style="338" customWidth="1"/>
    <col min="10209" max="10209" width="15.5703125" style="338" customWidth="1"/>
    <col min="10210" max="10218" width="8.7109375" style="338"/>
    <col min="10219" max="10219" width="14.5703125" style="338" customWidth="1"/>
    <col min="10220" max="10454" width="8.7109375" style="338"/>
    <col min="10455" max="10455" width="19.140625" style="338" customWidth="1"/>
    <col min="10456" max="10456" width="10.5703125" style="338" customWidth="1"/>
    <col min="10457" max="10461" width="8.5703125" style="338" customWidth="1"/>
    <col min="10462" max="10462" width="9.85546875" style="338" customWidth="1"/>
    <col min="10463" max="10463" width="12.42578125" style="338" customWidth="1"/>
    <col min="10464" max="10464" width="8.85546875" style="338" customWidth="1"/>
    <col min="10465" max="10465" width="15.5703125" style="338" customWidth="1"/>
    <col min="10466" max="10474" width="8.7109375" style="338"/>
    <col min="10475" max="10475" width="14.5703125" style="338" customWidth="1"/>
    <col min="10476" max="10710" width="8.7109375" style="338"/>
    <col min="10711" max="10711" width="19.140625" style="338" customWidth="1"/>
    <col min="10712" max="10712" width="10.5703125" style="338" customWidth="1"/>
    <col min="10713" max="10717" width="8.5703125" style="338" customWidth="1"/>
    <col min="10718" max="10718" width="9.85546875" style="338" customWidth="1"/>
    <col min="10719" max="10719" width="12.42578125" style="338" customWidth="1"/>
    <col min="10720" max="10720" width="8.85546875" style="338" customWidth="1"/>
    <col min="10721" max="10721" width="15.5703125" style="338" customWidth="1"/>
    <col min="10722" max="10730" width="8.7109375" style="338"/>
    <col min="10731" max="10731" width="14.5703125" style="338" customWidth="1"/>
    <col min="10732" max="10966" width="8.7109375" style="338"/>
    <col min="10967" max="10967" width="19.140625" style="338" customWidth="1"/>
    <col min="10968" max="10968" width="10.5703125" style="338" customWidth="1"/>
    <col min="10969" max="10973" width="8.5703125" style="338" customWidth="1"/>
    <col min="10974" max="10974" width="9.85546875" style="338" customWidth="1"/>
    <col min="10975" max="10975" width="12.42578125" style="338" customWidth="1"/>
    <col min="10976" max="10976" width="8.85546875" style="338" customWidth="1"/>
    <col min="10977" max="10977" width="15.5703125" style="338" customWidth="1"/>
    <col min="10978" max="10986" width="8.7109375" style="338"/>
    <col min="10987" max="10987" width="14.5703125" style="338" customWidth="1"/>
    <col min="10988" max="11222" width="8.7109375" style="338"/>
    <col min="11223" max="11223" width="19.140625" style="338" customWidth="1"/>
    <col min="11224" max="11224" width="10.5703125" style="338" customWidth="1"/>
    <col min="11225" max="11229" width="8.5703125" style="338" customWidth="1"/>
    <col min="11230" max="11230" width="9.85546875" style="338" customWidth="1"/>
    <col min="11231" max="11231" width="12.42578125" style="338" customWidth="1"/>
    <col min="11232" max="11232" width="8.85546875" style="338" customWidth="1"/>
    <col min="11233" max="11233" width="15.5703125" style="338" customWidth="1"/>
    <col min="11234" max="11242" width="8.7109375" style="338"/>
    <col min="11243" max="11243" width="14.5703125" style="338" customWidth="1"/>
    <col min="11244" max="11478" width="8.7109375" style="338"/>
    <col min="11479" max="11479" width="19.140625" style="338" customWidth="1"/>
    <col min="11480" max="11480" width="10.5703125" style="338" customWidth="1"/>
    <col min="11481" max="11485" width="8.5703125" style="338" customWidth="1"/>
    <col min="11486" max="11486" width="9.85546875" style="338" customWidth="1"/>
    <col min="11487" max="11487" width="12.42578125" style="338" customWidth="1"/>
    <col min="11488" max="11488" width="8.85546875" style="338" customWidth="1"/>
    <col min="11489" max="11489" width="15.5703125" style="338" customWidth="1"/>
    <col min="11490" max="11498" width="8.7109375" style="338"/>
    <col min="11499" max="11499" width="14.5703125" style="338" customWidth="1"/>
    <col min="11500" max="11734" width="8.7109375" style="338"/>
    <col min="11735" max="11735" width="19.140625" style="338" customWidth="1"/>
    <col min="11736" max="11736" width="10.5703125" style="338" customWidth="1"/>
    <col min="11737" max="11741" width="8.5703125" style="338" customWidth="1"/>
    <col min="11742" max="11742" width="9.85546875" style="338" customWidth="1"/>
    <col min="11743" max="11743" width="12.42578125" style="338" customWidth="1"/>
    <col min="11744" max="11744" width="8.85546875" style="338" customWidth="1"/>
    <col min="11745" max="11745" width="15.5703125" style="338" customWidth="1"/>
    <col min="11746" max="11754" width="8.7109375" style="338"/>
    <col min="11755" max="11755" width="14.5703125" style="338" customWidth="1"/>
    <col min="11756" max="11990" width="8.7109375" style="338"/>
    <col min="11991" max="11991" width="19.140625" style="338" customWidth="1"/>
    <col min="11992" max="11992" width="10.5703125" style="338" customWidth="1"/>
    <col min="11993" max="11997" width="8.5703125" style="338" customWidth="1"/>
    <col min="11998" max="11998" width="9.85546875" style="338" customWidth="1"/>
    <col min="11999" max="11999" width="12.42578125" style="338" customWidth="1"/>
    <col min="12000" max="12000" width="8.85546875" style="338" customWidth="1"/>
    <col min="12001" max="12001" width="15.5703125" style="338" customWidth="1"/>
    <col min="12002" max="12010" width="8.7109375" style="338"/>
    <col min="12011" max="12011" width="14.5703125" style="338" customWidth="1"/>
    <col min="12012" max="12246" width="8.7109375" style="338"/>
    <col min="12247" max="12247" width="19.140625" style="338" customWidth="1"/>
    <col min="12248" max="12248" width="10.5703125" style="338" customWidth="1"/>
    <col min="12249" max="12253" width="8.5703125" style="338" customWidth="1"/>
    <col min="12254" max="12254" width="9.85546875" style="338" customWidth="1"/>
    <col min="12255" max="12255" width="12.42578125" style="338" customWidth="1"/>
    <col min="12256" max="12256" width="8.85546875" style="338" customWidth="1"/>
    <col min="12257" max="12257" width="15.5703125" style="338" customWidth="1"/>
    <col min="12258" max="12266" width="8.7109375" style="338"/>
    <col min="12267" max="12267" width="14.5703125" style="338" customWidth="1"/>
    <col min="12268" max="12502" width="8.7109375" style="338"/>
    <col min="12503" max="12503" width="19.140625" style="338" customWidth="1"/>
    <col min="12504" max="12504" width="10.5703125" style="338" customWidth="1"/>
    <col min="12505" max="12509" width="8.5703125" style="338" customWidth="1"/>
    <col min="12510" max="12510" width="9.85546875" style="338" customWidth="1"/>
    <col min="12511" max="12511" width="12.42578125" style="338" customWidth="1"/>
    <col min="12512" max="12512" width="8.85546875" style="338" customWidth="1"/>
    <col min="12513" max="12513" width="15.5703125" style="338" customWidth="1"/>
    <col min="12514" max="12522" width="8.7109375" style="338"/>
    <col min="12523" max="12523" width="14.5703125" style="338" customWidth="1"/>
    <col min="12524" max="12758" width="8.7109375" style="338"/>
    <col min="12759" max="12759" width="19.140625" style="338" customWidth="1"/>
    <col min="12760" max="12760" width="10.5703125" style="338" customWidth="1"/>
    <col min="12761" max="12765" width="8.5703125" style="338" customWidth="1"/>
    <col min="12766" max="12766" width="9.85546875" style="338" customWidth="1"/>
    <col min="12767" max="12767" width="12.42578125" style="338" customWidth="1"/>
    <col min="12768" max="12768" width="8.85546875" style="338" customWidth="1"/>
    <col min="12769" max="12769" width="15.5703125" style="338" customWidth="1"/>
    <col min="12770" max="12778" width="8.7109375" style="338"/>
    <col min="12779" max="12779" width="14.5703125" style="338" customWidth="1"/>
    <col min="12780" max="13014" width="8.7109375" style="338"/>
    <col min="13015" max="13015" width="19.140625" style="338" customWidth="1"/>
    <col min="13016" max="13016" width="10.5703125" style="338" customWidth="1"/>
    <col min="13017" max="13021" width="8.5703125" style="338" customWidth="1"/>
    <col min="13022" max="13022" width="9.85546875" style="338" customWidth="1"/>
    <col min="13023" max="13023" width="12.42578125" style="338" customWidth="1"/>
    <col min="13024" max="13024" width="8.85546875" style="338" customWidth="1"/>
    <col min="13025" max="13025" width="15.5703125" style="338" customWidth="1"/>
    <col min="13026" max="13034" width="8.7109375" style="338"/>
    <col min="13035" max="13035" width="14.5703125" style="338" customWidth="1"/>
    <col min="13036" max="13270" width="8.7109375" style="338"/>
    <col min="13271" max="13271" width="19.140625" style="338" customWidth="1"/>
    <col min="13272" max="13272" width="10.5703125" style="338" customWidth="1"/>
    <col min="13273" max="13277" width="8.5703125" style="338" customWidth="1"/>
    <col min="13278" max="13278" width="9.85546875" style="338" customWidth="1"/>
    <col min="13279" max="13279" width="12.42578125" style="338" customWidth="1"/>
    <col min="13280" max="13280" width="8.85546875" style="338" customWidth="1"/>
    <col min="13281" max="13281" width="15.5703125" style="338" customWidth="1"/>
    <col min="13282" max="13290" width="8.7109375" style="338"/>
    <col min="13291" max="13291" width="14.5703125" style="338" customWidth="1"/>
    <col min="13292" max="13526" width="8.7109375" style="338"/>
    <col min="13527" max="13527" width="19.140625" style="338" customWidth="1"/>
    <col min="13528" max="13528" width="10.5703125" style="338" customWidth="1"/>
    <col min="13529" max="13533" width="8.5703125" style="338" customWidth="1"/>
    <col min="13534" max="13534" width="9.85546875" style="338" customWidth="1"/>
    <col min="13535" max="13535" width="12.42578125" style="338" customWidth="1"/>
    <col min="13536" max="13536" width="8.85546875" style="338" customWidth="1"/>
    <col min="13537" max="13537" width="15.5703125" style="338" customWidth="1"/>
    <col min="13538" max="13546" width="8.7109375" style="338"/>
    <col min="13547" max="13547" width="14.5703125" style="338" customWidth="1"/>
    <col min="13548" max="13782" width="8.7109375" style="338"/>
    <col min="13783" max="13783" width="19.140625" style="338" customWidth="1"/>
    <col min="13784" max="13784" width="10.5703125" style="338" customWidth="1"/>
    <col min="13785" max="13789" width="8.5703125" style="338" customWidth="1"/>
    <col min="13790" max="13790" width="9.85546875" style="338" customWidth="1"/>
    <col min="13791" max="13791" width="12.42578125" style="338" customWidth="1"/>
    <col min="13792" max="13792" width="8.85546875" style="338" customWidth="1"/>
    <col min="13793" max="13793" width="15.5703125" style="338" customWidth="1"/>
    <col min="13794" max="13802" width="8.7109375" style="338"/>
    <col min="13803" max="13803" width="14.5703125" style="338" customWidth="1"/>
    <col min="13804" max="14038" width="8.7109375" style="338"/>
    <col min="14039" max="14039" width="19.140625" style="338" customWidth="1"/>
    <col min="14040" max="14040" width="10.5703125" style="338" customWidth="1"/>
    <col min="14041" max="14045" width="8.5703125" style="338" customWidth="1"/>
    <col min="14046" max="14046" width="9.85546875" style="338" customWidth="1"/>
    <col min="14047" max="14047" width="12.42578125" style="338" customWidth="1"/>
    <col min="14048" max="14048" width="8.85546875" style="338" customWidth="1"/>
    <col min="14049" max="14049" width="15.5703125" style="338" customWidth="1"/>
    <col min="14050" max="14058" width="8.7109375" style="338"/>
    <col min="14059" max="14059" width="14.5703125" style="338" customWidth="1"/>
    <col min="14060" max="14294" width="8.7109375" style="338"/>
    <col min="14295" max="14295" width="19.140625" style="338" customWidth="1"/>
    <col min="14296" max="14296" width="10.5703125" style="338" customWidth="1"/>
    <col min="14297" max="14301" width="8.5703125" style="338" customWidth="1"/>
    <col min="14302" max="14302" width="9.85546875" style="338" customWidth="1"/>
    <col min="14303" max="14303" width="12.42578125" style="338" customWidth="1"/>
    <col min="14304" max="14304" width="8.85546875" style="338" customWidth="1"/>
    <col min="14305" max="14305" width="15.5703125" style="338" customWidth="1"/>
    <col min="14306" max="14314" width="8.7109375" style="338"/>
    <col min="14315" max="14315" width="14.5703125" style="338" customWidth="1"/>
    <col min="14316" max="14550" width="8.7109375" style="338"/>
    <col min="14551" max="14551" width="19.140625" style="338" customWidth="1"/>
    <col min="14552" max="14552" width="10.5703125" style="338" customWidth="1"/>
    <col min="14553" max="14557" width="8.5703125" style="338" customWidth="1"/>
    <col min="14558" max="14558" width="9.85546875" style="338" customWidth="1"/>
    <col min="14559" max="14559" width="12.42578125" style="338" customWidth="1"/>
    <col min="14560" max="14560" width="8.85546875" style="338" customWidth="1"/>
    <col min="14561" max="14561" width="15.5703125" style="338" customWidth="1"/>
    <col min="14562" max="14570" width="8.7109375" style="338"/>
    <col min="14571" max="14571" width="14.5703125" style="338" customWidth="1"/>
    <col min="14572" max="14806" width="8.7109375" style="338"/>
    <col min="14807" max="14807" width="19.140625" style="338" customWidth="1"/>
    <col min="14808" max="14808" width="10.5703125" style="338" customWidth="1"/>
    <col min="14809" max="14813" width="8.5703125" style="338" customWidth="1"/>
    <col min="14814" max="14814" width="9.85546875" style="338" customWidth="1"/>
    <col min="14815" max="14815" width="12.42578125" style="338" customWidth="1"/>
    <col min="14816" max="14816" width="8.85546875" style="338" customWidth="1"/>
    <col min="14817" max="14817" width="15.5703125" style="338" customWidth="1"/>
    <col min="14818" max="14826" width="8.7109375" style="338"/>
    <col min="14827" max="14827" width="14.5703125" style="338" customWidth="1"/>
    <col min="14828" max="15062" width="8.7109375" style="338"/>
    <col min="15063" max="15063" width="19.140625" style="338" customWidth="1"/>
    <col min="15064" max="15064" width="10.5703125" style="338" customWidth="1"/>
    <col min="15065" max="15069" width="8.5703125" style="338" customWidth="1"/>
    <col min="15070" max="15070" width="9.85546875" style="338" customWidth="1"/>
    <col min="15071" max="15071" width="12.42578125" style="338" customWidth="1"/>
    <col min="15072" max="15072" width="8.85546875" style="338" customWidth="1"/>
    <col min="15073" max="15073" width="15.5703125" style="338" customWidth="1"/>
    <col min="15074" max="15082" width="8.7109375" style="338"/>
    <col min="15083" max="15083" width="14.5703125" style="338" customWidth="1"/>
    <col min="15084" max="15318" width="8.7109375" style="338"/>
    <col min="15319" max="15319" width="19.140625" style="338" customWidth="1"/>
    <col min="15320" max="15320" width="10.5703125" style="338" customWidth="1"/>
    <col min="15321" max="15325" width="8.5703125" style="338" customWidth="1"/>
    <col min="15326" max="15326" width="9.85546875" style="338" customWidth="1"/>
    <col min="15327" max="15327" width="12.42578125" style="338" customWidth="1"/>
    <col min="15328" max="15328" width="8.85546875" style="338" customWidth="1"/>
    <col min="15329" max="15329" width="15.5703125" style="338" customWidth="1"/>
    <col min="15330" max="15338" width="8.7109375" style="338"/>
    <col min="15339" max="15339" width="14.5703125" style="338" customWidth="1"/>
    <col min="15340" max="15574" width="8.7109375" style="338"/>
    <col min="15575" max="15575" width="19.140625" style="338" customWidth="1"/>
    <col min="15576" max="15576" width="10.5703125" style="338" customWidth="1"/>
    <col min="15577" max="15581" width="8.5703125" style="338" customWidth="1"/>
    <col min="15582" max="15582" width="9.85546875" style="338" customWidth="1"/>
    <col min="15583" max="15583" width="12.42578125" style="338" customWidth="1"/>
    <col min="15584" max="15584" width="8.85546875" style="338" customWidth="1"/>
    <col min="15585" max="15585" width="15.5703125" style="338" customWidth="1"/>
    <col min="15586" max="15594" width="8.7109375" style="338"/>
    <col min="15595" max="15595" width="14.5703125" style="338" customWidth="1"/>
    <col min="15596" max="15830" width="8.7109375" style="338"/>
    <col min="15831" max="15831" width="19.140625" style="338" customWidth="1"/>
    <col min="15832" max="15832" width="10.5703125" style="338" customWidth="1"/>
    <col min="15833" max="15837" width="8.5703125" style="338" customWidth="1"/>
    <col min="15838" max="15838" width="9.85546875" style="338" customWidth="1"/>
    <col min="15839" max="15839" width="12.42578125" style="338" customWidth="1"/>
    <col min="15840" max="15840" width="8.85546875" style="338" customWidth="1"/>
    <col min="15841" max="15841" width="15.5703125" style="338" customWidth="1"/>
    <col min="15842" max="15850" width="8.7109375" style="338"/>
    <col min="15851" max="15851" width="14.5703125" style="338" customWidth="1"/>
    <col min="15852" max="16086" width="8.7109375" style="338"/>
    <col min="16087" max="16087" width="19.140625" style="338" customWidth="1"/>
    <col min="16088" max="16088" width="10.5703125" style="338" customWidth="1"/>
    <col min="16089" max="16093" width="8.5703125" style="338" customWidth="1"/>
    <col min="16094" max="16094" width="9.85546875" style="338" customWidth="1"/>
    <col min="16095" max="16095" width="12.42578125" style="338" customWidth="1"/>
    <col min="16096" max="16096" width="8.85546875" style="338" customWidth="1"/>
    <col min="16097" max="16097" width="15.5703125" style="338" customWidth="1"/>
    <col min="16098" max="16106" width="8.7109375" style="338"/>
    <col min="16107" max="16107" width="14.5703125" style="338" customWidth="1"/>
    <col min="16108" max="16342" width="8.7109375" style="338"/>
    <col min="16343" max="16384" width="9.140625" style="338" customWidth="1"/>
  </cols>
  <sheetData>
    <row r="1" spans="1:208" x14ac:dyDescent="0.2">
      <c r="A1" s="624" t="s">
        <v>23</v>
      </c>
      <c r="B1" s="624"/>
      <c r="C1" s="624"/>
      <c r="D1" s="624"/>
      <c r="E1" s="624"/>
      <c r="F1" s="624"/>
      <c r="G1" s="624"/>
      <c r="H1" s="624"/>
      <c r="I1" s="624"/>
      <c r="J1" s="624"/>
      <c r="BQ1" s="624"/>
      <c r="BR1" s="624"/>
      <c r="BS1" s="624"/>
      <c r="BT1" s="624"/>
      <c r="BU1" s="624"/>
      <c r="BV1" s="624"/>
      <c r="BW1" s="624"/>
      <c r="BX1" s="624"/>
      <c r="BY1" s="624"/>
      <c r="BZ1" s="624"/>
      <c r="CA1" s="634"/>
      <c r="CB1" s="634"/>
      <c r="CC1" s="634"/>
      <c r="CD1" s="634"/>
      <c r="CE1" s="634"/>
      <c r="CF1" s="634"/>
      <c r="CG1" s="634"/>
      <c r="CH1" s="634"/>
      <c r="CI1" s="634"/>
      <c r="CJ1" s="634"/>
      <c r="CK1" s="633"/>
      <c r="CL1" s="633"/>
      <c r="CM1" s="633"/>
      <c r="CN1" s="633"/>
      <c r="CO1" s="633"/>
      <c r="CP1" s="633"/>
      <c r="CQ1" s="633"/>
      <c r="CR1" s="633"/>
      <c r="CS1" s="633"/>
      <c r="CT1" s="633"/>
      <c r="FW1" s="624"/>
      <c r="FX1" s="624"/>
      <c r="FY1" s="624"/>
      <c r="FZ1" s="624"/>
      <c r="GA1" s="624"/>
      <c r="GB1" s="624"/>
      <c r="GC1" s="624"/>
      <c r="GD1" s="624"/>
      <c r="GE1" s="624"/>
      <c r="GF1" s="624"/>
      <c r="GG1" s="634"/>
      <c r="GH1" s="634"/>
      <c r="GI1" s="634"/>
      <c r="GJ1" s="634"/>
      <c r="GK1" s="634"/>
      <c r="GL1" s="634"/>
      <c r="GM1" s="634"/>
      <c r="GN1" s="634"/>
      <c r="GO1" s="634"/>
      <c r="GP1" s="634"/>
      <c r="GQ1" s="633"/>
      <c r="GR1" s="633"/>
      <c r="GS1" s="633"/>
      <c r="GT1" s="633"/>
      <c r="GU1" s="633"/>
      <c r="GV1" s="633"/>
      <c r="GW1" s="633"/>
      <c r="GX1" s="633"/>
      <c r="GY1" s="633"/>
      <c r="GZ1" s="633"/>
    </row>
    <row r="2" spans="1:208" x14ac:dyDescent="0.2">
      <c r="A2" s="624" t="s">
        <v>91</v>
      </c>
      <c r="B2" s="624"/>
      <c r="C2" s="624"/>
      <c r="D2" s="624"/>
      <c r="E2" s="624"/>
      <c r="F2" s="624"/>
      <c r="G2" s="624"/>
      <c r="H2" s="624"/>
      <c r="I2" s="624"/>
      <c r="J2" s="624"/>
      <c r="BQ2" s="624"/>
      <c r="BR2" s="624"/>
      <c r="BS2" s="624"/>
      <c r="BT2" s="624"/>
      <c r="BU2" s="624"/>
      <c r="BV2" s="624"/>
      <c r="BW2" s="624"/>
      <c r="BX2" s="624"/>
      <c r="BY2" s="624"/>
      <c r="BZ2" s="624"/>
      <c r="CA2" s="634"/>
      <c r="CB2" s="634"/>
      <c r="CC2" s="634"/>
      <c r="CD2" s="634"/>
      <c r="CE2" s="634"/>
      <c r="CF2" s="634"/>
      <c r="CG2" s="634"/>
      <c r="CH2" s="634"/>
      <c r="CI2" s="634"/>
      <c r="CJ2" s="634"/>
      <c r="CK2" s="633"/>
      <c r="CL2" s="633"/>
      <c r="CM2" s="633"/>
      <c r="CN2" s="633"/>
      <c r="CO2" s="633"/>
      <c r="CP2" s="633"/>
      <c r="CQ2" s="633"/>
      <c r="CR2" s="633"/>
      <c r="CS2" s="633"/>
      <c r="CT2" s="633"/>
      <c r="FW2" s="624"/>
      <c r="FX2" s="624"/>
      <c r="FY2" s="624"/>
      <c r="FZ2" s="624"/>
      <c r="GA2" s="624"/>
      <c r="GB2" s="624"/>
      <c r="GC2" s="624"/>
      <c r="GD2" s="624"/>
      <c r="GE2" s="624"/>
      <c r="GF2" s="624"/>
      <c r="GG2" s="634"/>
      <c r="GH2" s="634"/>
      <c r="GI2" s="634"/>
      <c r="GJ2" s="634"/>
      <c r="GK2" s="634"/>
      <c r="GL2" s="634"/>
      <c r="GM2" s="634"/>
      <c r="GN2" s="634"/>
      <c r="GO2" s="634"/>
      <c r="GP2" s="634"/>
      <c r="GQ2" s="633"/>
      <c r="GR2" s="633"/>
      <c r="GS2" s="633"/>
      <c r="GT2" s="633"/>
      <c r="GU2" s="633"/>
      <c r="GV2" s="633"/>
      <c r="GW2" s="633"/>
      <c r="GX2" s="633"/>
      <c r="GY2" s="633"/>
      <c r="GZ2" s="633"/>
    </row>
    <row r="3" spans="1:208" ht="12.75" x14ac:dyDescent="0.2">
      <c r="A3" s="625" t="s">
        <v>135</v>
      </c>
      <c r="B3" s="625"/>
      <c r="C3" s="625"/>
      <c r="D3" s="625"/>
      <c r="E3" s="625"/>
      <c r="F3" s="625"/>
      <c r="G3" s="625"/>
      <c r="H3" s="625"/>
      <c r="I3" s="625"/>
      <c r="J3" s="625"/>
      <c r="BQ3" s="631"/>
      <c r="BR3" s="631"/>
      <c r="BS3" s="631"/>
      <c r="BT3" s="631"/>
      <c r="BU3" s="631"/>
      <c r="BV3" s="631"/>
      <c r="BW3" s="631"/>
      <c r="BX3" s="631"/>
      <c r="BY3" s="631"/>
      <c r="BZ3" s="631"/>
      <c r="CA3" s="632"/>
      <c r="CB3" s="632"/>
      <c r="CC3" s="632"/>
      <c r="CD3" s="632"/>
      <c r="CE3" s="632"/>
      <c r="CF3" s="632"/>
      <c r="CG3" s="632"/>
      <c r="CH3" s="632"/>
      <c r="CI3" s="632"/>
      <c r="CJ3" s="632"/>
      <c r="CK3" s="627"/>
      <c r="CL3" s="627"/>
      <c r="CM3" s="627"/>
      <c r="CN3" s="627"/>
      <c r="CO3" s="627"/>
      <c r="CP3" s="627"/>
      <c r="CQ3" s="627"/>
      <c r="CR3" s="627"/>
      <c r="CS3" s="627"/>
      <c r="CT3" s="627"/>
      <c r="FW3" s="631"/>
      <c r="FX3" s="631"/>
      <c r="FY3" s="631"/>
      <c r="FZ3" s="631"/>
      <c r="GA3" s="631"/>
      <c r="GB3" s="631"/>
      <c r="GC3" s="631"/>
      <c r="GD3" s="631"/>
      <c r="GE3" s="631"/>
      <c r="GF3" s="631"/>
      <c r="GG3" s="632"/>
      <c r="GH3" s="632"/>
      <c r="GI3" s="632"/>
      <c r="GJ3" s="632"/>
      <c r="GK3" s="632"/>
      <c r="GL3" s="632"/>
      <c r="GM3" s="632"/>
      <c r="GN3" s="632"/>
      <c r="GO3" s="632"/>
      <c r="GP3" s="632"/>
      <c r="GQ3" s="627"/>
      <c r="GR3" s="627"/>
      <c r="GS3" s="627"/>
      <c r="GT3" s="627"/>
      <c r="GU3" s="627"/>
      <c r="GV3" s="627"/>
      <c r="GW3" s="627"/>
      <c r="GX3" s="627"/>
      <c r="GY3" s="627"/>
      <c r="GZ3" s="627"/>
    </row>
    <row r="4" spans="1:208" ht="12.75" x14ac:dyDescent="0.2">
      <c r="A4" s="625" t="s">
        <v>139</v>
      </c>
      <c r="B4" s="625"/>
      <c r="C4" s="625"/>
      <c r="D4" s="625"/>
      <c r="E4" s="625"/>
      <c r="F4" s="625"/>
      <c r="G4" s="625"/>
      <c r="H4" s="625"/>
      <c r="I4" s="625"/>
      <c r="J4" s="625"/>
      <c r="BQ4" s="628"/>
      <c r="BR4" s="628"/>
      <c r="BS4" s="628"/>
      <c r="BT4" s="628"/>
      <c r="BU4" s="628"/>
      <c r="BV4" s="628"/>
      <c r="BW4" s="628"/>
      <c r="BX4" s="628"/>
      <c r="BY4" s="628"/>
      <c r="BZ4" s="628"/>
      <c r="CA4" s="629"/>
      <c r="CB4" s="629"/>
      <c r="CC4" s="629"/>
      <c r="CD4" s="629"/>
      <c r="CE4" s="629"/>
      <c r="CF4" s="629"/>
      <c r="CG4" s="629"/>
      <c r="CH4" s="629"/>
      <c r="CI4" s="629"/>
      <c r="CJ4" s="629"/>
      <c r="CK4" s="630"/>
      <c r="CL4" s="630"/>
      <c r="CM4" s="630"/>
      <c r="CN4" s="630"/>
      <c r="CO4" s="630"/>
      <c r="CP4" s="630"/>
      <c r="CQ4" s="630"/>
      <c r="CR4" s="630"/>
      <c r="CS4" s="630"/>
      <c r="CT4" s="630"/>
      <c r="FW4" s="628"/>
      <c r="FX4" s="628"/>
      <c r="FY4" s="628"/>
      <c r="FZ4" s="628"/>
      <c r="GA4" s="628"/>
      <c r="GB4" s="628"/>
      <c r="GC4" s="628"/>
      <c r="GD4" s="628"/>
      <c r="GE4" s="628"/>
      <c r="GF4" s="628"/>
      <c r="GG4" s="629"/>
      <c r="GH4" s="629"/>
      <c r="GI4" s="629"/>
      <c r="GJ4" s="629"/>
      <c r="GK4" s="629"/>
      <c r="GL4" s="629"/>
      <c r="GM4" s="629"/>
      <c r="GN4" s="629"/>
      <c r="GO4" s="629"/>
      <c r="GP4" s="629"/>
      <c r="GQ4" s="630"/>
      <c r="GR4" s="630"/>
      <c r="GS4" s="630"/>
      <c r="GT4" s="630"/>
      <c r="GU4" s="630"/>
      <c r="GV4" s="630"/>
      <c r="GW4" s="630"/>
      <c r="GX4" s="630"/>
      <c r="GY4" s="630"/>
      <c r="GZ4" s="630"/>
    </row>
    <row r="5" spans="1:208" ht="12.75" x14ac:dyDescent="0.2">
      <c r="A5" s="636" t="str">
        <f>'G1toG6 SchoolLeaver'!A5</f>
        <v>SY 2023 - 2024</v>
      </c>
      <c r="B5" s="636"/>
      <c r="C5" s="636"/>
      <c r="D5" s="636"/>
      <c r="E5" s="636"/>
      <c r="F5" s="636"/>
      <c r="G5" s="636"/>
      <c r="H5" s="636"/>
      <c r="I5" s="636"/>
      <c r="J5" s="636"/>
      <c r="BQ5" s="402"/>
      <c r="BR5" s="402"/>
      <c r="BS5" s="103"/>
      <c r="BT5" s="103"/>
      <c r="BU5" s="103"/>
      <c r="BV5" s="103"/>
      <c r="BW5" s="103"/>
      <c r="BX5" s="103"/>
      <c r="BY5" s="103"/>
      <c r="BZ5" s="403"/>
      <c r="CA5" s="404"/>
      <c r="CB5" s="404"/>
      <c r="CC5" s="405"/>
      <c r="CD5" s="405"/>
      <c r="CE5" s="405"/>
      <c r="CF5" s="405"/>
      <c r="CG5" s="405"/>
      <c r="CH5" s="405"/>
      <c r="CI5" s="405"/>
      <c r="CJ5" s="406"/>
      <c r="CK5" s="407"/>
      <c r="CL5" s="407"/>
      <c r="CM5" s="408"/>
      <c r="CN5" s="408"/>
      <c r="CO5" s="408"/>
      <c r="CP5" s="408"/>
      <c r="CQ5" s="408"/>
      <c r="CR5" s="408"/>
      <c r="CS5" s="408"/>
      <c r="CT5" s="409"/>
      <c r="FW5" s="402"/>
      <c r="FX5" s="402"/>
      <c r="FY5" s="103"/>
      <c r="FZ5" s="103"/>
      <c r="GA5" s="103"/>
      <c r="GB5" s="103"/>
      <c r="GC5" s="103"/>
      <c r="GD5" s="103"/>
      <c r="GE5" s="103"/>
      <c r="GF5" s="403"/>
      <c r="GG5" s="404"/>
      <c r="GH5" s="404"/>
      <c r="GI5" s="405"/>
      <c r="GJ5" s="405"/>
      <c r="GK5" s="405"/>
      <c r="GL5" s="405"/>
      <c r="GM5" s="405"/>
      <c r="GN5" s="405"/>
      <c r="GO5" s="405"/>
      <c r="GP5" s="406"/>
      <c r="GQ5" s="407"/>
      <c r="GR5" s="407"/>
      <c r="GS5" s="408"/>
      <c r="GT5" s="408"/>
      <c r="GU5" s="408"/>
      <c r="GV5" s="408"/>
      <c r="GW5" s="408"/>
      <c r="GX5" s="408"/>
      <c r="GY5" s="408"/>
      <c r="GZ5" s="409"/>
    </row>
    <row r="6" spans="1:208" ht="12.75" x14ac:dyDescent="0.2">
      <c r="A6" s="443"/>
      <c r="B6" s="443"/>
      <c r="C6" s="443"/>
      <c r="D6" s="443"/>
      <c r="E6" s="443"/>
      <c r="F6" s="443"/>
      <c r="G6" s="443"/>
      <c r="H6" s="443"/>
      <c r="I6" s="443"/>
      <c r="J6" s="443"/>
      <c r="BQ6" s="402"/>
      <c r="BR6" s="402"/>
      <c r="BS6" s="103"/>
      <c r="BT6" s="103"/>
      <c r="BU6" s="103"/>
      <c r="BV6" s="103"/>
      <c r="BW6" s="103"/>
      <c r="BX6" s="103"/>
      <c r="BY6" s="103"/>
      <c r="BZ6" s="403"/>
      <c r="CA6" s="404"/>
      <c r="CB6" s="404"/>
      <c r="CC6" s="405"/>
      <c r="CD6" s="405"/>
      <c r="CE6" s="405"/>
      <c r="CF6" s="405"/>
      <c r="CG6" s="405"/>
      <c r="CH6" s="405"/>
      <c r="CI6" s="405"/>
      <c r="CJ6" s="406"/>
      <c r="CK6" s="407"/>
      <c r="CL6" s="407"/>
      <c r="CM6" s="408"/>
      <c r="CN6" s="408"/>
      <c r="CO6" s="408"/>
      <c r="CP6" s="408"/>
      <c r="CQ6" s="408"/>
      <c r="CR6" s="408"/>
      <c r="CS6" s="408"/>
      <c r="CT6" s="409"/>
      <c r="FW6" s="402"/>
      <c r="FX6" s="402"/>
      <c r="FY6" s="103"/>
      <c r="FZ6" s="103"/>
      <c r="GA6" s="103"/>
      <c r="GB6" s="103"/>
      <c r="GC6" s="103"/>
      <c r="GD6" s="103"/>
      <c r="GE6" s="103"/>
      <c r="GF6" s="403"/>
      <c r="GG6" s="404"/>
      <c r="GH6" s="404"/>
      <c r="GI6" s="405"/>
      <c r="GJ6" s="405"/>
      <c r="GK6" s="405"/>
      <c r="GL6" s="405"/>
      <c r="GM6" s="405"/>
      <c r="GN6" s="405"/>
      <c r="GO6" s="405"/>
      <c r="GP6" s="406"/>
      <c r="GQ6" s="407"/>
      <c r="GR6" s="407"/>
      <c r="GS6" s="408"/>
      <c r="GT6" s="408"/>
      <c r="GU6" s="408"/>
      <c r="GV6" s="408"/>
      <c r="GW6" s="408"/>
      <c r="GX6" s="408"/>
      <c r="GY6" s="408"/>
      <c r="GZ6" s="409"/>
    </row>
    <row r="7" spans="1:208" x14ac:dyDescent="0.2">
      <c r="A7" s="361"/>
      <c r="B7" s="362"/>
      <c r="C7" s="410"/>
      <c r="D7" s="410"/>
      <c r="E7" s="410"/>
      <c r="F7" s="410"/>
      <c r="G7" s="410"/>
      <c r="H7" s="410"/>
      <c r="I7" s="410"/>
      <c r="J7" s="403"/>
      <c r="BQ7" s="361"/>
      <c r="BR7" s="362"/>
      <c r="BS7" s="410"/>
      <c r="BT7" s="410"/>
      <c r="BU7" s="410"/>
      <c r="BV7" s="410"/>
      <c r="BW7" s="410"/>
      <c r="BX7" s="410"/>
      <c r="BY7" s="410"/>
      <c r="BZ7" s="403"/>
      <c r="CA7" s="411"/>
      <c r="CB7" s="412"/>
      <c r="CC7" s="413"/>
      <c r="CD7" s="413"/>
      <c r="CE7" s="413"/>
      <c r="CF7" s="413"/>
      <c r="CG7" s="413"/>
      <c r="CH7" s="413"/>
      <c r="CI7" s="413"/>
      <c r="CJ7" s="406"/>
      <c r="CK7" s="414"/>
      <c r="CL7" s="415"/>
      <c r="CM7" s="416"/>
      <c r="CN7" s="416"/>
      <c r="CO7" s="416"/>
      <c r="CP7" s="416"/>
      <c r="CQ7" s="416"/>
      <c r="CR7" s="416"/>
      <c r="CS7" s="416"/>
      <c r="CT7" s="409"/>
      <c r="FW7" s="361"/>
      <c r="FX7" s="362"/>
      <c r="FY7" s="410"/>
      <c r="FZ7" s="410"/>
      <c r="GA7" s="410"/>
      <c r="GB7" s="410"/>
      <c r="GC7" s="410"/>
      <c r="GD7" s="410"/>
      <c r="GE7" s="410"/>
      <c r="GF7" s="403"/>
      <c r="GG7" s="411"/>
      <c r="GH7" s="412"/>
      <c r="GI7" s="413"/>
      <c r="GJ7" s="413"/>
      <c r="GK7" s="413"/>
      <c r="GL7" s="413"/>
      <c r="GM7" s="413"/>
      <c r="GN7" s="413"/>
      <c r="GO7" s="413"/>
      <c r="GP7" s="406"/>
      <c r="GQ7" s="414"/>
      <c r="GR7" s="415"/>
      <c r="GS7" s="416"/>
      <c r="GT7" s="416"/>
      <c r="GU7" s="416"/>
      <c r="GV7" s="416"/>
      <c r="GW7" s="416"/>
      <c r="GX7" s="416"/>
      <c r="GY7" s="416"/>
      <c r="GZ7" s="409"/>
    </row>
    <row r="8" spans="1:208" ht="13.5" thickBot="1" x14ac:dyDescent="0.25">
      <c r="A8" s="261" t="s">
        <v>94</v>
      </c>
      <c r="B8" s="365"/>
      <c r="J8" s="403"/>
      <c r="BQ8" s="362"/>
      <c r="BR8" s="362"/>
      <c r="BS8" s="263"/>
      <c r="BT8" s="263"/>
      <c r="BU8" s="263"/>
      <c r="BV8" s="263"/>
      <c r="BW8" s="263"/>
      <c r="BX8" s="263"/>
      <c r="BY8" s="263"/>
      <c r="BZ8" s="403"/>
      <c r="CA8" s="412"/>
      <c r="CB8" s="412"/>
      <c r="CC8" s="417"/>
      <c r="CD8" s="417"/>
      <c r="CE8" s="417"/>
      <c r="CF8" s="417"/>
      <c r="CG8" s="417"/>
      <c r="CH8" s="417"/>
      <c r="CI8" s="417"/>
      <c r="CJ8" s="406"/>
      <c r="CK8" s="415"/>
      <c r="CL8" s="415"/>
      <c r="CM8" s="418"/>
      <c r="CN8" s="418"/>
      <c r="CO8" s="418"/>
      <c r="CP8" s="418"/>
      <c r="CQ8" s="418"/>
      <c r="CR8" s="418"/>
      <c r="CS8" s="418"/>
      <c r="CT8" s="409"/>
      <c r="FW8" s="362"/>
      <c r="FX8" s="362"/>
      <c r="FY8" s="263"/>
      <c r="FZ8" s="263"/>
      <c r="GA8" s="263"/>
      <c r="GB8" s="263"/>
      <c r="GC8" s="263"/>
      <c r="GD8" s="263"/>
      <c r="GE8" s="263"/>
      <c r="GF8" s="403"/>
      <c r="GG8" s="412"/>
      <c r="GH8" s="412"/>
      <c r="GI8" s="417"/>
      <c r="GJ8" s="417"/>
      <c r="GK8" s="417"/>
      <c r="GL8" s="417"/>
      <c r="GM8" s="417"/>
      <c r="GN8" s="417"/>
      <c r="GO8" s="417"/>
      <c r="GP8" s="406"/>
      <c r="GQ8" s="415"/>
      <c r="GR8" s="415"/>
      <c r="GS8" s="418"/>
      <c r="GT8" s="418"/>
      <c r="GU8" s="418"/>
      <c r="GV8" s="418"/>
      <c r="GW8" s="418"/>
      <c r="GX8" s="418"/>
      <c r="GY8" s="418"/>
      <c r="GZ8" s="409"/>
    </row>
    <row r="9" spans="1:208" x14ac:dyDescent="0.2">
      <c r="A9" s="339" t="s">
        <v>114</v>
      </c>
      <c r="B9" s="615" t="s">
        <v>95</v>
      </c>
      <c r="C9" s="373" t="s">
        <v>103</v>
      </c>
      <c r="D9" s="367" t="s">
        <v>104</v>
      </c>
      <c r="E9" s="367" t="s">
        <v>105</v>
      </c>
      <c r="F9" s="367" t="s">
        <v>106</v>
      </c>
      <c r="G9" s="367" t="s">
        <v>107</v>
      </c>
      <c r="H9" s="367" t="s">
        <v>140</v>
      </c>
      <c r="I9" s="373" t="s">
        <v>137</v>
      </c>
      <c r="J9" s="444" t="s">
        <v>115</v>
      </c>
    </row>
    <row r="10" spans="1:208" ht="12" thickBot="1" x14ac:dyDescent="0.25">
      <c r="A10" s="340"/>
      <c r="B10" s="616"/>
      <c r="C10" s="271"/>
      <c r="D10" s="272"/>
      <c r="E10" s="272"/>
      <c r="F10" s="272"/>
      <c r="G10" s="272"/>
      <c r="H10" s="272" t="s">
        <v>109</v>
      </c>
      <c r="I10" s="272" t="s">
        <v>109</v>
      </c>
      <c r="J10" s="445" t="s">
        <v>116</v>
      </c>
    </row>
    <row r="11" spans="1:208" x14ac:dyDescent="0.2">
      <c r="A11" s="301" t="s">
        <v>117</v>
      </c>
      <c r="B11" s="302" t="s">
        <v>2</v>
      </c>
      <c r="C11" s="436">
        <v>0.97852065922049525</v>
      </c>
      <c r="D11" s="437">
        <v>0.98324413684888901</v>
      </c>
      <c r="E11" s="437">
        <v>0.98151775828294008</v>
      </c>
      <c r="F11" s="437">
        <v>0.98205729166666667</v>
      </c>
      <c r="G11" s="437">
        <v>0.98254855877029468</v>
      </c>
      <c r="H11" s="438">
        <v>0.99044056525353286</v>
      </c>
      <c r="I11" s="436">
        <v>0.98154683930755993</v>
      </c>
      <c r="J11" s="446">
        <v>1.0190215894082402</v>
      </c>
    </row>
    <row r="12" spans="1:208" x14ac:dyDescent="0.2">
      <c r="A12" s="155"/>
      <c r="B12" s="309" t="s">
        <v>1</v>
      </c>
      <c r="C12" s="351">
        <v>0.97270209015361375</v>
      </c>
      <c r="D12" s="383">
        <v>0.97524538884694212</v>
      </c>
      <c r="E12" s="383">
        <v>0.97516942260775274</v>
      </c>
      <c r="F12" s="383">
        <v>0.97043914680050192</v>
      </c>
      <c r="G12" s="383">
        <v>0.97017284991568298</v>
      </c>
      <c r="H12" s="350">
        <v>0.98524804177545688</v>
      </c>
      <c r="I12" s="351">
        <v>0.97269774291593114</v>
      </c>
      <c r="J12" s="447"/>
    </row>
    <row r="13" spans="1:208" ht="12" thickBot="1" x14ac:dyDescent="0.25">
      <c r="A13" s="286"/>
      <c r="B13" s="312" t="s">
        <v>0</v>
      </c>
      <c r="C13" s="356">
        <v>0.98474722431820627</v>
      </c>
      <c r="D13" s="390">
        <v>0.99020236776112436</v>
      </c>
      <c r="E13" s="390">
        <v>0.98849684110144231</v>
      </c>
      <c r="F13" s="390">
        <v>0.99334235453315289</v>
      </c>
      <c r="G13" s="390">
        <v>0.99528850950612491</v>
      </c>
      <c r="H13" s="355">
        <v>0.99631050767414409</v>
      </c>
      <c r="I13" s="356">
        <v>0.99119999999999997</v>
      </c>
      <c r="J13" s="448"/>
    </row>
    <row r="14" spans="1:208" ht="9.9499999999999993" customHeight="1" x14ac:dyDescent="0.2">
      <c r="A14" s="301" t="s">
        <v>118</v>
      </c>
      <c r="B14" s="302" t="s">
        <v>2</v>
      </c>
      <c r="C14" s="436">
        <v>0.95670713651169681</v>
      </c>
      <c r="D14" s="437">
        <v>0.95717750044360328</v>
      </c>
      <c r="E14" s="437">
        <v>0.95697802872222903</v>
      </c>
      <c r="F14" s="437">
        <v>0.96473233874506359</v>
      </c>
      <c r="G14" s="437">
        <v>0.96576185730198749</v>
      </c>
      <c r="H14" s="438">
        <v>0.97541473621282315</v>
      </c>
      <c r="I14" s="436">
        <v>0.9603748169838946</v>
      </c>
      <c r="J14" s="446">
        <v>1.033019510924887</v>
      </c>
    </row>
    <row r="15" spans="1:208" ht="9.9499999999999993" customHeight="1" x14ac:dyDescent="0.2">
      <c r="A15" s="155"/>
      <c r="B15" s="309" t="s">
        <v>1</v>
      </c>
      <c r="C15" s="351">
        <v>0.94177044766072027</v>
      </c>
      <c r="D15" s="383">
        <v>0.94241367675177146</v>
      </c>
      <c r="E15" s="383">
        <v>0.94297142857142857</v>
      </c>
      <c r="F15" s="383">
        <v>0.95178017748316046</v>
      </c>
      <c r="G15" s="383">
        <v>0.95062292833466677</v>
      </c>
      <c r="H15" s="350">
        <v>0.96634341129492296</v>
      </c>
      <c r="I15" s="351">
        <v>0.94596470798996779</v>
      </c>
      <c r="J15" s="447"/>
    </row>
    <row r="16" spans="1:208" ht="12" thickBot="1" x14ac:dyDescent="0.25">
      <c r="A16" s="286"/>
      <c r="B16" s="312" t="s">
        <v>0</v>
      </c>
      <c r="C16" s="356">
        <v>0.97177621675865533</v>
      </c>
      <c r="D16" s="390">
        <v>0.97355289421157687</v>
      </c>
      <c r="E16" s="390">
        <v>0.97322375397667016</v>
      </c>
      <c r="F16" s="390">
        <v>0.97837594323685095</v>
      </c>
      <c r="G16" s="390">
        <v>0.98170438131921045</v>
      </c>
      <c r="H16" s="355">
        <v>0.98540031397174255</v>
      </c>
      <c r="I16" s="356">
        <v>0.97720000000000007</v>
      </c>
      <c r="J16" s="448"/>
    </row>
    <row r="17" spans="1:10" x14ac:dyDescent="0.2">
      <c r="A17" s="301" t="s">
        <v>119</v>
      </c>
      <c r="B17" s="302" t="s">
        <v>2</v>
      </c>
      <c r="C17" s="436">
        <v>0.96587831738580976</v>
      </c>
      <c r="D17" s="437">
        <v>0.96776859504132229</v>
      </c>
      <c r="E17" s="437">
        <v>0.96261682242990654</v>
      </c>
      <c r="F17" s="437">
        <v>0.98141042039737358</v>
      </c>
      <c r="G17" s="437">
        <v>0.96246768298118923</v>
      </c>
      <c r="H17" s="438">
        <v>0.98687760608290409</v>
      </c>
      <c r="I17" s="436">
        <v>0.96827360378388216</v>
      </c>
      <c r="J17" s="446">
        <v>1.0140486386073533</v>
      </c>
    </row>
    <row r="18" spans="1:10" x14ac:dyDescent="0.2">
      <c r="A18" s="155"/>
      <c r="B18" s="309" t="s">
        <v>1</v>
      </c>
      <c r="C18" s="351">
        <v>0.9637160385626643</v>
      </c>
      <c r="D18" s="383">
        <v>0.96111505681818177</v>
      </c>
      <c r="E18" s="383">
        <v>0.94947994056463592</v>
      </c>
      <c r="F18" s="383">
        <v>0.97734241908006814</v>
      </c>
      <c r="G18" s="383">
        <v>0.95598135680994301</v>
      </c>
      <c r="H18" s="350">
        <v>0.98175011698642956</v>
      </c>
      <c r="I18" s="351">
        <v>0.96173900789177003</v>
      </c>
      <c r="J18" s="447"/>
    </row>
    <row r="19" spans="1:10" ht="12" thickBot="1" x14ac:dyDescent="0.25">
      <c r="A19" s="286"/>
      <c r="B19" s="312" t="s">
        <v>0</v>
      </c>
      <c r="C19" s="356">
        <v>0.96817420435510892</v>
      </c>
      <c r="D19" s="390">
        <v>0.97489539748953979</v>
      </c>
      <c r="E19" s="390">
        <v>0.97774925117672229</v>
      </c>
      <c r="F19" s="390">
        <v>0.98548745091343692</v>
      </c>
      <c r="G19" s="390">
        <v>0.9693952802359882</v>
      </c>
      <c r="H19" s="355">
        <v>0.99252577319587632</v>
      </c>
      <c r="I19" s="356">
        <v>0.97525013164823593</v>
      </c>
      <c r="J19" s="448"/>
    </row>
    <row r="20" spans="1:10" x14ac:dyDescent="0.2">
      <c r="A20" s="301" t="s">
        <v>120</v>
      </c>
      <c r="B20" s="302" t="s">
        <v>2</v>
      </c>
      <c r="C20" s="436">
        <v>0.96965247185511505</v>
      </c>
      <c r="D20" s="437">
        <v>0.96999117387466904</v>
      </c>
      <c r="E20" s="437">
        <v>0.96490874256327519</v>
      </c>
      <c r="F20" s="437">
        <v>0.96643175074183973</v>
      </c>
      <c r="G20" s="437">
        <v>0.96235429008217088</v>
      </c>
      <c r="H20" s="438">
        <v>0.98094557580088126</v>
      </c>
      <c r="I20" s="436">
        <v>0.96665309525194365</v>
      </c>
      <c r="J20" s="446">
        <v>1.0220786819053014</v>
      </c>
    </row>
    <row r="21" spans="1:10" x14ac:dyDescent="0.2">
      <c r="A21" s="155"/>
      <c r="B21" s="309" t="s">
        <v>1</v>
      </c>
      <c r="C21" s="351">
        <v>0.96436609152288066</v>
      </c>
      <c r="D21" s="383">
        <v>0.96025738077214229</v>
      </c>
      <c r="E21" s="383">
        <v>0.94981873688227436</v>
      </c>
      <c r="F21" s="383">
        <v>0.95293701344656756</v>
      </c>
      <c r="G21" s="383">
        <v>0.94727000747943157</v>
      </c>
      <c r="H21" s="350">
        <v>0.97337962962962965</v>
      </c>
      <c r="I21" s="351">
        <v>0.9577</v>
      </c>
      <c r="J21" s="447"/>
    </row>
    <row r="22" spans="1:10" ht="12" thickBot="1" x14ac:dyDescent="0.25">
      <c r="A22" s="286"/>
      <c r="B22" s="312" t="s">
        <v>0</v>
      </c>
      <c r="C22" s="356">
        <v>0.97255785377841486</v>
      </c>
      <c r="D22" s="390">
        <v>0.98046000407083245</v>
      </c>
      <c r="E22" s="390">
        <v>0.98182207014542344</v>
      </c>
      <c r="F22" s="390">
        <v>0.9812938425565082</v>
      </c>
      <c r="G22" s="390">
        <v>0.97811645173896056</v>
      </c>
      <c r="H22" s="355">
        <v>0.98896247240618107</v>
      </c>
      <c r="I22" s="356">
        <v>0.97884475366070711</v>
      </c>
      <c r="J22" s="448"/>
    </row>
    <row r="23" spans="1:10" x14ac:dyDescent="0.2">
      <c r="A23" s="301" t="s">
        <v>121</v>
      </c>
      <c r="B23" s="302" t="s">
        <v>2</v>
      </c>
      <c r="C23" s="436">
        <v>0.89395560310243383</v>
      </c>
      <c r="D23" s="437">
        <v>0.90420123093390425</v>
      </c>
      <c r="E23" s="437">
        <v>0.89694876223373632</v>
      </c>
      <c r="F23" s="437">
        <v>0.89386536373507053</v>
      </c>
      <c r="G23" s="437">
        <v>0.89604846482169898</v>
      </c>
      <c r="H23" s="438">
        <v>0.93063680427878992</v>
      </c>
      <c r="I23" s="436">
        <v>0.89701897018970189</v>
      </c>
      <c r="J23" s="446">
        <v>1.0663990878437317</v>
      </c>
    </row>
    <row r="24" spans="1:10" x14ac:dyDescent="0.2">
      <c r="A24" s="155"/>
      <c r="B24" s="309" t="s">
        <v>1</v>
      </c>
      <c r="C24" s="351">
        <v>0.88364941055868784</v>
      </c>
      <c r="D24" s="383">
        <v>0.87806135601959268</v>
      </c>
      <c r="E24" s="383">
        <v>0.86715566422167889</v>
      </c>
      <c r="F24" s="383">
        <v>0.85729166666666667</v>
      </c>
      <c r="G24" s="383">
        <v>0.85936222403924778</v>
      </c>
      <c r="H24" s="350">
        <v>0.90483870967741931</v>
      </c>
      <c r="I24" s="351">
        <v>0.86927415528965257</v>
      </c>
      <c r="J24" s="447"/>
    </row>
    <row r="25" spans="1:10" ht="12" thickBot="1" x14ac:dyDescent="0.25">
      <c r="A25" s="286"/>
      <c r="B25" s="312" t="s">
        <v>0</v>
      </c>
      <c r="C25" s="356">
        <v>0.90520134228187921</v>
      </c>
      <c r="D25" s="390">
        <v>0.93240611961057018</v>
      </c>
      <c r="E25" s="390">
        <v>0.9305172941536578</v>
      </c>
      <c r="F25" s="390">
        <v>0.93367346938775508</v>
      </c>
      <c r="G25" s="390">
        <v>0.9335002782415136</v>
      </c>
      <c r="H25" s="355">
        <v>0.95837669094693023</v>
      </c>
      <c r="I25" s="356">
        <v>0.92699316628701589</v>
      </c>
      <c r="J25" s="448"/>
    </row>
    <row r="26" spans="1:10" x14ac:dyDescent="0.2">
      <c r="A26" s="301" t="s">
        <v>122</v>
      </c>
      <c r="B26" s="302" t="s">
        <v>2</v>
      </c>
      <c r="C26" s="436">
        <v>0.92606743719552964</v>
      </c>
      <c r="D26" s="437">
        <v>0.93026175987636439</v>
      </c>
      <c r="E26" s="437">
        <v>0.9120694759696043</v>
      </c>
      <c r="F26" s="437">
        <v>0.93107142857142855</v>
      </c>
      <c r="G26" s="437">
        <v>0.93349753694581283</v>
      </c>
      <c r="H26" s="438">
        <v>0.96884955752212387</v>
      </c>
      <c r="I26" s="436">
        <v>0.92675153193830506</v>
      </c>
      <c r="J26" s="446">
        <v>1.0461088670183594</v>
      </c>
    </row>
    <row r="27" spans="1:10" ht="12" x14ac:dyDescent="0.2">
      <c r="A27" s="347"/>
      <c r="B27" s="309" t="s">
        <v>1</v>
      </c>
      <c r="C27" s="351">
        <v>0.91044504995458675</v>
      </c>
      <c r="D27" s="383">
        <v>0.90920834102232884</v>
      </c>
      <c r="E27" s="383">
        <v>0.88653916881206329</v>
      </c>
      <c r="F27" s="383">
        <v>0.91570418893294259</v>
      </c>
      <c r="G27" s="383">
        <v>0.91161848646658072</v>
      </c>
      <c r="H27" s="350">
        <v>0.95823719427780341</v>
      </c>
      <c r="I27" s="351">
        <v>0.90682757121113289</v>
      </c>
      <c r="J27" s="447"/>
    </row>
    <row r="28" spans="1:10" ht="12" thickBot="1" x14ac:dyDescent="0.25">
      <c r="A28" s="286"/>
      <c r="B28" s="312" t="s">
        <v>0</v>
      </c>
      <c r="C28" s="356">
        <v>0.94339242546333602</v>
      </c>
      <c r="D28" s="390">
        <v>0.95338467774625046</v>
      </c>
      <c r="E28" s="390">
        <v>0.94164004259850909</v>
      </c>
      <c r="F28" s="390">
        <v>0.94758288571957772</v>
      </c>
      <c r="G28" s="390">
        <v>0.95668292682926825</v>
      </c>
      <c r="H28" s="355">
        <v>0.97995653223858969</v>
      </c>
      <c r="I28" s="356">
        <v>0.94864036310068878</v>
      </c>
      <c r="J28" s="448"/>
    </row>
    <row r="29" spans="1:10" x14ac:dyDescent="0.2">
      <c r="A29" s="301" t="s">
        <v>123</v>
      </c>
      <c r="B29" s="302" t="s">
        <v>2</v>
      </c>
      <c r="C29" s="436">
        <v>0.98476454293628812</v>
      </c>
      <c r="D29" s="437">
        <v>0.98737506575486589</v>
      </c>
      <c r="E29" s="437">
        <v>0.99099836333878888</v>
      </c>
      <c r="F29" s="437">
        <v>0.99048780487804877</v>
      </c>
      <c r="G29" s="437">
        <v>0.97421065316943845</v>
      </c>
      <c r="H29" s="438">
        <v>0.98548038307074448</v>
      </c>
      <c r="I29" s="436">
        <v>0.98535043373700937</v>
      </c>
      <c r="J29" s="446">
        <v>1.0097929205345304</v>
      </c>
    </row>
    <row r="30" spans="1:10" x14ac:dyDescent="0.2">
      <c r="A30" s="155"/>
      <c r="B30" s="309" t="s">
        <v>1</v>
      </c>
      <c r="C30" s="351">
        <v>0.98616071428571428</v>
      </c>
      <c r="D30" s="383">
        <v>0.98407960199004973</v>
      </c>
      <c r="E30" s="383">
        <v>0.98671435871231472</v>
      </c>
      <c r="F30" s="383">
        <v>0.98244803695150118</v>
      </c>
      <c r="G30" s="383">
        <v>0.96430205949656755</v>
      </c>
      <c r="H30" s="350">
        <v>0.97856705450091852</v>
      </c>
      <c r="I30" s="351">
        <v>0.98029999999999995</v>
      </c>
      <c r="J30" s="447"/>
    </row>
    <row r="31" spans="1:10" ht="12" thickBot="1" x14ac:dyDescent="0.25">
      <c r="A31" s="286"/>
      <c r="B31" s="312" t="s">
        <v>0</v>
      </c>
      <c r="C31" s="356">
        <v>0.98326959847036333</v>
      </c>
      <c r="D31" s="390">
        <v>0.9905133928571429</v>
      </c>
      <c r="E31" s="390">
        <v>0.99531889994148626</v>
      </c>
      <c r="F31" s="390">
        <v>0.9948320413436692</v>
      </c>
      <c r="G31" s="390">
        <v>0.98523421588594706</v>
      </c>
      <c r="H31" s="355">
        <v>0.99251870324189528</v>
      </c>
      <c r="I31" s="356">
        <v>0.9899</v>
      </c>
      <c r="J31" s="448"/>
    </row>
    <row r="32" spans="1:10" ht="9.9499999999999993" customHeight="1" x14ac:dyDescent="0.2">
      <c r="A32" s="301" t="s">
        <v>124</v>
      </c>
      <c r="B32" s="302" t="s">
        <v>2</v>
      </c>
      <c r="C32" s="436">
        <v>0.95173745173745172</v>
      </c>
      <c r="D32" s="437">
        <v>0.95600154380548052</v>
      </c>
      <c r="E32" s="437">
        <v>0.94866771159874608</v>
      </c>
      <c r="F32" s="437">
        <v>0.9622926093514329</v>
      </c>
      <c r="G32" s="437">
        <v>0.96241190289741585</v>
      </c>
      <c r="H32" s="438">
        <v>0.98383145516903481</v>
      </c>
      <c r="I32" s="436">
        <v>0.95625627946518277</v>
      </c>
      <c r="J32" s="446">
        <v>1.033725390070922</v>
      </c>
    </row>
    <row r="33" spans="1:10" ht="9.9499999999999993" customHeight="1" x14ac:dyDescent="0.2">
      <c r="A33" s="155"/>
      <c r="B33" s="309" t="s">
        <v>1</v>
      </c>
      <c r="C33" s="351">
        <v>0.94402420574886536</v>
      </c>
      <c r="D33" s="383">
        <v>0.93873085339168494</v>
      </c>
      <c r="E33" s="383">
        <v>0.92205882352941182</v>
      </c>
      <c r="F33" s="383">
        <v>0.95121951219512191</v>
      </c>
      <c r="G33" s="383">
        <v>0.95701357466063353</v>
      </c>
      <c r="H33" s="350">
        <v>0.97672162948593599</v>
      </c>
      <c r="I33" s="351">
        <v>0.94251336898395721</v>
      </c>
      <c r="J33" s="447"/>
    </row>
    <row r="34" spans="1:10" ht="12" thickBot="1" x14ac:dyDescent="0.25">
      <c r="A34" s="286"/>
      <c r="B34" s="312" t="s">
        <v>0</v>
      </c>
      <c r="C34" s="356">
        <v>0.95977917981072558</v>
      </c>
      <c r="D34" s="390">
        <v>0.97540983606557374</v>
      </c>
      <c r="E34" s="390">
        <v>0.97902684563758391</v>
      </c>
      <c r="F34" s="390">
        <v>0.97382602001539642</v>
      </c>
      <c r="G34" s="390">
        <v>0.96824104234527686</v>
      </c>
      <c r="H34" s="355">
        <v>0.99108910891089108</v>
      </c>
      <c r="I34" s="356">
        <v>0.97429999999999994</v>
      </c>
      <c r="J34" s="448"/>
    </row>
    <row r="35" spans="1:10" x14ac:dyDescent="0.2">
      <c r="A35" s="301" t="s">
        <v>125</v>
      </c>
      <c r="B35" s="302" t="s">
        <v>2</v>
      </c>
      <c r="C35" s="436">
        <v>0.93355667225013961</v>
      </c>
      <c r="D35" s="437">
        <v>0.9253065774804905</v>
      </c>
      <c r="E35" s="437">
        <v>0.91713961407491484</v>
      </c>
      <c r="F35" s="437">
        <v>0.92645530145530142</v>
      </c>
      <c r="G35" s="437">
        <v>0.93985587583148555</v>
      </c>
      <c r="H35" s="438">
        <v>0.96596768649020281</v>
      </c>
      <c r="I35" s="436">
        <v>0.92848484848484847</v>
      </c>
      <c r="J35" s="446">
        <v>1.0750822014051522</v>
      </c>
    </row>
    <row r="36" spans="1:10" ht="12" x14ac:dyDescent="0.2">
      <c r="A36" s="347"/>
      <c r="B36" s="309" t="s">
        <v>1</v>
      </c>
      <c r="C36" s="351">
        <v>0.91111111111111109</v>
      </c>
      <c r="D36" s="383">
        <v>0.90310689836756186</v>
      </c>
      <c r="E36" s="383">
        <v>0.88100436681222705</v>
      </c>
      <c r="F36" s="383">
        <v>0.88585607940446653</v>
      </c>
      <c r="G36" s="383">
        <v>0.89968321013727559</v>
      </c>
      <c r="H36" s="350">
        <v>0.95926412614980294</v>
      </c>
      <c r="I36" s="351">
        <v>0.89611752360965369</v>
      </c>
      <c r="J36" s="447"/>
    </row>
    <row r="37" spans="1:10" ht="12" thickBot="1" x14ac:dyDescent="0.25">
      <c r="A37" s="286"/>
      <c r="B37" s="312" t="s">
        <v>0</v>
      </c>
      <c r="C37" s="356">
        <v>0.95862884160756501</v>
      </c>
      <c r="D37" s="390">
        <v>0.95026642984014209</v>
      </c>
      <c r="E37" s="390">
        <v>0.95626477541371158</v>
      </c>
      <c r="F37" s="390">
        <v>0.96563011456628478</v>
      </c>
      <c r="G37" s="390">
        <v>0.97957992998833143</v>
      </c>
      <c r="H37" s="355">
        <v>0.97332372025955294</v>
      </c>
      <c r="I37" s="356">
        <v>0.96340000000000003</v>
      </c>
      <c r="J37" s="448"/>
    </row>
    <row r="38" spans="1:10" x14ac:dyDescent="0.2">
      <c r="A38" s="301" t="s">
        <v>126</v>
      </c>
      <c r="B38" s="302" t="s">
        <v>2</v>
      </c>
      <c r="C38" s="436">
        <v>0.98430962343096229</v>
      </c>
      <c r="D38" s="437">
        <v>0.98844061650045334</v>
      </c>
      <c r="E38" s="437">
        <v>0.98283564542675761</v>
      </c>
      <c r="F38" s="437">
        <v>0.98264462809917352</v>
      </c>
      <c r="G38" s="437">
        <v>0.98832084618774796</v>
      </c>
      <c r="H38" s="438">
        <v>0.98525469168900803</v>
      </c>
      <c r="I38" s="436">
        <v>0.98517317063985232</v>
      </c>
      <c r="J38" s="446">
        <v>1.0137028326004702</v>
      </c>
    </row>
    <row r="39" spans="1:10" x14ac:dyDescent="0.2">
      <c r="A39" s="155"/>
      <c r="B39" s="309" t="s">
        <v>1</v>
      </c>
      <c r="C39" s="351">
        <v>0.98073063026896823</v>
      </c>
      <c r="D39" s="383">
        <v>0.97654867256637168</v>
      </c>
      <c r="E39" s="383">
        <v>0.97092511013215854</v>
      </c>
      <c r="F39" s="383">
        <v>0.97740585774058575</v>
      </c>
      <c r="G39" s="383">
        <v>0.97885835095137419</v>
      </c>
      <c r="H39" s="350">
        <v>0.9837526205450734</v>
      </c>
      <c r="I39" s="351">
        <v>0.9779000000000001</v>
      </c>
      <c r="J39" s="447"/>
    </row>
    <row r="40" spans="1:10" ht="12" thickBot="1" x14ac:dyDescent="0.25">
      <c r="A40" s="286"/>
      <c r="B40" s="312" t="s">
        <v>0</v>
      </c>
      <c r="C40" s="356">
        <v>0.98776758409785936</v>
      </c>
      <c r="D40" s="390">
        <v>0.99488847583643125</v>
      </c>
      <c r="E40" s="390">
        <v>0.99394856278366117</v>
      </c>
      <c r="F40" s="390">
        <v>0.98775510204081629</v>
      </c>
      <c r="G40" s="390">
        <v>0.99677864703175334</v>
      </c>
      <c r="H40" s="355">
        <v>0.98682766190998905</v>
      </c>
      <c r="I40" s="356">
        <v>0.99129999999999996</v>
      </c>
      <c r="J40" s="448"/>
    </row>
    <row r="41" spans="1:10" x14ac:dyDescent="0.2">
      <c r="A41" s="301" t="s">
        <v>127</v>
      </c>
      <c r="B41" s="302" t="s">
        <v>2</v>
      </c>
      <c r="C41" s="436">
        <v>0.98080393765381457</v>
      </c>
      <c r="D41" s="437">
        <v>0.98184961106309421</v>
      </c>
      <c r="E41" s="437">
        <v>0.98349600709849161</v>
      </c>
      <c r="F41" s="437">
        <v>0.98009463207701097</v>
      </c>
      <c r="G41" s="437">
        <v>0.97850000000000004</v>
      </c>
      <c r="H41" s="438">
        <v>0.98352752109280839</v>
      </c>
      <c r="I41" s="436">
        <v>0.98126923343538797</v>
      </c>
      <c r="J41" s="446">
        <v>1.0139630390143737</v>
      </c>
    </row>
    <row r="42" spans="1:10" x14ac:dyDescent="0.2">
      <c r="A42" s="155"/>
      <c r="B42" s="309" t="s">
        <v>1</v>
      </c>
      <c r="C42" s="351">
        <v>0.97298156389065482</v>
      </c>
      <c r="D42" s="383">
        <v>0.97906281156530406</v>
      </c>
      <c r="E42" s="383">
        <v>0.97218453188602438</v>
      </c>
      <c r="F42" s="383">
        <v>0.97482472912683238</v>
      </c>
      <c r="G42" s="383">
        <v>0.97006182883176051</v>
      </c>
      <c r="H42" s="350">
        <v>0.97630147630147635</v>
      </c>
      <c r="I42" s="351">
        <v>0.97399999999999998</v>
      </c>
      <c r="J42" s="447"/>
    </row>
    <row r="43" spans="1:10" ht="12" thickBot="1" x14ac:dyDescent="0.25">
      <c r="A43" s="286"/>
      <c r="B43" s="312" t="s">
        <v>0</v>
      </c>
      <c r="C43" s="356">
        <v>0.9871142760257714</v>
      </c>
      <c r="D43" s="390">
        <v>0.98451008645533145</v>
      </c>
      <c r="E43" s="390">
        <v>0.99032378116858955</v>
      </c>
      <c r="F43" s="390">
        <v>0.98562353727850216</v>
      </c>
      <c r="G43" s="390">
        <v>0.98735907072087459</v>
      </c>
      <c r="H43" s="355">
        <v>0.99126455906821964</v>
      </c>
      <c r="I43" s="356">
        <v>0.98760000000000003</v>
      </c>
      <c r="J43" s="448"/>
    </row>
    <row r="44" spans="1:10" x14ac:dyDescent="0.2">
      <c r="A44" s="315" t="s">
        <v>15</v>
      </c>
      <c r="B44" s="316" t="s">
        <v>2</v>
      </c>
      <c r="C44" s="449">
        <v>0.96254087117061937</v>
      </c>
      <c r="D44" s="450">
        <v>0.96415908602535638</v>
      </c>
      <c r="E44" s="450">
        <v>0.96050017097492679</v>
      </c>
      <c r="F44" s="450">
        <v>0.96575285043594905</v>
      </c>
      <c r="G44" s="450">
        <v>0.96413371203845311</v>
      </c>
      <c r="H44" s="451">
        <v>0.97929190975842406</v>
      </c>
      <c r="I44" s="449">
        <v>0.96346326396948956</v>
      </c>
      <c r="J44" s="452">
        <v>1.0276478084340259</v>
      </c>
    </row>
    <row r="45" spans="1:10" x14ac:dyDescent="0.2">
      <c r="A45" s="323"/>
      <c r="B45" s="324" t="s">
        <v>1</v>
      </c>
      <c r="C45" s="325">
        <v>0.95456128422414221</v>
      </c>
      <c r="D45" s="326">
        <v>0.95224757715306896</v>
      </c>
      <c r="E45" s="326">
        <v>0.94597424353470838</v>
      </c>
      <c r="F45" s="326">
        <v>0.95214789762934537</v>
      </c>
      <c r="G45" s="326">
        <v>0.94902140828784709</v>
      </c>
      <c r="H45" s="327">
        <v>0.97142128093901503</v>
      </c>
      <c r="I45" s="325">
        <v>0.95084325631344679</v>
      </c>
      <c r="J45" s="453"/>
    </row>
    <row r="46" spans="1:10" ht="12" thickBot="1" x14ac:dyDescent="0.25">
      <c r="A46" s="330"/>
      <c r="B46" s="331" t="s">
        <v>0</v>
      </c>
      <c r="C46" s="454">
        <v>0.97119326764007763</v>
      </c>
      <c r="D46" s="388">
        <v>0.97711807373065129</v>
      </c>
      <c r="E46" s="388">
        <v>0.97685521739984671</v>
      </c>
      <c r="F46" s="388">
        <v>0.98023469140503305</v>
      </c>
      <c r="G46" s="388">
        <v>0.98011363636363635</v>
      </c>
      <c r="H46" s="455">
        <v>0.98787386969626712</v>
      </c>
      <c r="I46" s="454">
        <v>0.97713198851478633</v>
      </c>
      <c r="J46" s="456"/>
    </row>
  </sheetData>
  <sheetProtection algorithmName="SHA-512" hashValue="lCNuiRa7YIXESQZUX1PGzHLbvaC8pIjdwaVgDplJeP1vkBLcf0Of/gcveIFRmMeuTgnZQtMBe+R1zy6W010ySQ==" saltValue="2VvbVhlXfUYSTZtF/jAgzQ==" spinCount="100000" sheet="1" objects="1" scenarios="1"/>
  <mergeCells count="30">
    <mergeCell ref="GQ1:GZ1"/>
    <mergeCell ref="A2:J2"/>
    <mergeCell ref="BQ2:BZ2"/>
    <mergeCell ref="CA2:CJ2"/>
    <mergeCell ref="CK2:CT2"/>
    <mergeCell ref="FW2:GF2"/>
    <mergeCell ref="GG2:GP2"/>
    <mergeCell ref="GQ2:GZ2"/>
    <mergeCell ref="A1:J1"/>
    <mergeCell ref="BQ1:BZ1"/>
    <mergeCell ref="CA1:CJ1"/>
    <mergeCell ref="CK1:CT1"/>
    <mergeCell ref="FW1:GF1"/>
    <mergeCell ref="GG1:GP1"/>
    <mergeCell ref="B9:B10"/>
    <mergeCell ref="A5:J5"/>
    <mergeCell ref="GQ3:GZ3"/>
    <mergeCell ref="A4:J4"/>
    <mergeCell ref="BQ4:BZ4"/>
    <mergeCell ref="CA4:CJ4"/>
    <mergeCell ref="CK4:CT4"/>
    <mergeCell ref="FW4:GF4"/>
    <mergeCell ref="GG4:GP4"/>
    <mergeCell ref="GQ4:GZ4"/>
    <mergeCell ref="A3:J3"/>
    <mergeCell ref="BQ3:BZ3"/>
    <mergeCell ref="CA3:CJ3"/>
    <mergeCell ref="CK3:CT3"/>
    <mergeCell ref="FW3:GF3"/>
    <mergeCell ref="GG3:GP3"/>
  </mergeCells>
  <conditionalFormatting sqref="C5:J6 J9:J46">
    <cfRule type="cellIs" dxfId="7" priority="15" operator="lessThan">
      <formula>0</formula>
    </cfRule>
  </conditionalFormatting>
  <printOptions horizontalCentered="1"/>
  <pageMargins left="0" right="0" top="1" bottom="0.75" header="0.5" footer="0.35"/>
  <pageSetup paperSize="9" scale="85" orientation="portrait" horizontalDpi="300" verticalDpi="300" r:id="rId1"/>
  <headerFooter alignWithMargins="0">
    <oddFooter>&amp;C&amp;8Page &amp;P of &amp;N</oddFooter>
  </headerFooter>
  <picture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0D4B5-3458-4861-92C3-600A863E3D61}">
  <sheetPr>
    <tabColor rgb="FF0000FF"/>
    <pageSetUpPr fitToPage="1"/>
  </sheetPr>
  <dimension ref="A1:L46"/>
  <sheetViews>
    <sheetView showGridLines="0" zoomScaleNormal="100" workbookViewId="0">
      <pane xSplit="2" ySplit="8" topLeftCell="C9" activePane="bottomRight" state="frozen"/>
      <selection activeCell="B9" sqref="B9:B12"/>
      <selection pane="topRight" activeCell="B9" sqref="B9:B12"/>
      <selection pane="bottomLeft" activeCell="B9" sqref="B9:B12"/>
      <selection pane="bottomRight" activeCell="P20" sqref="P20"/>
    </sheetView>
  </sheetViews>
  <sheetFormatPr defaultColWidth="6.5703125" defaultRowHeight="11.25" x14ac:dyDescent="0.2"/>
  <cols>
    <col min="1" max="1" width="44.85546875" style="359" customWidth="1"/>
    <col min="2" max="2" width="9.140625" style="143" customWidth="1"/>
    <col min="3" max="5" width="7.140625" style="470" bestFit="1" customWidth="1"/>
    <col min="6" max="6" width="7.140625" style="470" customWidth="1"/>
    <col min="7" max="7" width="9.140625" style="470" customWidth="1"/>
    <col min="8" max="8" width="9.140625" style="470" bestFit="1" customWidth="1"/>
    <col min="9" max="9" width="11.140625" style="264" bestFit="1" customWidth="1"/>
    <col min="10" max="10" width="6.140625" style="264" bestFit="1" customWidth="1"/>
    <col min="11" max="11" width="9.85546875" style="264" bestFit="1" customWidth="1"/>
    <col min="12" max="12" width="10.85546875" style="264" bestFit="1" customWidth="1"/>
    <col min="13" max="14" width="6.5703125" style="143"/>
    <col min="15" max="15" width="8.140625" style="143" customWidth="1"/>
    <col min="16" max="18" width="7.140625" style="143" bestFit="1" customWidth="1"/>
    <col min="19" max="16384" width="6.5703125" style="143"/>
  </cols>
  <sheetData>
    <row r="1" spans="1:12" x14ac:dyDescent="0.2">
      <c r="A1" s="584" t="s">
        <v>23</v>
      </c>
      <c r="B1" s="584"/>
      <c r="C1" s="584"/>
      <c r="D1" s="584"/>
      <c r="E1" s="584"/>
      <c r="F1" s="584"/>
      <c r="G1" s="584"/>
      <c r="H1" s="584"/>
      <c r="I1" s="584"/>
      <c r="J1" s="584"/>
      <c r="K1" s="584"/>
      <c r="L1" s="584"/>
    </row>
    <row r="2" spans="1:12" x14ac:dyDescent="0.2">
      <c r="A2" s="584" t="s">
        <v>91</v>
      </c>
      <c r="B2" s="584"/>
      <c r="C2" s="584"/>
      <c r="D2" s="584"/>
      <c r="E2" s="584"/>
      <c r="F2" s="584"/>
      <c r="G2" s="584"/>
      <c r="H2" s="584"/>
      <c r="I2" s="584"/>
      <c r="J2" s="584"/>
      <c r="K2" s="584"/>
      <c r="L2" s="584"/>
    </row>
    <row r="3" spans="1:12" ht="12.75" x14ac:dyDescent="0.2">
      <c r="A3" s="619" t="s">
        <v>141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</row>
    <row r="4" spans="1:12" ht="12.75" x14ac:dyDescent="0.2">
      <c r="A4" s="619" t="s">
        <v>142</v>
      </c>
      <c r="B4" s="619"/>
      <c r="C4" s="619"/>
      <c r="D4" s="619"/>
      <c r="E4" s="619"/>
      <c r="F4" s="619"/>
      <c r="G4" s="619"/>
      <c r="H4" s="619"/>
      <c r="I4" s="619"/>
      <c r="J4" s="619"/>
      <c r="K4" s="619"/>
      <c r="L4" s="619"/>
    </row>
    <row r="5" spans="1:12" s="458" customFormat="1" ht="12.75" x14ac:dyDescent="0.2">
      <c r="A5" s="620" t="s">
        <v>48</v>
      </c>
      <c r="B5" s="620"/>
      <c r="C5" s="620"/>
      <c r="D5" s="620"/>
      <c r="E5" s="620"/>
      <c r="F5" s="620"/>
      <c r="G5" s="620"/>
      <c r="H5" s="620"/>
      <c r="I5" s="620"/>
      <c r="J5" s="620"/>
      <c r="K5" s="620"/>
      <c r="L5" s="620"/>
    </row>
    <row r="6" spans="1:12" x14ac:dyDescent="0.2">
      <c r="A6" s="459"/>
      <c r="B6" s="459"/>
      <c r="C6" s="459"/>
      <c r="D6" s="459"/>
      <c r="E6" s="459"/>
      <c r="F6" s="459"/>
      <c r="G6" s="460"/>
      <c r="H6" s="460"/>
      <c r="I6" s="461"/>
      <c r="J6" s="459"/>
      <c r="K6" s="459"/>
      <c r="L6" s="459"/>
    </row>
    <row r="7" spans="1:12" ht="12.75" x14ac:dyDescent="0.2">
      <c r="A7" s="462"/>
      <c r="B7" s="212"/>
      <c r="C7" s="463"/>
      <c r="D7" s="463"/>
      <c r="E7" s="463"/>
      <c r="F7" s="463"/>
      <c r="G7" s="464"/>
      <c r="H7" s="464"/>
      <c r="I7" s="465"/>
      <c r="J7" s="466"/>
      <c r="K7" s="466"/>
      <c r="L7" s="467"/>
    </row>
    <row r="8" spans="1:12" ht="15.75" thickBot="1" x14ac:dyDescent="0.25">
      <c r="A8" s="468" t="s">
        <v>143</v>
      </c>
      <c r="B8" s="469"/>
      <c r="F8" s="463"/>
    </row>
    <row r="9" spans="1:12" ht="12" thickBot="1" x14ac:dyDescent="0.25">
      <c r="A9" s="339" t="s">
        <v>114</v>
      </c>
      <c r="B9" s="615" t="s">
        <v>95</v>
      </c>
      <c r="C9" s="637" t="s">
        <v>96</v>
      </c>
      <c r="D9" s="638"/>
      <c r="E9" s="638"/>
      <c r="F9" s="471" t="s">
        <v>97</v>
      </c>
      <c r="G9" s="472" t="s">
        <v>98</v>
      </c>
      <c r="H9" s="472" t="s">
        <v>99</v>
      </c>
      <c r="I9" s="267" t="s">
        <v>100</v>
      </c>
      <c r="J9" s="473" t="s">
        <v>101</v>
      </c>
      <c r="K9" s="474" t="s">
        <v>101</v>
      </c>
      <c r="L9" s="475" t="s">
        <v>101</v>
      </c>
    </row>
    <row r="10" spans="1:12" ht="12" thickBot="1" x14ac:dyDescent="0.25">
      <c r="A10" s="340"/>
      <c r="B10" s="616"/>
      <c r="C10" s="476" t="s">
        <v>144</v>
      </c>
      <c r="D10" s="477" t="s">
        <v>145</v>
      </c>
      <c r="E10" s="478" t="s">
        <v>146</v>
      </c>
      <c r="F10" s="479" t="s">
        <v>147</v>
      </c>
      <c r="G10" s="480" t="s">
        <v>109</v>
      </c>
      <c r="H10" s="480" t="s">
        <v>110</v>
      </c>
      <c r="I10" s="276" t="s">
        <v>111</v>
      </c>
      <c r="J10" s="481" t="s">
        <v>112</v>
      </c>
      <c r="K10" s="482" t="s">
        <v>98</v>
      </c>
      <c r="L10" s="483" t="s">
        <v>99</v>
      </c>
    </row>
    <row r="11" spans="1:12" x14ac:dyDescent="0.2">
      <c r="A11" s="301" t="s">
        <v>117</v>
      </c>
      <c r="B11" s="189" t="s">
        <v>2</v>
      </c>
      <c r="C11" s="294">
        <v>1</v>
      </c>
      <c r="D11" s="295">
        <v>0.96791203859526753</v>
      </c>
      <c r="E11" s="295">
        <v>0.93293723967726661</v>
      </c>
      <c r="F11" s="295">
        <v>0.89284804206816193</v>
      </c>
      <c r="G11" s="295">
        <v>0.87832041017630491</v>
      </c>
      <c r="H11" s="295">
        <v>0.91346832547833978</v>
      </c>
      <c r="I11" s="296">
        <v>4.3789148330954895</v>
      </c>
      <c r="J11" s="484">
        <v>1.10496398472816</v>
      </c>
      <c r="K11" s="485">
        <v>1.10936736282562</v>
      </c>
      <c r="L11" s="281">
        <v>1.0692333775742955</v>
      </c>
    </row>
    <row r="12" spans="1:12" x14ac:dyDescent="0.2">
      <c r="A12" s="155"/>
      <c r="B12" s="172" t="s">
        <v>1</v>
      </c>
      <c r="C12" s="297">
        <v>1</v>
      </c>
      <c r="D12" s="298">
        <v>0.95237041544459156</v>
      </c>
      <c r="E12" s="298">
        <v>0.90492387570599486</v>
      </c>
      <c r="F12" s="298">
        <v>0.84925609242944777</v>
      </c>
      <c r="G12" s="298">
        <v>0.83378021040269745</v>
      </c>
      <c r="H12" s="298">
        <v>0.8831428582651113</v>
      </c>
      <c r="I12" s="428">
        <v>4.5292785448752815</v>
      </c>
      <c r="J12" s="486"/>
      <c r="K12" s="487"/>
      <c r="L12" s="285"/>
    </row>
    <row r="13" spans="1:12" x14ac:dyDescent="0.2">
      <c r="A13" s="286"/>
      <c r="B13" s="163" t="s">
        <v>0</v>
      </c>
      <c r="C13" s="314">
        <v>1</v>
      </c>
      <c r="D13" s="298">
        <v>0.98389758179231768</v>
      </c>
      <c r="E13" s="298">
        <v>0.96198378800790518</v>
      </c>
      <c r="F13" s="298">
        <v>0.93839739594550919</v>
      </c>
      <c r="G13" s="298">
        <v>0.92496855319063109</v>
      </c>
      <c r="H13" s="298">
        <v>0.94428582122342219</v>
      </c>
      <c r="I13" s="428">
        <v>4.2360055717214697</v>
      </c>
      <c r="J13" s="488"/>
      <c r="K13" s="489"/>
      <c r="L13" s="290"/>
    </row>
    <row r="14" spans="1:12" ht="10.35" customHeight="1" x14ac:dyDescent="0.2">
      <c r="A14" s="301" t="s">
        <v>118</v>
      </c>
      <c r="B14" s="172" t="s">
        <v>2</v>
      </c>
      <c r="C14" s="297">
        <v>1</v>
      </c>
      <c r="D14" s="377">
        <v>0.94860565466579283</v>
      </c>
      <c r="E14" s="377">
        <v>0.88423204022629476</v>
      </c>
      <c r="F14" s="377">
        <v>0.80929414923500975</v>
      </c>
      <c r="G14" s="377">
        <v>0.78626222475908558</v>
      </c>
      <c r="H14" s="377">
        <v>0.84858878548436134</v>
      </c>
      <c r="I14" s="492">
        <v>4.7137082983212677</v>
      </c>
      <c r="J14" s="486">
        <v>1.1090694770856289</v>
      </c>
      <c r="K14" s="487">
        <v>1.1005548724588285</v>
      </c>
      <c r="L14" s="285">
        <v>1.0692224504014098</v>
      </c>
    </row>
    <row r="15" spans="1:12" x14ac:dyDescent="0.2">
      <c r="A15" s="155"/>
      <c r="B15" s="172" t="s">
        <v>1</v>
      </c>
      <c r="C15" s="297">
        <v>1</v>
      </c>
      <c r="D15" s="298">
        <v>0.93593350383206919</v>
      </c>
      <c r="E15" s="298">
        <v>0.85647981305411991</v>
      </c>
      <c r="F15" s="298">
        <v>0.76877202675224798</v>
      </c>
      <c r="G15" s="298">
        <v>0.74966426161510136</v>
      </c>
      <c r="H15" s="298">
        <v>0.8207666071809645</v>
      </c>
      <c r="I15" s="428">
        <v>4.8734926165411974</v>
      </c>
      <c r="J15" s="486"/>
      <c r="K15" s="487"/>
      <c r="L15" s="285"/>
    </row>
    <row r="16" spans="1:12" x14ac:dyDescent="0.2">
      <c r="A16" s="286"/>
      <c r="B16" s="163" t="s">
        <v>0</v>
      </c>
      <c r="C16" s="314">
        <v>1</v>
      </c>
      <c r="D16" s="380">
        <v>0.96146360451537338</v>
      </c>
      <c r="E16" s="380">
        <v>0.91314376542486253</v>
      </c>
      <c r="F16" s="380">
        <v>0.8526215897081747</v>
      </c>
      <c r="G16" s="380">
        <v>0.82504665582874981</v>
      </c>
      <c r="H16" s="380">
        <v>0.87758208293768225</v>
      </c>
      <c r="I16" s="429">
        <v>4.5579781968771611</v>
      </c>
      <c r="J16" s="486"/>
      <c r="K16" s="487"/>
      <c r="L16" s="285"/>
    </row>
    <row r="17" spans="1:12" x14ac:dyDescent="0.2">
      <c r="A17" s="301" t="s">
        <v>119</v>
      </c>
      <c r="B17" s="172" t="s">
        <v>2</v>
      </c>
      <c r="C17" s="297">
        <v>1</v>
      </c>
      <c r="D17" s="377">
        <v>0.93776780248916869</v>
      </c>
      <c r="E17" s="377">
        <v>0.85886884086617887</v>
      </c>
      <c r="F17" s="377">
        <v>0.77373340292339432</v>
      </c>
      <c r="G17" s="377">
        <v>0.75390038899837641</v>
      </c>
      <c r="H17" s="377">
        <v>0.83308419999108418</v>
      </c>
      <c r="I17" s="492">
        <v>4.8014354371896726</v>
      </c>
      <c r="J17" s="490">
        <v>1.1510995265937984</v>
      </c>
      <c r="K17" s="491">
        <v>1.1509267922421453</v>
      </c>
      <c r="L17" s="291">
        <v>1.0954125985007794</v>
      </c>
    </row>
    <row r="18" spans="1:12" x14ac:dyDescent="0.2">
      <c r="A18" s="155"/>
      <c r="B18" s="172" t="s">
        <v>1</v>
      </c>
      <c r="C18" s="297">
        <v>1</v>
      </c>
      <c r="D18" s="298">
        <v>0.91933877713454437</v>
      </c>
      <c r="E18" s="298">
        <v>0.82329663272090048</v>
      </c>
      <c r="F18" s="298">
        <v>0.72201870343355179</v>
      </c>
      <c r="G18" s="298">
        <v>0.70356174253522297</v>
      </c>
      <c r="H18" s="298">
        <v>0.7964665072524646</v>
      </c>
      <c r="I18" s="428">
        <v>5.0221823059435655</v>
      </c>
      <c r="J18" s="486"/>
      <c r="K18" s="487"/>
      <c r="L18" s="285"/>
    </row>
    <row r="19" spans="1:12" x14ac:dyDescent="0.2">
      <c r="A19" s="286"/>
      <c r="B19" s="163" t="s">
        <v>0</v>
      </c>
      <c r="C19" s="314">
        <v>1</v>
      </c>
      <c r="D19" s="380">
        <v>0.95712194101652226</v>
      </c>
      <c r="E19" s="380">
        <v>0.89683235158837848</v>
      </c>
      <c r="F19" s="380">
        <v>0.83111538771422955</v>
      </c>
      <c r="G19" s="380">
        <v>0.80974805948035833</v>
      </c>
      <c r="H19" s="380">
        <v>0.87245944632826211</v>
      </c>
      <c r="I19" s="429">
        <v>4.5847403186864035</v>
      </c>
      <c r="J19" s="488"/>
      <c r="K19" s="489"/>
      <c r="L19" s="290"/>
    </row>
    <row r="20" spans="1:12" x14ac:dyDescent="0.2">
      <c r="A20" s="301" t="s">
        <v>120</v>
      </c>
      <c r="B20" s="172" t="s">
        <v>2</v>
      </c>
      <c r="C20" s="297">
        <v>1</v>
      </c>
      <c r="D20" s="377">
        <v>0.91399796310494852</v>
      </c>
      <c r="E20" s="377">
        <v>0.83299876751708235</v>
      </c>
      <c r="F20" s="377">
        <v>0.73008769927350925</v>
      </c>
      <c r="G20" s="377">
        <v>0.70884990233954737</v>
      </c>
      <c r="H20" s="377">
        <v>0.79849621196336995</v>
      </c>
      <c r="I20" s="492">
        <v>5.009416375520007</v>
      </c>
      <c r="J20" s="486">
        <v>1.2362097838498334</v>
      </c>
      <c r="K20" s="487">
        <v>1.2191115600939568</v>
      </c>
      <c r="L20" s="285">
        <v>1.1403145337127649</v>
      </c>
    </row>
    <row r="21" spans="1:12" x14ac:dyDescent="0.2">
      <c r="A21" s="155"/>
      <c r="B21" s="172" t="s">
        <v>1</v>
      </c>
      <c r="C21" s="297">
        <v>1</v>
      </c>
      <c r="D21" s="298">
        <v>0.88977272722773137</v>
      </c>
      <c r="E21" s="298">
        <v>0.78175391125186999</v>
      </c>
      <c r="F21" s="298">
        <v>0.65574751840528167</v>
      </c>
      <c r="G21" s="298">
        <v>0.64100704857034863</v>
      </c>
      <c r="H21" s="298">
        <v>0.74661934301661026</v>
      </c>
      <c r="I21" s="428">
        <v>5.3574824137807138</v>
      </c>
      <c r="J21" s="486"/>
      <c r="K21" s="487"/>
      <c r="L21" s="285"/>
    </row>
    <row r="22" spans="1:12" x14ac:dyDescent="0.2">
      <c r="A22" s="286"/>
      <c r="B22" s="163" t="s">
        <v>0</v>
      </c>
      <c r="C22" s="314">
        <v>1</v>
      </c>
      <c r="D22" s="380">
        <v>0.93802118548553737</v>
      </c>
      <c r="E22" s="380">
        <v>0.88589801118315414</v>
      </c>
      <c r="F22" s="380">
        <v>0.8106414979878579</v>
      </c>
      <c r="G22" s="380">
        <v>0.78145910301382049</v>
      </c>
      <c r="H22" s="380">
        <v>0.85138088799291678</v>
      </c>
      <c r="I22" s="429">
        <v>4.698249698122515</v>
      </c>
      <c r="J22" s="486"/>
      <c r="K22" s="487"/>
      <c r="L22" s="285"/>
    </row>
    <row r="23" spans="1:12" x14ac:dyDescent="0.2">
      <c r="A23" s="301" t="s">
        <v>121</v>
      </c>
      <c r="B23" s="172" t="s">
        <v>2</v>
      </c>
      <c r="C23" s="297">
        <v>1</v>
      </c>
      <c r="D23" s="377">
        <v>0.86918071079745773</v>
      </c>
      <c r="E23" s="377">
        <v>0.73355062862606468</v>
      </c>
      <c r="F23" s="377">
        <v>0.57614405813722358</v>
      </c>
      <c r="G23" s="377">
        <v>0.53881309484975082</v>
      </c>
      <c r="H23" s="377">
        <v>0.65686700769606343</v>
      </c>
      <c r="I23" s="492">
        <v>6.0895127219585143</v>
      </c>
      <c r="J23" s="490">
        <v>1.3027533425776738</v>
      </c>
      <c r="K23" s="491">
        <v>1.3419039987672254</v>
      </c>
      <c r="L23" s="291">
        <v>1.241157163964987</v>
      </c>
    </row>
    <row r="24" spans="1:12" x14ac:dyDescent="0.2">
      <c r="A24" s="155"/>
      <c r="B24" s="172" t="s">
        <v>1</v>
      </c>
      <c r="C24" s="297">
        <v>1</v>
      </c>
      <c r="D24" s="298">
        <v>0.83043780344911122</v>
      </c>
      <c r="E24" s="298">
        <v>0.67236985470333721</v>
      </c>
      <c r="F24" s="298">
        <v>0.50022758263797606</v>
      </c>
      <c r="G24" s="298">
        <v>0.46070612189683419</v>
      </c>
      <c r="H24" s="298">
        <v>0.58511922826236973</v>
      </c>
      <c r="I24" s="428">
        <v>6.8362135557889827</v>
      </c>
      <c r="J24" s="486"/>
      <c r="K24" s="487"/>
      <c r="L24" s="285"/>
    </row>
    <row r="25" spans="1:12" x14ac:dyDescent="0.2">
      <c r="A25" s="286"/>
      <c r="B25" s="163" t="s">
        <v>0</v>
      </c>
      <c r="C25" s="314">
        <v>1</v>
      </c>
      <c r="D25" s="380">
        <v>0.9049759229531964</v>
      </c>
      <c r="E25" s="380">
        <v>0.79150020526732501</v>
      </c>
      <c r="F25" s="380">
        <v>0.65167315533117287</v>
      </c>
      <c r="G25" s="380">
        <v>0.61822338722990255</v>
      </c>
      <c r="H25" s="380">
        <v>0.72622492193150467</v>
      </c>
      <c r="I25" s="429">
        <v>5.5079354607679907</v>
      </c>
      <c r="J25" s="488"/>
      <c r="K25" s="489"/>
      <c r="L25" s="290"/>
    </row>
    <row r="26" spans="1:12" x14ac:dyDescent="0.2">
      <c r="A26" s="301" t="s">
        <v>122</v>
      </c>
      <c r="B26" s="172" t="s">
        <v>2</v>
      </c>
      <c r="C26" s="351">
        <v>1</v>
      </c>
      <c r="D26" s="382">
        <v>0.92859598840901647</v>
      </c>
      <c r="E26" s="382">
        <v>0.82718419446515268</v>
      </c>
      <c r="F26" s="382">
        <v>0.72769851817976694</v>
      </c>
      <c r="G26" s="382">
        <v>0.71072616239292397</v>
      </c>
      <c r="H26" s="382">
        <v>0.78879680989782064</v>
      </c>
      <c r="I26" s="501">
        <v>5.0710144232431071</v>
      </c>
      <c r="J26" s="502">
        <v>1.2482699909217949</v>
      </c>
      <c r="K26" s="503">
        <v>1.2581830124068356</v>
      </c>
      <c r="L26" s="346">
        <v>1.1824435078981383</v>
      </c>
    </row>
    <row r="27" spans="1:12" ht="11.1" customHeight="1" x14ac:dyDescent="0.2">
      <c r="A27" s="347"/>
      <c r="B27" s="172" t="s">
        <v>1</v>
      </c>
      <c r="C27" s="351">
        <v>1</v>
      </c>
      <c r="D27" s="383">
        <v>0.89828544763797413</v>
      </c>
      <c r="E27" s="383">
        <v>0.77536214595277031</v>
      </c>
      <c r="F27" s="383">
        <v>0.65031481616692888</v>
      </c>
      <c r="G27" s="383">
        <v>0.63261593664428295</v>
      </c>
      <c r="H27" s="383">
        <v>0.7242431515230815</v>
      </c>
      <c r="I27" s="430">
        <v>5.5230070061249599</v>
      </c>
      <c r="J27" s="504"/>
      <c r="K27" s="505"/>
      <c r="L27" s="352"/>
    </row>
    <row r="28" spans="1:12" x14ac:dyDescent="0.2">
      <c r="A28" s="286"/>
      <c r="B28" s="163" t="s">
        <v>0</v>
      </c>
      <c r="C28" s="356">
        <v>1</v>
      </c>
      <c r="D28" s="390">
        <v>0.95826718076518524</v>
      </c>
      <c r="E28" s="390">
        <v>0.88088498578961472</v>
      </c>
      <c r="F28" s="390">
        <v>0.81176846967300098</v>
      </c>
      <c r="G28" s="390">
        <v>0.79594662486367573</v>
      </c>
      <c r="H28" s="390">
        <v>0.85637661265815535</v>
      </c>
      <c r="I28" s="440">
        <v>4.6708421748979996</v>
      </c>
      <c r="J28" s="506"/>
      <c r="K28" s="507"/>
      <c r="L28" s="358"/>
    </row>
    <row r="29" spans="1:12" x14ac:dyDescent="0.2">
      <c r="A29" s="301" t="s">
        <v>123</v>
      </c>
      <c r="B29" s="172" t="s">
        <v>2</v>
      </c>
      <c r="C29" s="297">
        <v>1</v>
      </c>
      <c r="D29" s="377">
        <v>0.97161682716663589</v>
      </c>
      <c r="E29" s="377">
        <v>0.91725121507703844</v>
      </c>
      <c r="F29" s="377">
        <v>0.87168108232185293</v>
      </c>
      <c r="G29" s="377">
        <v>0.85612256427266664</v>
      </c>
      <c r="H29" s="377">
        <v>0.89443229688171988</v>
      </c>
      <c r="I29" s="492">
        <v>4.472110425736294</v>
      </c>
      <c r="J29" s="490">
        <v>1.168945553400859</v>
      </c>
      <c r="K29" s="491">
        <v>1.168333978873437</v>
      </c>
      <c r="L29" s="291">
        <v>1.109812254052178</v>
      </c>
    </row>
    <row r="30" spans="1:12" x14ac:dyDescent="0.2">
      <c r="A30" s="155"/>
      <c r="B30" s="172" t="s">
        <v>1</v>
      </c>
      <c r="C30" s="297">
        <v>1</v>
      </c>
      <c r="D30" s="298">
        <v>0.95329400196474934</v>
      </c>
      <c r="E30" s="298">
        <v>0.87515514891316926</v>
      </c>
      <c r="F30" s="298">
        <v>0.80569838325497889</v>
      </c>
      <c r="G30" s="298">
        <v>0.79152972338831773</v>
      </c>
      <c r="H30" s="298">
        <v>0.84819094705817522</v>
      </c>
      <c r="I30" s="428">
        <v>4.7159192324245005</v>
      </c>
      <c r="J30" s="486"/>
      <c r="K30" s="487"/>
      <c r="L30" s="285"/>
    </row>
    <row r="31" spans="1:12" x14ac:dyDescent="0.2">
      <c r="A31" s="286"/>
      <c r="B31" s="163" t="s">
        <v>0</v>
      </c>
      <c r="C31" s="314">
        <v>1</v>
      </c>
      <c r="D31" s="380">
        <v>0.99110878661087798</v>
      </c>
      <c r="E31" s="380">
        <v>0.96078719359566866</v>
      </c>
      <c r="F31" s="380">
        <v>0.94181754248816874</v>
      </c>
      <c r="G31" s="380">
        <v>0.92477107112286427</v>
      </c>
      <c r="H31" s="380">
        <v>0.941332706821285</v>
      </c>
      <c r="I31" s="429">
        <v>4.2492946128551043</v>
      </c>
      <c r="J31" s="488"/>
      <c r="K31" s="489"/>
      <c r="L31" s="290"/>
    </row>
    <row r="32" spans="1:12" ht="10.35" customHeight="1" x14ac:dyDescent="0.2">
      <c r="A32" s="301" t="s">
        <v>124</v>
      </c>
      <c r="B32" s="172" t="s">
        <v>2</v>
      </c>
      <c r="C32" s="297">
        <v>1</v>
      </c>
      <c r="D32" s="377">
        <v>0.9491746307553014</v>
      </c>
      <c r="E32" s="377">
        <v>0.89573370611962799</v>
      </c>
      <c r="F32" s="377">
        <v>0.81403812313549551</v>
      </c>
      <c r="G32" s="377">
        <v>0.80645054877213407</v>
      </c>
      <c r="H32" s="377">
        <v>0.86358710802438143</v>
      </c>
      <c r="I32" s="492">
        <v>4.631843114414659</v>
      </c>
      <c r="J32" s="490">
        <v>1.1633838073237734</v>
      </c>
      <c r="K32" s="491">
        <v>1.1582122170413838</v>
      </c>
      <c r="L32" s="291">
        <v>1.1117923410329855</v>
      </c>
    </row>
    <row r="33" spans="1:12" x14ac:dyDescent="0.2">
      <c r="A33" s="155"/>
      <c r="B33" s="172" t="s">
        <v>1</v>
      </c>
      <c r="C33" s="297">
        <v>1</v>
      </c>
      <c r="D33" s="298">
        <v>0.93478260868923435</v>
      </c>
      <c r="E33" s="298">
        <v>0.85935808877963338</v>
      </c>
      <c r="F33" s="298">
        <v>0.75391960140044068</v>
      </c>
      <c r="G33" s="298">
        <v>0.7485583783379085</v>
      </c>
      <c r="H33" s="298">
        <v>0.81830303371093671</v>
      </c>
      <c r="I33" s="428">
        <v>4.8881646959810601</v>
      </c>
      <c r="J33" s="486"/>
      <c r="K33" s="487"/>
      <c r="L33" s="285"/>
    </row>
    <row r="34" spans="1:12" x14ac:dyDescent="0.2">
      <c r="A34" s="286"/>
      <c r="B34" s="163" t="s">
        <v>0</v>
      </c>
      <c r="C34" s="314">
        <v>1</v>
      </c>
      <c r="D34" s="380">
        <v>0.96354166666665475</v>
      </c>
      <c r="E34" s="380">
        <v>0.93182013031386124</v>
      </c>
      <c r="F34" s="380">
        <v>0.87709785629326642</v>
      </c>
      <c r="G34" s="380">
        <v>0.86698945895965196</v>
      </c>
      <c r="H34" s="380">
        <v>0.90978304552387634</v>
      </c>
      <c r="I34" s="429">
        <v>4.3966526082014399</v>
      </c>
      <c r="J34" s="488"/>
      <c r="K34" s="489"/>
      <c r="L34" s="290"/>
    </row>
    <row r="35" spans="1:12" x14ac:dyDescent="0.2">
      <c r="A35" s="301" t="s">
        <v>125</v>
      </c>
      <c r="B35" s="172" t="s">
        <v>2</v>
      </c>
      <c r="C35" s="351">
        <v>1</v>
      </c>
      <c r="D35" s="382">
        <v>0.92563539376493331</v>
      </c>
      <c r="E35" s="382">
        <v>0.85609874391878615</v>
      </c>
      <c r="F35" s="382">
        <v>0.76557703390939913</v>
      </c>
      <c r="G35" s="382">
        <v>0.75468235791152605</v>
      </c>
      <c r="H35" s="382">
        <v>0.82489487173667264</v>
      </c>
      <c r="I35" s="501">
        <v>4.849102760911455</v>
      </c>
      <c r="J35" s="502">
        <v>1.2985953361698817</v>
      </c>
      <c r="K35" s="503">
        <v>1.2885941448213951</v>
      </c>
      <c r="L35" s="346">
        <v>1.1731671050290773</v>
      </c>
    </row>
    <row r="36" spans="1:12" ht="12" x14ac:dyDescent="0.2">
      <c r="A36" s="347"/>
      <c r="B36" s="172" t="s">
        <v>1</v>
      </c>
      <c r="C36" s="351">
        <v>1</v>
      </c>
      <c r="D36" s="383">
        <v>0.88109756065419409</v>
      </c>
      <c r="E36" s="383">
        <v>0.78585917530955396</v>
      </c>
      <c r="F36" s="383">
        <v>0.66920441395339214</v>
      </c>
      <c r="G36" s="383">
        <v>0.66229273629909491</v>
      </c>
      <c r="H36" s="383">
        <v>0.7587181917771797</v>
      </c>
      <c r="I36" s="430">
        <v>5.2720496797771785</v>
      </c>
      <c r="J36" s="504"/>
      <c r="K36" s="505"/>
      <c r="L36" s="352"/>
    </row>
    <row r="37" spans="1:12" x14ac:dyDescent="0.2">
      <c r="A37" s="286"/>
      <c r="B37" s="163" t="s">
        <v>0</v>
      </c>
      <c r="C37" s="356">
        <v>1</v>
      </c>
      <c r="D37" s="390">
        <v>0.97285067873289099</v>
      </c>
      <c r="E37" s="390">
        <v>0.92886388937245123</v>
      </c>
      <c r="F37" s="390">
        <v>0.8690257309041739</v>
      </c>
      <c r="G37" s="390">
        <v>0.85342654215275393</v>
      </c>
      <c r="H37" s="390">
        <v>0.89010322458013025</v>
      </c>
      <c r="I37" s="440">
        <v>4.4938608124769308</v>
      </c>
      <c r="J37" s="506"/>
      <c r="K37" s="507"/>
      <c r="L37" s="358"/>
    </row>
    <row r="38" spans="1:12" x14ac:dyDescent="0.2">
      <c r="A38" s="301" t="s">
        <v>126</v>
      </c>
      <c r="B38" s="172" t="s">
        <v>2</v>
      </c>
      <c r="C38" s="297">
        <v>1</v>
      </c>
      <c r="D38" s="377">
        <v>0.96147598050591043</v>
      </c>
      <c r="E38" s="377">
        <v>0.92862777064475832</v>
      </c>
      <c r="F38" s="377">
        <v>0.88807272539428461</v>
      </c>
      <c r="G38" s="377">
        <v>0.87457195510388142</v>
      </c>
      <c r="H38" s="377">
        <v>0.91631853868917656</v>
      </c>
      <c r="I38" s="492">
        <v>4.3652941974983177</v>
      </c>
      <c r="J38" s="490">
        <v>1.1495854602608597</v>
      </c>
      <c r="K38" s="491">
        <v>1.1579750361464187</v>
      </c>
      <c r="L38" s="291">
        <v>1.0863464029587409</v>
      </c>
    </row>
    <row r="39" spans="1:12" x14ac:dyDescent="0.2">
      <c r="A39" s="155"/>
      <c r="B39" s="172" t="s">
        <v>1</v>
      </c>
      <c r="C39" s="297">
        <v>1</v>
      </c>
      <c r="D39" s="298">
        <v>0.94049733570155902</v>
      </c>
      <c r="E39" s="298">
        <v>0.8816896182867866</v>
      </c>
      <c r="F39" s="298">
        <v>0.82885133164662494</v>
      </c>
      <c r="G39" s="298">
        <v>0.81328256754608719</v>
      </c>
      <c r="H39" s="298">
        <v>0.87896146153630583</v>
      </c>
      <c r="I39" s="428">
        <v>4.5508252352822627</v>
      </c>
      <c r="J39" s="486"/>
      <c r="K39" s="487"/>
      <c r="L39" s="285"/>
    </row>
    <row r="40" spans="1:12" x14ac:dyDescent="0.2">
      <c r="A40" s="286"/>
      <c r="B40" s="163" t="s">
        <v>0</v>
      </c>
      <c r="C40" s="314">
        <v>1</v>
      </c>
      <c r="D40" s="380">
        <v>0.98444336412250788</v>
      </c>
      <c r="E40" s="380">
        <v>0.97981068946771022</v>
      </c>
      <c r="F40" s="380">
        <v>0.95283543957881178</v>
      </c>
      <c r="G40" s="380">
        <v>0.94176091055143252</v>
      </c>
      <c r="H40" s="380">
        <v>0.95485662207932354</v>
      </c>
      <c r="I40" s="429">
        <v>4.1891106031075989</v>
      </c>
      <c r="J40" s="488"/>
      <c r="K40" s="489"/>
      <c r="L40" s="290"/>
    </row>
    <row r="41" spans="1:12" x14ac:dyDescent="0.2">
      <c r="A41" s="301" t="s">
        <v>127</v>
      </c>
      <c r="B41" s="172" t="s">
        <v>2</v>
      </c>
      <c r="C41" s="297">
        <v>1</v>
      </c>
      <c r="D41" s="377">
        <v>0.96780650542114555</v>
      </c>
      <c r="E41" s="377">
        <v>0.94475565295803132</v>
      </c>
      <c r="F41" s="377">
        <v>0.8996523573588463</v>
      </c>
      <c r="G41" s="377">
        <v>0.87920896194360521</v>
      </c>
      <c r="H41" s="377">
        <v>0.9121277587493255</v>
      </c>
      <c r="I41" s="492">
        <v>4.3853505845328575</v>
      </c>
      <c r="J41" s="490">
        <v>1.0915362478585822</v>
      </c>
      <c r="K41" s="491">
        <v>1.1003897951151536</v>
      </c>
      <c r="L41" s="291">
        <v>1.0710027764147256</v>
      </c>
    </row>
    <row r="42" spans="1:12" x14ac:dyDescent="0.2">
      <c r="A42" s="155"/>
      <c r="B42" s="172" t="s">
        <v>1</v>
      </c>
      <c r="C42" s="297">
        <v>1</v>
      </c>
      <c r="D42" s="298">
        <v>0.96076491922164575</v>
      </c>
      <c r="E42" s="298">
        <v>0.92420710852748389</v>
      </c>
      <c r="F42" s="298">
        <v>0.86101092413257108</v>
      </c>
      <c r="G42" s="298">
        <v>0.83805063258195822</v>
      </c>
      <c r="H42" s="298">
        <v>0.88114519523040946</v>
      </c>
      <c r="I42" s="428">
        <v>4.5395469687081995</v>
      </c>
      <c r="J42" s="486"/>
      <c r="K42" s="487"/>
      <c r="L42" s="285"/>
    </row>
    <row r="43" spans="1:12" x14ac:dyDescent="0.2">
      <c r="A43" s="286"/>
      <c r="B43" s="163" t="s">
        <v>0</v>
      </c>
      <c r="C43" s="314">
        <v>1</v>
      </c>
      <c r="D43" s="380">
        <v>0.9750168804861552</v>
      </c>
      <c r="E43" s="380">
        <v>0.96622075318094358</v>
      </c>
      <c r="F43" s="380">
        <v>0.93982463349291701</v>
      </c>
      <c r="G43" s="380">
        <v>0.92218236388298591</v>
      </c>
      <c r="H43" s="380">
        <v>0.94370895051626391</v>
      </c>
      <c r="I43" s="429">
        <v>4.2385949585534464</v>
      </c>
      <c r="J43" s="488"/>
      <c r="K43" s="489"/>
      <c r="L43" s="290"/>
    </row>
    <row r="44" spans="1:12" x14ac:dyDescent="0.2">
      <c r="A44" s="315" t="s">
        <v>15</v>
      </c>
      <c r="B44" s="493" t="s">
        <v>2</v>
      </c>
      <c r="C44" s="325">
        <v>1</v>
      </c>
      <c r="D44" s="318">
        <v>0.94683289378982705</v>
      </c>
      <c r="E44" s="318">
        <v>0.8858628267526627</v>
      </c>
      <c r="F44" s="318">
        <v>0.8124395788776122</v>
      </c>
      <c r="G44" s="318">
        <v>0.79325142833543005</v>
      </c>
      <c r="H44" s="318">
        <v>0.85475533557602279</v>
      </c>
      <c r="I44" s="321">
        <v>4.6797017035341293</v>
      </c>
      <c r="J44" s="494">
        <v>1.1499106698722621</v>
      </c>
      <c r="K44" s="495">
        <v>1.1519709453388727</v>
      </c>
      <c r="L44" s="322">
        <v>1.1000175755042065</v>
      </c>
    </row>
    <row r="45" spans="1:12" x14ac:dyDescent="0.2">
      <c r="A45" s="323"/>
      <c r="B45" s="493" t="s">
        <v>1</v>
      </c>
      <c r="C45" s="325">
        <v>1</v>
      </c>
      <c r="D45" s="326">
        <v>0.92784249633408022</v>
      </c>
      <c r="E45" s="326">
        <v>0.84920189411877833</v>
      </c>
      <c r="F45" s="326">
        <v>0.75732267946809062</v>
      </c>
      <c r="G45" s="326">
        <v>0.738779708576348</v>
      </c>
      <c r="H45" s="326">
        <v>0.81454472332229144</v>
      </c>
      <c r="I45" s="328">
        <v>4.9107186941008738</v>
      </c>
      <c r="J45" s="496"/>
      <c r="K45" s="497"/>
      <c r="L45" s="329"/>
    </row>
    <row r="46" spans="1:12" ht="12" thickBot="1" x14ac:dyDescent="0.25">
      <c r="A46" s="330"/>
      <c r="B46" s="498" t="s">
        <v>0</v>
      </c>
      <c r="C46" s="332">
        <v>1</v>
      </c>
      <c r="D46" s="333">
        <v>0.96617880512640808</v>
      </c>
      <c r="E46" s="333">
        <v>0.92380459535366721</v>
      </c>
      <c r="F46" s="333">
        <v>0.8708534296566085</v>
      </c>
      <c r="G46" s="333">
        <v>0.85105275928587254</v>
      </c>
      <c r="H46" s="333">
        <v>0.89601351168873178</v>
      </c>
      <c r="I46" s="335">
        <v>4.4642183938288298</v>
      </c>
      <c r="J46" s="499"/>
      <c r="K46" s="500"/>
      <c r="L46" s="336"/>
    </row>
  </sheetData>
  <sheetProtection algorithmName="SHA-512" hashValue="WxRTHG1ytRgkBoJLcP3RtFwWfhsBuHc9Bi3P5TpSc/8dXcFfFg96nJcqW4GCKcATfPj+o8yle0tVcgH1A+jEuA==" saltValue="BguOnOxmt1+JQqeFYhx6zg==" spinCount="100000" sheet="1" objects="1" scenarios="1"/>
  <mergeCells count="7">
    <mergeCell ref="B9:B10"/>
    <mergeCell ref="C9:E9"/>
    <mergeCell ref="A1:L1"/>
    <mergeCell ref="A2:L2"/>
    <mergeCell ref="A3:L3"/>
    <mergeCell ref="A4:L4"/>
    <mergeCell ref="A5:L5"/>
  </mergeCells>
  <printOptions horizontalCentered="1"/>
  <pageMargins left="0" right="0" top="1" bottom="0.5" header="0.5" footer="0.35"/>
  <pageSetup paperSize="9" scale="71" orientation="portrait" horizontalDpi="300" verticalDpi="300" r:id="rId1"/>
  <headerFooter alignWithMargins="0">
    <oddFooter>&amp;C&amp;8Page &amp;P of &amp;N</oddFooter>
  </headerFooter>
  <picture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06AF5-B403-4F5A-966C-605DD81AF06A}">
  <sheetPr>
    <tabColor rgb="FF0000FF"/>
    <pageSetUpPr fitToPage="1"/>
  </sheetPr>
  <dimension ref="A1:H46"/>
  <sheetViews>
    <sheetView showGridLines="0" zoomScaleNormal="100" workbookViewId="0">
      <pane xSplit="2" ySplit="8" topLeftCell="C9" activePane="bottomRight" state="frozen"/>
      <selection activeCell="B9" sqref="B9:B12"/>
      <selection pane="topRight" activeCell="B9" sqref="B9:B12"/>
      <selection pane="bottomLeft" activeCell="B9" sqref="B9:B12"/>
      <selection pane="bottomRight" activeCell="O15" sqref="O15"/>
    </sheetView>
  </sheetViews>
  <sheetFormatPr defaultRowHeight="11.25" x14ac:dyDescent="0.2"/>
  <cols>
    <col min="1" max="1" width="45.140625" style="359" customWidth="1"/>
    <col min="2" max="2" width="9.140625" style="143" bestFit="1" customWidth="1"/>
    <col min="3" max="6" width="8.85546875" style="516" customWidth="1"/>
    <col min="7" max="7" width="10.140625" style="516" customWidth="1"/>
    <col min="8" max="8" width="10.85546875" style="218" customWidth="1"/>
    <col min="9" max="227" width="8.7109375" style="143"/>
    <col min="228" max="228" width="23.85546875" style="143" customWidth="1"/>
    <col min="229" max="229" width="10.85546875" style="143" customWidth="1"/>
    <col min="230" max="233" width="8.85546875" style="143" customWidth="1"/>
    <col min="234" max="234" width="11" style="143" customWidth="1"/>
    <col min="235" max="235" width="10.85546875" style="143" customWidth="1"/>
    <col min="236" max="237" width="8.7109375" style="143"/>
    <col min="238" max="241" width="8.85546875" style="143" customWidth="1"/>
    <col min="242" max="242" width="11.42578125" style="143" customWidth="1"/>
    <col min="243" max="245" width="8.7109375" style="143"/>
    <col min="246" max="249" width="8.85546875" style="143" customWidth="1"/>
    <col min="250" max="250" width="11" style="143" customWidth="1"/>
    <col min="251" max="251" width="9.85546875" style="143" customWidth="1"/>
    <col min="252" max="483" width="8.7109375" style="143"/>
    <col min="484" max="484" width="23.85546875" style="143" customWidth="1"/>
    <col min="485" max="485" width="10.85546875" style="143" customWidth="1"/>
    <col min="486" max="489" width="8.85546875" style="143" customWidth="1"/>
    <col min="490" max="490" width="11" style="143" customWidth="1"/>
    <col min="491" max="491" width="10.85546875" style="143" customWidth="1"/>
    <col min="492" max="493" width="8.7109375" style="143"/>
    <col min="494" max="497" width="8.85546875" style="143" customWidth="1"/>
    <col min="498" max="498" width="11.42578125" style="143" customWidth="1"/>
    <col min="499" max="501" width="8.7109375" style="143"/>
    <col min="502" max="505" width="8.85546875" style="143" customWidth="1"/>
    <col min="506" max="506" width="11" style="143" customWidth="1"/>
    <col min="507" max="507" width="9.85546875" style="143" customWidth="1"/>
    <col min="508" max="739" width="8.7109375" style="143"/>
    <col min="740" max="740" width="23.85546875" style="143" customWidth="1"/>
    <col min="741" max="741" width="10.85546875" style="143" customWidth="1"/>
    <col min="742" max="745" width="8.85546875" style="143" customWidth="1"/>
    <col min="746" max="746" width="11" style="143" customWidth="1"/>
    <col min="747" max="747" width="10.85546875" style="143" customWidth="1"/>
    <col min="748" max="749" width="8.7109375" style="143"/>
    <col min="750" max="753" width="8.85546875" style="143" customWidth="1"/>
    <col min="754" max="754" width="11.42578125" style="143" customWidth="1"/>
    <col min="755" max="757" width="8.7109375" style="143"/>
    <col min="758" max="761" width="8.85546875" style="143" customWidth="1"/>
    <col min="762" max="762" width="11" style="143" customWidth="1"/>
    <col min="763" max="763" width="9.85546875" style="143" customWidth="1"/>
    <col min="764" max="995" width="8.7109375" style="143"/>
    <col min="996" max="996" width="23.85546875" style="143" customWidth="1"/>
    <col min="997" max="997" width="10.85546875" style="143" customWidth="1"/>
    <col min="998" max="1001" width="8.85546875" style="143" customWidth="1"/>
    <col min="1002" max="1002" width="11" style="143" customWidth="1"/>
    <col min="1003" max="1003" width="10.85546875" style="143" customWidth="1"/>
    <col min="1004" max="1005" width="8.7109375" style="143"/>
    <col min="1006" max="1009" width="8.85546875" style="143" customWidth="1"/>
    <col min="1010" max="1010" width="11.42578125" style="143" customWidth="1"/>
    <col min="1011" max="1013" width="8.7109375" style="143"/>
    <col min="1014" max="1017" width="8.85546875" style="143" customWidth="1"/>
    <col min="1018" max="1018" width="11" style="143" customWidth="1"/>
    <col min="1019" max="1019" width="9.85546875" style="143" customWidth="1"/>
    <col min="1020" max="1251" width="8.7109375" style="143"/>
    <col min="1252" max="1252" width="23.85546875" style="143" customWidth="1"/>
    <col min="1253" max="1253" width="10.85546875" style="143" customWidth="1"/>
    <col min="1254" max="1257" width="8.85546875" style="143" customWidth="1"/>
    <col min="1258" max="1258" width="11" style="143" customWidth="1"/>
    <col min="1259" max="1259" width="10.85546875" style="143" customWidth="1"/>
    <col min="1260" max="1261" width="8.7109375" style="143"/>
    <col min="1262" max="1265" width="8.85546875" style="143" customWidth="1"/>
    <col min="1266" max="1266" width="11.42578125" style="143" customWidth="1"/>
    <col min="1267" max="1269" width="8.7109375" style="143"/>
    <col min="1270" max="1273" width="8.85546875" style="143" customWidth="1"/>
    <col min="1274" max="1274" width="11" style="143" customWidth="1"/>
    <col min="1275" max="1275" width="9.85546875" style="143" customWidth="1"/>
    <col min="1276" max="1507" width="8.7109375" style="143"/>
    <col min="1508" max="1508" width="23.85546875" style="143" customWidth="1"/>
    <col min="1509" max="1509" width="10.85546875" style="143" customWidth="1"/>
    <col min="1510" max="1513" width="8.85546875" style="143" customWidth="1"/>
    <col min="1514" max="1514" width="11" style="143" customWidth="1"/>
    <col min="1515" max="1515" width="10.85546875" style="143" customWidth="1"/>
    <col min="1516" max="1517" width="8.7109375" style="143"/>
    <col min="1518" max="1521" width="8.85546875" style="143" customWidth="1"/>
    <col min="1522" max="1522" width="11.42578125" style="143" customWidth="1"/>
    <col min="1523" max="1525" width="8.7109375" style="143"/>
    <col min="1526" max="1529" width="8.85546875" style="143" customWidth="1"/>
    <col min="1530" max="1530" width="11" style="143" customWidth="1"/>
    <col min="1531" max="1531" width="9.85546875" style="143" customWidth="1"/>
    <col min="1532" max="1763" width="8.7109375" style="143"/>
    <col min="1764" max="1764" width="23.85546875" style="143" customWidth="1"/>
    <col min="1765" max="1765" width="10.85546875" style="143" customWidth="1"/>
    <col min="1766" max="1769" width="8.85546875" style="143" customWidth="1"/>
    <col min="1770" max="1770" width="11" style="143" customWidth="1"/>
    <col min="1771" max="1771" width="10.85546875" style="143" customWidth="1"/>
    <col min="1772" max="1773" width="8.7109375" style="143"/>
    <col min="1774" max="1777" width="8.85546875" style="143" customWidth="1"/>
    <col min="1778" max="1778" width="11.42578125" style="143" customWidth="1"/>
    <col min="1779" max="1781" width="8.7109375" style="143"/>
    <col min="1782" max="1785" width="8.85546875" style="143" customWidth="1"/>
    <col min="1786" max="1786" width="11" style="143" customWidth="1"/>
    <col min="1787" max="1787" width="9.85546875" style="143" customWidth="1"/>
    <col min="1788" max="2019" width="8.7109375" style="143"/>
    <col min="2020" max="2020" width="23.85546875" style="143" customWidth="1"/>
    <col min="2021" max="2021" width="10.85546875" style="143" customWidth="1"/>
    <col min="2022" max="2025" width="8.85546875" style="143" customWidth="1"/>
    <col min="2026" max="2026" width="11" style="143" customWidth="1"/>
    <col min="2027" max="2027" width="10.85546875" style="143" customWidth="1"/>
    <col min="2028" max="2029" width="8.7109375" style="143"/>
    <col min="2030" max="2033" width="8.85546875" style="143" customWidth="1"/>
    <col min="2034" max="2034" width="11.42578125" style="143" customWidth="1"/>
    <col min="2035" max="2037" width="8.7109375" style="143"/>
    <col min="2038" max="2041" width="8.85546875" style="143" customWidth="1"/>
    <col min="2042" max="2042" width="11" style="143" customWidth="1"/>
    <col min="2043" max="2043" width="9.85546875" style="143" customWidth="1"/>
    <col min="2044" max="2275" width="8.7109375" style="143"/>
    <col min="2276" max="2276" width="23.85546875" style="143" customWidth="1"/>
    <col min="2277" max="2277" width="10.85546875" style="143" customWidth="1"/>
    <col min="2278" max="2281" width="8.85546875" style="143" customWidth="1"/>
    <col min="2282" max="2282" width="11" style="143" customWidth="1"/>
    <col min="2283" max="2283" width="10.85546875" style="143" customWidth="1"/>
    <col min="2284" max="2285" width="8.7109375" style="143"/>
    <col min="2286" max="2289" width="8.85546875" style="143" customWidth="1"/>
    <col min="2290" max="2290" width="11.42578125" style="143" customWidth="1"/>
    <col min="2291" max="2293" width="8.7109375" style="143"/>
    <col min="2294" max="2297" width="8.85546875" style="143" customWidth="1"/>
    <col min="2298" max="2298" width="11" style="143" customWidth="1"/>
    <col min="2299" max="2299" width="9.85546875" style="143" customWidth="1"/>
    <col min="2300" max="2531" width="8.7109375" style="143"/>
    <col min="2532" max="2532" width="23.85546875" style="143" customWidth="1"/>
    <col min="2533" max="2533" width="10.85546875" style="143" customWidth="1"/>
    <col min="2534" max="2537" width="8.85546875" style="143" customWidth="1"/>
    <col min="2538" max="2538" width="11" style="143" customWidth="1"/>
    <col min="2539" max="2539" width="10.85546875" style="143" customWidth="1"/>
    <col min="2540" max="2541" width="8.7109375" style="143"/>
    <col min="2542" max="2545" width="8.85546875" style="143" customWidth="1"/>
    <col min="2546" max="2546" width="11.42578125" style="143" customWidth="1"/>
    <col min="2547" max="2549" width="8.7109375" style="143"/>
    <col min="2550" max="2553" width="8.85546875" style="143" customWidth="1"/>
    <col min="2554" max="2554" width="11" style="143" customWidth="1"/>
    <col min="2555" max="2555" width="9.85546875" style="143" customWidth="1"/>
    <col min="2556" max="2787" width="8.7109375" style="143"/>
    <col min="2788" max="2788" width="23.85546875" style="143" customWidth="1"/>
    <col min="2789" max="2789" width="10.85546875" style="143" customWidth="1"/>
    <col min="2790" max="2793" width="8.85546875" style="143" customWidth="1"/>
    <col min="2794" max="2794" width="11" style="143" customWidth="1"/>
    <col min="2795" max="2795" width="10.85546875" style="143" customWidth="1"/>
    <col min="2796" max="2797" width="8.7109375" style="143"/>
    <col min="2798" max="2801" width="8.85546875" style="143" customWidth="1"/>
    <col min="2802" max="2802" width="11.42578125" style="143" customWidth="1"/>
    <col min="2803" max="2805" width="8.7109375" style="143"/>
    <col min="2806" max="2809" width="8.85546875" style="143" customWidth="1"/>
    <col min="2810" max="2810" width="11" style="143" customWidth="1"/>
    <col min="2811" max="2811" width="9.85546875" style="143" customWidth="1"/>
    <col min="2812" max="3043" width="8.7109375" style="143"/>
    <col min="3044" max="3044" width="23.85546875" style="143" customWidth="1"/>
    <col min="3045" max="3045" width="10.85546875" style="143" customWidth="1"/>
    <col min="3046" max="3049" width="8.85546875" style="143" customWidth="1"/>
    <col min="3050" max="3050" width="11" style="143" customWidth="1"/>
    <col min="3051" max="3051" width="10.85546875" style="143" customWidth="1"/>
    <col min="3052" max="3053" width="8.7109375" style="143"/>
    <col min="3054" max="3057" width="8.85546875" style="143" customWidth="1"/>
    <col min="3058" max="3058" width="11.42578125" style="143" customWidth="1"/>
    <col min="3059" max="3061" width="8.7109375" style="143"/>
    <col min="3062" max="3065" width="8.85546875" style="143" customWidth="1"/>
    <col min="3066" max="3066" width="11" style="143" customWidth="1"/>
    <col min="3067" max="3067" width="9.85546875" style="143" customWidth="1"/>
    <col min="3068" max="3299" width="8.7109375" style="143"/>
    <col min="3300" max="3300" width="23.85546875" style="143" customWidth="1"/>
    <col min="3301" max="3301" width="10.85546875" style="143" customWidth="1"/>
    <col min="3302" max="3305" width="8.85546875" style="143" customWidth="1"/>
    <col min="3306" max="3306" width="11" style="143" customWidth="1"/>
    <col min="3307" max="3307" width="10.85546875" style="143" customWidth="1"/>
    <col min="3308" max="3309" width="8.7109375" style="143"/>
    <col min="3310" max="3313" width="8.85546875" style="143" customWidth="1"/>
    <col min="3314" max="3314" width="11.42578125" style="143" customWidth="1"/>
    <col min="3315" max="3317" width="8.7109375" style="143"/>
    <col min="3318" max="3321" width="8.85546875" style="143" customWidth="1"/>
    <col min="3322" max="3322" width="11" style="143" customWidth="1"/>
    <col min="3323" max="3323" width="9.85546875" style="143" customWidth="1"/>
    <col min="3324" max="3555" width="8.7109375" style="143"/>
    <col min="3556" max="3556" width="23.85546875" style="143" customWidth="1"/>
    <col min="3557" max="3557" width="10.85546875" style="143" customWidth="1"/>
    <col min="3558" max="3561" width="8.85546875" style="143" customWidth="1"/>
    <col min="3562" max="3562" width="11" style="143" customWidth="1"/>
    <col min="3563" max="3563" width="10.85546875" style="143" customWidth="1"/>
    <col min="3564" max="3565" width="8.7109375" style="143"/>
    <col min="3566" max="3569" width="8.85546875" style="143" customWidth="1"/>
    <col min="3570" max="3570" width="11.42578125" style="143" customWidth="1"/>
    <col min="3571" max="3573" width="8.7109375" style="143"/>
    <col min="3574" max="3577" width="8.85546875" style="143" customWidth="1"/>
    <col min="3578" max="3578" width="11" style="143" customWidth="1"/>
    <col min="3579" max="3579" width="9.85546875" style="143" customWidth="1"/>
    <col min="3580" max="3811" width="8.7109375" style="143"/>
    <col min="3812" max="3812" width="23.85546875" style="143" customWidth="1"/>
    <col min="3813" max="3813" width="10.85546875" style="143" customWidth="1"/>
    <col min="3814" max="3817" width="8.85546875" style="143" customWidth="1"/>
    <col min="3818" max="3818" width="11" style="143" customWidth="1"/>
    <col min="3819" max="3819" width="10.85546875" style="143" customWidth="1"/>
    <col min="3820" max="3821" width="8.7109375" style="143"/>
    <col min="3822" max="3825" width="8.85546875" style="143" customWidth="1"/>
    <col min="3826" max="3826" width="11.42578125" style="143" customWidth="1"/>
    <col min="3827" max="3829" width="8.7109375" style="143"/>
    <col min="3830" max="3833" width="8.85546875" style="143" customWidth="1"/>
    <col min="3834" max="3834" width="11" style="143" customWidth="1"/>
    <col min="3835" max="3835" width="9.85546875" style="143" customWidth="1"/>
    <col min="3836" max="4067" width="8.7109375" style="143"/>
    <col min="4068" max="4068" width="23.85546875" style="143" customWidth="1"/>
    <col min="4069" max="4069" width="10.85546875" style="143" customWidth="1"/>
    <col min="4070" max="4073" width="8.85546875" style="143" customWidth="1"/>
    <col min="4074" max="4074" width="11" style="143" customWidth="1"/>
    <col min="4075" max="4075" width="10.85546875" style="143" customWidth="1"/>
    <col min="4076" max="4077" width="8.7109375" style="143"/>
    <col min="4078" max="4081" width="8.85546875" style="143" customWidth="1"/>
    <col min="4082" max="4082" width="11.42578125" style="143" customWidth="1"/>
    <col min="4083" max="4085" width="8.7109375" style="143"/>
    <col min="4086" max="4089" width="8.85546875" style="143" customWidth="1"/>
    <col min="4090" max="4090" width="11" style="143" customWidth="1"/>
    <col min="4091" max="4091" width="9.85546875" style="143" customWidth="1"/>
    <col min="4092" max="4323" width="8.7109375" style="143"/>
    <col min="4324" max="4324" width="23.85546875" style="143" customWidth="1"/>
    <col min="4325" max="4325" width="10.85546875" style="143" customWidth="1"/>
    <col min="4326" max="4329" width="8.85546875" style="143" customWidth="1"/>
    <col min="4330" max="4330" width="11" style="143" customWidth="1"/>
    <col min="4331" max="4331" width="10.85546875" style="143" customWidth="1"/>
    <col min="4332" max="4333" width="8.7109375" style="143"/>
    <col min="4334" max="4337" width="8.85546875" style="143" customWidth="1"/>
    <col min="4338" max="4338" width="11.42578125" style="143" customWidth="1"/>
    <col min="4339" max="4341" width="8.7109375" style="143"/>
    <col min="4342" max="4345" width="8.85546875" style="143" customWidth="1"/>
    <col min="4346" max="4346" width="11" style="143" customWidth="1"/>
    <col min="4347" max="4347" width="9.85546875" style="143" customWidth="1"/>
    <col min="4348" max="4579" width="8.7109375" style="143"/>
    <col min="4580" max="4580" width="23.85546875" style="143" customWidth="1"/>
    <col min="4581" max="4581" width="10.85546875" style="143" customWidth="1"/>
    <col min="4582" max="4585" width="8.85546875" style="143" customWidth="1"/>
    <col min="4586" max="4586" width="11" style="143" customWidth="1"/>
    <col min="4587" max="4587" width="10.85546875" style="143" customWidth="1"/>
    <col min="4588" max="4589" width="8.7109375" style="143"/>
    <col min="4590" max="4593" width="8.85546875" style="143" customWidth="1"/>
    <col min="4594" max="4594" width="11.42578125" style="143" customWidth="1"/>
    <col min="4595" max="4597" width="8.7109375" style="143"/>
    <col min="4598" max="4601" width="8.85546875" style="143" customWidth="1"/>
    <col min="4602" max="4602" width="11" style="143" customWidth="1"/>
    <col min="4603" max="4603" width="9.85546875" style="143" customWidth="1"/>
    <col min="4604" max="4835" width="8.7109375" style="143"/>
    <col min="4836" max="4836" width="23.85546875" style="143" customWidth="1"/>
    <col min="4837" max="4837" width="10.85546875" style="143" customWidth="1"/>
    <col min="4838" max="4841" width="8.85546875" style="143" customWidth="1"/>
    <col min="4842" max="4842" width="11" style="143" customWidth="1"/>
    <col min="4843" max="4843" width="10.85546875" style="143" customWidth="1"/>
    <col min="4844" max="4845" width="8.7109375" style="143"/>
    <col min="4846" max="4849" width="8.85546875" style="143" customWidth="1"/>
    <col min="4850" max="4850" width="11.42578125" style="143" customWidth="1"/>
    <col min="4851" max="4853" width="8.7109375" style="143"/>
    <col min="4854" max="4857" width="8.85546875" style="143" customWidth="1"/>
    <col min="4858" max="4858" width="11" style="143" customWidth="1"/>
    <col min="4859" max="4859" width="9.85546875" style="143" customWidth="1"/>
    <col min="4860" max="5091" width="8.7109375" style="143"/>
    <col min="5092" max="5092" width="23.85546875" style="143" customWidth="1"/>
    <col min="5093" max="5093" width="10.85546875" style="143" customWidth="1"/>
    <col min="5094" max="5097" width="8.85546875" style="143" customWidth="1"/>
    <col min="5098" max="5098" width="11" style="143" customWidth="1"/>
    <col min="5099" max="5099" width="10.85546875" style="143" customWidth="1"/>
    <col min="5100" max="5101" width="8.7109375" style="143"/>
    <col min="5102" max="5105" width="8.85546875" style="143" customWidth="1"/>
    <col min="5106" max="5106" width="11.42578125" style="143" customWidth="1"/>
    <col min="5107" max="5109" width="8.7109375" style="143"/>
    <col min="5110" max="5113" width="8.85546875" style="143" customWidth="1"/>
    <col min="5114" max="5114" width="11" style="143" customWidth="1"/>
    <col min="5115" max="5115" width="9.85546875" style="143" customWidth="1"/>
    <col min="5116" max="5347" width="8.7109375" style="143"/>
    <col min="5348" max="5348" width="23.85546875" style="143" customWidth="1"/>
    <col min="5349" max="5349" width="10.85546875" style="143" customWidth="1"/>
    <col min="5350" max="5353" width="8.85546875" style="143" customWidth="1"/>
    <col min="5354" max="5354" width="11" style="143" customWidth="1"/>
    <col min="5355" max="5355" width="10.85546875" style="143" customWidth="1"/>
    <col min="5356" max="5357" width="8.7109375" style="143"/>
    <col min="5358" max="5361" width="8.85546875" style="143" customWidth="1"/>
    <col min="5362" max="5362" width="11.42578125" style="143" customWidth="1"/>
    <col min="5363" max="5365" width="8.7109375" style="143"/>
    <col min="5366" max="5369" width="8.85546875" style="143" customWidth="1"/>
    <col min="5370" max="5370" width="11" style="143" customWidth="1"/>
    <col min="5371" max="5371" width="9.85546875" style="143" customWidth="1"/>
    <col min="5372" max="5603" width="8.7109375" style="143"/>
    <col min="5604" max="5604" width="23.85546875" style="143" customWidth="1"/>
    <col min="5605" max="5605" width="10.85546875" style="143" customWidth="1"/>
    <col min="5606" max="5609" width="8.85546875" style="143" customWidth="1"/>
    <col min="5610" max="5610" width="11" style="143" customWidth="1"/>
    <col min="5611" max="5611" width="10.85546875" style="143" customWidth="1"/>
    <col min="5612" max="5613" width="8.7109375" style="143"/>
    <col min="5614" max="5617" width="8.85546875" style="143" customWidth="1"/>
    <col min="5618" max="5618" width="11.42578125" style="143" customWidth="1"/>
    <col min="5619" max="5621" width="8.7109375" style="143"/>
    <col min="5622" max="5625" width="8.85546875" style="143" customWidth="1"/>
    <col min="5626" max="5626" width="11" style="143" customWidth="1"/>
    <col min="5627" max="5627" width="9.85546875" style="143" customWidth="1"/>
    <col min="5628" max="5859" width="8.7109375" style="143"/>
    <col min="5860" max="5860" width="23.85546875" style="143" customWidth="1"/>
    <col min="5861" max="5861" width="10.85546875" style="143" customWidth="1"/>
    <col min="5862" max="5865" width="8.85546875" style="143" customWidth="1"/>
    <col min="5866" max="5866" width="11" style="143" customWidth="1"/>
    <col min="5867" max="5867" width="10.85546875" style="143" customWidth="1"/>
    <col min="5868" max="5869" width="8.7109375" style="143"/>
    <col min="5870" max="5873" width="8.85546875" style="143" customWidth="1"/>
    <col min="5874" max="5874" width="11.42578125" style="143" customWidth="1"/>
    <col min="5875" max="5877" width="8.7109375" style="143"/>
    <col min="5878" max="5881" width="8.85546875" style="143" customWidth="1"/>
    <col min="5882" max="5882" width="11" style="143" customWidth="1"/>
    <col min="5883" max="5883" width="9.85546875" style="143" customWidth="1"/>
    <col min="5884" max="6115" width="8.7109375" style="143"/>
    <col min="6116" max="6116" width="23.85546875" style="143" customWidth="1"/>
    <col min="6117" max="6117" width="10.85546875" style="143" customWidth="1"/>
    <col min="6118" max="6121" width="8.85546875" style="143" customWidth="1"/>
    <col min="6122" max="6122" width="11" style="143" customWidth="1"/>
    <col min="6123" max="6123" width="10.85546875" style="143" customWidth="1"/>
    <col min="6124" max="6125" width="8.7109375" style="143"/>
    <col min="6126" max="6129" width="8.85546875" style="143" customWidth="1"/>
    <col min="6130" max="6130" width="11.42578125" style="143" customWidth="1"/>
    <col min="6131" max="6133" width="8.7109375" style="143"/>
    <col min="6134" max="6137" width="8.85546875" style="143" customWidth="1"/>
    <col min="6138" max="6138" width="11" style="143" customWidth="1"/>
    <col min="6139" max="6139" width="9.85546875" style="143" customWidth="1"/>
    <col min="6140" max="6371" width="8.7109375" style="143"/>
    <col min="6372" max="6372" width="23.85546875" style="143" customWidth="1"/>
    <col min="6373" max="6373" width="10.85546875" style="143" customWidth="1"/>
    <col min="6374" max="6377" width="8.85546875" style="143" customWidth="1"/>
    <col min="6378" max="6378" width="11" style="143" customWidth="1"/>
    <col min="6379" max="6379" width="10.85546875" style="143" customWidth="1"/>
    <col min="6380" max="6381" width="8.7109375" style="143"/>
    <col min="6382" max="6385" width="8.85546875" style="143" customWidth="1"/>
    <col min="6386" max="6386" width="11.42578125" style="143" customWidth="1"/>
    <col min="6387" max="6389" width="8.7109375" style="143"/>
    <col min="6390" max="6393" width="8.85546875" style="143" customWidth="1"/>
    <col min="6394" max="6394" width="11" style="143" customWidth="1"/>
    <col min="6395" max="6395" width="9.85546875" style="143" customWidth="1"/>
    <col min="6396" max="6627" width="8.7109375" style="143"/>
    <col min="6628" max="6628" width="23.85546875" style="143" customWidth="1"/>
    <col min="6629" max="6629" width="10.85546875" style="143" customWidth="1"/>
    <col min="6630" max="6633" width="8.85546875" style="143" customWidth="1"/>
    <col min="6634" max="6634" width="11" style="143" customWidth="1"/>
    <col min="6635" max="6635" width="10.85546875" style="143" customWidth="1"/>
    <col min="6636" max="6637" width="8.7109375" style="143"/>
    <col min="6638" max="6641" width="8.85546875" style="143" customWidth="1"/>
    <col min="6642" max="6642" width="11.42578125" style="143" customWidth="1"/>
    <col min="6643" max="6645" width="8.7109375" style="143"/>
    <col min="6646" max="6649" width="8.85546875" style="143" customWidth="1"/>
    <col min="6650" max="6650" width="11" style="143" customWidth="1"/>
    <col min="6651" max="6651" width="9.85546875" style="143" customWidth="1"/>
    <col min="6652" max="6883" width="8.7109375" style="143"/>
    <col min="6884" max="6884" width="23.85546875" style="143" customWidth="1"/>
    <col min="6885" max="6885" width="10.85546875" style="143" customWidth="1"/>
    <col min="6886" max="6889" width="8.85546875" style="143" customWidth="1"/>
    <col min="6890" max="6890" width="11" style="143" customWidth="1"/>
    <col min="6891" max="6891" width="10.85546875" style="143" customWidth="1"/>
    <col min="6892" max="6893" width="8.7109375" style="143"/>
    <col min="6894" max="6897" width="8.85546875" style="143" customWidth="1"/>
    <col min="6898" max="6898" width="11.42578125" style="143" customWidth="1"/>
    <col min="6899" max="6901" width="8.7109375" style="143"/>
    <col min="6902" max="6905" width="8.85546875" style="143" customWidth="1"/>
    <col min="6906" max="6906" width="11" style="143" customWidth="1"/>
    <col min="6907" max="6907" width="9.85546875" style="143" customWidth="1"/>
    <col min="6908" max="7139" width="8.7109375" style="143"/>
    <col min="7140" max="7140" width="23.85546875" style="143" customWidth="1"/>
    <col min="7141" max="7141" width="10.85546875" style="143" customWidth="1"/>
    <col min="7142" max="7145" width="8.85546875" style="143" customWidth="1"/>
    <col min="7146" max="7146" width="11" style="143" customWidth="1"/>
    <col min="7147" max="7147" width="10.85546875" style="143" customWidth="1"/>
    <col min="7148" max="7149" width="8.7109375" style="143"/>
    <col min="7150" max="7153" width="8.85546875" style="143" customWidth="1"/>
    <col min="7154" max="7154" width="11.42578125" style="143" customWidth="1"/>
    <col min="7155" max="7157" width="8.7109375" style="143"/>
    <col min="7158" max="7161" width="8.85546875" style="143" customWidth="1"/>
    <col min="7162" max="7162" width="11" style="143" customWidth="1"/>
    <col min="7163" max="7163" width="9.85546875" style="143" customWidth="1"/>
    <col min="7164" max="7395" width="8.7109375" style="143"/>
    <col min="7396" max="7396" width="23.85546875" style="143" customWidth="1"/>
    <col min="7397" max="7397" width="10.85546875" style="143" customWidth="1"/>
    <col min="7398" max="7401" width="8.85546875" style="143" customWidth="1"/>
    <col min="7402" max="7402" width="11" style="143" customWidth="1"/>
    <col min="7403" max="7403" width="10.85546875" style="143" customWidth="1"/>
    <col min="7404" max="7405" width="8.7109375" style="143"/>
    <col min="7406" max="7409" width="8.85546875" style="143" customWidth="1"/>
    <col min="7410" max="7410" width="11.42578125" style="143" customWidth="1"/>
    <col min="7411" max="7413" width="8.7109375" style="143"/>
    <col min="7414" max="7417" width="8.85546875" style="143" customWidth="1"/>
    <col min="7418" max="7418" width="11" style="143" customWidth="1"/>
    <col min="7419" max="7419" width="9.85546875" style="143" customWidth="1"/>
    <col min="7420" max="7651" width="8.7109375" style="143"/>
    <col min="7652" max="7652" width="23.85546875" style="143" customWidth="1"/>
    <col min="7653" max="7653" width="10.85546875" style="143" customWidth="1"/>
    <col min="7654" max="7657" width="8.85546875" style="143" customWidth="1"/>
    <col min="7658" max="7658" width="11" style="143" customWidth="1"/>
    <col min="7659" max="7659" width="10.85546875" style="143" customWidth="1"/>
    <col min="7660" max="7661" width="8.7109375" style="143"/>
    <col min="7662" max="7665" width="8.85546875" style="143" customWidth="1"/>
    <col min="7666" max="7666" width="11.42578125" style="143" customWidth="1"/>
    <col min="7667" max="7669" width="8.7109375" style="143"/>
    <col min="7670" max="7673" width="8.85546875" style="143" customWidth="1"/>
    <col min="7674" max="7674" width="11" style="143" customWidth="1"/>
    <col min="7675" max="7675" width="9.85546875" style="143" customWidth="1"/>
    <col min="7676" max="7907" width="8.7109375" style="143"/>
    <col min="7908" max="7908" width="23.85546875" style="143" customWidth="1"/>
    <col min="7909" max="7909" width="10.85546875" style="143" customWidth="1"/>
    <col min="7910" max="7913" width="8.85546875" style="143" customWidth="1"/>
    <col min="7914" max="7914" width="11" style="143" customWidth="1"/>
    <col min="7915" max="7915" width="10.85546875" style="143" customWidth="1"/>
    <col min="7916" max="7917" width="8.7109375" style="143"/>
    <col min="7918" max="7921" width="8.85546875" style="143" customWidth="1"/>
    <col min="7922" max="7922" width="11.42578125" style="143" customWidth="1"/>
    <col min="7923" max="7925" width="8.7109375" style="143"/>
    <col min="7926" max="7929" width="8.85546875" style="143" customWidth="1"/>
    <col min="7930" max="7930" width="11" style="143" customWidth="1"/>
    <col min="7931" max="7931" width="9.85546875" style="143" customWidth="1"/>
    <col min="7932" max="8163" width="8.7109375" style="143"/>
    <col min="8164" max="8164" width="23.85546875" style="143" customWidth="1"/>
    <col min="8165" max="8165" width="10.85546875" style="143" customWidth="1"/>
    <col min="8166" max="8169" width="8.85546875" style="143" customWidth="1"/>
    <col min="8170" max="8170" width="11" style="143" customWidth="1"/>
    <col min="8171" max="8171" width="10.85546875" style="143" customWidth="1"/>
    <col min="8172" max="8173" width="8.7109375" style="143"/>
    <col min="8174" max="8177" width="8.85546875" style="143" customWidth="1"/>
    <col min="8178" max="8178" width="11.42578125" style="143" customWidth="1"/>
    <col min="8179" max="8181" width="8.7109375" style="143"/>
    <col min="8182" max="8185" width="8.85546875" style="143" customWidth="1"/>
    <col min="8186" max="8186" width="11" style="143" customWidth="1"/>
    <col min="8187" max="8187" width="9.85546875" style="143" customWidth="1"/>
    <col min="8188" max="8419" width="8.7109375" style="143"/>
    <col min="8420" max="8420" width="23.85546875" style="143" customWidth="1"/>
    <col min="8421" max="8421" width="10.85546875" style="143" customWidth="1"/>
    <col min="8422" max="8425" width="8.85546875" style="143" customWidth="1"/>
    <col min="8426" max="8426" width="11" style="143" customWidth="1"/>
    <col min="8427" max="8427" width="10.85546875" style="143" customWidth="1"/>
    <col min="8428" max="8429" width="8.7109375" style="143"/>
    <col min="8430" max="8433" width="8.85546875" style="143" customWidth="1"/>
    <col min="8434" max="8434" width="11.42578125" style="143" customWidth="1"/>
    <col min="8435" max="8437" width="8.7109375" style="143"/>
    <col min="8438" max="8441" width="8.85546875" style="143" customWidth="1"/>
    <col min="8442" max="8442" width="11" style="143" customWidth="1"/>
    <col min="8443" max="8443" width="9.85546875" style="143" customWidth="1"/>
    <col min="8444" max="8675" width="8.7109375" style="143"/>
    <col min="8676" max="8676" width="23.85546875" style="143" customWidth="1"/>
    <col min="8677" max="8677" width="10.85546875" style="143" customWidth="1"/>
    <col min="8678" max="8681" width="8.85546875" style="143" customWidth="1"/>
    <col min="8682" max="8682" width="11" style="143" customWidth="1"/>
    <col min="8683" max="8683" width="10.85546875" style="143" customWidth="1"/>
    <col min="8684" max="8685" width="8.7109375" style="143"/>
    <col min="8686" max="8689" width="8.85546875" style="143" customWidth="1"/>
    <col min="8690" max="8690" width="11.42578125" style="143" customWidth="1"/>
    <col min="8691" max="8693" width="8.7109375" style="143"/>
    <col min="8694" max="8697" width="8.85546875" style="143" customWidth="1"/>
    <col min="8698" max="8698" width="11" style="143" customWidth="1"/>
    <col min="8699" max="8699" width="9.85546875" style="143" customWidth="1"/>
    <col min="8700" max="8931" width="8.7109375" style="143"/>
    <col min="8932" max="8932" width="23.85546875" style="143" customWidth="1"/>
    <col min="8933" max="8933" width="10.85546875" style="143" customWidth="1"/>
    <col min="8934" max="8937" width="8.85546875" style="143" customWidth="1"/>
    <col min="8938" max="8938" width="11" style="143" customWidth="1"/>
    <col min="8939" max="8939" width="10.85546875" style="143" customWidth="1"/>
    <col min="8940" max="8941" width="8.7109375" style="143"/>
    <col min="8942" max="8945" width="8.85546875" style="143" customWidth="1"/>
    <col min="8946" max="8946" width="11.42578125" style="143" customWidth="1"/>
    <col min="8947" max="8949" width="8.7109375" style="143"/>
    <col min="8950" max="8953" width="8.85546875" style="143" customWidth="1"/>
    <col min="8954" max="8954" width="11" style="143" customWidth="1"/>
    <col min="8955" max="8955" width="9.85546875" style="143" customWidth="1"/>
    <col min="8956" max="9187" width="8.7109375" style="143"/>
    <col min="9188" max="9188" width="23.85546875" style="143" customWidth="1"/>
    <col min="9189" max="9189" width="10.85546875" style="143" customWidth="1"/>
    <col min="9190" max="9193" width="8.85546875" style="143" customWidth="1"/>
    <col min="9194" max="9194" width="11" style="143" customWidth="1"/>
    <col min="9195" max="9195" width="10.85546875" style="143" customWidth="1"/>
    <col min="9196" max="9197" width="8.7109375" style="143"/>
    <col min="9198" max="9201" width="8.85546875" style="143" customWidth="1"/>
    <col min="9202" max="9202" width="11.42578125" style="143" customWidth="1"/>
    <col min="9203" max="9205" width="8.7109375" style="143"/>
    <col min="9206" max="9209" width="8.85546875" style="143" customWidth="1"/>
    <col min="9210" max="9210" width="11" style="143" customWidth="1"/>
    <col min="9211" max="9211" width="9.85546875" style="143" customWidth="1"/>
    <col min="9212" max="9443" width="8.7109375" style="143"/>
    <col min="9444" max="9444" width="23.85546875" style="143" customWidth="1"/>
    <col min="9445" max="9445" width="10.85546875" style="143" customWidth="1"/>
    <col min="9446" max="9449" width="8.85546875" style="143" customWidth="1"/>
    <col min="9450" max="9450" width="11" style="143" customWidth="1"/>
    <col min="9451" max="9451" width="10.85546875" style="143" customWidth="1"/>
    <col min="9452" max="9453" width="8.7109375" style="143"/>
    <col min="9454" max="9457" width="8.85546875" style="143" customWidth="1"/>
    <col min="9458" max="9458" width="11.42578125" style="143" customWidth="1"/>
    <col min="9459" max="9461" width="8.7109375" style="143"/>
    <col min="9462" max="9465" width="8.85546875" style="143" customWidth="1"/>
    <col min="9466" max="9466" width="11" style="143" customWidth="1"/>
    <col min="9467" max="9467" width="9.85546875" style="143" customWidth="1"/>
    <col min="9468" max="9699" width="8.7109375" style="143"/>
    <col min="9700" max="9700" width="23.85546875" style="143" customWidth="1"/>
    <col min="9701" max="9701" width="10.85546875" style="143" customWidth="1"/>
    <col min="9702" max="9705" width="8.85546875" style="143" customWidth="1"/>
    <col min="9706" max="9706" width="11" style="143" customWidth="1"/>
    <col min="9707" max="9707" width="10.85546875" style="143" customWidth="1"/>
    <col min="9708" max="9709" width="8.7109375" style="143"/>
    <col min="9710" max="9713" width="8.85546875" style="143" customWidth="1"/>
    <col min="9714" max="9714" width="11.42578125" style="143" customWidth="1"/>
    <col min="9715" max="9717" width="8.7109375" style="143"/>
    <col min="9718" max="9721" width="8.85546875" style="143" customWidth="1"/>
    <col min="9722" max="9722" width="11" style="143" customWidth="1"/>
    <col min="9723" max="9723" width="9.85546875" style="143" customWidth="1"/>
    <col min="9724" max="9955" width="8.7109375" style="143"/>
    <col min="9956" max="9956" width="23.85546875" style="143" customWidth="1"/>
    <col min="9957" max="9957" width="10.85546875" style="143" customWidth="1"/>
    <col min="9958" max="9961" width="8.85546875" style="143" customWidth="1"/>
    <col min="9962" max="9962" width="11" style="143" customWidth="1"/>
    <col min="9963" max="9963" width="10.85546875" style="143" customWidth="1"/>
    <col min="9964" max="9965" width="8.7109375" style="143"/>
    <col min="9966" max="9969" width="8.85546875" style="143" customWidth="1"/>
    <col min="9970" max="9970" width="11.42578125" style="143" customWidth="1"/>
    <col min="9971" max="9973" width="8.7109375" style="143"/>
    <col min="9974" max="9977" width="8.85546875" style="143" customWidth="1"/>
    <col min="9978" max="9978" width="11" style="143" customWidth="1"/>
    <col min="9979" max="9979" width="9.85546875" style="143" customWidth="1"/>
    <col min="9980" max="10211" width="8.7109375" style="143"/>
    <col min="10212" max="10212" width="23.85546875" style="143" customWidth="1"/>
    <col min="10213" max="10213" width="10.85546875" style="143" customWidth="1"/>
    <col min="10214" max="10217" width="8.85546875" style="143" customWidth="1"/>
    <col min="10218" max="10218" width="11" style="143" customWidth="1"/>
    <col min="10219" max="10219" width="10.85546875" style="143" customWidth="1"/>
    <col min="10220" max="10221" width="8.7109375" style="143"/>
    <col min="10222" max="10225" width="8.85546875" style="143" customWidth="1"/>
    <col min="10226" max="10226" width="11.42578125" style="143" customWidth="1"/>
    <col min="10227" max="10229" width="8.7109375" style="143"/>
    <col min="10230" max="10233" width="8.85546875" style="143" customWidth="1"/>
    <col min="10234" max="10234" width="11" style="143" customWidth="1"/>
    <col min="10235" max="10235" width="9.85546875" style="143" customWidth="1"/>
    <col min="10236" max="10467" width="8.7109375" style="143"/>
    <col min="10468" max="10468" width="23.85546875" style="143" customWidth="1"/>
    <col min="10469" max="10469" width="10.85546875" style="143" customWidth="1"/>
    <col min="10470" max="10473" width="8.85546875" style="143" customWidth="1"/>
    <col min="10474" max="10474" width="11" style="143" customWidth="1"/>
    <col min="10475" max="10475" width="10.85546875" style="143" customWidth="1"/>
    <col min="10476" max="10477" width="8.7109375" style="143"/>
    <col min="10478" max="10481" width="8.85546875" style="143" customWidth="1"/>
    <col min="10482" max="10482" width="11.42578125" style="143" customWidth="1"/>
    <col min="10483" max="10485" width="8.7109375" style="143"/>
    <col min="10486" max="10489" width="8.85546875" style="143" customWidth="1"/>
    <col min="10490" max="10490" width="11" style="143" customWidth="1"/>
    <col min="10491" max="10491" width="9.85546875" style="143" customWidth="1"/>
    <col min="10492" max="10723" width="8.7109375" style="143"/>
    <col min="10724" max="10724" width="23.85546875" style="143" customWidth="1"/>
    <col min="10725" max="10725" width="10.85546875" style="143" customWidth="1"/>
    <col min="10726" max="10729" width="8.85546875" style="143" customWidth="1"/>
    <col min="10730" max="10730" width="11" style="143" customWidth="1"/>
    <col min="10731" max="10731" width="10.85546875" style="143" customWidth="1"/>
    <col min="10732" max="10733" width="8.7109375" style="143"/>
    <col min="10734" max="10737" width="8.85546875" style="143" customWidth="1"/>
    <col min="10738" max="10738" width="11.42578125" style="143" customWidth="1"/>
    <col min="10739" max="10741" width="8.7109375" style="143"/>
    <col min="10742" max="10745" width="8.85546875" style="143" customWidth="1"/>
    <col min="10746" max="10746" width="11" style="143" customWidth="1"/>
    <col min="10747" max="10747" width="9.85546875" style="143" customWidth="1"/>
    <col min="10748" max="10979" width="8.7109375" style="143"/>
    <col min="10980" max="10980" width="23.85546875" style="143" customWidth="1"/>
    <col min="10981" max="10981" width="10.85546875" style="143" customWidth="1"/>
    <col min="10982" max="10985" width="8.85546875" style="143" customWidth="1"/>
    <col min="10986" max="10986" width="11" style="143" customWidth="1"/>
    <col min="10987" max="10987" width="10.85546875" style="143" customWidth="1"/>
    <col min="10988" max="10989" width="8.7109375" style="143"/>
    <col min="10990" max="10993" width="8.85546875" style="143" customWidth="1"/>
    <col min="10994" max="10994" width="11.42578125" style="143" customWidth="1"/>
    <col min="10995" max="10997" width="8.7109375" style="143"/>
    <col min="10998" max="11001" width="8.85546875" style="143" customWidth="1"/>
    <col min="11002" max="11002" width="11" style="143" customWidth="1"/>
    <col min="11003" max="11003" width="9.85546875" style="143" customWidth="1"/>
    <col min="11004" max="11235" width="8.7109375" style="143"/>
    <col min="11236" max="11236" width="23.85546875" style="143" customWidth="1"/>
    <col min="11237" max="11237" width="10.85546875" style="143" customWidth="1"/>
    <col min="11238" max="11241" width="8.85546875" style="143" customWidth="1"/>
    <col min="11242" max="11242" width="11" style="143" customWidth="1"/>
    <col min="11243" max="11243" width="10.85546875" style="143" customWidth="1"/>
    <col min="11244" max="11245" width="8.7109375" style="143"/>
    <col min="11246" max="11249" width="8.85546875" style="143" customWidth="1"/>
    <col min="11250" max="11250" width="11.42578125" style="143" customWidth="1"/>
    <col min="11251" max="11253" width="8.7109375" style="143"/>
    <col min="11254" max="11257" width="8.85546875" style="143" customWidth="1"/>
    <col min="11258" max="11258" width="11" style="143" customWidth="1"/>
    <col min="11259" max="11259" width="9.85546875" style="143" customWidth="1"/>
    <col min="11260" max="11491" width="8.7109375" style="143"/>
    <col min="11492" max="11492" width="23.85546875" style="143" customWidth="1"/>
    <col min="11493" max="11493" width="10.85546875" style="143" customWidth="1"/>
    <col min="11494" max="11497" width="8.85546875" style="143" customWidth="1"/>
    <col min="11498" max="11498" width="11" style="143" customWidth="1"/>
    <col min="11499" max="11499" width="10.85546875" style="143" customWidth="1"/>
    <col min="11500" max="11501" width="8.7109375" style="143"/>
    <col min="11502" max="11505" width="8.85546875" style="143" customWidth="1"/>
    <col min="11506" max="11506" width="11.42578125" style="143" customWidth="1"/>
    <col min="11507" max="11509" width="8.7109375" style="143"/>
    <col min="11510" max="11513" width="8.85546875" style="143" customWidth="1"/>
    <col min="11514" max="11514" width="11" style="143" customWidth="1"/>
    <col min="11515" max="11515" width="9.85546875" style="143" customWidth="1"/>
    <col min="11516" max="11747" width="8.7109375" style="143"/>
    <col min="11748" max="11748" width="23.85546875" style="143" customWidth="1"/>
    <col min="11749" max="11749" width="10.85546875" style="143" customWidth="1"/>
    <col min="11750" max="11753" width="8.85546875" style="143" customWidth="1"/>
    <col min="11754" max="11754" width="11" style="143" customWidth="1"/>
    <col min="11755" max="11755" width="10.85546875" style="143" customWidth="1"/>
    <col min="11756" max="11757" width="8.7109375" style="143"/>
    <col min="11758" max="11761" width="8.85546875" style="143" customWidth="1"/>
    <col min="11762" max="11762" width="11.42578125" style="143" customWidth="1"/>
    <col min="11763" max="11765" width="8.7109375" style="143"/>
    <col min="11766" max="11769" width="8.85546875" style="143" customWidth="1"/>
    <col min="11770" max="11770" width="11" style="143" customWidth="1"/>
    <col min="11771" max="11771" width="9.85546875" style="143" customWidth="1"/>
    <col min="11772" max="12003" width="8.7109375" style="143"/>
    <col min="12004" max="12004" width="23.85546875" style="143" customWidth="1"/>
    <col min="12005" max="12005" width="10.85546875" style="143" customWidth="1"/>
    <col min="12006" max="12009" width="8.85546875" style="143" customWidth="1"/>
    <col min="12010" max="12010" width="11" style="143" customWidth="1"/>
    <col min="12011" max="12011" width="10.85546875" style="143" customWidth="1"/>
    <col min="12012" max="12013" width="8.7109375" style="143"/>
    <col min="12014" max="12017" width="8.85546875" style="143" customWidth="1"/>
    <col min="12018" max="12018" width="11.42578125" style="143" customWidth="1"/>
    <col min="12019" max="12021" width="8.7109375" style="143"/>
    <col min="12022" max="12025" width="8.85546875" style="143" customWidth="1"/>
    <col min="12026" max="12026" width="11" style="143" customWidth="1"/>
    <col min="12027" max="12027" width="9.85546875" style="143" customWidth="1"/>
    <col min="12028" max="12259" width="8.7109375" style="143"/>
    <col min="12260" max="12260" width="23.85546875" style="143" customWidth="1"/>
    <col min="12261" max="12261" width="10.85546875" style="143" customWidth="1"/>
    <col min="12262" max="12265" width="8.85546875" style="143" customWidth="1"/>
    <col min="12266" max="12266" width="11" style="143" customWidth="1"/>
    <col min="12267" max="12267" width="10.85546875" style="143" customWidth="1"/>
    <col min="12268" max="12269" width="8.7109375" style="143"/>
    <col min="12270" max="12273" width="8.85546875" style="143" customWidth="1"/>
    <col min="12274" max="12274" width="11.42578125" style="143" customWidth="1"/>
    <col min="12275" max="12277" width="8.7109375" style="143"/>
    <col min="12278" max="12281" width="8.85546875" style="143" customWidth="1"/>
    <col min="12282" max="12282" width="11" style="143" customWidth="1"/>
    <col min="12283" max="12283" width="9.85546875" style="143" customWidth="1"/>
    <col min="12284" max="12515" width="8.7109375" style="143"/>
    <col min="12516" max="12516" width="23.85546875" style="143" customWidth="1"/>
    <col min="12517" max="12517" width="10.85546875" style="143" customWidth="1"/>
    <col min="12518" max="12521" width="8.85546875" style="143" customWidth="1"/>
    <col min="12522" max="12522" width="11" style="143" customWidth="1"/>
    <col min="12523" max="12523" width="10.85546875" style="143" customWidth="1"/>
    <col min="12524" max="12525" width="8.7109375" style="143"/>
    <col min="12526" max="12529" width="8.85546875" style="143" customWidth="1"/>
    <col min="12530" max="12530" width="11.42578125" style="143" customWidth="1"/>
    <col min="12531" max="12533" width="8.7109375" style="143"/>
    <col min="12534" max="12537" width="8.85546875" style="143" customWidth="1"/>
    <col min="12538" max="12538" width="11" style="143" customWidth="1"/>
    <col min="12539" max="12539" width="9.85546875" style="143" customWidth="1"/>
    <col min="12540" max="12771" width="8.7109375" style="143"/>
    <col min="12772" max="12772" width="23.85546875" style="143" customWidth="1"/>
    <col min="12773" max="12773" width="10.85546875" style="143" customWidth="1"/>
    <col min="12774" max="12777" width="8.85546875" style="143" customWidth="1"/>
    <col min="12778" max="12778" width="11" style="143" customWidth="1"/>
    <col min="12779" max="12779" width="10.85546875" style="143" customWidth="1"/>
    <col min="12780" max="12781" width="8.7109375" style="143"/>
    <col min="12782" max="12785" width="8.85546875" style="143" customWidth="1"/>
    <col min="12786" max="12786" width="11.42578125" style="143" customWidth="1"/>
    <col min="12787" max="12789" width="8.7109375" style="143"/>
    <col min="12790" max="12793" width="8.85546875" style="143" customWidth="1"/>
    <col min="12794" max="12794" width="11" style="143" customWidth="1"/>
    <col min="12795" max="12795" width="9.85546875" style="143" customWidth="1"/>
    <col min="12796" max="13027" width="8.7109375" style="143"/>
    <col min="13028" max="13028" width="23.85546875" style="143" customWidth="1"/>
    <col min="13029" max="13029" width="10.85546875" style="143" customWidth="1"/>
    <col min="13030" max="13033" width="8.85546875" style="143" customWidth="1"/>
    <col min="13034" max="13034" width="11" style="143" customWidth="1"/>
    <col min="13035" max="13035" width="10.85546875" style="143" customWidth="1"/>
    <col min="13036" max="13037" width="8.7109375" style="143"/>
    <col min="13038" max="13041" width="8.85546875" style="143" customWidth="1"/>
    <col min="13042" max="13042" width="11.42578125" style="143" customWidth="1"/>
    <col min="13043" max="13045" width="8.7109375" style="143"/>
    <col min="13046" max="13049" width="8.85546875" style="143" customWidth="1"/>
    <col min="13050" max="13050" width="11" style="143" customWidth="1"/>
    <col min="13051" max="13051" width="9.85546875" style="143" customWidth="1"/>
    <col min="13052" max="13283" width="8.7109375" style="143"/>
    <col min="13284" max="13284" width="23.85546875" style="143" customWidth="1"/>
    <col min="13285" max="13285" width="10.85546875" style="143" customWidth="1"/>
    <col min="13286" max="13289" width="8.85546875" style="143" customWidth="1"/>
    <col min="13290" max="13290" width="11" style="143" customWidth="1"/>
    <col min="13291" max="13291" width="10.85546875" style="143" customWidth="1"/>
    <col min="13292" max="13293" width="8.7109375" style="143"/>
    <col min="13294" max="13297" width="8.85546875" style="143" customWidth="1"/>
    <col min="13298" max="13298" width="11.42578125" style="143" customWidth="1"/>
    <col min="13299" max="13301" width="8.7109375" style="143"/>
    <col min="13302" max="13305" width="8.85546875" style="143" customWidth="1"/>
    <col min="13306" max="13306" width="11" style="143" customWidth="1"/>
    <col min="13307" max="13307" width="9.85546875" style="143" customWidth="1"/>
    <col min="13308" max="13539" width="8.7109375" style="143"/>
    <col min="13540" max="13540" width="23.85546875" style="143" customWidth="1"/>
    <col min="13541" max="13541" width="10.85546875" style="143" customWidth="1"/>
    <col min="13542" max="13545" width="8.85546875" style="143" customWidth="1"/>
    <col min="13546" max="13546" width="11" style="143" customWidth="1"/>
    <col min="13547" max="13547" width="10.85546875" style="143" customWidth="1"/>
    <col min="13548" max="13549" width="8.7109375" style="143"/>
    <col min="13550" max="13553" width="8.85546875" style="143" customWidth="1"/>
    <col min="13554" max="13554" width="11.42578125" style="143" customWidth="1"/>
    <col min="13555" max="13557" width="8.7109375" style="143"/>
    <col min="13558" max="13561" width="8.85546875" style="143" customWidth="1"/>
    <col min="13562" max="13562" width="11" style="143" customWidth="1"/>
    <col min="13563" max="13563" width="9.85546875" style="143" customWidth="1"/>
    <col min="13564" max="13795" width="8.7109375" style="143"/>
    <col min="13796" max="13796" width="23.85546875" style="143" customWidth="1"/>
    <col min="13797" max="13797" width="10.85546875" style="143" customWidth="1"/>
    <col min="13798" max="13801" width="8.85546875" style="143" customWidth="1"/>
    <col min="13802" max="13802" width="11" style="143" customWidth="1"/>
    <col min="13803" max="13803" width="10.85546875" style="143" customWidth="1"/>
    <col min="13804" max="13805" width="8.7109375" style="143"/>
    <col min="13806" max="13809" width="8.85546875" style="143" customWidth="1"/>
    <col min="13810" max="13810" width="11.42578125" style="143" customWidth="1"/>
    <col min="13811" max="13813" width="8.7109375" style="143"/>
    <col min="13814" max="13817" width="8.85546875" style="143" customWidth="1"/>
    <col min="13818" max="13818" width="11" style="143" customWidth="1"/>
    <col min="13819" max="13819" width="9.85546875" style="143" customWidth="1"/>
    <col min="13820" max="14051" width="8.7109375" style="143"/>
    <col min="14052" max="14052" width="23.85546875" style="143" customWidth="1"/>
    <col min="14053" max="14053" width="10.85546875" style="143" customWidth="1"/>
    <col min="14054" max="14057" width="8.85546875" style="143" customWidth="1"/>
    <col min="14058" max="14058" width="11" style="143" customWidth="1"/>
    <col min="14059" max="14059" width="10.85546875" style="143" customWidth="1"/>
    <col min="14060" max="14061" width="8.7109375" style="143"/>
    <col min="14062" max="14065" width="8.85546875" style="143" customWidth="1"/>
    <col min="14066" max="14066" width="11.42578125" style="143" customWidth="1"/>
    <col min="14067" max="14069" width="8.7109375" style="143"/>
    <col min="14070" max="14073" width="8.85546875" style="143" customWidth="1"/>
    <col min="14074" max="14074" width="11" style="143" customWidth="1"/>
    <col min="14075" max="14075" width="9.85546875" style="143" customWidth="1"/>
    <col min="14076" max="14307" width="8.7109375" style="143"/>
    <col min="14308" max="14308" width="23.85546875" style="143" customWidth="1"/>
    <col min="14309" max="14309" width="10.85546875" style="143" customWidth="1"/>
    <col min="14310" max="14313" width="8.85546875" style="143" customWidth="1"/>
    <col min="14314" max="14314" width="11" style="143" customWidth="1"/>
    <col min="14315" max="14315" width="10.85546875" style="143" customWidth="1"/>
    <col min="14316" max="14317" width="8.7109375" style="143"/>
    <col min="14318" max="14321" width="8.85546875" style="143" customWidth="1"/>
    <col min="14322" max="14322" width="11.42578125" style="143" customWidth="1"/>
    <col min="14323" max="14325" width="8.7109375" style="143"/>
    <col min="14326" max="14329" width="8.85546875" style="143" customWidth="1"/>
    <col min="14330" max="14330" width="11" style="143" customWidth="1"/>
    <col min="14331" max="14331" width="9.85546875" style="143" customWidth="1"/>
    <col min="14332" max="14563" width="8.7109375" style="143"/>
    <col min="14564" max="14564" width="23.85546875" style="143" customWidth="1"/>
    <col min="14565" max="14565" width="10.85546875" style="143" customWidth="1"/>
    <col min="14566" max="14569" width="8.85546875" style="143" customWidth="1"/>
    <col min="14570" max="14570" width="11" style="143" customWidth="1"/>
    <col min="14571" max="14571" width="10.85546875" style="143" customWidth="1"/>
    <col min="14572" max="14573" width="8.7109375" style="143"/>
    <col min="14574" max="14577" width="8.85546875" style="143" customWidth="1"/>
    <col min="14578" max="14578" width="11.42578125" style="143" customWidth="1"/>
    <col min="14579" max="14581" width="8.7109375" style="143"/>
    <col min="14582" max="14585" width="8.85546875" style="143" customWidth="1"/>
    <col min="14586" max="14586" width="11" style="143" customWidth="1"/>
    <col min="14587" max="14587" width="9.85546875" style="143" customWidth="1"/>
    <col min="14588" max="14819" width="8.7109375" style="143"/>
    <col min="14820" max="14820" width="23.85546875" style="143" customWidth="1"/>
    <col min="14821" max="14821" width="10.85546875" style="143" customWidth="1"/>
    <col min="14822" max="14825" width="8.85546875" style="143" customWidth="1"/>
    <col min="14826" max="14826" width="11" style="143" customWidth="1"/>
    <col min="14827" max="14827" width="10.85546875" style="143" customWidth="1"/>
    <col min="14828" max="14829" width="8.7109375" style="143"/>
    <col min="14830" max="14833" width="8.85546875" style="143" customWidth="1"/>
    <col min="14834" max="14834" width="11.42578125" style="143" customWidth="1"/>
    <col min="14835" max="14837" width="8.7109375" style="143"/>
    <col min="14838" max="14841" width="8.85546875" style="143" customWidth="1"/>
    <col min="14842" max="14842" width="11" style="143" customWidth="1"/>
    <col min="14843" max="14843" width="9.85546875" style="143" customWidth="1"/>
    <col min="14844" max="15075" width="8.7109375" style="143"/>
    <col min="15076" max="15076" width="23.85546875" style="143" customWidth="1"/>
    <col min="15077" max="15077" width="10.85546875" style="143" customWidth="1"/>
    <col min="15078" max="15081" width="8.85546875" style="143" customWidth="1"/>
    <col min="15082" max="15082" width="11" style="143" customWidth="1"/>
    <col min="15083" max="15083" width="10.85546875" style="143" customWidth="1"/>
    <col min="15084" max="15085" width="8.7109375" style="143"/>
    <col min="15086" max="15089" width="8.85546875" style="143" customWidth="1"/>
    <col min="15090" max="15090" width="11.42578125" style="143" customWidth="1"/>
    <col min="15091" max="15093" width="8.7109375" style="143"/>
    <col min="15094" max="15097" width="8.85546875" style="143" customWidth="1"/>
    <col min="15098" max="15098" width="11" style="143" customWidth="1"/>
    <col min="15099" max="15099" width="9.85546875" style="143" customWidth="1"/>
    <col min="15100" max="15331" width="8.7109375" style="143"/>
    <col min="15332" max="15332" width="23.85546875" style="143" customWidth="1"/>
    <col min="15333" max="15333" width="10.85546875" style="143" customWidth="1"/>
    <col min="15334" max="15337" width="8.85546875" style="143" customWidth="1"/>
    <col min="15338" max="15338" width="11" style="143" customWidth="1"/>
    <col min="15339" max="15339" width="10.85546875" style="143" customWidth="1"/>
    <col min="15340" max="15341" width="8.7109375" style="143"/>
    <col min="15342" max="15345" width="8.85546875" style="143" customWidth="1"/>
    <col min="15346" max="15346" width="11.42578125" style="143" customWidth="1"/>
    <col min="15347" max="15349" width="8.7109375" style="143"/>
    <col min="15350" max="15353" width="8.85546875" style="143" customWidth="1"/>
    <col min="15354" max="15354" width="11" style="143" customWidth="1"/>
    <col min="15355" max="15355" width="9.85546875" style="143" customWidth="1"/>
    <col min="15356" max="15587" width="8.7109375" style="143"/>
    <col min="15588" max="15588" width="23.85546875" style="143" customWidth="1"/>
    <col min="15589" max="15589" width="10.85546875" style="143" customWidth="1"/>
    <col min="15590" max="15593" width="8.85546875" style="143" customWidth="1"/>
    <col min="15594" max="15594" width="11" style="143" customWidth="1"/>
    <col min="15595" max="15595" width="10.85546875" style="143" customWidth="1"/>
    <col min="15596" max="15597" width="8.7109375" style="143"/>
    <col min="15598" max="15601" width="8.85546875" style="143" customWidth="1"/>
    <col min="15602" max="15602" width="11.42578125" style="143" customWidth="1"/>
    <col min="15603" max="15605" width="8.7109375" style="143"/>
    <col min="15606" max="15609" width="8.85546875" style="143" customWidth="1"/>
    <col min="15610" max="15610" width="11" style="143" customWidth="1"/>
    <col min="15611" max="15611" width="9.85546875" style="143" customWidth="1"/>
    <col min="15612" max="15843" width="8.7109375" style="143"/>
    <col min="15844" max="15844" width="23.85546875" style="143" customWidth="1"/>
    <col min="15845" max="15845" width="10.85546875" style="143" customWidth="1"/>
    <col min="15846" max="15849" width="8.85546875" style="143" customWidth="1"/>
    <col min="15850" max="15850" width="11" style="143" customWidth="1"/>
    <col min="15851" max="15851" width="10.85546875" style="143" customWidth="1"/>
    <col min="15852" max="15853" width="8.7109375" style="143"/>
    <col min="15854" max="15857" width="8.85546875" style="143" customWidth="1"/>
    <col min="15858" max="15858" width="11.42578125" style="143" customWidth="1"/>
    <col min="15859" max="15861" width="8.7109375" style="143"/>
    <col min="15862" max="15865" width="8.85546875" style="143" customWidth="1"/>
    <col min="15866" max="15866" width="11" style="143" customWidth="1"/>
    <col min="15867" max="15867" width="9.85546875" style="143" customWidth="1"/>
    <col min="15868" max="16099" width="8.7109375" style="143"/>
    <col min="16100" max="16100" width="23.85546875" style="143" customWidth="1"/>
    <col min="16101" max="16101" width="10.85546875" style="143" customWidth="1"/>
    <col min="16102" max="16105" width="8.85546875" style="143" customWidth="1"/>
    <col min="16106" max="16106" width="11" style="143" customWidth="1"/>
    <col min="16107" max="16107" width="10.85546875" style="143" customWidth="1"/>
    <col min="16108" max="16109" width="8.7109375" style="143"/>
    <col min="16110" max="16113" width="8.85546875" style="143" customWidth="1"/>
    <col min="16114" max="16114" width="11.42578125" style="143" customWidth="1"/>
    <col min="16115" max="16117" width="8.7109375" style="143"/>
    <col min="16118" max="16121" width="8.85546875" style="143" customWidth="1"/>
    <col min="16122" max="16122" width="11" style="143" customWidth="1"/>
    <col min="16123" max="16123" width="9.85546875" style="143" customWidth="1"/>
    <col min="16124" max="16355" width="8.7109375" style="143"/>
    <col min="16356" max="16384" width="9.140625" style="143" customWidth="1"/>
  </cols>
  <sheetData>
    <row r="1" spans="1:8" x14ac:dyDescent="0.2">
      <c r="A1" s="584" t="s">
        <v>23</v>
      </c>
      <c r="B1" s="584"/>
      <c r="C1" s="584"/>
      <c r="D1" s="584"/>
      <c r="E1" s="584"/>
      <c r="F1" s="584"/>
      <c r="G1" s="584"/>
      <c r="H1" s="584"/>
    </row>
    <row r="2" spans="1:8" x14ac:dyDescent="0.2">
      <c r="A2" s="584" t="s">
        <v>91</v>
      </c>
      <c r="B2" s="584"/>
      <c r="C2" s="584"/>
      <c r="D2" s="584"/>
      <c r="E2" s="584"/>
      <c r="F2" s="584"/>
      <c r="G2" s="584"/>
      <c r="H2" s="584"/>
    </row>
    <row r="3" spans="1:8" ht="12.75" x14ac:dyDescent="0.2">
      <c r="A3" s="619" t="s">
        <v>148</v>
      </c>
      <c r="B3" s="619"/>
      <c r="C3" s="619"/>
      <c r="D3" s="619"/>
      <c r="E3" s="619"/>
      <c r="F3" s="619"/>
      <c r="G3" s="619"/>
      <c r="H3" s="619"/>
    </row>
    <row r="4" spans="1:8" ht="12.75" x14ac:dyDescent="0.2">
      <c r="A4" s="619" t="s">
        <v>142</v>
      </c>
      <c r="B4" s="619"/>
      <c r="C4" s="619"/>
      <c r="D4" s="619"/>
      <c r="E4" s="619"/>
      <c r="F4" s="619"/>
      <c r="G4" s="619"/>
      <c r="H4" s="619"/>
    </row>
    <row r="5" spans="1:8" ht="12.75" x14ac:dyDescent="0.2">
      <c r="A5" s="620" t="s">
        <v>48</v>
      </c>
      <c r="B5" s="620"/>
      <c r="C5" s="620"/>
      <c r="D5" s="620"/>
      <c r="E5" s="620"/>
      <c r="F5" s="620"/>
      <c r="G5" s="620"/>
      <c r="H5" s="620"/>
    </row>
    <row r="6" spans="1:8" ht="12.75" x14ac:dyDescent="0.2">
      <c r="A6" s="462"/>
      <c r="B6" s="212"/>
      <c r="C6" s="463"/>
      <c r="D6" s="463"/>
      <c r="E6" s="463"/>
      <c r="F6" s="463"/>
      <c r="G6" s="463"/>
      <c r="H6" s="508"/>
    </row>
    <row r="7" spans="1:8" x14ac:dyDescent="0.2">
      <c r="A7" s="200"/>
      <c r="B7" s="196"/>
      <c r="C7" s="509"/>
      <c r="D7" s="509"/>
      <c r="E7" s="509"/>
      <c r="F7" s="509"/>
      <c r="G7" s="509"/>
      <c r="H7" s="510"/>
    </row>
    <row r="8" spans="1:8" ht="15.75" thickBot="1" x14ac:dyDescent="0.25">
      <c r="A8" s="468" t="s">
        <v>143</v>
      </c>
      <c r="B8" s="469"/>
      <c r="C8" s="470"/>
      <c r="D8" s="470"/>
      <c r="E8" s="470"/>
      <c r="F8" s="470"/>
      <c r="G8" s="470"/>
      <c r="H8" s="511"/>
    </row>
    <row r="9" spans="1:8" x14ac:dyDescent="0.2">
      <c r="A9" s="339" t="s">
        <v>114</v>
      </c>
      <c r="B9" s="615" t="s">
        <v>95</v>
      </c>
      <c r="C9" s="639" t="s">
        <v>144</v>
      </c>
      <c r="D9" s="641" t="s">
        <v>145</v>
      </c>
      <c r="E9" s="641" t="s">
        <v>146</v>
      </c>
      <c r="F9" s="643" t="s">
        <v>147</v>
      </c>
      <c r="G9" s="472" t="s">
        <v>129</v>
      </c>
      <c r="H9" s="512" t="s">
        <v>115</v>
      </c>
    </row>
    <row r="10" spans="1:8" x14ac:dyDescent="0.2">
      <c r="A10" s="340"/>
      <c r="B10" s="616"/>
      <c r="C10" s="640"/>
      <c r="D10" s="642"/>
      <c r="E10" s="642"/>
      <c r="F10" s="644"/>
      <c r="G10" s="480" t="s">
        <v>130</v>
      </c>
      <c r="H10" s="513" t="s">
        <v>116</v>
      </c>
    </row>
    <row r="11" spans="1:8" x14ac:dyDescent="0.2">
      <c r="A11" s="301" t="s">
        <v>117</v>
      </c>
      <c r="B11" s="189" t="s">
        <v>2</v>
      </c>
      <c r="C11" s="514">
        <v>3.1691506454651241E-2</v>
      </c>
      <c r="D11" s="515">
        <v>3.5655889023682663E-2</v>
      </c>
      <c r="E11" s="515">
        <v>4.2269933288664907E-2</v>
      </c>
      <c r="F11" s="515">
        <v>1.6065538887115705E-2</v>
      </c>
      <c r="G11" s="514">
        <v>3.6761484538177E-2</v>
      </c>
      <c r="H11" s="517">
        <v>0.39848155020552223</v>
      </c>
    </row>
    <row r="12" spans="1:8" x14ac:dyDescent="0.2">
      <c r="A12" s="155"/>
      <c r="B12" s="172" t="s">
        <v>1</v>
      </c>
      <c r="C12" s="282">
        <v>4.6803652968036569E-2</v>
      </c>
      <c r="D12" s="283">
        <v>4.8922964585615181E-2</v>
      </c>
      <c r="E12" s="283">
        <v>6.0169589963991132E-2</v>
      </c>
      <c r="F12" s="283">
        <v>1.7916600602505106E-2</v>
      </c>
      <c r="G12" s="282">
        <v>5.2309091274272482E-2</v>
      </c>
      <c r="H12" s="518"/>
    </row>
    <row r="13" spans="1:8" x14ac:dyDescent="0.2">
      <c r="A13" s="286"/>
      <c r="B13" s="163" t="s">
        <v>0</v>
      </c>
      <c r="C13" s="287">
        <v>1.5986894136255869E-2</v>
      </c>
      <c r="D13" s="288">
        <v>2.2085889570552242E-2</v>
      </c>
      <c r="E13" s="288">
        <v>2.4256239406160507E-2</v>
      </c>
      <c r="F13" s="288">
        <v>1.4190093708166041E-2</v>
      </c>
      <c r="G13" s="287">
        <v>2.0844207780814254E-2</v>
      </c>
      <c r="H13" s="519"/>
    </row>
    <row r="14" spans="1:8" ht="10.35" customHeight="1" x14ac:dyDescent="0.2">
      <c r="A14" s="301" t="s">
        <v>118</v>
      </c>
      <c r="B14" s="189" t="s">
        <v>2</v>
      </c>
      <c r="C14" s="514">
        <v>5.0563933595235033E-2</v>
      </c>
      <c r="D14" s="515">
        <v>6.6777006811381989E-2</v>
      </c>
      <c r="E14" s="515">
        <v>8.2896863886194549E-2</v>
      </c>
      <c r="F14" s="515">
        <v>2.8026544681399423E-2</v>
      </c>
      <c r="G14" s="514">
        <v>6.7324763927811573E-2</v>
      </c>
      <c r="H14" s="517">
        <v>0.61549358632712603</v>
      </c>
    </row>
    <row r="15" spans="1:8" ht="10.35" customHeight="1" x14ac:dyDescent="0.2">
      <c r="A15" s="155"/>
      <c r="B15" s="172" t="s">
        <v>1</v>
      </c>
      <c r="C15" s="282">
        <v>6.2531203195207219E-2</v>
      </c>
      <c r="D15" s="283">
        <v>8.2960199004975088E-2</v>
      </c>
      <c r="E15" s="283">
        <v>9.8999999999999977E-2</v>
      </c>
      <c r="F15" s="283">
        <v>2.4333003952569099E-2</v>
      </c>
      <c r="G15" s="282">
        <v>8.291362038133919E-2</v>
      </c>
      <c r="H15" s="518"/>
    </row>
    <row r="16" spans="1:8" x14ac:dyDescent="0.2">
      <c r="A16" s="286"/>
      <c r="B16" s="163" t="s">
        <v>0</v>
      </c>
      <c r="C16" s="287">
        <v>3.8223938223938214E-2</v>
      </c>
      <c r="D16" s="288">
        <v>4.9810927109140701E-2</v>
      </c>
      <c r="E16" s="288">
        <v>6.5639651707970592E-2</v>
      </c>
      <c r="F16" s="288">
        <v>3.2053872053872112E-2</v>
      </c>
      <c r="G16" s="287">
        <v>5.1032801563876351E-2</v>
      </c>
      <c r="H16" s="519"/>
    </row>
    <row r="17" spans="1:8" x14ac:dyDescent="0.2">
      <c r="A17" s="301" t="s">
        <v>119</v>
      </c>
      <c r="B17" s="189" t="s">
        <v>2</v>
      </c>
      <c r="C17" s="514">
        <v>6.1337355455002518E-2</v>
      </c>
      <c r="D17" s="515">
        <v>8.2867969684882414E-2</v>
      </c>
      <c r="E17" s="515">
        <v>9.7908278503388013E-2</v>
      </c>
      <c r="F17" s="515">
        <v>2.5311159920510362E-2</v>
      </c>
      <c r="G17" s="514">
        <v>8.1169666857401276E-2</v>
      </c>
      <c r="H17" s="517">
        <v>0.59299454043105382</v>
      </c>
    </row>
    <row r="18" spans="1:8" x14ac:dyDescent="0.2">
      <c r="A18" s="155"/>
      <c r="B18" s="172" t="s">
        <v>1</v>
      </c>
      <c r="C18" s="282">
        <v>7.8993563487419483E-2</v>
      </c>
      <c r="D18" s="283">
        <v>0.1023943936149504</v>
      </c>
      <c r="E18" s="283">
        <v>0.12081924088688456</v>
      </c>
      <c r="F18" s="283">
        <v>2.5074626865671634E-2</v>
      </c>
      <c r="G18" s="282">
        <v>0.10106999483500109</v>
      </c>
      <c r="H18" s="518"/>
    </row>
    <row r="19" spans="1:8" x14ac:dyDescent="0.2">
      <c r="A19" s="286"/>
      <c r="B19" s="163" t="s">
        <v>0</v>
      </c>
      <c r="C19" s="287">
        <v>4.254877542548785E-2</v>
      </c>
      <c r="D19" s="288">
        <v>6.2359435698221222E-2</v>
      </c>
      <c r="E19" s="288">
        <v>7.2824521703353184E-2</v>
      </c>
      <c r="F19" s="288">
        <v>2.5573192239858988E-2</v>
      </c>
      <c r="G19" s="287">
        <v>5.993395513855046E-2</v>
      </c>
      <c r="H19" s="519"/>
    </row>
    <row r="20" spans="1:8" x14ac:dyDescent="0.2">
      <c r="A20" s="301" t="s">
        <v>120</v>
      </c>
      <c r="B20" s="189" t="s">
        <v>2</v>
      </c>
      <c r="C20" s="514">
        <v>8.3903731508059187E-2</v>
      </c>
      <c r="D20" s="515">
        <v>8.6629384850025359E-2</v>
      </c>
      <c r="E20" s="515">
        <v>0.12129572859186599</v>
      </c>
      <c r="F20" s="515">
        <v>2.860400041455069E-2</v>
      </c>
      <c r="G20" s="514">
        <v>9.8839403121470187E-2</v>
      </c>
      <c r="H20" s="517">
        <v>0.53013110951134923</v>
      </c>
    </row>
    <row r="21" spans="1:8" x14ac:dyDescent="0.2">
      <c r="A21" s="155"/>
      <c r="B21" s="172" t="s">
        <v>1</v>
      </c>
      <c r="C21" s="282">
        <v>0.10649978041282382</v>
      </c>
      <c r="D21" s="283">
        <v>0.11729383506805446</v>
      </c>
      <c r="E21" s="283">
        <v>0.15667466027178256</v>
      </c>
      <c r="F21" s="283">
        <v>2.1869983948635707E-2</v>
      </c>
      <c r="G21" s="282">
        <v>0.12866190729079333</v>
      </c>
      <c r="H21" s="518"/>
    </row>
    <row r="22" spans="1:8" x14ac:dyDescent="0.2">
      <c r="A22" s="286"/>
      <c r="B22" s="163" t="s">
        <v>0</v>
      </c>
      <c r="C22" s="287">
        <v>6.1056838365897037E-2</v>
      </c>
      <c r="D22" s="288">
        <v>5.4970035131225448E-2</v>
      </c>
      <c r="E22" s="288">
        <v>8.4274362191551599E-2</v>
      </c>
      <c r="F22" s="288">
        <v>3.5798499464094302E-2</v>
      </c>
      <c r="G22" s="287">
        <v>6.8207679663914625E-2</v>
      </c>
      <c r="H22" s="519"/>
    </row>
    <row r="23" spans="1:8" x14ac:dyDescent="0.2">
      <c r="A23" s="301" t="s">
        <v>121</v>
      </c>
      <c r="B23" s="189" t="s">
        <v>2</v>
      </c>
      <c r="C23" s="524">
        <v>0.12659454222509292</v>
      </c>
      <c r="D23" s="525">
        <v>0.15088615679386874</v>
      </c>
      <c r="E23" s="525">
        <v>0.20831470719713896</v>
      </c>
      <c r="F23" s="525">
        <v>6.2928538777997867E-2</v>
      </c>
      <c r="G23" s="524">
        <v>0.16382412193875695</v>
      </c>
      <c r="H23" s="526">
        <v>0.66436178735494</v>
      </c>
    </row>
    <row r="24" spans="1:8" ht="11.1" customHeight="1" x14ac:dyDescent="0.2">
      <c r="A24" s="155"/>
      <c r="B24" s="172" t="s">
        <v>1</v>
      </c>
      <c r="C24" s="348">
        <v>0.16121572514040305</v>
      </c>
      <c r="D24" s="349">
        <v>0.18133333333333335</v>
      </c>
      <c r="E24" s="349">
        <v>0.24462860650705953</v>
      </c>
      <c r="F24" s="349">
        <v>7.5663990117356361E-2</v>
      </c>
      <c r="G24" s="348">
        <v>0.19818603236926122</v>
      </c>
      <c r="H24" s="527"/>
    </row>
    <row r="25" spans="1:8" x14ac:dyDescent="0.2">
      <c r="A25" s="286"/>
      <c r="B25" s="163" t="s">
        <v>0</v>
      </c>
      <c r="C25" s="353">
        <v>9.3493367024636842E-2</v>
      </c>
      <c r="D25" s="354">
        <v>0.1228930432117683</v>
      </c>
      <c r="E25" s="354">
        <v>0.17405154937735301</v>
      </c>
      <c r="F25" s="354">
        <v>5.0526315789473641E-2</v>
      </c>
      <c r="G25" s="353">
        <v>0.13166722669362638</v>
      </c>
      <c r="H25" s="528"/>
    </row>
    <row r="26" spans="1:8" x14ac:dyDescent="0.2">
      <c r="A26" s="301" t="s">
        <v>122</v>
      </c>
      <c r="B26" s="189" t="s">
        <v>2</v>
      </c>
      <c r="C26" s="524">
        <v>6.8612334801762098E-2</v>
      </c>
      <c r="D26" s="525">
        <v>0.10559595320897885</v>
      </c>
      <c r="E26" s="525">
        <v>0.11583514099783077</v>
      </c>
      <c r="F26" s="525">
        <v>2.2806634657354885E-2</v>
      </c>
      <c r="G26" s="524">
        <v>0.10041976024123406</v>
      </c>
      <c r="H26" s="526">
        <v>0.51346248825788088</v>
      </c>
    </row>
    <row r="27" spans="1:8" ht="12" x14ac:dyDescent="0.2">
      <c r="A27" s="347"/>
      <c r="B27" s="172" t="s">
        <v>1</v>
      </c>
      <c r="C27" s="282">
        <v>9.5872461236077733E-2</v>
      </c>
      <c r="D27" s="283">
        <v>0.13050604384347475</v>
      </c>
      <c r="E27" s="283">
        <v>0.15262824572514255</v>
      </c>
      <c r="F27" s="283">
        <v>2.6344437187023728E-2</v>
      </c>
      <c r="G27" s="282">
        <v>0.13168629236521009</v>
      </c>
      <c r="H27" s="518"/>
    </row>
    <row r="28" spans="1:8" x14ac:dyDescent="0.2">
      <c r="A28" s="286"/>
      <c r="B28" s="163" t="s">
        <v>0</v>
      </c>
      <c r="C28" s="287">
        <v>4.0879804487891636E-2</v>
      </c>
      <c r="D28" s="288">
        <v>7.921006944444442E-2</v>
      </c>
      <c r="E28" s="288">
        <v>7.6957394601829154E-2</v>
      </c>
      <c r="F28" s="288">
        <v>1.9251804856705412E-2</v>
      </c>
      <c r="G28" s="287">
        <v>6.761597134729555E-2</v>
      </c>
      <c r="H28" s="519"/>
    </row>
    <row r="29" spans="1:8" x14ac:dyDescent="0.2">
      <c r="A29" s="301" t="s">
        <v>123</v>
      </c>
      <c r="B29" s="189" t="s">
        <v>2</v>
      </c>
      <c r="C29" s="514">
        <v>2.7979015738196389E-2</v>
      </c>
      <c r="D29" s="515">
        <v>5.4455445544554504E-2</v>
      </c>
      <c r="E29" s="515">
        <v>4.8901673640167287E-2</v>
      </c>
      <c r="F29" s="515">
        <v>1.7599999999999949E-2</v>
      </c>
      <c r="G29" s="514">
        <v>4.5477898583976065E-2</v>
      </c>
      <c r="H29" s="517">
        <v>0.27774076524182822</v>
      </c>
    </row>
    <row r="30" spans="1:8" x14ac:dyDescent="0.2">
      <c r="A30" s="155"/>
      <c r="B30" s="172" t="s">
        <v>1</v>
      </c>
      <c r="C30" s="282">
        <v>4.571703561116458E-2</v>
      </c>
      <c r="D30" s="283">
        <v>7.8581050740907044E-2</v>
      </c>
      <c r="E30" s="283">
        <v>7.7439339184305567E-2</v>
      </c>
      <c r="F30" s="283">
        <v>1.7281644091546089E-2</v>
      </c>
      <c r="G30" s="282">
        <v>7.0360064461181482E-2</v>
      </c>
      <c r="H30" s="518"/>
    </row>
    <row r="31" spans="1:8" x14ac:dyDescent="0.2">
      <c r="A31" s="286"/>
      <c r="B31" s="163" t="s">
        <v>0</v>
      </c>
      <c r="C31" s="287">
        <v>8.8311688311688563E-3</v>
      </c>
      <c r="D31" s="288">
        <v>3.0221019395579529E-2</v>
      </c>
      <c r="E31" s="288">
        <v>1.9607843137254832E-2</v>
      </c>
      <c r="F31" s="288">
        <v>1.7905102954342E-2</v>
      </c>
      <c r="G31" s="287">
        <v>1.9541858145912906E-2</v>
      </c>
      <c r="H31" s="519"/>
    </row>
    <row r="32" spans="1:8" ht="10.35" customHeight="1" x14ac:dyDescent="0.2">
      <c r="A32" s="301" t="s">
        <v>124</v>
      </c>
      <c r="B32" s="189" t="s">
        <v>2</v>
      </c>
      <c r="C32" s="514">
        <v>4.9914675767918082E-2</v>
      </c>
      <c r="D32" s="515">
        <v>5.4873054873054827E-2</v>
      </c>
      <c r="E32" s="515">
        <v>8.9136490250696365E-2</v>
      </c>
      <c r="F32" s="515">
        <v>9.1783216783216659E-3</v>
      </c>
      <c r="G32" s="514">
        <v>6.669087227699208E-2</v>
      </c>
      <c r="H32" s="517">
        <v>0.49609136481287996</v>
      </c>
    </row>
    <row r="33" spans="1:8" ht="10.35" customHeight="1" x14ac:dyDescent="0.2">
      <c r="A33" s="155"/>
      <c r="B33" s="172" t="s">
        <v>1</v>
      </c>
      <c r="C33" s="282">
        <v>6.3559322033898247E-2</v>
      </c>
      <c r="D33" s="283">
        <v>7.781456953642385E-2</v>
      </c>
      <c r="E33" s="283">
        <v>0.1185127807900852</v>
      </c>
      <c r="F33" s="283">
        <v>6.9264069264068917E-3</v>
      </c>
      <c r="G33" s="282">
        <v>8.8916305102155938E-2</v>
      </c>
      <c r="H33" s="518"/>
    </row>
    <row r="34" spans="1:8" x14ac:dyDescent="0.2">
      <c r="A34" s="286"/>
      <c r="B34" s="163" t="s">
        <v>0</v>
      </c>
      <c r="C34" s="287">
        <v>3.6082474226804107E-2</v>
      </c>
      <c r="D34" s="288">
        <v>3.2414910858995172E-2</v>
      </c>
      <c r="E34" s="288">
        <v>5.8101472995090053E-2</v>
      </c>
      <c r="F34" s="288">
        <v>1.1473962930273696E-2</v>
      </c>
      <c r="G34" s="287">
        <v>4.411061115224698E-2</v>
      </c>
      <c r="H34" s="519"/>
    </row>
    <row r="35" spans="1:8" x14ac:dyDescent="0.2">
      <c r="A35" s="301" t="s">
        <v>125</v>
      </c>
      <c r="B35" s="189" t="s">
        <v>2</v>
      </c>
      <c r="C35" s="524">
        <v>7.2102220870094214E-2</v>
      </c>
      <c r="D35" s="525">
        <v>7.2727272727272751E-2</v>
      </c>
      <c r="E35" s="525">
        <v>0.10253422662394407</v>
      </c>
      <c r="F35" s="525">
        <v>1.380500431406384E-2</v>
      </c>
      <c r="G35" s="524">
        <v>8.2925600792169679E-2</v>
      </c>
      <c r="H35" s="526">
        <v>0.3908668420035325</v>
      </c>
    </row>
    <row r="36" spans="1:8" ht="11.1" customHeight="1" x14ac:dyDescent="0.2">
      <c r="A36" s="347"/>
      <c r="B36" s="172" t="s">
        <v>1</v>
      </c>
      <c r="C36" s="348">
        <v>0.11357018054746659</v>
      </c>
      <c r="D36" s="349">
        <v>0.10295930949445131</v>
      </c>
      <c r="E36" s="349">
        <v>0.14268937169700524</v>
      </c>
      <c r="F36" s="349">
        <v>9.8436595251881753E-3</v>
      </c>
      <c r="G36" s="348">
        <v>0.11915812039263157</v>
      </c>
      <c r="H36" s="527"/>
    </row>
    <row r="37" spans="1:8" x14ac:dyDescent="0.2">
      <c r="A37" s="286"/>
      <c r="B37" s="163" t="s">
        <v>0</v>
      </c>
      <c r="C37" s="353">
        <v>2.6751592356687892E-2</v>
      </c>
      <c r="D37" s="354">
        <v>4.4431621465666482E-2</v>
      </c>
      <c r="E37" s="354">
        <v>6.3005780346820806E-2</v>
      </c>
      <c r="F37" s="354">
        <v>1.7714285714285682E-2</v>
      </c>
      <c r="G37" s="353">
        <v>4.6574958216944629E-2</v>
      </c>
      <c r="H37" s="528"/>
    </row>
    <row r="38" spans="1:8" x14ac:dyDescent="0.2">
      <c r="A38" s="301" t="s">
        <v>126</v>
      </c>
      <c r="B38" s="189" t="s">
        <v>2</v>
      </c>
      <c r="C38" s="514">
        <v>3.8152148931280161E-2</v>
      </c>
      <c r="D38" s="515">
        <v>3.3774532177088146E-2</v>
      </c>
      <c r="E38" s="515">
        <v>4.312431243124315E-2</v>
      </c>
      <c r="F38" s="515">
        <v>1.5084294587400238E-2</v>
      </c>
      <c r="G38" s="514">
        <v>3.9285753181449112E-2</v>
      </c>
      <c r="H38" s="517">
        <v>0.26138375719712781</v>
      </c>
    </row>
    <row r="39" spans="1:8" x14ac:dyDescent="0.2">
      <c r="A39" s="155"/>
      <c r="B39" s="172" t="s">
        <v>1</v>
      </c>
      <c r="C39" s="282">
        <v>5.8771929824561364E-2</v>
      </c>
      <c r="D39" s="283">
        <v>6.1634658329611458E-2</v>
      </c>
      <c r="E39" s="283">
        <v>5.8797718297498913E-2</v>
      </c>
      <c r="F39" s="283">
        <v>1.8625277161862575E-2</v>
      </c>
      <c r="G39" s="282">
        <v>6.1398767488257802E-2</v>
      </c>
      <c r="H39" s="518"/>
    </row>
    <row r="40" spans="1:8" x14ac:dyDescent="0.2">
      <c r="A40" s="286"/>
      <c r="B40" s="163" t="s">
        <v>0</v>
      </c>
      <c r="C40" s="287">
        <v>1.5451472718493453E-2</v>
      </c>
      <c r="D40" s="288">
        <v>4.6663555762949116E-3</v>
      </c>
      <c r="E40" s="288">
        <v>2.7360988526037078E-2</v>
      </c>
      <c r="F40" s="288">
        <v>1.1540168664003536E-2</v>
      </c>
      <c r="G40" s="287">
        <v>1.6048640533353684E-2</v>
      </c>
      <c r="H40" s="519"/>
    </row>
    <row r="41" spans="1:8" x14ac:dyDescent="0.2">
      <c r="A41" s="301" t="s">
        <v>127</v>
      </c>
      <c r="B41" s="189" t="s">
        <v>2</v>
      </c>
      <c r="C41" s="514">
        <v>3.1800955676388187E-2</v>
      </c>
      <c r="D41" s="515">
        <v>2.3533366952428914E-2</v>
      </c>
      <c r="E41" s="515">
        <v>4.724285037130671E-2</v>
      </c>
      <c r="F41" s="515">
        <v>2.2487812549143005E-2</v>
      </c>
      <c r="G41" s="514">
        <v>3.4735714987486503E-2</v>
      </c>
      <c r="H41" s="517">
        <v>0.43007805461172094</v>
      </c>
    </row>
    <row r="42" spans="1:8" x14ac:dyDescent="0.2">
      <c r="A42" s="155"/>
      <c r="B42" s="172" t="s">
        <v>1</v>
      </c>
      <c r="C42" s="282">
        <v>3.8611291369240686E-2</v>
      </c>
      <c r="D42" s="283">
        <v>3.743842364532024E-2</v>
      </c>
      <c r="E42" s="283">
        <v>6.7362428842504762E-2</v>
      </c>
      <c r="F42" s="283">
        <v>2.6282853566958697E-2</v>
      </c>
      <c r="G42" s="282">
        <v>4.832528283590428E-2</v>
      </c>
      <c r="H42" s="518"/>
    </row>
    <row r="43" spans="1:8" x14ac:dyDescent="0.2">
      <c r="A43" s="286"/>
      <c r="B43" s="163" t="s">
        <v>0</v>
      </c>
      <c r="C43" s="287">
        <v>2.4774020756611947E-2</v>
      </c>
      <c r="D43" s="288">
        <v>8.9531680440770867E-3</v>
      </c>
      <c r="E43" s="288">
        <v>2.7155036311967251E-2</v>
      </c>
      <c r="F43" s="288">
        <v>1.8653177363262663E-2</v>
      </c>
      <c r="G43" s="287">
        <v>2.0783643630626902E-2</v>
      </c>
      <c r="H43" s="519"/>
    </row>
    <row r="44" spans="1:8" x14ac:dyDescent="0.2">
      <c r="A44" s="315" t="s">
        <v>15</v>
      </c>
      <c r="B44" s="520" t="s">
        <v>2</v>
      </c>
      <c r="C44" s="449">
        <v>5.2198474719894583E-2</v>
      </c>
      <c r="D44" s="450">
        <v>6.318866446901128E-2</v>
      </c>
      <c r="E44" s="450">
        <v>8.1261284983448645E-2</v>
      </c>
      <c r="F44" s="450">
        <v>2.3253041875647584E-2</v>
      </c>
      <c r="G44" s="449">
        <v>6.6384404799236019E-2</v>
      </c>
      <c r="H44" s="521">
        <v>0.51606994898402159</v>
      </c>
    </row>
    <row r="45" spans="1:8" x14ac:dyDescent="0.2">
      <c r="A45" s="323"/>
      <c r="B45" s="493" t="s">
        <v>1</v>
      </c>
      <c r="C45" s="325">
        <v>7.0273171453953287E-2</v>
      </c>
      <c r="D45" s="326">
        <v>8.252951338900083E-2</v>
      </c>
      <c r="E45" s="326">
        <v>0.10513624306727753</v>
      </c>
      <c r="F45" s="326">
        <v>2.3946792937051598E-2</v>
      </c>
      <c r="G45" s="325">
        <v>8.7172479596381483E-2</v>
      </c>
      <c r="H45" s="522"/>
    </row>
    <row r="46" spans="1:8" ht="12" thickBot="1" x14ac:dyDescent="0.25">
      <c r="A46" s="330"/>
      <c r="B46" s="498" t="s">
        <v>0</v>
      </c>
      <c r="C46" s="332">
        <v>3.3481543945724224E-2</v>
      </c>
      <c r="D46" s="333">
        <v>4.3376470154481428E-2</v>
      </c>
      <c r="E46" s="333">
        <v>5.6709585121602291E-2</v>
      </c>
      <c r="F46" s="333">
        <v>2.2538619021031159E-2</v>
      </c>
      <c r="G46" s="332">
        <v>4.4987097098115256E-2</v>
      </c>
      <c r="H46" s="523"/>
    </row>
  </sheetData>
  <sheetProtection algorithmName="SHA-512" hashValue="tC3/puYEpvJJU2hCoECydTbMW7KXXkrJIjPBBzgDSvuncdE4QSJKPWZJiCZXQRsCTERBXdLZxmgWm/ynsVVa4w==" saltValue="xVgzuZ5zY8G7e+kdZkvtuQ==" spinCount="100000" sheet="1" objects="1" scenarios="1"/>
  <mergeCells count="10">
    <mergeCell ref="B9:B10"/>
    <mergeCell ref="C9:C10"/>
    <mergeCell ref="D9:D10"/>
    <mergeCell ref="E9:E10"/>
    <mergeCell ref="F9:F10"/>
    <mergeCell ref="A1:H1"/>
    <mergeCell ref="A2:H2"/>
    <mergeCell ref="A3:H3"/>
    <mergeCell ref="A4:H4"/>
    <mergeCell ref="A5:H5"/>
  </mergeCells>
  <conditionalFormatting sqref="C1:H3">
    <cfRule type="cellIs" dxfId="6" priority="5" operator="lessThan">
      <formula>0</formula>
    </cfRule>
  </conditionalFormatting>
  <conditionalFormatting sqref="C5:H1048576">
    <cfRule type="cellIs" dxfId="5" priority="4" operator="lessThan">
      <formula>0</formula>
    </cfRule>
  </conditionalFormatting>
  <printOptions horizontalCentered="1"/>
  <pageMargins left="0" right="0" top="1" bottom="0.75" header="0.5" footer="0.35"/>
  <pageSetup paperSize="9" scale="93" orientation="portrait" horizontalDpi="300" verticalDpi="300" r:id="rId1"/>
  <headerFooter alignWithMargins="0">
    <oddFooter>&amp;C&amp;8Page &amp;P of &amp;N</oddFooter>
  </headerFooter>
  <picture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AB612-7194-4C92-94D7-DCA8CDF760B7}">
  <sheetPr>
    <tabColor rgb="FF0000FF"/>
    <pageSetUpPr fitToPage="1"/>
  </sheetPr>
  <dimension ref="A1:O46"/>
  <sheetViews>
    <sheetView showGridLines="0" zoomScaleNormal="100" workbookViewId="0">
      <pane xSplit="2" ySplit="8" topLeftCell="C9" activePane="bottomRight" state="frozen"/>
      <selection activeCell="B9" sqref="B9:B12"/>
      <selection pane="topRight" activeCell="B9" sqref="B9:B12"/>
      <selection pane="bottomLeft" activeCell="B9" sqref="B9:B12"/>
      <selection pane="bottomRight" activeCell="B9" sqref="B9:B12"/>
    </sheetView>
  </sheetViews>
  <sheetFormatPr defaultColWidth="8.7109375" defaultRowHeight="11.25" x14ac:dyDescent="0.2"/>
  <cols>
    <col min="1" max="1" width="44.140625" style="359" customWidth="1"/>
    <col min="2" max="2" width="10.42578125" style="143" bestFit="1" customWidth="1"/>
    <col min="3" max="6" width="7.85546875" style="516" customWidth="1"/>
    <col min="7" max="7" width="11.5703125" style="516" customWidth="1"/>
    <col min="8" max="8" width="10.85546875" style="218" customWidth="1"/>
    <col min="9" max="16384" width="8.7109375" style="143"/>
  </cols>
  <sheetData>
    <row r="1" spans="1:15" x14ac:dyDescent="0.2">
      <c r="A1" s="584" t="s">
        <v>23</v>
      </c>
      <c r="B1" s="584"/>
      <c r="C1" s="584"/>
      <c r="D1" s="584"/>
      <c r="E1" s="584"/>
      <c r="F1" s="584"/>
      <c r="G1" s="584"/>
      <c r="H1" s="584"/>
    </row>
    <row r="2" spans="1:15" x14ac:dyDescent="0.2">
      <c r="A2" s="584" t="s">
        <v>91</v>
      </c>
      <c r="B2" s="584"/>
      <c r="C2" s="584"/>
      <c r="D2" s="584"/>
      <c r="E2" s="584"/>
      <c r="F2" s="584"/>
      <c r="G2" s="584"/>
      <c r="H2" s="584"/>
    </row>
    <row r="3" spans="1:15" ht="12.75" x14ac:dyDescent="0.2">
      <c r="A3" s="619" t="s">
        <v>149</v>
      </c>
      <c r="B3" s="619"/>
      <c r="C3" s="619"/>
      <c r="D3" s="619"/>
      <c r="E3" s="619"/>
      <c r="F3" s="619"/>
      <c r="G3" s="619"/>
      <c r="H3" s="619"/>
    </row>
    <row r="4" spans="1:15" ht="12.75" x14ac:dyDescent="0.2">
      <c r="A4" s="619" t="s">
        <v>142</v>
      </c>
      <c r="B4" s="619"/>
      <c r="C4" s="619"/>
      <c r="D4" s="619"/>
      <c r="E4" s="619"/>
      <c r="F4" s="619"/>
      <c r="G4" s="619"/>
      <c r="H4" s="619"/>
      <c r="I4" s="619"/>
      <c r="J4" s="619"/>
      <c r="K4" s="619"/>
      <c r="L4" s="619"/>
      <c r="M4" s="619"/>
      <c r="N4" s="619"/>
      <c r="O4" s="619"/>
    </row>
    <row r="5" spans="1:15" ht="12" x14ac:dyDescent="0.2">
      <c r="A5" s="645" t="str">
        <f>'JHS Promo &amp; Grad'!A5:H5</f>
        <v>SY 2023-2024</v>
      </c>
      <c r="B5" s="645"/>
      <c r="C5" s="645"/>
      <c r="D5" s="645"/>
      <c r="E5" s="645"/>
      <c r="F5" s="645"/>
      <c r="G5" s="645"/>
      <c r="H5" s="645"/>
      <c r="I5" s="645"/>
      <c r="J5" s="645"/>
      <c r="K5" s="645"/>
      <c r="L5" s="645"/>
      <c r="M5" s="645"/>
      <c r="N5" s="645"/>
      <c r="O5" s="645"/>
    </row>
    <row r="6" spans="1:15" ht="12.75" x14ac:dyDescent="0.2">
      <c r="A6" s="462"/>
      <c r="B6" s="212"/>
      <c r="C6" s="212"/>
      <c r="D6" s="212"/>
      <c r="E6" s="212"/>
      <c r="F6" s="212"/>
      <c r="G6" s="470"/>
      <c r="H6" s="508"/>
    </row>
    <row r="7" spans="1:15" x14ac:dyDescent="0.2">
      <c r="A7" s="200"/>
      <c r="B7" s="196"/>
      <c r="C7" s="200"/>
      <c r="D7" s="529"/>
      <c r="E7" s="470"/>
      <c r="F7" s="203"/>
      <c r="G7" s="203"/>
      <c r="H7" s="510"/>
    </row>
    <row r="8" spans="1:15" ht="15" thickBot="1" x14ac:dyDescent="0.25">
      <c r="A8" s="468" t="s">
        <v>143</v>
      </c>
      <c r="B8" s="196"/>
      <c r="C8" s="470"/>
      <c r="D8" s="470"/>
      <c r="E8" s="470"/>
      <c r="F8" s="470"/>
      <c r="G8" s="470"/>
      <c r="H8" s="511"/>
    </row>
    <row r="9" spans="1:15" ht="10.35" customHeight="1" x14ac:dyDescent="0.2">
      <c r="A9" s="339" t="s">
        <v>114</v>
      </c>
      <c r="B9" s="615" t="s">
        <v>95</v>
      </c>
      <c r="C9" s="639" t="s">
        <v>144</v>
      </c>
      <c r="D9" s="641" t="s">
        <v>145</v>
      </c>
      <c r="E9" s="641" t="s">
        <v>146</v>
      </c>
      <c r="F9" s="643" t="s">
        <v>147</v>
      </c>
      <c r="G9" s="530" t="s">
        <v>133</v>
      </c>
      <c r="H9" s="444" t="s">
        <v>115</v>
      </c>
    </row>
    <row r="10" spans="1:15" x14ac:dyDescent="0.2">
      <c r="A10" s="340"/>
      <c r="B10" s="616"/>
      <c r="C10" s="640"/>
      <c r="D10" s="642"/>
      <c r="E10" s="642"/>
      <c r="F10" s="644"/>
      <c r="G10" s="531" t="s">
        <v>109</v>
      </c>
      <c r="H10" s="445" t="s">
        <v>116</v>
      </c>
    </row>
    <row r="11" spans="1:15" x14ac:dyDescent="0.2">
      <c r="A11" s="301" t="s">
        <v>117</v>
      </c>
      <c r="B11" s="189" t="s">
        <v>2</v>
      </c>
      <c r="C11" s="514">
        <v>1.2355255138788853E-2</v>
      </c>
      <c r="D11" s="515">
        <v>1.3239094888970937E-2</v>
      </c>
      <c r="E11" s="515">
        <v>1.6313688932909954E-2</v>
      </c>
      <c r="F11" s="515">
        <v>1.2634322800297904E-2</v>
      </c>
      <c r="G11" s="514">
        <v>1.3587868904131177E-2</v>
      </c>
      <c r="H11" s="517">
        <v>0.4685502054467573</v>
      </c>
    </row>
    <row r="12" spans="1:15" x14ac:dyDescent="0.2">
      <c r="A12" s="155"/>
      <c r="B12" s="172" t="s">
        <v>1</v>
      </c>
      <c r="C12" s="282">
        <v>1.7340726244835833E-2</v>
      </c>
      <c r="D12" s="283">
        <v>1.7994054138632452E-2</v>
      </c>
      <c r="E12" s="283">
        <v>2.1895690556394471E-2</v>
      </c>
      <c r="F12" s="283">
        <v>1.680672268907563E-2</v>
      </c>
      <c r="G12" s="282">
        <v>1.8437618711673088E-2</v>
      </c>
      <c r="H12" s="518"/>
    </row>
    <row r="13" spans="1:15" x14ac:dyDescent="0.2">
      <c r="A13" s="286"/>
      <c r="B13" s="163" t="s">
        <v>0</v>
      </c>
      <c r="C13" s="287">
        <v>7.1743305841147891E-3</v>
      </c>
      <c r="D13" s="288">
        <v>8.375566817818085E-3</v>
      </c>
      <c r="E13" s="288">
        <v>1.069612484657198E-2</v>
      </c>
      <c r="F13" s="288">
        <v>8.4069611780455151E-3</v>
      </c>
      <c r="G13" s="287">
        <v>8.638950035303402E-3</v>
      </c>
      <c r="H13" s="519"/>
    </row>
    <row r="14" spans="1:15" ht="10.35" customHeight="1" x14ac:dyDescent="0.2">
      <c r="A14" s="301" t="s">
        <v>118</v>
      </c>
      <c r="B14" s="189" t="s">
        <v>2</v>
      </c>
      <c r="C14" s="514">
        <v>1.6157647953364593E-2</v>
      </c>
      <c r="D14" s="515">
        <v>1.5978101725125725E-2</v>
      </c>
      <c r="E14" s="515">
        <v>2.1855803427093437E-2</v>
      </c>
      <c r="F14" s="515">
        <v>1.5205205850138521E-2</v>
      </c>
      <c r="G14" s="514">
        <v>1.7286361380988203E-2</v>
      </c>
      <c r="H14" s="517">
        <v>0.35158253593686239</v>
      </c>
    </row>
    <row r="15" spans="1:15" x14ac:dyDescent="0.2">
      <c r="A15" s="155"/>
      <c r="B15" s="172" t="s">
        <v>1</v>
      </c>
      <c r="C15" s="282">
        <v>2.3964053919121316E-2</v>
      </c>
      <c r="D15" s="283">
        <v>2.2761194029850745E-2</v>
      </c>
      <c r="E15" s="283">
        <v>3.3250000000000002E-2</v>
      </c>
      <c r="F15" s="283">
        <v>2.099802371541502E-2</v>
      </c>
      <c r="G15" s="282">
        <v>2.5227074779146447E-2</v>
      </c>
      <c r="H15" s="518"/>
    </row>
    <row r="16" spans="1:15" x14ac:dyDescent="0.2">
      <c r="A16" s="286"/>
      <c r="B16" s="163" t="s">
        <v>0</v>
      </c>
      <c r="C16" s="287">
        <v>8.1081081081081086E-3</v>
      </c>
      <c r="D16" s="288">
        <v>8.8668666058156209E-3</v>
      </c>
      <c r="E16" s="288">
        <v>9.645010046885465E-3</v>
      </c>
      <c r="F16" s="288">
        <v>8.8888888888888889E-3</v>
      </c>
      <c r="G16" s="287">
        <v>8.8693989251211712E-3</v>
      </c>
      <c r="H16" s="519"/>
    </row>
    <row r="17" spans="1:8" x14ac:dyDescent="0.2">
      <c r="A17" s="301" t="s">
        <v>119</v>
      </c>
      <c r="B17" s="189" t="s">
        <v>2</v>
      </c>
      <c r="C17" s="514">
        <v>1.4379084967320261E-2</v>
      </c>
      <c r="D17" s="515">
        <v>1.5057838053450338E-2</v>
      </c>
      <c r="E17" s="515">
        <v>1.2275360895610331E-2</v>
      </c>
      <c r="F17" s="515">
        <v>1.2550988390335738E-2</v>
      </c>
      <c r="G17" s="514">
        <v>1.3571014930634237E-2</v>
      </c>
      <c r="H17" s="517">
        <v>0.37851616374758734</v>
      </c>
    </row>
    <row r="18" spans="1:8" x14ac:dyDescent="0.2">
      <c r="A18" s="155"/>
      <c r="B18" s="172" t="s">
        <v>1</v>
      </c>
      <c r="C18" s="282">
        <v>2.0674858591769065E-2</v>
      </c>
      <c r="D18" s="283">
        <v>1.9855947050807864E-2</v>
      </c>
      <c r="E18" s="283">
        <v>1.7850432168357761E-2</v>
      </c>
      <c r="F18" s="283">
        <v>1.9104477611940299E-2</v>
      </c>
      <c r="G18" s="282">
        <v>1.9358594925040027E-2</v>
      </c>
      <c r="H18" s="518"/>
    </row>
    <row r="19" spans="1:8" x14ac:dyDescent="0.2">
      <c r="A19" s="286"/>
      <c r="B19" s="163" t="s">
        <v>0</v>
      </c>
      <c r="C19" s="287">
        <v>7.6795350767953508E-3</v>
      </c>
      <c r="D19" s="288">
        <v>1.001840114496013E-2</v>
      </c>
      <c r="E19" s="288">
        <v>6.1715696358773916E-3</v>
      </c>
      <c r="F19" s="288">
        <v>5.2910052910052907E-3</v>
      </c>
      <c r="G19" s="287">
        <v>7.3275410865696637E-3</v>
      </c>
      <c r="H19" s="519"/>
    </row>
    <row r="20" spans="1:8" x14ac:dyDescent="0.2">
      <c r="A20" s="301" t="s">
        <v>120</v>
      </c>
      <c r="B20" s="189" t="s">
        <v>2</v>
      </c>
      <c r="C20" s="514">
        <v>2.439832192536984E-2</v>
      </c>
      <c r="D20" s="515">
        <v>2.2470767666497204E-2</v>
      </c>
      <c r="E20" s="515">
        <v>1.81892499489066E-2</v>
      </c>
      <c r="F20" s="515">
        <v>1.6685666908487926E-2</v>
      </c>
      <c r="G20" s="514">
        <v>2.0376748069296596E-2</v>
      </c>
      <c r="H20" s="517">
        <v>0.31820223879135884</v>
      </c>
    </row>
    <row r="21" spans="1:8" x14ac:dyDescent="0.2">
      <c r="A21" s="155"/>
      <c r="B21" s="172" t="s">
        <v>1</v>
      </c>
      <c r="C21" s="282">
        <v>3.3816425120772944E-2</v>
      </c>
      <c r="D21" s="283">
        <v>3.3827061649319458E-2</v>
      </c>
      <c r="E21" s="283">
        <v>2.7977617905675458E-2</v>
      </c>
      <c r="F21" s="283">
        <v>2.7086677367576244E-2</v>
      </c>
      <c r="G21" s="282">
        <v>3.0607022213123145E-2</v>
      </c>
      <c r="H21" s="518"/>
    </row>
    <row r="22" spans="1:8" x14ac:dyDescent="0.2">
      <c r="A22" s="286"/>
      <c r="B22" s="163" t="s">
        <v>0</v>
      </c>
      <c r="C22" s="287">
        <v>1.4875666074600355E-2</v>
      </c>
      <c r="D22" s="288">
        <v>1.0746021905352345E-2</v>
      </c>
      <c r="E22" s="288">
        <v>7.9464659138435804E-3</v>
      </c>
      <c r="F22" s="288">
        <v>5.5734190782422291E-3</v>
      </c>
      <c r="G22" s="287">
        <v>9.7392229909526347E-3</v>
      </c>
      <c r="H22" s="519"/>
    </row>
    <row r="23" spans="1:8" x14ac:dyDescent="0.2">
      <c r="A23" s="301" t="s">
        <v>121</v>
      </c>
      <c r="B23" s="189" t="s">
        <v>2</v>
      </c>
      <c r="C23" s="524">
        <v>3.2294526077829809E-2</v>
      </c>
      <c r="D23" s="524">
        <v>3.3051253392942681E-2</v>
      </c>
      <c r="E23" s="524">
        <v>2.9205781552674712E-2</v>
      </c>
      <c r="F23" s="524">
        <v>2.879780588145665E-2</v>
      </c>
      <c r="G23" s="524">
        <v>3.0781189273221921E-2</v>
      </c>
      <c r="H23" s="526">
        <v>0.36240459505648481</v>
      </c>
    </row>
    <row r="24" spans="1:8" ht="10.35" customHeight="1" x14ac:dyDescent="0.2">
      <c r="A24" s="155"/>
      <c r="B24" s="172" t="s">
        <v>1</v>
      </c>
      <c r="C24" s="348">
        <v>4.9223653782623056E-2</v>
      </c>
      <c r="D24" s="348">
        <v>4.7333333333333331E-2</v>
      </c>
      <c r="E24" s="348">
        <v>4.4505831798649476E-2</v>
      </c>
      <c r="F24" s="348">
        <v>4.2310067943174802E-2</v>
      </c>
      <c r="G24" s="348">
        <v>4.5755809310867999E-2</v>
      </c>
      <c r="H24" s="527"/>
    </row>
    <row r="25" spans="1:8" x14ac:dyDescent="0.2">
      <c r="A25" s="286"/>
      <c r="B25" s="163" t="s">
        <v>0</v>
      </c>
      <c r="C25" s="353">
        <v>1.6108654453569172E-2</v>
      </c>
      <c r="D25" s="353">
        <v>1.9920318725099601E-2</v>
      </c>
      <c r="E25" s="353">
        <v>1.4769765421372719E-2</v>
      </c>
      <c r="F25" s="353">
        <v>1.5639097744360904E-2</v>
      </c>
      <c r="G25" s="353">
        <v>1.6582115544786856E-2</v>
      </c>
      <c r="H25" s="528"/>
    </row>
    <row r="26" spans="1:8" x14ac:dyDescent="0.2">
      <c r="A26" s="301" t="s">
        <v>122</v>
      </c>
      <c r="B26" s="189" t="s">
        <v>2</v>
      </c>
      <c r="C26" s="514">
        <v>3.909691629955947E-2</v>
      </c>
      <c r="D26" s="515">
        <v>3.309094741279376E-2</v>
      </c>
      <c r="E26" s="515">
        <v>3.6876355748373099E-2</v>
      </c>
      <c r="F26" s="515">
        <v>2.2151898734177215E-2</v>
      </c>
      <c r="G26" s="514">
        <v>3.2798419614104402E-2</v>
      </c>
      <c r="H26" s="517">
        <v>0.37428727497004344</v>
      </c>
    </row>
    <row r="27" spans="1:8" ht="12" x14ac:dyDescent="0.2">
      <c r="A27" s="347"/>
      <c r="B27" s="172" t="s">
        <v>1</v>
      </c>
      <c r="C27" s="282">
        <v>5.7436121423891678E-2</v>
      </c>
      <c r="D27" s="283">
        <v>4.63019872976849E-2</v>
      </c>
      <c r="E27" s="283">
        <v>5.3620434874393073E-2</v>
      </c>
      <c r="F27" s="283">
        <v>3.2005225342913127E-2</v>
      </c>
      <c r="G27" s="282">
        <v>4.7365620010643962E-2</v>
      </c>
      <c r="H27" s="518"/>
    </row>
    <row r="28" spans="1:8" x14ac:dyDescent="0.2">
      <c r="A28" s="286"/>
      <c r="B28" s="163" t="s">
        <v>0</v>
      </c>
      <c r="C28" s="287">
        <v>2.043990224394579E-2</v>
      </c>
      <c r="D28" s="288">
        <v>1.9097222222222224E-2</v>
      </c>
      <c r="E28" s="288">
        <v>1.9183582422484944E-2</v>
      </c>
      <c r="F28" s="288">
        <v>1.2251148545176111E-2</v>
      </c>
      <c r="G28" s="287">
        <v>1.7728348841050488E-2</v>
      </c>
      <c r="H28" s="519"/>
    </row>
    <row r="29" spans="1:8" x14ac:dyDescent="0.2">
      <c r="A29" s="301" t="s">
        <v>123</v>
      </c>
      <c r="B29" s="189" t="s">
        <v>2</v>
      </c>
      <c r="C29" s="514">
        <v>1.4239320509617787E-2</v>
      </c>
      <c r="D29" s="515">
        <v>2.6777677767776779E-2</v>
      </c>
      <c r="E29" s="515">
        <v>1.5690376569037656E-2</v>
      </c>
      <c r="F29" s="515">
        <v>1.3942857142857142E-2</v>
      </c>
      <c r="G29" s="514">
        <v>1.7842124234050221E-2</v>
      </c>
      <c r="H29" s="517">
        <v>0.35508289967324219</v>
      </c>
    </row>
    <row r="30" spans="1:8" x14ac:dyDescent="0.2">
      <c r="A30" s="155"/>
      <c r="B30" s="172" t="s">
        <v>1</v>
      </c>
      <c r="C30" s="282">
        <v>2.1174205967276226E-2</v>
      </c>
      <c r="D30" s="283">
        <v>4.1311180960933995E-2</v>
      </c>
      <c r="E30" s="283">
        <v>2.4264326277749097E-2</v>
      </c>
      <c r="F30" s="283">
        <v>1.7281644091546006E-2</v>
      </c>
      <c r="G30" s="282">
        <v>2.6243588214243111E-2</v>
      </c>
      <c r="H30" s="518"/>
    </row>
    <row r="31" spans="1:8" x14ac:dyDescent="0.2">
      <c r="A31" s="286"/>
      <c r="B31" s="163" t="s">
        <v>0</v>
      </c>
      <c r="C31" s="287">
        <v>6.7532467532467532E-3</v>
      </c>
      <c r="D31" s="288">
        <v>1.2178619756427604E-2</v>
      </c>
      <c r="E31" s="288">
        <v>6.8892421833598302E-3</v>
      </c>
      <c r="F31" s="288">
        <v>1.0743061772605193E-2</v>
      </c>
      <c r="G31" s="287">
        <v>9.3186494009439673E-3</v>
      </c>
      <c r="H31" s="519"/>
    </row>
    <row r="32" spans="1:8" ht="10.35" customHeight="1" x14ac:dyDescent="0.2">
      <c r="A32" s="301" t="s">
        <v>124</v>
      </c>
      <c r="B32" s="189" t="s">
        <v>2</v>
      </c>
      <c r="C32" s="514">
        <v>1.7918088737201365E-2</v>
      </c>
      <c r="D32" s="515">
        <v>2.5389025389025387E-2</v>
      </c>
      <c r="E32" s="515">
        <v>2.2682053322721846E-2</v>
      </c>
      <c r="F32" s="515">
        <v>1.5297202797202798E-2</v>
      </c>
      <c r="G32" s="514">
        <v>2.0444351726296026E-2</v>
      </c>
      <c r="H32" s="517">
        <v>0.33901395609790308</v>
      </c>
    </row>
    <row r="33" spans="1:8" x14ac:dyDescent="0.2">
      <c r="A33" s="155"/>
      <c r="B33" s="172" t="s">
        <v>1</v>
      </c>
      <c r="C33" s="282">
        <v>2.5423728813559324E-2</v>
      </c>
      <c r="D33" s="283">
        <v>3.5596026490066227E-2</v>
      </c>
      <c r="E33" s="283">
        <v>3.4082106893880713E-2</v>
      </c>
      <c r="F33" s="283">
        <v>2.5974025974025976E-2</v>
      </c>
      <c r="G33" s="282">
        <v>3.0409598676044685E-2</v>
      </c>
      <c r="H33" s="518"/>
    </row>
    <row r="34" spans="1:8" x14ac:dyDescent="0.2">
      <c r="A34" s="286"/>
      <c r="B34" s="163" t="s">
        <v>0</v>
      </c>
      <c r="C34" s="287">
        <v>1.0309278350515464E-2</v>
      </c>
      <c r="D34" s="288">
        <v>1.539708265802269E-2</v>
      </c>
      <c r="E34" s="288">
        <v>1.0638297872340425E-2</v>
      </c>
      <c r="F34" s="288">
        <v>4.4130626654898496E-3</v>
      </c>
      <c r="G34" s="287">
        <v>1.0309278350515464E-2</v>
      </c>
      <c r="H34" s="519"/>
    </row>
    <row r="35" spans="1:8" x14ac:dyDescent="0.2">
      <c r="A35" s="301" t="s">
        <v>125</v>
      </c>
      <c r="B35" s="189" t="s">
        <v>2</v>
      </c>
      <c r="C35" s="524">
        <v>3.0422878004259205E-2</v>
      </c>
      <c r="D35" s="525">
        <v>3.1892697466467959E-2</v>
      </c>
      <c r="E35" s="525">
        <v>3.0294203320710748E-2</v>
      </c>
      <c r="F35" s="525">
        <v>2.9910842680471672E-2</v>
      </c>
      <c r="G35" s="524">
        <v>3.0622786304604487E-2</v>
      </c>
      <c r="H35" s="517">
        <v>0.37795583349618916</v>
      </c>
    </row>
    <row r="36" spans="1:8" ht="10.35" customHeight="1" x14ac:dyDescent="0.2">
      <c r="A36" s="347"/>
      <c r="B36" s="172" t="s">
        <v>1</v>
      </c>
      <c r="C36" s="348">
        <v>4.4845661036691901E-2</v>
      </c>
      <c r="D36" s="349">
        <v>4.7472256473489516E-2</v>
      </c>
      <c r="E36" s="349">
        <v>3.8755137991779216E-2</v>
      </c>
      <c r="F36" s="349">
        <v>4.6902142443543716E-2</v>
      </c>
      <c r="G36" s="348">
        <v>4.4467425025853151E-2</v>
      </c>
      <c r="H36" s="518"/>
    </row>
    <row r="37" spans="1:8" x14ac:dyDescent="0.2">
      <c r="A37" s="286"/>
      <c r="B37" s="163" t="s">
        <v>0</v>
      </c>
      <c r="C37" s="353">
        <v>1.4649681528662421E-2</v>
      </c>
      <c r="D37" s="354">
        <v>1.7311021350259664E-2</v>
      </c>
      <c r="E37" s="354">
        <v>2.1965317919075144E-2</v>
      </c>
      <c r="F37" s="354">
        <v>1.3142857142857144E-2</v>
      </c>
      <c r="G37" s="353">
        <v>1.680672268907563E-2</v>
      </c>
      <c r="H37" s="519"/>
    </row>
    <row r="38" spans="1:8" x14ac:dyDescent="0.2">
      <c r="A38" s="301" t="s">
        <v>126</v>
      </c>
      <c r="B38" s="189" t="s">
        <v>2</v>
      </c>
      <c r="C38" s="514">
        <v>9.6529533440588376E-3</v>
      </c>
      <c r="D38" s="515">
        <v>1.1410314924691922E-2</v>
      </c>
      <c r="E38" s="515">
        <v>1.2541254125412541E-2</v>
      </c>
      <c r="F38" s="515">
        <v>7.763975155279503E-3</v>
      </c>
      <c r="G38" s="514">
        <v>1.0345215337906218E-2</v>
      </c>
      <c r="H38" s="517">
        <v>0.52681838062896913</v>
      </c>
    </row>
    <row r="39" spans="1:8" x14ac:dyDescent="0.2">
      <c r="A39" s="155"/>
      <c r="B39" s="172" t="s">
        <v>1</v>
      </c>
      <c r="C39" s="282">
        <v>1.2280701754385965E-2</v>
      </c>
      <c r="D39" s="283">
        <v>1.4292094685127288E-2</v>
      </c>
      <c r="E39" s="283">
        <v>1.8867924528301886E-2</v>
      </c>
      <c r="F39" s="283">
        <v>8.4257206208425729E-3</v>
      </c>
      <c r="G39" s="282">
        <v>1.3476195736220038E-2</v>
      </c>
      <c r="H39" s="518"/>
    </row>
    <row r="40" spans="1:8" x14ac:dyDescent="0.2">
      <c r="A40" s="286"/>
      <c r="B40" s="163" t="s">
        <v>0</v>
      </c>
      <c r="C40" s="287">
        <v>6.7600193143408979E-3</v>
      </c>
      <c r="D40" s="288">
        <v>8.3994400373308443E-3</v>
      </c>
      <c r="E40" s="288">
        <v>6.1782877316857903E-3</v>
      </c>
      <c r="F40" s="288">
        <v>7.1016422547714158E-3</v>
      </c>
      <c r="G40" s="287">
        <v>7.0995076147944581E-3</v>
      </c>
      <c r="H40" s="519"/>
    </row>
    <row r="41" spans="1:8" x14ac:dyDescent="0.2">
      <c r="A41" s="301" t="s">
        <v>127</v>
      </c>
      <c r="B41" s="189" t="s">
        <v>2</v>
      </c>
      <c r="C41" s="514">
        <v>1.2193112539133301E-2</v>
      </c>
      <c r="D41" s="515">
        <v>1.1934778954446125E-2</v>
      </c>
      <c r="E41" s="515">
        <v>1.0428187707378732E-2</v>
      </c>
      <c r="F41" s="515">
        <v>1.0378990407296744E-2</v>
      </c>
      <c r="G41" s="514">
        <v>1.1211851372136324E-2</v>
      </c>
      <c r="H41" s="517">
        <v>0.45998840721768508</v>
      </c>
    </row>
    <row r="42" spans="1:8" x14ac:dyDescent="0.2">
      <c r="A42" s="155"/>
      <c r="B42" s="172" t="s">
        <v>1</v>
      </c>
      <c r="C42" s="282">
        <v>1.589876703439325E-2</v>
      </c>
      <c r="D42" s="283">
        <v>1.6091954022988506E-2</v>
      </c>
      <c r="E42" s="283">
        <v>1.4864010120177103E-2</v>
      </c>
      <c r="F42" s="283">
        <v>1.4392991239048811E-2</v>
      </c>
      <c r="G42" s="282">
        <v>1.5298358029635563E-2</v>
      </c>
      <c r="H42" s="518"/>
    </row>
    <row r="43" spans="1:8" x14ac:dyDescent="0.2">
      <c r="A43" s="286"/>
      <c r="B43" s="163" t="s">
        <v>0</v>
      </c>
      <c r="C43" s="287">
        <v>8.3696016069635081E-3</v>
      </c>
      <c r="D43" s="288">
        <v>7.575757575757576E-3</v>
      </c>
      <c r="E43" s="288">
        <v>5.9993684875276291E-3</v>
      </c>
      <c r="F43" s="288">
        <v>6.3231109705975336E-3</v>
      </c>
      <c r="G43" s="287">
        <v>7.037067343097946E-3</v>
      </c>
      <c r="H43" s="519"/>
    </row>
    <row r="44" spans="1:8" x14ac:dyDescent="0.2">
      <c r="A44" s="315" t="s">
        <v>15</v>
      </c>
      <c r="B44" s="520" t="s">
        <v>2</v>
      </c>
      <c r="C44" s="449">
        <v>1.8218623481781375E-2</v>
      </c>
      <c r="D44" s="450">
        <v>1.8713460943049157E-2</v>
      </c>
      <c r="E44" s="450">
        <v>1.9570042130604873E-2</v>
      </c>
      <c r="F44" s="450">
        <v>1.5450069227313155E-2</v>
      </c>
      <c r="G44" s="449">
        <v>1.7977798948127236E-2</v>
      </c>
      <c r="H44" s="521">
        <v>0.39354766793695678</v>
      </c>
    </row>
    <row r="45" spans="1:8" x14ac:dyDescent="0.2">
      <c r="A45" s="323"/>
      <c r="B45" s="493" t="s">
        <v>1</v>
      </c>
      <c r="C45" s="325">
        <v>2.6114154575066627E-2</v>
      </c>
      <c r="D45" s="326">
        <v>2.6274114598329974E-2</v>
      </c>
      <c r="E45" s="326">
        <v>2.8268813414702009E-2</v>
      </c>
      <c r="F45" s="326">
        <v>2.1976830348267699E-2</v>
      </c>
      <c r="G45" s="325">
        <v>2.563950247210316E-2</v>
      </c>
      <c r="H45" s="522"/>
    </row>
    <row r="46" spans="1:8" ht="12" thickBot="1" x14ac:dyDescent="0.25">
      <c r="A46" s="330"/>
      <c r="B46" s="498" t="s">
        <v>0</v>
      </c>
      <c r="C46" s="332">
        <v>1.0042546667177738E-2</v>
      </c>
      <c r="D46" s="333">
        <v>1.0968550676547579E-2</v>
      </c>
      <c r="E46" s="333">
        <v>1.0624701955174058E-2</v>
      </c>
      <c r="F46" s="333">
        <v>8.7288293318444066E-3</v>
      </c>
      <c r="G46" s="332">
        <v>1.0090366404960038E-2</v>
      </c>
      <c r="H46" s="523"/>
    </row>
  </sheetData>
  <sheetProtection algorithmName="SHA-512" hashValue="Vzhzcmv6Coo9/feHy/9qM5LTzVKORPXht2OUIsWHQhklEO7kUxaopvBb+16vDZ+ThKBYH47wb9UGphFf+LW3KA==" saltValue="xOxmMYVSbcg3SpIrygFUpg==" spinCount="100000" sheet="1" objects="1" scenarios="1"/>
  <mergeCells count="12">
    <mergeCell ref="B9:B10"/>
    <mergeCell ref="C9:C10"/>
    <mergeCell ref="D9:D10"/>
    <mergeCell ref="E9:E10"/>
    <mergeCell ref="F9:F10"/>
    <mergeCell ref="A5:H5"/>
    <mergeCell ref="I5:O5"/>
    <mergeCell ref="A1:H1"/>
    <mergeCell ref="A2:H2"/>
    <mergeCell ref="A3:H3"/>
    <mergeCell ref="A4:H4"/>
    <mergeCell ref="I4:O4"/>
  </mergeCells>
  <conditionalFormatting sqref="H1:H3 H5:H1048576">
    <cfRule type="cellIs" dxfId="4" priority="5" operator="lessThan">
      <formula>0</formula>
    </cfRule>
  </conditionalFormatting>
  <conditionalFormatting sqref="O5">
    <cfRule type="cellIs" dxfId="3" priority="4" operator="lessThan">
      <formula>0</formula>
    </cfRule>
  </conditionalFormatting>
  <printOptions horizontalCentered="1"/>
  <pageMargins left="0" right="0" top="1" bottom="0.75" header="0.5" footer="0.35"/>
  <pageSetup paperSize="9" scale="96" orientation="portrait" horizontalDpi="300" verticalDpi="300" r:id="rId1"/>
  <headerFooter alignWithMargins="0">
    <oddFooter>&amp;C&amp;8Page &amp;P of &amp;N</oddFooter>
  </headerFooter>
  <picture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15A35-DFB9-4EEB-89E7-3E9B62671A65}">
  <sheetPr>
    <tabColor rgb="FF0000FF"/>
    <pageSetUpPr fitToPage="1"/>
  </sheetPr>
  <dimension ref="A1:H46"/>
  <sheetViews>
    <sheetView showGridLines="0" zoomScaleNormal="100" workbookViewId="0">
      <pane xSplit="2" ySplit="8" topLeftCell="C9" activePane="bottomRight" state="frozen"/>
      <selection activeCell="B9" sqref="B9:B12"/>
      <selection pane="topRight" activeCell="B9" sqref="B9:B12"/>
      <selection pane="bottomLeft" activeCell="B9" sqref="B9:B12"/>
      <selection pane="bottomRight" activeCell="B9" sqref="B9:B12"/>
    </sheetView>
  </sheetViews>
  <sheetFormatPr defaultRowHeight="11.25" x14ac:dyDescent="0.2"/>
  <cols>
    <col min="1" max="1" width="44.140625" style="359" customWidth="1"/>
    <col min="2" max="2" width="10.42578125" style="143" bestFit="1" customWidth="1"/>
    <col min="3" max="5" width="7.85546875" style="470" customWidth="1"/>
    <col min="6" max="6" width="9.5703125" style="470" bestFit="1" customWidth="1"/>
    <col min="7" max="7" width="11.140625" style="470" customWidth="1"/>
    <col min="8" max="8" width="10.85546875" style="218" customWidth="1"/>
    <col min="9" max="227" width="8.7109375" style="143"/>
    <col min="228" max="228" width="23.85546875" style="143" customWidth="1"/>
    <col min="229" max="229" width="10.85546875" style="143" customWidth="1"/>
    <col min="230" max="233" width="8.85546875" style="143" customWidth="1"/>
    <col min="234" max="234" width="11" style="143" customWidth="1"/>
    <col min="235" max="235" width="10.85546875" style="143" customWidth="1"/>
    <col min="236" max="237" width="8.7109375" style="143"/>
    <col min="238" max="241" width="8.85546875" style="143" customWidth="1"/>
    <col min="242" max="242" width="11.42578125" style="143" customWidth="1"/>
    <col min="243" max="245" width="8.7109375" style="143"/>
    <col min="246" max="249" width="8.85546875" style="143" customWidth="1"/>
    <col min="250" max="250" width="11" style="143" customWidth="1"/>
    <col min="251" max="251" width="9.85546875" style="143" customWidth="1"/>
    <col min="252" max="483" width="8.7109375" style="143"/>
    <col min="484" max="484" width="23.85546875" style="143" customWidth="1"/>
    <col min="485" max="485" width="10.85546875" style="143" customWidth="1"/>
    <col min="486" max="489" width="8.85546875" style="143" customWidth="1"/>
    <col min="490" max="490" width="11" style="143" customWidth="1"/>
    <col min="491" max="491" width="10.85546875" style="143" customWidth="1"/>
    <col min="492" max="493" width="8.7109375" style="143"/>
    <col min="494" max="497" width="8.85546875" style="143" customWidth="1"/>
    <col min="498" max="498" width="11.42578125" style="143" customWidth="1"/>
    <col min="499" max="501" width="8.7109375" style="143"/>
    <col min="502" max="505" width="8.85546875" style="143" customWidth="1"/>
    <col min="506" max="506" width="11" style="143" customWidth="1"/>
    <col min="507" max="507" width="9.85546875" style="143" customWidth="1"/>
    <col min="508" max="739" width="8.7109375" style="143"/>
    <col min="740" max="740" width="23.85546875" style="143" customWidth="1"/>
    <col min="741" max="741" width="10.85546875" style="143" customWidth="1"/>
    <col min="742" max="745" width="8.85546875" style="143" customWidth="1"/>
    <col min="746" max="746" width="11" style="143" customWidth="1"/>
    <col min="747" max="747" width="10.85546875" style="143" customWidth="1"/>
    <col min="748" max="749" width="8.7109375" style="143"/>
    <col min="750" max="753" width="8.85546875" style="143" customWidth="1"/>
    <col min="754" max="754" width="11.42578125" style="143" customWidth="1"/>
    <col min="755" max="757" width="8.7109375" style="143"/>
    <col min="758" max="761" width="8.85546875" style="143" customWidth="1"/>
    <col min="762" max="762" width="11" style="143" customWidth="1"/>
    <col min="763" max="763" width="9.85546875" style="143" customWidth="1"/>
    <col min="764" max="995" width="8.7109375" style="143"/>
    <col min="996" max="996" width="23.85546875" style="143" customWidth="1"/>
    <col min="997" max="997" width="10.85546875" style="143" customWidth="1"/>
    <col min="998" max="1001" width="8.85546875" style="143" customWidth="1"/>
    <col min="1002" max="1002" width="11" style="143" customWidth="1"/>
    <col min="1003" max="1003" width="10.85546875" style="143" customWidth="1"/>
    <col min="1004" max="1005" width="8.7109375" style="143"/>
    <col min="1006" max="1009" width="8.85546875" style="143" customWidth="1"/>
    <col min="1010" max="1010" width="11.42578125" style="143" customWidth="1"/>
    <col min="1011" max="1013" width="8.7109375" style="143"/>
    <col min="1014" max="1017" width="8.85546875" style="143" customWidth="1"/>
    <col min="1018" max="1018" width="11" style="143" customWidth="1"/>
    <col min="1019" max="1019" width="9.85546875" style="143" customWidth="1"/>
    <col min="1020" max="1251" width="8.7109375" style="143"/>
    <col min="1252" max="1252" width="23.85546875" style="143" customWidth="1"/>
    <col min="1253" max="1253" width="10.85546875" style="143" customWidth="1"/>
    <col min="1254" max="1257" width="8.85546875" style="143" customWidth="1"/>
    <col min="1258" max="1258" width="11" style="143" customWidth="1"/>
    <col min="1259" max="1259" width="10.85546875" style="143" customWidth="1"/>
    <col min="1260" max="1261" width="8.7109375" style="143"/>
    <col min="1262" max="1265" width="8.85546875" style="143" customWidth="1"/>
    <col min="1266" max="1266" width="11.42578125" style="143" customWidth="1"/>
    <col min="1267" max="1269" width="8.7109375" style="143"/>
    <col min="1270" max="1273" width="8.85546875" style="143" customWidth="1"/>
    <col min="1274" max="1274" width="11" style="143" customWidth="1"/>
    <col min="1275" max="1275" width="9.85546875" style="143" customWidth="1"/>
    <col min="1276" max="1507" width="8.7109375" style="143"/>
    <col min="1508" max="1508" width="23.85546875" style="143" customWidth="1"/>
    <col min="1509" max="1509" width="10.85546875" style="143" customWidth="1"/>
    <col min="1510" max="1513" width="8.85546875" style="143" customWidth="1"/>
    <col min="1514" max="1514" width="11" style="143" customWidth="1"/>
    <col min="1515" max="1515" width="10.85546875" style="143" customWidth="1"/>
    <col min="1516" max="1517" width="8.7109375" style="143"/>
    <col min="1518" max="1521" width="8.85546875" style="143" customWidth="1"/>
    <col min="1522" max="1522" width="11.42578125" style="143" customWidth="1"/>
    <col min="1523" max="1525" width="8.7109375" style="143"/>
    <col min="1526" max="1529" width="8.85546875" style="143" customWidth="1"/>
    <col min="1530" max="1530" width="11" style="143" customWidth="1"/>
    <col min="1531" max="1531" width="9.85546875" style="143" customWidth="1"/>
    <col min="1532" max="1763" width="8.7109375" style="143"/>
    <col min="1764" max="1764" width="23.85546875" style="143" customWidth="1"/>
    <col min="1765" max="1765" width="10.85546875" style="143" customWidth="1"/>
    <col min="1766" max="1769" width="8.85546875" style="143" customWidth="1"/>
    <col min="1770" max="1770" width="11" style="143" customWidth="1"/>
    <col min="1771" max="1771" width="10.85546875" style="143" customWidth="1"/>
    <col min="1772" max="1773" width="8.7109375" style="143"/>
    <col min="1774" max="1777" width="8.85546875" style="143" customWidth="1"/>
    <col min="1778" max="1778" width="11.42578125" style="143" customWidth="1"/>
    <col min="1779" max="1781" width="8.7109375" style="143"/>
    <col min="1782" max="1785" width="8.85546875" style="143" customWidth="1"/>
    <col min="1786" max="1786" width="11" style="143" customWidth="1"/>
    <col min="1787" max="1787" width="9.85546875" style="143" customWidth="1"/>
    <col min="1788" max="2019" width="8.7109375" style="143"/>
    <col min="2020" max="2020" width="23.85546875" style="143" customWidth="1"/>
    <col min="2021" max="2021" width="10.85546875" style="143" customWidth="1"/>
    <col min="2022" max="2025" width="8.85546875" style="143" customWidth="1"/>
    <col min="2026" max="2026" width="11" style="143" customWidth="1"/>
    <col min="2027" max="2027" width="10.85546875" style="143" customWidth="1"/>
    <col min="2028" max="2029" width="8.7109375" style="143"/>
    <col min="2030" max="2033" width="8.85546875" style="143" customWidth="1"/>
    <col min="2034" max="2034" width="11.42578125" style="143" customWidth="1"/>
    <col min="2035" max="2037" width="8.7109375" style="143"/>
    <col min="2038" max="2041" width="8.85546875" style="143" customWidth="1"/>
    <col min="2042" max="2042" width="11" style="143" customWidth="1"/>
    <col min="2043" max="2043" width="9.85546875" style="143" customWidth="1"/>
    <col min="2044" max="2275" width="8.7109375" style="143"/>
    <col min="2276" max="2276" width="23.85546875" style="143" customWidth="1"/>
    <col min="2277" max="2277" width="10.85546875" style="143" customWidth="1"/>
    <col min="2278" max="2281" width="8.85546875" style="143" customWidth="1"/>
    <col min="2282" max="2282" width="11" style="143" customWidth="1"/>
    <col min="2283" max="2283" width="10.85546875" style="143" customWidth="1"/>
    <col min="2284" max="2285" width="8.7109375" style="143"/>
    <col min="2286" max="2289" width="8.85546875" style="143" customWidth="1"/>
    <col min="2290" max="2290" width="11.42578125" style="143" customWidth="1"/>
    <col min="2291" max="2293" width="8.7109375" style="143"/>
    <col min="2294" max="2297" width="8.85546875" style="143" customWidth="1"/>
    <col min="2298" max="2298" width="11" style="143" customWidth="1"/>
    <col min="2299" max="2299" width="9.85546875" style="143" customWidth="1"/>
    <col min="2300" max="2531" width="8.7109375" style="143"/>
    <col min="2532" max="2532" width="23.85546875" style="143" customWidth="1"/>
    <col min="2533" max="2533" width="10.85546875" style="143" customWidth="1"/>
    <col min="2534" max="2537" width="8.85546875" style="143" customWidth="1"/>
    <col min="2538" max="2538" width="11" style="143" customWidth="1"/>
    <col min="2539" max="2539" width="10.85546875" style="143" customWidth="1"/>
    <col min="2540" max="2541" width="8.7109375" style="143"/>
    <col min="2542" max="2545" width="8.85546875" style="143" customWidth="1"/>
    <col min="2546" max="2546" width="11.42578125" style="143" customWidth="1"/>
    <col min="2547" max="2549" width="8.7109375" style="143"/>
    <col min="2550" max="2553" width="8.85546875" style="143" customWidth="1"/>
    <col min="2554" max="2554" width="11" style="143" customWidth="1"/>
    <col min="2555" max="2555" width="9.85546875" style="143" customWidth="1"/>
    <col min="2556" max="2787" width="8.7109375" style="143"/>
    <col min="2788" max="2788" width="23.85546875" style="143" customWidth="1"/>
    <col min="2789" max="2789" width="10.85546875" style="143" customWidth="1"/>
    <col min="2790" max="2793" width="8.85546875" style="143" customWidth="1"/>
    <col min="2794" max="2794" width="11" style="143" customWidth="1"/>
    <col min="2795" max="2795" width="10.85546875" style="143" customWidth="1"/>
    <col min="2796" max="2797" width="8.7109375" style="143"/>
    <col min="2798" max="2801" width="8.85546875" style="143" customWidth="1"/>
    <col min="2802" max="2802" width="11.42578125" style="143" customWidth="1"/>
    <col min="2803" max="2805" width="8.7109375" style="143"/>
    <col min="2806" max="2809" width="8.85546875" style="143" customWidth="1"/>
    <col min="2810" max="2810" width="11" style="143" customWidth="1"/>
    <col min="2811" max="2811" width="9.85546875" style="143" customWidth="1"/>
    <col min="2812" max="3043" width="8.7109375" style="143"/>
    <col min="3044" max="3044" width="23.85546875" style="143" customWidth="1"/>
    <col min="3045" max="3045" width="10.85546875" style="143" customWidth="1"/>
    <col min="3046" max="3049" width="8.85546875" style="143" customWidth="1"/>
    <col min="3050" max="3050" width="11" style="143" customWidth="1"/>
    <col min="3051" max="3051" width="10.85546875" style="143" customWidth="1"/>
    <col min="3052" max="3053" width="8.7109375" style="143"/>
    <col min="3054" max="3057" width="8.85546875" style="143" customWidth="1"/>
    <col min="3058" max="3058" width="11.42578125" style="143" customWidth="1"/>
    <col min="3059" max="3061" width="8.7109375" style="143"/>
    <col min="3062" max="3065" width="8.85546875" style="143" customWidth="1"/>
    <col min="3066" max="3066" width="11" style="143" customWidth="1"/>
    <col min="3067" max="3067" width="9.85546875" style="143" customWidth="1"/>
    <col min="3068" max="3299" width="8.7109375" style="143"/>
    <col min="3300" max="3300" width="23.85546875" style="143" customWidth="1"/>
    <col min="3301" max="3301" width="10.85546875" style="143" customWidth="1"/>
    <col min="3302" max="3305" width="8.85546875" style="143" customWidth="1"/>
    <col min="3306" max="3306" width="11" style="143" customWidth="1"/>
    <col min="3307" max="3307" width="10.85546875" style="143" customWidth="1"/>
    <col min="3308" max="3309" width="8.7109375" style="143"/>
    <col min="3310" max="3313" width="8.85546875" style="143" customWidth="1"/>
    <col min="3314" max="3314" width="11.42578125" style="143" customWidth="1"/>
    <col min="3315" max="3317" width="8.7109375" style="143"/>
    <col min="3318" max="3321" width="8.85546875" style="143" customWidth="1"/>
    <col min="3322" max="3322" width="11" style="143" customWidth="1"/>
    <col min="3323" max="3323" width="9.85546875" style="143" customWidth="1"/>
    <col min="3324" max="3555" width="8.7109375" style="143"/>
    <col min="3556" max="3556" width="23.85546875" style="143" customWidth="1"/>
    <col min="3557" max="3557" width="10.85546875" style="143" customWidth="1"/>
    <col min="3558" max="3561" width="8.85546875" style="143" customWidth="1"/>
    <col min="3562" max="3562" width="11" style="143" customWidth="1"/>
    <col min="3563" max="3563" width="10.85546875" style="143" customWidth="1"/>
    <col min="3564" max="3565" width="8.7109375" style="143"/>
    <col min="3566" max="3569" width="8.85546875" style="143" customWidth="1"/>
    <col min="3570" max="3570" width="11.42578125" style="143" customWidth="1"/>
    <col min="3571" max="3573" width="8.7109375" style="143"/>
    <col min="3574" max="3577" width="8.85546875" style="143" customWidth="1"/>
    <col min="3578" max="3578" width="11" style="143" customWidth="1"/>
    <col min="3579" max="3579" width="9.85546875" style="143" customWidth="1"/>
    <col min="3580" max="3811" width="8.7109375" style="143"/>
    <col min="3812" max="3812" width="23.85546875" style="143" customWidth="1"/>
    <col min="3813" max="3813" width="10.85546875" style="143" customWidth="1"/>
    <col min="3814" max="3817" width="8.85546875" style="143" customWidth="1"/>
    <col min="3818" max="3818" width="11" style="143" customWidth="1"/>
    <col min="3819" max="3819" width="10.85546875" style="143" customWidth="1"/>
    <col min="3820" max="3821" width="8.7109375" style="143"/>
    <col min="3822" max="3825" width="8.85546875" style="143" customWidth="1"/>
    <col min="3826" max="3826" width="11.42578125" style="143" customWidth="1"/>
    <col min="3827" max="3829" width="8.7109375" style="143"/>
    <col min="3830" max="3833" width="8.85546875" style="143" customWidth="1"/>
    <col min="3834" max="3834" width="11" style="143" customWidth="1"/>
    <col min="3835" max="3835" width="9.85546875" style="143" customWidth="1"/>
    <col min="3836" max="4067" width="8.7109375" style="143"/>
    <col min="4068" max="4068" width="23.85546875" style="143" customWidth="1"/>
    <col min="4069" max="4069" width="10.85546875" style="143" customWidth="1"/>
    <col min="4070" max="4073" width="8.85546875" style="143" customWidth="1"/>
    <col min="4074" max="4074" width="11" style="143" customWidth="1"/>
    <col min="4075" max="4075" width="10.85546875" style="143" customWidth="1"/>
    <col min="4076" max="4077" width="8.7109375" style="143"/>
    <col min="4078" max="4081" width="8.85546875" style="143" customWidth="1"/>
    <col min="4082" max="4082" width="11.42578125" style="143" customWidth="1"/>
    <col min="4083" max="4085" width="8.7109375" style="143"/>
    <col min="4086" max="4089" width="8.85546875" style="143" customWidth="1"/>
    <col min="4090" max="4090" width="11" style="143" customWidth="1"/>
    <col min="4091" max="4091" width="9.85546875" style="143" customWidth="1"/>
    <col min="4092" max="4323" width="8.7109375" style="143"/>
    <col min="4324" max="4324" width="23.85546875" style="143" customWidth="1"/>
    <col min="4325" max="4325" width="10.85546875" style="143" customWidth="1"/>
    <col min="4326" max="4329" width="8.85546875" style="143" customWidth="1"/>
    <col min="4330" max="4330" width="11" style="143" customWidth="1"/>
    <col min="4331" max="4331" width="10.85546875" style="143" customWidth="1"/>
    <col min="4332" max="4333" width="8.7109375" style="143"/>
    <col min="4334" max="4337" width="8.85546875" style="143" customWidth="1"/>
    <col min="4338" max="4338" width="11.42578125" style="143" customWidth="1"/>
    <col min="4339" max="4341" width="8.7109375" style="143"/>
    <col min="4342" max="4345" width="8.85546875" style="143" customWidth="1"/>
    <col min="4346" max="4346" width="11" style="143" customWidth="1"/>
    <col min="4347" max="4347" width="9.85546875" style="143" customWidth="1"/>
    <col min="4348" max="4579" width="8.7109375" style="143"/>
    <col min="4580" max="4580" width="23.85546875" style="143" customWidth="1"/>
    <col min="4581" max="4581" width="10.85546875" style="143" customWidth="1"/>
    <col min="4582" max="4585" width="8.85546875" style="143" customWidth="1"/>
    <col min="4586" max="4586" width="11" style="143" customWidth="1"/>
    <col min="4587" max="4587" width="10.85546875" style="143" customWidth="1"/>
    <col min="4588" max="4589" width="8.7109375" style="143"/>
    <col min="4590" max="4593" width="8.85546875" style="143" customWidth="1"/>
    <col min="4594" max="4594" width="11.42578125" style="143" customWidth="1"/>
    <col min="4595" max="4597" width="8.7109375" style="143"/>
    <col min="4598" max="4601" width="8.85546875" style="143" customWidth="1"/>
    <col min="4602" max="4602" width="11" style="143" customWidth="1"/>
    <col min="4603" max="4603" width="9.85546875" style="143" customWidth="1"/>
    <col min="4604" max="4835" width="8.7109375" style="143"/>
    <col min="4836" max="4836" width="23.85546875" style="143" customWidth="1"/>
    <col min="4837" max="4837" width="10.85546875" style="143" customWidth="1"/>
    <col min="4838" max="4841" width="8.85546875" style="143" customWidth="1"/>
    <col min="4842" max="4842" width="11" style="143" customWidth="1"/>
    <col min="4843" max="4843" width="10.85546875" style="143" customWidth="1"/>
    <col min="4844" max="4845" width="8.7109375" style="143"/>
    <col min="4846" max="4849" width="8.85546875" style="143" customWidth="1"/>
    <col min="4850" max="4850" width="11.42578125" style="143" customWidth="1"/>
    <col min="4851" max="4853" width="8.7109375" style="143"/>
    <col min="4854" max="4857" width="8.85546875" style="143" customWidth="1"/>
    <col min="4858" max="4858" width="11" style="143" customWidth="1"/>
    <col min="4859" max="4859" width="9.85546875" style="143" customWidth="1"/>
    <col min="4860" max="5091" width="8.7109375" style="143"/>
    <col min="5092" max="5092" width="23.85546875" style="143" customWidth="1"/>
    <col min="5093" max="5093" width="10.85546875" style="143" customWidth="1"/>
    <col min="5094" max="5097" width="8.85546875" style="143" customWidth="1"/>
    <col min="5098" max="5098" width="11" style="143" customWidth="1"/>
    <col min="5099" max="5099" width="10.85546875" style="143" customWidth="1"/>
    <col min="5100" max="5101" width="8.7109375" style="143"/>
    <col min="5102" max="5105" width="8.85546875" style="143" customWidth="1"/>
    <col min="5106" max="5106" width="11.42578125" style="143" customWidth="1"/>
    <col min="5107" max="5109" width="8.7109375" style="143"/>
    <col min="5110" max="5113" width="8.85546875" style="143" customWidth="1"/>
    <col min="5114" max="5114" width="11" style="143" customWidth="1"/>
    <col min="5115" max="5115" width="9.85546875" style="143" customWidth="1"/>
    <col min="5116" max="5347" width="8.7109375" style="143"/>
    <col min="5348" max="5348" width="23.85546875" style="143" customWidth="1"/>
    <col min="5349" max="5349" width="10.85546875" style="143" customWidth="1"/>
    <col min="5350" max="5353" width="8.85546875" style="143" customWidth="1"/>
    <col min="5354" max="5354" width="11" style="143" customWidth="1"/>
    <col min="5355" max="5355" width="10.85546875" style="143" customWidth="1"/>
    <col min="5356" max="5357" width="8.7109375" style="143"/>
    <col min="5358" max="5361" width="8.85546875" style="143" customWidth="1"/>
    <col min="5362" max="5362" width="11.42578125" style="143" customWidth="1"/>
    <col min="5363" max="5365" width="8.7109375" style="143"/>
    <col min="5366" max="5369" width="8.85546875" style="143" customWidth="1"/>
    <col min="5370" max="5370" width="11" style="143" customWidth="1"/>
    <col min="5371" max="5371" width="9.85546875" style="143" customWidth="1"/>
    <col min="5372" max="5603" width="8.7109375" style="143"/>
    <col min="5604" max="5604" width="23.85546875" style="143" customWidth="1"/>
    <col min="5605" max="5605" width="10.85546875" style="143" customWidth="1"/>
    <col min="5606" max="5609" width="8.85546875" style="143" customWidth="1"/>
    <col min="5610" max="5610" width="11" style="143" customWidth="1"/>
    <col min="5611" max="5611" width="10.85546875" style="143" customWidth="1"/>
    <col min="5612" max="5613" width="8.7109375" style="143"/>
    <col min="5614" max="5617" width="8.85546875" style="143" customWidth="1"/>
    <col min="5618" max="5618" width="11.42578125" style="143" customWidth="1"/>
    <col min="5619" max="5621" width="8.7109375" style="143"/>
    <col min="5622" max="5625" width="8.85546875" style="143" customWidth="1"/>
    <col min="5626" max="5626" width="11" style="143" customWidth="1"/>
    <col min="5627" max="5627" width="9.85546875" style="143" customWidth="1"/>
    <col min="5628" max="5859" width="8.7109375" style="143"/>
    <col min="5860" max="5860" width="23.85546875" style="143" customWidth="1"/>
    <col min="5861" max="5861" width="10.85546875" style="143" customWidth="1"/>
    <col min="5862" max="5865" width="8.85546875" style="143" customWidth="1"/>
    <col min="5866" max="5866" width="11" style="143" customWidth="1"/>
    <col min="5867" max="5867" width="10.85546875" style="143" customWidth="1"/>
    <col min="5868" max="5869" width="8.7109375" style="143"/>
    <col min="5870" max="5873" width="8.85546875" style="143" customWidth="1"/>
    <col min="5874" max="5874" width="11.42578125" style="143" customWidth="1"/>
    <col min="5875" max="5877" width="8.7109375" style="143"/>
    <col min="5878" max="5881" width="8.85546875" style="143" customWidth="1"/>
    <col min="5882" max="5882" width="11" style="143" customWidth="1"/>
    <col min="5883" max="5883" width="9.85546875" style="143" customWidth="1"/>
    <col min="5884" max="6115" width="8.7109375" style="143"/>
    <col min="6116" max="6116" width="23.85546875" style="143" customWidth="1"/>
    <col min="6117" max="6117" width="10.85546875" style="143" customWidth="1"/>
    <col min="6118" max="6121" width="8.85546875" style="143" customWidth="1"/>
    <col min="6122" max="6122" width="11" style="143" customWidth="1"/>
    <col min="6123" max="6123" width="10.85546875" style="143" customWidth="1"/>
    <col min="6124" max="6125" width="8.7109375" style="143"/>
    <col min="6126" max="6129" width="8.85546875" style="143" customWidth="1"/>
    <col min="6130" max="6130" width="11.42578125" style="143" customWidth="1"/>
    <col min="6131" max="6133" width="8.7109375" style="143"/>
    <col min="6134" max="6137" width="8.85546875" style="143" customWidth="1"/>
    <col min="6138" max="6138" width="11" style="143" customWidth="1"/>
    <col min="6139" max="6139" width="9.85546875" style="143" customWidth="1"/>
    <col min="6140" max="6371" width="8.7109375" style="143"/>
    <col min="6372" max="6372" width="23.85546875" style="143" customWidth="1"/>
    <col min="6373" max="6373" width="10.85546875" style="143" customWidth="1"/>
    <col min="6374" max="6377" width="8.85546875" style="143" customWidth="1"/>
    <col min="6378" max="6378" width="11" style="143" customWidth="1"/>
    <col min="6379" max="6379" width="10.85546875" style="143" customWidth="1"/>
    <col min="6380" max="6381" width="8.7109375" style="143"/>
    <col min="6382" max="6385" width="8.85546875" style="143" customWidth="1"/>
    <col min="6386" max="6386" width="11.42578125" style="143" customWidth="1"/>
    <col min="6387" max="6389" width="8.7109375" style="143"/>
    <col min="6390" max="6393" width="8.85546875" style="143" customWidth="1"/>
    <col min="6394" max="6394" width="11" style="143" customWidth="1"/>
    <col min="6395" max="6395" width="9.85546875" style="143" customWidth="1"/>
    <col min="6396" max="6627" width="8.7109375" style="143"/>
    <col min="6628" max="6628" width="23.85546875" style="143" customWidth="1"/>
    <col min="6629" max="6629" width="10.85546875" style="143" customWidth="1"/>
    <col min="6630" max="6633" width="8.85546875" style="143" customWidth="1"/>
    <col min="6634" max="6634" width="11" style="143" customWidth="1"/>
    <col min="6635" max="6635" width="10.85546875" style="143" customWidth="1"/>
    <col min="6636" max="6637" width="8.7109375" style="143"/>
    <col min="6638" max="6641" width="8.85546875" style="143" customWidth="1"/>
    <col min="6642" max="6642" width="11.42578125" style="143" customWidth="1"/>
    <col min="6643" max="6645" width="8.7109375" style="143"/>
    <col min="6646" max="6649" width="8.85546875" style="143" customWidth="1"/>
    <col min="6650" max="6650" width="11" style="143" customWidth="1"/>
    <col min="6651" max="6651" width="9.85546875" style="143" customWidth="1"/>
    <col min="6652" max="6883" width="8.7109375" style="143"/>
    <col min="6884" max="6884" width="23.85546875" style="143" customWidth="1"/>
    <col min="6885" max="6885" width="10.85546875" style="143" customWidth="1"/>
    <col min="6886" max="6889" width="8.85546875" style="143" customWidth="1"/>
    <col min="6890" max="6890" width="11" style="143" customWidth="1"/>
    <col min="6891" max="6891" width="10.85546875" style="143" customWidth="1"/>
    <col min="6892" max="6893" width="8.7109375" style="143"/>
    <col min="6894" max="6897" width="8.85546875" style="143" customWidth="1"/>
    <col min="6898" max="6898" width="11.42578125" style="143" customWidth="1"/>
    <col min="6899" max="6901" width="8.7109375" style="143"/>
    <col min="6902" max="6905" width="8.85546875" style="143" customWidth="1"/>
    <col min="6906" max="6906" width="11" style="143" customWidth="1"/>
    <col min="6907" max="6907" width="9.85546875" style="143" customWidth="1"/>
    <col min="6908" max="7139" width="8.7109375" style="143"/>
    <col min="7140" max="7140" width="23.85546875" style="143" customWidth="1"/>
    <col min="7141" max="7141" width="10.85546875" style="143" customWidth="1"/>
    <col min="7142" max="7145" width="8.85546875" style="143" customWidth="1"/>
    <col min="7146" max="7146" width="11" style="143" customWidth="1"/>
    <col min="7147" max="7147" width="10.85546875" style="143" customWidth="1"/>
    <col min="7148" max="7149" width="8.7109375" style="143"/>
    <col min="7150" max="7153" width="8.85546875" style="143" customWidth="1"/>
    <col min="7154" max="7154" width="11.42578125" style="143" customWidth="1"/>
    <col min="7155" max="7157" width="8.7109375" style="143"/>
    <col min="7158" max="7161" width="8.85546875" style="143" customWidth="1"/>
    <col min="7162" max="7162" width="11" style="143" customWidth="1"/>
    <col min="7163" max="7163" width="9.85546875" style="143" customWidth="1"/>
    <col min="7164" max="7395" width="8.7109375" style="143"/>
    <col min="7396" max="7396" width="23.85546875" style="143" customWidth="1"/>
    <col min="7397" max="7397" width="10.85546875" style="143" customWidth="1"/>
    <col min="7398" max="7401" width="8.85546875" style="143" customWidth="1"/>
    <col min="7402" max="7402" width="11" style="143" customWidth="1"/>
    <col min="7403" max="7403" width="10.85546875" style="143" customWidth="1"/>
    <col min="7404" max="7405" width="8.7109375" style="143"/>
    <col min="7406" max="7409" width="8.85546875" style="143" customWidth="1"/>
    <col min="7410" max="7410" width="11.42578125" style="143" customWidth="1"/>
    <col min="7411" max="7413" width="8.7109375" style="143"/>
    <col min="7414" max="7417" width="8.85546875" style="143" customWidth="1"/>
    <col min="7418" max="7418" width="11" style="143" customWidth="1"/>
    <col min="7419" max="7419" width="9.85546875" style="143" customWidth="1"/>
    <col min="7420" max="7651" width="8.7109375" style="143"/>
    <col min="7652" max="7652" width="23.85546875" style="143" customWidth="1"/>
    <col min="7653" max="7653" width="10.85546875" style="143" customWidth="1"/>
    <col min="7654" max="7657" width="8.85546875" style="143" customWidth="1"/>
    <col min="7658" max="7658" width="11" style="143" customWidth="1"/>
    <col min="7659" max="7659" width="10.85546875" style="143" customWidth="1"/>
    <col min="7660" max="7661" width="8.7109375" style="143"/>
    <col min="7662" max="7665" width="8.85546875" style="143" customWidth="1"/>
    <col min="7666" max="7666" width="11.42578125" style="143" customWidth="1"/>
    <col min="7667" max="7669" width="8.7109375" style="143"/>
    <col min="7670" max="7673" width="8.85546875" style="143" customWidth="1"/>
    <col min="7674" max="7674" width="11" style="143" customWidth="1"/>
    <col min="7675" max="7675" width="9.85546875" style="143" customWidth="1"/>
    <col min="7676" max="7907" width="8.7109375" style="143"/>
    <col min="7908" max="7908" width="23.85546875" style="143" customWidth="1"/>
    <col min="7909" max="7909" width="10.85546875" style="143" customWidth="1"/>
    <col min="7910" max="7913" width="8.85546875" style="143" customWidth="1"/>
    <col min="7914" max="7914" width="11" style="143" customWidth="1"/>
    <col min="7915" max="7915" width="10.85546875" style="143" customWidth="1"/>
    <col min="7916" max="7917" width="8.7109375" style="143"/>
    <col min="7918" max="7921" width="8.85546875" style="143" customWidth="1"/>
    <col min="7922" max="7922" width="11.42578125" style="143" customWidth="1"/>
    <col min="7923" max="7925" width="8.7109375" style="143"/>
    <col min="7926" max="7929" width="8.85546875" style="143" customWidth="1"/>
    <col min="7930" max="7930" width="11" style="143" customWidth="1"/>
    <col min="7931" max="7931" width="9.85546875" style="143" customWidth="1"/>
    <col min="7932" max="8163" width="8.7109375" style="143"/>
    <col min="8164" max="8164" width="23.85546875" style="143" customWidth="1"/>
    <col min="8165" max="8165" width="10.85546875" style="143" customWidth="1"/>
    <col min="8166" max="8169" width="8.85546875" style="143" customWidth="1"/>
    <col min="8170" max="8170" width="11" style="143" customWidth="1"/>
    <col min="8171" max="8171" width="10.85546875" style="143" customWidth="1"/>
    <col min="8172" max="8173" width="8.7109375" style="143"/>
    <col min="8174" max="8177" width="8.85546875" style="143" customWidth="1"/>
    <col min="8178" max="8178" width="11.42578125" style="143" customWidth="1"/>
    <col min="8179" max="8181" width="8.7109375" style="143"/>
    <col min="8182" max="8185" width="8.85546875" style="143" customWidth="1"/>
    <col min="8186" max="8186" width="11" style="143" customWidth="1"/>
    <col min="8187" max="8187" width="9.85546875" style="143" customWidth="1"/>
    <col min="8188" max="8419" width="8.7109375" style="143"/>
    <col min="8420" max="8420" width="23.85546875" style="143" customWidth="1"/>
    <col min="8421" max="8421" width="10.85546875" style="143" customWidth="1"/>
    <col min="8422" max="8425" width="8.85546875" style="143" customWidth="1"/>
    <col min="8426" max="8426" width="11" style="143" customWidth="1"/>
    <col min="8427" max="8427" width="10.85546875" style="143" customWidth="1"/>
    <col min="8428" max="8429" width="8.7109375" style="143"/>
    <col min="8430" max="8433" width="8.85546875" style="143" customWidth="1"/>
    <col min="8434" max="8434" width="11.42578125" style="143" customWidth="1"/>
    <col min="8435" max="8437" width="8.7109375" style="143"/>
    <col min="8438" max="8441" width="8.85546875" style="143" customWidth="1"/>
    <col min="8442" max="8442" width="11" style="143" customWidth="1"/>
    <col min="8443" max="8443" width="9.85546875" style="143" customWidth="1"/>
    <col min="8444" max="8675" width="8.7109375" style="143"/>
    <col min="8676" max="8676" width="23.85546875" style="143" customWidth="1"/>
    <col min="8677" max="8677" width="10.85546875" style="143" customWidth="1"/>
    <col min="8678" max="8681" width="8.85546875" style="143" customWidth="1"/>
    <col min="8682" max="8682" width="11" style="143" customWidth="1"/>
    <col min="8683" max="8683" width="10.85546875" style="143" customWidth="1"/>
    <col min="8684" max="8685" width="8.7109375" style="143"/>
    <col min="8686" max="8689" width="8.85546875" style="143" customWidth="1"/>
    <col min="8690" max="8690" width="11.42578125" style="143" customWidth="1"/>
    <col min="8691" max="8693" width="8.7109375" style="143"/>
    <col min="8694" max="8697" width="8.85546875" style="143" customWidth="1"/>
    <col min="8698" max="8698" width="11" style="143" customWidth="1"/>
    <col min="8699" max="8699" width="9.85546875" style="143" customWidth="1"/>
    <col min="8700" max="8931" width="8.7109375" style="143"/>
    <col min="8932" max="8932" width="23.85546875" style="143" customWidth="1"/>
    <col min="8933" max="8933" width="10.85546875" style="143" customWidth="1"/>
    <col min="8934" max="8937" width="8.85546875" style="143" customWidth="1"/>
    <col min="8938" max="8938" width="11" style="143" customWidth="1"/>
    <col min="8939" max="8939" width="10.85546875" style="143" customWidth="1"/>
    <col min="8940" max="8941" width="8.7109375" style="143"/>
    <col min="8942" max="8945" width="8.85546875" style="143" customWidth="1"/>
    <col min="8946" max="8946" width="11.42578125" style="143" customWidth="1"/>
    <col min="8947" max="8949" width="8.7109375" style="143"/>
    <col min="8950" max="8953" width="8.85546875" style="143" customWidth="1"/>
    <col min="8954" max="8954" width="11" style="143" customWidth="1"/>
    <col min="8955" max="8955" width="9.85546875" style="143" customWidth="1"/>
    <col min="8956" max="9187" width="8.7109375" style="143"/>
    <col min="9188" max="9188" width="23.85546875" style="143" customWidth="1"/>
    <col min="9189" max="9189" width="10.85546875" style="143" customWidth="1"/>
    <col min="9190" max="9193" width="8.85546875" style="143" customWidth="1"/>
    <col min="9194" max="9194" width="11" style="143" customWidth="1"/>
    <col min="9195" max="9195" width="10.85546875" style="143" customWidth="1"/>
    <col min="9196" max="9197" width="8.7109375" style="143"/>
    <col min="9198" max="9201" width="8.85546875" style="143" customWidth="1"/>
    <col min="9202" max="9202" width="11.42578125" style="143" customWidth="1"/>
    <col min="9203" max="9205" width="8.7109375" style="143"/>
    <col min="9206" max="9209" width="8.85546875" style="143" customWidth="1"/>
    <col min="9210" max="9210" width="11" style="143" customWidth="1"/>
    <col min="9211" max="9211" width="9.85546875" style="143" customWidth="1"/>
    <col min="9212" max="9443" width="8.7109375" style="143"/>
    <col min="9444" max="9444" width="23.85546875" style="143" customWidth="1"/>
    <col min="9445" max="9445" width="10.85546875" style="143" customWidth="1"/>
    <col min="9446" max="9449" width="8.85546875" style="143" customWidth="1"/>
    <col min="9450" max="9450" width="11" style="143" customWidth="1"/>
    <col min="9451" max="9451" width="10.85546875" style="143" customWidth="1"/>
    <col min="9452" max="9453" width="8.7109375" style="143"/>
    <col min="9454" max="9457" width="8.85546875" style="143" customWidth="1"/>
    <col min="9458" max="9458" width="11.42578125" style="143" customWidth="1"/>
    <col min="9459" max="9461" width="8.7109375" style="143"/>
    <col min="9462" max="9465" width="8.85546875" style="143" customWidth="1"/>
    <col min="9466" max="9466" width="11" style="143" customWidth="1"/>
    <col min="9467" max="9467" width="9.85546875" style="143" customWidth="1"/>
    <col min="9468" max="9699" width="8.7109375" style="143"/>
    <col min="9700" max="9700" width="23.85546875" style="143" customWidth="1"/>
    <col min="9701" max="9701" width="10.85546875" style="143" customWidth="1"/>
    <col min="9702" max="9705" width="8.85546875" style="143" customWidth="1"/>
    <col min="9706" max="9706" width="11" style="143" customWidth="1"/>
    <col min="9707" max="9707" width="10.85546875" style="143" customWidth="1"/>
    <col min="9708" max="9709" width="8.7109375" style="143"/>
    <col min="9710" max="9713" width="8.85546875" style="143" customWidth="1"/>
    <col min="9714" max="9714" width="11.42578125" style="143" customWidth="1"/>
    <col min="9715" max="9717" width="8.7109375" style="143"/>
    <col min="9718" max="9721" width="8.85546875" style="143" customWidth="1"/>
    <col min="9722" max="9722" width="11" style="143" customWidth="1"/>
    <col min="9723" max="9723" width="9.85546875" style="143" customWidth="1"/>
    <col min="9724" max="9955" width="8.7109375" style="143"/>
    <col min="9956" max="9956" width="23.85546875" style="143" customWidth="1"/>
    <col min="9957" max="9957" width="10.85546875" style="143" customWidth="1"/>
    <col min="9958" max="9961" width="8.85546875" style="143" customWidth="1"/>
    <col min="9962" max="9962" width="11" style="143" customWidth="1"/>
    <col min="9963" max="9963" width="10.85546875" style="143" customWidth="1"/>
    <col min="9964" max="9965" width="8.7109375" style="143"/>
    <col min="9966" max="9969" width="8.85546875" style="143" customWidth="1"/>
    <col min="9970" max="9970" width="11.42578125" style="143" customWidth="1"/>
    <col min="9971" max="9973" width="8.7109375" style="143"/>
    <col min="9974" max="9977" width="8.85546875" style="143" customWidth="1"/>
    <col min="9978" max="9978" width="11" style="143" customWidth="1"/>
    <col min="9979" max="9979" width="9.85546875" style="143" customWidth="1"/>
    <col min="9980" max="10211" width="8.7109375" style="143"/>
    <col min="10212" max="10212" width="23.85546875" style="143" customWidth="1"/>
    <col min="10213" max="10213" width="10.85546875" style="143" customWidth="1"/>
    <col min="10214" max="10217" width="8.85546875" style="143" customWidth="1"/>
    <col min="10218" max="10218" width="11" style="143" customWidth="1"/>
    <col min="10219" max="10219" width="10.85546875" style="143" customWidth="1"/>
    <col min="10220" max="10221" width="8.7109375" style="143"/>
    <col min="10222" max="10225" width="8.85546875" style="143" customWidth="1"/>
    <col min="10226" max="10226" width="11.42578125" style="143" customWidth="1"/>
    <col min="10227" max="10229" width="8.7109375" style="143"/>
    <col min="10230" max="10233" width="8.85546875" style="143" customWidth="1"/>
    <col min="10234" max="10234" width="11" style="143" customWidth="1"/>
    <col min="10235" max="10235" width="9.85546875" style="143" customWidth="1"/>
    <col min="10236" max="10467" width="8.7109375" style="143"/>
    <col min="10468" max="10468" width="23.85546875" style="143" customWidth="1"/>
    <col min="10469" max="10469" width="10.85546875" style="143" customWidth="1"/>
    <col min="10470" max="10473" width="8.85546875" style="143" customWidth="1"/>
    <col min="10474" max="10474" width="11" style="143" customWidth="1"/>
    <col min="10475" max="10475" width="10.85546875" style="143" customWidth="1"/>
    <col min="10476" max="10477" width="8.7109375" style="143"/>
    <col min="10478" max="10481" width="8.85546875" style="143" customWidth="1"/>
    <col min="10482" max="10482" width="11.42578125" style="143" customWidth="1"/>
    <col min="10483" max="10485" width="8.7109375" style="143"/>
    <col min="10486" max="10489" width="8.85546875" style="143" customWidth="1"/>
    <col min="10490" max="10490" width="11" style="143" customWidth="1"/>
    <col min="10491" max="10491" width="9.85546875" style="143" customWidth="1"/>
    <col min="10492" max="10723" width="8.7109375" style="143"/>
    <col min="10724" max="10724" width="23.85546875" style="143" customWidth="1"/>
    <col min="10725" max="10725" width="10.85546875" style="143" customWidth="1"/>
    <col min="10726" max="10729" width="8.85546875" style="143" customWidth="1"/>
    <col min="10730" max="10730" width="11" style="143" customWidth="1"/>
    <col min="10731" max="10731" width="10.85546875" style="143" customWidth="1"/>
    <col min="10732" max="10733" width="8.7109375" style="143"/>
    <col min="10734" max="10737" width="8.85546875" style="143" customWidth="1"/>
    <col min="10738" max="10738" width="11.42578125" style="143" customWidth="1"/>
    <col min="10739" max="10741" width="8.7109375" style="143"/>
    <col min="10742" max="10745" width="8.85546875" style="143" customWidth="1"/>
    <col min="10746" max="10746" width="11" style="143" customWidth="1"/>
    <col min="10747" max="10747" width="9.85546875" style="143" customWidth="1"/>
    <col min="10748" max="10979" width="8.7109375" style="143"/>
    <col min="10980" max="10980" width="23.85546875" style="143" customWidth="1"/>
    <col min="10981" max="10981" width="10.85546875" style="143" customWidth="1"/>
    <col min="10982" max="10985" width="8.85546875" style="143" customWidth="1"/>
    <col min="10986" max="10986" width="11" style="143" customWidth="1"/>
    <col min="10987" max="10987" width="10.85546875" style="143" customWidth="1"/>
    <col min="10988" max="10989" width="8.7109375" style="143"/>
    <col min="10990" max="10993" width="8.85546875" style="143" customWidth="1"/>
    <col min="10994" max="10994" width="11.42578125" style="143" customWidth="1"/>
    <col min="10995" max="10997" width="8.7109375" style="143"/>
    <col min="10998" max="11001" width="8.85546875" style="143" customWidth="1"/>
    <col min="11002" max="11002" width="11" style="143" customWidth="1"/>
    <col min="11003" max="11003" width="9.85546875" style="143" customWidth="1"/>
    <col min="11004" max="11235" width="8.7109375" style="143"/>
    <col min="11236" max="11236" width="23.85546875" style="143" customWidth="1"/>
    <col min="11237" max="11237" width="10.85546875" style="143" customWidth="1"/>
    <col min="11238" max="11241" width="8.85546875" style="143" customWidth="1"/>
    <col min="11242" max="11242" width="11" style="143" customWidth="1"/>
    <col min="11243" max="11243" width="10.85546875" style="143" customWidth="1"/>
    <col min="11244" max="11245" width="8.7109375" style="143"/>
    <col min="11246" max="11249" width="8.85546875" style="143" customWidth="1"/>
    <col min="11250" max="11250" width="11.42578125" style="143" customWidth="1"/>
    <col min="11251" max="11253" width="8.7109375" style="143"/>
    <col min="11254" max="11257" width="8.85546875" style="143" customWidth="1"/>
    <col min="11258" max="11258" width="11" style="143" customWidth="1"/>
    <col min="11259" max="11259" width="9.85546875" style="143" customWidth="1"/>
    <col min="11260" max="11491" width="8.7109375" style="143"/>
    <col min="11492" max="11492" width="23.85546875" style="143" customWidth="1"/>
    <col min="11493" max="11493" width="10.85546875" style="143" customWidth="1"/>
    <col min="11494" max="11497" width="8.85546875" style="143" customWidth="1"/>
    <col min="11498" max="11498" width="11" style="143" customWidth="1"/>
    <col min="11499" max="11499" width="10.85546875" style="143" customWidth="1"/>
    <col min="11500" max="11501" width="8.7109375" style="143"/>
    <col min="11502" max="11505" width="8.85546875" style="143" customWidth="1"/>
    <col min="11506" max="11506" width="11.42578125" style="143" customWidth="1"/>
    <col min="11507" max="11509" width="8.7109375" style="143"/>
    <col min="11510" max="11513" width="8.85546875" style="143" customWidth="1"/>
    <col min="11514" max="11514" width="11" style="143" customWidth="1"/>
    <col min="11515" max="11515" width="9.85546875" style="143" customWidth="1"/>
    <col min="11516" max="11747" width="8.7109375" style="143"/>
    <col min="11748" max="11748" width="23.85546875" style="143" customWidth="1"/>
    <col min="11749" max="11749" width="10.85546875" style="143" customWidth="1"/>
    <col min="11750" max="11753" width="8.85546875" style="143" customWidth="1"/>
    <col min="11754" max="11754" width="11" style="143" customWidth="1"/>
    <col min="11755" max="11755" width="10.85546875" style="143" customWidth="1"/>
    <col min="11756" max="11757" width="8.7109375" style="143"/>
    <col min="11758" max="11761" width="8.85546875" style="143" customWidth="1"/>
    <col min="11762" max="11762" width="11.42578125" style="143" customWidth="1"/>
    <col min="11763" max="11765" width="8.7109375" style="143"/>
    <col min="11766" max="11769" width="8.85546875" style="143" customWidth="1"/>
    <col min="11770" max="11770" width="11" style="143" customWidth="1"/>
    <col min="11771" max="11771" width="9.85546875" style="143" customWidth="1"/>
    <col min="11772" max="12003" width="8.7109375" style="143"/>
    <col min="12004" max="12004" width="23.85546875" style="143" customWidth="1"/>
    <col min="12005" max="12005" width="10.85546875" style="143" customWidth="1"/>
    <col min="12006" max="12009" width="8.85546875" style="143" customWidth="1"/>
    <col min="12010" max="12010" width="11" style="143" customWidth="1"/>
    <col min="12011" max="12011" width="10.85546875" style="143" customWidth="1"/>
    <col min="12012" max="12013" width="8.7109375" style="143"/>
    <col min="12014" max="12017" width="8.85546875" style="143" customWidth="1"/>
    <col min="12018" max="12018" width="11.42578125" style="143" customWidth="1"/>
    <col min="12019" max="12021" width="8.7109375" style="143"/>
    <col min="12022" max="12025" width="8.85546875" style="143" customWidth="1"/>
    <col min="12026" max="12026" width="11" style="143" customWidth="1"/>
    <col min="12027" max="12027" width="9.85546875" style="143" customWidth="1"/>
    <col min="12028" max="12259" width="8.7109375" style="143"/>
    <col min="12260" max="12260" width="23.85546875" style="143" customWidth="1"/>
    <col min="12261" max="12261" width="10.85546875" style="143" customWidth="1"/>
    <col min="12262" max="12265" width="8.85546875" style="143" customWidth="1"/>
    <col min="12266" max="12266" width="11" style="143" customWidth="1"/>
    <col min="12267" max="12267" width="10.85546875" style="143" customWidth="1"/>
    <col min="12268" max="12269" width="8.7109375" style="143"/>
    <col min="12270" max="12273" width="8.85546875" style="143" customWidth="1"/>
    <col min="12274" max="12274" width="11.42578125" style="143" customWidth="1"/>
    <col min="12275" max="12277" width="8.7109375" style="143"/>
    <col min="12278" max="12281" width="8.85546875" style="143" customWidth="1"/>
    <col min="12282" max="12282" width="11" style="143" customWidth="1"/>
    <col min="12283" max="12283" width="9.85546875" style="143" customWidth="1"/>
    <col min="12284" max="12515" width="8.7109375" style="143"/>
    <col min="12516" max="12516" width="23.85546875" style="143" customWidth="1"/>
    <col min="12517" max="12517" width="10.85546875" style="143" customWidth="1"/>
    <col min="12518" max="12521" width="8.85546875" style="143" customWidth="1"/>
    <col min="12522" max="12522" width="11" style="143" customWidth="1"/>
    <col min="12523" max="12523" width="10.85546875" style="143" customWidth="1"/>
    <col min="12524" max="12525" width="8.7109375" style="143"/>
    <col min="12526" max="12529" width="8.85546875" style="143" customWidth="1"/>
    <col min="12530" max="12530" width="11.42578125" style="143" customWidth="1"/>
    <col min="12531" max="12533" width="8.7109375" style="143"/>
    <col min="12534" max="12537" width="8.85546875" style="143" customWidth="1"/>
    <col min="12538" max="12538" width="11" style="143" customWidth="1"/>
    <col min="12539" max="12539" width="9.85546875" style="143" customWidth="1"/>
    <col min="12540" max="12771" width="8.7109375" style="143"/>
    <col min="12772" max="12772" width="23.85546875" style="143" customWidth="1"/>
    <col min="12773" max="12773" width="10.85546875" style="143" customWidth="1"/>
    <col min="12774" max="12777" width="8.85546875" style="143" customWidth="1"/>
    <col min="12778" max="12778" width="11" style="143" customWidth="1"/>
    <col min="12779" max="12779" width="10.85546875" style="143" customWidth="1"/>
    <col min="12780" max="12781" width="8.7109375" style="143"/>
    <col min="12782" max="12785" width="8.85546875" style="143" customWidth="1"/>
    <col min="12786" max="12786" width="11.42578125" style="143" customWidth="1"/>
    <col min="12787" max="12789" width="8.7109375" style="143"/>
    <col min="12790" max="12793" width="8.85546875" style="143" customWidth="1"/>
    <col min="12794" max="12794" width="11" style="143" customWidth="1"/>
    <col min="12795" max="12795" width="9.85546875" style="143" customWidth="1"/>
    <col min="12796" max="13027" width="8.7109375" style="143"/>
    <col min="13028" max="13028" width="23.85546875" style="143" customWidth="1"/>
    <col min="13029" max="13029" width="10.85546875" style="143" customWidth="1"/>
    <col min="13030" max="13033" width="8.85546875" style="143" customWidth="1"/>
    <col min="13034" max="13034" width="11" style="143" customWidth="1"/>
    <col min="13035" max="13035" width="10.85546875" style="143" customWidth="1"/>
    <col min="13036" max="13037" width="8.7109375" style="143"/>
    <col min="13038" max="13041" width="8.85546875" style="143" customWidth="1"/>
    <col min="13042" max="13042" width="11.42578125" style="143" customWidth="1"/>
    <col min="13043" max="13045" width="8.7109375" style="143"/>
    <col min="13046" max="13049" width="8.85546875" style="143" customWidth="1"/>
    <col min="13050" max="13050" width="11" style="143" customWidth="1"/>
    <col min="13051" max="13051" width="9.85546875" style="143" customWidth="1"/>
    <col min="13052" max="13283" width="8.7109375" style="143"/>
    <col min="13284" max="13284" width="23.85546875" style="143" customWidth="1"/>
    <col min="13285" max="13285" width="10.85546875" style="143" customWidth="1"/>
    <col min="13286" max="13289" width="8.85546875" style="143" customWidth="1"/>
    <col min="13290" max="13290" width="11" style="143" customWidth="1"/>
    <col min="13291" max="13291" width="10.85546875" style="143" customWidth="1"/>
    <col min="13292" max="13293" width="8.7109375" style="143"/>
    <col min="13294" max="13297" width="8.85546875" style="143" customWidth="1"/>
    <col min="13298" max="13298" width="11.42578125" style="143" customWidth="1"/>
    <col min="13299" max="13301" width="8.7109375" style="143"/>
    <col min="13302" max="13305" width="8.85546875" style="143" customWidth="1"/>
    <col min="13306" max="13306" width="11" style="143" customWidth="1"/>
    <col min="13307" max="13307" width="9.85546875" style="143" customWidth="1"/>
    <col min="13308" max="13539" width="8.7109375" style="143"/>
    <col min="13540" max="13540" width="23.85546875" style="143" customWidth="1"/>
    <col min="13541" max="13541" width="10.85546875" style="143" customWidth="1"/>
    <col min="13542" max="13545" width="8.85546875" style="143" customWidth="1"/>
    <col min="13546" max="13546" width="11" style="143" customWidth="1"/>
    <col min="13547" max="13547" width="10.85546875" style="143" customWidth="1"/>
    <col min="13548" max="13549" width="8.7109375" style="143"/>
    <col min="13550" max="13553" width="8.85546875" style="143" customWidth="1"/>
    <col min="13554" max="13554" width="11.42578125" style="143" customWidth="1"/>
    <col min="13555" max="13557" width="8.7109375" style="143"/>
    <col min="13558" max="13561" width="8.85546875" style="143" customWidth="1"/>
    <col min="13562" max="13562" width="11" style="143" customWidth="1"/>
    <col min="13563" max="13563" width="9.85546875" style="143" customWidth="1"/>
    <col min="13564" max="13795" width="8.7109375" style="143"/>
    <col min="13796" max="13796" width="23.85546875" style="143" customWidth="1"/>
    <col min="13797" max="13797" width="10.85546875" style="143" customWidth="1"/>
    <col min="13798" max="13801" width="8.85546875" style="143" customWidth="1"/>
    <col min="13802" max="13802" width="11" style="143" customWidth="1"/>
    <col min="13803" max="13803" width="10.85546875" style="143" customWidth="1"/>
    <col min="13804" max="13805" width="8.7109375" style="143"/>
    <col min="13806" max="13809" width="8.85546875" style="143" customWidth="1"/>
    <col min="13810" max="13810" width="11.42578125" style="143" customWidth="1"/>
    <col min="13811" max="13813" width="8.7109375" style="143"/>
    <col min="13814" max="13817" width="8.85546875" style="143" customWidth="1"/>
    <col min="13818" max="13818" width="11" style="143" customWidth="1"/>
    <col min="13819" max="13819" width="9.85546875" style="143" customWidth="1"/>
    <col min="13820" max="14051" width="8.7109375" style="143"/>
    <col min="14052" max="14052" width="23.85546875" style="143" customWidth="1"/>
    <col min="14053" max="14053" width="10.85546875" style="143" customWidth="1"/>
    <col min="14054" max="14057" width="8.85546875" style="143" customWidth="1"/>
    <col min="14058" max="14058" width="11" style="143" customWidth="1"/>
    <col min="14059" max="14059" width="10.85546875" style="143" customWidth="1"/>
    <col min="14060" max="14061" width="8.7109375" style="143"/>
    <col min="14062" max="14065" width="8.85546875" style="143" customWidth="1"/>
    <col min="14066" max="14066" width="11.42578125" style="143" customWidth="1"/>
    <col min="14067" max="14069" width="8.7109375" style="143"/>
    <col min="14070" max="14073" width="8.85546875" style="143" customWidth="1"/>
    <col min="14074" max="14074" width="11" style="143" customWidth="1"/>
    <col min="14075" max="14075" width="9.85546875" style="143" customWidth="1"/>
    <col min="14076" max="14307" width="8.7109375" style="143"/>
    <col min="14308" max="14308" width="23.85546875" style="143" customWidth="1"/>
    <col min="14309" max="14309" width="10.85546875" style="143" customWidth="1"/>
    <col min="14310" max="14313" width="8.85546875" style="143" customWidth="1"/>
    <col min="14314" max="14314" width="11" style="143" customWidth="1"/>
    <col min="14315" max="14315" width="10.85546875" style="143" customWidth="1"/>
    <col min="14316" max="14317" width="8.7109375" style="143"/>
    <col min="14318" max="14321" width="8.85546875" style="143" customWidth="1"/>
    <col min="14322" max="14322" width="11.42578125" style="143" customWidth="1"/>
    <col min="14323" max="14325" width="8.7109375" style="143"/>
    <col min="14326" max="14329" width="8.85546875" style="143" customWidth="1"/>
    <col min="14330" max="14330" width="11" style="143" customWidth="1"/>
    <col min="14331" max="14331" width="9.85546875" style="143" customWidth="1"/>
    <col min="14332" max="14563" width="8.7109375" style="143"/>
    <col min="14564" max="14564" width="23.85546875" style="143" customWidth="1"/>
    <col min="14565" max="14565" width="10.85546875" style="143" customWidth="1"/>
    <col min="14566" max="14569" width="8.85546875" style="143" customWidth="1"/>
    <col min="14570" max="14570" width="11" style="143" customWidth="1"/>
    <col min="14571" max="14571" width="10.85546875" style="143" customWidth="1"/>
    <col min="14572" max="14573" width="8.7109375" style="143"/>
    <col min="14574" max="14577" width="8.85546875" style="143" customWidth="1"/>
    <col min="14578" max="14578" width="11.42578125" style="143" customWidth="1"/>
    <col min="14579" max="14581" width="8.7109375" style="143"/>
    <col min="14582" max="14585" width="8.85546875" style="143" customWidth="1"/>
    <col min="14586" max="14586" width="11" style="143" customWidth="1"/>
    <col min="14587" max="14587" width="9.85546875" style="143" customWidth="1"/>
    <col min="14588" max="14819" width="8.7109375" style="143"/>
    <col min="14820" max="14820" width="23.85546875" style="143" customWidth="1"/>
    <col min="14821" max="14821" width="10.85546875" style="143" customWidth="1"/>
    <col min="14822" max="14825" width="8.85546875" style="143" customWidth="1"/>
    <col min="14826" max="14826" width="11" style="143" customWidth="1"/>
    <col min="14827" max="14827" width="10.85546875" style="143" customWidth="1"/>
    <col min="14828" max="14829" width="8.7109375" style="143"/>
    <col min="14830" max="14833" width="8.85546875" style="143" customWidth="1"/>
    <col min="14834" max="14834" width="11.42578125" style="143" customWidth="1"/>
    <col min="14835" max="14837" width="8.7109375" style="143"/>
    <col min="14838" max="14841" width="8.85546875" style="143" customWidth="1"/>
    <col min="14842" max="14842" width="11" style="143" customWidth="1"/>
    <col min="14843" max="14843" width="9.85546875" style="143" customWidth="1"/>
    <col min="14844" max="15075" width="8.7109375" style="143"/>
    <col min="15076" max="15076" width="23.85546875" style="143" customWidth="1"/>
    <col min="15077" max="15077" width="10.85546875" style="143" customWidth="1"/>
    <col min="15078" max="15081" width="8.85546875" style="143" customWidth="1"/>
    <col min="15082" max="15082" width="11" style="143" customWidth="1"/>
    <col min="15083" max="15083" width="10.85546875" style="143" customWidth="1"/>
    <col min="15084" max="15085" width="8.7109375" style="143"/>
    <col min="15086" max="15089" width="8.85546875" style="143" customWidth="1"/>
    <col min="15090" max="15090" width="11.42578125" style="143" customWidth="1"/>
    <col min="15091" max="15093" width="8.7109375" style="143"/>
    <col min="15094" max="15097" width="8.85546875" style="143" customWidth="1"/>
    <col min="15098" max="15098" width="11" style="143" customWidth="1"/>
    <col min="15099" max="15099" width="9.85546875" style="143" customWidth="1"/>
    <col min="15100" max="15331" width="8.7109375" style="143"/>
    <col min="15332" max="15332" width="23.85546875" style="143" customWidth="1"/>
    <col min="15333" max="15333" width="10.85546875" style="143" customWidth="1"/>
    <col min="15334" max="15337" width="8.85546875" style="143" customWidth="1"/>
    <col min="15338" max="15338" width="11" style="143" customWidth="1"/>
    <col min="15339" max="15339" width="10.85546875" style="143" customWidth="1"/>
    <col min="15340" max="15341" width="8.7109375" style="143"/>
    <col min="15342" max="15345" width="8.85546875" style="143" customWidth="1"/>
    <col min="15346" max="15346" width="11.42578125" style="143" customWidth="1"/>
    <col min="15347" max="15349" width="8.7109375" style="143"/>
    <col min="15350" max="15353" width="8.85546875" style="143" customWidth="1"/>
    <col min="15354" max="15354" width="11" style="143" customWidth="1"/>
    <col min="15355" max="15355" width="9.85546875" style="143" customWidth="1"/>
    <col min="15356" max="15587" width="8.7109375" style="143"/>
    <col min="15588" max="15588" width="23.85546875" style="143" customWidth="1"/>
    <col min="15589" max="15589" width="10.85546875" style="143" customWidth="1"/>
    <col min="15590" max="15593" width="8.85546875" style="143" customWidth="1"/>
    <col min="15594" max="15594" width="11" style="143" customWidth="1"/>
    <col min="15595" max="15595" width="10.85546875" style="143" customWidth="1"/>
    <col min="15596" max="15597" width="8.7109375" style="143"/>
    <col min="15598" max="15601" width="8.85546875" style="143" customWidth="1"/>
    <col min="15602" max="15602" width="11.42578125" style="143" customWidth="1"/>
    <col min="15603" max="15605" width="8.7109375" style="143"/>
    <col min="15606" max="15609" width="8.85546875" style="143" customWidth="1"/>
    <col min="15610" max="15610" width="11" style="143" customWidth="1"/>
    <col min="15611" max="15611" width="9.85546875" style="143" customWidth="1"/>
    <col min="15612" max="15843" width="8.7109375" style="143"/>
    <col min="15844" max="15844" width="23.85546875" style="143" customWidth="1"/>
    <col min="15845" max="15845" width="10.85546875" style="143" customWidth="1"/>
    <col min="15846" max="15849" width="8.85546875" style="143" customWidth="1"/>
    <col min="15850" max="15850" width="11" style="143" customWidth="1"/>
    <col min="15851" max="15851" width="10.85546875" style="143" customWidth="1"/>
    <col min="15852" max="15853" width="8.7109375" style="143"/>
    <col min="15854" max="15857" width="8.85546875" style="143" customWidth="1"/>
    <col min="15858" max="15858" width="11.42578125" style="143" customWidth="1"/>
    <col min="15859" max="15861" width="8.7109375" style="143"/>
    <col min="15862" max="15865" width="8.85546875" style="143" customWidth="1"/>
    <col min="15866" max="15866" width="11" style="143" customWidth="1"/>
    <col min="15867" max="15867" width="9.85546875" style="143" customWidth="1"/>
    <col min="15868" max="16099" width="8.7109375" style="143"/>
    <col min="16100" max="16100" width="23.85546875" style="143" customWidth="1"/>
    <col min="16101" max="16101" width="10.85546875" style="143" customWidth="1"/>
    <col min="16102" max="16105" width="8.85546875" style="143" customWidth="1"/>
    <col min="16106" max="16106" width="11" style="143" customWidth="1"/>
    <col min="16107" max="16107" width="10.85546875" style="143" customWidth="1"/>
    <col min="16108" max="16109" width="8.7109375" style="143"/>
    <col min="16110" max="16113" width="8.85546875" style="143" customWidth="1"/>
    <col min="16114" max="16114" width="11.42578125" style="143" customWidth="1"/>
    <col min="16115" max="16117" width="8.7109375" style="143"/>
    <col min="16118" max="16121" width="8.85546875" style="143" customWidth="1"/>
    <col min="16122" max="16122" width="11" style="143" customWidth="1"/>
    <col min="16123" max="16123" width="9.85546875" style="143" customWidth="1"/>
    <col min="16124" max="16355" width="8.7109375" style="143"/>
    <col min="16356" max="16384" width="9.140625" style="143" customWidth="1"/>
  </cols>
  <sheetData>
    <row r="1" spans="1:8" x14ac:dyDescent="0.2">
      <c r="A1" s="584" t="s">
        <v>23</v>
      </c>
      <c r="B1" s="584"/>
      <c r="C1" s="584"/>
      <c r="D1" s="584"/>
      <c r="E1" s="584"/>
      <c r="F1" s="584"/>
      <c r="G1" s="584"/>
      <c r="H1" s="584"/>
    </row>
    <row r="2" spans="1:8" x14ac:dyDescent="0.2">
      <c r="A2" s="584" t="s">
        <v>91</v>
      </c>
      <c r="B2" s="584"/>
      <c r="C2" s="584"/>
      <c r="D2" s="584"/>
      <c r="E2" s="584"/>
      <c r="F2" s="584"/>
      <c r="G2" s="584"/>
      <c r="H2" s="584"/>
    </row>
    <row r="3" spans="1:8" ht="12.75" x14ac:dyDescent="0.2">
      <c r="A3" s="619" t="s">
        <v>150</v>
      </c>
      <c r="B3" s="619"/>
      <c r="C3" s="619"/>
      <c r="D3" s="619"/>
      <c r="E3" s="619"/>
      <c r="F3" s="619"/>
      <c r="G3" s="619"/>
      <c r="H3" s="619"/>
    </row>
    <row r="4" spans="1:8" ht="12.75" x14ac:dyDescent="0.2">
      <c r="A4" s="619" t="s">
        <v>142</v>
      </c>
      <c r="B4" s="619"/>
      <c r="C4" s="619"/>
      <c r="D4" s="619"/>
      <c r="E4" s="619"/>
      <c r="F4" s="619"/>
      <c r="G4" s="619"/>
      <c r="H4" s="619"/>
    </row>
    <row r="5" spans="1:8" ht="12" x14ac:dyDescent="0.2">
      <c r="A5" s="645" t="str">
        <f>'JHS School Leaver'!A5:H5</f>
        <v>SY 2023-2024</v>
      </c>
      <c r="B5" s="645"/>
      <c r="C5" s="645"/>
      <c r="D5" s="645"/>
      <c r="E5" s="645"/>
      <c r="F5" s="645"/>
      <c r="G5" s="645"/>
      <c r="H5" s="645"/>
    </row>
    <row r="6" spans="1:8" ht="12.75" x14ac:dyDescent="0.2">
      <c r="A6" s="462"/>
      <c r="B6" s="212"/>
      <c r="C6" s="463"/>
      <c r="D6" s="463"/>
      <c r="E6" s="463"/>
      <c r="F6" s="463"/>
      <c r="G6" s="532"/>
      <c r="H6" s="533"/>
    </row>
    <row r="7" spans="1:8" x14ac:dyDescent="0.2">
      <c r="A7" s="200"/>
      <c r="B7" s="196"/>
      <c r="C7" s="509"/>
      <c r="D7" s="509"/>
      <c r="E7" s="509"/>
      <c r="F7" s="509"/>
      <c r="H7" s="534"/>
    </row>
    <row r="8" spans="1:8" ht="15" thickBot="1" x14ac:dyDescent="0.25">
      <c r="A8" s="468" t="s">
        <v>143</v>
      </c>
      <c r="B8" s="196"/>
      <c r="H8" s="535"/>
    </row>
    <row r="9" spans="1:8" ht="10.35" customHeight="1" x14ac:dyDescent="0.2">
      <c r="A9" s="339" t="s">
        <v>114</v>
      </c>
      <c r="B9" s="615" t="s">
        <v>95</v>
      </c>
      <c r="C9" s="639" t="s">
        <v>144</v>
      </c>
      <c r="D9" s="641" t="s">
        <v>145</v>
      </c>
      <c r="E9" s="643" t="s">
        <v>146</v>
      </c>
      <c r="F9" s="536" t="s">
        <v>147</v>
      </c>
      <c r="G9" s="472" t="s">
        <v>137</v>
      </c>
      <c r="H9" s="540" t="s">
        <v>115</v>
      </c>
    </row>
    <row r="10" spans="1:8" x14ac:dyDescent="0.2">
      <c r="A10" s="340"/>
      <c r="B10" s="616"/>
      <c r="C10" s="640"/>
      <c r="D10" s="642"/>
      <c r="E10" s="644"/>
      <c r="F10" s="537" t="s">
        <v>138</v>
      </c>
      <c r="G10" s="480" t="s">
        <v>109</v>
      </c>
      <c r="H10" s="541" t="s">
        <v>116</v>
      </c>
    </row>
    <row r="11" spans="1:8" x14ac:dyDescent="0.2">
      <c r="A11" s="301" t="s">
        <v>117</v>
      </c>
      <c r="B11" s="189" t="s">
        <v>2</v>
      </c>
      <c r="C11" s="294">
        <v>0.95595323840655988</v>
      </c>
      <c r="D11" s="295">
        <v>0.95110501608734643</v>
      </c>
      <c r="E11" s="295">
        <v>0.94141637777842513</v>
      </c>
      <c r="F11" s="427">
        <v>0.97130013831258644</v>
      </c>
      <c r="G11" s="294">
        <v>0.94965064655769182</v>
      </c>
      <c r="H11" s="538">
        <v>1.0444050643815357</v>
      </c>
    </row>
    <row r="12" spans="1:8" x14ac:dyDescent="0.2">
      <c r="A12" s="155"/>
      <c r="B12" s="172" t="s">
        <v>1</v>
      </c>
      <c r="C12" s="297">
        <v>0.93585562078712758</v>
      </c>
      <c r="D12" s="298">
        <v>0.9330829812757524</v>
      </c>
      <c r="E12" s="298">
        <v>0.91793471947961436</v>
      </c>
      <c r="F12" s="310">
        <v>0.96527667670841921</v>
      </c>
      <c r="G12" s="297">
        <v>0.92925329001405443</v>
      </c>
      <c r="H12" s="538"/>
    </row>
    <row r="13" spans="1:8" x14ac:dyDescent="0.2">
      <c r="A13" s="286"/>
      <c r="B13" s="163" t="s">
        <v>0</v>
      </c>
      <c r="C13" s="314">
        <v>0.97683877527962937</v>
      </c>
      <c r="D13" s="380">
        <v>0.96953854361162972</v>
      </c>
      <c r="E13" s="380">
        <v>0.96504763574726748</v>
      </c>
      <c r="F13" s="313">
        <v>0.97740294511378845</v>
      </c>
      <c r="G13" s="314">
        <v>0.97051684218388234</v>
      </c>
      <c r="H13" s="539"/>
    </row>
    <row r="14" spans="1:8" ht="10.35" customHeight="1" x14ac:dyDescent="0.2">
      <c r="A14" s="301" t="s">
        <v>118</v>
      </c>
      <c r="B14" s="189" t="s">
        <v>2</v>
      </c>
      <c r="C14" s="294">
        <v>0.93327841845140036</v>
      </c>
      <c r="D14" s="295">
        <v>0.91724489146349231</v>
      </c>
      <c r="E14" s="295">
        <v>0.89524733268671197</v>
      </c>
      <c r="F14" s="427">
        <v>0.95676824946846206</v>
      </c>
      <c r="G14" s="294">
        <v>0.91538887469120023</v>
      </c>
      <c r="H14" s="538">
        <v>1.0540875611318181</v>
      </c>
    </row>
    <row r="15" spans="1:8" x14ac:dyDescent="0.2">
      <c r="A15" s="155"/>
      <c r="B15" s="172" t="s">
        <v>1</v>
      </c>
      <c r="C15" s="297">
        <v>0.91350474288567152</v>
      </c>
      <c r="D15" s="298">
        <v>0.89427860696517414</v>
      </c>
      <c r="E15" s="298">
        <v>0.86775000000000002</v>
      </c>
      <c r="F15" s="310">
        <v>0.95466897233201586</v>
      </c>
      <c r="G15" s="297">
        <v>0.89185930483951437</v>
      </c>
      <c r="H15" s="538"/>
    </row>
    <row r="16" spans="1:8" x14ac:dyDescent="0.2">
      <c r="A16" s="286"/>
      <c r="B16" s="163" t="s">
        <v>0</v>
      </c>
      <c r="C16" s="314">
        <v>0.95366795366795365</v>
      </c>
      <c r="D16" s="380">
        <v>0.94132220628504371</v>
      </c>
      <c r="E16" s="380">
        <v>0.92471533824514396</v>
      </c>
      <c r="F16" s="313">
        <v>0.95905723905723905</v>
      </c>
      <c r="G16" s="314">
        <v>0.94009779951100247</v>
      </c>
      <c r="H16" s="539"/>
    </row>
    <row r="17" spans="1:8" x14ac:dyDescent="0.2">
      <c r="A17" s="301" t="s">
        <v>119</v>
      </c>
      <c r="B17" s="189" t="s">
        <v>2</v>
      </c>
      <c r="C17" s="294">
        <v>0.92428355957767727</v>
      </c>
      <c r="D17" s="295">
        <v>0.9020741922616673</v>
      </c>
      <c r="E17" s="295">
        <v>0.88981636060100167</v>
      </c>
      <c r="F17" s="427">
        <v>0.96213785168915389</v>
      </c>
      <c r="G17" s="294">
        <v>0.90525931821196448</v>
      </c>
      <c r="H17" s="538">
        <v>1.0604465912783776</v>
      </c>
    </row>
    <row r="18" spans="1:8" x14ac:dyDescent="0.2">
      <c r="A18" s="155"/>
      <c r="B18" s="172" t="s">
        <v>1</v>
      </c>
      <c r="C18" s="297">
        <v>0.90033157792081142</v>
      </c>
      <c r="D18" s="298">
        <v>0.87774965933424176</v>
      </c>
      <c r="E18" s="298">
        <v>0.86133032694475764</v>
      </c>
      <c r="F18" s="310">
        <v>0.95582089552238803</v>
      </c>
      <c r="G18" s="297">
        <v>0.87957141023995888</v>
      </c>
      <c r="H18" s="538"/>
    </row>
    <row r="19" spans="1:8" x14ac:dyDescent="0.2">
      <c r="A19" s="286"/>
      <c r="B19" s="163" t="s">
        <v>0</v>
      </c>
      <c r="C19" s="314">
        <v>0.94977168949771684</v>
      </c>
      <c r="D19" s="380">
        <v>0.92762216315681867</v>
      </c>
      <c r="E19" s="380">
        <v>0.92100390866076942</v>
      </c>
      <c r="F19" s="313">
        <v>0.96913580246913578</v>
      </c>
      <c r="G19" s="314">
        <v>0.93273850377487988</v>
      </c>
      <c r="H19" s="539"/>
    </row>
    <row r="20" spans="1:8" x14ac:dyDescent="0.2">
      <c r="A20" s="301" t="s">
        <v>120</v>
      </c>
      <c r="B20" s="189" t="s">
        <v>2</v>
      </c>
      <c r="C20" s="294">
        <v>0.89169794656657098</v>
      </c>
      <c r="D20" s="295">
        <v>0.89089984748347739</v>
      </c>
      <c r="E20" s="295">
        <v>0.86051502145922742</v>
      </c>
      <c r="F20" s="427">
        <v>0.95471033267696137</v>
      </c>
      <c r="G20" s="294">
        <v>0.88078384880923322</v>
      </c>
      <c r="H20" s="538">
        <v>1.0967277524322543</v>
      </c>
    </row>
    <row r="21" spans="1:8" x14ac:dyDescent="0.2">
      <c r="A21" s="155"/>
      <c r="B21" s="172" t="s">
        <v>1</v>
      </c>
      <c r="C21" s="297">
        <v>0.85968379446640319</v>
      </c>
      <c r="D21" s="298">
        <v>0.84887910328262606</v>
      </c>
      <c r="E21" s="298">
        <v>0.815347721822542</v>
      </c>
      <c r="F21" s="310">
        <v>0.9510433386837881</v>
      </c>
      <c r="G21" s="297">
        <v>0.84073107049608353</v>
      </c>
      <c r="H21" s="538"/>
    </row>
    <row r="22" spans="1:8" x14ac:dyDescent="0.2">
      <c r="A22" s="286"/>
      <c r="B22" s="163" t="s">
        <v>0</v>
      </c>
      <c r="C22" s="314">
        <v>0.92406749555950263</v>
      </c>
      <c r="D22" s="380">
        <v>0.93428394296342221</v>
      </c>
      <c r="E22" s="380">
        <v>0.90777917189460477</v>
      </c>
      <c r="F22" s="313">
        <v>0.95862808145766343</v>
      </c>
      <c r="G22" s="314">
        <v>0.92205309734513274</v>
      </c>
      <c r="H22" s="539"/>
    </row>
    <row r="23" spans="1:8" x14ac:dyDescent="0.2">
      <c r="A23" s="301" t="s">
        <v>121</v>
      </c>
      <c r="B23" s="189" t="s">
        <v>2</v>
      </c>
      <c r="C23" s="436">
        <v>0.84111093169707729</v>
      </c>
      <c r="D23" s="437">
        <v>0.81606258981318858</v>
      </c>
      <c r="E23" s="437">
        <v>0.76247951125018631</v>
      </c>
      <c r="F23" s="438">
        <v>0.90827365534054549</v>
      </c>
      <c r="G23" s="436">
        <v>0.80539468878802112</v>
      </c>
      <c r="H23" s="538">
        <v>1.1265676434923551</v>
      </c>
    </row>
    <row r="24" spans="1:8" ht="9.6" customHeight="1" x14ac:dyDescent="0.2">
      <c r="A24" s="155"/>
      <c r="B24" s="172" t="s">
        <v>1</v>
      </c>
      <c r="C24" s="351">
        <v>0.78956062107697389</v>
      </c>
      <c r="D24" s="383">
        <v>0.77133333333333332</v>
      </c>
      <c r="E24" s="383">
        <v>0.71086556169429094</v>
      </c>
      <c r="F24" s="350">
        <v>0.88202594193946882</v>
      </c>
      <c r="G24" s="351">
        <v>0.75605815831987078</v>
      </c>
      <c r="H24" s="538"/>
    </row>
    <row r="25" spans="1:8" x14ac:dyDescent="0.2">
      <c r="A25" s="286"/>
      <c r="B25" s="163" t="s">
        <v>0</v>
      </c>
      <c r="C25" s="356">
        <v>0.89039797852179403</v>
      </c>
      <c r="D25" s="390">
        <v>0.85718663806313211</v>
      </c>
      <c r="E25" s="390">
        <v>0.81117868520127423</v>
      </c>
      <c r="F25" s="355">
        <v>0.93383458646616546</v>
      </c>
      <c r="G25" s="356">
        <v>0.85175065776158676</v>
      </c>
      <c r="H25" s="539"/>
    </row>
    <row r="26" spans="1:8" x14ac:dyDescent="0.2">
      <c r="A26" s="301" t="s">
        <v>122</v>
      </c>
      <c r="B26" s="189" t="s">
        <v>2</v>
      </c>
      <c r="C26" s="294">
        <v>0.89229074889867843</v>
      </c>
      <c r="D26" s="295">
        <v>0.86131309937822742</v>
      </c>
      <c r="E26" s="295">
        <v>0.84728850325379612</v>
      </c>
      <c r="F26" s="427">
        <v>0.95504146660846789</v>
      </c>
      <c r="G26" s="294">
        <v>0.86678182014466154</v>
      </c>
      <c r="H26" s="538">
        <v>1.1141455758289189</v>
      </c>
    </row>
    <row r="27" spans="1:8" ht="12" x14ac:dyDescent="0.2">
      <c r="A27" s="347"/>
      <c r="B27" s="172" t="s">
        <v>1</v>
      </c>
      <c r="C27" s="297">
        <v>0.84669141734003062</v>
      </c>
      <c r="D27" s="298">
        <v>0.82319196885884038</v>
      </c>
      <c r="E27" s="298">
        <v>0.79375131940046439</v>
      </c>
      <c r="F27" s="310">
        <v>0.9416503374700631</v>
      </c>
      <c r="G27" s="297">
        <v>0.82094808762414595</v>
      </c>
      <c r="H27" s="538"/>
    </row>
    <row r="28" spans="1:8" x14ac:dyDescent="0.2">
      <c r="A28" s="286"/>
      <c r="B28" s="163" t="s">
        <v>0</v>
      </c>
      <c r="C28" s="314">
        <v>0.9386802932681626</v>
      </c>
      <c r="D28" s="380">
        <v>0.90169270833333337</v>
      </c>
      <c r="E28" s="380">
        <v>0.90385902297568588</v>
      </c>
      <c r="F28" s="313">
        <v>0.96849704659811853</v>
      </c>
      <c r="G28" s="314">
        <v>0.91465567981165397</v>
      </c>
      <c r="H28" s="539"/>
    </row>
    <row r="29" spans="1:8" x14ac:dyDescent="0.2">
      <c r="A29" s="301" t="s">
        <v>123</v>
      </c>
      <c r="B29" s="172" t="s">
        <v>2</v>
      </c>
      <c r="C29" s="297">
        <v>0.95778166375218587</v>
      </c>
      <c r="D29" s="298">
        <v>0.91876687668766877</v>
      </c>
      <c r="E29" s="298">
        <v>0.935407949790795</v>
      </c>
      <c r="F29" s="298">
        <v>0.96845714285714291</v>
      </c>
      <c r="G29" s="298">
        <v>0.93667997718197371</v>
      </c>
      <c r="H29" s="538">
        <v>1.0749871806867388</v>
      </c>
    </row>
    <row r="30" spans="1:8" x14ac:dyDescent="0.2">
      <c r="A30" s="155"/>
      <c r="B30" s="172" t="s">
        <v>1</v>
      </c>
      <c r="C30" s="297">
        <v>0.93310875842155916</v>
      </c>
      <c r="D30" s="298">
        <v>0.88010776829815895</v>
      </c>
      <c r="E30" s="298">
        <v>0.89829633453794533</v>
      </c>
      <c r="F30" s="298">
        <v>0.96543671181690793</v>
      </c>
      <c r="G30" s="298">
        <v>0.90339634732457541</v>
      </c>
      <c r="H30" s="538"/>
    </row>
    <row r="31" spans="1:8" x14ac:dyDescent="0.2">
      <c r="A31" s="286"/>
      <c r="B31" s="163" t="s">
        <v>0</v>
      </c>
      <c r="C31" s="314">
        <v>0.98441558441558441</v>
      </c>
      <c r="D31" s="380">
        <v>0.95760036084799283</v>
      </c>
      <c r="E31" s="380">
        <v>0.97350291467938532</v>
      </c>
      <c r="F31" s="380">
        <v>0.9713518352730528</v>
      </c>
      <c r="G31" s="380">
        <v>0.97113949245314313</v>
      </c>
      <c r="H31" s="539"/>
    </row>
    <row r="32" spans="1:8" ht="10.35" customHeight="1" x14ac:dyDescent="0.2">
      <c r="A32" s="301" t="s">
        <v>124</v>
      </c>
      <c r="B32" s="172" t="s">
        <v>2</v>
      </c>
      <c r="C32" s="297">
        <v>0.93216723549488056</v>
      </c>
      <c r="D32" s="298">
        <v>0.91973791973791974</v>
      </c>
      <c r="E32" s="298">
        <v>0.88818145642658175</v>
      </c>
      <c r="F32" s="298">
        <v>0.97552447552447552</v>
      </c>
      <c r="G32" s="298">
        <v>0.9128647759967119</v>
      </c>
      <c r="H32" s="538">
        <v>1.0737003785553509</v>
      </c>
    </row>
    <row r="33" spans="1:8" x14ac:dyDescent="0.2">
      <c r="A33" s="155"/>
      <c r="B33" s="172" t="s">
        <v>1</v>
      </c>
      <c r="C33" s="297">
        <v>0.91101694915254239</v>
      </c>
      <c r="D33" s="298">
        <v>0.88658940397350994</v>
      </c>
      <c r="E33" s="298">
        <v>0.8474051123160341</v>
      </c>
      <c r="F33" s="298">
        <v>0.96709956709956713</v>
      </c>
      <c r="G33" s="298">
        <v>0.88067409622179937</v>
      </c>
      <c r="H33" s="538"/>
    </row>
    <row r="34" spans="1:8" x14ac:dyDescent="0.2">
      <c r="A34" s="286"/>
      <c r="B34" s="163" t="s">
        <v>0</v>
      </c>
      <c r="C34" s="314">
        <v>0.95360824742268047</v>
      </c>
      <c r="D34" s="380">
        <v>0.95218800648298219</v>
      </c>
      <c r="E34" s="380">
        <v>0.93126022913256956</v>
      </c>
      <c r="F34" s="380">
        <v>0.98411297440423651</v>
      </c>
      <c r="G34" s="380">
        <v>0.94558011049723756</v>
      </c>
      <c r="H34" s="539"/>
    </row>
    <row r="35" spans="1:8" x14ac:dyDescent="0.2">
      <c r="A35" s="301" t="s">
        <v>125</v>
      </c>
      <c r="B35" s="172" t="s">
        <v>2</v>
      </c>
      <c r="C35" s="351">
        <v>0.89747490112564654</v>
      </c>
      <c r="D35" s="383">
        <v>0.8953800298062593</v>
      </c>
      <c r="E35" s="383">
        <v>0.86717157005534518</v>
      </c>
      <c r="F35" s="383">
        <v>0.95628415300546443</v>
      </c>
      <c r="G35" s="383">
        <v>0.88645161290322583</v>
      </c>
      <c r="H35" s="538">
        <v>1.1198552442190766</v>
      </c>
    </row>
    <row r="36" spans="1:8" ht="12" x14ac:dyDescent="0.2">
      <c r="A36" s="347"/>
      <c r="B36" s="172" t="s">
        <v>1</v>
      </c>
      <c r="C36" s="351">
        <v>0.84158415841584155</v>
      </c>
      <c r="D36" s="383">
        <v>0.84956843403205917</v>
      </c>
      <c r="E36" s="383">
        <v>0.81855549031121555</v>
      </c>
      <c r="F36" s="383">
        <v>0.94325419803126809</v>
      </c>
      <c r="G36" s="383">
        <v>0.83637445458151527</v>
      </c>
      <c r="H36" s="538"/>
    </row>
    <row r="37" spans="1:8" x14ac:dyDescent="0.2">
      <c r="A37" s="286"/>
      <c r="B37" s="163" t="s">
        <v>0</v>
      </c>
      <c r="C37" s="356">
        <v>0.95859872611464969</v>
      </c>
      <c r="D37" s="390">
        <v>0.93825735718407388</v>
      </c>
      <c r="E37" s="390">
        <v>0.91502890173410401</v>
      </c>
      <c r="F37" s="390">
        <v>0.96914285714285719</v>
      </c>
      <c r="G37" s="390">
        <v>0.93661831909397975</v>
      </c>
      <c r="H37" s="539"/>
    </row>
    <row r="38" spans="1:8" x14ac:dyDescent="0.2">
      <c r="A38" s="301" t="s">
        <v>126</v>
      </c>
      <c r="B38" s="172" t="s">
        <v>2</v>
      </c>
      <c r="C38" s="297">
        <v>0.95219489772466104</v>
      </c>
      <c r="D38" s="298">
        <v>0.95481515289821994</v>
      </c>
      <c r="E38" s="298">
        <v>0.94433443344334433</v>
      </c>
      <c r="F38" s="298">
        <v>0.97715173025732027</v>
      </c>
      <c r="G38" s="298">
        <v>0.95036903148064467</v>
      </c>
      <c r="H38" s="538">
        <v>1.0559133230861646</v>
      </c>
    </row>
    <row r="39" spans="1:8" x14ac:dyDescent="0.2">
      <c r="A39" s="155"/>
      <c r="B39" s="172" t="s">
        <v>1</v>
      </c>
      <c r="C39" s="297">
        <v>0.92894736842105263</v>
      </c>
      <c r="D39" s="298">
        <v>0.92407324698526128</v>
      </c>
      <c r="E39" s="298">
        <v>0.9223343571741992</v>
      </c>
      <c r="F39" s="298">
        <v>0.97294900221729486</v>
      </c>
      <c r="G39" s="298">
        <v>0.92512503677552216</v>
      </c>
      <c r="H39" s="538"/>
    </row>
    <row r="40" spans="1:8" x14ac:dyDescent="0.2">
      <c r="A40" s="286"/>
      <c r="B40" s="163" t="s">
        <v>0</v>
      </c>
      <c r="C40" s="314">
        <v>0.97778850796716565</v>
      </c>
      <c r="D40" s="380">
        <v>0.98693420438637425</v>
      </c>
      <c r="E40" s="380">
        <v>0.96646072374227709</v>
      </c>
      <c r="F40" s="380">
        <v>0.98135818908122507</v>
      </c>
      <c r="G40" s="380">
        <v>0.97685185185185186</v>
      </c>
      <c r="H40" s="539"/>
    </row>
    <row r="41" spans="1:8" x14ac:dyDescent="0.2">
      <c r="A41" s="301" t="s">
        <v>127</v>
      </c>
      <c r="B41" s="172" t="s">
        <v>2</v>
      </c>
      <c r="C41" s="297">
        <v>0.95600593178447846</v>
      </c>
      <c r="D41" s="298">
        <v>0.96453185409312492</v>
      </c>
      <c r="E41" s="298">
        <v>0.94232896192131455</v>
      </c>
      <c r="F41" s="298">
        <v>0.96713319704356027</v>
      </c>
      <c r="G41" s="298">
        <v>0.95405243364037717</v>
      </c>
      <c r="H41" s="538">
        <v>1.0382356191958002</v>
      </c>
    </row>
    <row r="42" spans="1:8" x14ac:dyDescent="0.2">
      <c r="A42" s="155"/>
      <c r="B42" s="172" t="s">
        <v>1</v>
      </c>
      <c r="C42" s="297">
        <v>0.94548994159636601</v>
      </c>
      <c r="D42" s="298">
        <v>0.9464696223316913</v>
      </c>
      <c r="E42" s="298">
        <v>0.91777356103731811</v>
      </c>
      <c r="F42" s="298">
        <v>0.9593241551939925</v>
      </c>
      <c r="G42" s="298">
        <v>0.93637635913446016</v>
      </c>
      <c r="H42" s="538"/>
    </row>
    <row r="43" spans="1:8" x14ac:dyDescent="0.2">
      <c r="A43" s="286"/>
      <c r="B43" s="163" t="s">
        <v>0</v>
      </c>
      <c r="C43" s="314">
        <v>0.96685637763642451</v>
      </c>
      <c r="D43" s="380">
        <v>0.98347107438016534</v>
      </c>
      <c r="E43" s="380">
        <v>0.96684559520050517</v>
      </c>
      <c r="F43" s="380">
        <v>0.97502371166613977</v>
      </c>
      <c r="G43" s="380">
        <v>0.97217928902627515</v>
      </c>
      <c r="H43" s="539"/>
    </row>
    <row r="44" spans="1:8" x14ac:dyDescent="0.2">
      <c r="A44" s="315" t="s">
        <v>15</v>
      </c>
      <c r="B44" s="493" t="s">
        <v>2</v>
      </c>
      <c r="C44" s="325">
        <v>0.92958290179832403</v>
      </c>
      <c r="D44" s="326">
        <v>0.91809787458793957</v>
      </c>
      <c r="E44" s="326">
        <v>0.89916867288594648</v>
      </c>
      <c r="F44" s="326">
        <v>0.96129688889703924</v>
      </c>
      <c r="G44" s="326">
        <v>0.91563779625263675</v>
      </c>
      <c r="H44" s="538">
        <v>1.0650758547213224</v>
      </c>
    </row>
    <row r="45" spans="1:8" x14ac:dyDescent="0.2">
      <c r="A45" s="323"/>
      <c r="B45" s="493" t="s">
        <v>1</v>
      </c>
      <c r="C45" s="325">
        <v>0.90361267397098011</v>
      </c>
      <c r="D45" s="326">
        <v>0.89119637201266921</v>
      </c>
      <c r="E45" s="326">
        <v>0.86659494351802047</v>
      </c>
      <c r="F45" s="326">
        <v>0.95407637671468071</v>
      </c>
      <c r="G45" s="326">
        <v>0.88718801793151536</v>
      </c>
      <c r="H45" s="538"/>
    </row>
    <row r="46" spans="1:8" ht="12" thickBot="1" x14ac:dyDescent="0.25">
      <c r="A46" s="330"/>
      <c r="B46" s="498" t="s">
        <v>0</v>
      </c>
      <c r="C46" s="332">
        <v>0.95647590938709803</v>
      </c>
      <c r="D46" s="333">
        <v>0.94565497916897101</v>
      </c>
      <c r="E46" s="333">
        <v>0.93266571292322364</v>
      </c>
      <c r="F46" s="333">
        <v>0.96873255164712446</v>
      </c>
      <c r="G46" s="333">
        <v>0.9449225364969247</v>
      </c>
      <c r="H46" s="539"/>
    </row>
  </sheetData>
  <sheetProtection algorithmName="SHA-512" hashValue="fmeIWvGeLwtiq21jlJcYMl+9NEVVghinx8v6a6hQlNXe+nvfHbAgns4318x2UlFBDqnvXat/8V8Zg9oPH+XpNg==" saltValue="huJGgtIDc9HJZOJdsf34nw==" spinCount="100000" sheet="1" objects="1" scenarios="1"/>
  <mergeCells count="9">
    <mergeCell ref="B9:B10"/>
    <mergeCell ref="C9:C10"/>
    <mergeCell ref="D9:D10"/>
    <mergeCell ref="E9:E10"/>
    <mergeCell ref="A1:H1"/>
    <mergeCell ref="A2:H2"/>
    <mergeCell ref="A3:H3"/>
    <mergeCell ref="A4:H4"/>
    <mergeCell ref="A5:H5"/>
  </mergeCells>
  <conditionalFormatting sqref="H1:H3 H5:H1048576">
    <cfRule type="cellIs" dxfId="2" priority="4" operator="lessThan">
      <formula>0</formula>
    </cfRule>
  </conditionalFormatting>
  <printOptions horizontalCentered="1"/>
  <pageMargins left="0" right="0" top="0.75" bottom="0.75" header="0.5" footer="0.35"/>
  <pageSetup paperSize="9" scale="94" orientation="portrait" horizontalDpi="300" verticalDpi="300" r:id="rId1"/>
  <headerFooter alignWithMargins="0">
    <oddFooter>&amp;C&amp;8Page &amp;P of &amp;N</oddFooter>
  </headerFooter>
  <picture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84524-202F-4013-8CDE-01DB680DC432}">
  <sheetPr>
    <tabColor rgb="FF0000FF"/>
    <pageSetUpPr fitToPage="1"/>
  </sheetPr>
  <dimension ref="A1:N46"/>
  <sheetViews>
    <sheetView showGridLines="0" zoomScaleNormal="100" workbookViewId="0">
      <pane xSplit="2" ySplit="8" topLeftCell="C9" activePane="bottomRight" state="frozen"/>
      <selection activeCell="B9" sqref="B9:B12"/>
      <selection pane="topRight" activeCell="B9" sqref="B9:B12"/>
      <selection pane="bottomLeft" activeCell="B9" sqref="B9:B12"/>
      <selection pane="bottomRight" activeCell="B9" sqref="B9:B12"/>
    </sheetView>
  </sheetViews>
  <sheetFormatPr defaultColWidth="9.140625" defaultRowHeight="11.25" x14ac:dyDescent="0.2"/>
  <cols>
    <col min="1" max="1" width="43.85546875" style="359" customWidth="1"/>
    <col min="2" max="2" width="7.5703125" style="143" customWidth="1"/>
    <col min="3" max="6" width="6.85546875" style="263" bestFit="1" customWidth="1"/>
    <col min="7" max="8" width="7" style="263" bestFit="1" customWidth="1"/>
    <col min="9" max="9" width="8.85546875" style="263" bestFit="1" customWidth="1"/>
    <col min="10" max="10" width="9.42578125" style="263" bestFit="1" customWidth="1"/>
    <col min="11" max="11" width="10.140625" style="264" customWidth="1"/>
    <col min="12" max="12" width="5.5703125" style="543" bestFit="1" customWidth="1"/>
    <col min="13" max="13" width="8.85546875" style="543" bestFit="1" customWidth="1"/>
    <col min="14" max="14" width="8.140625" style="144" bestFit="1" customWidth="1"/>
    <col min="15" max="16384" width="9.140625" style="143"/>
  </cols>
  <sheetData>
    <row r="1" spans="1:14" x14ac:dyDescent="0.2">
      <c r="A1" s="584" t="s">
        <v>23</v>
      </c>
      <c r="B1" s="584"/>
      <c r="C1" s="584"/>
      <c r="D1" s="584"/>
      <c r="E1" s="584"/>
      <c r="F1" s="584"/>
      <c r="G1" s="584"/>
      <c r="H1" s="584"/>
      <c r="I1" s="584"/>
      <c r="J1" s="584"/>
      <c r="K1" s="584"/>
      <c r="L1" s="584"/>
      <c r="M1" s="584"/>
      <c r="N1" s="584"/>
    </row>
    <row r="2" spans="1:14" x14ac:dyDescent="0.2">
      <c r="A2" s="584" t="s">
        <v>91</v>
      </c>
      <c r="B2" s="584"/>
      <c r="C2" s="584"/>
      <c r="D2" s="584"/>
      <c r="E2" s="584"/>
      <c r="F2" s="584"/>
      <c r="G2" s="584"/>
      <c r="H2" s="584"/>
      <c r="I2" s="584"/>
      <c r="J2" s="584"/>
      <c r="K2" s="584"/>
      <c r="L2" s="584"/>
      <c r="M2" s="584"/>
      <c r="N2" s="584"/>
    </row>
    <row r="3" spans="1:14" ht="12.75" x14ac:dyDescent="0.2">
      <c r="A3" s="619" t="s">
        <v>151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  <c r="M3" s="619"/>
      <c r="N3" s="619"/>
    </row>
    <row r="4" spans="1:14" ht="12.75" x14ac:dyDescent="0.2">
      <c r="A4" s="619" t="s">
        <v>152</v>
      </c>
      <c r="B4" s="619"/>
      <c r="C4" s="619"/>
      <c r="D4" s="619"/>
      <c r="E4" s="619"/>
      <c r="F4" s="619"/>
      <c r="G4" s="619"/>
      <c r="H4" s="619"/>
      <c r="I4" s="619"/>
      <c r="J4" s="619"/>
      <c r="K4" s="619"/>
      <c r="L4" s="619"/>
      <c r="M4" s="619"/>
      <c r="N4" s="619"/>
    </row>
    <row r="5" spans="1:14" ht="12.75" x14ac:dyDescent="0.2">
      <c r="A5" s="620" t="s">
        <v>48</v>
      </c>
      <c r="B5" s="620"/>
      <c r="C5" s="620"/>
      <c r="D5" s="620"/>
      <c r="E5" s="620"/>
      <c r="F5" s="620"/>
      <c r="G5" s="620"/>
      <c r="H5" s="620"/>
      <c r="I5" s="620"/>
      <c r="J5" s="620"/>
      <c r="K5" s="620"/>
      <c r="L5" s="620"/>
      <c r="M5" s="620"/>
      <c r="N5" s="620"/>
    </row>
    <row r="6" spans="1:14" ht="12.75" x14ac:dyDescent="0.2">
      <c r="A6" s="618"/>
      <c r="B6" s="618"/>
      <c r="C6" s="618"/>
      <c r="D6" s="618"/>
      <c r="E6" s="618"/>
      <c r="F6" s="618"/>
      <c r="G6" s="618"/>
      <c r="H6" s="618"/>
      <c r="I6" s="618"/>
      <c r="J6" s="618"/>
      <c r="K6" s="618"/>
      <c r="L6" s="618"/>
      <c r="M6" s="618"/>
      <c r="N6" s="618"/>
    </row>
    <row r="7" spans="1:14" ht="12.75" x14ac:dyDescent="0.2">
      <c r="A7" s="259"/>
      <c r="B7" s="259"/>
      <c r="C7" s="259"/>
      <c r="D7" s="259"/>
      <c r="E7" s="259"/>
      <c r="F7" s="259"/>
      <c r="G7" s="259"/>
      <c r="H7" s="259"/>
      <c r="I7" s="259"/>
      <c r="J7" s="259"/>
      <c r="K7" s="259"/>
      <c r="L7" s="542"/>
      <c r="M7" s="542"/>
      <c r="N7" s="542"/>
    </row>
    <row r="8" spans="1:14" ht="13.5" thickBot="1" x14ac:dyDescent="0.25">
      <c r="A8" s="261" t="s">
        <v>94</v>
      </c>
      <c r="B8" s="365"/>
      <c r="H8" s="259"/>
    </row>
    <row r="9" spans="1:14" x14ac:dyDescent="0.2">
      <c r="A9" s="339" t="s">
        <v>114</v>
      </c>
      <c r="B9" s="646" t="s">
        <v>95</v>
      </c>
      <c r="C9" s="635" t="s">
        <v>96</v>
      </c>
      <c r="D9" s="617"/>
      <c r="E9" s="617"/>
      <c r="F9" s="617"/>
      <c r="G9" s="617"/>
      <c r="H9" s="265" t="s">
        <v>97</v>
      </c>
      <c r="I9" s="266" t="s">
        <v>98</v>
      </c>
      <c r="J9" s="266" t="s">
        <v>99</v>
      </c>
      <c r="K9" s="267" t="s">
        <v>100</v>
      </c>
      <c r="L9" s="544" t="s">
        <v>101</v>
      </c>
      <c r="M9" s="545" t="s">
        <v>101</v>
      </c>
      <c r="N9" s="546" t="s">
        <v>101</v>
      </c>
    </row>
    <row r="10" spans="1:14" ht="12" thickBot="1" x14ac:dyDescent="0.25">
      <c r="A10" s="340"/>
      <c r="B10" s="647"/>
      <c r="C10" s="271" t="s">
        <v>144</v>
      </c>
      <c r="D10" s="272" t="s">
        <v>145</v>
      </c>
      <c r="E10" s="272" t="s">
        <v>146</v>
      </c>
      <c r="F10" s="272" t="s">
        <v>153</v>
      </c>
      <c r="G10" s="273" t="s">
        <v>154</v>
      </c>
      <c r="H10" s="274" t="s">
        <v>155</v>
      </c>
      <c r="I10" s="275" t="s">
        <v>109</v>
      </c>
      <c r="J10" s="275" t="s">
        <v>110</v>
      </c>
      <c r="K10" s="276" t="s">
        <v>111</v>
      </c>
      <c r="L10" s="547" t="s">
        <v>112</v>
      </c>
      <c r="M10" s="548" t="s">
        <v>98</v>
      </c>
      <c r="N10" s="549" t="s">
        <v>99</v>
      </c>
    </row>
    <row r="11" spans="1:14" ht="12.75" x14ac:dyDescent="0.25">
      <c r="A11" s="301" t="s">
        <v>117</v>
      </c>
      <c r="B11" s="550" t="s">
        <v>2</v>
      </c>
      <c r="C11" s="294">
        <v>1</v>
      </c>
      <c r="D11" s="295">
        <v>0.96791203859526753</v>
      </c>
      <c r="E11" s="295">
        <v>0.93293723967726661</v>
      </c>
      <c r="F11" s="295">
        <v>0.89284804206816193</v>
      </c>
      <c r="G11" s="295">
        <v>0.89284804190252798</v>
      </c>
      <c r="H11" s="427">
        <v>0.81993082535595951</v>
      </c>
      <c r="I11" s="294">
        <v>0.79942133120855807</v>
      </c>
      <c r="J11" s="295">
        <v>0.86286038887670469</v>
      </c>
      <c r="K11" s="296">
        <v>6.953616224996682</v>
      </c>
      <c r="L11" s="308">
        <f>H13/H12</f>
        <v>1.1129353525988899</v>
      </c>
      <c r="M11" s="280">
        <f>I13/I12</f>
        <v>1.1297619715754073</v>
      </c>
      <c r="N11" s="281">
        <f>J13/J12</f>
        <v>1.0668411910656952</v>
      </c>
    </row>
    <row r="12" spans="1:14" ht="12.75" x14ac:dyDescent="0.25">
      <c r="A12" s="155"/>
      <c r="B12" s="551" t="s">
        <v>1</v>
      </c>
      <c r="C12" s="297">
        <v>1</v>
      </c>
      <c r="D12" s="298">
        <v>0.95237041544459156</v>
      </c>
      <c r="E12" s="298">
        <v>0.90492387570599486</v>
      </c>
      <c r="F12" s="298">
        <v>0.84925609242944777</v>
      </c>
      <c r="G12" s="298">
        <v>0.84925609144335201</v>
      </c>
      <c r="H12" s="310">
        <v>0.77702109529823793</v>
      </c>
      <c r="I12" s="297">
        <v>0.75148314706808106</v>
      </c>
      <c r="J12" s="298">
        <v>0.83456399202803333</v>
      </c>
      <c r="K12" s="428">
        <v>7.1893827882745001</v>
      </c>
      <c r="L12" s="311"/>
      <c r="M12" s="284"/>
      <c r="N12" s="285"/>
    </row>
    <row r="13" spans="1:14" ht="12.75" x14ac:dyDescent="0.25">
      <c r="A13" s="286"/>
      <c r="B13" s="552" t="s">
        <v>0</v>
      </c>
      <c r="C13" s="314">
        <v>1</v>
      </c>
      <c r="D13" s="380">
        <v>0.98389758179231768</v>
      </c>
      <c r="E13" s="380">
        <v>0.96198378800790518</v>
      </c>
      <c r="F13" s="380">
        <v>0.93839739594550919</v>
      </c>
      <c r="G13" s="380">
        <v>0.93839739593404414</v>
      </c>
      <c r="H13" s="313">
        <v>0.86477424667252001</v>
      </c>
      <c r="I13" s="314">
        <v>0.84899708183732692</v>
      </c>
      <c r="J13" s="380">
        <v>0.89034724327572834</v>
      </c>
      <c r="K13" s="429">
        <v>6.7389437607792795</v>
      </c>
      <c r="L13" s="433"/>
      <c r="M13" s="289"/>
      <c r="N13" s="290"/>
    </row>
    <row r="14" spans="1:14" ht="10.35" customHeight="1" x14ac:dyDescent="0.25">
      <c r="A14" s="301" t="s">
        <v>118</v>
      </c>
      <c r="B14" s="551" t="s">
        <v>2</v>
      </c>
      <c r="C14" s="297">
        <v>1</v>
      </c>
      <c r="D14" s="298">
        <v>0.94860565466579283</v>
      </c>
      <c r="E14" s="298">
        <v>0.88423204022629476</v>
      </c>
      <c r="F14" s="298">
        <v>0.80929414923500975</v>
      </c>
      <c r="G14" s="298">
        <v>0.80929414851465498</v>
      </c>
      <c r="H14" s="310">
        <v>0.70161022446768562</v>
      </c>
      <c r="I14" s="297">
        <v>0.69524871257697995</v>
      </c>
      <c r="J14" s="298">
        <v>0.79957834151077178</v>
      </c>
      <c r="K14" s="428">
        <v>7.5039551329807619</v>
      </c>
      <c r="L14" s="311">
        <f t="shared" ref="L14:N14" si="0">H16/H15</f>
        <v>1.1611520740776269</v>
      </c>
      <c r="M14" s="284">
        <f t="shared" si="0"/>
        <v>1.1453155766232428</v>
      </c>
      <c r="N14" s="285">
        <f t="shared" si="0"/>
        <v>1.0793639898924046</v>
      </c>
    </row>
    <row r="15" spans="1:14" ht="12.75" x14ac:dyDescent="0.25">
      <c r="A15" s="155"/>
      <c r="B15" s="551" t="s">
        <v>1</v>
      </c>
      <c r="C15" s="297">
        <v>1</v>
      </c>
      <c r="D15" s="298">
        <v>0.93593350383206919</v>
      </c>
      <c r="E15" s="298">
        <v>0.85647981305411991</v>
      </c>
      <c r="F15" s="298">
        <v>0.76877202675224798</v>
      </c>
      <c r="G15" s="298">
        <v>0.75490192109591592</v>
      </c>
      <c r="H15" s="310">
        <v>0.64549074758934977</v>
      </c>
      <c r="I15" s="297">
        <v>0.64417520938094763</v>
      </c>
      <c r="J15" s="298">
        <v>0.76476971930475124</v>
      </c>
      <c r="K15" s="428">
        <v>7.8454989110376561</v>
      </c>
      <c r="L15" s="311"/>
      <c r="M15" s="284"/>
      <c r="N15" s="285"/>
    </row>
    <row r="16" spans="1:14" ht="12.75" x14ac:dyDescent="0.25">
      <c r="A16" s="286"/>
      <c r="B16" s="552" t="s">
        <v>0</v>
      </c>
      <c r="C16" s="314">
        <v>1</v>
      </c>
      <c r="D16" s="380">
        <v>0.96146360451537338</v>
      </c>
      <c r="E16" s="380">
        <v>0.91314376542486253</v>
      </c>
      <c r="F16" s="380">
        <v>0.8526215897081747</v>
      </c>
      <c r="G16" s="380">
        <v>0.85262158969860546</v>
      </c>
      <c r="H16" s="313">
        <v>0.74951292036129136</v>
      </c>
      <c r="I16" s="314">
        <v>0.73778390137853822</v>
      </c>
      <c r="J16" s="380">
        <v>0.82546489557767055</v>
      </c>
      <c r="K16" s="429">
        <v>7.2686313278060419</v>
      </c>
      <c r="L16" s="433"/>
      <c r="M16" s="289"/>
      <c r="N16" s="290"/>
    </row>
    <row r="17" spans="1:14" ht="12.75" x14ac:dyDescent="0.25">
      <c r="A17" s="301" t="s">
        <v>119</v>
      </c>
      <c r="B17" s="551" t="s">
        <v>2</v>
      </c>
      <c r="C17" s="297">
        <v>1</v>
      </c>
      <c r="D17" s="298">
        <v>0.93776780248916869</v>
      </c>
      <c r="E17" s="298">
        <v>0.85886884086617887</v>
      </c>
      <c r="F17" s="298">
        <v>0.77373340292339432</v>
      </c>
      <c r="G17" s="298">
        <v>0.77373340281918368</v>
      </c>
      <c r="H17" s="310">
        <v>0.66119664250747334</v>
      </c>
      <c r="I17" s="297">
        <v>0.63333803397078992</v>
      </c>
      <c r="J17" s="298">
        <v>0.75177608494650938</v>
      </c>
      <c r="K17" s="428">
        <v>7.9810998515959897</v>
      </c>
      <c r="L17" s="311">
        <f t="shared" ref="L17:N17" si="1">H19/H18</f>
        <v>1.1909137754985437</v>
      </c>
      <c r="M17" s="284">
        <f t="shared" si="1"/>
        <v>1.2020724676925549</v>
      </c>
      <c r="N17" s="291">
        <f t="shared" si="1"/>
        <v>1.1087979319056136</v>
      </c>
    </row>
    <row r="18" spans="1:14" ht="12.75" x14ac:dyDescent="0.25">
      <c r="A18" s="155"/>
      <c r="B18" s="551" t="s">
        <v>1</v>
      </c>
      <c r="C18" s="297">
        <v>1</v>
      </c>
      <c r="D18" s="298">
        <v>0.91933877713454437</v>
      </c>
      <c r="E18" s="298">
        <v>0.82329663272090048</v>
      </c>
      <c r="F18" s="298">
        <v>0.72201870343355179</v>
      </c>
      <c r="G18" s="298">
        <v>0.71718473692534901</v>
      </c>
      <c r="H18" s="310">
        <v>0.60463568789910171</v>
      </c>
      <c r="I18" s="297">
        <v>0.57640159850821859</v>
      </c>
      <c r="J18" s="298">
        <v>0.71230518225495798</v>
      </c>
      <c r="K18" s="428">
        <v>8.423355816401175</v>
      </c>
      <c r="L18" s="311"/>
      <c r="M18" s="284"/>
      <c r="N18" s="285"/>
    </row>
    <row r="19" spans="1:14" ht="12.75" x14ac:dyDescent="0.25">
      <c r="A19" s="286"/>
      <c r="B19" s="552" t="s">
        <v>0</v>
      </c>
      <c r="C19" s="314">
        <v>1</v>
      </c>
      <c r="D19" s="380">
        <v>0.95712194101652226</v>
      </c>
      <c r="E19" s="380">
        <v>0.89683235158837848</v>
      </c>
      <c r="F19" s="380">
        <v>0.83111538771422955</v>
      </c>
      <c r="G19" s="380">
        <v>0.83111538771050397</v>
      </c>
      <c r="H19" s="313">
        <v>0.72006896987707836</v>
      </c>
      <c r="I19" s="314">
        <v>0.69287649190070766</v>
      </c>
      <c r="J19" s="380">
        <v>0.78980251296994863</v>
      </c>
      <c r="K19" s="429">
        <v>7.5968357930867905</v>
      </c>
      <c r="L19" s="433"/>
      <c r="M19" s="289"/>
      <c r="N19" s="290"/>
    </row>
    <row r="20" spans="1:14" ht="12.75" x14ac:dyDescent="0.25">
      <c r="A20" s="301" t="s">
        <v>120</v>
      </c>
      <c r="B20" s="551" t="s">
        <v>2</v>
      </c>
      <c r="C20" s="297">
        <v>1</v>
      </c>
      <c r="D20" s="298">
        <v>0.91399796310494852</v>
      </c>
      <c r="E20" s="298">
        <v>0.83299876751708235</v>
      </c>
      <c r="F20" s="298">
        <v>0.73008769927350925</v>
      </c>
      <c r="G20" s="298">
        <v>0.60904765273746408</v>
      </c>
      <c r="H20" s="310">
        <v>0.52158902776279281</v>
      </c>
      <c r="I20" s="297">
        <v>0.49992170182200235</v>
      </c>
      <c r="J20" s="298">
        <v>0.64071155308893279</v>
      </c>
      <c r="K20" s="428">
        <v>9.3645884346449133</v>
      </c>
      <c r="L20" s="311">
        <f t="shared" ref="L20:N20" si="2">H22/H21</f>
        <v>1.2829260243132203</v>
      </c>
      <c r="M20" s="284">
        <f t="shared" si="2"/>
        <v>1.2914892209349238</v>
      </c>
      <c r="N20" s="291">
        <f t="shared" si="2"/>
        <v>1.15974931759108</v>
      </c>
    </row>
    <row r="21" spans="1:14" ht="12.75" x14ac:dyDescent="0.25">
      <c r="A21" s="155"/>
      <c r="B21" s="551" t="s">
        <v>1</v>
      </c>
      <c r="C21" s="297">
        <v>1</v>
      </c>
      <c r="D21" s="298">
        <v>0.88977272722773137</v>
      </c>
      <c r="E21" s="298">
        <v>0.78175391125186999</v>
      </c>
      <c r="F21" s="298">
        <v>0.65574751840528167</v>
      </c>
      <c r="G21" s="298">
        <v>0.54377412284839088</v>
      </c>
      <c r="H21" s="310">
        <v>0.45993177676396135</v>
      </c>
      <c r="I21" s="297">
        <v>0.43930055134912088</v>
      </c>
      <c r="J21" s="298">
        <v>0.59393166251545082</v>
      </c>
      <c r="K21" s="428">
        <v>10.10217231825709</v>
      </c>
      <c r="L21" s="311"/>
      <c r="M21" s="284"/>
      <c r="N21" s="285"/>
    </row>
    <row r="22" spans="1:14" ht="12.75" x14ac:dyDescent="0.25">
      <c r="A22" s="286"/>
      <c r="B22" s="552" t="s">
        <v>0</v>
      </c>
      <c r="C22" s="314">
        <v>1</v>
      </c>
      <c r="D22" s="380">
        <v>0.93802118548553737</v>
      </c>
      <c r="E22" s="380">
        <v>0.88589801118315414</v>
      </c>
      <c r="F22" s="380">
        <v>0.8106414979878579</v>
      </c>
      <c r="G22" s="380">
        <v>0.68045656241856378</v>
      </c>
      <c r="H22" s="313">
        <v>0.59005844581910449</v>
      </c>
      <c r="I22" s="314">
        <v>0.5673519268181586</v>
      </c>
      <c r="J22" s="380">
        <v>0.68881184029802967</v>
      </c>
      <c r="K22" s="429">
        <v>8.710651659826242</v>
      </c>
      <c r="L22" s="433"/>
      <c r="M22" s="289"/>
      <c r="N22" s="290"/>
    </row>
    <row r="23" spans="1:14" ht="12.75" x14ac:dyDescent="0.25">
      <c r="A23" s="301" t="s">
        <v>121</v>
      </c>
      <c r="B23" s="551" t="s">
        <v>2</v>
      </c>
      <c r="C23" s="297">
        <v>1</v>
      </c>
      <c r="D23" s="298">
        <v>0.86918071079745773</v>
      </c>
      <c r="E23" s="298">
        <v>0.73355062862606468</v>
      </c>
      <c r="F23" s="298">
        <v>0.57614405813722358</v>
      </c>
      <c r="G23" s="298">
        <v>0.46062599083280142</v>
      </c>
      <c r="H23" s="310">
        <v>0.34599847318798954</v>
      </c>
      <c r="I23" s="297">
        <v>0.33576922471414</v>
      </c>
      <c r="J23" s="298">
        <v>0.49284408549830422</v>
      </c>
      <c r="K23" s="428">
        <v>12.17423557783701</v>
      </c>
      <c r="L23" s="311">
        <f t="shared" ref="L23:N23" si="3">H25/H24</f>
        <v>1.4673848106841818</v>
      </c>
      <c r="M23" s="284">
        <f t="shared" si="3"/>
        <v>1.4747925359999108</v>
      </c>
      <c r="N23" s="291">
        <f t="shared" si="3"/>
        <v>1.293055487643191</v>
      </c>
    </row>
    <row r="24" spans="1:14" ht="12.75" x14ac:dyDescent="0.25">
      <c r="A24" s="155"/>
      <c r="B24" s="551" t="s">
        <v>1</v>
      </c>
      <c r="C24" s="297">
        <v>1</v>
      </c>
      <c r="D24" s="298">
        <v>0.83043780344911122</v>
      </c>
      <c r="E24" s="298">
        <v>0.67236985470333721</v>
      </c>
      <c r="F24" s="298">
        <v>0.50022758263797606</v>
      </c>
      <c r="G24" s="298">
        <v>0.38730931326130913</v>
      </c>
      <c r="H24" s="310">
        <v>0.2819801216924403</v>
      </c>
      <c r="I24" s="297">
        <v>0.27289300820210383</v>
      </c>
      <c r="J24" s="298">
        <v>0.42876529021032778</v>
      </c>
      <c r="K24" s="428">
        <v>13.993670049776517</v>
      </c>
      <c r="L24" s="311"/>
      <c r="M24" s="284"/>
      <c r="N24" s="285"/>
    </row>
    <row r="25" spans="1:14" ht="12.75" x14ac:dyDescent="0.25">
      <c r="A25" s="286"/>
      <c r="B25" s="552" t="s">
        <v>0</v>
      </c>
      <c r="C25" s="314">
        <v>1</v>
      </c>
      <c r="D25" s="380">
        <v>0.9049759229531964</v>
      </c>
      <c r="E25" s="380">
        <v>0.79150020526732501</v>
      </c>
      <c r="F25" s="380">
        <v>0.65167315533117287</v>
      </c>
      <c r="G25" s="380">
        <v>0.53659002530904565</v>
      </c>
      <c r="H25" s="313">
        <v>0.41377334748636407</v>
      </c>
      <c r="I25" s="314">
        <v>0.40246057162302518</v>
      </c>
      <c r="J25" s="380">
        <v>0.5544173114173897</v>
      </c>
      <c r="K25" s="429">
        <v>10.822172894747393</v>
      </c>
      <c r="L25" s="433"/>
      <c r="M25" s="289"/>
      <c r="N25" s="290"/>
    </row>
    <row r="26" spans="1:14" ht="12.75" x14ac:dyDescent="0.25">
      <c r="A26" s="301" t="s">
        <v>122</v>
      </c>
      <c r="B26" s="551" t="s">
        <v>2</v>
      </c>
      <c r="C26" s="351">
        <v>1</v>
      </c>
      <c r="D26" s="383">
        <v>0.92859598840901647</v>
      </c>
      <c r="E26" s="383">
        <v>0.82718419446515268</v>
      </c>
      <c r="F26" s="383">
        <v>0.72769851817976694</v>
      </c>
      <c r="G26" s="383">
        <v>0.66947286137651552</v>
      </c>
      <c r="H26" s="350">
        <v>0.57823934521958797</v>
      </c>
      <c r="I26" s="351">
        <v>0.56886425362220283</v>
      </c>
      <c r="J26" s="383">
        <v>0.70348635804864079</v>
      </c>
      <c r="K26" s="430">
        <v>8.5289500376994436</v>
      </c>
      <c r="L26" s="441">
        <f t="shared" ref="L26:N26" si="4">H28/H27</f>
        <v>1.2318331783852599</v>
      </c>
      <c r="M26" s="293">
        <f t="shared" si="4"/>
        <v>1.2720092035805282</v>
      </c>
      <c r="N26" s="346">
        <f t="shared" si="4"/>
        <v>1.1537277398172361</v>
      </c>
    </row>
    <row r="27" spans="1:14" ht="12.75" x14ac:dyDescent="0.25">
      <c r="A27" s="347"/>
      <c r="B27" s="551" t="s">
        <v>1</v>
      </c>
      <c r="C27" s="351">
        <v>1</v>
      </c>
      <c r="D27" s="383">
        <v>0.89828544763797413</v>
      </c>
      <c r="E27" s="383">
        <v>0.77536214595277031</v>
      </c>
      <c r="F27" s="383">
        <v>0.65031481616692888</v>
      </c>
      <c r="G27" s="383">
        <v>0.60687249043633051</v>
      </c>
      <c r="H27" s="350">
        <v>0.51997034300105693</v>
      </c>
      <c r="I27" s="351">
        <v>0.50263264709364275</v>
      </c>
      <c r="J27" s="383">
        <v>0.65265879677808802</v>
      </c>
      <c r="K27" s="430">
        <v>9.1931649885354609</v>
      </c>
      <c r="L27" s="441"/>
      <c r="M27" s="293"/>
      <c r="N27" s="352"/>
    </row>
    <row r="28" spans="1:14" ht="12.75" x14ac:dyDescent="0.25">
      <c r="A28" s="286"/>
      <c r="B28" s="552" t="s">
        <v>0</v>
      </c>
      <c r="C28" s="356">
        <v>1</v>
      </c>
      <c r="D28" s="390">
        <v>0.95826718076518524</v>
      </c>
      <c r="E28" s="390">
        <v>0.88088498578961472</v>
      </c>
      <c r="F28" s="390">
        <v>0.81176846967300098</v>
      </c>
      <c r="G28" s="390">
        <v>0.7362551228409201</v>
      </c>
      <c r="H28" s="355">
        <v>0.64051672028506568</v>
      </c>
      <c r="I28" s="356">
        <v>0.63935335312315722</v>
      </c>
      <c r="J28" s="390">
        <v>0.75299055847862029</v>
      </c>
      <c r="K28" s="440">
        <v>7.9682273999858637</v>
      </c>
      <c r="L28" s="442"/>
      <c r="M28" s="357"/>
      <c r="N28" s="358"/>
    </row>
    <row r="29" spans="1:14" ht="12.75" x14ac:dyDescent="0.25">
      <c r="A29" s="301" t="s">
        <v>123</v>
      </c>
      <c r="B29" s="551" t="s">
        <v>2</v>
      </c>
      <c r="C29" s="351">
        <v>1</v>
      </c>
      <c r="D29" s="383">
        <v>0.97161682716663589</v>
      </c>
      <c r="E29" s="383">
        <v>0.91725121507703844</v>
      </c>
      <c r="F29" s="383">
        <v>0.87168108232185293</v>
      </c>
      <c r="G29" s="383">
        <v>0.87168108148980039</v>
      </c>
      <c r="H29" s="350">
        <v>0.77551279526570593</v>
      </c>
      <c r="I29" s="351">
        <v>0.77124685277513128</v>
      </c>
      <c r="J29" s="383">
        <v>0.84506797397427114</v>
      </c>
      <c r="K29" s="430">
        <v>7.1000205720524399</v>
      </c>
      <c r="L29" s="441">
        <f t="shared" ref="L29:N29" si="5">H31/H30</f>
        <v>1.1541626736163204</v>
      </c>
      <c r="M29" s="293">
        <f t="shared" si="5"/>
        <v>1.1585493028282028</v>
      </c>
      <c r="N29" s="346">
        <f t="shared" si="5"/>
        <v>1.068330752259294</v>
      </c>
    </row>
    <row r="30" spans="1:14" ht="12.75" x14ac:dyDescent="0.25">
      <c r="A30" s="155"/>
      <c r="B30" s="551" t="s">
        <v>1</v>
      </c>
      <c r="C30" s="351">
        <v>1</v>
      </c>
      <c r="D30" s="383">
        <v>0.95329400196474934</v>
      </c>
      <c r="E30" s="383">
        <v>0.87515514891316926</v>
      </c>
      <c r="F30" s="383">
        <v>0.80569838325497889</v>
      </c>
      <c r="G30" s="383">
        <v>0.80569837349251106</v>
      </c>
      <c r="H30" s="350">
        <v>0.72170438161089723</v>
      </c>
      <c r="I30" s="351">
        <v>0.71625069610754033</v>
      </c>
      <c r="J30" s="383">
        <v>0.81698602786372299</v>
      </c>
      <c r="K30" s="430">
        <v>7.344066844923848</v>
      </c>
      <c r="L30" s="441"/>
      <c r="M30" s="293"/>
      <c r="N30" s="352"/>
    </row>
    <row r="31" spans="1:14" ht="12.75" x14ac:dyDescent="0.25">
      <c r="A31" s="286"/>
      <c r="B31" s="552" t="s">
        <v>0</v>
      </c>
      <c r="C31" s="356">
        <v>1</v>
      </c>
      <c r="D31" s="390">
        <v>0.99110878661087798</v>
      </c>
      <c r="E31" s="390">
        <v>0.96078719359566866</v>
      </c>
      <c r="F31" s="390">
        <v>0.94181754248816874</v>
      </c>
      <c r="G31" s="390">
        <v>0.94181754247996785</v>
      </c>
      <c r="H31" s="355">
        <v>0.83296425864064627</v>
      </c>
      <c r="I31" s="356">
        <v>0.82981174462560581</v>
      </c>
      <c r="J31" s="390">
        <v>0.8728112977329836</v>
      </c>
      <c r="K31" s="440">
        <v>6.8743381479871282</v>
      </c>
      <c r="L31" s="442"/>
      <c r="M31" s="357"/>
      <c r="N31" s="358"/>
    </row>
    <row r="32" spans="1:14" ht="10.35" customHeight="1" x14ac:dyDescent="0.25">
      <c r="A32" s="301" t="s">
        <v>124</v>
      </c>
      <c r="B32" s="551" t="s">
        <v>2</v>
      </c>
      <c r="C32" s="351">
        <v>1</v>
      </c>
      <c r="D32" s="383">
        <v>0.9491746307553014</v>
      </c>
      <c r="E32" s="383">
        <v>0.89573370611962799</v>
      </c>
      <c r="F32" s="383">
        <v>0.81403812313549551</v>
      </c>
      <c r="G32" s="383">
        <v>0.81403812113961371</v>
      </c>
      <c r="H32" s="350">
        <v>0.71178285751695969</v>
      </c>
      <c r="I32" s="351">
        <v>0.67236299403678856</v>
      </c>
      <c r="J32" s="383">
        <v>0.76678293210767656</v>
      </c>
      <c r="K32" s="430">
        <v>7.8249003058892317</v>
      </c>
      <c r="L32" s="441">
        <f t="shared" ref="L32:N32" si="6">H34/H33</f>
        <v>1.2031591253460809</v>
      </c>
      <c r="M32" s="293">
        <f t="shared" si="6"/>
        <v>1.2098089529198186</v>
      </c>
      <c r="N32" s="346">
        <f t="shared" si="6"/>
        <v>1.1196252146590149</v>
      </c>
    </row>
    <row r="33" spans="1:14" ht="12.75" x14ac:dyDescent="0.25">
      <c r="A33" s="155"/>
      <c r="B33" s="551" t="s">
        <v>1</v>
      </c>
      <c r="C33" s="351">
        <v>1</v>
      </c>
      <c r="D33" s="383">
        <v>0.93478260868923435</v>
      </c>
      <c r="E33" s="383">
        <v>0.85935808877963338</v>
      </c>
      <c r="F33" s="383">
        <v>0.75391960140044068</v>
      </c>
      <c r="G33" s="383">
        <v>0.75391958427049877</v>
      </c>
      <c r="H33" s="350">
        <v>0.64843744058014219</v>
      </c>
      <c r="I33" s="351">
        <v>0.61075878892506374</v>
      </c>
      <c r="J33" s="383">
        <v>0.7240147745509975</v>
      </c>
      <c r="K33" s="430">
        <v>8.2871237036853831</v>
      </c>
      <c r="L33" s="441"/>
      <c r="M33" s="293"/>
      <c r="N33" s="352"/>
    </row>
    <row r="34" spans="1:14" ht="12.75" x14ac:dyDescent="0.25">
      <c r="A34" s="286"/>
      <c r="B34" s="552" t="s">
        <v>0</v>
      </c>
      <c r="C34" s="356">
        <v>1</v>
      </c>
      <c r="D34" s="390">
        <v>0.96354166666665475</v>
      </c>
      <c r="E34" s="390">
        <v>0.93182013031386124</v>
      </c>
      <c r="F34" s="390">
        <v>0.87709785629326642</v>
      </c>
      <c r="G34" s="390">
        <v>0.87709785623900216</v>
      </c>
      <c r="H34" s="355">
        <v>0.78017342385005517</v>
      </c>
      <c r="I34" s="356">
        <v>0.7389014509160079</v>
      </c>
      <c r="J34" s="390">
        <v>0.81062519737295879</v>
      </c>
      <c r="K34" s="440">
        <v>7.4016944198682149</v>
      </c>
      <c r="L34" s="442"/>
      <c r="M34" s="357"/>
      <c r="N34" s="358"/>
    </row>
    <row r="35" spans="1:14" ht="12.75" x14ac:dyDescent="0.25">
      <c r="A35" s="301" t="s">
        <v>125</v>
      </c>
      <c r="B35" s="551" t="s">
        <v>2</v>
      </c>
      <c r="C35" s="351">
        <v>1</v>
      </c>
      <c r="D35" s="383">
        <v>0.92563539376493331</v>
      </c>
      <c r="E35" s="383">
        <v>0.85609874391878615</v>
      </c>
      <c r="F35" s="383">
        <v>0.76557703390939913</v>
      </c>
      <c r="G35" s="383">
        <v>0.76557702052197829</v>
      </c>
      <c r="H35" s="350">
        <v>0.66242104811021307</v>
      </c>
      <c r="I35" s="351">
        <v>0.65174759718396591</v>
      </c>
      <c r="J35" s="383">
        <v>0.76864123044625809</v>
      </c>
      <c r="K35" s="430">
        <v>7.8059825082717946</v>
      </c>
      <c r="L35" s="441">
        <f t="shared" ref="L35:N35" si="7">H37/H36</f>
        <v>1.2981435541021535</v>
      </c>
      <c r="M35" s="293">
        <f t="shared" si="7"/>
        <v>1.2945914690879572</v>
      </c>
      <c r="N35" s="346">
        <f t="shared" si="7"/>
        <v>1.1246937330503983</v>
      </c>
    </row>
    <row r="36" spans="1:14" ht="12.75" x14ac:dyDescent="0.25">
      <c r="A36" s="347"/>
      <c r="B36" s="551" t="s">
        <v>1</v>
      </c>
      <c r="C36" s="351">
        <v>1</v>
      </c>
      <c r="D36" s="383">
        <v>0.88109756065419409</v>
      </c>
      <c r="E36" s="383">
        <v>0.78585917530955396</v>
      </c>
      <c r="F36" s="383">
        <v>0.66920441395339214</v>
      </c>
      <c r="G36" s="383">
        <v>0.66920432409349939</v>
      </c>
      <c r="H36" s="350">
        <v>0.57913960422317978</v>
      </c>
      <c r="I36" s="351">
        <v>0.57065404225653982</v>
      </c>
      <c r="J36" s="383">
        <v>0.72234934581218613</v>
      </c>
      <c r="K36" s="430">
        <v>8.3062302676467361</v>
      </c>
      <c r="L36" s="441"/>
      <c r="M36" s="293"/>
      <c r="N36" s="352"/>
    </row>
    <row r="37" spans="1:14" ht="12.75" x14ac:dyDescent="0.25">
      <c r="A37" s="286"/>
      <c r="B37" s="552" t="s">
        <v>0</v>
      </c>
      <c r="C37" s="356">
        <v>1</v>
      </c>
      <c r="D37" s="390">
        <v>0.97285067873289099</v>
      </c>
      <c r="E37" s="390">
        <v>0.92886388937245123</v>
      </c>
      <c r="F37" s="390">
        <v>0.8690257309041739</v>
      </c>
      <c r="G37" s="390">
        <v>0.86902573012842332</v>
      </c>
      <c r="H37" s="355">
        <v>0.75180634414759318</v>
      </c>
      <c r="I37" s="356">
        <v>0.73876385490587504</v>
      </c>
      <c r="J37" s="390">
        <v>0.81242178230802076</v>
      </c>
      <c r="K37" s="440">
        <v>7.3853263546855104</v>
      </c>
      <c r="L37" s="442"/>
      <c r="M37" s="357"/>
      <c r="N37" s="358"/>
    </row>
    <row r="38" spans="1:14" ht="12.75" x14ac:dyDescent="0.25">
      <c r="A38" s="301" t="s">
        <v>126</v>
      </c>
      <c r="B38" s="551" t="s">
        <v>2</v>
      </c>
      <c r="C38" s="297">
        <v>1</v>
      </c>
      <c r="D38" s="298">
        <v>0.96147598050591043</v>
      </c>
      <c r="E38" s="298">
        <v>0.92862777064475832</v>
      </c>
      <c r="F38" s="298">
        <v>0.88807272539428461</v>
      </c>
      <c r="G38" s="298">
        <v>0.88807272535293125</v>
      </c>
      <c r="H38" s="310">
        <v>0.80458446303350717</v>
      </c>
      <c r="I38" s="297">
        <v>0.77514414635370976</v>
      </c>
      <c r="J38" s="298">
        <v>0.84401261168151309</v>
      </c>
      <c r="K38" s="428">
        <v>7.1088985128389179</v>
      </c>
      <c r="L38" s="311">
        <f t="shared" ref="L38:N38" si="8">H40/H39</f>
        <v>1.1430318570039582</v>
      </c>
      <c r="M38" s="284">
        <f t="shared" si="8"/>
        <v>1.1284614215376627</v>
      </c>
      <c r="N38" s="291">
        <f t="shared" si="8"/>
        <v>1.035238766142019</v>
      </c>
    </row>
    <row r="39" spans="1:14" ht="12.75" x14ac:dyDescent="0.25">
      <c r="A39" s="155"/>
      <c r="B39" s="551" t="s">
        <v>1</v>
      </c>
      <c r="C39" s="297">
        <v>1</v>
      </c>
      <c r="D39" s="298">
        <v>0.94049733570155902</v>
      </c>
      <c r="E39" s="298">
        <v>0.8816896182867866</v>
      </c>
      <c r="F39" s="298">
        <v>0.82885133164662494</v>
      </c>
      <c r="G39" s="298">
        <v>0.82885133137331424</v>
      </c>
      <c r="H39" s="310">
        <v>0.75312197997905816</v>
      </c>
      <c r="I39" s="297">
        <v>0.73052478976871627</v>
      </c>
      <c r="J39" s="298">
        <v>0.82965781703091668</v>
      </c>
      <c r="K39" s="428">
        <v>7.2318971470335862</v>
      </c>
      <c r="L39" s="311"/>
      <c r="M39" s="284"/>
      <c r="N39" s="285"/>
    </row>
    <row r="40" spans="1:14" ht="12.75" x14ac:dyDescent="0.25">
      <c r="A40" s="286"/>
      <c r="B40" s="552" t="s">
        <v>0</v>
      </c>
      <c r="C40" s="314">
        <v>1</v>
      </c>
      <c r="D40" s="380">
        <v>0.98444336412250788</v>
      </c>
      <c r="E40" s="380">
        <v>0.97981068946771022</v>
      </c>
      <c r="F40" s="380">
        <v>0.95283543957881178</v>
      </c>
      <c r="G40" s="380">
        <v>0.95283543957646077</v>
      </c>
      <c r="H40" s="313">
        <v>0.86084241532596062</v>
      </c>
      <c r="I40" s="314">
        <v>0.82436904273090772</v>
      </c>
      <c r="J40" s="380">
        <v>0.85889393482316712</v>
      </c>
      <c r="K40" s="429">
        <v>6.9857286874837543</v>
      </c>
      <c r="L40" s="433"/>
      <c r="M40" s="289"/>
      <c r="N40" s="290"/>
    </row>
    <row r="41" spans="1:14" ht="12.75" x14ac:dyDescent="0.25">
      <c r="A41" s="301" t="s">
        <v>127</v>
      </c>
      <c r="B41" s="551" t="s">
        <v>2</v>
      </c>
      <c r="C41" s="297">
        <v>1</v>
      </c>
      <c r="D41" s="298">
        <v>0.96780650542114555</v>
      </c>
      <c r="E41" s="298">
        <v>0.94475565295803132</v>
      </c>
      <c r="F41" s="298">
        <v>0.8996523573588463</v>
      </c>
      <c r="G41" s="298">
        <v>0.89965235731887938</v>
      </c>
      <c r="H41" s="310">
        <v>0.82593166505374216</v>
      </c>
      <c r="I41" s="297">
        <v>0.81310507707635438</v>
      </c>
      <c r="J41" s="298">
        <v>0.87411486248926951</v>
      </c>
      <c r="K41" s="428">
        <v>6.8640864690407373</v>
      </c>
      <c r="L41" s="311">
        <f t="shared" ref="L41:N41" si="9">H43/H42</f>
        <v>1.1172353212043526</v>
      </c>
      <c r="M41" s="284">
        <f t="shared" si="9"/>
        <v>1.1368130871406199</v>
      </c>
      <c r="N41" s="291">
        <f t="shared" si="9"/>
        <v>1.0822145600693391</v>
      </c>
    </row>
    <row r="42" spans="1:14" ht="12.75" x14ac:dyDescent="0.25">
      <c r="A42" s="155"/>
      <c r="B42" s="551" t="s">
        <v>1</v>
      </c>
      <c r="C42" s="297">
        <v>1</v>
      </c>
      <c r="D42" s="298">
        <v>0.96076491922164575</v>
      </c>
      <c r="E42" s="298">
        <v>0.92420710852748389</v>
      </c>
      <c r="F42" s="298">
        <v>0.86101092413257108</v>
      </c>
      <c r="G42" s="298">
        <v>0.86101092388557365</v>
      </c>
      <c r="H42" s="310">
        <v>0.78118209600509814</v>
      </c>
      <c r="I42" s="297">
        <v>0.76186503131654493</v>
      </c>
      <c r="J42" s="298">
        <v>0.83927974329114619</v>
      </c>
      <c r="K42" s="428">
        <v>7.1489870307981445</v>
      </c>
      <c r="L42" s="311"/>
      <c r="M42" s="284"/>
      <c r="N42" s="285"/>
    </row>
    <row r="43" spans="1:14" ht="12.75" x14ac:dyDescent="0.25">
      <c r="A43" s="286"/>
      <c r="B43" s="552" t="s">
        <v>0</v>
      </c>
      <c r="C43" s="314">
        <v>1</v>
      </c>
      <c r="D43" s="380">
        <v>0.9750168804861552</v>
      </c>
      <c r="E43" s="380">
        <v>0.96622075318094358</v>
      </c>
      <c r="F43" s="380">
        <v>0.93982463349291701</v>
      </c>
      <c r="G43" s="380">
        <v>0.93982463349034528</v>
      </c>
      <c r="H43" s="313">
        <v>0.87276422994934522</v>
      </c>
      <c r="I43" s="314">
        <v>0.86609813823544646</v>
      </c>
      <c r="J43" s="380">
        <v>0.90828075816093568</v>
      </c>
      <c r="K43" s="429">
        <v>6.6058869419942905</v>
      </c>
      <c r="L43" s="433"/>
      <c r="M43" s="289"/>
      <c r="N43" s="290"/>
    </row>
    <row r="44" spans="1:14" ht="12.75" x14ac:dyDescent="0.25">
      <c r="A44" s="315" t="s">
        <v>15</v>
      </c>
      <c r="B44" s="553" t="s">
        <v>2</v>
      </c>
      <c r="C44" s="325">
        <v>1</v>
      </c>
      <c r="D44" s="326">
        <v>0.94683289378982705</v>
      </c>
      <c r="E44" s="326">
        <v>0.8858628267526627</v>
      </c>
      <c r="F44" s="326">
        <v>0.8124395788776122</v>
      </c>
      <c r="G44" s="326">
        <v>0.81243957810897716</v>
      </c>
      <c r="H44" s="327">
        <v>0.71706570394236113</v>
      </c>
      <c r="I44" s="325">
        <v>0.69955521684390209</v>
      </c>
      <c r="J44" s="326">
        <v>0.80075987545079508</v>
      </c>
      <c r="K44" s="328">
        <v>7.4928829277593927</v>
      </c>
      <c r="L44" s="554">
        <f t="shared" ref="L44:N44" si="10">H46/H45</f>
        <v>1.1679853702448695</v>
      </c>
      <c r="M44" s="555">
        <f t="shared" si="10"/>
        <v>1.177289176577492</v>
      </c>
      <c r="N44" s="556">
        <f t="shared" si="10"/>
        <v>1.0916042875154359</v>
      </c>
    </row>
    <row r="45" spans="1:14" ht="12.75" x14ac:dyDescent="0.25">
      <c r="A45" s="323"/>
      <c r="B45" s="553" t="s">
        <v>1</v>
      </c>
      <c r="C45" s="325">
        <v>1</v>
      </c>
      <c r="D45" s="326">
        <v>0.92784249633408022</v>
      </c>
      <c r="E45" s="326">
        <v>0.84920189411877833</v>
      </c>
      <c r="F45" s="326">
        <v>0.75732267946809062</v>
      </c>
      <c r="G45" s="326">
        <v>0.75732267341559134</v>
      </c>
      <c r="H45" s="327">
        <v>0.66310589003975573</v>
      </c>
      <c r="I45" s="325">
        <v>0.64418823971273176</v>
      </c>
      <c r="J45" s="326">
        <v>0.76561960823451569</v>
      </c>
      <c r="K45" s="328">
        <v>7.8367898829494838</v>
      </c>
      <c r="L45" s="554"/>
      <c r="M45" s="555"/>
      <c r="N45" s="557"/>
    </row>
    <row r="46" spans="1:14" ht="13.5" thickBot="1" x14ac:dyDescent="0.3">
      <c r="A46" s="330"/>
      <c r="B46" s="558" t="s">
        <v>0</v>
      </c>
      <c r="C46" s="332">
        <v>1</v>
      </c>
      <c r="D46" s="333">
        <v>0.96617880512640808</v>
      </c>
      <c r="E46" s="333">
        <v>0.92380459535366721</v>
      </c>
      <c r="F46" s="333">
        <v>0.8708534296566085</v>
      </c>
      <c r="G46" s="333">
        <v>0.87085342963160162</v>
      </c>
      <c r="H46" s="334">
        <v>0.77449797848963786</v>
      </c>
      <c r="I46" s="332">
        <v>0.75839584229230605</v>
      </c>
      <c r="J46" s="333">
        <v>0.83575364695468568</v>
      </c>
      <c r="K46" s="335">
        <v>7.1791490493194559</v>
      </c>
      <c r="L46" s="559"/>
      <c r="M46" s="560"/>
      <c r="N46" s="561"/>
    </row>
  </sheetData>
  <sheetProtection algorithmName="SHA-512" hashValue="bREsMQOmkqcTVrQFtLPC9ZuhvDBXJ7LwOQRfTCbNioSLpKt8ZE30Y4SvJiXmUUF2HL57anmc+kWU/SrrrsnBqw==" saltValue="t+cuz0F5y+ji89Rv079Htg==" spinCount="100000" sheet="1" objects="1" scenarios="1"/>
  <mergeCells count="8">
    <mergeCell ref="A6:N6"/>
    <mergeCell ref="B9:B10"/>
    <mergeCell ref="C9:G9"/>
    <mergeCell ref="A1:N1"/>
    <mergeCell ref="A2:N2"/>
    <mergeCell ref="A3:N3"/>
    <mergeCell ref="A4:N4"/>
    <mergeCell ref="A5:N5"/>
  </mergeCells>
  <printOptions horizontalCentered="1"/>
  <pageMargins left="0" right="0" top="1" bottom="0.75" header="0.5" footer="0.35"/>
  <pageSetup paperSize="9" scale="66" orientation="portrait" horizontalDpi="300" verticalDpi="300" r:id="rId1"/>
  <headerFooter alignWithMargins="0">
    <oddFooter>&amp;C&amp;8Page &amp;P of &amp;N</oddFooter>
  </headerFooter>
  <picture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6676E-7157-42EA-86BD-69F0E8B39386}">
  <sheetPr>
    <tabColor rgb="FF0000FF"/>
    <pageSetUpPr fitToPage="1"/>
  </sheetPr>
  <dimension ref="A1:J46"/>
  <sheetViews>
    <sheetView showGridLines="0" zoomScaleNormal="100" workbookViewId="0">
      <pane xSplit="2" ySplit="8" topLeftCell="C9" activePane="bottomRight" state="frozen"/>
      <selection activeCell="B9" sqref="B9:B12"/>
      <selection pane="topRight" activeCell="B9" sqref="B9:B12"/>
      <selection pane="bottomLeft" activeCell="B9" sqref="B9:B12"/>
      <selection pane="bottomRight" activeCell="B9" sqref="B9:B12"/>
    </sheetView>
  </sheetViews>
  <sheetFormatPr defaultRowHeight="11.25" x14ac:dyDescent="0.2"/>
  <cols>
    <col min="1" max="1" width="49.42578125" style="337" customWidth="1"/>
    <col min="2" max="2" width="9.85546875" style="338" customWidth="1"/>
    <col min="3" max="3" width="6.5703125" style="263" customWidth="1"/>
    <col min="4" max="4" width="7" style="263" bestFit="1" customWidth="1"/>
    <col min="5" max="5" width="7.42578125" style="263" bestFit="1" customWidth="1"/>
    <col min="6" max="6" width="7.85546875" style="263" bestFit="1" customWidth="1"/>
    <col min="7" max="7" width="7.140625" style="263" bestFit="1" customWidth="1"/>
    <col min="8" max="8" width="7.85546875" style="263" bestFit="1" customWidth="1"/>
    <col min="9" max="9" width="10.140625" style="263" bestFit="1" customWidth="1"/>
    <col min="10" max="10" width="9" style="364" bestFit="1" customWidth="1"/>
    <col min="11" max="197" width="8.7109375" style="338"/>
    <col min="198" max="198" width="23.85546875" style="338" customWidth="1"/>
    <col min="199" max="199" width="10.85546875" style="338" customWidth="1"/>
    <col min="200" max="200" width="6.5703125" style="338" customWidth="1"/>
    <col min="201" max="201" width="7" style="338" bestFit="1" customWidth="1"/>
    <col min="202" max="202" width="7.42578125" style="338" bestFit="1" customWidth="1"/>
    <col min="203" max="203" width="7.85546875" style="338" bestFit="1" customWidth="1"/>
    <col min="204" max="204" width="7.140625" style="338" bestFit="1" customWidth="1"/>
    <col min="205" max="205" width="7.85546875" style="338" bestFit="1" customWidth="1"/>
    <col min="206" max="207" width="10.140625" style="338" bestFit="1" customWidth="1"/>
    <col min="208" max="208" width="23.85546875" style="338" customWidth="1"/>
    <col min="209" max="209" width="10.85546875" style="338" customWidth="1"/>
    <col min="210" max="210" width="6.5703125" style="338" customWidth="1"/>
    <col min="211" max="211" width="7" style="338" customWidth="1"/>
    <col min="212" max="212" width="7.42578125" style="338" customWidth="1"/>
    <col min="213" max="213" width="7.85546875" style="338" customWidth="1"/>
    <col min="214" max="214" width="7.140625" style="338" customWidth="1"/>
    <col min="215" max="215" width="7.85546875" style="338" customWidth="1"/>
    <col min="216" max="217" width="10.140625" style="338" customWidth="1"/>
    <col min="218" max="218" width="14.85546875" style="338" customWidth="1"/>
    <col min="219" max="219" width="10.85546875" style="338" customWidth="1"/>
    <col min="220" max="220" width="6.5703125" style="338" customWidth="1"/>
    <col min="221" max="221" width="7" style="338" customWidth="1"/>
    <col min="222" max="222" width="7.42578125" style="338" customWidth="1"/>
    <col min="223" max="223" width="7.85546875" style="338" customWidth="1"/>
    <col min="224" max="224" width="7.140625" style="338" customWidth="1"/>
    <col min="225" max="225" width="7.85546875" style="338" customWidth="1"/>
    <col min="226" max="227" width="10.140625" style="338" customWidth="1"/>
    <col min="228" max="228" width="8.7109375" style="338"/>
    <col min="229" max="247" width="9.140625" style="338" customWidth="1"/>
    <col min="248" max="453" width="8.7109375" style="338"/>
    <col min="454" max="454" width="23.85546875" style="338" customWidth="1"/>
    <col min="455" max="455" width="10.85546875" style="338" customWidth="1"/>
    <col min="456" max="456" width="6.5703125" style="338" customWidth="1"/>
    <col min="457" max="457" width="7" style="338" bestFit="1" customWidth="1"/>
    <col min="458" max="458" width="7.42578125" style="338" bestFit="1" customWidth="1"/>
    <col min="459" max="459" width="7.85546875" style="338" bestFit="1" customWidth="1"/>
    <col min="460" max="460" width="7.140625" style="338" bestFit="1" customWidth="1"/>
    <col min="461" max="461" width="7.85546875" style="338" bestFit="1" customWidth="1"/>
    <col min="462" max="463" width="10.140625" style="338" bestFit="1" customWidth="1"/>
    <col min="464" max="464" width="23.85546875" style="338" customWidth="1"/>
    <col min="465" max="465" width="10.85546875" style="338" customWidth="1"/>
    <col min="466" max="466" width="6.5703125" style="338" customWidth="1"/>
    <col min="467" max="467" width="7" style="338" customWidth="1"/>
    <col min="468" max="468" width="7.42578125" style="338" customWidth="1"/>
    <col min="469" max="469" width="7.85546875" style="338" customWidth="1"/>
    <col min="470" max="470" width="7.140625" style="338" customWidth="1"/>
    <col min="471" max="471" width="7.85546875" style="338" customWidth="1"/>
    <col min="472" max="473" width="10.140625" style="338" customWidth="1"/>
    <col min="474" max="474" width="14.85546875" style="338" customWidth="1"/>
    <col min="475" max="475" width="10.85546875" style="338" customWidth="1"/>
    <col min="476" max="476" width="6.5703125" style="338" customWidth="1"/>
    <col min="477" max="477" width="7" style="338" customWidth="1"/>
    <col min="478" max="478" width="7.42578125" style="338" customWidth="1"/>
    <col min="479" max="479" width="7.85546875" style="338" customWidth="1"/>
    <col min="480" max="480" width="7.140625" style="338" customWidth="1"/>
    <col min="481" max="481" width="7.85546875" style="338" customWidth="1"/>
    <col min="482" max="483" width="10.140625" style="338" customWidth="1"/>
    <col min="484" max="484" width="8.7109375" style="338"/>
    <col min="485" max="503" width="9.140625" style="338" customWidth="1"/>
    <col min="504" max="709" width="8.7109375" style="338"/>
    <col min="710" max="710" width="23.85546875" style="338" customWidth="1"/>
    <col min="711" max="711" width="10.85546875" style="338" customWidth="1"/>
    <col min="712" max="712" width="6.5703125" style="338" customWidth="1"/>
    <col min="713" max="713" width="7" style="338" bestFit="1" customWidth="1"/>
    <col min="714" max="714" width="7.42578125" style="338" bestFit="1" customWidth="1"/>
    <col min="715" max="715" width="7.85546875" style="338" bestFit="1" customWidth="1"/>
    <col min="716" max="716" width="7.140625" style="338" bestFit="1" customWidth="1"/>
    <col min="717" max="717" width="7.85546875" style="338" bestFit="1" customWidth="1"/>
    <col min="718" max="719" width="10.140625" style="338" bestFit="1" customWidth="1"/>
    <col min="720" max="720" width="23.85546875" style="338" customWidth="1"/>
    <col min="721" max="721" width="10.85546875" style="338" customWidth="1"/>
    <col min="722" max="722" width="6.5703125" style="338" customWidth="1"/>
    <col min="723" max="723" width="7" style="338" customWidth="1"/>
    <col min="724" max="724" width="7.42578125" style="338" customWidth="1"/>
    <col min="725" max="725" width="7.85546875" style="338" customWidth="1"/>
    <col min="726" max="726" width="7.140625" style="338" customWidth="1"/>
    <col min="727" max="727" width="7.85546875" style="338" customWidth="1"/>
    <col min="728" max="729" width="10.140625" style="338" customWidth="1"/>
    <col min="730" max="730" width="14.85546875" style="338" customWidth="1"/>
    <col min="731" max="731" width="10.85546875" style="338" customWidth="1"/>
    <col min="732" max="732" width="6.5703125" style="338" customWidth="1"/>
    <col min="733" max="733" width="7" style="338" customWidth="1"/>
    <col min="734" max="734" width="7.42578125" style="338" customWidth="1"/>
    <col min="735" max="735" width="7.85546875" style="338" customWidth="1"/>
    <col min="736" max="736" width="7.140625" style="338" customWidth="1"/>
    <col min="737" max="737" width="7.85546875" style="338" customWidth="1"/>
    <col min="738" max="739" width="10.140625" style="338" customWidth="1"/>
    <col min="740" max="740" width="8.7109375" style="338"/>
    <col min="741" max="759" width="9.140625" style="338" customWidth="1"/>
    <col min="760" max="965" width="8.7109375" style="338"/>
    <col min="966" max="966" width="23.85546875" style="338" customWidth="1"/>
    <col min="967" max="967" width="10.85546875" style="338" customWidth="1"/>
    <col min="968" max="968" width="6.5703125" style="338" customWidth="1"/>
    <col min="969" max="969" width="7" style="338" bestFit="1" customWidth="1"/>
    <col min="970" max="970" width="7.42578125" style="338" bestFit="1" customWidth="1"/>
    <col min="971" max="971" width="7.85546875" style="338" bestFit="1" customWidth="1"/>
    <col min="972" max="972" width="7.140625" style="338" bestFit="1" customWidth="1"/>
    <col min="973" max="973" width="7.85546875" style="338" bestFit="1" customWidth="1"/>
    <col min="974" max="975" width="10.140625" style="338" bestFit="1" customWidth="1"/>
    <col min="976" max="976" width="23.85546875" style="338" customWidth="1"/>
    <col min="977" max="977" width="10.85546875" style="338" customWidth="1"/>
    <col min="978" max="978" width="6.5703125" style="338" customWidth="1"/>
    <col min="979" max="979" width="7" style="338" customWidth="1"/>
    <col min="980" max="980" width="7.42578125" style="338" customWidth="1"/>
    <col min="981" max="981" width="7.85546875" style="338" customWidth="1"/>
    <col min="982" max="982" width="7.140625" style="338" customWidth="1"/>
    <col min="983" max="983" width="7.85546875" style="338" customWidth="1"/>
    <col min="984" max="985" width="10.140625" style="338" customWidth="1"/>
    <col min="986" max="986" width="14.85546875" style="338" customWidth="1"/>
    <col min="987" max="987" width="10.85546875" style="338" customWidth="1"/>
    <col min="988" max="988" width="6.5703125" style="338" customWidth="1"/>
    <col min="989" max="989" width="7" style="338" customWidth="1"/>
    <col min="990" max="990" width="7.42578125" style="338" customWidth="1"/>
    <col min="991" max="991" width="7.85546875" style="338" customWidth="1"/>
    <col min="992" max="992" width="7.140625" style="338" customWidth="1"/>
    <col min="993" max="993" width="7.85546875" style="338" customWidth="1"/>
    <col min="994" max="995" width="10.140625" style="338" customWidth="1"/>
    <col min="996" max="996" width="8.7109375" style="338"/>
    <col min="997" max="1015" width="9.140625" style="338" customWidth="1"/>
    <col min="1016" max="1221" width="8.7109375" style="338"/>
    <col min="1222" max="1222" width="23.85546875" style="338" customWidth="1"/>
    <col min="1223" max="1223" width="10.85546875" style="338" customWidth="1"/>
    <col min="1224" max="1224" width="6.5703125" style="338" customWidth="1"/>
    <col min="1225" max="1225" width="7" style="338" bestFit="1" customWidth="1"/>
    <col min="1226" max="1226" width="7.42578125" style="338" bestFit="1" customWidth="1"/>
    <col min="1227" max="1227" width="7.85546875" style="338" bestFit="1" customWidth="1"/>
    <col min="1228" max="1228" width="7.140625" style="338" bestFit="1" customWidth="1"/>
    <col min="1229" max="1229" width="7.85546875" style="338" bestFit="1" customWidth="1"/>
    <col min="1230" max="1231" width="10.140625" style="338" bestFit="1" customWidth="1"/>
    <col min="1232" max="1232" width="23.85546875" style="338" customWidth="1"/>
    <col min="1233" max="1233" width="10.85546875" style="338" customWidth="1"/>
    <col min="1234" max="1234" width="6.5703125" style="338" customWidth="1"/>
    <col min="1235" max="1235" width="7" style="338" customWidth="1"/>
    <col min="1236" max="1236" width="7.42578125" style="338" customWidth="1"/>
    <col min="1237" max="1237" width="7.85546875" style="338" customWidth="1"/>
    <col min="1238" max="1238" width="7.140625" style="338" customWidth="1"/>
    <col min="1239" max="1239" width="7.85546875" style="338" customWidth="1"/>
    <col min="1240" max="1241" width="10.140625" style="338" customWidth="1"/>
    <col min="1242" max="1242" width="14.85546875" style="338" customWidth="1"/>
    <col min="1243" max="1243" width="10.85546875" style="338" customWidth="1"/>
    <col min="1244" max="1244" width="6.5703125" style="338" customWidth="1"/>
    <col min="1245" max="1245" width="7" style="338" customWidth="1"/>
    <col min="1246" max="1246" width="7.42578125" style="338" customWidth="1"/>
    <col min="1247" max="1247" width="7.85546875" style="338" customWidth="1"/>
    <col min="1248" max="1248" width="7.140625" style="338" customWidth="1"/>
    <col min="1249" max="1249" width="7.85546875" style="338" customWidth="1"/>
    <col min="1250" max="1251" width="10.140625" style="338" customWidth="1"/>
    <col min="1252" max="1252" width="8.7109375" style="338"/>
    <col min="1253" max="1271" width="9.140625" style="338" customWidth="1"/>
    <col min="1272" max="1477" width="8.7109375" style="338"/>
    <col min="1478" max="1478" width="23.85546875" style="338" customWidth="1"/>
    <col min="1479" max="1479" width="10.85546875" style="338" customWidth="1"/>
    <col min="1480" max="1480" width="6.5703125" style="338" customWidth="1"/>
    <col min="1481" max="1481" width="7" style="338" bestFit="1" customWidth="1"/>
    <col min="1482" max="1482" width="7.42578125" style="338" bestFit="1" customWidth="1"/>
    <col min="1483" max="1483" width="7.85546875" style="338" bestFit="1" customWidth="1"/>
    <col min="1484" max="1484" width="7.140625" style="338" bestFit="1" customWidth="1"/>
    <col min="1485" max="1485" width="7.85546875" style="338" bestFit="1" customWidth="1"/>
    <col min="1486" max="1487" width="10.140625" style="338" bestFit="1" customWidth="1"/>
    <col min="1488" max="1488" width="23.85546875" style="338" customWidth="1"/>
    <col min="1489" max="1489" width="10.85546875" style="338" customWidth="1"/>
    <col min="1490" max="1490" width="6.5703125" style="338" customWidth="1"/>
    <col min="1491" max="1491" width="7" style="338" customWidth="1"/>
    <col min="1492" max="1492" width="7.42578125" style="338" customWidth="1"/>
    <col min="1493" max="1493" width="7.85546875" style="338" customWidth="1"/>
    <col min="1494" max="1494" width="7.140625" style="338" customWidth="1"/>
    <col min="1495" max="1495" width="7.85546875" style="338" customWidth="1"/>
    <col min="1496" max="1497" width="10.140625" style="338" customWidth="1"/>
    <col min="1498" max="1498" width="14.85546875" style="338" customWidth="1"/>
    <col min="1499" max="1499" width="10.85546875" style="338" customWidth="1"/>
    <col min="1500" max="1500" width="6.5703125" style="338" customWidth="1"/>
    <col min="1501" max="1501" width="7" style="338" customWidth="1"/>
    <col min="1502" max="1502" width="7.42578125" style="338" customWidth="1"/>
    <col min="1503" max="1503" width="7.85546875" style="338" customWidth="1"/>
    <col min="1504" max="1504" width="7.140625" style="338" customWidth="1"/>
    <col min="1505" max="1505" width="7.85546875" style="338" customWidth="1"/>
    <col min="1506" max="1507" width="10.140625" style="338" customWidth="1"/>
    <col min="1508" max="1508" width="8.7109375" style="338"/>
    <col min="1509" max="1527" width="9.140625" style="338" customWidth="1"/>
    <col min="1528" max="1733" width="8.7109375" style="338"/>
    <col min="1734" max="1734" width="23.85546875" style="338" customWidth="1"/>
    <col min="1735" max="1735" width="10.85546875" style="338" customWidth="1"/>
    <col min="1736" max="1736" width="6.5703125" style="338" customWidth="1"/>
    <col min="1737" max="1737" width="7" style="338" bestFit="1" customWidth="1"/>
    <col min="1738" max="1738" width="7.42578125" style="338" bestFit="1" customWidth="1"/>
    <col min="1739" max="1739" width="7.85546875" style="338" bestFit="1" customWidth="1"/>
    <col min="1740" max="1740" width="7.140625" style="338" bestFit="1" customWidth="1"/>
    <col min="1741" max="1741" width="7.85546875" style="338" bestFit="1" customWidth="1"/>
    <col min="1742" max="1743" width="10.140625" style="338" bestFit="1" customWidth="1"/>
    <col min="1744" max="1744" width="23.85546875" style="338" customWidth="1"/>
    <col min="1745" max="1745" width="10.85546875" style="338" customWidth="1"/>
    <col min="1746" max="1746" width="6.5703125" style="338" customWidth="1"/>
    <col min="1747" max="1747" width="7" style="338" customWidth="1"/>
    <col min="1748" max="1748" width="7.42578125" style="338" customWidth="1"/>
    <col min="1749" max="1749" width="7.85546875" style="338" customWidth="1"/>
    <col min="1750" max="1750" width="7.140625" style="338" customWidth="1"/>
    <col min="1751" max="1751" width="7.85546875" style="338" customWidth="1"/>
    <col min="1752" max="1753" width="10.140625" style="338" customWidth="1"/>
    <col min="1754" max="1754" width="14.85546875" style="338" customWidth="1"/>
    <col min="1755" max="1755" width="10.85546875" style="338" customWidth="1"/>
    <col min="1756" max="1756" width="6.5703125" style="338" customWidth="1"/>
    <col min="1757" max="1757" width="7" style="338" customWidth="1"/>
    <col min="1758" max="1758" width="7.42578125" style="338" customWidth="1"/>
    <col min="1759" max="1759" width="7.85546875" style="338" customWidth="1"/>
    <col min="1760" max="1760" width="7.140625" style="338" customWidth="1"/>
    <col min="1761" max="1761" width="7.85546875" style="338" customWidth="1"/>
    <col min="1762" max="1763" width="10.140625" style="338" customWidth="1"/>
    <col min="1764" max="1764" width="8.7109375" style="338"/>
    <col min="1765" max="1783" width="9.140625" style="338" customWidth="1"/>
    <col min="1784" max="1989" width="8.7109375" style="338"/>
    <col min="1990" max="1990" width="23.85546875" style="338" customWidth="1"/>
    <col min="1991" max="1991" width="10.85546875" style="338" customWidth="1"/>
    <col min="1992" max="1992" width="6.5703125" style="338" customWidth="1"/>
    <col min="1993" max="1993" width="7" style="338" bestFit="1" customWidth="1"/>
    <col min="1994" max="1994" width="7.42578125" style="338" bestFit="1" customWidth="1"/>
    <col min="1995" max="1995" width="7.85546875" style="338" bestFit="1" customWidth="1"/>
    <col min="1996" max="1996" width="7.140625" style="338" bestFit="1" customWidth="1"/>
    <col min="1997" max="1997" width="7.85546875" style="338" bestFit="1" customWidth="1"/>
    <col min="1998" max="1999" width="10.140625" style="338" bestFit="1" customWidth="1"/>
    <col min="2000" max="2000" width="23.85546875" style="338" customWidth="1"/>
    <col min="2001" max="2001" width="10.85546875" style="338" customWidth="1"/>
    <col min="2002" max="2002" width="6.5703125" style="338" customWidth="1"/>
    <col min="2003" max="2003" width="7" style="338" customWidth="1"/>
    <col min="2004" max="2004" width="7.42578125" style="338" customWidth="1"/>
    <col min="2005" max="2005" width="7.85546875" style="338" customWidth="1"/>
    <col min="2006" max="2006" width="7.140625" style="338" customWidth="1"/>
    <col min="2007" max="2007" width="7.85546875" style="338" customWidth="1"/>
    <col min="2008" max="2009" width="10.140625" style="338" customWidth="1"/>
    <col min="2010" max="2010" width="14.85546875" style="338" customWidth="1"/>
    <col min="2011" max="2011" width="10.85546875" style="338" customWidth="1"/>
    <col min="2012" max="2012" width="6.5703125" style="338" customWidth="1"/>
    <col min="2013" max="2013" width="7" style="338" customWidth="1"/>
    <col min="2014" max="2014" width="7.42578125" style="338" customWidth="1"/>
    <col min="2015" max="2015" width="7.85546875" style="338" customWidth="1"/>
    <col min="2016" max="2016" width="7.140625" style="338" customWidth="1"/>
    <col min="2017" max="2017" width="7.85546875" style="338" customWidth="1"/>
    <col min="2018" max="2019" width="10.140625" style="338" customWidth="1"/>
    <col min="2020" max="2020" width="8.7109375" style="338"/>
    <col min="2021" max="2039" width="9.140625" style="338" customWidth="1"/>
    <col min="2040" max="2245" width="8.7109375" style="338"/>
    <col min="2246" max="2246" width="23.85546875" style="338" customWidth="1"/>
    <col min="2247" max="2247" width="10.85546875" style="338" customWidth="1"/>
    <col min="2248" max="2248" width="6.5703125" style="338" customWidth="1"/>
    <col min="2249" max="2249" width="7" style="338" bestFit="1" customWidth="1"/>
    <col min="2250" max="2250" width="7.42578125" style="338" bestFit="1" customWidth="1"/>
    <col min="2251" max="2251" width="7.85546875" style="338" bestFit="1" customWidth="1"/>
    <col min="2252" max="2252" width="7.140625" style="338" bestFit="1" customWidth="1"/>
    <col min="2253" max="2253" width="7.85546875" style="338" bestFit="1" customWidth="1"/>
    <col min="2254" max="2255" width="10.140625" style="338" bestFit="1" customWidth="1"/>
    <col min="2256" max="2256" width="23.85546875" style="338" customWidth="1"/>
    <col min="2257" max="2257" width="10.85546875" style="338" customWidth="1"/>
    <col min="2258" max="2258" width="6.5703125" style="338" customWidth="1"/>
    <col min="2259" max="2259" width="7" style="338" customWidth="1"/>
    <col min="2260" max="2260" width="7.42578125" style="338" customWidth="1"/>
    <col min="2261" max="2261" width="7.85546875" style="338" customWidth="1"/>
    <col min="2262" max="2262" width="7.140625" style="338" customWidth="1"/>
    <col min="2263" max="2263" width="7.85546875" style="338" customWidth="1"/>
    <col min="2264" max="2265" width="10.140625" style="338" customWidth="1"/>
    <col min="2266" max="2266" width="14.85546875" style="338" customWidth="1"/>
    <col min="2267" max="2267" width="10.85546875" style="338" customWidth="1"/>
    <col min="2268" max="2268" width="6.5703125" style="338" customWidth="1"/>
    <col min="2269" max="2269" width="7" style="338" customWidth="1"/>
    <col min="2270" max="2270" width="7.42578125" style="338" customWidth="1"/>
    <col min="2271" max="2271" width="7.85546875" style="338" customWidth="1"/>
    <col min="2272" max="2272" width="7.140625" style="338" customWidth="1"/>
    <col min="2273" max="2273" width="7.85546875" style="338" customWidth="1"/>
    <col min="2274" max="2275" width="10.140625" style="338" customWidth="1"/>
    <col min="2276" max="2276" width="8.7109375" style="338"/>
    <col min="2277" max="2295" width="9.140625" style="338" customWidth="1"/>
    <col min="2296" max="2501" width="8.7109375" style="338"/>
    <col min="2502" max="2502" width="23.85546875" style="338" customWidth="1"/>
    <col min="2503" max="2503" width="10.85546875" style="338" customWidth="1"/>
    <col min="2504" max="2504" width="6.5703125" style="338" customWidth="1"/>
    <col min="2505" max="2505" width="7" style="338" bestFit="1" customWidth="1"/>
    <col min="2506" max="2506" width="7.42578125" style="338" bestFit="1" customWidth="1"/>
    <col min="2507" max="2507" width="7.85546875" style="338" bestFit="1" customWidth="1"/>
    <col min="2508" max="2508" width="7.140625" style="338" bestFit="1" customWidth="1"/>
    <col min="2509" max="2509" width="7.85546875" style="338" bestFit="1" customWidth="1"/>
    <col min="2510" max="2511" width="10.140625" style="338" bestFit="1" customWidth="1"/>
    <col min="2512" max="2512" width="23.85546875" style="338" customWidth="1"/>
    <col min="2513" max="2513" width="10.85546875" style="338" customWidth="1"/>
    <col min="2514" max="2514" width="6.5703125" style="338" customWidth="1"/>
    <col min="2515" max="2515" width="7" style="338" customWidth="1"/>
    <col min="2516" max="2516" width="7.42578125" style="338" customWidth="1"/>
    <col min="2517" max="2517" width="7.85546875" style="338" customWidth="1"/>
    <col min="2518" max="2518" width="7.140625" style="338" customWidth="1"/>
    <col min="2519" max="2519" width="7.85546875" style="338" customWidth="1"/>
    <col min="2520" max="2521" width="10.140625" style="338" customWidth="1"/>
    <col min="2522" max="2522" width="14.85546875" style="338" customWidth="1"/>
    <col min="2523" max="2523" width="10.85546875" style="338" customWidth="1"/>
    <col min="2524" max="2524" width="6.5703125" style="338" customWidth="1"/>
    <col min="2525" max="2525" width="7" style="338" customWidth="1"/>
    <col min="2526" max="2526" width="7.42578125" style="338" customWidth="1"/>
    <col min="2527" max="2527" width="7.85546875" style="338" customWidth="1"/>
    <col min="2528" max="2528" width="7.140625" style="338" customWidth="1"/>
    <col min="2529" max="2529" width="7.85546875" style="338" customWidth="1"/>
    <col min="2530" max="2531" width="10.140625" style="338" customWidth="1"/>
    <col min="2532" max="2532" width="8.7109375" style="338"/>
    <col min="2533" max="2551" width="9.140625" style="338" customWidth="1"/>
    <col min="2552" max="2757" width="8.7109375" style="338"/>
    <col min="2758" max="2758" width="23.85546875" style="338" customWidth="1"/>
    <col min="2759" max="2759" width="10.85546875" style="338" customWidth="1"/>
    <col min="2760" max="2760" width="6.5703125" style="338" customWidth="1"/>
    <col min="2761" max="2761" width="7" style="338" bestFit="1" customWidth="1"/>
    <col min="2762" max="2762" width="7.42578125" style="338" bestFit="1" customWidth="1"/>
    <col min="2763" max="2763" width="7.85546875" style="338" bestFit="1" customWidth="1"/>
    <col min="2764" max="2764" width="7.140625" style="338" bestFit="1" customWidth="1"/>
    <col min="2765" max="2765" width="7.85546875" style="338" bestFit="1" customWidth="1"/>
    <col min="2766" max="2767" width="10.140625" style="338" bestFit="1" customWidth="1"/>
    <col min="2768" max="2768" width="23.85546875" style="338" customWidth="1"/>
    <col min="2769" max="2769" width="10.85546875" style="338" customWidth="1"/>
    <col min="2770" max="2770" width="6.5703125" style="338" customWidth="1"/>
    <col min="2771" max="2771" width="7" style="338" customWidth="1"/>
    <col min="2772" max="2772" width="7.42578125" style="338" customWidth="1"/>
    <col min="2773" max="2773" width="7.85546875" style="338" customWidth="1"/>
    <col min="2774" max="2774" width="7.140625" style="338" customWidth="1"/>
    <col min="2775" max="2775" width="7.85546875" style="338" customWidth="1"/>
    <col min="2776" max="2777" width="10.140625" style="338" customWidth="1"/>
    <col min="2778" max="2778" width="14.85546875" style="338" customWidth="1"/>
    <col min="2779" max="2779" width="10.85546875" style="338" customWidth="1"/>
    <col min="2780" max="2780" width="6.5703125" style="338" customWidth="1"/>
    <col min="2781" max="2781" width="7" style="338" customWidth="1"/>
    <col min="2782" max="2782" width="7.42578125" style="338" customWidth="1"/>
    <col min="2783" max="2783" width="7.85546875" style="338" customWidth="1"/>
    <col min="2784" max="2784" width="7.140625" style="338" customWidth="1"/>
    <col min="2785" max="2785" width="7.85546875" style="338" customWidth="1"/>
    <col min="2786" max="2787" width="10.140625" style="338" customWidth="1"/>
    <col min="2788" max="2788" width="8.7109375" style="338"/>
    <col min="2789" max="2807" width="9.140625" style="338" customWidth="1"/>
    <col min="2808" max="3013" width="8.7109375" style="338"/>
    <col min="3014" max="3014" width="23.85546875" style="338" customWidth="1"/>
    <col min="3015" max="3015" width="10.85546875" style="338" customWidth="1"/>
    <col min="3016" max="3016" width="6.5703125" style="338" customWidth="1"/>
    <col min="3017" max="3017" width="7" style="338" bestFit="1" customWidth="1"/>
    <col min="3018" max="3018" width="7.42578125" style="338" bestFit="1" customWidth="1"/>
    <col min="3019" max="3019" width="7.85546875" style="338" bestFit="1" customWidth="1"/>
    <col min="3020" max="3020" width="7.140625" style="338" bestFit="1" customWidth="1"/>
    <col min="3021" max="3021" width="7.85546875" style="338" bestFit="1" customWidth="1"/>
    <col min="3022" max="3023" width="10.140625" style="338" bestFit="1" customWidth="1"/>
    <col min="3024" max="3024" width="23.85546875" style="338" customWidth="1"/>
    <col min="3025" max="3025" width="10.85546875" style="338" customWidth="1"/>
    <col min="3026" max="3026" width="6.5703125" style="338" customWidth="1"/>
    <col min="3027" max="3027" width="7" style="338" customWidth="1"/>
    <col min="3028" max="3028" width="7.42578125" style="338" customWidth="1"/>
    <col min="3029" max="3029" width="7.85546875" style="338" customWidth="1"/>
    <col min="3030" max="3030" width="7.140625" style="338" customWidth="1"/>
    <col min="3031" max="3031" width="7.85546875" style="338" customWidth="1"/>
    <col min="3032" max="3033" width="10.140625" style="338" customWidth="1"/>
    <col min="3034" max="3034" width="14.85546875" style="338" customWidth="1"/>
    <col min="3035" max="3035" width="10.85546875" style="338" customWidth="1"/>
    <col min="3036" max="3036" width="6.5703125" style="338" customWidth="1"/>
    <col min="3037" max="3037" width="7" style="338" customWidth="1"/>
    <col min="3038" max="3038" width="7.42578125" style="338" customWidth="1"/>
    <col min="3039" max="3039" width="7.85546875" style="338" customWidth="1"/>
    <col min="3040" max="3040" width="7.140625" style="338" customWidth="1"/>
    <col min="3041" max="3041" width="7.85546875" style="338" customWidth="1"/>
    <col min="3042" max="3043" width="10.140625" style="338" customWidth="1"/>
    <col min="3044" max="3044" width="8.7109375" style="338"/>
    <col min="3045" max="3063" width="9.140625" style="338" customWidth="1"/>
    <col min="3064" max="3269" width="8.7109375" style="338"/>
    <col min="3270" max="3270" width="23.85546875" style="338" customWidth="1"/>
    <col min="3271" max="3271" width="10.85546875" style="338" customWidth="1"/>
    <col min="3272" max="3272" width="6.5703125" style="338" customWidth="1"/>
    <col min="3273" max="3273" width="7" style="338" bestFit="1" customWidth="1"/>
    <col min="3274" max="3274" width="7.42578125" style="338" bestFit="1" customWidth="1"/>
    <col min="3275" max="3275" width="7.85546875" style="338" bestFit="1" customWidth="1"/>
    <col min="3276" max="3276" width="7.140625" style="338" bestFit="1" customWidth="1"/>
    <col min="3277" max="3277" width="7.85546875" style="338" bestFit="1" customWidth="1"/>
    <col min="3278" max="3279" width="10.140625" style="338" bestFit="1" customWidth="1"/>
    <col min="3280" max="3280" width="23.85546875" style="338" customWidth="1"/>
    <col min="3281" max="3281" width="10.85546875" style="338" customWidth="1"/>
    <col min="3282" max="3282" width="6.5703125" style="338" customWidth="1"/>
    <col min="3283" max="3283" width="7" style="338" customWidth="1"/>
    <col min="3284" max="3284" width="7.42578125" style="338" customWidth="1"/>
    <col min="3285" max="3285" width="7.85546875" style="338" customWidth="1"/>
    <col min="3286" max="3286" width="7.140625" style="338" customWidth="1"/>
    <col min="3287" max="3287" width="7.85546875" style="338" customWidth="1"/>
    <col min="3288" max="3289" width="10.140625" style="338" customWidth="1"/>
    <col min="3290" max="3290" width="14.85546875" style="338" customWidth="1"/>
    <col min="3291" max="3291" width="10.85546875" style="338" customWidth="1"/>
    <col min="3292" max="3292" width="6.5703125" style="338" customWidth="1"/>
    <col min="3293" max="3293" width="7" style="338" customWidth="1"/>
    <col min="3294" max="3294" width="7.42578125" style="338" customWidth="1"/>
    <col min="3295" max="3295" width="7.85546875" style="338" customWidth="1"/>
    <col min="3296" max="3296" width="7.140625" style="338" customWidth="1"/>
    <col min="3297" max="3297" width="7.85546875" style="338" customWidth="1"/>
    <col min="3298" max="3299" width="10.140625" style="338" customWidth="1"/>
    <col min="3300" max="3300" width="8.7109375" style="338"/>
    <col min="3301" max="3319" width="9.140625" style="338" customWidth="1"/>
    <col min="3320" max="3525" width="8.7109375" style="338"/>
    <col min="3526" max="3526" width="23.85546875" style="338" customWidth="1"/>
    <col min="3527" max="3527" width="10.85546875" style="338" customWidth="1"/>
    <col min="3528" max="3528" width="6.5703125" style="338" customWidth="1"/>
    <col min="3529" max="3529" width="7" style="338" bestFit="1" customWidth="1"/>
    <col min="3530" max="3530" width="7.42578125" style="338" bestFit="1" customWidth="1"/>
    <col min="3531" max="3531" width="7.85546875" style="338" bestFit="1" customWidth="1"/>
    <col min="3532" max="3532" width="7.140625" style="338" bestFit="1" customWidth="1"/>
    <col min="3533" max="3533" width="7.85546875" style="338" bestFit="1" customWidth="1"/>
    <col min="3534" max="3535" width="10.140625" style="338" bestFit="1" customWidth="1"/>
    <col min="3536" max="3536" width="23.85546875" style="338" customWidth="1"/>
    <col min="3537" max="3537" width="10.85546875" style="338" customWidth="1"/>
    <col min="3538" max="3538" width="6.5703125" style="338" customWidth="1"/>
    <col min="3539" max="3539" width="7" style="338" customWidth="1"/>
    <col min="3540" max="3540" width="7.42578125" style="338" customWidth="1"/>
    <col min="3541" max="3541" width="7.85546875" style="338" customWidth="1"/>
    <col min="3542" max="3542" width="7.140625" style="338" customWidth="1"/>
    <col min="3543" max="3543" width="7.85546875" style="338" customWidth="1"/>
    <col min="3544" max="3545" width="10.140625" style="338" customWidth="1"/>
    <col min="3546" max="3546" width="14.85546875" style="338" customWidth="1"/>
    <col min="3547" max="3547" width="10.85546875" style="338" customWidth="1"/>
    <col min="3548" max="3548" width="6.5703125" style="338" customWidth="1"/>
    <col min="3549" max="3549" width="7" style="338" customWidth="1"/>
    <col min="3550" max="3550" width="7.42578125" style="338" customWidth="1"/>
    <col min="3551" max="3551" width="7.85546875" style="338" customWidth="1"/>
    <col min="3552" max="3552" width="7.140625" style="338" customWidth="1"/>
    <col min="3553" max="3553" width="7.85546875" style="338" customWidth="1"/>
    <col min="3554" max="3555" width="10.140625" style="338" customWidth="1"/>
    <col min="3556" max="3556" width="8.7109375" style="338"/>
    <col min="3557" max="3575" width="9.140625" style="338" customWidth="1"/>
    <col min="3576" max="3781" width="8.7109375" style="338"/>
    <col min="3782" max="3782" width="23.85546875" style="338" customWidth="1"/>
    <col min="3783" max="3783" width="10.85546875" style="338" customWidth="1"/>
    <col min="3784" max="3784" width="6.5703125" style="338" customWidth="1"/>
    <col min="3785" max="3785" width="7" style="338" bestFit="1" customWidth="1"/>
    <col min="3786" max="3786" width="7.42578125" style="338" bestFit="1" customWidth="1"/>
    <col min="3787" max="3787" width="7.85546875" style="338" bestFit="1" customWidth="1"/>
    <col min="3788" max="3788" width="7.140625" style="338" bestFit="1" customWidth="1"/>
    <col min="3789" max="3789" width="7.85546875" style="338" bestFit="1" customWidth="1"/>
    <col min="3790" max="3791" width="10.140625" style="338" bestFit="1" customWidth="1"/>
    <col min="3792" max="3792" width="23.85546875" style="338" customWidth="1"/>
    <col min="3793" max="3793" width="10.85546875" style="338" customWidth="1"/>
    <col min="3794" max="3794" width="6.5703125" style="338" customWidth="1"/>
    <col min="3795" max="3795" width="7" style="338" customWidth="1"/>
    <col min="3796" max="3796" width="7.42578125" style="338" customWidth="1"/>
    <col min="3797" max="3797" width="7.85546875" style="338" customWidth="1"/>
    <col min="3798" max="3798" width="7.140625" style="338" customWidth="1"/>
    <col min="3799" max="3799" width="7.85546875" style="338" customWidth="1"/>
    <col min="3800" max="3801" width="10.140625" style="338" customWidth="1"/>
    <col min="3802" max="3802" width="14.85546875" style="338" customWidth="1"/>
    <col min="3803" max="3803" width="10.85546875" style="338" customWidth="1"/>
    <col min="3804" max="3804" width="6.5703125" style="338" customWidth="1"/>
    <col min="3805" max="3805" width="7" style="338" customWidth="1"/>
    <col min="3806" max="3806" width="7.42578125" style="338" customWidth="1"/>
    <col min="3807" max="3807" width="7.85546875" style="338" customWidth="1"/>
    <col min="3808" max="3808" width="7.140625" style="338" customWidth="1"/>
    <col min="3809" max="3809" width="7.85546875" style="338" customWidth="1"/>
    <col min="3810" max="3811" width="10.140625" style="338" customWidth="1"/>
    <col min="3812" max="3812" width="8.7109375" style="338"/>
    <col min="3813" max="3831" width="9.140625" style="338" customWidth="1"/>
    <col min="3832" max="4037" width="8.7109375" style="338"/>
    <col min="4038" max="4038" width="23.85546875" style="338" customWidth="1"/>
    <col min="4039" max="4039" width="10.85546875" style="338" customWidth="1"/>
    <col min="4040" max="4040" width="6.5703125" style="338" customWidth="1"/>
    <col min="4041" max="4041" width="7" style="338" bestFit="1" customWidth="1"/>
    <col min="4042" max="4042" width="7.42578125" style="338" bestFit="1" customWidth="1"/>
    <col min="4043" max="4043" width="7.85546875" style="338" bestFit="1" customWidth="1"/>
    <col min="4044" max="4044" width="7.140625" style="338" bestFit="1" customWidth="1"/>
    <col min="4045" max="4045" width="7.85546875" style="338" bestFit="1" customWidth="1"/>
    <col min="4046" max="4047" width="10.140625" style="338" bestFit="1" customWidth="1"/>
    <col min="4048" max="4048" width="23.85546875" style="338" customWidth="1"/>
    <col min="4049" max="4049" width="10.85546875" style="338" customWidth="1"/>
    <col min="4050" max="4050" width="6.5703125" style="338" customWidth="1"/>
    <col min="4051" max="4051" width="7" style="338" customWidth="1"/>
    <col min="4052" max="4052" width="7.42578125" style="338" customWidth="1"/>
    <col min="4053" max="4053" width="7.85546875" style="338" customWidth="1"/>
    <col min="4054" max="4054" width="7.140625" style="338" customWidth="1"/>
    <col min="4055" max="4055" width="7.85546875" style="338" customWidth="1"/>
    <col min="4056" max="4057" width="10.140625" style="338" customWidth="1"/>
    <col min="4058" max="4058" width="14.85546875" style="338" customWidth="1"/>
    <col min="4059" max="4059" width="10.85546875" style="338" customWidth="1"/>
    <col min="4060" max="4060" width="6.5703125" style="338" customWidth="1"/>
    <col min="4061" max="4061" width="7" style="338" customWidth="1"/>
    <col min="4062" max="4062" width="7.42578125" style="338" customWidth="1"/>
    <col min="4063" max="4063" width="7.85546875" style="338" customWidth="1"/>
    <col min="4064" max="4064" width="7.140625" style="338" customWidth="1"/>
    <col min="4065" max="4065" width="7.85546875" style="338" customWidth="1"/>
    <col min="4066" max="4067" width="10.140625" style="338" customWidth="1"/>
    <col min="4068" max="4068" width="8.7109375" style="338"/>
    <col min="4069" max="4087" width="9.140625" style="338" customWidth="1"/>
    <col min="4088" max="4293" width="8.7109375" style="338"/>
    <col min="4294" max="4294" width="23.85546875" style="338" customWidth="1"/>
    <col min="4295" max="4295" width="10.85546875" style="338" customWidth="1"/>
    <col min="4296" max="4296" width="6.5703125" style="338" customWidth="1"/>
    <col min="4297" max="4297" width="7" style="338" bestFit="1" customWidth="1"/>
    <col min="4298" max="4298" width="7.42578125" style="338" bestFit="1" customWidth="1"/>
    <col min="4299" max="4299" width="7.85546875" style="338" bestFit="1" customWidth="1"/>
    <col min="4300" max="4300" width="7.140625" style="338" bestFit="1" customWidth="1"/>
    <col min="4301" max="4301" width="7.85546875" style="338" bestFit="1" customWidth="1"/>
    <col min="4302" max="4303" width="10.140625" style="338" bestFit="1" customWidth="1"/>
    <col min="4304" max="4304" width="23.85546875" style="338" customWidth="1"/>
    <col min="4305" max="4305" width="10.85546875" style="338" customWidth="1"/>
    <col min="4306" max="4306" width="6.5703125" style="338" customWidth="1"/>
    <col min="4307" max="4307" width="7" style="338" customWidth="1"/>
    <col min="4308" max="4308" width="7.42578125" style="338" customWidth="1"/>
    <col min="4309" max="4309" width="7.85546875" style="338" customWidth="1"/>
    <col min="4310" max="4310" width="7.140625" style="338" customWidth="1"/>
    <col min="4311" max="4311" width="7.85546875" style="338" customWidth="1"/>
    <col min="4312" max="4313" width="10.140625" style="338" customWidth="1"/>
    <col min="4314" max="4314" width="14.85546875" style="338" customWidth="1"/>
    <col min="4315" max="4315" width="10.85546875" style="338" customWidth="1"/>
    <col min="4316" max="4316" width="6.5703125" style="338" customWidth="1"/>
    <col min="4317" max="4317" width="7" style="338" customWidth="1"/>
    <col min="4318" max="4318" width="7.42578125" style="338" customWidth="1"/>
    <col min="4319" max="4319" width="7.85546875" style="338" customWidth="1"/>
    <col min="4320" max="4320" width="7.140625" style="338" customWidth="1"/>
    <col min="4321" max="4321" width="7.85546875" style="338" customWidth="1"/>
    <col min="4322" max="4323" width="10.140625" style="338" customWidth="1"/>
    <col min="4324" max="4324" width="8.7109375" style="338"/>
    <col min="4325" max="4343" width="9.140625" style="338" customWidth="1"/>
    <col min="4344" max="4549" width="8.7109375" style="338"/>
    <col min="4550" max="4550" width="23.85546875" style="338" customWidth="1"/>
    <col min="4551" max="4551" width="10.85546875" style="338" customWidth="1"/>
    <col min="4552" max="4552" width="6.5703125" style="338" customWidth="1"/>
    <col min="4553" max="4553" width="7" style="338" bestFit="1" customWidth="1"/>
    <col min="4554" max="4554" width="7.42578125" style="338" bestFit="1" customWidth="1"/>
    <col min="4555" max="4555" width="7.85546875" style="338" bestFit="1" customWidth="1"/>
    <col min="4556" max="4556" width="7.140625" style="338" bestFit="1" customWidth="1"/>
    <col min="4557" max="4557" width="7.85546875" style="338" bestFit="1" customWidth="1"/>
    <col min="4558" max="4559" width="10.140625" style="338" bestFit="1" customWidth="1"/>
    <col min="4560" max="4560" width="23.85546875" style="338" customWidth="1"/>
    <col min="4561" max="4561" width="10.85546875" style="338" customWidth="1"/>
    <col min="4562" max="4562" width="6.5703125" style="338" customWidth="1"/>
    <col min="4563" max="4563" width="7" style="338" customWidth="1"/>
    <col min="4564" max="4564" width="7.42578125" style="338" customWidth="1"/>
    <col min="4565" max="4565" width="7.85546875" style="338" customWidth="1"/>
    <col min="4566" max="4566" width="7.140625" style="338" customWidth="1"/>
    <col min="4567" max="4567" width="7.85546875" style="338" customWidth="1"/>
    <col min="4568" max="4569" width="10.140625" style="338" customWidth="1"/>
    <col min="4570" max="4570" width="14.85546875" style="338" customWidth="1"/>
    <col min="4571" max="4571" width="10.85546875" style="338" customWidth="1"/>
    <col min="4572" max="4572" width="6.5703125" style="338" customWidth="1"/>
    <col min="4573" max="4573" width="7" style="338" customWidth="1"/>
    <col min="4574" max="4574" width="7.42578125" style="338" customWidth="1"/>
    <col min="4575" max="4575" width="7.85546875" style="338" customWidth="1"/>
    <col min="4576" max="4576" width="7.140625" style="338" customWidth="1"/>
    <col min="4577" max="4577" width="7.85546875" style="338" customWidth="1"/>
    <col min="4578" max="4579" width="10.140625" style="338" customWidth="1"/>
    <col min="4580" max="4580" width="8.7109375" style="338"/>
    <col min="4581" max="4599" width="9.140625" style="338" customWidth="1"/>
    <col min="4600" max="4805" width="8.7109375" style="338"/>
    <col min="4806" max="4806" width="23.85546875" style="338" customWidth="1"/>
    <col min="4807" max="4807" width="10.85546875" style="338" customWidth="1"/>
    <col min="4808" max="4808" width="6.5703125" style="338" customWidth="1"/>
    <col min="4809" max="4809" width="7" style="338" bestFit="1" customWidth="1"/>
    <col min="4810" max="4810" width="7.42578125" style="338" bestFit="1" customWidth="1"/>
    <col min="4811" max="4811" width="7.85546875" style="338" bestFit="1" customWidth="1"/>
    <col min="4812" max="4812" width="7.140625" style="338" bestFit="1" customWidth="1"/>
    <col min="4813" max="4813" width="7.85546875" style="338" bestFit="1" customWidth="1"/>
    <col min="4814" max="4815" width="10.140625" style="338" bestFit="1" customWidth="1"/>
    <col min="4816" max="4816" width="23.85546875" style="338" customWidth="1"/>
    <col min="4817" max="4817" width="10.85546875" style="338" customWidth="1"/>
    <col min="4818" max="4818" width="6.5703125" style="338" customWidth="1"/>
    <col min="4819" max="4819" width="7" style="338" customWidth="1"/>
    <col min="4820" max="4820" width="7.42578125" style="338" customWidth="1"/>
    <col min="4821" max="4821" width="7.85546875" style="338" customWidth="1"/>
    <col min="4822" max="4822" width="7.140625" style="338" customWidth="1"/>
    <col min="4823" max="4823" width="7.85546875" style="338" customWidth="1"/>
    <col min="4824" max="4825" width="10.140625" style="338" customWidth="1"/>
    <col min="4826" max="4826" width="14.85546875" style="338" customWidth="1"/>
    <col min="4827" max="4827" width="10.85546875" style="338" customWidth="1"/>
    <col min="4828" max="4828" width="6.5703125" style="338" customWidth="1"/>
    <col min="4829" max="4829" width="7" style="338" customWidth="1"/>
    <col min="4830" max="4830" width="7.42578125" style="338" customWidth="1"/>
    <col min="4831" max="4831" width="7.85546875" style="338" customWidth="1"/>
    <col min="4832" max="4832" width="7.140625" style="338" customWidth="1"/>
    <col min="4833" max="4833" width="7.85546875" style="338" customWidth="1"/>
    <col min="4834" max="4835" width="10.140625" style="338" customWidth="1"/>
    <col min="4836" max="4836" width="8.7109375" style="338"/>
    <col min="4837" max="4855" width="9.140625" style="338" customWidth="1"/>
    <col min="4856" max="5061" width="8.7109375" style="338"/>
    <col min="5062" max="5062" width="23.85546875" style="338" customWidth="1"/>
    <col min="5063" max="5063" width="10.85546875" style="338" customWidth="1"/>
    <col min="5064" max="5064" width="6.5703125" style="338" customWidth="1"/>
    <col min="5065" max="5065" width="7" style="338" bestFit="1" customWidth="1"/>
    <col min="5066" max="5066" width="7.42578125" style="338" bestFit="1" customWidth="1"/>
    <col min="5067" max="5067" width="7.85546875" style="338" bestFit="1" customWidth="1"/>
    <col min="5068" max="5068" width="7.140625" style="338" bestFit="1" customWidth="1"/>
    <col min="5069" max="5069" width="7.85546875" style="338" bestFit="1" customWidth="1"/>
    <col min="5070" max="5071" width="10.140625" style="338" bestFit="1" customWidth="1"/>
    <col min="5072" max="5072" width="23.85546875" style="338" customWidth="1"/>
    <col min="5073" max="5073" width="10.85546875" style="338" customWidth="1"/>
    <col min="5074" max="5074" width="6.5703125" style="338" customWidth="1"/>
    <col min="5075" max="5075" width="7" style="338" customWidth="1"/>
    <col min="5076" max="5076" width="7.42578125" style="338" customWidth="1"/>
    <col min="5077" max="5077" width="7.85546875" style="338" customWidth="1"/>
    <col min="5078" max="5078" width="7.140625" style="338" customWidth="1"/>
    <col min="5079" max="5079" width="7.85546875" style="338" customWidth="1"/>
    <col min="5080" max="5081" width="10.140625" style="338" customWidth="1"/>
    <col min="5082" max="5082" width="14.85546875" style="338" customWidth="1"/>
    <col min="5083" max="5083" width="10.85546875" style="338" customWidth="1"/>
    <col min="5084" max="5084" width="6.5703125" style="338" customWidth="1"/>
    <col min="5085" max="5085" width="7" style="338" customWidth="1"/>
    <col min="5086" max="5086" width="7.42578125" style="338" customWidth="1"/>
    <col min="5087" max="5087" width="7.85546875" style="338" customWidth="1"/>
    <col min="5088" max="5088" width="7.140625" style="338" customWidth="1"/>
    <col min="5089" max="5089" width="7.85546875" style="338" customWidth="1"/>
    <col min="5090" max="5091" width="10.140625" style="338" customWidth="1"/>
    <col min="5092" max="5092" width="8.7109375" style="338"/>
    <col min="5093" max="5111" width="9.140625" style="338" customWidth="1"/>
    <col min="5112" max="5317" width="8.7109375" style="338"/>
    <col min="5318" max="5318" width="23.85546875" style="338" customWidth="1"/>
    <col min="5319" max="5319" width="10.85546875" style="338" customWidth="1"/>
    <col min="5320" max="5320" width="6.5703125" style="338" customWidth="1"/>
    <col min="5321" max="5321" width="7" style="338" bestFit="1" customWidth="1"/>
    <col min="5322" max="5322" width="7.42578125" style="338" bestFit="1" customWidth="1"/>
    <col min="5323" max="5323" width="7.85546875" style="338" bestFit="1" customWidth="1"/>
    <col min="5324" max="5324" width="7.140625" style="338" bestFit="1" customWidth="1"/>
    <col min="5325" max="5325" width="7.85546875" style="338" bestFit="1" customWidth="1"/>
    <col min="5326" max="5327" width="10.140625" style="338" bestFit="1" customWidth="1"/>
    <col min="5328" max="5328" width="23.85546875" style="338" customWidth="1"/>
    <col min="5329" max="5329" width="10.85546875" style="338" customWidth="1"/>
    <col min="5330" max="5330" width="6.5703125" style="338" customWidth="1"/>
    <col min="5331" max="5331" width="7" style="338" customWidth="1"/>
    <col min="5332" max="5332" width="7.42578125" style="338" customWidth="1"/>
    <col min="5333" max="5333" width="7.85546875" style="338" customWidth="1"/>
    <col min="5334" max="5334" width="7.140625" style="338" customWidth="1"/>
    <col min="5335" max="5335" width="7.85546875" style="338" customWidth="1"/>
    <col min="5336" max="5337" width="10.140625" style="338" customWidth="1"/>
    <col min="5338" max="5338" width="14.85546875" style="338" customWidth="1"/>
    <col min="5339" max="5339" width="10.85546875" style="338" customWidth="1"/>
    <col min="5340" max="5340" width="6.5703125" style="338" customWidth="1"/>
    <col min="5341" max="5341" width="7" style="338" customWidth="1"/>
    <col min="5342" max="5342" width="7.42578125" style="338" customWidth="1"/>
    <col min="5343" max="5343" width="7.85546875" style="338" customWidth="1"/>
    <col min="5344" max="5344" width="7.140625" style="338" customWidth="1"/>
    <col min="5345" max="5345" width="7.85546875" style="338" customWidth="1"/>
    <col min="5346" max="5347" width="10.140625" style="338" customWidth="1"/>
    <col min="5348" max="5348" width="8.7109375" style="338"/>
    <col min="5349" max="5367" width="9.140625" style="338" customWidth="1"/>
    <col min="5368" max="5573" width="8.7109375" style="338"/>
    <col min="5574" max="5574" width="23.85546875" style="338" customWidth="1"/>
    <col min="5575" max="5575" width="10.85546875" style="338" customWidth="1"/>
    <col min="5576" max="5576" width="6.5703125" style="338" customWidth="1"/>
    <col min="5577" max="5577" width="7" style="338" bestFit="1" customWidth="1"/>
    <col min="5578" max="5578" width="7.42578125" style="338" bestFit="1" customWidth="1"/>
    <col min="5579" max="5579" width="7.85546875" style="338" bestFit="1" customWidth="1"/>
    <col min="5580" max="5580" width="7.140625" style="338" bestFit="1" customWidth="1"/>
    <col min="5581" max="5581" width="7.85546875" style="338" bestFit="1" customWidth="1"/>
    <col min="5582" max="5583" width="10.140625" style="338" bestFit="1" customWidth="1"/>
    <col min="5584" max="5584" width="23.85546875" style="338" customWidth="1"/>
    <col min="5585" max="5585" width="10.85546875" style="338" customWidth="1"/>
    <col min="5586" max="5586" width="6.5703125" style="338" customWidth="1"/>
    <col min="5587" max="5587" width="7" style="338" customWidth="1"/>
    <col min="5588" max="5588" width="7.42578125" style="338" customWidth="1"/>
    <col min="5589" max="5589" width="7.85546875" style="338" customWidth="1"/>
    <col min="5590" max="5590" width="7.140625" style="338" customWidth="1"/>
    <col min="5591" max="5591" width="7.85546875" style="338" customWidth="1"/>
    <col min="5592" max="5593" width="10.140625" style="338" customWidth="1"/>
    <col min="5594" max="5594" width="14.85546875" style="338" customWidth="1"/>
    <col min="5595" max="5595" width="10.85546875" style="338" customWidth="1"/>
    <col min="5596" max="5596" width="6.5703125" style="338" customWidth="1"/>
    <col min="5597" max="5597" width="7" style="338" customWidth="1"/>
    <col min="5598" max="5598" width="7.42578125" style="338" customWidth="1"/>
    <col min="5599" max="5599" width="7.85546875" style="338" customWidth="1"/>
    <col min="5600" max="5600" width="7.140625" style="338" customWidth="1"/>
    <col min="5601" max="5601" width="7.85546875" style="338" customWidth="1"/>
    <col min="5602" max="5603" width="10.140625" style="338" customWidth="1"/>
    <col min="5604" max="5604" width="8.7109375" style="338"/>
    <col min="5605" max="5623" width="9.140625" style="338" customWidth="1"/>
    <col min="5624" max="5829" width="8.7109375" style="338"/>
    <col min="5830" max="5830" width="23.85546875" style="338" customWidth="1"/>
    <col min="5831" max="5831" width="10.85546875" style="338" customWidth="1"/>
    <col min="5832" max="5832" width="6.5703125" style="338" customWidth="1"/>
    <col min="5833" max="5833" width="7" style="338" bestFit="1" customWidth="1"/>
    <col min="5834" max="5834" width="7.42578125" style="338" bestFit="1" customWidth="1"/>
    <col min="5835" max="5835" width="7.85546875" style="338" bestFit="1" customWidth="1"/>
    <col min="5836" max="5836" width="7.140625" style="338" bestFit="1" customWidth="1"/>
    <col min="5837" max="5837" width="7.85546875" style="338" bestFit="1" customWidth="1"/>
    <col min="5838" max="5839" width="10.140625" style="338" bestFit="1" customWidth="1"/>
    <col min="5840" max="5840" width="23.85546875" style="338" customWidth="1"/>
    <col min="5841" max="5841" width="10.85546875" style="338" customWidth="1"/>
    <col min="5842" max="5842" width="6.5703125" style="338" customWidth="1"/>
    <col min="5843" max="5843" width="7" style="338" customWidth="1"/>
    <col min="5844" max="5844" width="7.42578125" style="338" customWidth="1"/>
    <col min="5845" max="5845" width="7.85546875" style="338" customWidth="1"/>
    <col min="5846" max="5846" width="7.140625" style="338" customWidth="1"/>
    <col min="5847" max="5847" width="7.85546875" style="338" customWidth="1"/>
    <col min="5848" max="5849" width="10.140625" style="338" customWidth="1"/>
    <col min="5850" max="5850" width="14.85546875" style="338" customWidth="1"/>
    <col min="5851" max="5851" width="10.85546875" style="338" customWidth="1"/>
    <col min="5852" max="5852" width="6.5703125" style="338" customWidth="1"/>
    <col min="5853" max="5853" width="7" style="338" customWidth="1"/>
    <col min="5854" max="5854" width="7.42578125" style="338" customWidth="1"/>
    <col min="5855" max="5855" width="7.85546875" style="338" customWidth="1"/>
    <col min="5856" max="5856" width="7.140625" style="338" customWidth="1"/>
    <col min="5857" max="5857" width="7.85546875" style="338" customWidth="1"/>
    <col min="5858" max="5859" width="10.140625" style="338" customWidth="1"/>
    <col min="5860" max="5860" width="8.7109375" style="338"/>
    <col min="5861" max="5879" width="9.140625" style="338" customWidth="1"/>
    <col min="5880" max="6085" width="8.7109375" style="338"/>
    <col min="6086" max="6086" width="23.85546875" style="338" customWidth="1"/>
    <col min="6087" max="6087" width="10.85546875" style="338" customWidth="1"/>
    <col min="6088" max="6088" width="6.5703125" style="338" customWidth="1"/>
    <col min="6089" max="6089" width="7" style="338" bestFit="1" customWidth="1"/>
    <col min="6090" max="6090" width="7.42578125" style="338" bestFit="1" customWidth="1"/>
    <col min="6091" max="6091" width="7.85546875" style="338" bestFit="1" customWidth="1"/>
    <col min="6092" max="6092" width="7.140625" style="338" bestFit="1" customWidth="1"/>
    <col min="6093" max="6093" width="7.85546875" style="338" bestFit="1" customWidth="1"/>
    <col min="6094" max="6095" width="10.140625" style="338" bestFit="1" customWidth="1"/>
    <col min="6096" max="6096" width="23.85546875" style="338" customWidth="1"/>
    <col min="6097" max="6097" width="10.85546875" style="338" customWidth="1"/>
    <col min="6098" max="6098" width="6.5703125" style="338" customWidth="1"/>
    <col min="6099" max="6099" width="7" style="338" customWidth="1"/>
    <col min="6100" max="6100" width="7.42578125" style="338" customWidth="1"/>
    <col min="6101" max="6101" width="7.85546875" style="338" customWidth="1"/>
    <col min="6102" max="6102" width="7.140625" style="338" customWidth="1"/>
    <col min="6103" max="6103" width="7.85546875" style="338" customWidth="1"/>
    <col min="6104" max="6105" width="10.140625" style="338" customWidth="1"/>
    <col min="6106" max="6106" width="14.85546875" style="338" customWidth="1"/>
    <col min="6107" max="6107" width="10.85546875" style="338" customWidth="1"/>
    <col min="6108" max="6108" width="6.5703125" style="338" customWidth="1"/>
    <col min="6109" max="6109" width="7" style="338" customWidth="1"/>
    <col min="6110" max="6110" width="7.42578125" style="338" customWidth="1"/>
    <col min="6111" max="6111" width="7.85546875" style="338" customWidth="1"/>
    <col min="6112" max="6112" width="7.140625" style="338" customWidth="1"/>
    <col min="6113" max="6113" width="7.85546875" style="338" customWidth="1"/>
    <col min="6114" max="6115" width="10.140625" style="338" customWidth="1"/>
    <col min="6116" max="6116" width="8.7109375" style="338"/>
    <col min="6117" max="6135" width="9.140625" style="338" customWidth="1"/>
    <col min="6136" max="6341" width="8.7109375" style="338"/>
    <col min="6342" max="6342" width="23.85546875" style="338" customWidth="1"/>
    <col min="6343" max="6343" width="10.85546875" style="338" customWidth="1"/>
    <col min="6344" max="6344" width="6.5703125" style="338" customWidth="1"/>
    <col min="6345" max="6345" width="7" style="338" bestFit="1" customWidth="1"/>
    <col min="6346" max="6346" width="7.42578125" style="338" bestFit="1" customWidth="1"/>
    <col min="6347" max="6347" width="7.85546875" style="338" bestFit="1" customWidth="1"/>
    <col min="6348" max="6348" width="7.140625" style="338" bestFit="1" customWidth="1"/>
    <col min="6349" max="6349" width="7.85546875" style="338" bestFit="1" customWidth="1"/>
    <col min="6350" max="6351" width="10.140625" style="338" bestFit="1" customWidth="1"/>
    <col min="6352" max="6352" width="23.85546875" style="338" customWidth="1"/>
    <col min="6353" max="6353" width="10.85546875" style="338" customWidth="1"/>
    <col min="6354" max="6354" width="6.5703125" style="338" customWidth="1"/>
    <col min="6355" max="6355" width="7" style="338" customWidth="1"/>
    <col min="6356" max="6356" width="7.42578125" style="338" customWidth="1"/>
    <col min="6357" max="6357" width="7.85546875" style="338" customWidth="1"/>
    <col min="6358" max="6358" width="7.140625" style="338" customWidth="1"/>
    <col min="6359" max="6359" width="7.85546875" style="338" customWidth="1"/>
    <col min="6360" max="6361" width="10.140625" style="338" customWidth="1"/>
    <col min="6362" max="6362" width="14.85546875" style="338" customWidth="1"/>
    <col min="6363" max="6363" width="10.85546875" style="338" customWidth="1"/>
    <col min="6364" max="6364" width="6.5703125" style="338" customWidth="1"/>
    <col min="6365" max="6365" width="7" style="338" customWidth="1"/>
    <col min="6366" max="6366" width="7.42578125" style="338" customWidth="1"/>
    <col min="6367" max="6367" width="7.85546875" style="338" customWidth="1"/>
    <col min="6368" max="6368" width="7.140625" style="338" customWidth="1"/>
    <col min="6369" max="6369" width="7.85546875" style="338" customWidth="1"/>
    <col min="6370" max="6371" width="10.140625" style="338" customWidth="1"/>
    <col min="6372" max="6372" width="8.7109375" style="338"/>
    <col min="6373" max="6391" width="9.140625" style="338" customWidth="1"/>
    <col min="6392" max="6597" width="8.7109375" style="338"/>
    <col min="6598" max="6598" width="23.85546875" style="338" customWidth="1"/>
    <col min="6599" max="6599" width="10.85546875" style="338" customWidth="1"/>
    <col min="6600" max="6600" width="6.5703125" style="338" customWidth="1"/>
    <col min="6601" max="6601" width="7" style="338" bestFit="1" customWidth="1"/>
    <col min="6602" max="6602" width="7.42578125" style="338" bestFit="1" customWidth="1"/>
    <col min="6603" max="6603" width="7.85546875" style="338" bestFit="1" customWidth="1"/>
    <col min="6604" max="6604" width="7.140625" style="338" bestFit="1" customWidth="1"/>
    <col min="6605" max="6605" width="7.85546875" style="338" bestFit="1" customWidth="1"/>
    <col min="6606" max="6607" width="10.140625" style="338" bestFit="1" customWidth="1"/>
    <col min="6608" max="6608" width="23.85546875" style="338" customWidth="1"/>
    <col min="6609" max="6609" width="10.85546875" style="338" customWidth="1"/>
    <col min="6610" max="6610" width="6.5703125" style="338" customWidth="1"/>
    <col min="6611" max="6611" width="7" style="338" customWidth="1"/>
    <col min="6612" max="6612" width="7.42578125" style="338" customWidth="1"/>
    <col min="6613" max="6613" width="7.85546875" style="338" customWidth="1"/>
    <col min="6614" max="6614" width="7.140625" style="338" customWidth="1"/>
    <col min="6615" max="6615" width="7.85546875" style="338" customWidth="1"/>
    <col min="6616" max="6617" width="10.140625" style="338" customWidth="1"/>
    <col min="6618" max="6618" width="14.85546875" style="338" customWidth="1"/>
    <col min="6619" max="6619" width="10.85546875" style="338" customWidth="1"/>
    <col min="6620" max="6620" width="6.5703125" style="338" customWidth="1"/>
    <col min="6621" max="6621" width="7" style="338" customWidth="1"/>
    <col min="6622" max="6622" width="7.42578125" style="338" customWidth="1"/>
    <col min="6623" max="6623" width="7.85546875" style="338" customWidth="1"/>
    <col min="6624" max="6624" width="7.140625" style="338" customWidth="1"/>
    <col min="6625" max="6625" width="7.85546875" style="338" customWidth="1"/>
    <col min="6626" max="6627" width="10.140625" style="338" customWidth="1"/>
    <col min="6628" max="6628" width="8.7109375" style="338"/>
    <col min="6629" max="6647" width="9.140625" style="338" customWidth="1"/>
    <col min="6648" max="6853" width="8.7109375" style="338"/>
    <col min="6854" max="6854" width="23.85546875" style="338" customWidth="1"/>
    <col min="6855" max="6855" width="10.85546875" style="338" customWidth="1"/>
    <col min="6856" max="6856" width="6.5703125" style="338" customWidth="1"/>
    <col min="6857" max="6857" width="7" style="338" bestFit="1" customWidth="1"/>
    <col min="6858" max="6858" width="7.42578125" style="338" bestFit="1" customWidth="1"/>
    <col min="6859" max="6859" width="7.85546875" style="338" bestFit="1" customWidth="1"/>
    <col min="6860" max="6860" width="7.140625" style="338" bestFit="1" customWidth="1"/>
    <col min="6861" max="6861" width="7.85546875" style="338" bestFit="1" customWidth="1"/>
    <col min="6862" max="6863" width="10.140625" style="338" bestFit="1" customWidth="1"/>
    <col min="6864" max="6864" width="23.85546875" style="338" customWidth="1"/>
    <col min="6865" max="6865" width="10.85546875" style="338" customWidth="1"/>
    <col min="6866" max="6866" width="6.5703125" style="338" customWidth="1"/>
    <col min="6867" max="6867" width="7" style="338" customWidth="1"/>
    <col min="6868" max="6868" width="7.42578125" style="338" customWidth="1"/>
    <col min="6869" max="6869" width="7.85546875" style="338" customWidth="1"/>
    <col min="6870" max="6870" width="7.140625" style="338" customWidth="1"/>
    <col min="6871" max="6871" width="7.85546875" style="338" customWidth="1"/>
    <col min="6872" max="6873" width="10.140625" style="338" customWidth="1"/>
    <col min="6874" max="6874" width="14.85546875" style="338" customWidth="1"/>
    <col min="6875" max="6875" width="10.85546875" style="338" customWidth="1"/>
    <col min="6876" max="6876" width="6.5703125" style="338" customWidth="1"/>
    <col min="6877" max="6877" width="7" style="338" customWidth="1"/>
    <col min="6878" max="6878" width="7.42578125" style="338" customWidth="1"/>
    <col min="6879" max="6879" width="7.85546875" style="338" customWidth="1"/>
    <col min="6880" max="6880" width="7.140625" style="338" customWidth="1"/>
    <col min="6881" max="6881" width="7.85546875" style="338" customWidth="1"/>
    <col min="6882" max="6883" width="10.140625" style="338" customWidth="1"/>
    <col min="6884" max="6884" width="8.7109375" style="338"/>
    <col min="6885" max="6903" width="9.140625" style="338" customWidth="1"/>
    <col min="6904" max="7109" width="8.7109375" style="338"/>
    <col min="7110" max="7110" width="23.85546875" style="338" customWidth="1"/>
    <col min="7111" max="7111" width="10.85546875" style="338" customWidth="1"/>
    <col min="7112" max="7112" width="6.5703125" style="338" customWidth="1"/>
    <col min="7113" max="7113" width="7" style="338" bestFit="1" customWidth="1"/>
    <col min="7114" max="7114" width="7.42578125" style="338" bestFit="1" customWidth="1"/>
    <col min="7115" max="7115" width="7.85546875" style="338" bestFit="1" customWidth="1"/>
    <col min="7116" max="7116" width="7.140625" style="338" bestFit="1" customWidth="1"/>
    <col min="7117" max="7117" width="7.85546875" style="338" bestFit="1" customWidth="1"/>
    <col min="7118" max="7119" width="10.140625" style="338" bestFit="1" customWidth="1"/>
    <col min="7120" max="7120" width="23.85546875" style="338" customWidth="1"/>
    <col min="7121" max="7121" width="10.85546875" style="338" customWidth="1"/>
    <col min="7122" max="7122" width="6.5703125" style="338" customWidth="1"/>
    <col min="7123" max="7123" width="7" style="338" customWidth="1"/>
    <col min="7124" max="7124" width="7.42578125" style="338" customWidth="1"/>
    <col min="7125" max="7125" width="7.85546875" style="338" customWidth="1"/>
    <col min="7126" max="7126" width="7.140625" style="338" customWidth="1"/>
    <col min="7127" max="7127" width="7.85546875" style="338" customWidth="1"/>
    <col min="7128" max="7129" width="10.140625" style="338" customWidth="1"/>
    <col min="7130" max="7130" width="14.85546875" style="338" customWidth="1"/>
    <col min="7131" max="7131" width="10.85546875" style="338" customWidth="1"/>
    <col min="7132" max="7132" width="6.5703125" style="338" customWidth="1"/>
    <col min="7133" max="7133" width="7" style="338" customWidth="1"/>
    <col min="7134" max="7134" width="7.42578125" style="338" customWidth="1"/>
    <col min="7135" max="7135" width="7.85546875" style="338" customWidth="1"/>
    <col min="7136" max="7136" width="7.140625" style="338" customWidth="1"/>
    <col min="7137" max="7137" width="7.85546875" style="338" customWidth="1"/>
    <col min="7138" max="7139" width="10.140625" style="338" customWidth="1"/>
    <col min="7140" max="7140" width="8.7109375" style="338"/>
    <col min="7141" max="7159" width="9.140625" style="338" customWidth="1"/>
    <col min="7160" max="7365" width="8.7109375" style="338"/>
    <col min="7366" max="7366" width="23.85546875" style="338" customWidth="1"/>
    <col min="7367" max="7367" width="10.85546875" style="338" customWidth="1"/>
    <col min="7368" max="7368" width="6.5703125" style="338" customWidth="1"/>
    <col min="7369" max="7369" width="7" style="338" bestFit="1" customWidth="1"/>
    <col min="7370" max="7370" width="7.42578125" style="338" bestFit="1" customWidth="1"/>
    <col min="7371" max="7371" width="7.85546875" style="338" bestFit="1" customWidth="1"/>
    <col min="7372" max="7372" width="7.140625" style="338" bestFit="1" customWidth="1"/>
    <col min="7373" max="7373" width="7.85546875" style="338" bestFit="1" customWidth="1"/>
    <col min="7374" max="7375" width="10.140625" style="338" bestFit="1" customWidth="1"/>
    <col min="7376" max="7376" width="23.85546875" style="338" customWidth="1"/>
    <col min="7377" max="7377" width="10.85546875" style="338" customWidth="1"/>
    <col min="7378" max="7378" width="6.5703125" style="338" customWidth="1"/>
    <col min="7379" max="7379" width="7" style="338" customWidth="1"/>
    <col min="7380" max="7380" width="7.42578125" style="338" customWidth="1"/>
    <col min="7381" max="7381" width="7.85546875" style="338" customWidth="1"/>
    <col min="7382" max="7382" width="7.140625" style="338" customWidth="1"/>
    <col min="7383" max="7383" width="7.85546875" style="338" customWidth="1"/>
    <col min="7384" max="7385" width="10.140625" style="338" customWidth="1"/>
    <col min="7386" max="7386" width="14.85546875" style="338" customWidth="1"/>
    <col min="7387" max="7387" width="10.85546875" style="338" customWidth="1"/>
    <col min="7388" max="7388" width="6.5703125" style="338" customWidth="1"/>
    <col min="7389" max="7389" width="7" style="338" customWidth="1"/>
    <col min="7390" max="7390" width="7.42578125" style="338" customWidth="1"/>
    <col min="7391" max="7391" width="7.85546875" style="338" customWidth="1"/>
    <col min="7392" max="7392" width="7.140625" style="338" customWidth="1"/>
    <col min="7393" max="7393" width="7.85546875" style="338" customWidth="1"/>
    <col min="7394" max="7395" width="10.140625" style="338" customWidth="1"/>
    <col min="7396" max="7396" width="8.7109375" style="338"/>
    <col min="7397" max="7415" width="9.140625" style="338" customWidth="1"/>
    <col min="7416" max="7621" width="8.7109375" style="338"/>
    <col min="7622" max="7622" width="23.85546875" style="338" customWidth="1"/>
    <col min="7623" max="7623" width="10.85546875" style="338" customWidth="1"/>
    <col min="7624" max="7624" width="6.5703125" style="338" customWidth="1"/>
    <col min="7625" max="7625" width="7" style="338" bestFit="1" customWidth="1"/>
    <col min="7626" max="7626" width="7.42578125" style="338" bestFit="1" customWidth="1"/>
    <col min="7627" max="7627" width="7.85546875" style="338" bestFit="1" customWidth="1"/>
    <col min="7628" max="7628" width="7.140625" style="338" bestFit="1" customWidth="1"/>
    <col min="7629" max="7629" width="7.85546875" style="338" bestFit="1" customWidth="1"/>
    <col min="7630" max="7631" width="10.140625" style="338" bestFit="1" customWidth="1"/>
    <col min="7632" max="7632" width="23.85546875" style="338" customWidth="1"/>
    <col min="7633" max="7633" width="10.85546875" style="338" customWidth="1"/>
    <col min="7634" max="7634" width="6.5703125" style="338" customWidth="1"/>
    <col min="7635" max="7635" width="7" style="338" customWidth="1"/>
    <col min="7636" max="7636" width="7.42578125" style="338" customWidth="1"/>
    <col min="7637" max="7637" width="7.85546875" style="338" customWidth="1"/>
    <col min="7638" max="7638" width="7.140625" style="338" customWidth="1"/>
    <col min="7639" max="7639" width="7.85546875" style="338" customWidth="1"/>
    <col min="7640" max="7641" width="10.140625" style="338" customWidth="1"/>
    <col min="7642" max="7642" width="14.85546875" style="338" customWidth="1"/>
    <col min="7643" max="7643" width="10.85546875" style="338" customWidth="1"/>
    <col min="7644" max="7644" width="6.5703125" style="338" customWidth="1"/>
    <col min="7645" max="7645" width="7" style="338" customWidth="1"/>
    <col min="7646" max="7646" width="7.42578125" style="338" customWidth="1"/>
    <col min="7647" max="7647" width="7.85546875" style="338" customWidth="1"/>
    <col min="7648" max="7648" width="7.140625" style="338" customWidth="1"/>
    <col min="7649" max="7649" width="7.85546875" style="338" customWidth="1"/>
    <col min="7650" max="7651" width="10.140625" style="338" customWidth="1"/>
    <col min="7652" max="7652" width="8.7109375" style="338"/>
    <col min="7653" max="7671" width="9.140625" style="338" customWidth="1"/>
    <col min="7672" max="7877" width="8.7109375" style="338"/>
    <col min="7878" max="7878" width="23.85546875" style="338" customWidth="1"/>
    <col min="7879" max="7879" width="10.85546875" style="338" customWidth="1"/>
    <col min="7880" max="7880" width="6.5703125" style="338" customWidth="1"/>
    <col min="7881" max="7881" width="7" style="338" bestFit="1" customWidth="1"/>
    <col min="7882" max="7882" width="7.42578125" style="338" bestFit="1" customWidth="1"/>
    <col min="7883" max="7883" width="7.85546875" style="338" bestFit="1" customWidth="1"/>
    <col min="7884" max="7884" width="7.140625" style="338" bestFit="1" customWidth="1"/>
    <col min="7885" max="7885" width="7.85546875" style="338" bestFit="1" customWidth="1"/>
    <col min="7886" max="7887" width="10.140625" style="338" bestFit="1" customWidth="1"/>
    <col min="7888" max="7888" width="23.85546875" style="338" customWidth="1"/>
    <col min="7889" max="7889" width="10.85546875" style="338" customWidth="1"/>
    <col min="7890" max="7890" width="6.5703125" style="338" customWidth="1"/>
    <col min="7891" max="7891" width="7" style="338" customWidth="1"/>
    <col min="7892" max="7892" width="7.42578125" style="338" customWidth="1"/>
    <col min="7893" max="7893" width="7.85546875" style="338" customWidth="1"/>
    <col min="7894" max="7894" width="7.140625" style="338" customWidth="1"/>
    <col min="7895" max="7895" width="7.85546875" style="338" customWidth="1"/>
    <col min="7896" max="7897" width="10.140625" style="338" customWidth="1"/>
    <col min="7898" max="7898" width="14.85546875" style="338" customWidth="1"/>
    <col min="7899" max="7899" width="10.85546875" style="338" customWidth="1"/>
    <col min="7900" max="7900" width="6.5703125" style="338" customWidth="1"/>
    <col min="7901" max="7901" width="7" style="338" customWidth="1"/>
    <col min="7902" max="7902" width="7.42578125" style="338" customWidth="1"/>
    <col min="7903" max="7903" width="7.85546875" style="338" customWidth="1"/>
    <col min="7904" max="7904" width="7.140625" style="338" customWidth="1"/>
    <col min="7905" max="7905" width="7.85546875" style="338" customWidth="1"/>
    <col min="7906" max="7907" width="10.140625" style="338" customWidth="1"/>
    <col min="7908" max="7908" width="8.7109375" style="338"/>
    <col min="7909" max="7927" width="9.140625" style="338" customWidth="1"/>
    <col min="7928" max="8133" width="8.7109375" style="338"/>
    <col min="8134" max="8134" width="23.85546875" style="338" customWidth="1"/>
    <col min="8135" max="8135" width="10.85546875" style="338" customWidth="1"/>
    <col min="8136" max="8136" width="6.5703125" style="338" customWidth="1"/>
    <col min="8137" max="8137" width="7" style="338" bestFit="1" customWidth="1"/>
    <col min="8138" max="8138" width="7.42578125" style="338" bestFit="1" customWidth="1"/>
    <col min="8139" max="8139" width="7.85546875" style="338" bestFit="1" customWidth="1"/>
    <col min="8140" max="8140" width="7.140625" style="338" bestFit="1" customWidth="1"/>
    <col min="8141" max="8141" width="7.85546875" style="338" bestFit="1" customWidth="1"/>
    <col min="8142" max="8143" width="10.140625" style="338" bestFit="1" customWidth="1"/>
    <col min="8144" max="8144" width="23.85546875" style="338" customWidth="1"/>
    <col min="8145" max="8145" width="10.85546875" style="338" customWidth="1"/>
    <col min="8146" max="8146" width="6.5703125" style="338" customWidth="1"/>
    <col min="8147" max="8147" width="7" style="338" customWidth="1"/>
    <col min="8148" max="8148" width="7.42578125" style="338" customWidth="1"/>
    <col min="8149" max="8149" width="7.85546875" style="338" customWidth="1"/>
    <col min="8150" max="8150" width="7.140625" style="338" customWidth="1"/>
    <col min="8151" max="8151" width="7.85546875" style="338" customWidth="1"/>
    <col min="8152" max="8153" width="10.140625" style="338" customWidth="1"/>
    <col min="8154" max="8154" width="14.85546875" style="338" customWidth="1"/>
    <col min="8155" max="8155" width="10.85546875" style="338" customWidth="1"/>
    <col min="8156" max="8156" width="6.5703125" style="338" customWidth="1"/>
    <col min="8157" max="8157" width="7" style="338" customWidth="1"/>
    <col min="8158" max="8158" width="7.42578125" style="338" customWidth="1"/>
    <col min="8159" max="8159" width="7.85546875" style="338" customWidth="1"/>
    <col min="8160" max="8160" width="7.140625" style="338" customWidth="1"/>
    <col min="8161" max="8161" width="7.85546875" style="338" customWidth="1"/>
    <col min="8162" max="8163" width="10.140625" style="338" customWidth="1"/>
    <col min="8164" max="8164" width="8.7109375" style="338"/>
    <col min="8165" max="8183" width="9.140625" style="338" customWidth="1"/>
    <col min="8184" max="8389" width="8.7109375" style="338"/>
    <col min="8390" max="8390" width="23.85546875" style="338" customWidth="1"/>
    <col min="8391" max="8391" width="10.85546875" style="338" customWidth="1"/>
    <col min="8392" max="8392" width="6.5703125" style="338" customWidth="1"/>
    <col min="8393" max="8393" width="7" style="338" bestFit="1" customWidth="1"/>
    <col min="8394" max="8394" width="7.42578125" style="338" bestFit="1" customWidth="1"/>
    <col min="8395" max="8395" width="7.85546875" style="338" bestFit="1" customWidth="1"/>
    <col min="8396" max="8396" width="7.140625" style="338" bestFit="1" customWidth="1"/>
    <col min="8397" max="8397" width="7.85546875" style="338" bestFit="1" customWidth="1"/>
    <col min="8398" max="8399" width="10.140625" style="338" bestFit="1" customWidth="1"/>
    <col min="8400" max="8400" width="23.85546875" style="338" customWidth="1"/>
    <col min="8401" max="8401" width="10.85546875" style="338" customWidth="1"/>
    <col min="8402" max="8402" width="6.5703125" style="338" customWidth="1"/>
    <col min="8403" max="8403" width="7" style="338" customWidth="1"/>
    <col min="8404" max="8404" width="7.42578125" style="338" customWidth="1"/>
    <col min="8405" max="8405" width="7.85546875" style="338" customWidth="1"/>
    <col min="8406" max="8406" width="7.140625" style="338" customWidth="1"/>
    <col min="8407" max="8407" width="7.85546875" style="338" customWidth="1"/>
    <col min="8408" max="8409" width="10.140625" style="338" customWidth="1"/>
    <col min="8410" max="8410" width="14.85546875" style="338" customWidth="1"/>
    <col min="8411" max="8411" width="10.85546875" style="338" customWidth="1"/>
    <col min="8412" max="8412" width="6.5703125" style="338" customWidth="1"/>
    <col min="8413" max="8413" width="7" style="338" customWidth="1"/>
    <col min="8414" max="8414" width="7.42578125" style="338" customWidth="1"/>
    <col min="8415" max="8415" width="7.85546875" style="338" customWidth="1"/>
    <col min="8416" max="8416" width="7.140625" style="338" customWidth="1"/>
    <col min="8417" max="8417" width="7.85546875" style="338" customWidth="1"/>
    <col min="8418" max="8419" width="10.140625" style="338" customWidth="1"/>
    <col min="8420" max="8420" width="8.7109375" style="338"/>
    <col min="8421" max="8439" width="9.140625" style="338" customWidth="1"/>
    <col min="8440" max="8645" width="8.7109375" style="338"/>
    <col min="8646" max="8646" width="23.85546875" style="338" customWidth="1"/>
    <col min="8647" max="8647" width="10.85546875" style="338" customWidth="1"/>
    <col min="8648" max="8648" width="6.5703125" style="338" customWidth="1"/>
    <col min="8649" max="8649" width="7" style="338" bestFit="1" customWidth="1"/>
    <col min="8650" max="8650" width="7.42578125" style="338" bestFit="1" customWidth="1"/>
    <col min="8651" max="8651" width="7.85546875" style="338" bestFit="1" customWidth="1"/>
    <col min="8652" max="8652" width="7.140625" style="338" bestFit="1" customWidth="1"/>
    <col min="8653" max="8653" width="7.85546875" style="338" bestFit="1" customWidth="1"/>
    <col min="8654" max="8655" width="10.140625" style="338" bestFit="1" customWidth="1"/>
    <col min="8656" max="8656" width="23.85546875" style="338" customWidth="1"/>
    <col min="8657" max="8657" width="10.85546875" style="338" customWidth="1"/>
    <col min="8658" max="8658" width="6.5703125" style="338" customWidth="1"/>
    <col min="8659" max="8659" width="7" style="338" customWidth="1"/>
    <col min="8660" max="8660" width="7.42578125" style="338" customWidth="1"/>
    <col min="8661" max="8661" width="7.85546875" style="338" customWidth="1"/>
    <col min="8662" max="8662" width="7.140625" style="338" customWidth="1"/>
    <col min="8663" max="8663" width="7.85546875" style="338" customWidth="1"/>
    <col min="8664" max="8665" width="10.140625" style="338" customWidth="1"/>
    <col min="8666" max="8666" width="14.85546875" style="338" customWidth="1"/>
    <col min="8667" max="8667" width="10.85546875" style="338" customWidth="1"/>
    <col min="8668" max="8668" width="6.5703125" style="338" customWidth="1"/>
    <col min="8669" max="8669" width="7" style="338" customWidth="1"/>
    <col min="8670" max="8670" width="7.42578125" style="338" customWidth="1"/>
    <col min="8671" max="8671" width="7.85546875" style="338" customWidth="1"/>
    <col min="8672" max="8672" width="7.140625" style="338" customWidth="1"/>
    <col min="8673" max="8673" width="7.85546875" style="338" customWidth="1"/>
    <col min="8674" max="8675" width="10.140625" style="338" customWidth="1"/>
    <col min="8676" max="8676" width="8.7109375" style="338"/>
    <col min="8677" max="8695" width="9.140625" style="338" customWidth="1"/>
    <col min="8696" max="8901" width="8.7109375" style="338"/>
    <col min="8902" max="8902" width="23.85546875" style="338" customWidth="1"/>
    <col min="8903" max="8903" width="10.85546875" style="338" customWidth="1"/>
    <col min="8904" max="8904" width="6.5703125" style="338" customWidth="1"/>
    <col min="8905" max="8905" width="7" style="338" bestFit="1" customWidth="1"/>
    <col min="8906" max="8906" width="7.42578125" style="338" bestFit="1" customWidth="1"/>
    <col min="8907" max="8907" width="7.85546875" style="338" bestFit="1" customWidth="1"/>
    <col min="8908" max="8908" width="7.140625" style="338" bestFit="1" customWidth="1"/>
    <col min="8909" max="8909" width="7.85546875" style="338" bestFit="1" customWidth="1"/>
    <col min="8910" max="8911" width="10.140625" style="338" bestFit="1" customWidth="1"/>
    <col min="8912" max="8912" width="23.85546875" style="338" customWidth="1"/>
    <col min="8913" max="8913" width="10.85546875" style="338" customWidth="1"/>
    <col min="8914" max="8914" width="6.5703125" style="338" customWidth="1"/>
    <col min="8915" max="8915" width="7" style="338" customWidth="1"/>
    <col min="8916" max="8916" width="7.42578125" style="338" customWidth="1"/>
    <col min="8917" max="8917" width="7.85546875" style="338" customWidth="1"/>
    <col min="8918" max="8918" width="7.140625" style="338" customWidth="1"/>
    <col min="8919" max="8919" width="7.85546875" style="338" customWidth="1"/>
    <col min="8920" max="8921" width="10.140625" style="338" customWidth="1"/>
    <col min="8922" max="8922" width="14.85546875" style="338" customWidth="1"/>
    <col min="8923" max="8923" width="10.85546875" style="338" customWidth="1"/>
    <col min="8924" max="8924" width="6.5703125" style="338" customWidth="1"/>
    <col min="8925" max="8925" width="7" style="338" customWidth="1"/>
    <col min="8926" max="8926" width="7.42578125" style="338" customWidth="1"/>
    <col min="8927" max="8927" width="7.85546875" style="338" customWidth="1"/>
    <col min="8928" max="8928" width="7.140625" style="338" customWidth="1"/>
    <col min="8929" max="8929" width="7.85546875" style="338" customWidth="1"/>
    <col min="8930" max="8931" width="10.140625" style="338" customWidth="1"/>
    <col min="8932" max="8932" width="8.7109375" style="338"/>
    <col min="8933" max="8951" width="9.140625" style="338" customWidth="1"/>
    <col min="8952" max="9157" width="8.7109375" style="338"/>
    <col min="9158" max="9158" width="23.85546875" style="338" customWidth="1"/>
    <col min="9159" max="9159" width="10.85546875" style="338" customWidth="1"/>
    <col min="9160" max="9160" width="6.5703125" style="338" customWidth="1"/>
    <col min="9161" max="9161" width="7" style="338" bestFit="1" customWidth="1"/>
    <col min="9162" max="9162" width="7.42578125" style="338" bestFit="1" customWidth="1"/>
    <col min="9163" max="9163" width="7.85546875" style="338" bestFit="1" customWidth="1"/>
    <col min="9164" max="9164" width="7.140625" style="338" bestFit="1" customWidth="1"/>
    <col min="9165" max="9165" width="7.85546875" style="338" bestFit="1" customWidth="1"/>
    <col min="9166" max="9167" width="10.140625" style="338" bestFit="1" customWidth="1"/>
    <col min="9168" max="9168" width="23.85546875" style="338" customWidth="1"/>
    <col min="9169" max="9169" width="10.85546875" style="338" customWidth="1"/>
    <col min="9170" max="9170" width="6.5703125" style="338" customWidth="1"/>
    <col min="9171" max="9171" width="7" style="338" customWidth="1"/>
    <col min="9172" max="9172" width="7.42578125" style="338" customWidth="1"/>
    <col min="9173" max="9173" width="7.85546875" style="338" customWidth="1"/>
    <col min="9174" max="9174" width="7.140625" style="338" customWidth="1"/>
    <col min="9175" max="9175" width="7.85546875" style="338" customWidth="1"/>
    <col min="9176" max="9177" width="10.140625" style="338" customWidth="1"/>
    <col min="9178" max="9178" width="14.85546875" style="338" customWidth="1"/>
    <col min="9179" max="9179" width="10.85546875" style="338" customWidth="1"/>
    <col min="9180" max="9180" width="6.5703125" style="338" customWidth="1"/>
    <col min="9181" max="9181" width="7" style="338" customWidth="1"/>
    <col min="9182" max="9182" width="7.42578125" style="338" customWidth="1"/>
    <col min="9183" max="9183" width="7.85546875" style="338" customWidth="1"/>
    <col min="9184" max="9184" width="7.140625" style="338" customWidth="1"/>
    <col min="9185" max="9185" width="7.85546875" style="338" customWidth="1"/>
    <col min="9186" max="9187" width="10.140625" style="338" customWidth="1"/>
    <col min="9188" max="9188" width="8.7109375" style="338"/>
    <col min="9189" max="9207" width="9.140625" style="338" customWidth="1"/>
    <col min="9208" max="9413" width="8.7109375" style="338"/>
    <col min="9414" max="9414" width="23.85546875" style="338" customWidth="1"/>
    <col min="9415" max="9415" width="10.85546875" style="338" customWidth="1"/>
    <col min="9416" max="9416" width="6.5703125" style="338" customWidth="1"/>
    <col min="9417" max="9417" width="7" style="338" bestFit="1" customWidth="1"/>
    <col min="9418" max="9418" width="7.42578125" style="338" bestFit="1" customWidth="1"/>
    <col min="9419" max="9419" width="7.85546875" style="338" bestFit="1" customWidth="1"/>
    <col min="9420" max="9420" width="7.140625" style="338" bestFit="1" customWidth="1"/>
    <col min="9421" max="9421" width="7.85546875" style="338" bestFit="1" customWidth="1"/>
    <col min="9422" max="9423" width="10.140625" style="338" bestFit="1" customWidth="1"/>
    <col min="9424" max="9424" width="23.85546875" style="338" customWidth="1"/>
    <col min="9425" max="9425" width="10.85546875" style="338" customWidth="1"/>
    <col min="9426" max="9426" width="6.5703125" style="338" customWidth="1"/>
    <col min="9427" max="9427" width="7" style="338" customWidth="1"/>
    <col min="9428" max="9428" width="7.42578125" style="338" customWidth="1"/>
    <col min="9429" max="9429" width="7.85546875" style="338" customWidth="1"/>
    <col min="9430" max="9430" width="7.140625" style="338" customWidth="1"/>
    <col min="9431" max="9431" width="7.85546875" style="338" customWidth="1"/>
    <col min="9432" max="9433" width="10.140625" style="338" customWidth="1"/>
    <col min="9434" max="9434" width="14.85546875" style="338" customWidth="1"/>
    <col min="9435" max="9435" width="10.85546875" style="338" customWidth="1"/>
    <col min="9436" max="9436" width="6.5703125" style="338" customWidth="1"/>
    <col min="9437" max="9437" width="7" style="338" customWidth="1"/>
    <col min="9438" max="9438" width="7.42578125" style="338" customWidth="1"/>
    <col min="9439" max="9439" width="7.85546875" style="338" customWidth="1"/>
    <col min="9440" max="9440" width="7.140625" style="338" customWidth="1"/>
    <col min="9441" max="9441" width="7.85546875" style="338" customWidth="1"/>
    <col min="9442" max="9443" width="10.140625" style="338" customWidth="1"/>
    <col min="9444" max="9444" width="8.7109375" style="338"/>
    <col min="9445" max="9463" width="9.140625" style="338" customWidth="1"/>
    <col min="9464" max="9669" width="8.7109375" style="338"/>
    <col min="9670" max="9670" width="23.85546875" style="338" customWidth="1"/>
    <col min="9671" max="9671" width="10.85546875" style="338" customWidth="1"/>
    <col min="9672" max="9672" width="6.5703125" style="338" customWidth="1"/>
    <col min="9673" max="9673" width="7" style="338" bestFit="1" customWidth="1"/>
    <col min="9674" max="9674" width="7.42578125" style="338" bestFit="1" customWidth="1"/>
    <col min="9675" max="9675" width="7.85546875" style="338" bestFit="1" customWidth="1"/>
    <col min="9676" max="9676" width="7.140625" style="338" bestFit="1" customWidth="1"/>
    <col min="9677" max="9677" width="7.85546875" style="338" bestFit="1" customWidth="1"/>
    <col min="9678" max="9679" width="10.140625" style="338" bestFit="1" customWidth="1"/>
    <col min="9680" max="9680" width="23.85546875" style="338" customWidth="1"/>
    <col min="9681" max="9681" width="10.85546875" style="338" customWidth="1"/>
    <col min="9682" max="9682" width="6.5703125" style="338" customWidth="1"/>
    <col min="9683" max="9683" width="7" style="338" customWidth="1"/>
    <col min="9684" max="9684" width="7.42578125" style="338" customWidth="1"/>
    <col min="9685" max="9685" width="7.85546875" style="338" customWidth="1"/>
    <col min="9686" max="9686" width="7.140625" style="338" customWidth="1"/>
    <col min="9687" max="9687" width="7.85546875" style="338" customWidth="1"/>
    <col min="9688" max="9689" width="10.140625" style="338" customWidth="1"/>
    <col min="9690" max="9690" width="14.85546875" style="338" customWidth="1"/>
    <col min="9691" max="9691" width="10.85546875" style="338" customWidth="1"/>
    <col min="9692" max="9692" width="6.5703125" style="338" customWidth="1"/>
    <col min="9693" max="9693" width="7" style="338" customWidth="1"/>
    <col min="9694" max="9694" width="7.42578125" style="338" customWidth="1"/>
    <col min="9695" max="9695" width="7.85546875" style="338" customWidth="1"/>
    <col min="9696" max="9696" width="7.140625" style="338" customWidth="1"/>
    <col min="9697" max="9697" width="7.85546875" style="338" customWidth="1"/>
    <col min="9698" max="9699" width="10.140625" style="338" customWidth="1"/>
    <col min="9700" max="9700" width="8.7109375" style="338"/>
    <col min="9701" max="9719" width="9.140625" style="338" customWidth="1"/>
    <col min="9720" max="9925" width="8.7109375" style="338"/>
    <col min="9926" max="9926" width="23.85546875" style="338" customWidth="1"/>
    <col min="9927" max="9927" width="10.85546875" style="338" customWidth="1"/>
    <col min="9928" max="9928" width="6.5703125" style="338" customWidth="1"/>
    <col min="9929" max="9929" width="7" style="338" bestFit="1" customWidth="1"/>
    <col min="9930" max="9930" width="7.42578125" style="338" bestFit="1" customWidth="1"/>
    <col min="9931" max="9931" width="7.85546875" style="338" bestFit="1" customWidth="1"/>
    <col min="9932" max="9932" width="7.140625" style="338" bestFit="1" customWidth="1"/>
    <col min="9933" max="9933" width="7.85546875" style="338" bestFit="1" customWidth="1"/>
    <col min="9934" max="9935" width="10.140625" style="338" bestFit="1" customWidth="1"/>
    <col min="9936" max="9936" width="23.85546875" style="338" customWidth="1"/>
    <col min="9937" max="9937" width="10.85546875" style="338" customWidth="1"/>
    <col min="9938" max="9938" width="6.5703125" style="338" customWidth="1"/>
    <col min="9939" max="9939" width="7" style="338" customWidth="1"/>
    <col min="9940" max="9940" width="7.42578125" style="338" customWidth="1"/>
    <col min="9941" max="9941" width="7.85546875" style="338" customWidth="1"/>
    <col min="9942" max="9942" width="7.140625" style="338" customWidth="1"/>
    <col min="9943" max="9943" width="7.85546875" style="338" customWidth="1"/>
    <col min="9944" max="9945" width="10.140625" style="338" customWidth="1"/>
    <col min="9946" max="9946" width="14.85546875" style="338" customWidth="1"/>
    <col min="9947" max="9947" width="10.85546875" style="338" customWidth="1"/>
    <col min="9948" max="9948" width="6.5703125" style="338" customWidth="1"/>
    <col min="9949" max="9949" width="7" style="338" customWidth="1"/>
    <col min="9950" max="9950" width="7.42578125" style="338" customWidth="1"/>
    <col min="9951" max="9951" width="7.85546875" style="338" customWidth="1"/>
    <col min="9952" max="9952" width="7.140625" style="338" customWidth="1"/>
    <col min="9953" max="9953" width="7.85546875" style="338" customWidth="1"/>
    <col min="9954" max="9955" width="10.140625" style="338" customWidth="1"/>
    <col min="9956" max="9956" width="8.7109375" style="338"/>
    <col min="9957" max="9975" width="9.140625" style="338" customWidth="1"/>
    <col min="9976" max="10181" width="8.7109375" style="338"/>
    <col min="10182" max="10182" width="23.85546875" style="338" customWidth="1"/>
    <col min="10183" max="10183" width="10.85546875" style="338" customWidth="1"/>
    <col min="10184" max="10184" width="6.5703125" style="338" customWidth="1"/>
    <col min="10185" max="10185" width="7" style="338" bestFit="1" customWidth="1"/>
    <col min="10186" max="10186" width="7.42578125" style="338" bestFit="1" customWidth="1"/>
    <col min="10187" max="10187" width="7.85546875" style="338" bestFit="1" customWidth="1"/>
    <col min="10188" max="10188" width="7.140625" style="338" bestFit="1" customWidth="1"/>
    <col min="10189" max="10189" width="7.85546875" style="338" bestFit="1" customWidth="1"/>
    <col min="10190" max="10191" width="10.140625" style="338" bestFit="1" customWidth="1"/>
    <col min="10192" max="10192" width="23.85546875" style="338" customWidth="1"/>
    <col min="10193" max="10193" width="10.85546875" style="338" customWidth="1"/>
    <col min="10194" max="10194" width="6.5703125" style="338" customWidth="1"/>
    <col min="10195" max="10195" width="7" style="338" customWidth="1"/>
    <col min="10196" max="10196" width="7.42578125" style="338" customWidth="1"/>
    <col min="10197" max="10197" width="7.85546875" style="338" customWidth="1"/>
    <col min="10198" max="10198" width="7.140625" style="338" customWidth="1"/>
    <col min="10199" max="10199" width="7.85546875" style="338" customWidth="1"/>
    <col min="10200" max="10201" width="10.140625" style="338" customWidth="1"/>
    <col min="10202" max="10202" width="14.85546875" style="338" customWidth="1"/>
    <col min="10203" max="10203" width="10.85546875" style="338" customWidth="1"/>
    <col min="10204" max="10204" width="6.5703125" style="338" customWidth="1"/>
    <col min="10205" max="10205" width="7" style="338" customWidth="1"/>
    <col min="10206" max="10206" width="7.42578125" style="338" customWidth="1"/>
    <col min="10207" max="10207" width="7.85546875" style="338" customWidth="1"/>
    <col min="10208" max="10208" width="7.140625" style="338" customWidth="1"/>
    <col min="10209" max="10209" width="7.85546875" style="338" customWidth="1"/>
    <col min="10210" max="10211" width="10.140625" style="338" customWidth="1"/>
    <col min="10212" max="10212" width="8.7109375" style="338"/>
    <col min="10213" max="10231" width="9.140625" style="338" customWidth="1"/>
    <col min="10232" max="10437" width="8.7109375" style="338"/>
    <col min="10438" max="10438" width="23.85546875" style="338" customWidth="1"/>
    <col min="10439" max="10439" width="10.85546875" style="338" customWidth="1"/>
    <col min="10440" max="10440" width="6.5703125" style="338" customWidth="1"/>
    <col min="10441" max="10441" width="7" style="338" bestFit="1" customWidth="1"/>
    <col min="10442" max="10442" width="7.42578125" style="338" bestFit="1" customWidth="1"/>
    <col min="10443" max="10443" width="7.85546875" style="338" bestFit="1" customWidth="1"/>
    <col min="10444" max="10444" width="7.140625" style="338" bestFit="1" customWidth="1"/>
    <col min="10445" max="10445" width="7.85546875" style="338" bestFit="1" customWidth="1"/>
    <col min="10446" max="10447" width="10.140625" style="338" bestFit="1" customWidth="1"/>
    <col min="10448" max="10448" width="23.85546875" style="338" customWidth="1"/>
    <col min="10449" max="10449" width="10.85546875" style="338" customWidth="1"/>
    <col min="10450" max="10450" width="6.5703125" style="338" customWidth="1"/>
    <col min="10451" max="10451" width="7" style="338" customWidth="1"/>
    <col min="10452" max="10452" width="7.42578125" style="338" customWidth="1"/>
    <col min="10453" max="10453" width="7.85546875" style="338" customWidth="1"/>
    <col min="10454" max="10454" width="7.140625" style="338" customWidth="1"/>
    <col min="10455" max="10455" width="7.85546875" style="338" customWidth="1"/>
    <col min="10456" max="10457" width="10.140625" style="338" customWidth="1"/>
    <col min="10458" max="10458" width="14.85546875" style="338" customWidth="1"/>
    <col min="10459" max="10459" width="10.85546875" style="338" customWidth="1"/>
    <col min="10460" max="10460" width="6.5703125" style="338" customWidth="1"/>
    <col min="10461" max="10461" width="7" style="338" customWidth="1"/>
    <col min="10462" max="10462" width="7.42578125" style="338" customWidth="1"/>
    <col min="10463" max="10463" width="7.85546875" style="338" customWidth="1"/>
    <col min="10464" max="10464" width="7.140625" style="338" customWidth="1"/>
    <col min="10465" max="10465" width="7.85546875" style="338" customWidth="1"/>
    <col min="10466" max="10467" width="10.140625" style="338" customWidth="1"/>
    <col min="10468" max="10468" width="8.7109375" style="338"/>
    <col min="10469" max="10487" width="9.140625" style="338" customWidth="1"/>
    <col min="10488" max="10693" width="8.7109375" style="338"/>
    <col min="10694" max="10694" width="23.85546875" style="338" customWidth="1"/>
    <col min="10695" max="10695" width="10.85546875" style="338" customWidth="1"/>
    <col min="10696" max="10696" width="6.5703125" style="338" customWidth="1"/>
    <col min="10697" max="10697" width="7" style="338" bestFit="1" customWidth="1"/>
    <col min="10698" max="10698" width="7.42578125" style="338" bestFit="1" customWidth="1"/>
    <col min="10699" max="10699" width="7.85546875" style="338" bestFit="1" customWidth="1"/>
    <col min="10700" max="10700" width="7.140625" style="338" bestFit="1" customWidth="1"/>
    <col min="10701" max="10701" width="7.85546875" style="338" bestFit="1" customWidth="1"/>
    <col min="10702" max="10703" width="10.140625" style="338" bestFit="1" customWidth="1"/>
    <col min="10704" max="10704" width="23.85546875" style="338" customWidth="1"/>
    <col min="10705" max="10705" width="10.85546875" style="338" customWidth="1"/>
    <col min="10706" max="10706" width="6.5703125" style="338" customWidth="1"/>
    <col min="10707" max="10707" width="7" style="338" customWidth="1"/>
    <col min="10708" max="10708" width="7.42578125" style="338" customWidth="1"/>
    <col min="10709" max="10709" width="7.85546875" style="338" customWidth="1"/>
    <col min="10710" max="10710" width="7.140625" style="338" customWidth="1"/>
    <col min="10711" max="10711" width="7.85546875" style="338" customWidth="1"/>
    <col min="10712" max="10713" width="10.140625" style="338" customWidth="1"/>
    <col min="10714" max="10714" width="14.85546875" style="338" customWidth="1"/>
    <col min="10715" max="10715" width="10.85546875" style="338" customWidth="1"/>
    <col min="10716" max="10716" width="6.5703125" style="338" customWidth="1"/>
    <col min="10717" max="10717" width="7" style="338" customWidth="1"/>
    <col min="10718" max="10718" width="7.42578125" style="338" customWidth="1"/>
    <col min="10719" max="10719" width="7.85546875" style="338" customWidth="1"/>
    <col min="10720" max="10720" width="7.140625" style="338" customWidth="1"/>
    <col min="10721" max="10721" width="7.85546875" style="338" customWidth="1"/>
    <col min="10722" max="10723" width="10.140625" style="338" customWidth="1"/>
    <col min="10724" max="10724" width="8.7109375" style="338"/>
    <col min="10725" max="10743" width="9.140625" style="338" customWidth="1"/>
    <col min="10744" max="10949" width="8.7109375" style="338"/>
    <col min="10950" max="10950" width="23.85546875" style="338" customWidth="1"/>
    <col min="10951" max="10951" width="10.85546875" style="338" customWidth="1"/>
    <col min="10952" max="10952" width="6.5703125" style="338" customWidth="1"/>
    <col min="10953" max="10953" width="7" style="338" bestFit="1" customWidth="1"/>
    <col min="10954" max="10954" width="7.42578125" style="338" bestFit="1" customWidth="1"/>
    <col min="10955" max="10955" width="7.85546875" style="338" bestFit="1" customWidth="1"/>
    <col min="10956" max="10956" width="7.140625" style="338" bestFit="1" customWidth="1"/>
    <col min="10957" max="10957" width="7.85546875" style="338" bestFit="1" customWidth="1"/>
    <col min="10958" max="10959" width="10.140625" style="338" bestFit="1" customWidth="1"/>
    <col min="10960" max="10960" width="23.85546875" style="338" customWidth="1"/>
    <col min="10961" max="10961" width="10.85546875" style="338" customWidth="1"/>
    <col min="10962" max="10962" width="6.5703125" style="338" customWidth="1"/>
    <col min="10963" max="10963" width="7" style="338" customWidth="1"/>
    <col min="10964" max="10964" width="7.42578125" style="338" customWidth="1"/>
    <col min="10965" max="10965" width="7.85546875" style="338" customWidth="1"/>
    <col min="10966" max="10966" width="7.140625" style="338" customWidth="1"/>
    <col min="10967" max="10967" width="7.85546875" style="338" customWidth="1"/>
    <col min="10968" max="10969" width="10.140625" style="338" customWidth="1"/>
    <col min="10970" max="10970" width="14.85546875" style="338" customWidth="1"/>
    <col min="10971" max="10971" width="10.85546875" style="338" customWidth="1"/>
    <col min="10972" max="10972" width="6.5703125" style="338" customWidth="1"/>
    <col min="10973" max="10973" width="7" style="338" customWidth="1"/>
    <col min="10974" max="10974" width="7.42578125" style="338" customWidth="1"/>
    <col min="10975" max="10975" width="7.85546875" style="338" customWidth="1"/>
    <col min="10976" max="10976" width="7.140625" style="338" customWidth="1"/>
    <col min="10977" max="10977" width="7.85546875" style="338" customWidth="1"/>
    <col min="10978" max="10979" width="10.140625" style="338" customWidth="1"/>
    <col min="10980" max="10980" width="8.7109375" style="338"/>
    <col min="10981" max="10999" width="9.140625" style="338" customWidth="1"/>
    <col min="11000" max="11205" width="8.7109375" style="338"/>
    <col min="11206" max="11206" width="23.85546875" style="338" customWidth="1"/>
    <col min="11207" max="11207" width="10.85546875" style="338" customWidth="1"/>
    <col min="11208" max="11208" width="6.5703125" style="338" customWidth="1"/>
    <col min="11209" max="11209" width="7" style="338" bestFit="1" customWidth="1"/>
    <col min="11210" max="11210" width="7.42578125" style="338" bestFit="1" customWidth="1"/>
    <col min="11211" max="11211" width="7.85546875" style="338" bestFit="1" customWidth="1"/>
    <col min="11212" max="11212" width="7.140625" style="338" bestFit="1" customWidth="1"/>
    <col min="11213" max="11213" width="7.85546875" style="338" bestFit="1" customWidth="1"/>
    <col min="11214" max="11215" width="10.140625" style="338" bestFit="1" customWidth="1"/>
    <col min="11216" max="11216" width="23.85546875" style="338" customWidth="1"/>
    <col min="11217" max="11217" width="10.85546875" style="338" customWidth="1"/>
    <col min="11218" max="11218" width="6.5703125" style="338" customWidth="1"/>
    <col min="11219" max="11219" width="7" style="338" customWidth="1"/>
    <col min="11220" max="11220" width="7.42578125" style="338" customWidth="1"/>
    <col min="11221" max="11221" width="7.85546875" style="338" customWidth="1"/>
    <col min="11222" max="11222" width="7.140625" style="338" customWidth="1"/>
    <col min="11223" max="11223" width="7.85546875" style="338" customWidth="1"/>
    <col min="11224" max="11225" width="10.140625" style="338" customWidth="1"/>
    <col min="11226" max="11226" width="14.85546875" style="338" customWidth="1"/>
    <col min="11227" max="11227" width="10.85546875" style="338" customWidth="1"/>
    <col min="11228" max="11228" width="6.5703125" style="338" customWidth="1"/>
    <col min="11229" max="11229" width="7" style="338" customWidth="1"/>
    <col min="11230" max="11230" width="7.42578125" style="338" customWidth="1"/>
    <col min="11231" max="11231" width="7.85546875" style="338" customWidth="1"/>
    <col min="11232" max="11232" width="7.140625" style="338" customWidth="1"/>
    <col min="11233" max="11233" width="7.85546875" style="338" customWidth="1"/>
    <col min="11234" max="11235" width="10.140625" style="338" customWidth="1"/>
    <col min="11236" max="11236" width="8.7109375" style="338"/>
    <col min="11237" max="11255" width="9.140625" style="338" customWidth="1"/>
    <col min="11256" max="11461" width="8.7109375" style="338"/>
    <col min="11462" max="11462" width="23.85546875" style="338" customWidth="1"/>
    <col min="11463" max="11463" width="10.85546875" style="338" customWidth="1"/>
    <col min="11464" max="11464" width="6.5703125" style="338" customWidth="1"/>
    <col min="11465" max="11465" width="7" style="338" bestFit="1" customWidth="1"/>
    <col min="11466" max="11466" width="7.42578125" style="338" bestFit="1" customWidth="1"/>
    <col min="11467" max="11467" width="7.85546875" style="338" bestFit="1" customWidth="1"/>
    <col min="11468" max="11468" width="7.140625" style="338" bestFit="1" customWidth="1"/>
    <col min="11469" max="11469" width="7.85546875" style="338" bestFit="1" customWidth="1"/>
    <col min="11470" max="11471" width="10.140625" style="338" bestFit="1" customWidth="1"/>
    <col min="11472" max="11472" width="23.85546875" style="338" customWidth="1"/>
    <col min="11473" max="11473" width="10.85546875" style="338" customWidth="1"/>
    <col min="11474" max="11474" width="6.5703125" style="338" customWidth="1"/>
    <col min="11475" max="11475" width="7" style="338" customWidth="1"/>
    <col min="11476" max="11476" width="7.42578125" style="338" customWidth="1"/>
    <col min="11477" max="11477" width="7.85546875" style="338" customWidth="1"/>
    <col min="11478" max="11478" width="7.140625" style="338" customWidth="1"/>
    <col min="11479" max="11479" width="7.85546875" style="338" customWidth="1"/>
    <col min="11480" max="11481" width="10.140625" style="338" customWidth="1"/>
    <col min="11482" max="11482" width="14.85546875" style="338" customWidth="1"/>
    <col min="11483" max="11483" width="10.85546875" style="338" customWidth="1"/>
    <col min="11484" max="11484" width="6.5703125" style="338" customWidth="1"/>
    <col min="11485" max="11485" width="7" style="338" customWidth="1"/>
    <col min="11486" max="11486" width="7.42578125" style="338" customWidth="1"/>
    <col min="11487" max="11487" width="7.85546875" style="338" customWidth="1"/>
    <col min="11488" max="11488" width="7.140625" style="338" customWidth="1"/>
    <col min="11489" max="11489" width="7.85546875" style="338" customWidth="1"/>
    <col min="11490" max="11491" width="10.140625" style="338" customWidth="1"/>
    <col min="11492" max="11492" width="8.7109375" style="338"/>
    <col min="11493" max="11511" width="9.140625" style="338" customWidth="1"/>
    <col min="11512" max="11717" width="8.7109375" style="338"/>
    <col min="11718" max="11718" width="23.85546875" style="338" customWidth="1"/>
    <col min="11719" max="11719" width="10.85546875" style="338" customWidth="1"/>
    <col min="11720" max="11720" width="6.5703125" style="338" customWidth="1"/>
    <col min="11721" max="11721" width="7" style="338" bestFit="1" customWidth="1"/>
    <col min="11722" max="11722" width="7.42578125" style="338" bestFit="1" customWidth="1"/>
    <col min="11723" max="11723" width="7.85546875" style="338" bestFit="1" customWidth="1"/>
    <col min="11724" max="11724" width="7.140625" style="338" bestFit="1" customWidth="1"/>
    <col min="11725" max="11725" width="7.85546875" style="338" bestFit="1" customWidth="1"/>
    <col min="11726" max="11727" width="10.140625" style="338" bestFit="1" customWidth="1"/>
    <col min="11728" max="11728" width="23.85546875" style="338" customWidth="1"/>
    <col min="11729" max="11729" width="10.85546875" style="338" customWidth="1"/>
    <col min="11730" max="11730" width="6.5703125" style="338" customWidth="1"/>
    <col min="11731" max="11731" width="7" style="338" customWidth="1"/>
    <col min="11732" max="11732" width="7.42578125" style="338" customWidth="1"/>
    <col min="11733" max="11733" width="7.85546875" style="338" customWidth="1"/>
    <col min="11734" max="11734" width="7.140625" style="338" customWidth="1"/>
    <col min="11735" max="11735" width="7.85546875" style="338" customWidth="1"/>
    <col min="11736" max="11737" width="10.140625" style="338" customWidth="1"/>
    <col min="11738" max="11738" width="14.85546875" style="338" customWidth="1"/>
    <col min="11739" max="11739" width="10.85546875" style="338" customWidth="1"/>
    <col min="11740" max="11740" width="6.5703125" style="338" customWidth="1"/>
    <col min="11741" max="11741" width="7" style="338" customWidth="1"/>
    <col min="11742" max="11742" width="7.42578125" style="338" customWidth="1"/>
    <col min="11743" max="11743" width="7.85546875" style="338" customWidth="1"/>
    <col min="11744" max="11744" width="7.140625" style="338" customWidth="1"/>
    <col min="11745" max="11745" width="7.85546875" style="338" customWidth="1"/>
    <col min="11746" max="11747" width="10.140625" style="338" customWidth="1"/>
    <col min="11748" max="11748" width="8.7109375" style="338"/>
    <col min="11749" max="11767" width="9.140625" style="338" customWidth="1"/>
    <col min="11768" max="11973" width="8.7109375" style="338"/>
    <col min="11974" max="11974" width="23.85546875" style="338" customWidth="1"/>
    <col min="11975" max="11975" width="10.85546875" style="338" customWidth="1"/>
    <col min="11976" max="11976" width="6.5703125" style="338" customWidth="1"/>
    <col min="11977" max="11977" width="7" style="338" bestFit="1" customWidth="1"/>
    <col min="11978" max="11978" width="7.42578125" style="338" bestFit="1" customWidth="1"/>
    <col min="11979" max="11979" width="7.85546875" style="338" bestFit="1" customWidth="1"/>
    <col min="11980" max="11980" width="7.140625" style="338" bestFit="1" customWidth="1"/>
    <col min="11981" max="11981" width="7.85546875" style="338" bestFit="1" customWidth="1"/>
    <col min="11982" max="11983" width="10.140625" style="338" bestFit="1" customWidth="1"/>
    <col min="11984" max="11984" width="23.85546875" style="338" customWidth="1"/>
    <col min="11985" max="11985" width="10.85546875" style="338" customWidth="1"/>
    <col min="11986" max="11986" width="6.5703125" style="338" customWidth="1"/>
    <col min="11987" max="11987" width="7" style="338" customWidth="1"/>
    <col min="11988" max="11988" width="7.42578125" style="338" customWidth="1"/>
    <col min="11989" max="11989" width="7.85546875" style="338" customWidth="1"/>
    <col min="11990" max="11990" width="7.140625" style="338" customWidth="1"/>
    <col min="11991" max="11991" width="7.85546875" style="338" customWidth="1"/>
    <col min="11992" max="11993" width="10.140625" style="338" customWidth="1"/>
    <col min="11994" max="11994" width="14.85546875" style="338" customWidth="1"/>
    <col min="11995" max="11995" width="10.85546875" style="338" customWidth="1"/>
    <col min="11996" max="11996" width="6.5703125" style="338" customWidth="1"/>
    <col min="11997" max="11997" width="7" style="338" customWidth="1"/>
    <col min="11998" max="11998" width="7.42578125" style="338" customWidth="1"/>
    <col min="11999" max="11999" width="7.85546875" style="338" customWidth="1"/>
    <col min="12000" max="12000" width="7.140625" style="338" customWidth="1"/>
    <col min="12001" max="12001" width="7.85546875" style="338" customWidth="1"/>
    <col min="12002" max="12003" width="10.140625" style="338" customWidth="1"/>
    <col min="12004" max="12004" width="8.7109375" style="338"/>
    <col min="12005" max="12023" width="9.140625" style="338" customWidth="1"/>
    <col min="12024" max="12229" width="8.7109375" style="338"/>
    <col min="12230" max="12230" width="23.85546875" style="338" customWidth="1"/>
    <col min="12231" max="12231" width="10.85546875" style="338" customWidth="1"/>
    <col min="12232" max="12232" width="6.5703125" style="338" customWidth="1"/>
    <col min="12233" max="12233" width="7" style="338" bestFit="1" customWidth="1"/>
    <col min="12234" max="12234" width="7.42578125" style="338" bestFit="1" customWidth="1"/>
    <col min="12235" max="12235" width="7.85546875" style="338" bestFit="1" customWidth="1"/>
    <col min="12236" max="12236" width="7.140625" style="338" bestFit="1" customWidth="1"/>
    <col min="12237" max="12237" width="7.85546875" style="338" bestFit="1" customWidth="1"/>
    <col min="12238" max="12239" width="10.140625" style="338" bestFit="1" customWidth="1"/>
    <col min="12240" max="12240" width="23.85546875" style="338" customWidth="1"/>
    <col min="12241" max="12241" width="10.85546875" style="338" customWidth="1"/>
    <col min="12242" max="12242" width="6.5703125" style="338" customWidth="1"/>
    <col min="12243" max="12243" width="7" style="338" customWidth="1"/>
    <col min="12244" max="12244" width="7.42578125" style="338" customWidth="1"/>
    <col min="12245" max="12245" width="7.85546875" style="338" customWidth="1"/>
    <col min="12246" max="12246" width="7.140625" style="338" customWidth="1"/>
    <col min="12247" max="12247" width="7.85546875" style="338" customWidth="1"/>
    <col min="12248" max="12249" width="10.140625" style="338" customWidth="1"/>
    <col min="12250" max="12250" width="14.85546875" style="338" customWidth="1"/>
    <col min="12251" max="12251" width="10.85546875" style="338" customWidth="1"/>
    <col min="12252" max="12252" width="6.5703125" style="338" customWidth="1"/>
    <col min="12253" max="12253" width="7" style="338" customWidth="1"/>
    <col min="12254" max="12254" width="7.42578125" style="338" customWidth="1"/>
    <col min="12255" max="12255" width="7.85546875" style="338" customWidth="1"/>
    <col min="12256" max="12256" width="7.140625" style="338" customWidth="1"/>
    <col min="12257" max="12257" width="7.85546875" style="338" customWidth="1"/>
    <col min="12258" max="12259" width="10.140625" style="338" customWidth="1"/>
    <col min="12260" max="12260" width="8.7109375" style="338"/>
    <col min="12261" max="12279" width="9.140625" style="338" customWidth="1"/>
    <col min="12280" max="12485" width="8.7109375" style="338"/>
    <col min="12486" max="12486" width="23.85546875" style="338" customWidth="1"/>
    <col min="12487" max="12487" width="10.85546875" style="338" customWidth="1"/>
    <col min="12488" max="12488" width="6.5703125" style="338" customWidth="1"/>
    <col min="12489" max="12489" width="7" style="338" bestFit="1" customWidth="1"/>
    <col min="12490" max="12490" width="7.42578125" style="338" bestFit="1" customWidth="1"/>
    <col min="12491" max="12491" width="7.85546875" style="338" bestFit="1" customWidth="1"/>
    <col min="12492" max="12492" width="7.140625" style="338" bestFit="1" customWidth="1"/>
    <col min="12493" max="12493" width="7.85546875" style="338" bestFit="1" customWidth="1"/>
    <col min="12494" max="12495" width="10.140625" style="338" bestFit="1" customWidth="1"/>
    <col min="12496" max="12496" width="23.85546875" style="338" customWidth="1"/>
    <col min="12497" max="12497" width="10.85546875" style="338" customWidth="1"/>
    <col min="12498" max="12498" width="6.5703125" style="338" customWidth="1"/>
    <col min="12499" max="12499" width="7" style="338" customWidth="1"/>
    <col min="12500" max="12500" width="7.42578125" style="338" customWidth="1"/>
    <col min="12501" max="12501" width="7.85546875" style="338" customWidth="1"/>
    <col min="12502" max="12502" width="7.140625" style="338" customWidth="1"/>
    <col min="12503" max="12503" width="7.85546875" style="338" customWidth="1"/>
    <col min="12504" max="12505" width="10.140625" style="338" customWidth="1"/>
    <col min="12506" max="12506" width="14.85546875" style="338" customWidth="1"/>
    <col min="12507" max="12507" width="10.85546875" style="338" customWidth="1"/>
    <col min="12508" max="12508" width="6.5703125" style="338" customWidth="1"/>
    <col min="12509" max="12509" width="7" style="338" customWidth="1"/>
    <col min="12510" max="12510" width="7.42578125" style="338" customWidth="1"/>
    <col min="12511" max="12511" width="7.85546875" style="338" customWidth="1"/>
    <col min="12512" max="12512" width="7.140625" style="338" customWidth="1"/>
    <col min="12513" max="12513" width="7.85546875" style="338" customWidth="1"/>
    <col min="12514" max="12515" width="10.140625" style="338" customWidth="1"/>
    <col min="12516" max="12516" width="8.7109375" style="338"/>
    <col min="12517" max="12535" width="9.140625" style="338" customWidth="1"/>
    <col min="12536" max="12741" width="8.7109375" style="338"/>
    <col min="12742" max="12742" width="23.85546875" style="338" customWidth="1"/>
    <col min="12743" max="12743" width="10.85546875" style="338" customWidth="1"/>
    <col min="12744" max="12744" width="6.5703125" style="338" customWidth="1"/>
    <col min="12745" max="12745" width="7" style="338" bestFit="1" customWidth="1"/>
    <col min="12746" max="12746" width="7.42578125" style="338" bestFit="1" customWidth="1"/>
    <col min="12747" max="12747" width="7.85546875" style="338" bestFit="1" customWidth="1"/>
    <col min="12748" max="12748" width="7.140625" style="338" bestFit="1" customWidth="1"/>
    <col min="12749" max="12749" width="7.85546875" style="338" bestFit="1" customWidth="1"/>
    <col min="12750" max="12751" width="10.140625" style="338" bestFit="1" customWidth="1"/>
    <col min="12752" max="12752" width="23.85546875" style="338" customWidth="1"/>
    <col min="12753" max="12753" width="10.85546875" style="338" customWidth="1"/>
    <col min="12754" max="12754" width="6.5703125" style="338" customWidth="1"/>
    <col min="12755" max="12755" width="7" style="338" customWidth="1"/>
    <col min="12756" max="12756" width="7.42578125" style="338" customWidth="1"/>
    <col min="12757" max="12757" width="7.85546875" style="338" customWidth="1"/>
    <col min="12758" max="12758" width="7.140625" style="338" customWidth="1"/>
    <col min="12759" max="12759" width="7.85546875" style="338" customWidth="1"/>
    <col min="12760" max="12761" width="10.140625" style="338" customWidth="1"/>
    <col min="12762" max="12762" width="14.85546875" style="338" customWidth="1"/>
    <col min="12763" max="12763" width="10.85546875" style="338" customWidth="1"/>
    <col min="12764" max="12764" width="6.5703125" style="338" customWidth="1"/>
    <col min="12765" max="12765" width="7" style="338" customWidth="1"/>
    <col min="12766" max="12766" width="7.42578125" style="338" customWidth="1"/>
    <col min="12767" max="12767" width="7.85546875" style="338" customWidth="1"/>
    <col min="12768" max="12768" width="7.140625" style="338" customWidth="1"/>
    <col min="12769" max="12769" width="7.85546875" style="338" customWidth="1"/>
    <col min="12770" max="12771" width="10.140625" style="338" customWidth="1"/>
    <col min="12772" max="12772" width="8.7109375" style="338"/>
    <col min="12773" max="12791" width="9.140625" style="338" customWidth="1"/>
    <col min="12792" max="12997" width="8.7109375" style="338"/>
    <col min="12998" max="12998" width="23.85546875" style="338" customWidth="1"/>
    <col min="12999" max="12999" width="10.85546875" style="338" customWidth="1"/>
    <col min="13000" max="13000" width="6.5703125" style="338" customWidth="1"/>
    <col min="13001" max="13001" width="7" style="338" bestFit="1" customWidth="1"/>
    <col min="13002" max="13002" width="7.42578125" style="338" bestFit="1" customWidth="1"/>
    <col min="13003" max="13003" width="7.85546875" style="338" bestFit="1" customWidth="1"/>
    <col min="13004" max="13004" width="7.140625" style="338" bestFit="1" customWidth="1"/>
    <col min="13005" max="13005" width="7.85546875" style="338" bestFit="1" customWidth="1"/>
    <col min="13006" max="13007" width="10.140625" style="338" bestFit="1" customWidth="1"/>
    <col min="13008" max="13008" width="23.85546875" style="338" customWidth="1"/>
    <col min="13009" max="13009" width="10.85546875" style="338" customWidth="1"/>
    <col min="13010" max="13010" width="6.5703125" style="338" customWidth="1"/>
    <col min="13011" max="13011" width="7" style="338" customWidth="1"/>
    <col min="13012" max="13012" width="7.42578125" style="338" customWidth="1"/>
    <col min="13013" max="13013" width="7.85546875" style="338" customWidth="1"/>
    <col min="13014" max="13014" width="7.140625" style="338" customWidth="1"/>
    <col min="13015" max="13015" width="7.85546875" style="338" customWidth="1"/>
    <col min="13016" max="13017" width="10.140625" style="338" customWidth="1"/>
    <col min="13018" max="13018" width="14.85546875" style="338" customWidth="1"/>
    <col min="13019" max="13019" width="10.85546875" style="338" customWidth="1"/>
    <col min="13020" max="13020" width="6.5703125" style="338" customWidth="1"/>
    <col min="13021" max="13021" width="7" style="338" customWidth="1"/>
    <col min="13022" max="13022" width="7.42578125" style="338" customWidth="1"/>
    <col min="13023" max="13023" width="7.85546875" style="338" customWidth="1"/>
    <col min="13024" max="13024" width="7.140625" style="338" customWidth="1"/>
    <col min="13025" max="13025" width="7.85546875" style="338" customWidth="1"/>
    <col min="13026" max="13027" width="10.140625" style="338" customWidth="1"/>
    <col min="13028" max="13028" width="8.7109375" style="338"/>
    <col min="13029" max="13047" width="9.140625" style="338" customWidth="1"/>
    <col min="13048" max="13253" width="8.7109375" style="338"/>
    <col min="13254" max="13254" width="23.85546875" style="338" customWidth="1"/>
    <col min="13255" max="13255" width="10.85546875" style="338" customWidth="1"/>
    <col min="13256" max="13256" width="6.5703125" style="338" customWidth="1"/>
    <col min="13257" max="13257" width="7" style="338" bestFit="1" customWidth="1"/>
    <col min="13258" max="13258" width="7.42578125" style="338" bestFit="1" customWidth="1"/>
    <col min="13259" max="13259" width="7.85546875" style="338" bestFit="1" customWidth="1"/>
    <col min="13260" max="13260" width="7.140625" style="338" bestFit="1" customWidth="1"/>
    <col min="13261" max="13261" width="7.85546875" style="338" bestFit="1" customWidth="1"/>
    <col min="13262" max="13263" width="10.140625" style="338" bestFit="1" customWidth="1"/>
    <col min="13264" max="13264" width="23.85546875" style="338" customWidth="1"/>
    <col min="13265" max="13265" width="10.85546875" style="338" customWidth="1"/>
    <col min="13266" max="13266" width="6.5703125" style="338" customWidth="1"/>
    <col min="13267" max="13267" width="7" style="338" customWidth="1"/>
    <col min="13268" max="13268" width="7.42578125" style="338" customWidth="1"/>
    <col min="13269" max="13269" width="7.85546875" style="338" customWidth="1"/>
    <col min="13270" max="13270" width="7.140625" style="338" customWidth="1"/>
    <col min="13271" max="13271" width="7.85546875" style="338" customWidth="1"/>
    <col min="13272" max="13273" width="10.140625" style="338" customWidth="1"/>
    <col min="13274" max="13274" width="14.85546875" style="338" customWidth="1"/>
    <col min="13275" max="13275" width="10.85546875" style="338" customWidth="1"/>
    <col min="13276" max="13276" width="6.5703125" style="338" customWidth="1"/>
    <col min="13277" max="13277" width="7" style="338" customWidth="1"/>
    <col min="13278" max="13278" width="7.42578125" style="338" customWidth="1"/>
    <col min="13279" max="13279" width="7.85546875" style="338" customWidth="1"/>
    <col min="13280" max="13280" width="7.140625" style="338" customWidth="1"/>
    <col min="13281" max="13281" width="7.85546875" style="338" customWidth="1"/>
    <col min="13282" max="13283" width="10.140625" style="338" customWidth="1"/>
    <col min="13284" max="13284" width="8.7109375" style="338"/>
    <col min="13285" max="13303" width="9.140625" style="338" customWidth="1"/>
    <col min="13304" max="13509" width="8.7109375" style="338"/>
    <col min="13510" max="13510" width="23.85546875" style="338" customWidth="1"/>
    <col min="13511" max="13511" width="10.85546875" style="338" customWidth="1"/>
    <col min="13512" max="13512" width="6.5703125" style="338" customWidth="1"/>
    <col min="13513" max="13513" width="7" style="338" bestFit="1" customWidth="1"/>
    <col min="13514" max="13514" width="7.42578125" style="338" bestFit="1" customWidth="1"/>
    <col min="13515" max="13515" width="7.85546875" style="338" bestFit="1" customWidth="1"/>
    <col min="13516" max="13516" width="7.140625" style="338" bestFit="1" customWidth="1"/>
    <col min="13517" max="13517" width="7.85546875" style="338" bestFit="1" customWidth="1"/>
    <col min="13518" max="13519" width="10.140625" style="338" bestFit="1" customWidth="1"/>
    <col min="13520" max="13520" width="23.85546875" style="338" customWidth="1"/>
    <col min="13521" max="13521" width="10.85546875" style="338" customWidth="1"/>
    <col min="13522" max="13522" width="6.5703125" style="338" customWidth="1"/>
    <col min="13523" max="13523" width="7" style="338" customWidth="1"/>
    <col min="13524" max="13524" width="7.42578125" style="338" customWidth="1"/>
    <col min="13525" max="13525" width="7.85546875" style="338" customWidth="1"/>
    <col min="13526" max="13526" width="7.140625" style="338" customWidth="1"/>
    <col min="13527" max="13527" width="7.85546875" style="338" customWidth="1"/>
    <col min="13528" max="13529" width="10.140625" style="338" customWidth="1"/>
    <col min="13530" max="13530" width="14.85546875" style="338" customWidth="1"/>
    <col min="13531" max="13531" width="10.85546875" style="338" customWidth="1"/>
    <col min="13532" max="13532" width="6.5703125" style="338" customWidth="1"/>
    <col min="13533" max="13533" width="7" style="338" customWidth="1"/>
    <col min="13534" max="13534" width="7.42578125" style="338" customWidth="1"/>
    <col min="13535" max="13535" width="7.85546875" style="338" customWidth="1"/>
    <col min="13536" max="13536" width="7.140625" style="338" customWidth="1"/>
    <col min="13537" max="13537" width="7.85546875" style="338" customWidth="1"/>
    <col min="13538" max="13539" width="10.140625" style="338" customWidth="1"/>
    <col min="13540" max="13540" width="8.7109375" style="338"/>
    <col min="13541" max="13559" width="9.140625" style="338" customWidth="1"/>
    <col min="13560" max="13765" width="8.7109375" style="338"/>
    <col min="13766" max="13766" width="23.85546875" style="338" customWidth="1"/>
    <col min="13767" max="13767" width="10.85546875" style="338" customWidth="1"/>
    <col min="13768" max="13768" width="6.5703125" style="338" customWidth="1"/>
    <col min="13769" max="13769" width="7" style="338" bestFit="1" customWidth="1"/>
    <col min="13770" max="13770" width="7.42578125" style="338" bestFit="1" customWidth="1"/>
    <col min="13771" max="13771" width="7.85546875" style="338" bestFit="1" customWidth="1"/>
    <col min="13772" max="13772" width="7.140625" style="338" bestFit="1" customWidth="1"/>
    <col min="13773" max="13773" width="7.85546875" style="338" bestFit="1" customWidth="1"/>
    <col min="13774" max="13775" width="10.140625" style="338" bestFit="1" customWidth="1"/>
    <col min="13776" max="13776" width="23.85546875" style="338" customWidth="1"/>
    <col min="13777" max="13777" width="10.85546875" style="338" customWidth="1"/>
    <col min="13778" max="13778" width="6.5703125" style="338" customWidth="1"/>
    <col min="13779" max="13779" width="7" style="338" customWidth="1"/>
    <col min="13780" max="13780" width="7.42578125" style="338" customWidth="1"/>
    <col min="13781" max="13781" width="7.85546875" style="338" customWidth="1"/>
    <col min="13782" max="13782" width="7.140625" style="338" customWidth="1"/>
    <col min="13783" max="13783" width="7.85546875" style="338" customWidth="1"/>
    <col min="13784" max="13785" width="10.140625" style="338" customWidth="1"/>
    <col min="13786" max="13786" width="14.85546875" style="338" customWidth="1"/>
    <col min="13787" max="13787" width="10.85546875" style="338" customWidth="1"/>
    <col min="13788" max="13788" width="6.5703125" style="338" customWidth="1"/>
    <col min="13789" max="13789" width="7" style="338" customWidth="1"/>
    <col min="13790" max="13790" width="7.42578125" style="338" customWidth="1"/>
    <col min="13791" max="13791" width="7.85546875" style="338" customWidth="1"/>
    <col min="13792" max="13792" width="7.140625" style="338" customWidth="1"/>
    <col min="13793" max="13793" width="7.85546875" style="338" customWidth="1"/>
    <col min="13794" max="13795" width="10.140625" style="338" customWidth="1"/>
    <col min="13796" max="13796" width="8.7109375" style="338"/>
    <col min="13797" max="13815" width="9.140625" style="338" customWidth="1"/>
    <col min="13816" max="14021" width="8.7109375" style="338"/>
    <col min="14022" max="14022" width="23.85546875" style="338" customWidth="1"/>
    <col min="14023" max="14023" width="10.85546875" style="338" customWidth="1"/>
    <col min="14024" max="14024" width="6.5703125" style="338" customWidth="1"/>
    <col min="14025" max="14025" width="7" style="338" bestFit="1" customWidth="1"/>
    <col min="14026" max="14026" width="7.42578125" style="338" bestFit="1" customWidth="1"/>
    <col min="14027" max="14027" width="7.85546875" style="338" bestFit="1" customWidth="1"/>
    <col min="14028" max="14028" width="7.140625" style="338" bestFit="1" customWidth="1"/>
    <col min="14029" max="14029" width="7.85546875" style="338" bestFit="1" customWidth="1"/>
    <col min="14030" max="14031" width="10.140625" style="338" bestFit="1" customWidth="1"/>
    <col min="14032" max="14032" width="23.85546875" style="338" customWidth="1"/>
    <col min="14033" max="14033" width="10.85546875" style="338" customWidth="1"/>
    <col min="14034" max="14034" width="6.5703125" style="338" customWidth="1"/>
    <col min="14035" max="14035" width="7" style="338" customWidth="1"/>
    <col min="14036" max="14036" width="7.42578125" style="338" customWidth="1"/>
    <col min="14037" max="14037" width="7.85546875" style="338" customWidth="1"/>
    <col min="14038" max="14038" width="7.140625" style="338" customWidth="1"/>
    <col min="14039" max="14039" width="7.85546875" style="338" customWidth="1"/>
    <col min="14040" max="14041" width="10.140625" style="338" customWidth="1"/>
    <col min="14042" max="14042" width="14.85546875" style="338" customWidth="1"/>
    <col min="14043" max="14043" width="10.85546875" style="338" customWidth="1"/>
    <col min="14044" max="14044" width="6.5703125" style="338" customWidth="1"/>
    <col min="14045" max="14045" width="7" style="338" customWidth="1"/>
    <col min="14046" max="14046" width="7.42578125" style="338" customWidth="1"/>
    <col min="14047" max="14047" width="7.85546875" style="338" customWidth="1"/>
    <col min="14048" max="14048" width="7.140625" style="338" customWidth="1"/>
    <col min="14049" max="14049" width="7.85546875" style="338" customWidth="1"/>
    <col min="14050" max="14051" width="10.140625" style="338" customWidth="1"/>
    <col min="14052" max="14052" width="8.7109375" style="338"/>
    <col min="14053" max="14071" width="9.140625" style="338" customWidth="1"/>
    <col min="14072" max="14277" width="8.7109375" style="338"/>
    <col min="14278" max="14278" width="23.85546875" style="338" customWidth="1"/>
    <col min="14279" max="14279" width="10.85546875" style="338" customWidth="1"/>
    <col min="14280" max="14280" width="6.5703125" style="338" customWidth="1"/>
    <col min="14281" max="14281" width="7" style="338" bestFit="1" customWidth="1"/>
    <col min="14282" max="14282" width="7.42578125" style="338" bestFit="1" customWidth="1"/>
    <col min="14283" max="14283" width="7.85546875" style="338" bestFit="1" customWidth="1"/>
    <col min="14284" max="14284" width="7.140625" style="338" bestFit="1" customWidth="1"/>
    <col min="14285" max="14285" width="7.85546875" style="338" bestFit="1" customWidth="1"/>
    <col min="14286" max="14287" width="10.140625" style="338" bestFit="1" customWidth="1"/>
    <col min="14288" max="14288" width="23.85546875" style="338" customWidth="1"/>
    <col min="14289" max="14289" width="10.85546875" style="338" customWidth="1"/>
    <col min="14290" max="14290" width="6.5703125" style="338" customWidth="1"/>
    <col min="14291" max="14291" width="7" style="338" customWidth="1"/>
    <col min="14292" max="14292" width="7.42578125" style="338" customWidth="1"/>
    <col min="14293" max="14293" width="7.85546875" style="338" customWidth="1"/>
    <col min="14294" max="14294" width="7.140625" style="338" customWidth="1"/>
    <col min="14295" max="14295" width="7.85546875" style="338" customWidth="1"/>
    <col min="14296" max="14297" width="10.140625" style="338" customWidth="1"/>
    <col min="14298" max="14298" width="14.85546875" style="338" customWidth="1"/>
    <col min="14299" max="14299" width="10.85546875" style="338" customWidth="1"/>
    <col min="14300" max="14300" width="6.5703125" style="338" customWidth="1"/>
    <col min="14301" max="14301" width="7" style="338" customWidth="1"/>
    <col min="14302" max="14302" width="7.42578125" style="338" customWidth="1"/>
    <col min="14303" max="14303" width="7.85546875" style="338" customWidth="1"/>
    <col min="14304" max="14304" width="7.140625" style="338" customWidth="1"/>
    <col min="14305" max="14305" width="7.85546875" style="338" customWidth="1"/>
    <col min="14306" max="14307" width="10.140625" style="338" customWidth="1"/>
    <col min="14308" max="14308" width="8.7109375" style="338"/>
    <col min="14309" max="14327" width="9.140625" style="338" customWidth="1"/>
    <col min="14328" max="14533" width="8.7109375" style="338"/>
    <col min="14534" max="14534" width="23.85546875" style="338" customWidth="1"/>
    <col min="14535" max="14535" width="10.85546875" style="338" customWidth="1"/>
    <col min="14536" max="14536" width="6.5703125" style="338" customWidth="1"/>
    <col min="14537" max="14537" width="7" style="338" bestFit="1" customWidth="1"/>
    <col min="14538" max="14538" width="7.42578125" style="338" bestFit="1" customWidth="1"/>
    <col min="14539" max="14539" width="7.85546875" style="338" bestFit="1" customWidth="1"/>
    <col min="14540" max="14540" width="7.140625" style="338" bestFit="1" customWidth="1"/>
    <col min="14541" max="14541" width="7.85546875" style="338" bestFit="1" customWidth="1"/>
    <col min="14542" max="14543" width="10.140625" style="338" bestFit="1" customWidth="1"/>
    <col min="14544" max="14544" width="23.85546875" style="338" customWidth="1"/>
    <col min="14545" max="14545" width="10.85546875" style="338" customWidth="1"/>
    <col min="14546" max="14546" width="6.5703125" style="338" customWidth="1"/>
    <col min="14547" max="14547" width="7" style="338" customWidth="1"/>
    <col min="14548" max="14548" width="7.42578125" style="338" customWidth="1"/>
    <col min="14549" max="14549" width="7.85546875" style="338" customWidth="1"/>
    <col min="14550" max="14550" width="7.140625" style="338" customWidth="1"/>
    <col min="14551" max="14551" width="7.85546875" style="338" customWidth="1"/>
    <col min="14552" max="14553" width="10.140625" style="338" customWidth="1"/>
    <col min="14554" max="14554" width="14.85546875" style="338" customWidth="1"/>
    <col min="14555" max="14555" width="10.85546875" style="338" customWidth="1"/>
    <col min="14556" max="14556" width="6.5703125" style="338" customWidth="1"/>
    <col min="14557" max="14557" width="7" style="338" customWidth="1"/>
    <col min="14558" max="14558" width="7.42578125" style="338" customWidth="1"/>
    <col min="14559" max="14559" width="7.85546875" style="338" customWidth="1"/>
    <col min="14560" max="14560" width="7.140625" style="338" customWidth="1"/>
    <col min="14561" max="14561" width="7.85546875" style="338" customWidth="1"/>
    <col min="14562" max="14563" width="10.140625" style="338" customWidth="1"/>
    <col min="14564" max="14564" width="8.7109375" style="338"/>
    <col min="14565" max="14583" width="9.140625" style="338" customWidth="1"/>
    <col min="14584" max="14789" width="8.7109375" style="338"/>
    <col min="14790" max="14790" width="23.85546875" style="338" customWidth="1"/>
    <col min="14791" max="14791" width="10.85546875" style="338" customWidth="1"/>
    <col min="14792" max="14792" width="6.5703125" style="338" customWidth="1"/>
    <col min="14793" max="14793" width="7" style="338" bestFit="1" customWidth="1"/>
    <col min="14794" max="14794" width="7.42578125" style="338" bestFit="1" customWidth="1"/>
    <col min="14795" max="14795" width="7.85546875" style="338" bestFit="1" customWidth="1"/>
    <col min="14796" max="14796" width="7.140625" style="338" bestFit="1" customWidth="1"/>
    <col min="14797" max="14797" width="7.85546875" style="338" bestFit="1" customWidth="1"/>
    <col min="14798" max="14799" width="10.140625" style="338" bestFit="1" customWidth="1"/>
    <col min="14800" max="14800" width="23.85546875" style="338" customWidth="1"/>
    <col min="14801" max="14801" width="10.85546875" style="338" customWidth="1"/>
    <col min="14802" max="14802" width="6.5703125" style="338" customWidth="1"/>
    <col min="14803" max="14803" width="7" style="338" customWidth="1"/>
    <col min="14804" max="14804" width="7.42578125" style="338" customWidth="1"/>
    <col min="14805" max="14805" width="7.85546875" style="338" customWidth="1"/>
    <col min="14806" max="14806" width="7.140625" style="338" customWidth="1"/>
    <col min="14807" max="14807" width="7.85546875" style="338" customWidth="1"/>
    <col min="14808" max="14809" width="10.140625" style="338" customWidth="1"/>
    <col min="14810" max="14810" width="14.85546875" style="338" customWidth="1"/>
    <col min="14811" max="14811" width="10.85546875" style="338" customWidth="1"/>
    <col min="14812" max="14812" width="6.5703125" style="338" customWidth="1"/>
    <col min="14813" max="14813" width="7" style="338" customWidth="1"/>
    <col min="14814" max="14814" width="7.42578125" style="338" customWidth="1"/>
    <col min="14815" max="14815" width="7.85546875" style="338" customWidth="1"/>
    <col min="14816" max="14816" width="7.140625" style="338" customWidth="1"/>
    <col min="14817" max="14817" width="7.85546875" style="338" customWidth="1"/>
    <col min="14818" max="14819" width="10.140625" style="338" customWidth="1"/>
    <col min="14820" max="14820" width="8.7109375" style="338"/>
    <col min="14821" max="14839" width="9.140625" style="338" customWidth="1"/>
    <col min="14840" max="15045" width="8.7109375" style="338"/>
    <col min="15046" max="15046" width="23.85546875" style="338" customWidth="1"/>
    <col min="15047" max="15047" width="10.85546875" style="338" customWidth="1"/>
    <col min="15048" max="15048" width="6.5703125" style="338" customWidth="1"/>
    <col min="15049" max="15049" width="7" style="338" bestFit="1" customWidth="1"/>
    <col min="15050" max="15050" width="7.42578125" style="338" bestFit="1" customWidth="1"/>
    <col min="15051" max="15051" width="7.85546875" style="338" bestFit="1" customWidth="1"/>
    <col min="15052" max="15052" width="7.140625" style="338" bestFit="1" customWidth="1"/>
    <col min="15053" max="15053" width="7.85546875" style="338" bestFit="1" customWidth="1"/>
    <col min="15054" max="15055" width="10.140625" style="338" bestFit="1" customWidth="1"/>
    <col min="15056" max="15056" width="23.85546875" style="338" customWidth="1"/>
    <col min="15057" max="15057" width="10.85546875" style="338" customWidth="1"/>
    <col min="15058" max="15058" width="6.5703125" style="338" customWidth="1"/>
    <col min="15059" max="15059" width="7" style="338" customWidth="1"/>
    <col min="15060" max="15060" width="7.42578125" style="338" customWidth="1"/>
    <col min="15061" max="15061" width="7.85546875" style="338" customWidth="1"/>
    <col min="15062" max="15062" width="7.140625" style="338" customWidth="1"/>
    <col min="15063" max="15063" width="7.85546875" style="338" customWidth="1"/>
    <col min="15064" max="15065" width="10.140625" style="338" customWidth="1"/>
    <col min="15066" max="15066" width="14.85546875" style="338" customWidth="1"/>
    <col min="15067" max="15067" width="10.85546875" style="338" customWidth="1"/>
    <col min="15068" max="15068" width="6.5703125" style="338" customWidth="1"/>
    <col min="15069" max="15069" width="7" style="338" customWidth="1"/>
    <col min="15070" max="15070" width="7.42578125" style="338" customWidth="1"/>
    <col min="15071" max="15071" width="7.85546875" style="338" customWidth="1"/>
    <col min="15072" max="15072" width="7.140625" style="338" customWidth="1"/>
    <col min="15073" max="15073" width="7.85546875" style="338" customWidth="1"/>
    <col min="15074" max="15075" width="10.140625" style="338" customWidth="1"/>
    <col min="15076" max="15076" width="8.7109375" style="338"/>
    <col min="15077" max="15095" width="9.140625" style="338" customWidth="1"/>
    <col min="15096" max="15301" width="8.7109375" style="338"/>
    <col min="15302" max="15302" width="23.85546875" style="338" customWidth="1"/>
    <col min="15303" max="15303" width="10.85546875" style="338" customWidth="1"/>
    <col min="15304" max="15304" width="6.5703125" style="338" customWidth="1"/>
    <col min="15305" max="15305" width="7" style="338" bestFit="1" customWidth="1"/>
    <col min="15306" max="15306" width="7.42578125" style="338" bestFit="1" customWidth="1"/>
    <col min="15307" max="15307" width="7.85546875" style="338" bestFit="1" customWidth="1"/>
    <col min="15308" max="15308" width="7.140625" style="338" bestFit="1" customWidth="1"/>
    <col min="15309" max="15309" width="7.85546875" style="338" bestFit="1" customWidth="1"/>
    <col min="15310" max="15311" width="10.140625" style="338" bestFit="1" customWidth="1"/>
    <col min="15312" max="15312" width="23.85546875" style="338" customWidth="1"/>
    <col min="15313" max="15313" width="10.85546875" style="338" customWidth="1"/>
    <col min="15314" max="15314" width="6.5703125" style="338" customWidth="1"/>
    <col min="15315" max="15315" width="7" style="338" customWidth="1"/>
    <col min="15316" max="15316" width="7.42578125" style="338" customWidth="1"/>
    <col min="15317" max="15317" width="7.85546875" style="338" customWidth="1"/>
    <col min="15318" max="15318" width="7.140625" style="338" customWidth="1"/>
    <col min="15319" max="15319" width="7.85546875" style="338" customWidth="1"/>
    <col min="15320" max="15321" width="10.140625" style="338" customWidth="1"/>
    <col min="15322" max="15322" width="14.85546875" style="338" customWidth="1"/>
    <col min="15323" max="15323" width="10.85546875" style="338" customWidth="1"/>
    <col min="15324" max="15324" width="6.5703125" style="338" customWidth="1"/>
    <col min="15325" max="15325" width="7" style="338" customWidth="1"/>
    <col min="15326" max="15326" width="7.42578125" style="338" customWidth="1"/>
    <col min="15327" max="15327" width="7.85546875" style="338" customWidth="1"/>
    <col min="15328" max="15328" width="7.140625" style="338" customWidth="1"/>
    <col min="15329" max="15329" width="7.85546875" style="338" customWidth="1"/>
    <col min="15330" max="15331" width="10.140625" style="338" customWidth="1"/>
    <col min="15332" max="15332" width="8.7109375" style="338"/>
    <col min="15333" max="15351" width="9.140625" style="338" customWidth="1"/>
    <col min="15352" max="15557" width="8.7109375" style="338"/>
    <col min="15558" max="15558" width="23.85546875" style="338" customWidth="1"/>
    <col min="15559" max="15559" width="10.85546875" style="338" customWidth="1"/>
    <col min="15560" max="15560" width="6.5703125" style="338" customWidth="1"/>
    <col min="15561" max="15561" width="7" style="338" bestFit="1" customWidth="1"/>
    <col min="15562" max="15562" width="7.42578125" style="338" bestFit="1" customWidth="1"/>
    <col min="15563" max="15563" width="7.85546875" style="338" bestFit="1" customWidth="1"/>
    <col min="15564" max="15564" width="7.140625" style="338" bestFit="1" customWidth="1"/>
    <col min="15565" max="15565" width="7.85546875" style="338" bestFit="1" customWidth="1"/>
    <col min="15566" max="15567" width="10.140625" style="338" bestFit="1" customWidth="1"/>
    <col min="15568" max="15568" width="23.85546875" style="338" customWidth="1"/>
    <col min="15569" max="15569" width="10.85546875" style="338" customWidth="1"/>
    <col min="15570" max="15570" width="6.5703125" style="338" customWidth="1"/>
    <col min="15571" max="15571" width="7" style="338" customWidth="1"/>
    <col min="15572" max="15572" width="7.42578125" style="338" customWidth="1"/>
    <col min="15573" max="15573" width="7.85546875" style="338" customWidth="1"/>
    <col min="15574" max="15574" width="7.140625" style="338" customWidth="1"/>
    <col min="15575" max="15575" width="7.85546875" style="338" customWidth="1"/>
    <col min="15576" max="15577" width="10.140625" style="338" customWidth="1"/>
    <col min="15578" max="15578" width="14.85546875" style="338" customWidth="1"/>
    <col min="15579" max="15579" width="10.85546875" style="338" customWidth="1"/>
    <col min="15580" max="15580" width="6.5703125" style="338" customWidth="1"/>
    <col min="15581" max="15581" width="7" style="338" customWidth="1"/>
    <col min="15582" max="15582" width="7.42578125" style="338" customWidth="1"/>
    <col min="15583" max="15583" width="7.85546875" style="338" customWidth="1"/>
    <col min="15584" max="15584" width="7.140625" style="338" customWidth="1"/>
    <col min="15585" max="15585" width="7.85546875" style="338" customWidth="1"/>
    <col min="15586" max="15587" width="10.140625" style="338" customWidth="1"/>
    <col min="15588" max="15588" width="8.7109375" style="338"/>
    <col min="15589" max="15607" width="9.140625" style="338" customWidth="1"/>
    <col min="15608" max="15813" width="8.7109375" style="338"/>
    <col min="15814" max="15814" width="23.85546875" style="338" customWidth="1"/>
    <col min="15815" max="15815" width="10.85546875" style="338" customWidth="1"/>
    <col min="15816" max="15816" width="6.5703125" style="338" customWidth="1"/>
    <col min="15817" max="15817" width="7" style="338" bestFit="1" customWidth="1"/>
    <col min="15818" max="15818" width="7.42578125" style="338" bestFit="1" customWidth="1"/>
    <col min="15819" max="15819" width="7.85546875" style="338" bestFit="1" customWidth="1"/>
    <col min="15820" max="15820" width="7.140625" style="338" bestFit="1" customWidth="1"/>
    <col min="15821" max="15821" width="7.85546875" style="338" bestFit="1" customWidth="1"/>
    <col min="15822" max="15823" width="10.140625" style="338" bestFit="1" customWidth="1"/>
    <col min="15824" max="15824" width="23.85546875" style="338" customWidth="1"/>
    <col min="15825" max="15825" width="10.85546875" style="338" customWidth="1"/>
    <col min="15826" max="15826" width="6.5703125" style="338" customWidth="1"/>
    <col min="15827" max="15827" width="7" style="338" customWidth="1"/>
    <col min="15828" max="15828" width="7.42578125" style="338" customWidth="1"/>
    <col min="15829" max="15829" width="7.85546875" style="338" customWidth="1"/>
    <col min="15830" max="15830" width="7.140625" style="338" customWidth="1"/>
    <col min="15831" max="15831" width="7.85546875" style="338" customWidth="1"/>
    <col min="15832" max="15833" width="10.140625" style="338" customWidth="1"/>
    <col min="15834" max="15834" width="14.85546875" style="338" customWidth="1"/>
    <col min="15835" max="15835" width="10.85546875" style="338" customWidth="1"/>
    <col min="15836" max="15836" width="6.5703125" style="338" customWidth="1"/>
    <col min="15837" max="15837" width="7" style="338" customWidth="1"/>
    <col min="15838" max="15838" width="7.42578125" style="338" customWidth="1"/>
    <col min="15839" max="15839" width="7.85546875" style="338" customWidth="1"/>
    <col min="15840" max="15840" width="7.140625" style="338" customWidth="1"/>
    <col min="15841" max="15841" width="7.85546875" style="338" customWidth="1"/>
    <col min="15842" max="15843" width="10.140625" style="338" customWidth="1"/>
    <col min="15844" max="15844" width="8.7109375" style="338"/>
    <col min="15845" max="15863" width="9.140625" style="338" customWidth="1"/>
    <col min="15864" max="16069" width="8.7109375" style="338"/>
    <col min="16070" max="16070" width="23.85546875" style="338" customWidth="1"/>
    <col min="16071" max="16071" width="10.85546875" style="338" customWidth="1"/>
    <col min="16072" max="16072" width="6.5703125" style="338" customWidth="1"/>
    <col min="16073" max="16073" width="7" style="338" bestFit="1" customWidth="1"/>
    <col min="16074" max="16074" width="7.42578125" style="338" bestFit="1" customWidth="1"/>
    <col min="16075" max="16075" width="7.85546875" style="338" bestFit="1" customWidth="1"/>
    <col min="16076" max="16076" width="7.140625" style="338" bestFit="1" customWidth="1"/>
    <col min="16077" max="16077" width="7.85546875" style="338" bestFit="1" customWidth="1"/>
    <col min="16078" max="16079" width="10.140625" style="338" bestFit="1" customWidth="1"/>
    <col min="16080" max="16080" width="23.85546875" style="338" customWidth="1"/>
    <col min="16081" max="16081" width="10.85546875" style="338" customWidth="1"/>
    <col min="16082" max="16082" width="6.5703125" style="338" customWidth="1"/>
    <col min="16083" max="16083" width="7" style="338" customWidth="1"/>
    <col min="16084" max="16084" width="7.42578125" style="338" customWidth="1"/>
    <col min="16085" max="16085" width="7.85546875" style="338" customWidth="1"/>
    <col min="16086" max="16086" width="7.140625" style="338" customWidth="1"/>
    <col min="16087" max="16087" width="7.85546875" style="338" customWidth="1"/>
    <col min="16088" max="16089" width="10.140625" style="338" customWidth="1"/>
    <col min="16090" max="16090" width="14.85546875" style="338" customWidth="1"/>
    <col min="16091" max="16091" width="10.85546875" style="338" customWidth="1"/>
    <col min="16092" max="16092" width="6.5703125" style="338" customWidth="1"/>
    <col min="16093" max="16093" width="7" style="338" customWidth="1"/>
    <col min="16094" max="16094" width="7.42578125" style="338" customWidth="1"/>
    <col min="16095" max="16095" width="7.85546875" style="338" customWidth="1"/>
    <col min="16096" max="16096" width="7.140625" style="338" customWidth="1"/>
    <col min="16097" max="16097" width="7.85546875" style="338" customWidth="1"/>
    <col min="16098" max="16099" width="10.140625" style="338" customWidth="1"/>
    <col min="16100" max="16100" width="8.7109375" style="338"/>
    <col min="16101" max="16119" width="9.140625" style="338" customWidth="1"/>
    <col min="16120" max="16344" width="8.7109375" style="338"/>
    <col min="16345" max="16384" width="9.140625" style="338" customWidth="1"/>
  </cols>
  <sheetData>
    <row r="1" spans="1:10" x14ac:dyDescent="0.2">
      <c r="A1" s="624" t="s">
        <v>23</v>
      </c>
      <c r="B1" s="624"/>
      <c r="C1" s="624"/>
      <c r="D1" s="624"/>
      <c r="E1" s="624"/>
      <c r="F1" s="624"/>
      <c r="G1" s="624"/>
      <c r="H1" s="624"/>
      <c r="I1" s="624"/>
      <c r="J1" s="624"/>
    </row>
    <row r="2" spans="1:10" x14ac:dyDescent="0.2">
      <c r="A2" s="624" t="s">
        <v>91</v>
      </c>
      <c r="B2" s="624"/>
      <c r="C2" s="624"/>
      <c r="D2" s="624"/>
      <c r="E2" s="624"/>
      <c r="F2" s="624"/>
      <c r="G2" s="624"/>
      <c r="H2" s="624"/>
      <c r="I2" s="624"/>
      <c r="J2" s="624"/>
    </row>
    <row r="3" spans="1:10" ht="12.75" x14ac:dyDescent="0.2">
      <c r="A3" s="625" t="s">
        <v>156</v>
      </c>
      <c r="B3" s="625"/>
      <c r="C3" s="625"/>
      <c r="D3" s="625"/>
      <c r="E3" s="625"/>
      <c r="F3" s="625"/>
      <c r="G3" s="625"/>
      <c r="H3" s="625"/>
      <c r="I3" s="625"/>
      <c r="J3" s="625"/>
    </row>
    <row r="4" spans="1:10" ht="12.75" x14ac:dyDescent="0.2">
      <c r="A4" s="625" t="s">
        <v>152</v>
      </c>
      <c r="B4" s="625"/>
      <c r="C4" s="625"/>
      <c r="D4" s="625"/>
      <c r="E4" s="625"/>
      <c r="F4" s="625"/>
      <c r="G4" s="625"/>
      <c r="H4" s="625"/>
      <c r="I4" s="625"/>
      <c r="J4" s="625"/>
    </row>
    <row r="5" spans="1:10" ht="12.75" x14ac:dyDescent="0.2">
      <c r="A5" s="636" t="s">
        <v>48</v>
      </c>
      <c r="B5" s="636"/>
      <c r="C5" s="636"/>
      <c r="D5" s="636"/>
      <c r="E5" s="636"/>
      <c r="F5" s="636"/>
      <c r="G5" s="636"/>
      <c r="H5" s="636"/>
      <c r="I5" s="636"/>
      <c r="J5" s="636"/>
    </row>
    <row r="6" spans="1:10" ht="15" x14ac:dyDescent="0.2">
      <c r="A6" s="623"/>
      <c r="B6" s="623"/>
      <c r="C6" s="623"/>
      <c r="D6" s="623"/>
      <c r="E6" s="623"/>
      <c r="F6" s="623"/>
      <c r="G6" s="623"/>
      <c r="H6" s="623"/>
      <c r="I6" s="623"/>
      <c r="J6" s="623"/>
    </row>
    <row r="7" spans="1:10" x14ac:dyDescent="0.2">
      <c r="A7" s="361"/>
      <c r="B7" s="362"/>
      <c r="C7" s="78"/>
      <c r="D7" s="78"/>
      <c r="E7" s="78"/>
      <c r="F7" s="78"/>
      <c r="G7" s="78"/>
      <c r="H7" s="78"/>
      <c r="I7" s="78"/>
    </row>
    <row r="8" spans="1:10" ht="13.5" thickBot="1" x14ac:dyDescent="0.25">
      <c r="A8" s="261" t="s">
        <v>94</v>
      </c>
      <c r="B8" s="365"/>
      <c r="C8" s="67"/>
      <c r="D8" s="67"/>
      <c r="E8" s="67"/>
      <c r="F8" s="67"/>
      <c r="G8" s="67"/>
      <c r="H8" s="67"/>
      <c r="I8" s="67"/>
    </row>
    <row r="9" spans="1:10" ht="10.35" customHeight="1" x14ac:dyDescent="0.2">
      <c r="A9" s="339" t="s">
        <v>114</v>
      </c>
      <c r="B9" s="650" t="s">
        <v>95</v>
      </c>
      <c r="C9" s="652" t="s">
        <v>144</v>
      </c>
      <c r="D9" s="654" t="s">
        <v>145</v>
      </c>
      <c r="E9" s="654" t="s">
        <v>146</v>
      </c>
      <c r="F9" s="654" t="s">
        <v>153</v>
      </c>
      <c r="G9" s="654" t="s">
        <v>154</v>
      </c>
      <c r="H9" s="648" t="s">
        <v>155</v>
      </c>
      <c r="I9" s="368" t="s">
        <v>129</v>
      </c>
      <c r="J9" s="369" t="s">
        <v>115</v>
      </c>
    </row>
    <row r="10" spans="1:10" ht="11.1" customHeight="1" thickBot="1" x14ac:dyDescent="0.25">
      <c r="A10" s="340"/>
      <c r="B10" s="651"/>
      <c r="C10" s="653"/>
      <c r="D10" s="655"/>
      <c r="E10" s="655"/>
      <c r="F10" s="655"/>
      <c r="G10" s="655"/>
      <c r="H10" s="649"/>
      <c r="I10" s="371" t="s">
        <v>130</v>
      </c>
      <c r="J10" s="372" t="s">
        <v>116</v>
      </c>
    </row>
    <row r="11" spans="1:10" x14ac:dyDescent="0.2">
      <c r="A11" s="301" t="s">
        <v>117</v>
      </c>
      <c r="B11" s="189" t="s">
        <v>2</v>
      </c>
      <c r="C11" s="436">
        <v>3.1691506454651241E-2</v>
      </c>
      <c r="D11" s="437">
        <v>3.5655889023682663E-2</v>
      </c>
      <c r="E11" s="437">
        <v>4.2269933288664907E-2</v>
      </c>
      <c r="F11" s="437">
        <v>0</v>
      </c>
      <c r="G11" s="437">
        <v>8.1668114682884485E-2</v>
      </c>
      <c r="H11" s="438">
        <v>2.5013688366329445E-2</v>
      </c>
      <c r="I11" s="436">
        <v>3.5999999999999997E-2</v>
      </c>
      <c r="J11" s="526">
        <v>0.58114035087719296</v>
      </c>
    </row>
    <row r="12" spans="1:10" x14ac:dyDescent="0.2">
      <c r="A12" s="155"/>
      <c r="B12" s="172" t="s">
        <v>1</v>
      </c>
      <c r="C12" s="351">
        <v>4.6803652968036569E-2</v>
      </c>
      <c r="D12" s="383">
        <v>4.8922964585615181E-2</v>
      </c>
      <c r="E12" s="383">
        <v>6.0169589963991132E-2</v>
      </c>
      <c r="F12" s="383">
        <v>0</v>
      </c>
      <c r="G12" s="383">
        <v>8.5056787184446758E-2</v>
      </c>
      <c r="H12" s="350">
        <v>3.2866479925303449E-2</v>
      </c>
      <c r="I12" s="351">
        <v>4.5600000000000002E-2</v>
      </c>
      <c r="J12" s="527"/>
    </row>
    <row r="13" spans="1:10" ht="12" thickBot="1" x14ac:dyDescent="0.25">
      <c r="A13" s="286"/>
      <c r="B13" s="163" t="s">
        <v>0</v>
      </c>
      <c r="C13" s="356">
        <v>1.5986894136255869E-2</v>
      </c>
      <c r="D13" s="390">
        <v>2.2085889570552242E-2</v>
      </c>
      <c r="E13" s="390">
        <v>2.4256239406160507E-2</v>
      </c>
      <c r="F13" s="390">
        <v>0</v>
      </c>
      <c r="G13" s="390">
        <v>7.8456259107789195E-2</v>
      </c>
      <c r="H13" s="355">
        <v>1.8244258424554571E-2</v>
      </c>
      <c r="I13" s="356">
        <v>2.6499999999999999E-2</v>
      </c>
      <c r="J13" s="528"/>
    </row>
    <row r="14" spans="1:10" ht="10.35" customHeight="1" x14ac:dyDescent="0.2">
      <c r="A14" s="301" t="s">
        <v>118</v>
      </c>
      <c r="B14" s="189" t="s">
        <v>2</v>
      </c>
      <c r="C14" s="436">
        <v>5.0563933595235033E-2</v>
      </c>
      <c r="D14" s="437">
        <v>6.6777006811381989E-2</v>
      </c>
      <c r="E14" s="437">
        <v>8.2896863886194549E-2</v>
      </c>
      <c r="F14" s="437">
        <v>0</v>
      </c>
      <c r="G14" s="437">
        <v>0.13305906553041436</v>
      </c>
      <c r="H14" s="438">
        <v>9.0670170827857888E-3</v>
      </c>
      <c r="I14" s="436">
        <v>5.7099999999999998E-2</v>
      </c>
      <c r="J14" s="526">
        <v>0.56781212030542083</v>
      </c>
    </row>
    <row r="15" spans="1:10" x14ac:dyDescent="0.2">
      <c r="A15" s="155"/>
      <c r="B15" s="172" t="s">
        <v>1</v>
      </c>
      <c r="C15" s="351">
        <v>6.2531203195207219E-2</v>
      </c>
      <c r="D15" s="383">
        <v>8.2960199004975088E-2</v>
      </c>
      <c r="E15" s="383">
        <v>9.8999999999999977E-2</v>
      </c>
      <c r="F15" s="383">
        <v>1.7663043478260865E-2</v>
      </c>
      <c r="G15" s="383">
        <v>0.14493427939979064</v>
      </c>
      <c r="H15" s="350">
        <v>2.0380434782608647E-3</v>
      </c>
      <c r="I15" s="351">
        <v>8.5239462613031391E-2</v>
      </c>
      <c r="J15" s="527"/>
    </row>
    <row r="16" spans="1:10" ht="12" thickBot="1" x14ac:dyDescent="0.25">
      <c r="A16" s="286"/>
      <c r="B16" s="163" t="s">
        <v>0</v>
      </c>
      <c r="C16" s="356">
        <v>3.8223938223938214E-2</v>
      </c>
      <c r="D16" s="390">
        <v>4.9810927109140701E-2</v>
      </c>
      <c r="E16" s="390">
        <v>6.5639651707970592E-2</v>
      </c>
      <c r="F16" s="390">
        <v>0</v>
      </c>
      <c r="G16" s="390">
        <v>0.12093133760988362</v>
      </c>
      <c r="H16" s="355">
        <v>1.5648854961832104E-2</v>
      </c>
      <c r="I16" s="356">
        <v>4.8399999999999999E-2</v>
      </c>
      <c r="J16" s="528"/>
    </row>
    <row r="17" spans="1:10" x14ac:dyDescent="0.2">
      <c r="A17" s="301" t="s">
        <v>119</v>
      </c>
      <c r="B17" s="189" t="s">
        <v>2</v>
      </c>
      <c r="C17" s="436">
        <v>6.1337355455002518E-2</v>
      </c>
      <c r="D17" s="437">
        <v>8.2867969684882414E-2</v>
      </c>
      <c r="E17" s="437">
        <v>9.7908278503388013E-2</v>
      </c>
      <c r="F17" s="437">
        <v>0</v>
      </c>
      <c r="G17" s="437">
        <v>0.14544642857142853</v>
      </c>
      <c r="H17" s="438">
        <v>4.2133620689655205E-2</v>
      </c>
      <c r="I17" s="436">
        <v>7.1599999999999997E-2</v>
      </c>
      <c r="J17" s="526">
        <v>0.59832699350973551</v>
      </c>
    </row>
    <row r="18" spans="1:10" x14ac:dyDescent="0.2">
      <c r="A18" s="155"/>
      <c r="B18" s="172" t="s">
        <v>1</v>
      </c>
      <c r="C18" s="351">
        <v>7.8993563487419483E-2</v>
      </c>
      <c r="D18" s="383">
        <v>0.1023943936149504</v>
      </c>
      <c r="E18" s="383">
        <v>0.12081924088688456</v>
      </c>
      <c r="F18" s="383">
        <v>6.5671641791044122E-3</v>
      </c>
      <c r="G18" s="383">
        <v>0.15693173821252637</v>
      </c>
      <c r="H18" s="350">
        <v>4.6696035242290712E-2</v>
      </c>
      <c r="I18" s="351">
        <v>9.7271225653055904E-2</v>
      </c>
      <c r="J18" s="527"/>
    </row>
    <row r="19" spans="1:10" ht="12" thickBot="1" x14ac:dyDescent="0.25">
      <c r="A19" s="286"/>
      <c r="B19" s="163" t="s">
        <v>0</v>
      </c>
      <c r="C19" s="356">
        <v>4.254877542548785E-2</v>
      </c>
      <c r="D19" s="390">
        <v>6.2359435698221222E-2</v>
      </c>
      <c r="E19" s="390">
        <v>7.2824521703353184E-2</v>
      </c>
      <c r="F19" s="390">
        <v>0</v>
      </c>
      <c r="G19" s="390">
        <v>0.13361131254532266</v>
      </c>
      <c r="H19" s="355">
        <v>3.7763713080168793E-2</v>
      </c>
      <c r="I19" s="356">
        <v>5.8200000000000002E-2</v>
      </c>
      <c r="J19" s="528"/>
    </row>
    <row r="20" spans="1:10" x14ac:dyDescent="0.2">
      <c r="A20" s="301" t="s">
        <v>120</v>
      </c>
      <c r="B20" s="189" t="s">
        <v>2</v>
      </c>
      <c r="C20" s="436">
        <v>8.3903731508059187E-2</v>
      </c>
      <c r="D20" s="437">
        <v>8.6629384850025359E-2</v>
      </c>
      <c r="E20" s="437">
        <v>0.12129572859186599</v>
      </c>
      <c r="F20" s="437">
        <v>0.16302207482640685</v>
      </c>
      <c r="G20" s="437">
        <v>0.14359898261975412</v>
      </c>
      <c r="H20" s="438">
        <v>4.154099259665478E-2</v>
      </c>
      <c r="I20" s="436">
        <v>0.12206820389259995</v>
      </c>
      <c r="J20" s="526">
        <v>0.6926023022527209</v>
      </c>
    </row>
    <row r="21" spans="1:10" x14ac:dyDescent="0.2">
      <c r="A21" s="155"/>
      <c r="B21" s="172" t="s">
        <v>1</v>
      </c>
      <c r="C21" s="351">
        <v>0.10649978041282382</v>
      </c>
      <c r="D21" s="383">
        <v>0.11729383506805446</v>
      </c>
      <c r="E21" s="383">
        <v>0.15667466027178256</v>
      </c>
      <c r="F21" s="383">
        <v>0.166131621187801</v>
      </c>
      <c r="G21" s="383">
        <v>0.15418594867480018</v>
      </c>
      <c r="H21" s="350">
        <v>4.4857142857142818E-2</v>
      </c>
      <c r="I21" s="351">
        <v>0.14372260174402754</v>
      </c>
      <c r="J21" s="527"/>
    </row>
    <row r="22" spans="1:10" ht="12" thickBot="1" x14ac:dyDescent="0.25">
      <c r="A22" s="286"/>
      <c r="B22" s="163" t="s">
        <v>0</v>
      </c>
      <c r="C22" s="356">
        <v>6.1056838365897037E-2</v>
      </c>
      <c r="D22" s="390">
        <v>5.4970035131225448E-2</v>
      </c>
      <c r="E22" s="390">
        <v>8.4274362191551599E-2</v>
      </c>
      <c r="F22" s="390">
        <v>0.15969989281886388</v>
      </c>
      <c r="G22" s="390">
        <v>0.1328492097394276</v>
      </c>
      <c r="H22" s="355">
        <v>3.8481813389562469E-2</v>
      </c>
      <c r="I22" s="356">
        <v>9.9542604853664396E-2</v>
      </c>
      <c r="J22" s="528"/>
    </row>
    <row r="23" spans="1:10" x14ac:dyDescent="0.2">
      <c r="A23" s="301" t="s">
        <v>121</v>
      </c>
      <c r="B23" s="189" t="s">
        <v>2</v>
      </c>
      <c r="C23" s="436">
        <v>0.12659454222509292</v>
      </c>
      <c r="D23" s="437">
        <v>0.15088615679386874</v>
      </c>
      <c r="E23" s="437">
        <v>0.20831470719713896</v>
      </c>
      <c r="F23" s="437">
        <v>0.19472802072223072</v>
      </c>
      <c r="G23" s="437">
        <v>0.24885157611278319</v>
      </c>
      <c r="H23" s="438">
        <v>2.9564432408034302E-2</v>
      </c>
      <c r="I23" s="436">
        <v>0.18950208054702275</v>
      </c>
      <c r="J23" s="526">
        <v>0.73552422931783945</v>
      </c>
    </row>
    <row r="24" spans="1:10" x14ac:dyDescent="0.2">
      <c r="A24" s="155"/>
      <c r="B24" s="172" t="s">
        <v>1</v>
      </c>
      <c r="C24" s="351">
        <v>0.16121572514040305</v>
      </c>
      <c r="D24" s="383">
        <v>0.18133333333333335</v>
      </c>
      <c r="E24" s="383">
        <v>0.24462860650705953</v>
      </c>
      <c r="F24" s="383">
        <v>0.21618282890673257</v>
      </c>
      <c r="G24" s="383">
        <v>0.27195080286983264</v>
      </c>
      <c r="H24" s="350">
        <v>3.2226078334159691E-2</v>
      </c>
      <c r="I24" s="351">
        <v>0.21949301716060776</v>
      </c>
      <c r="J24" s="527"/>
    </row>
    <row r="25" spans="1:10" ht="12" thickBot="1" x14ac:dyDescent="0.25">
      <c r="A25" s="286"/>
      <c r="B25" s="163" t="s">
        <v>0</v>
      </c>
      <c r="C25" s="356">
        <v>9.3493367024636842E-2</v>
      </c>
      <c r="D25" s="390">
        <v>0.1228930432117683</v>
      </c>
      <c r="E25" s="390">
        <v>0.17405154937735301</v>
      </c>
      <c r="F25" s="390">
        <v>0.17383458646616545</v>
      </c>
      <c r="G25" s="390">
        <v>0.22888363851151805</v>
      </c>
      <c r="H25" s="355">
        <v>2.7340513670256805E-2</v>
      </c>
      <c r="I25" s="356">
        <v>0.16144243228770333</v>
      </c>
      <c r="J25" s="528"/>
    </row>
    <row r="26" spans="1:10" x14ac:dyDescent="0.2">
      <c r="A26" s="301" t="s">
        <v>122</v>
      </c>
      <c r="B26" s="189" t="s">
        <v>2</v>
      </c>
      <c r="C26" s="436">
        <v>6.8612334801762098E-2</v>
      </c>
      <c r="D26" s="437">
        <v>0.10559595320897885</v>
      </c>
      <c r="E26" s="437">
        <v>0.11583514099783077</v>
      </c>
      <c r="F26" s="437">
        <v>7.8240942819729375E-2</v>
      </c>
      <c r="G26" s="437">
        <v>0.13627660772609529</v>
      </c>
      <c r="H26" s="438">
        <v>1.6213167912025983E-2</v>
      </c>
      <c r="I26" s="436">
        <v>0.10434700744779175</v>
      </c>
      <c r="J26" s="526">
        <v>0.70567973976917187</v>
      </c>
    </row>
    <row r="27" spans="1:10" ht="12" x14ac:dyDescent="0.2">
      <c r="A27" s="347"/>
      <c r="B27" s="172" t="s">
        <v>1</v>
      </c>
      <c r="C27" s="351">
        <v>9.5872461236077733E-2</v>
      </c>
      <c r="D27" s="383">
        <v>0.13050604384347475</v>
      </c>
      <c r="E27" s="383">
        <v>0.15262824572514255</v>
      </c>
      <c r="F27" s="383">
        <v>6.4663618549967272E-2</v>
      </c>
      <c r="G27" s="383">
        <v>0.14319639040607934</v>
      </c>
      <c r="H27" s="350">
        <v>3.334362457548623E-2</v>
      </c>
      <c r="I27" s="351">
        <v>0.12211901112995084</v>
      </c>
      <c r="J27" s="527"/>
    </row>
    <row r="28" spans="1:10" ht="12" thickBot="1" x14ac:dyDescent="0.25">
      <c r="A28" s="286"/>
      <c r="B28" s="163" t="s">
        <v>0</v>
      </c>
      <c r="C28" s="356">
        <v>4.0879804487891636E-2</v>
      </c>
      <c r="D28" s="390">
        <v>7.921006944444442E-2</v>
      </c>
      <c r="E28" s="390">
        <v>7.6957394601829154E-2</v>
      </c>
      <c r="F28" s="390">
        <v>9.1883614088820842E-2</v>
      </c>
      <c r="G28" s="390">
        <v>0.13003427592116534</v>
      </c>
      <c r="H28" s="355">
        <v>1.8162947586922717E-3</v>
      </c>
      <c r="I28" s="356">
        <v>8.6176911995052313E-2</v>
      </c>
      <c r="J28" s="528"/>
    </row>
    <row r="29" spans="1:10" x14ac:dyDescent="0.2">
      <c r="A29" s="301" t="s">
        <v>123</v>
      </c>
      <c r="B29" s="189" t="s">
        <v>2</v>
      </c>
      <c r="C29" s="436">
        <v>2.7979015738196389E-2</v>
      </c>
      <c r="D29" s="437">
        <v>5.4455445544554504E-2</v>
      </c>
      <c r="E29" s="437">
        <v>4.8901673640167287E-2</v>
      </c>
      <c r="F29" s="437">
        <v>0</v>
      </c>
      <c r="G29" s="437">
        <v>0.11032508000673746</v>
      </c>
      <c r="H29" s="438">
        <v>5.5008022003208978E-3</v>
      </c>
      <c r="I29" s="436">
        <v>4.1200000000000001E-2</v>
      </c>
      <c r="J29" s="526">
        <v>3.2022764990370338</v>
      </c>
    </row>
    <row r="30" spans="1:10" x14ac:dyDescent="0.2">
      <c r="A30" s="155"/>
      <c r="B30" s="172" t="s">
        <v>1</v>
      </c>
      <c r="C30" s="351">
        <v>4.571703561116458E-2</v>
      </c>
      <c r="D30" s="383">
        <v>7.8581050740907044E-2</v>
      </c>
      <c r="E30" s="383">
        <v>7.7439339184305567E-2</v>
      </c>
      <c r="F30" s="383">
        <v>0</v>
      </c>
      <c r="G30" s="383">
        <v>0.10424990918997457</v>
      </c>
      <c r="H30" s="350">
        <v>7.5566750629723067E-3</v>
      </c>
      <c r="I30" s="351">
        <v>9.2746519574219075E-3</v>
      </c>
      <c r="J30" s="527"/>
    </row>
    <row r="31" spans="1:10" ht="12" thickBot="1" x14ac:dyDescent="0.25">
      <c r="A31" s="286"/>
      <c r="B31" s="163" t="s">
        <v>0</v>
      </c>
      <c r="C31" s="356">
        <v>8.8311688311688563E-3</v>
      </c>
      <c r="D31" s="390">
        <v>3.0221019395579529E-2</v>
      </c>
      <c r="E31" s="390">
        <v>1.9607843137254832E-2</v>
      </c>
      <c r="F31" s="390">
        <v>0</v>
      </c>
      <c r="G31" s="390">
        <v>0.11557788944723613</v>
      </c>
      <c r="H31" s="355">
        <v>3.784693019344032E-3</v>
      </c>
      <c r="I31" s="356">
        <v>2.9700000000000001E-2</v>
      </c>
      <c r="J31" s="528"/>
    </row>
    <row r="32" spans="1:10" ht="10.35" customHeight="1" x14ac:dyDescent="0.2">
      <c r="A32" s="301" t="s">
        <v>124</v>
      </c>
      <c r="B32" s="189" t="s">
        <v>2</v>
      </c>
      <c r="C32" s="436">
        <v>4.9914675767918082E-2</v>
      </c>
      <c r="D32" s="437">
        <v>5.4873054873054827E-2</v>
      </c>
      <c r="E32" s="437">
        <v>8.9136490250696365E-2</v>
      </c>
      <c r="F32" s="437">
        <v>0</v>
      </c>
      <c r="G32" s="437">
        <v>0.12561483163072262</v>
      </c>
      <c r="H32" s="438">
        <v>5.5381866904868238E-2</v>
      </c>
      <c r="I32" s="436">
        <v>6.25E-2</v>
      </c>
      <c r="J32" s="526">
        <v>0.6330275229357798</v>
      </c>
    </row>
    <row r="33" spans="1:10" x14ac:dyDescent="0.2">
      <c r="A33" s="155"/>
      <c r="B33" s="172" t="s">
        <v>1</v>
      </c>
      <c r="C33" s="351">
        <v>6.3559322033898247E-2</v>
      </c>
      <c r="D33" s="383">
        <v>7.781456953642385E-2</v>
      </c>
      <c r="E33" s="383">
        <v>0.1185127807900852</v>
      </c>
      <c r="F33" s="383">
        <v>0</v>
      </c>
      <c r="G33" s="383">
        <v>0.13991163475699553</v>
      </c>
      <c r="H33" s="350">
        <v>5.8106841611996196E-2</v>
      </c>
      <c r="I33" s="351">
        <v>7.6300000000000007E-2</v>
      </c>
      <c r="J33" s="527"/>
    </row>
    <row r="34" spans="1:10" ht="12" thickBot="1" x14ac:dyDescent="0.25">
      <c r="A34" s="286"/>
      <c r="B34" s="163" t="s">
        <v>0</v>
      </c>
      <c r="C34" s="356">
        <v>3.6082474226804107E-2</v>
      </c>
      <c r="D34" s="390">
        <v>3.2414910858995172E-2</v>
      </c>
      <c r="E34" s="390">
        <v>5.8101472995090053E-2</v>
      </c>
      <c r="F34" s="390">
        <v>0</v>
      </c>
      <c r="G34" s="390">
        <v>0.11050583657587554</v>
      </c>
      <c r="H34" s="355">
        <v>5.2901023890784993E-2</v>
      </c>
      <c r="I34" s="356">
        <v>4.8300000000000003E-2</v>
      </c>
      <c r="J34" s="528"/>
    </row>
    <row r="35" spans="1:10" x14ac:dyDescent="0.2">
      <c r="A35" s="301" t="s">
        <v>125</v>
      </c>
      <c r="B35" s="189" t="s">
        <v>2</v>
      </c>
      <c r="C35" s="436">
        <v>7.2102220870094214E-2</v>
      </c>
      <c r="D35" s="437">
        <v>7.2727272727272751E-2</v>
      </c>
      <c r="E35" s="437">
        <v>0.10253422662394407</v>
      </c>
      <c r="F35" s="437">
        <v>0</v>
      </c>
      <c r="G35" s="437">
        <v>0.13474274070300563</v>
      </c>
      <c r="H35" s="438">
        <v>1.6112789526686822E-2</v>
      </c>
      <c r="I35" s="436">
        <v>6.6400000000000001E-2</v>
      </c>
      <c r="J35" s="526">
        <v>0.56316410861865407</v>
      </c>
    </row>
    <row r="36" spans="1:10" ht="12" x14ac:dyDescent="0.2">
      <c r="A36" s="347"/>
      <c r="B36" s="172" t="s">
        <v>1</v>
      </c>
      <c r="C36" s="351">
        <v>0.11357018054746659</v>
      </c>
      <c r="D36" s="383">
        <v>0.10295930949445131</v>
      </c>
      <c r="E36" s="383">
        <v>0.14268937169700524</v>
      </c>
      <c r="F36" s="383">
        <v>0</v>
      </c>
      <c r="G36" s="383">
        <v>0.13458445040214473</v>
      </c>
      <c r="H36" s="350">
        <v>1.46520146520146E-2</v>
      </c>
      <c r="I36" s="351">
        <v>8.4699999999999998E-2</v>
      </c>
      <c r="J36" s="527"/>
    </row>
    <row r="37" spans="1:10" ht="12" thickBot="1" x14ac:dyDescent="0.25">
      <c r="A37" s="286"/>
      <c r="B37" s="163" t="s">
        <v>0</v>
      </c>
      <c r="C37" s="356">
        <v>2.6751592356687892E-2</v>
      </c>
      <c r="D37" s="390">
        <v>4.4431621465666482E-2</v>
      </c>
      <c r="E37" s="390">
        <v>6.3005780346820806E-2</v>
      </c>
      <c r="F37" s="390">
        <v>0</v>
      </c>
      <c r="G37" s="390">
        <v>0.13488597768073751</v>
      </c>
      <c r="H37" s="355">
        <v>1.7348203221809189E-2</v>
      </c>
      <c r="I37" s="356">
        <v>4.7699999999999999E-2</v>
      </c>
      <c r="J37" s="528"/>
    </row>
    <row r="38" spans="1:10" x14ac:dyDescent="0.2">
      <c r="A38" s="301" t="s">
        <v>126</v>
      </c>
      <c r="B38" s="189" t="s">
        <v>2</v>
      </c>
      <c r="C38" s="294">
        <v>3.8152148931280161E-2</v>
      </c>
      <c r="D38" s="295">
        <v>3.3774532177088146E-2</v>
      </c>
      <c r="E38" s="295">
        <v>4.312431243124315E-2</v>
      </c>
      <c r="F38" s="295">
        <v>0</v>
      </c>
      <c r="G38" s="295">
        <v>9.401061410159206E-2</v>
      </c>
      <c r="H38" s="427">
        <v>3.6590709903593366E-2</v>
      </c>
      <c r="I38" s="294">
        <v>4.0899999999999999E-2</v>
      </c>
      <c r="J38" s="517">
        <v>0.96270328900553648</v>
      </c>
    </row>
    <row r="39" spans="1:10" x14ac:dyDescent="0.2">
      <c r="A39" s="155"/>
      <c r="B39" s="172" t="s">
        <v>1</v>
      </c>
      <c r="C39" s="297">
        <v>5.8771929824561364E-2</v>
      </c>
      <c r="D39" s="298">
        <v>6.1634658329611458E-2</v>
      </c>
      <c r="E39" s="298">
        <v>5.8797718297498913E-2</v>
      </c>
      <c r="F39" s="298">
        <v>0</v>
      </c>
      <c r="G39" s="298">
        <v>9.1366627951993795E-2</v>
      </c>
      <c r="H39" s="310">
        <v>3.0004688232536325E-2</v>
      </c>
      <c r="I39" s="297">
        <v>3.2304865221896156E-2</v>
      </c>
      <c r="J39" s="518"/>
    </row>
    <row r="40" spans="1:10" ht="12" thickBot="1" x14ac:dyDescent="0.25">
      <c r="A40" s="286"/>
      <c r="B40" s="163" t="s">
        <v>0</v>
      </c>
      <c r="C40" s="314">
        <v>1.5451472718493453E-2</v>
      </c>
      <c r="D40" s="380">
        <v>4.6663555762949116E-3</v>
      </c>
      <c r="E40" s="380">
        <v>2.7360988526037078E-2</v>
      </c>
      <c r="F40" s="380">
        <v>0</v>
      </c>
      <c r="G40" s="380">
        <v>9.6546602302265083E-2</v>
      </c>
      <c r="H40" s="313">
        <v>4.2369395310571822E-2</v>
      </c>
      <c r="I40" s="314">
        <v>3.1099999999999999E-2</v>
      </c>
      <c r="J40" s="519"/>
    </row>
    <row r="41" spans="1:10" x14ac:dyDescent="0.2">
      <c r="A41" s="301" t="s">
        <v>127</v>
      </c>
      <c r="B41" s="189" t="s">
        <v>2</v>
      </c>
      <c r="C41" s="294">
        <v>3.1800955676388187E-2</v>
      </c>
      <c r="D41" s="295">
        <v>2.3533366952428914E-2</v>
      </c>
      <c r="E41" s="295">
        <v>4.724285037130671E-2</v>
      </c>
      <c r="F41" s="295">
        <v>0</v>
      </c>
      <c r="G41" s="295">
        <v>8.1943532501641547E-2</v>
      </c>
      <c r="H41" s="427">
        <v>1.5529841656516497E-2</v>
      </c>
      <c r="I41" s="294">
        <v>3.3300000000000003E-2</v>
      </c>
      <c r="J41" s="517">
        <v>0.53563218390804601</v>
      </c>
    </row>
    <row r="42" spans="1:10" x14ac:dyDescent="0.2">
      <c r="A42" s="155"/>
      <c r="B42" s="172" t="s">
        <v>1</v>
      </c>
      <c r="C42" s="297">
        <v>3.8611291369240686E-2</v>
      </c>
      <c r="D42" s="298">
        <v>3.743842364532024E-2</v>
      </c>
      <c r="E42" s="298">
        <v>6.7362428842504762E-2</v>
      </c>
      <c r="F42" s="298">
        <v>0</v>
      </c>
      <c r="G42" s="298">
        <v>9.27152317880795E-2</v>
      </c>
      <c r="H42" s="310">
        <v>2.4727992087042572E-2</v>
      </c>
      <c r="I42" s="297">
        <v>4.3499999999999997E-2</v>
      </c>
      <c r="J42" s="518"/>
    </row>
    <row r="43" spans="1:10" ht="12" thickBot="1" x14ac:dyDescent="0.25">
      <c r="A43" s="286"/>
      <c r="B43" s="163" t="s">
        <v>0</v>
      </c>
      <c r="C43" s="314">
        <v>2.4774020756611947E-2</v>
      </c>
      <c r="D43" s="380">
        <v>8.9531680440770867E-3</v>
      </c>
      <c r="E43" s="380">
        <v>2.7155036311967251E-2</v>
      </c>
      <c r="F43" s="380">
        <v>0</v>
      </c>
      <c r="G43" s="380">
        <v>7.1354166666666718E-2</v>
      </c>
      <c r="H43" s="313">
        <v>7.637906647807613E-3</v>
      </c>
      <c r="I43" s="314">
        <v>2.3300000000000001E-2</v>
      </c>
      <c r="J43" s="519"/>
    </row>
    <row r="44" spans="1:10" ht="12.75" x14ac:dyDescent="0.25">
      <c r="A44" s="315" t="s">
        <v>15</v>
      </c>
      <c r="B44" s="553" t="s">
        <v>2</v>
      </c>
      <c r="C44" s="449">
        <v>5.2198474719894583E-2</v>
      </c>
      <c r="D44" s="450">
        <v>6.318866446901128E-2</v>
      </c>
      <c r="E44" s="450">
        <v>8.1261284983448645E-2</v>
      </c>
      <c r="F44" s="450">
        <v>0</v>
      </c>
      <c r="G44" s="450">
        <v>0.11739195828737592</v>
      </c>
      <c r="H44" s="451">
        <v>2.4419641048494922E-2</v>
      </c>
      <c r="I44" s="449">
        <v>5.6399999999999999E-2</v>
      </c>
      <c r="J44" s="562">
        <v>0.64525547445255471</v>
      </c>
    </row>
    <row r="45" spans="1:10" ht="12.75" x14ac:dyDescent="0.25">
      <c r="A45" s="323"/>
      <c r="B45" s="553" t="s">
        <v>1</v>
      </c>
      <c r="C45" s="325">
        <v>7.0273171453953287E-2</v>
      </c>
      <c r="D45" s="326">
        <v>8.252951338900083E-2</v>
      </c>
      <c r="E45" s="326">
        <v>0.10513624306727753</v>
      </c>
      <c r="F45" s="326">
        <v>0</v>
      </c>
      <c r="G45" s="326">
        <v>0.12440770410772117</v>
      </c>
      <c r="H45" s="327">
        <v>2.8528852798894277E-2</v>
      </c>
      <c r="I45" s="325">
        <v>6.8500000000000005E-2</v>
      </c>
      <c r="J45" s="563"/>
    </row>
    <row r="46" spans="1:10" ht="13.5" thickBot="1" x14ac:dyDescent="0.3">
      <c r="A46" s="330"/>
      <c r="B46" s="558" t="s">
        <v>0</v>
      </c>
      <c r="C46" s="332">
        <v>3.3481543945724224E-2</v>
      </c>
      <c r="D46" s="333">
        <v>4.3376470154481428E-2</v>
      </c>
      <c r="E46" s="333">
        <v>5.6709585121602291E-2</v>
      </c>
      <c r="F46" s="333">
        <v>0</v>
      </c>
      <c r="G46" s="333">
        <v>0.11064485460446516</v>
      </c>
      <c r="H46" s="334">
        <v>2.0790417334248912E-2</v>
      </c>
      <c r="I46" s="332">
        <v>4.4200000000000003E-2</v>
      </c>
      <c r="J46" s="564"/>
    </row>
  </sheetData>
  <sheetProtection algorithmName="SHA-512" hashValue="R/zFgqgm1wPMMVuTv5r86c10h1FPaZgieta8RNQBPMfL6gWUltkSA2DwY9cdFh7AMXevJimAxqHm9u1C8zCENg==" saltValue="QywmOXsWDVv5RchiSUroVg==" spinCount="100000" sheet="1" objects="1" scenarios="1"/>
  <mergeCells count="13">
    <mergeCell ref="A6:J6"/>
    <mergeCell ref="H9:H10"/>
    <mergeCell ref="B9:B10"/>
    <mergeCell ref="C9:C10"/>
    <mergeCell ref="D9:D10"/>
    <mergeCell ref="E9:E10"/>
    <mergeCell ref="F9:F10"/>
    <mergeCell ref="G9:G10"/>
    <mergeCell ref="A1:J1"/>
    <mergeCell ref="A2:J2"/>
    <mergeCell ref="A3:J3"/>
    <mergeCell ref="A4:J4"/>
    <mergeCell ref="A5:J5"/>
  </mergeCells>
  <conditionalFormatting sqref="C1:J1048576">
    <cfRule type="cellIs" dxfId="1" priority="1" operator="lessThan">
      <formula>0</formula>
    </cfRule>
  </conditionalFormatting>
  <conditionalFormatting sqref="G9:H10">
    <cfRule type="cellIs" dxfId="0" priority="10" operator="lessThan">
      <formula>0</formula>
    </cfRule>
  </conditionalFormatting>
  <printOptions horizontalCentered="1"/>
  <pageMargins left="0" right="0" top="1" bottom="0.5" header="0.5" footer="0.35"/>
  <pageSetup paperSize="9" scale="91" orientation="portrait" horizontalDpi="300" verticalDpi="300" r:id="rId1"/>
  <headerFooter alignWithMargins="0">
    <oddFooter>&amp;C&amp;8Page &amp;P of &amp;N</oddFooter>
  </headerFooter>
  <picture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9BDE3-96E2-4A39-AC58-CE1805E1168F}">
  <sheetPr>
    <tabColor rgb="FF0000FF"/>
    <pageSetUpPr fitToPage="1"/>
  </sheetPr>
  <dimension ref="A1:HB46"/>
  <sheetViews>
    <sheetView showGridLines="0" zoomScaleNormal="100" workbookViewId="0">
      <pane xSplit="2" ySplit="8" topLeftCell="C9" activePane="bottomRight" state="frozen"/>
      <selection activeCell="B9" sqref="B9:B12"/>
      <selection pane="topRight" activeCell="B9" sqref="B9:B12"/>
      <selection pane="bottomLeft" activeCell="B9" sqref="B9:B12"/>
      <selection pane="bottomRight" activeCell="C9" sqref="C9:C10"/>
    </sheetView>
  </sheetViews>
  <sheetFormatPr defaultRowHeight="11.25" x14ac:dyDescent="0.2"/>
  <cols>
    <col min="1" max="1" width="48.140625" style="337" customWidth="1"/>
    <col min="2" max="2" width="8.85546875" style="338" customWidth="1"/>
    <col min="3" max="3" width="8.42578125" style="263" customWidth="1"/>
    <col min="4" max="4" width="7" style="263" bestFit="1" customWidth="1"/>
    <col min="5" max="5" width="7.42578125" style="263" bestFit="1" customWidth="1"/>
    <col min="6" max="6" width="7.85546875" style="263" bestFit="1" customWidth="1"/>
    <col min="7" max="7" width="7.140625" style="263" bestFit="1" customWidth="1"/>
    <col min="8" max="8" width="8.140625" style="263" bestFit="1" customWidth="1"/>
    <col min="9" max="9" width="11.42578125" style="263" bestFit="1" customWidth="1"/>
    <col min="10" max="10" width="9" style="394" bestFit="1" customWidth="1"/>
    <col min="11" max="216" width="8.7109375" style="338"/>
    <col min="217" max="217" width="19.140625" style="338" customWidth="1"/>
    <col min="218" max="218" width="10.85546875" style="338" customWidth="1"/>
    <col min="219" max="223" width="8.85546875" style="338" customWidth="1"/>
    <col min="224" max="224" width="9.85546875" style="338" customWidth="1"/>
    <col min="225" max="225" width="12.140625" style="338" customWidth="1"/>
    <col min="226" max="226" width="8.85546875" style="338" customWidth="1"/>
    <col min="227" max="227" width="15.85546875" style="338" customWidth="1"/>
    <col min="228" max="236" width="8.7109375" style="338"/>
    <col min="237" max="237" width="14.5703125" style="338" customWidth="1"/>
    <col min="238" max="472" width="8.7109375" style="338"/>
    <col min="473" max="473" width="19.140625" style="338" customWidth="1"/>
    <col min="474" max="474" width="10.85546875" style="338" customWidth="1"/>
    <col min="475" max="479" width="8.85546875" style="338" customWidth="1"/>
    <col min="480" max="480" width="9.85546875" style="338" customWidth="1"/>
    <col min="481" max="481" width="12.140625" style="338" customWidth="1"/>
    <col min="482" max="482" width="8.85546875" style="338" customWidth="1"/>
    <col min="483" max="483" width="15.85546875" style="338" customWidth="1"/>
    <col min="484" max="492" width="8.7109375" style="338"/>
    <col min="493" max="493" width="14.5703125" style="338" customWidth="1"/>
    <col min="494" max="728" width="8.7109375" style="338"/>
    <col min="729" max="729" width="19.140625" style="338" customWidth="1"/>
    <col min="730" max="730" width="10.85546875" style="338" customWidth="1"/>
    <col min="731" max="735" width="8.85546875" style="338" customWidth="1"/>
    <col min="736" max="736" width="9.85546875" style="338" customWidth="1"/>
    <col min="737" max="737" width="12.140625" style="338" customWidth="1"/>
    <col min="738" max="738" width="8.85546875" style="338" customWidth="1"/>
    <col min="739" max="739" width="15.85546875" style="338" customWidth="1"/>
    <col min="740" max="748" width="8.7109375" style="338"/>
    <col min="749" max="749" width="14.5703125" style="338" customWidth="1"/>
    <col min="750" max="984" width="8.7109375" style="338"/>
    <col min="985" max="985" width="19.140625" style="338" customWidth="1"/>
    <col min="986" max="986" width="10.85546875" style="338" customWidth="1"/>
    <col min="987" max="991" width="8.85546875" style="338" customWidth="1"/>
    <col min="992" max="992" width="9.85546875" style="338" customWidth="1"/>
    <col min="993" max="993" width="12.140625" style="338" customWidth="1"/>
    <col min="994" max="994" width="8.85546875" style="338" customWidth="1"/>
    <col min="995" max="995" width="15.85546875" style="338" customWidth="1"/>
    <col min="996" max="1004" width="8.7109375" style="338"/>
    <col min="1005" max="1005" width="14.5703125" style="338" customWidth="1"/>
    <col min="1006" max="1240" width="8.7109375" style="338"/>
    <col min="1241" max="1241" width="19.140625" style="338" customWidth="1"/>
    <col min="1242" max="1242" width="10.85546875" style="338" customWidth="1"/>
    <col min="1243" max="1247" width="8.85546875" style="338" customWidth="1"/>
    <col min="1248" max="1248" width="9.85546875" style="338" customWidth="1"/>
    <col min="1249" max="1249" width="12.140625" style="338" customWidth="1"/>
    <col min="1250" max="1250" width="8.85546875" style="338" customWidth="1"/>
    <col min="1251" max="1251" width="15.85546875" style="338" customWidth="1"/>
    <col min="1252" max="1260" width="8.7109375" style="338"/>
    <col min="1261" max="1261" width="14.5703125" style="338" customWidth="1"/>
    <col min="1262" max="1496" width="8.7109375" style="338"/>
    <col min="1497" max="1497" width="19.140625" style="338" customWidth="1"/>
    <col min="1498" max="1498" width="10.85546875" style="338" customWidth="1"/>
    <col min="1499" max="1503" width="8.85546875" style="338" customWidth="1"/>
    <col min="1504" max="1504" width="9.85546875" style="338" customWidth="1"/>
    <col min="1505" max="1505" width="12.140625" style="338" customWidth="1"/>
    <col min="1506" max="1506" width="8.85546875" style="338" customWidth="1"/>
    <col min="1507" max="1507" width="15.85546875" style="338" customWidth="1"/>
    <col min="1508" max="1516" width="8.7109375" style="338"/>
    <col min="1517" max="1517" width="14.5703125" style="338" customWidth="1"/>
    <col min="1518" max="1752" width="8.7109375" style="338"/>
    <col min="1753" max="1753" width="19.140625" style="338" customWidth="1"/>
    <col min="1754" max="1754" width="10.85546875" style="338" customWidth="1"/>
    <col min="1755" max="1759" width="8.85546875" style="338" customWidth="1"/>
    <col min="1760" max="1760" width="9.85546875" style="338" customWidth="1"/>
    <col min="1761" max="1761" width="12.140625" style="338" customWidth="1"/>
    <col min="1762" max="1762" width="8.85546875" style="338" customWidth="1"/>
    <col min="1763" max="1763" width="15.85546875" style="338" customWidth="1"/>
    <col min="1764" max="1772" width="8.7109375" style="338"/>
    <col min="1773" max="1773" width="14.5703125" style="338" customWidth="1"/>
    <col min="1774" max="2008" width="8.7109375" style="338"/>
    <col min="2009" max="2009" width="19.140625" style="338" customWidth="1"/>
    <col min="2010" max="2010" width="10.85546875" style="338" customWidth="1"/>
    <col min="2011" max="2015" width="8.85546875" style="338" customWidth="1"/>
    <col min="2016" max="2016" width="9.85546875" style="338" customWidth="1"/>
    <col min="2017" max="2017" width="12.140625" style="338" customWidth="1"/>
    <col min="2018" max="2018" width="8.85546875" style="338" customWidth="1"/>
    <col min="2019" max="2019" width="15.85546875" style="338" customWidth="1"/>
    <col min="2020" max="2028" width="8.7109375" style="338"/>
    <col min="2029" max="2029" width="14.5703125" style="338" customWidth="1"/>
    <col min="2030" max="2264" width="8.7109375" style="338"/>
    <col min="2265" max="2265" width="19.140625" style="338" customWidth="1"/>
    <col min="2266" max="2266" width="10.85546875" style="338" customWidth="1"/>
    <col min="2267" max="2271" width="8.85546875" style="338" customWidth="1"/>
    <col min="2272" max="2272" width="9.85546875" style="338" customWidth="1"/>
    <col min="2273" max="2273" width="12.140625" style="338" customWidth="1"/>
    <col min="2274" max="2274" width="8.85546875" style="338" customWidth="1"/>
    <col min="2275" max="2275" width="15.85546875" style="338" customWidth="1"/>
    <col min="2276" max="2284" width="8.7109375" style="338"/>
    <col min="2285" max="2285" width="14.5703125" style="338" customWidth="1"/>
    <col min="2286" max="2520" width="8.7109375" style="338"/>
    <col min="2521" max="2521" width="19.140625" style="338" customWidth="1"/>
    <col min="2522" max="2522" width="10.85546875" style="338" customWidth="1"/>
    <col min="2523" max="2527" width="8.85546875" style="338" customWidth="1"/>
    <col min="2528" max="2528" width="9.85546875" style="338" customWidth="1"/>
    <col min="2529" max="2529" width="12.140625" style="338" customWidth="1"/>
    <col min="2530" max="2530" width="8.85546875" style="338" customWidth="1"/>
    <col min="2531" max="2531" width="15.85546875" style="338" customWidth="1"/>
    <col min="2532" max="2540" width="8.7109375" style="338"/>
    <col min="2541" max="2541" width="14.5703125" style="338" customWidth="1"/>
    <col min="2542" max="2776" width="8.7109375" style="338"/>
    <col min="2777" max="2777" width="19.140625" style="338" customWidth="1"/>
    <col min="2778" max="2778" width="10.85546875" style="338" customWidth="1"/>
    <col min="2779" max="2783" width="8.85546875" style="338" customWidth="1"/>
    <col min="2784" max="2784" width="9.85546875" style="338" customWidth="1"/>
    <col min="2785" max="2785" width="12.140625" style="338" customWidth="1"/>
    <col min="2786" max="2786" width="8.85546875" style="338" customWidth="1"/>
    <col min="2787" max="2787" width="15.85546875" style="338" customWidth="1"/>
    <col min="2788" max="2796" width="8.7109375" style="338"/>
    <col min="2797" max="2797" width="14.5703125" style="338" customWidth="1"/>
    <col min="2798" max="3032" width="8.7109375" style="338"/>
    <col min="3033" max="3033" width="19.140625" style="338" customWidth="1"/>
    <col min="3034" max="3034" width="10.85546875" style="338" customWidth="1"/>
    <col min="3035" max="3039" width="8.85546875" style="338" customWidth="1"/>
    <col min="3040" max="3040" width="9.85546875" style="338" customWidth="1"/>
    <col min="3041" max="3041" width="12.140625" style="338" customWidth="1"/>
    <col min="3042" max="3042" width="8.85546875" style="338" customWidth="1"/>
    <col min="3043" max="3043" width="15.85546875" style="338" customWidth="1"/>
    <col min="3044" max="3052" width="8.7109375" style="338"/>
    <col min="3053" max="3053" width="14.5703125" style="338" customWidth="1"/>
    <col min="3054" max="3288" width="8.7109375" style="338"/>
    <col min="3289" max="3289" width="19.140625" style="338" customWidth="1"/>
    <col min="3290" max="3290" width="10.85546875" style="338" customWidth="1"/>
    <col min="3291" max="3295" width="8.85546875" style="338" customWidth="1"/>
    <col min="3296" max="3296" width="9.85546875" style="338" customWidth="1"/>
    <col min="3297" max="3297" width="12.140625" style="338" customWidth="1"/>
    <col min="3298" max="3298" width="8.85546875" style="338" customWidth="1"/>
    <col min="3299" max="3299" width="15.85546875" style="338" customWidth="1"/>
    <col min="3300" max="3308" width="8.7109375" style="338"/>
    <col min="3309" max="3309" width="14.5703125" style="338" customWidth="1"/>
    <col min="3310" max="3544" width="8.7109375" style="338"/>
    <col min="3545" max="3545" width="19.140625" style="338" customWidth="1"/>
    <col min="3546" max="3546" width="10.85546875" style="338" customWidth="1"/>
    <col min="3547" max="3551" width="8.85546875" style="338" customWidth="1"/>
    <col min="3552" max="3552" width="9.85546875" style="338" customWidth="1"/>
    <col min="3553" max="3553" width="12.140625" style="338" customWidth="1"/>
    <col min="3554" max="3554" width="8.85546875" style="338" customWidth="1"/>
    <col min="3555" max="3555" width="15.85546875" style="338" customWidth="1"/>
    <col min="3556" max="3564" width="8.7109375" style="338"/>
    <col min="3565" max="3565" width="14.5703125" style="338" customWidth="1"/>
    <col min="3566" max="3800" width="8.7109375" style="338"/>
    <col min="3801" max="3801" width="19.140625" style="338" customWidth="1"/>
    <col min="3802" max="3802" width="10.85546875" style="338" customWidth="1"/>
    <col min="3803" max="3807" width="8.85546875" style="338" customWidth="1"/>
    <col min="3808" max="3808" width="9.85546875" style="338" customWidth="1"/>
    <col min="3809" max="3809" width="12.140625" style="338" customWidth="1"/>
    <col min="3810" max="3810" width="8.85546875" style="338" customWidth="1"/>
    <col min="3811" max="3811" width="15.85546875" style="338" customWidth="1"/>
    <col min="3812" max="3820" width="8.7109375" style="338"/>
    <col min="3821" max="3821" width="14.5703125" style="338" customWidth="1"/>
    <col min="3822" max="4056" width="8.7109375" style="338"/>
    <col min="4057" max="4057" width="19.140625" style="338" customWidth="1"/>
    <col min="4058" max="4058" width="10.85546875" style="338" customWidth="1"/>
    <col min="4059" max="4063" width="8.85546875" style="338" customWidth="1"/>
    <col min="4064" max="4064" width="9.85546875" style="338" customWidth="1"/>
    <col min="4065" max="4065" width="12.140625" style="338" customWidth="1"/>
    <col min="4066" max="4066" width="8.85546875" style="338" customWidth="1"/>
    <col min="4067" max="4067" width="15.85546875" style="338" customWidth="1"/>
    <col min="4068" max="4076" width="8.7109375" style="338"/>
    <col min="4077" max="4077" width="14.5703125" style="338" customWidth="1"/>
    <col min="4078" max="4312" width="8.7109375" style="338"/>
    <col min="4313" max="4313" width="19.140625" style="338" customWidth="1"/>
    <col min="4314" max="4314" width="10.85546875" style="338" customWidth="1"/>
    <col min="4315" max="4319" width="8.85546875" style="338" customWidth="1"/>
    <col min="4320" max="4320" width="9.85546875" style="338" customWidth="1"/>
    <col min="4321" max="4321" width="12.140625" style="338" customWidth="1"/>
    <col min="4322" max="4322" width="8.85546875" style="338" customWidth="1"/>
    <col min="4323" max="4323" width="15.85546875" style="338" customWidth="1"/>
    <col min="4324" max="4332" width="8.7109375" style="338"/>
    <col min="4333" max="4333" width="14.5703125" style="338" customWidth="1"/>
    <col min="4334" max="4568" width="8.7109375" style="338"/>
    <col min="4569" max="4569" width="19.140625" style="338" customWidth="1"/>
    <col min="4570" max="4570" width="10.85546875" style="338" customWidth="1"/>
    <col min="4571" max="4575" width="8.85546875" style="338" customWidth="1"/>
    <col min="4576" max="4576" width="9.85546875" style="338" customWidth="1"/>
    <col min="4577" max="4577" width="12.140625" style="338" customWidth="1"/>
    <col min="4578" max="4578" width="8.85546875" style="338" customWidth="1"/>
    <col min="4579" max="4579" width="15.85546875" style="338" customWidth="1"/>
    <col min="4580" max="4588" width="8.7109375" style="338"/>
    <col min="4589" max="4589" width="14.5703125" style="338" customWidth="1"/>
    <col min="4590" max="4824" width="8.7109375" style="338"/>
    <col min="4825" max="4825" width="19.140625" style="338" customWidth="1"/>
    <col min="4826" max="4826" width="10.85546875" style="338" customWidth="1"/>
    <col min="4827" max="4831" width="8.85546875" style="338" customWidth="1"/>
    <col min="4832" max="4832" width="9.85546875" style="338" customWidth="1"/>
    <col min="4833" max="4833" width="12.140625" style="338" customWidth="1"/>
    <col min="4834" max="4834" width="8.85546875" style="338" customWidth="1"/>
    <col min="4835" max="4835" width="15.85546875" style="338" customWidth="1"/>
    <col min="4836" max="4844" width="8.7109375" style="338"/>
    <col min="4845" max="4845" width="14.5703125" style="338" customWidth="1"/>
    <col min="4846" max="5080" width="8.7109375" style="338"/>
    <col min="5081" max="5081" width="19.140625" style="338" customWidth="1"/>
    <col min="5082" max="5082" width="10.85546875" style="338" customWidth="1"/>
    <col min="5083" max="5087" width="8.85546875" style="338" customWidth="1"/>
    <col min="5088" max="5088" width="9.85546875" style="338" customWidth="1"/>
    <col min="5089" max="5089" width="12.140625" style="338" customWidth="1"/>
    <col min="5090" max="5090" width="8.85546875" style="338" customWidth="1"/>
    <col min="5091" max="5091" width="15.85546875" style="338" customWidth="1"/>
    <col min="5092" max="5100" width="8.7109375" style="338"/>
    <col min="5101" max="5101" width="14.5703125" style="338" customWidth="1"/>
    <col min="5102" max="5336" width="8.7109375" style="338"/>
    <col min="5337" max="5337" width="19.140625" style="338" customWidth="1"/>
    <col min="5338" max="5338" width="10.85546875" style="338" customWidth="1"/>
    <col min="5339" max="5343" width="8.85546875" style="338" customWidth="1"/>
    <col min="5344" max="5344" width="9.85546875" style="338" customWidth="1"/>
    <col min="5345" max="5345" width="12.140625" style="338" customWidth="1"/>
    <col min="5346" max="5346" width="8.85546875" style="338" customWidth="1"/>
    <col min="5347" max="5347" width="15.85546875" style="338" customWidth="1"/>
    <col min="5348" max="5356" width="8.7109375" style="338"/>
    <col min="5357" max="5357" width="14.5703125" style="338" customWidth="1"/>
    <col min="5358" max="5592" width="8.7109375" style="338"/>
    <col min="5593" max="5593" width="19.140625" style="338" customWidth="1"/>
    <col min="5594" max="5594" width="10.85546875" style="338" customWidth="1"/>
    <col min="5595" max="5599" width="8.85546875" style="338" customWidth="1"/>
    <col min="5600" max="5600" width="9.85546875" style="338" customWidth="1"/>
    <col min="5601" max="5601" width="12.140625" style="338" customWidth="1"/>
    <col min="5602" max="5602" width="8.85546875" style="338" customWidth="1"/>
    <col min="5603" max="5603" width="15.85546875" style="338" customWidth="1"/>
    <col min="5604" max="5612" width="8.7109375" style="338"/>
    <col min="5613" max="5613" width="14.5703125" style="338" customWidth="1"/>
    <col min="5614" max="5848" width="8.7109375" style="338"/>
    <col min="5849" max="5849" width="19.140625" style="338" customWidth="1"/>
    <col min="5850" max="5850" width="10.85546875" style="338" customWidth="1"/>
    <col min="5851" max="5855" width="8.85546875" style="338" customWidth="1"/>
    <col min="5856" max="5856" width="9.85546875" style="338" customWidth="1"/>
    <col min="5857" max="5857" width="12.140625" style="338" customWidth="1"/>
    <col min="5858" max="5858" width="8.85546875" style="338" customWidth="1"/>
    <col min="5859" max="5859" width="15.85546875" style="338" customWidth="1"/>
    <col min="5860" max="5868" width="8.7109375" style="338"/>
    <col min="5869" max="5869" width="14.5703125" style="338" customWidth="1"/>
    <col min="5870" max="6104" width="8.7109375" style="338"/>
    <col min="6105" max="6105" width="19.140625" style="338" customWidth="1"/>
    <col min="6106" max="6106" width="10.85546875" style="338" customWidth="1"/>
    <col min="6107" max="6111" width="8.85546875" style="338" customWidth="1"/>
    <col min="6112" max="6112" width="9.85546875" style="338" customWidth="1"/>
    <col min="6113" max="6113" width="12.140625" style="338" customWidth="1"/>
    <col min="6114" max="6114" width="8.85546875" style="338" customWidth="1"/>
    <col min="6115" max="6115" width="15.85546875" style="338" customWidth="1"/>
    <col min="6116" max="6124" width="8.7109375" style="338"/>
    <col min="6125" max="6125" width="14.5703125" style="338" customWidth="1"/>
    <col min="6126" max="6360" width="8.7109375" style="338"/>
    <col min="6361" max="6361" width="19.140625" style="338" customWidth="1"/>
    <col min="6362" max="6362" width="10.85546875" style="338" customWidth="1"/>
    <col min="6363" max="6367" width="8.85546875" style="338" customWidth="1"/>
    <col min="6368" max="6368" width="9.85546875" style="338" customWidth="1"/>
    <col min="6369" max="6369" width="12.140625" style="338" customWidth="1"/>
    <col min="6370" max="6370" width="8.85546875" style="338" customWidth="1"/>
    <col min="6371" max="6371" width="15.85546875" style="338" customWidth="1"/>
    <col min="6372" max="6380" width="8.7109375" style="338"/>
    <col min="6381" max="6381" width="14.5703125" style="338" customWidth="1"/>
    <col min="6382" max="6616" width="8.7109375" style="338"/>
    <col min="6617" max="6617" width="19.140625" style="338" customWidth="1"/>
    <col min="6618" max="6618" width="10.85546875" style="338" customWidth="1"/>
    <col min="6619" max="6623" width="8.85546875" style="338" customWidth="1"/>
    <col min="6624" max="6624" width="9.85546875" style="338" customWidth="1"/>
    <col min="6625" max="6625" width="12.140625" style="338" customWidth="1"/>
    <col min="6626" max="6626" width="8.85546875" style="338" customWidth="1"/>
    <col min="6627" max="6627" width="15.85546875" style="338" customWidth="1"/>
    <col min="6628" max="6636" width="8.7109375" style="338"/>
    <col min="6637" max="6637" width="14.5703125" style="338" customWidth="1"/>
    <col min="6638" max="6872" width="8.7109375" style="338"/>
    <col min="6873" max="6873" width="19.140625" style="338" customWidth="1"/>
    <col min="6874" max="6874" width="10.85546875" style="338" customWidth="1"/>
    <col min="6875" max="6879" width="8.85546875" style="338" customWidth="1"/>
    <col min="6880" max="6880" width="9.85546875" style="338" customWidth="1"/>
    <col min="6881" max="6881" width="12.140625" style="338" customWidth="1"/>
    <col min="6882" max="6882" width="8.85546875" style="338" customWidth="1"/>
    <col min="6883" max="6883" width="15.85546875" style="338" customWidth="1"/>
    <col min="6884" max="6892" width="8.7109375" style="338"/>
    <col min="6893" max="6893" width="14.5703125" style="338" customWidth="1"/>
    <col min="6894" max="7128" width="8.7109375" style="338"/>
    <col min="7129" max="7129" width="19.140625" style="338" customWidth="1"/>
    <col min="7130" max="7130" width="10.85546875" style="338" customWidth="1"/>
    <col min="7131" max="7135" width="8.85546875" style="338" customWidth="1"/>
    <col min="7136" max="7136" width="9.85546875" style="338" customWidth="1"/>
    <col min="7137" max="7137" width="12.140625" style="338" customWidth="1"/>
    <col min="7138" max="7138" width="8.85546875" style="338" customWidth="1"/>
    <col min="7139" max="7139" width="15.85546875" style="338" customWidth="1"/>
    <col min="7140" max="7148" width="8.7109375" style="338"/>
    <col min="7149" max="7149" width="14.5703125" style="338" customWidth="1"/>
    <col min="7150" max="7384" width="8.7109375" style="338"/>
    <col min="7385" max="7385" width="19.140625" style="338" customWidth="1"/>
    <col min="7386" max="7386" width="10.85546875" style="338" customWidth="1"/>
    <col min="7387" max="7391" width="8.85546875" style="338" customWidth="1"/>
    <col min="7392" max="7392" width="9.85546875" style="338" customWidth="1"/>
    <col min="7393" max="7393" width="12.140625" style="338" customWidth="1"/>
    <col min="7394" max="7394" width="8.85546875" style="338" customWidth="1"/>
    <col min="7395" max="7395" width="15.85546875" style="338" customWidth="1"/>
    <col min="7396" max="7404" width="8.7109375" style="338"/>
    <col min="7405" max="7405" width="14.5703125" style="338" customWidth="1"/>
    <col min="7406" max="7640" width="8.7109375" style="338"/>
    <col min="7641" max="7641" width="19.140625" style="338" customWidth="1"/>
    <col min="7642" max="7642" width="10.85546875" style="338" customWidth="1"/>
    <col min="7643" max="7647" width="8.85546875" style="338" customWidth="1"/>
    <col min="7648" max="7648" width="9.85546875" style="338" customWidth="1"/>
    <col min="7649" max="7649" width="12.140625" style="338" customWidth="1"/>
    <col min="7650" max="7650" width="8.85546875" style="338" customWidth="1"/>
    <col min="7651" max="7651" width="15.85546875" style="338" customWidth="1"/>
    <col min="7652" max="7660" width="8.7109375" style="338"/>
    <col min="7661" max="7661" width="14.5703125" style="338" customWidth="1"/>
    <col min="7662" max="7896" width="8.7109375" style="338"/>
    <col min="7897" max="7897" width="19.140625" style="338" customWidth="1"/>
    <col min="7898" max="7898" width="10.85546875" style="338" customWidth="1"/>
    <col min="7899" max="7903" width="8.85546875" style="338" customWidth="1"/>
    <col min="7904" max="7904" width="9.85546875" style="338" customWidth="1"/>
    <col min="7905" max="7905" width="12.140625" style="338" customWidth="1"/>
    <col min="7906" max="7906" width="8.85546875" style="338" customWidth="1"/>
    <col min="7907" max="7907" width="15.85546875" style="338" customWidth="1"/>
    <col min="7908" max="7916" width="8.7109375" style="338"/>
    <col min="7917" max="7917" width="14.5703125" style="338" customWidth="1"/>
    <col min="7918" max="8152" width="8.7109375" style="338"/>
    <col min="8153" max="8153" width="19.140625" style="338" customWidth="1"/>
    <col min="8154" max="8154" width="10.85546875" style="338" customWidth="1"/>
    <col min="8155" max="8159" width="8.85546875" style="338" customWidth="1"/>
    <col min="8160" max="8160" width="9.85546875" style="338" customWidth="1"/>
    <col min="8161" max="8161" width="12.140625" style="338" customWidth="1"/>
    <col min="8162" max="8162" width="8.85546875" style="338" customWidth="1"/>
    <col min="8163" max="8163" width="15.85546875" style="338" customWidth="1"/>
    <col min="8164" max="8172" width="8.7109375" style="338"/>
    <col min="8173" max="8173" width="14.5703125" style="338" customWidth="1"/>
    <col min="8174" max="8408" width="8.7109375" style="338"/>
    <col min="8409" max="8409" width="19.140625" style="338" customWidth="1"/>
    <col min="8410" max="8410" width="10.85546875" style="338" customWidth="1"/>
    <col min="8411" max="8415" width="8.85546875" style="338" customWidth="1"/>
    <col min="8416" max="8416" width="9.85546875" style="338" customWidth="1"/>
    <col min="8417" max="8417" width="12.140625" style="338" customWidth="1"/>
    <col min="8418" max="8418" width="8.85546875" style="338" customWidth="1"/>
    <col min="8419" max="8419" width="15.85546875" style="338" customWidth="1"/>
    <col min="8420" max="8428" width="8.7109375" style="338"/>
    <col min="8429" max="8429" width="14.5703125" style="338" customWidth="1"/>
    <col min="8430" max="8664" width="8.7109375" style="338"/>
    <col min="8665" max="8665" width="19.140625" style="338" customWidth="1"/>
    <col min="8666" max="8666" width="10.85546875" style="338" customWidth="1"/>
    <col min="8667" max="8671" width="8.85546875" style="338" customWidth="1"/>
    <col min="8672" max="8672" width="9.85546875" style="338" customWidth="1"/>
    <col min="8673" max="8673" width="12.140625" style="338" customWidth="1"/>
    <col min="8674" max="8674" width="8.85546875" style="338" customWidth="1"/>
    <col min="8675" max="8675" width="15.85546875" style="338" customWidth="1"/>
    <col min="8676" max="8684" width="8.7109375" style="338"/>
    <col min="8685" max="8685" width="14.5703125" style="338" customWidth="1"/>
    <col min="8686" max="8920" width="8.7109375" style="338"/>
    <col min="8921" max="8921" width="19.140625" style="338" customWidth="1"/>
    <col min="8922" max="8922" width="10.85546875" style="338" customWidth="1"/>
    <col min="8923" max="8927" width="8.85546875" style="338" customWidth="1"/>
    <col min="8928" max="8928" width="9.85546875" style="338" customWidth="1"/>
    <col min="8929" max="8929" width="12.140625" style="338" customWidth="1"/>
    <col min="8930" max="8930" width="8.85546875" style="338" customWidth="1"/>
    <col min="8931" max="8931" width="15.85546875" style="338" customWidth="1"/>
    <col min="8932" max="8940" width="8.7109375" style="338"/>
    <col min="8941" max="8941" width="14.5703125" style="338" customWidth="1"/>
    <col min="8942" max="9176" width="8.7109375" style="338"/>
    <col min="9177" max="9177" width="19.140625" style="338" customWidth="1"/>
    <col min="9178" max="9178" width="10.85546875" style="338" customWidth="1"/>
    <col min="9179" max="9183" width="8.85546875" style="338" customWidth="1"/>
    <col min="9184" max="9184" width="9.85546875" style="338" customWidth="1"/>
    <col min="9185" max="9185" width="12.140625" style="338" customWidth="1"/>
    <col min="9186" max="9186" width="8.85546875" style="338" customWidth="1"/>
    <col min="9187" max="9187" width="15.85546875" style="338" customWidth="1"/>
    <col min="9188" max="9196" width="8.7109375" style="338"/>
    <col min="9197" max="9197" width="14.5703125" style="338" customWidth="1"/>
    <col min="9198" max="9432" width="8.7109375" style="338"/>
    <col min="9433" max="9433" width="19.140625" style="338" customWidth="1"/>
    <col min="9434" max="9434" width="10.85546875" style="338" customWidth="1"/>
    <col min="9435" max="9439" width="8.85546875" style="338" customWidth="1"/>
    <col min="9440" max="9440" width="9.85546875" style="338" customWidth="1"/>
    <col min="9441" max="9441" width="12.140625" style="338" customWidth="1"/>
    <col min="9442" max="9442" width="8.85546875" style="338" customWidth="1"/>
    <col min="9443" max="9443" width="15.85546875" style="338" customWidth="1"/>
    <col min="9444" max="9452" width="8.7109375" style="338"/>
    <col min="9453" max="9453" width="14.5703125" style="338" customWidth="1"/>
    <col min="9454" max="9688" width="8.7109375" style="338"/>
    <col min="9689" max="9689" width="19.140625" style="338" customWidth="1"/>
    <col min="9690" max="9690" width="10.85546875" style="338" customWidth="1"/>
    <col min="9691" max="9695" width="8.85546875" style="338" customWidth="1"/>
    <col min="9696" max="9696" width="9.85546875" style="338" customWidth="1"/>
    <col min="9697" max="9697" width="12.140625" style="338" customWidth="1"/>
    <col min="9698" max="9698" width="8.85546875" style="338" customWidth="1"/>
    <col min="9699" max="9699" width="15.85546875" style="338" customWidth="1"/>
    <col min="9700" max="9708" width="8.7109375" style="338"/>
    <col min="9709" max="9709" width="14.5703125" style="338" customWidth="1"/>
    <col min="9710" max="9944" width="8.7109375" style="338"/>
    <col min="9945" max="9945" width="19.140625" style="338" customWidth="1"/>
    <col min="9946" max="9946" width="10.85546875" style="338" customWidth="1"/>
    <col min="9947" max="9951" width="8.85546875" style="338" customWidth="1"/>
    <col min="9952" max="9952" width="9.85546875" style="338" customWidth="1"/>
    <col min="9953" max="9953" width="12.140625" style="338" customWidth="1"/>
    <col min="9954" max="9954" width="8.85546875" style="338" customWidth="1"/>
    <col min="9955" max="9955" width="15.85546875" style="338" customWidth="1"/>
    <col min="9956" max="9964" width="8.7109375" style="338"/>
    <col min="9965" max="9965" width="14.5703125" style="338" customWidth="1"/>
    <col min="9966" max="10200" width="8.7109375" style="338"/>
    <col min="10201" max="10201" width="19.140625" style="338" customWidth="1"/>
    <col min="10202" max="10202" width="10.85546875" style="338" customWidth="1"/>
    <col min="10203" max="10207" width="8.85546875" style="338" customWidth="1"/>
    <col min="10208" max="10208" width="9.85546875" style="338" customWidth="1"/>
    <col min="10209" max="10209" width="12.140625" style="338" customWidth="1"/>
    <col min="10210" max="10210" width="8.85546875" style="338" customWidth="1"/>
    <col min="10211" max="10211" width="15.85546875" style="338" customWidth="1"/>
    <col min="10212" max="10220" width="8.7109375" style="338"/>
    <col min="10221" max="10221" width="14.5703125" style="338" customWidth="1"/>
    <col min="10222" max="10456" width="8.7109375" style="338"/>
    <col min="10457" max="10457" width="19.140625" style="338" customWidth="1"/>
    <col min="10458" max="10458" width="10.85546875" style="338" customWidth="1"/>
    <col min="10459" max="10463" width="8.85546875" style="338" customWidth="1"/>
    <col min="10464" max="10464" width="9.85546875" style="338" customWidth="1"/>
    <col min="10465" max="10465" width="12.140625" style="338" customWidth="1"/>
    <col min="10466" max="10466" width="8.85546875" style="338" customWidth="1"/>
    <col min="10467" max="10467" width="15.85546875" style="338" customWidth="1"/>
    <col min="10468" max="10476" width="8.7109375" style="338"/>
    <col min="10477" max="10477" width="14.5703125" style="338" customWidth="1"/>
    <col min="10478" max="10712" width="8.7109375" style="338"/>
    <col min="10713" max="10713" width="19.140625" style="338" customWidth="1"/>
    <col min="10714" max="10714" width="10.85546875" style="338" customWidth="1"/>
    <col min="10715" max="10719" width="8.85546875" style="338" customWidth="1"/>
    <col min="10720" max="10720" width="9.85546875" style="338" customWidth="1"/>
    <col min="10721" max="10721" width="12.140625" style="338" customWidth="1"/>
    <col min="10722" max="10722" width="8.85546875" style="338" customWidth="1"/>
    <col min="10723" max="10723" width="15.85546875" style="338" customWidth="1"/>
    <col min="10724" max="10732" width="8.7109375" style="338"/>
    <col min="10733" max="10733" width="14.5703125" style="338" customWidth="1"/>
    <col min="10734" max="10968" width="8.7109375" style="338"/>
    <col min="10969" max="10969" width="19.140625" style="338" customWidth="1"/>
    <col min="10970" max="10970" width="10.85546875" style="338" customWidth="1"/>
    <col min="10971" max="10975" width="8.85546875" style="338" customWidth="1"/>
    <col min="10976" max="10976" width="9.85546875" style="338" customWidth="1"/>
    <col min="10977" max="10977" width="12.140625" style="338" customWidth="1"/>
    <col min="10978" max="10978" width="8.85546875" style="338" customWidth="1"/>
    <col min="10979" max="10979" width="15.85546875" style="338" customWidth="1"/>
    <col min="10980" max="10988" width="8.7109375" style="338"/>
    <col min="10989" max="10989" width="14.5703125" style="338" customWidth="1"/>
    <col min="10990" max="11224" width="8.7109375" style="338"/>
    <col min="11225" max="11225" width="19.140625" style="338" customWidth="1"/>
    <col min="11226" max="11226" width="10.85546875" style="338" customWidth="1"/>
    <col min="11227" max="11231" width="8.85546875" style="338" customWidth="1"/>
    <col min="11232" max="11232" width="9.85546875" style="338" customWidth="1"/>
    <col min="11233" max="11233" width="12.140625" style="338" customWidth="1"/>
    <col min="11234" max="11234" width="8.85546875" style="338" customWidth="1"/>
    <col min="11235" max="11235" width="15.85546875" style="338" customWidth="1"/>
    <col min="11236" max="11244" width="8.7109375" style="338"/>
    <col min="11245" max="11245" width="14.5703125" style="338" customWidth="1"/>
    <col min="11246" max="11480" width="8.7109375" style="338"/>
    <col min="11481" max="11481" width="19.140625" style="338" customWidth="1"/>
    <col min="11482" max="11482" width="10.85546875" style="338" customWidth="1"/>
    <col min="11483" max="11487" width="8.85546875" style="338" customWidth="1"/>
    <col min="11488" max="11488" width="9.85546875" style="338" customWidth="1"/>
    <col min="11489" max="11489" width="12.140625" style="338" customWidth="1"/>
    <col min="11490" max="11490" width="8.85546875" style="338" customWidth="1"/>
    <col min="11491" max="11491" width="15.85546875" style="338" customWidth="1"/>
    <col min="11492" max="11500" width="8.7109375" style="338"/>
    <col min="11501" max="11501" width="14.5703125" style="338" customWidth="1"/>
    <col min="11502" max="11736" width="8.7109375" style="338"/>
    <col min="11737" max="11737" width="19.140625" style="338" customWidth="1"/>
    <col min="11738" max="11738" width="10.85546875" style="338" customWidth="1"/>
    <col min="11739" max="11743" width="8.85546875" style="338" customWidth="1"/>
    <col min="11744" max="11744" width="9.85546875" style="338" customWidth="1"/>
    <col min="11745" max="11745" width="12.140625" style="338" customWidth="1"/>
    <col min="11746" max="11746" width="8.85546875" style="338" customWidth="1"/>
    <col min="11747" max="11747" width="15.85546875" style="338" customWidth="1"/>
    <col min="11748" max="11756" width="8.7109375" style="338"/>
    <col min="11757" max="11757" width="14.5703125" style="338" customWidth="1"/>
    <col min="11758" max="11992" width="8.7109375" style="338"/>
    <col min="11993" max="11993" width="19.140625" style="338" customWidth="1"/>
    <col min="11994" max="11994" width="10.85546875" style="338" customWidth="1"/>
    <col min="11995" max="11999" width="8.85546875" style="338" customWidth="1"/>
    <col min="12000" max="12000" width="9.85546875" style="338" customWidth="1"/>
    <col min="12001" max="12001" width="12.140625" style="338" customWidth="1"/>
    <col min="12002" max="12002" width="8.85546875" style="338" customWidth="1"/>
    <col min="12003" max="12003" width="15.85546875" style="338" customWidth="1"/>
    <col min="12004" max="12012" width="8.7109375" style="338"/>
    <col min="12013" max="12013" width="14.5703125" style="338" customWidth="1"/>
    <col min="12014" max="12248" width="8.7109375" style="338"/>
    <col min="12249" max="12249" width="19.140625" style="338" customWidth="1"/>
    <col min="12250" max="12250" width="10.85546875" style="338" customWidth="1"/>
    <col min="12251" max="12255" width="8.85546875" style="338" customWidth="1"/>
    <col min="12256" max="12256" width="9.85546875" style="338" customWidth="1"/>
    <col min="12257" max="12257" width="12.140625" style="338" customWidth="1"/>
    <col min="12258" max="12258" width="8.85546875" style="338" customWidth="1"/>
    <col min="12259" max="12259" width="15.85546875" style="338" customWidth="1"/>
    <col min="12260" max="12268" width="8.7109375" style="338"/>
    <col min="12269" max="12269" width="14.5703125" style="338" customWidth="1"/>
    <col min="12270" max="12504" width="8.7109375" style="338"/>
    <col min="12505" max="12505" width="19.140625" style="338" customWidth="1"/>
    <col min="12506" max="12506" width="10.85546875" style="338" customWidth="1"/>
    <col min="12507" max="12511" width="8.85546875" style="338" customWidth="1"/>
    <col min="12512" max="12512" width="9.85546875" style="338" customWidth="1"/>
    <col min="12513" max="12513" width="12.140625" style="338" customWidth="1"/>
    <col min="12514" max="12514" width="8.85546875" style="338" customWidth="1"/>
    <col min="12515" max="12515" width="15.85546875" style="338" customWidth="1"/>
    <col min="12516" max="12524" width="8.7109375" style="338"/>
    <col min="12525" max="12525" width="14.5703125" style="338" customWidth="1"/>
    <col min="12526" max="12760" width="8.7109375" style="338"/>
    <col min="12761" max="12761" width="19.140625" style="338" customWidth="1"/>
    <col min="12762" max="12762" width="10.85546875" style="338" customWidth="1"/>
    <col min="12763" max="12767" width="8.85546875" style="338" customWidth="1"/>
    <col min="12768" max="12768" width="9.85546875" style="338" customWidth="1"/>
    <col min="12769" max="12769" width="12.140625" style="338" customWidth="1"/>
    <col min="12770" max="12770" width="8.85546875" style="338" customWidth="1"/>
    <col min="12771" max="12771" width="15.85546875" style="338" customWidth="1"/>
    <col min="12772" max="12780" width="8.7109375" style="338"/>
    <col min="12781" max="12781" width="14.5703125" style="338" customWidth="1"/>
    <col min="12782" max="13016" width="8.7109375" style="338"/>
    <col min="13017" max="13017" width="19.140625" style="338" customWidth="1"/>
    <col min="13018" max="13018" width="10.85546875" style="338" customWidth="1"/>
    <col min="13019" max="13023" width="8.85546875" style="338" customWidth="1"/>
    <col min="13024" max="13024" width="9.85546875" style="338" customWidth="1"/>
    <col min="13025" max="13025" width="12.140625" style="338" customWidth="1"/>
    <col min="13026" max="13026" width="8.85546875" style="338" customWidth="1"/>
    <col min="13027" max="13027" width="15.85546875" style="338" customWidth="1"/>
    <col min="13028" max="13036" width="8.7109375" style="338"/>
    <col min="13037" max="13037" width="14.5703125" style="338" customWidth="1"/>
    <col min="13038" max="13272" width="8.7109375" style="338"/>
    <col min="13273" max="13273" width="19.140625" style="338" customWidth="1"/>
    <col min="13274" max="13274" width="10.85546875" style="338" customWidth="1"/>
    <col min="13275" max="13279" width="8.85546875" style="338" customWidth="1"/>
    <col min="13280" max="13280" width="9.85546875" style="338" customWidth="1"/>
    <col min="13281" max="13281" width="12.140625" style="338" customWidth="1"/>
    <col min="13282" max="13282" width="8.85546875" style="338" customWidth="1"/>
    <col min="13283" max="13283" width="15.85546875" style="338" customWidth="1"/>
    <col min="13284" max="13292" width="8.7109375" style="338"/>
    <col min="13293" max="13293" width="14.5703125" style="338" customWidth="1"/>
    <col min="13294" max="13528" width="8.7109375" style="338"/>
    <col min="13529" max="13529" width="19.140625" style="338" customWidth="1"/>
    <col min="13530" max="13530" width="10.85546875" style="338" customWidth="1"/>
    <col min="13531" max="13535" width="8.85546875" style="338" customWidth="1"/>
    <col min="13536" max="13536" width="9.85546875" style="338" customWidth="1"/>
    <col min="13537" max="13537" width="12.140625" style="338" customWidth="1"/>
    <col min="13538" max="13538" width="8.85546875" style="338" customWidth="1"/>
    <col min="13539" max="13539" width="15.85546875" style="338" customWidth="1"/>
    <col min="13540" max="13548" width="8.7109375" style="338"/>
    <col min="13549" max="13549" width="14.5703125" style="338" customWidth="1"/>
    <col min="13550" max="13784" width="8.7109375" style="338"/>
    <col min="13785" max="13785" width="19.140625" style="338" customWidth="1"/>
    <col min="13786" max="13786" width="10.85546875" style="338" customWidth="1"/>
    <col min="13787" max="13791" width="8.85546875" style="338" customWidth="1"/>
    <col min="13792" max="13792" width="9.85546875" style="338" customWidth="1"/>
    <col min="13793" max="13793" width="12.140625" style="338" customWidth="1"/>
    <col min="13794" max="13794" width="8.85546875" style="338" customWidth="1"/>
    <col min="13795" max="13795" width="15.85546875" style="338" customWidth="1"/>
    <col min="13796" max="13804" width="8.7109375" style="338"/>
    <col min="13805" max="13805" width="14.5703125" style="338" customWidth="1"/>
    <col min="13806" max="14040" width="8.7109375" style="338"/>
    <col min="14041" max="14041" width="19.140625" style="338" customWidth="1"/>
    <col min="14042" max="14042" width="10.85546875" style="338" customWidth="1"/>
    <col min="14043" max="14047" width="8.85546875" style="338" customWidth="1"/>
    <col min="14048" max="14048" width="9.85546875" style="338" customWidth="1"/>
    <col min="14049" max="14049" width="12.140625" style="338" customWidth="1"/>
    <col min="14050" max="14050" width="8.85546875" style="338" customWidth="1"/>
    <col min="14051" max="14051" width="15.85546875" style="338" customWidth="1"/>
    <col min="14052" max="14060" width="8.7109375" style="338"/>
    <col min="14061" max="14061" width="14.5703125" style="338" customWidth="1"/>
    <col min="14062" max="14296" width="8.7109375" style="338"/>
    <col min="14297" max="14297" width="19.140625" style="338" customWidth="1"/>
    <col min="14298" max="14298" width="10.85546875" style="338" customWidth="1"/>
    <col min="14299" max="14303" width="8.85546875" style="338" customWidth="1"/>
    <col min="14304" max="14304" width="9.85546875" style="338" customWidth="1"/>
    <col min="14305" max="14305" width="12.140625" style="338" customWidth="1"/>
    <col min="14306" max="14306" width="8.85546875" style="338" customWidth="1"/>
    <col min="14307" max="14307" width="15.85546875" style="338" customWidth="1"/>
    <col min="14308" max="14316" width="8.7109375" style="338"/>
    <col min="14317" max="14317" width="14.5703125" style="338" customWidth="1"/>
    <col min="14318" max="14552" width="8.7109375" style="338"/>
    <col min="14553" max="14553" width="19.140625" style="338" customWidth="1"/>
    <col min="14554" max="14554" width="10.85546875" style="338" customWidth="1"/>
    <col min="14555" max="14559" width="8.85546875" style="338" customWidth="1"/>
    <col min="14560" max="14560" width="9.85546875" style="338" customWidth="1"/>
    <col min="14561" max="14561" width="12.140625" style="338" customWidth="1"/>
    <col min="14562" max="14562" width="8.85546875" style="338" customWidth="1"/>
    <col min="14563" max="14563" width="15.85546875" style="338" customWidth="1"/>
    <col min="14564" max="14572" width="8.7109375" style="338"/>
    <col min="14573" max="14573" width="14.5703125" style="338" customWidth="1"/>
    <col min="14574" max="14808" width="8.7109375" style="338"/>
    <col min="14809" max="14809" width="19.140625" style="338" customWidth="1"/>
    <col min="14810" max="14810" width="10.85546875" style="338" customWidth="1"/>
    <col min="14811" max="14815" width="8.85546875" style="338" customWidth="1"/>
    <col min="14816" max="14816" width="9.85546875" style="338" customWidth="1"/>
    <col min="14817" max="14817" width="12.140625" style="338" customWidth="1"/>
    <col min="14818" max="14818" width="8.85546875" style="338" customWidth="1"/>
    <col min="14819" max="14819" width="15.85546875" style="338" customWidth="1"/>
    <col min="14820" max="14828" width="8.7109375" style="338"/>
    <col min="14829" max="14829" width="14.5703125" style="338" customWidth="1"/>
    <col min="14830" max="15064" width="8.7109375" style="338"/>
    <col min="15065" max="15065" width="19.140625" style="338" customWidth="1"/>
    <col min="15066" max="15066" width="10.85546875" style="338" customWidth="1"/>
    <col min="15067" max="15071" width="8.85546875" style="338" customWidth="1"/>
    <col min="15072" max="15072" width="9.85546875" style="338" customWidth="1"/>
    <col min="15073" max="15073" width="12.140625" style="338" customWidth="1"/>
    <col min="15074" max="15074" width="8.85546875" style="338" customWidth="1"/>
    <col min="15075" max="15075" width="15.85546875" style="338" customWidth="1"/>
    <col min="15076" max="15084" width="8.7109375" style="338"/>
    <col min="15085" max="15085" width="14.5703125" style="338" customWidth="1"/>
    <col min="15086" max="15320" width="8.7109375" style="338"/>
    <col min="15321" max="15321" width="19.140625" style="338" customWidth="1"/>
    <col min="15322" max="15322" width="10.85546875" style="338" customWidth="1"/>
    <col min="15323" max="15327" width="8.85546875" style="338" customWidth="1"/>
    <col min="15328" max="15328" width="9.85546875" style="338" customWidth="1"/>
    <col min="15329" max="15329" width="12.140625" style="338" customWidth="1"/>
    <col min="15330" max="15330" width="8.85546875" style="338" customWidth="1"/>
    <col min="15331" max="15331" width="15.85546875" style="338" customWidth="1"/>
    <col min="15332" max="15340" width="8.7109375" style="338"/>
    <col min="15341" max="15341" width="14.5703125" style="338" customWidth="1"/>
    <col min="15342" max="15576" width="8.7109375" style="338"/>
    <col min="15577" max="15577" width="19.140625" style="338" customWidth="1"/>
    <col min="15578" max="15578" width="10.85546875" style="338" customWidth="1"/>
    <col min="15579" max="15583" width="8.85546875" style="338" customWidth="1"/>
    <col min="15584" max="15584" width="9.85546875" style="338" customWidth="1"/>
    <col min="15585" max="15585" width="12.140625" style="338" customWidth="1"/>
    <col min="15586" max="15586" width="8.85546875" style="338" customWidth="1"/>
    <col min="15587" max="15587" width="15.85546875" style="338" customWidth="1"/>
    <col min="15588" max="15596" width="8.7109375" style="338"/>
    <col min="15597" max="15597" width="14.5703125" style="338" customWidth="1"/>
    <col min="15598" max="15832" width="8.7109375" style="338"/>
    <col min="15833" max="15833" width="19.140625" style="338" customWidth="1"/>
    <col min="15834" max="15834" width="10.85546875" style="338" customWidth="1"/>
    <col min="15835" max="15839" width="8.85546875" style="338" customWidth="1"/>
    <col min="15840" max="15840" width="9.85546875" style="338" customWidth="1"/>
    <col min="15841" max="15841" width="12.140625" style="338" customWidth="1"/>
    <col min="15842" max="15842" width="8.85546875" style="338" customWidth="1"/>
    <col min="15843" max="15843" width="15.85546875" style="338" customWidth="1"/>
    <col min="15844" max="15852" width="8.7109375" style="338"/>
    <col min="15853" max="15853" width="14.5703125" style="338" customWidth="1"/>
    <col min="15854" max="16088" width="8.7109375" style="338"/>
    <col min="16089" max="16089" width="19.140625" style="338" customWidth="1"/>
    <col min="16090" max="16090" width="10.85546875" style="338" customWidth="1"/>
    <col min="16091" max="16095" width="8.85546875" style="338" customWidth="1"/>
    <col min="16096" max="16096" width="9.85546875" style="338" customWidth="1"/>
    <col min="16097" max="16097" width="12.140625" style="338" customWidth="1"/>
    <col min="16098" max="16098" width="8.85546875" style="338" customWidth="1"/>
    <col min="16099" max="16099" width="15.85546875" style="338" customWidth="1"/>
    <col min="16100" max="16108" width="8.7109375" style="338"/>
    <col min="16109" max="16109" width="14.5703125" style="338" customWidth="1"/>
    <col min="16110" max="16344" width="8.7109375" style="338"/>
    <col min="16345" max="16384" width="9.140625" style="338" customWidth="1"/>
  </cols>
  <sheetData>
    <row r="1" spans="1:210" x14ac:dyDescent="0.2">
      <c r="A1" s="624" t="s">
        <v>23</v>
      </c>
      <c r="B1" s="624"/>
      <c r="C1" s="624"/>
      <c r="D1" s="624"/>
      <c r="E1" s="624"/>
      <c r="F1" s="624"/>
      <c r="G1" s="624"/>
      <c r="H1" s="624"/>
      <c r="I1" s="624"/>
      <c r="J1" s="624"/>
      <c r="BS1" s="624"/>
      <c r="BT1" s="624"/>
      <c r="BU1" s="624"/>
      <c r="BV1" s="624"/>
      <c r="BW1" s="624"/>
      <c r="BX1" s="624"/>
      <c r="BY1" s="624"/>
      <c r="BZ1" s="624"/>
      <c r="CA1" s="624"/>
      <c r="CB1" s="624"/>
      <c r="CC1" s="634"/>
      <c r="CD1" s="634"/>
      <c r="CE1" s="634"/>
      <c r="CF1" s="634"/>
      <c r="CG1" s="634"/>
      <c r="CH1" s="634"/>
      <c r="CI1" s="634"/>
      <c r="CJ1" s="634"/>
      <c r="CK1" s="634"/>
      <c r="CL1" s="634"/>
      <c r="CM1" s="633"/>
      <c r="CN1" s="633"/>
      <c r="CO1" s="633"/>
      <c r="CP1" s="633"/>
      <c r="CQ1" s="633"/>
      <c r="CR1" s="633"/>
      <c r="CS1" s="633"/>
      <c r="CT1" s="633"/>
      <c r="CU1" s="633"/>
      <c r="CV1" s="633"/>
      <c r="FY1" s="624"/>
      <c r="FZ1" s="624"/>
      <c r="GA1" s="624"/>
      <c r="GB1" s="624"/>
      <c r="GC1" s="624"/>
      <c r="GD1" s="624"/>
      <c r="GE1" s="624"/>
      <c r="GF1" s="624"/>
      <c r="GG1" s="624"/>
      <c r="GH1" s="624"/>
      <c r="GI1" s="634"/>
      <c r="GJ1" s="634"/>
      <c r="GK1" s="634"/>
      <c r="GL1" s="634"/>
      <c r="GM1" s="634"/>
      <c r="GN1" s="634"/>
      <c r="GO1" s="634"/>
      <c r="GP1" s="634"/>
      <c r="GQ1" s="634"/>
      <c r="GR1" s="634"/>
      <c r="GS1" s="633"/>
      <c r="GT1" s="633"/>
      <c r="GU1" s="633"/>
      <c r="GV1" s="633"/>
      <c r="GW1" s="633"/>
      <c r="GX1" s="633"/>
      <c r="GY1" s="633"/>
      <c r="GZ1" s="633"/>
      <c r="HA1" s="633"/>
      <c r="HB1" s="633"/>
    </row>
    <row r="2" spans="1:210" x14ac:dyDescent="0.2">
      <c r="A2" s="624" t="s">
        <v>91</v>
      </c>
      <c r="B2" s="624"/>
      <c r="C2" s="624"/>
      <c r="D2" s="624"/>
      <c r="E2" s="624"/>
      <c r="F2" s="624"/>
      <c r="G2" s="624"/>
      <c r="H2" s="624"/>
      <c r="I2" s="624"/>
      <c r="J2" s="624"/>
      <c r="BS2" s="624"/>
      <c r="BT2" s="624"/>
      <c r="BU2" s="624"/>
      <c r="BV2" s="624"/>
      <c r="BW2" s="624"/>
      <c r="BX2" s="624"/>
      <c r="BY2" s="624"/>
      <c r="BZ2" s="624"/>
      <c r="CA2" s="624"/>
      <c r="CB2" s="624"/>
      <c r="CC2" s="634"/>
      <c r="CD2" s="634"/>
      <c r="CE2" s="634"/>
      <c r="CF2" s="634"/>
      <c r="CG2" s="634"/>
      <c r="CH2" s="634"/>
      <c r="CI2" s="634"/>
      <c r="CJ2" s="634"/>
      <c r="CK2" s="634"/>
      <c r="CL2" s="634"/>
      <c r="CM2" s="633"/>
      <c r="CN2" s="633"/>
      <c r="CO2" s="633"/>
      <c r="CP2" s="633"/>
      <c r="CQ2" s="633"/>
      <c r="CR2" s="633"/>
      <c r="CS2" s="633"/>
      <c r="CT2" s="633"/>
      <c r="CU2" s="633"/>
      <c r="CV2" s="633"/>
      <c r="FY2" s="624"/>
      <c r="FZ2" s="624"/>
      <c r="GA2" s="624"/>
      <c r="GB2" s="624"/>
      <c r="GC2" s="624"/>
      <c r="GD2" s="624"/>
      <c r="GE2" s="624"/>
      <c r="GF2" s="624"/>
      <c r="GG2" s="624"/>
      <c r="GH2" s="624"/>
      <c r="GI2" s="634"/>
      <c r="GJ2" s="634"/>
      <c r="GK2" s="634"/>
      <c r="GL2" s="634"/>
      <c r="GM2" s="634"/>
      <c r="GN2" s="634"/>
      <c r="GO2" s="634"/>
      <c r="GP2" s="634"/>
      <c r="GQ2" s="634"/>
      <c r="GR2" s="634"/>
      <c r="GS2" s="633"/>
      <c r="GT2" s="633"/>
      <c r="GU2" s="633"/>
      <c r="GV2" s="633"/>
      <c r="GW2" s="633"/>
      <c r="GX2" s="633"/>
      <c r="GY2" s="633"/>
      <c r="GZ2" s="633"/>
      <c r="HA2" s="633"/>
      <c r="HB2" s="633"/>
    </row>
    <row r="3" spans="1:210" ht="12.75" x14ac:dyDescent="0.2">
      <c r="A3" s="625" t="s">
        <v>157</v>
      </c>
      <c r="B3" s="625"/>
      <c r="C3" s="625"/>
      <c r="D3" s="625"/>
      <c r="E3" s="625"/>
      <c r="F3" s="625"/>
      <c r="G3" s="625"/>
      <c r="H3" s="625"/>
      <c r="I3" s="625"/>
      <c r="J3" s="625"/>
      <c r="BS3" s="631"/>
      <c r="BT3" s="631"/>
      <c r="BU3" s="631"/>
      <c r="BV3" s="631"/>
      <c r="BW3" s="631"/>
      <c r="BX3" s="631"/>
      <c r="BY3" s="631"/>
      <c r="BZ3" s="631"/>
      <c r="CA3" s="631"/>
      <c r="CB3" s="631"/>
      <c r="CC3" s="632"/>
      <c r="CD3" s="632"/>
      <c r="CE3" s="632"/>
      <c r="CF3" s="632"/>
      <c r="CG3" s="632"/>
      <c r="CH3" s="632"/>
      <c r="CI3" s="632"/>
      <c r="CJ3" s="632"/>
      <c r="CK3" s="632"/>
      <c r="CL3" s="632"/>
      <c r="CM3" s="627"/>
      <c r="CN3" s="627"/>
      <c r="CO3" s="627"/>
      <c r="CP3" s="627"/>
      <c r="CQ3" s="627"/>
      <c r="CR3" s="627"/>
      <c r="CS3" s="627"/>
      <c r="CT3" s="627"/>
      <c r="CU3" s="627"/>
      <c r="CV3" s="627"/>
      <c r="FY3" s="631"/>
      <c r="FZ3" s="631"/>
      <c r="GA3" s="631"/>
      <c r="GB3" s="631"/>
      <c r="GC3" s="631"/>
      <c r="GD3" s="631"/>
      <c r="GE3" s="631"/>
      <c r="GF3" s="631"/>
      <c r="GG3" s="631"/>
      <c r="GH3" s="631"/>
      <c r="GI3" s="632"/>
      <c r="GJ3" s="632"/>
      <c r="GK3" s="632"/>
      <c r="GL3" s="632"/>
      <c r="GM3" s="632"/>
      <c r="GN3" s="632"/>
      <c r="GO3" s="632"/>
      <c r="GP3" s="632"/>
      <c r="GQ3" s="632"/>
      <c r="GR3" s="632"/>
      <c r="GS3" s="627"/>
      <c r="GT3" s="627"/>
      <c r="GU3" s="627"/>
      <c r="GV3" s="627"/>
      <c r="GW3" s="627"/>
      <c r="GX3" s="627"/>
      <c r="GY3" s="627"/>
      <c r="GZ3" s="627"/>
      <c r="HA3" s="627"/>
      <c r="HB3" s="627"/>
    </row>
    <row r="4" spans="1:210" ht="12.75" x14ac:dyDescent="0.2">
      <c r="A4" s="625" t="s">
        <v>152</v>
      </c>
      <c r="B4" s="625"/>
      <c r="C4" s="625"/>
      <c r="D4" s="625"/>
      <c r="E4" s="625"/>
      <c r="F4" s="625"/>
      <c r="G4" s="625"/>
      <c r="H4" s="625"/>
      <c r="I4" s="625"/>
      <c r="J4" s="625"/>
      <c r="BS4" s="399"/>
      <c r="BT4" s="399"/>
      <c r="BU4" s="399"/>
      <c r="BV4" s="399"/>
      <c r="BW4" s="399"/>
      <c r="BX4" s="399"/>
      <c r="BY4" s="399"/>
      <c r="BZ4" s="399"/>
      <c r="CA4" s="399"/>
      <c r="CB4" s="399"/>
      <c r="CC4" s="400"/>
      <c r="CD4" s="400"/>
      <c r="CE4" s="400"/>
      <c r="CF4" s="400"/>
      <c r="CG4" s="400"/>
      <c r="CH4" s="400"/>
      <c r="CI4" s="400"/>
      <c r="CJ4" s="400"/>
      <c r="CK4" s="400"/>
      <c r="CL4" s="400"/>
      <c r="CM4" s="401"/>
      <c r="CN4" s="401"/>
      <c r="CO4" s="401"/>
      <c r="CP4" s="401"/>
      <c r="CQ4" s="401"/>
      <c r="CR4" s="401"/>
      <c r="CS4" s="401"/>
      <c r="CT4" s="401"/>
      <c r="CU4" s="401"/>
      <c r="CV4" s="401"/>
      <c r="FY4" s="399"/>
      <c r="FZ4" s="399"/>
      <c r="GA4" s="399"/>
      <c r="GB4" s="399"/>
      <c r="GC4" s="399"/>
      <c r="GD4" s="399"/>
      <c r="GE4" s="399"/>
      <c r="GF4" s="399"/>
      <c r="GG4" s="399"/>
      <c r="GH4" s="399"/>
      <c r="GI4" s="400"/>
      <c r="GJ4" s="400"/>
      <c r="GK4" s="400"/>
      <c r="GL4" s="400"/>
      <c r="GM4" s="400"/>
      <c r="GN4" s="400"/>
      <c r="GO4" s="400"/>
      <c r="GP4" s="400"/>
      <c r="GQ4" s="400"/>
      <c r="GR4" s="400"/>
      <c r="GS4" s="401"/>
      <c r="GT4" s="401"/>
      <c r="GU4" s="401"/>
      <c r="GV4" s="401"/>
      <c r="GW4" s="401"/>
      <c r="GX4" s="401"/>
      <c r="GY4" s="401"/>
      <c r="GZ4" s="401"/>
      <c r="HA4" s="401"/>
      <c r="HB4" s="401"/>
    </row>
    <row r="5" spans="1:210" ht="12.75" x14ac:dyDescent="0.2">
      <c r="A5" s="636" t="str">
        <f>'JHS&amp;SHS SchoolLeaver'!A5</f>
        <v>SY 2023-2024</v>
      </c>
      <c r="B5" s="636"/>
      <c r="C5" s="636"/>
      <c r="D5" s="636"/>
      <c r="E5" s="636"/>
      <c r="F5" s="636"/>
      <c r="G5" s="636"/>
      <c r="H5" s="636"/>
      <c r="I5" s="636"/>
      <c r="J5" s="636"/>
      <c r="BS5" s="628"/>
      <c r="BT5" s="628"/>
      <c r="BU5" s="628"/>
      <c r="BV5" s="628"/>
      <c r="BW5" s="628"/>
      <c r="BX5" s="628"/>
      <c r="BY5" s="628"/>
      <c r="BZ5" s="628"/>
      <c r="CA5" s="628"/>
      <c r="CB5" s="628"/>
      <c r="CC5" s="629"/>
      <c r="CD5" s="629"/>
      <c r="CE5" s="629"/>
      <c r="CF5" s="629"/>
      <c r="CG5" s="629"/>
      <c r="CH5" s="629"/>
      <c r="CI5" s="629"/>
      <c r="CJ5" s="629"/>
      <c r="CK5" s="629"/>
      <c r="CL5" s="629"/>
      <c r="CM5" s="630"/>
      <c r="CN5" s="630"/>
      <c r="CO5" s="630"/>
      <c r="CP5" s="630"/>
      <c r="CQ5" s="630"/>
      <c r="CR5" s="630"/>
      <c r="CS5" s="630"/>
      <c r="CT5" s="630"/>
      <c r="CU5" s="630"/>
      <c r="CV5" s="630"/>
      <c r="FY5" s="628"/>
      <c r="FZ5" s="628"/>
      <c r="GA5" s="628"/>
      <c r="GB5" s="628"/>
      <c r="GC5" s="628"/>
      <c r="GD5" s="628"/>
      <c r="GE5" s="628"/>
      <c r="GF5" s="628"/>
      <c r="GG5" s="628"/>
      <c r="GH5" s="628"/>
      <c r="GI5" s="629"/>
      <c r="GJ5" s="629"/>
      <c r="GK5" s="629"/>
      <c r="GL5" s="629"/>
      <c r="GM5" s="629"/>
      <c r="GN5" s="629"/>
      <c r="GO5" s="629"/>
      <c r="GP5" s="629"/>
      <c r="GQ5" s="629"/>
      <c r="GR5" s="629"/>
      <c r="GS5" s="630"/>
      <c r="GT5" s="630"/>
      <c r="GU5" s="630"/>
      <c r="GV5" s="630"/>
      <c r="GW5" s="630"/>
      <c r="GX5" s="630"/>
      <c r="GY5" s="630"/>
      <c r="GZ5" s="630"/>
      <c r="HA5" s="630"/>
      <c r="HB5" s="630"/>
    </row>
    <row r="6" spans="1:210" ht="15" x14ac:dyDescent="0.2">
      <c r="A6" s="623"/>
      <c r="B6" s="623"/>
      <c r="C6" s="623"/>
      <c r="D6" s="623"/>
      <c r="E6" s="623"/>
      <c r="F6" s="623"/>
      <c r="G6" s="623"/>
      <c r="H6" s="623"/>
      <c r="I6" s="623"/>
      <c r="J6" s="623"/>
      <c r="BS6" s="402"/>
      <c r="BT6" s="402"/>
      <c r="BU6" s="103"/>
      <c r="BV6" s="103"/>
      <c r="BW6" s="103"/>
      <c r="BX6" s="103"/>
      <c r="BY6" s="103"/>
      <c r="BZ6" s="103"/>
      <c r="CA6" s="103"/>
      <c r="CB6" s="403"/>
      <c r="CC6" s="404"/>
      <c r="CD6" s="404"/>
      <c r="CE6" s="405"/>
      <c r="CF6" s="405"/>
      <c r="CG6" s="405"/>
      <c r="CH6" s="405"/>
      <c r="CI6" s="405"/>
      <c r="CJ6" s="405"/>
      <c r="CK6" s="405"/>
      <c r="CL6" s="406"/>
      <c r="CM6" s="407"/>
      <c r="CN6" s="407"/>
      <c r="CO6" s="408"/>
      <c r="CP6" s="408"/>
      <c r="CQ6" s="408"/>
      <c r="CR6" s="408"/>
      <c r="CS6" s="408"/>
      <c r="CT6" s="408"/>
      <c r="CU6" s="408"/>
      <c r="CV6" s="409"/>
      <c r="FY6" s="402"/>
      <c r="FZ6" s="402"/>
      <c r="GA6" s="103"/>
      <c r="GB6" s="103"/>
      <c r="GC6" s="103"/>
      <c r="GD6" s="103"/>
      <c r="GE6" s="103"/>
      <c r="GF6" s="103"/>
      <c r="GG6" s="103"/>
      <c r="GH6" s="403"/>
      <c r="GI6" s="404"/>
      <c r="GJ6" s="404"/>
      <c r="GK6" s="405"/>
      <c r="GL6" s="405"/>
      <c r="GM6" s="405"/>
      <c r="GN6" s="405"/>
      <c r="GO6" s="405"/>
      <c r="GP6" s="405"/>
      <c r="GQ6" s="405"/>
      <c r="GR6" s="406"/>
      <c r="GS6" s="407"/>
      <c r="GT6" s="407"/>
      <c r="GU6" s="408"/>
      <c r="GV6" s="408"/>
      <c r="GW6" s="408"/>
      <c r="GX6" s="408"/>
      <c r="GY6" s="408"/>
      <c r="GZ6" s="408"/>
      <c r="HA6" s="408"/>
      <c r="HB6" s="409"/>
    </row>
    <row r="7" spans="1:210" x14ac:dyDescent="0.2">
      <c r="A7" s="361"/>
      <c r="B7" s="362"/>
      <c r="C7" s="410"/>
      <c r="D7" s="410"/>
      <c r="E7" s="410"/>
      <c r="F7" s="410"/>
      <c r="G7" s="410"/>
      <c r="H7" s="410"/>
      <c r="I7" s="410"/>
      <c r="J7" s="364"/>
      <c r="BS7" s="361"/>
      <c r="BT7" s="362"/>
      <c r="BU7" s="410"/>
      <c r="BV7" s="410"/>
      <c r="BW7" s="410"/>
      <c r="BX7" s="410"/>
      <c r="BY7" s="410"/>
      <c r="BZ7" s="410"/>
      <c r="CA7" s="410"/>
      <c r="CB7" s="403"/>
      <c r="CC7" s="411"/>
      <c r="CD7" s="412"/>
      <c r="CE7" s="413"/>
      <c r="CF7" s="413"/>
      <c r="CG7" s="413"/>
      <c r="CH7" s="413"/>
      <c r="CI7" s="413"/>
      <c r="CJ7" s="413"/>
      <c r="CK7" s="413"/>
      <c r="CL7" s="406"/>
      <c r="CM7" s="414"/>
      <c r="CN7" s="415"/>
      <c r="CO7" s="416"/>
      <c r="CP7" s="416"/>
      <c r="CQ7" s="416"/>
      <c r="CR7" s="416"/>
      <c r="CS7" s="416"/>
      <c r="CT7" s="416"/>
      <c r="CU7" s="416"/>
      <c r="CV7" s="409"/>
      <c r="FY7" s="361"/>
      <c r="FZ7" s="362"/>
      <c r="GA7" s="410"/>
      <c r="GB7" s="410"/>
      <c r="GC7" s="410"/>
      <c r="GD7" s="410"/>
      <c r="GE7" s="410"/>
      <c r="GF7" s="410"/>
      <c r="GG7" s="410"/>
      <c r="GH7" s="403"/>
      <c r="GI7" s="411"/>
      <c r="GJ7" s="412"/>
      <c r="GK7" s="413"/>
      <c r="GL7" s="413"/>
      <c r="GM7" s="413"/>
      <c r="GN7" s="413"/>
      <c r="GO7" s="413"/>
      <c r="GP7" s="413"/>
      <c r="GQ7" s="413"/>
      <c r="GR7" s="406"/>
      <c r="GS7" s="414"/>
      <c r="GT7" s="415"/>
      <c r="GU7" s="416"/>
      <c r="GV7" s="416"/>
      <c r="GW7" s="416"/>
      <c r="GX7" s="416"/>
      <c r="GY7" s="416"/>
      <c r="GZ7" s="416"/>
      <c r="HA7" s="416"/>
      <c r="HB7" s="409"/>
    </row>
    <row r="8" spans="1:210" ht="13.5" thickBot="1" x14ac:dyDescent="0.25">
      <c r="A8" s="261" t="s">
        <v>94</v>
      </c>
      <c r="B8" s="365"/>
      <c r="J8" s="364"/>
      <c r="BS8" s="362"/>
      <c r="BT8" s="362"/>
      <c r="BU8" s="263"/>
      <c r="BV8" s="263"/>
      <c r="BW8" s="263"/>
      <c r="BX8" s="263"/>
      <c r="BY8" s="263"/>
      <c r="BZ8" s="263"/>
      <c r="CA8" s="263"/>
      <c r="CB8" s="403"/>
      <c r="CC8" s="412"/>
      <c r="CD8" s="412"/>
      <c r="CE8" s="417"/>
      <c r="CF8" s="417"/>
      <c r="CG8" s="417"/>
      <c r="CH8" s="417"/>
      <c r="CI8" s="417"/>
      <c r="CJ8" s="417"/>
      <c r="CK8" s="417"/>
      <c r="CL8" s="406"/>
      <c r="CM8" s="415"/>
      <c r="CN8" s="415"/>
      <c r="CO8" s="418"/>
      <c r="CP8" s="418"/>
      <c r="CQ8" s="418"/>
      <c r="CR8" s="418"/>
      <c r="CS8" s="418"/>
      <c r="CT8" s="418"/>
      <c r="CU8" s="418"/>
      <c r="CV8" s="409"/>
      <c r="FY8" s="362"/>
      <c r="FZ8" s="362"/>
      <c r="GA8" s="263"/>
      <c r="GB8" s="263"/>
      <c r="GC8" s="263"/>
      <c r="GD8" s="263"/>
      <c r="GE8" s="263"/>
      <c r="GF8" s="263"/>
      <c r="GG8" s="263"/>
      <c r="GH8" s="403"/>
      <c r="GI8" s="412"/>
      <c r="GJ8" s="412"/>
      <c r="GK8" s="417"/>
      <c r="GL8" s="417"/>
      <c r="GM8" s="417"/>
      <c r="GN8" s="417"/>
      <c r="GO8" s="417"/>
      <c r="GP8" s="417"/>
      <c r="GQ8" s="417"/>
      <c r="GR8" s="406"/>
      <c r="GS8" s="415"/>
      <c r="GT8" s="415"/>
      <c r="GU8" s="418"/>
      <c r="GV8" s="418"/>
      <c r="GW8" s="418"/>
      <c r="GX8" s="418"/>
      <c r="GY8" s="418"/>
      <c r="GZ8" s="418"/>
      <c r="HA8" s="418"/>
      <c r="HB8" s="409"/>
    </row>
    <row r="9" spans="1:210" x14ac:dyDescent="0.2">
      <c r="A9" s="339" t="s">
        <v>114</v>
      </c>
      <c r="B9" s="650" t="s">
        <v>95</v>
      </c>
      <c r="C9" s="652" t="s">
        <v>144</v>
      </c>
      <c r="D9" s="654" t="s">
        <v>145</v>
      </c>
      <c r="E9" s="654" t="s">
        <v>146</v>
      </c>
      <c r="F9" s="654" t="s">
        <v>153</v>
      </c>
      <c r="G9" s="656" t="s">
        <v>154</v>
      </c>
      <c r="H9" s="266" t="s">
        <v>158</v>
      </c>
      <c r="I9" s="373" t="s">
        <v>137</v>
      </c>
      <c r="J9" s="420" t="s">
        <v>115</v>
      </c>
    </row>
    <row r="10" spans="1:210" ht="12" thickBot="1" x14ac:dyDescent="0.25">
      <c r="A10" s="340"/>
      <c r="B10" s="651"/>
      <c r="C10" s="653"/>
      <c r="D10" s="655"/>
      <c r="E10" s="655"/>
      <c r="F10" s="655"/>
      <c r="G10" s="657"/>
      <c r="H10" s="275" t="s">
        <v>138</v>
      </c>
      <c r="I10" s="271" t="s">
        <v>109</v>
      </c>
      <c r="J10" s="421" t="s">
        <v>116</v>
      </c>
    </row>
    <row r="11" spans="1:210" x14ac:dyDescent="0.2">
      <c r="A11" s="301" t="s">
        <v>117</v>
      </c>
      <c r="B11" s="189" t="s">
        <v>2</v>
      </c>
      <c r="C11" s="436">
        <v>0.95595323840655988</v>
      </c>
      <c r="D11" s="437">
        <v>0.95110501608734643</v>
      </c>
      <c r="E11" s="437">
        <v>0.94141637777842513</v>
      </c>
      <c r="F11" s="437">
        <v>0.98736567719970214</v>
      </c>
      <c r="G11" s="437">
        <v>0.91833188531711551</v>
      </c>
      <c r="H11" s="438">
        <v>0.97498631163367055</v>
      </c>
      <c r="I11" s="436">
        <v>0.95507062447090185</v>
      </c>
      <c r="J11" s="526">
        <v>1.0274946921443735</v>
      </c>
    </row>
    <row r="12" spans="1:210" x14ac:dyDescent="0.2">
      <c r="A12" s="155"/>
      <c r="B12" s="172" t="s">
        <v>1</v>
      </c>
      <c r="C12" s="351">
        <v>0.93585562078712758</v>
      </c>
      <c r="D12" s="383">
        <v>0.9330829812757524</v>
      </c>
      <c r="E12" s="383">
        <v>0.91793471947961436</v>
      </c>
      <c r="F12" s="383">
        <v>0.98319327731092432</v>
      </c>
      <c r="G12" s="383">
        <v>0.91494321281555324</v>
      </c>
      <c r="H12" s="350">
        <v>0.96713352007469655</v>
      </c>
      <c r="I12" s="351">
        <v>0.94200000000000006</v>
      </c>
      <c r="J12" s="527"/>
    </row>
    <row r="13" spans="1:210" ht="12" thickBot="1" x14ac:dyDescent="0.25">
      <c r="A13" s="286"/>
      <c r="B13" s="163" t="s">
        <v>0</v>
      </c>
      <c r="C13" s="356">
        <v>0.97683877527962937</v>
      </c>
      <c r="D13" s="390">
        <v>0.96953854361162972</v>
      </c>
      <c r="E13" s="390">
        <v>0.96504763574726748</v>
      </c>
      <c r="F13" s="390">
        <v>0.99159303882195449</v>
      </c>
      <c r="G13" s="390">
        <v>0.92154374089221081</v>
      </c>
      <c r="H13" s="355">
        <v>0.98175574157544543</v>
      </c>
      <c r="I13" s="356">
        <v>0.96789999999999998</v>
      </c>
      <c r="J13" s="528"/>
    </row>
    <row r="14" spans="1:210" ht="10.35" customHeight="1" x14ac:dyDescent="0.2">
      <c r="A14" s="301" t="s">
        <v>118</v>
      </c>
      <c r="B14" s="189" t="s">
        <v>2</v>
      </c>
      <c r="C14" s="436">
        <v>0.93327841845140036</v>
      </c>
      <c r="D14" s="437">
        <v>0.91724489146349231</v>
      </c>
      <c r="E14" s="437">
        <v>0.89524733268671197</v>
      </c>
      <c r="F14" s="437">
        <v>0.98479479414986149</v>
      </c>
      <c r="G14" s="437">
        <v>0.86694093446958564</v>
      </c>
      <c r="H14" s="438">
        <v>0.99093298291721421</v>
      </c>
      <c r="I14" s="436">
        <v>0.93149700988259143</v>
      </c>
      <c r="J14" s="526">
        <v>1.0533448407817412</v>
      </c>
    </row>
    <row r="15" spans="1:210" x14ac:dyDescent="0.2">
      <c r="A15" s="155"/>
      <c r="B15" s="172" t="s">
        <v>1</v>
      </c>
      <c r="C15" s="351">
        <v>0.91350474288567152</v>
      </c>
      <c r="D15" s="383">
        <v>0.89427860696517414</v>
      </c>
      <c r="E15" s="383">
        <v>0.86775000000000002</v>
      </c>
      <c r="F15" s="383">
        <v>0.9613389328063241</v>
      </c>
      <c r="G15" s="383">
        <v>0.85506572060020936</v>
      </c>
      <c r="H15" s="350">
        <v>0.99796195652173914</v>
      </c>
      <c r="I15" s="351">
        <v>0.89790158301632106</v>
      </c>
      <c r="J15" s="527"/>
    </row>
    <row r="16" spans="1:210" ht="12" thickBot="1" x14ac:dyDescent="0.25">
      <c r="A16" s="286"/>
      <c r="B16" s="163" t="s">
        <v>0</v>
      </c>
      <c r="C16" s="356">
        <v>0.95366795366795365</v>
      </c>
      <c r="D16" s="390">
        <v>0.94132220628504371</v>
      </c>
      <c r="E16" s="390">
        <v>0.92471533824514396</v>
      </c>
      <c r="F16" s="390">
        <v>0.99111111111111116</v>
      </c>
      <c r="G16" s="390">
        <v>0.87906866239011638</v>
      </c>
      <c r="H16" s="355">
        <v>0.9843511450381679</v>
      </c>
      <c r="I16" s="356">
        <v>0.94579999999999997</v>
      </c>
      <c r="J16" s="528"/>
    </row>
    <row r="17" spans="1:10" x14ac:dyDescent="0.2">
      <c r="A17" s="301" t="s">
        <v>119</v>
      </c>
      <c r="B17" s="189" t="s">
        <v>2</v>
      </c>
      <c r="C17" s="436">
        <v>0.92428355957767727</v>
      </c>
      <c r="D17" s="437">
        <v>0.9020741922616673</v>
      </c>
      <c r="E17" s="437">
        <v>0.88981636060100167</v>
      </c>
      <c r="F17" s="437">
        <v>0.98744901160966425</v>
      </c>
      <c r="G17" s="437">
        <v>0.85455357142857147</v>
      </c>
      <c r="H17" s="438">
        <v>0.9578663793103448</v>
      </c>
      <c r="I17" s="436">
        <v>0.91944606541854246</v>
      </c>
      <c r="J17" s="526">
        <v>1.0530587254776254</v>
      </c>
    </row>
    <row r="18" spans="1:10" x14ac:dyDescent="0.2">
      <c r="A18" s="155"/>
      <c r="B18" s="172" t="s">
        <v>1</v>
      </c>
      <c r="C18" s="351">
        <v>0.90033157792081142</v>
      </c>
      <c r="D18" s="383">
        <v>0.87774965933424176</v>
      </c>
      <c r="E18" s="383">
        <v>0.86133032694475764</v>
      </c>
      <c r="F18" s="383">
        <v>0.97432835820895525</v>
      </c>
      <c r="G18" s="383">
        <v>0.84306826178747363</v>
      </c>
      <c r="H18" s="350">
        <v>0.95330396475770929</v>
      </c>
      <c r="I18" s="351">
        <v>0.88978893325727326</v>
      </c>
      <c r="J18" s="527"/>
    </row>
    <row r="19" spans="1:10" ht="12" thickBot="1" x14ac:dyDescent="0.25">
      <c r="A19" s="286"/>
      <c r="B19" s="163" t="s">
        <v>0</v>
      </c>
      <c r="C19" s="356">
        <v>0.94977168949771684</v>
      </c>
      <c r="D19" s="390">
        <v>0.92762216315681867</v>
      </c>
      <c r="E19" s="390">
        <v>0.92100390866076942</v>
      </c>
      <c r="F19" s="390">
        <v>0.99470899470899465</v>
      </c>
      <c r="G19" s="390">
        <v>0.86638868745467734</v>
      </c>
      <c r="H19" s="355">
        <v>0.96223628691983121</v>
      </c>
      <c r="I19" s="356">
        <v>0.93699999999999994</v>
      </c>
      <c r="J19" s="528"/>
    </row>
    <row r="20" spans="1:10" x14ac:dyDescent="0.2">
      <c r="A20" s="301" t="s">
        <v>120</v>
      </c>
      <c r="B20" s="189" t="s">
        <v>2</v>
      </c>
      <c r="C20" s="436">
        <v>0.89169794656657098</v>
      </c>
      <c r="D20" s="437">
        <v>0.89089984748347739</v>
      </c>
      <c r="E20" s="437">
        <v>0.86051502145922742</v>
      </c>
      <c r="F20" s="437">
        <v>0.82029225826510521</v>
      </c>
      <c r="G20" s="437">
        <v>0.85640101738024588</v>
      </c>
      <c r="H20" s="438">
        <v>0.95845900740334522</v>
      </c>
      <c r="I20" s="436">
        <v>0.86374675487815089</v>
      </c>
      <c r="J20" s="526">
        <v>1.0706613821124273</v>
      </c>
    </row>
    <row r="21" spans="1:10" x14ac:dyDescent="0.2">
      <c r="A21" s="155"/>
      <c r="B21" s="172" t="s">
        <v>1</v>
      </c>
      <c r="C21" s="351">
        <v>0.85968379446640319</v>
      </c>
      <c r="D21" s="383">
        <v>0.84887910328262606</v>
      </c>
      <c r="E21" s="383">
        <v>0.815347721822542</v>
      </c>
      <c r="F21" s="383">
        <v>0.8067817014446228</v>
      </c>
      <c r="G21" s="383">
        <v>0.84581405132519982</v>
      </c>
      <c r="H21" s="350">
        <v>0.95514285714285718</v>
      </c>
      <c r="I21" s="351">
        <v>0.83476041495142439</v>
      </c>
      <c r="J21" s="527"/>
    </row>
    <row r="22" spans="1:10" ht="12" thickBot="1" x14ac:dyDescent="0.25">
      <c r="A22" s="286"/>
      <c r="B22" s="163" t="s">
        <v>0</v>
      </c>
      <c r="C22" s="356">
        <v>0.92406749555950263</v>
      </c>
      <c r="D22" s="390">
        <v>0.93428394296342221</v>
      </c>
      <c r="E22" s="390">
        <v>0.90777917189460477</v>
      </c>
      <c r="F22" s="390">
        <v>0.83472668810289385</v>
      </c>
      <c r="G22" s="390">
        <v>0.8671507902605724</v>
      </c>
      <c r="H22" s="355">
        <v>0.96151818661043753</v>
      </c>
      <c r="I22" s="356">
        <v>0.89374573960463533</v>
      </c>
      <c r="J22" s="528"/>
    </row>
    <row r="23" spans="1:10" x14ac:dyDescent="0.2">
      <c r="A23" s="301" t="s">
        <v>121</v>
      </c>
      <c r="B23" s="189" t="s">
        <v>2</v>
      </c>
      <c r="C23" s="436">
        <v>0.84111093169707729</v>
      </c>
      <c r="D23" s="437">
        <v>0.81606258981318858</v>
      </c>
      <c r="E23" s="437">
        <v>0.76247951125018631</v>
      </c>
      <c r="F23" s="437">
        <v>0.77647417339631264</v>
      </c>
      <c r="G23" s="437">
        <v>0.75114842388721681</v>
      </c>
      <c r="H23" s="438">
        <v>0.9704355675919657</v>
      </c>
      <c r="I23" s="436">
        <v>0.78878382173953754</v>
      </c>
      <c r="J23" s="526">
        <v>1.1061027031723987</v>
      </c>
    </row>
    <row r="24" spans="1:10" x14ac:dyDescent="0.2">
      <c r="A24" s="155"/>
      <c r="B24" s="172" t="s">
        <v>1</v>
      </c>
      <c r="C24" s="351">
        <v>0.78956062107697389</v>
      </c>
      <c r="D24" s="383">
        <v>0.77133333333333332</v>
      </c>
      <c r="E24" s="383">
        <v>0.71086556169429094</v>
      </c>
      <c r="F24" s="383">
        <v>0.74150710315009261</v>
      </c>
      <c r="G24" s="383">
        <v>0.72804919713016736</v>
      </c>
      <c r="H24" s="350">
        <v>0.96777392166584031</v>
      </c>
      <c r="I24" s="351">
        <v>0.74770226537216833</v>
      </c>
      <c r="J24" s="527"/>
    </row>
    <row r="25" spans="1:10" ht="12" thickBot="1" x14ac:dyDescent="0.25">
      <c r="A25" s="286"/>
      <c r="B25" s="163" t="s">
        <v>0</v>
      </c>
      <c r="C25" s="356">
        <v>0.89039797852179403</v>
      </c>
      <c r="D25" s="390">
        <v>0.85718663806313211</v>
      </c>
      <c r="E25" s="390">
        <v>0.81117868520127423</v>
      </c>
      <c r="F25" s="390">
        <v>0.81052631578947365</v>
      </c>
      <c r="G25" s="390">
        <v>0.77111636148848195</v>
      </c>
      <c r="H25" s="355">
        <v>0.97265948632974319</v>
      </c>
      <c r="I25" s="356">
        <v>0.82703549689628153</v>
      </c>
      <c r="J25" s="528"/>
    </row>
    <row r="26" spans="1:10" x14ac:dyDescent="0.2">
      <c r="A26" s="301" t="s">
        <v>122</v>
      </c>
      <c r="B26" s="189" t="s">
        <v>2</v>
      </c>
      <c r="C26" s="436">
        <v>0.89229074889867843</v>
      </c>
      <c r="D26" s="437">
        <v>0.86131309937822742</v>
      </c>
      <c r="E26" s="437">
        <v>0.84728850325379612</v>
      </c>
      <c r="F26" s="437">
        <v>0.8996071584460934</v>
      </c>
      <c r="G26" s="437">
        <v>0.86372339227390471</v>
      </c>
      <c r="H26" s="438">
        <v>0.98378683208797402</v>
      </c>
      <c r="I26" s="436">
        <v>0.87275266189561873</v>
      </c>
      <c r="J26" s="526">
        <v>1.0684781879897429</v>
      </c>
    </row>
    <row r="27" spans="1:10" ht="12" x14ac:dyDescent="0.2">
      <c r="A27" s="347"/>
      <c r="B27" s="172" t="s">
        <v>1</v>
      </c>
      <c r="C27" s="351">
        <v>0.84669141734003062</v>
      </c>
      <c r="D27" s="383">
        <v>0.82319196885884038</v>
      </c>
      <c r="E27" s="383">
        <v>0.79375131940046439</v>
      </c>
      <c r="F27" s="383">
        <v>0.90333115610711956</v>
      </c>
      <c r="G27" s="383">
        <v>0.85680360959392066</v>
      </c>
      <c r="H27" s="350">
        <v>0.96665637542451377</v>
      </c>
      <c r="I27" s="351">
        <v>0.84396330594321989</v>
      </c>
      <c r="J27" s="527"/>
    </row>
    <row r="28" spans="1:10" ht="12" thickBot="1" x14ac:dyDescent="0.25">
      <c r="A28" s="286"/>
      <c r="B28" s="163" t="s">
        <v>0</v>
      </c>
      <c r="C28" s="356">
        <v>0.9386802932681626</v>
      </c>
      <c r="D28" s="390">
        <v>0.90169270833333337</v>
      </c>
      <c r="E28" s="390">
        <v>0.90385902297568588</v>
      </c>
      <c r="F28" s="390">
        <v>0.8958652373660031</v>
      </c>
      <c r="G28" s="390">
        <v>0.86996572407883466</v>
      </c>
      <c r="H28" s="355">
        <v>0.99818370524130773</v>
      </c>
      <c r="I28" s="356">
        <v>0.90175638386404455</v>
      </c>
      <c r="J28" s="528"/>
    </row>
    <row r="29" spans="1:10" x14ac:dyDescent="0.2">
      <c r="A29" s="301" t="s">
        <v>123</v>
      </c>
      <c r="B29" s="189" t="s">
        <v>2</v>
      </c>
      <c r="C29" s="436">
        <v>0.95778166375218587</v>
      </c>
      <c r="D29" s="437">
        <v>0.91876687668766877</v>
      </c>
      <c r="E29" s="437">
        <v>0.935407949790795</v>
      </c>
      <c r="F29" s="437">
        <v>0.98605714285714285</v>
      </c>
      <c r="G29" s="437">
        <v>0.88967491999326254</v>
      </c>
      <c r="H29" s="438">
        <v>0.9944991977996791</v>
      </c>
      <c r="I29" s="436">
        <v>0.94777795591182368</v>
      </c>
      <c r="J29" s="526">
        <v>0.99049411764705875</v>
      </c>
    </row>
    <row r="30" spans="1:10" x14ac:dyDescent="0.2">
      <c r="A30" s="155"/>
      <c r="B30" s="172" t="s">
        <v>1</v>
      </c>
      <c r="C30" s="351">
        <v>0.93310875842155916</v>
      </c>
      <c r="D30" s="383">
        <v>0.88010776829815895</v>
      </c>
      <c r="E30" s="383">
        <v>0.89829633453794533</v>
      </c>
      <c r="F30" s="383">
        <v>0.98271835590845402</v>
      </c>
      <c r="G30" s="383">
        <v>0.89575009081002543</v>
      </c>
      <c r="H30" s="350">
        <v>0.99244332493702769</v>
      </c>
      <c r="I30" s="351">
        <v>0.97395833333333337</v>
      </c>
      <c r="J30" s="527"/>
    </row>
    <row r="31" spans="1:10" ht="12" thickBot="1" x14ac:dyDescent="0.25">
      <c r="A31" s="286"/>
      <c r="B31" s="163" t="s">
        <v>0</v>
      </c>
      <c r="C31" s="356">
        <v>0.98441558441558441</v>
      </c>
      <c r="D31" s="390">
        <v>0.95760036084799283</v>
      </c>
      <c r="E31" s="390">
        <v>0.97350291467938532</v>
      </c>
      <c r="F31" s="390">
        <v>0.9892569382273948</v>
      </c>
      <c r="G31" s="390">
        <v>0.88442211055276387</v>
      </c>
      <c r="H31" s="355">
        <v>0.99621530698065597</v>
      </c>
      <c r="I31" s="356">
        <v>0.9647</v>
      </c>
      <c r="J31" s="528"/>
    </row>
    <row r="32" spans="1:10" ht="10.35" customHeight="1" x14ac:dyDescent="0.2">
      <c r="A32" s="301" t="s">
        <v>124</v>
      </c>
      <c r="B32" s="189" t="s">
        <v>2</v>
      </c>
      <c r="C32" s="436">
        <v>0.93216723549488056</v>
      </c>
      <c r="D32" s="437">
        <v>0.91973791973791974</v>
      </c>
      <c r="E32" s="437">
        <v>0.88818145642658175</v>
      </c>
      <c r="F32" s="437">
        <v>0.98470279720279719</v>
      </c>
      <c r="G32" s="437">
        <v>0.87438516836927738</v>
      </c>
      <c r="H32" s="438">
        <v>0.94461813309513176</v>
      </c>
      <c r="I32" s="436">
        <v>0.92395379777455244</v>
      </c>
      <c r="J32" s="526">
        <v>1.0459375691830861</v>
      </c>
    </row>
    <row r="33" spans="1:10" x14ac:dyDescent="0.2">
      <c r="A33" s="155"/>
      <c r="B33" s="172" t="s">
        <v>1</v>
      </c>
      <c r="C33" s="351">
        <v>0.91101694915254239</v>
      </c>
      <c r="D33" s="383">
        <v>0.88658940397350994</v>
      </c>
      <c r="E33" s="383">
        <v>0.8474051123160341</v>
      </c>
      <c r="F33" s="383">
        <v>0.97402597402597402</v>
      </c>
      <c r="G33" s="383">
        <v>0.86008836524300447</v>
      </c>
      <c r="H33" s="350">
        <v>0.9418931583880038</v>
      </c>
      <c r="I33" s="351">
        <v>0.90339999999999998</v>
      </c>
      <c r="J33" s="527"/>
    </row>
    <row r="34" spans="1:10" ht="12" thickBot="1" x14ac:dyDescent="0.25">
      <c r="A34" s="286"/>
      <c r="B34" s="163" t="s">
        <v>0</v>
      </c>
      <c r="C34" s="356">
        <v>0.95360824742268047</v>
      </c>
      <c r="D34" s="390">
        <v>0.95218800648298219</v>
      </c>
      <c r="E34" s="390">
        <v>0.93126022913256956</v>
      </c>
      <c r="F34" s="390">
        <v>0.9955869373345102</v>
      </c>
      <c r="G34" s="390">
        <v>0.88949416342412446</v>
      </c>
      <c r="H34" s="355">
        <v>0.94709897610921501</v>
      </c>
      <c r="I34" s="356">
        <v>0.94489999999999996</v>
      </c>
      <c r="J34" s="528"/>
    </row>
    <row r="35" spans="1:10" x14ac:dyDescent="0.2">
      <c r="A35" s="301" t="s">
        <v>125</v>
      </c>
      <c r="B35" s="189" t="s">
        <v>2</v>
      </c>
      <c r="C35" s="436">
        <v>0.89747490112564654</v>
      </c>
      <c r="D35" s="437">
        <v>0.8953800298062593</v>
      </c>
      <c r="E35" s="437">
        <v>0.86717157005534518</v>
      </c>
      <c r="F35" s="437">
        <v>0.97008915731952827</v>
      </c>
      <c r="G35" s="437">
        <v>0.86525725929699437</v>
      </c>
      <c r="H35" s="438">
        <v>0.98388721047331318</v>
      </c>
      <c r="I35" s="436">
        <v>0.9133135454856528</v>
      </c>
      <c r="J35" s="526">
        <v>1.0634884771802984</v>
      </c>
    </row>
    <row r="36" spans="1:10" ht="12" x14ac:dyDescent="0.2">
      <c r="A36" s="347"/>
      <c r="B36" s="172" t="s">
        <v>1</v>
      </c>
      <c r="C36" s="351">
        <v>0.84158415841584155</v>
      </c>
      <c r="D36" s="383">
        <v>0.84956843403205917</v>
      </c>
      <c r="E36" s="383">
        <v>0.81855549031121555</v>
      </c>
      <c r="F36" s="383">
        <v>0.95309785755645626</v>
      </c>
      <c r="G36" s="383">
        <v>0.86541554959785527</v>
      </c>
      <c r="H36" s="350">
        <v>0.9853479853479854</v>
      </c>
      <c r="I36" s="351">
        <v>0.88519999999999999</v>
      </c>
      <c r="J36" s="527"/>
    </row>
    <row r="37" spans="1:10" ht="12" thickBot="1" x14ac:dyDescent="0.25">
      <c r="A37" s="286"/>
      <c r="B37" s="163" t="s">
        <v>0</v>
      </c>
      <c r="C37" s="356">
        <v>0.95859872611464969</v>
      </c>
      <c r="D37" s="390">
        <v>0.93825735718407388</v>
      </c>
      <c r="E37" s="390">
        <v>0.91502890173410401</v>
      </c>
      <c r="F37" s="390">
        <v>0.98685714285714288</v>
      </c>
      <c r="G37" s="390">
        <v>0.86511402231926249</v>
      </c>
      <c r="H37" s="355">
        <v>0.98265179677819081</v>
      </c>
      <c r="I37" s="356">
        <v>0.94140000000000001</v>
      </c>
      <c r="J37" s="528"/>
    </row>
    <row r="38" spans="1:10" x14ac:dyDescent="0.2">
      <c r="A38" s="301" t="s">
        <v>126</v>
      </c>
      <c r="B38" s="189" t="s">
        <v>2</v>
      </c>
      <c r="C38" s="436">
        <v>0.95219489772466104</v>
      </c>
      <c r="D38" s="437">
        <v>0.95481515289821994</v>
      </c>
      <c r="E38" s="437">
        <v>0.94433443344334433</v>
      </c>
      <c r="F38" s="437">
        <v>0.99223602484472051</v>
      </c>
      <c r="G38" s="437">
        <v>0.90598938589840794</v>
      </c>
      <c r="H38" s="438">
        <v>0.96340929009640663</v>
      </c>
      <c r="I38" s="436">
        <v>0.95243960761601387</v>
      </c>
      <c r="J38" s="526">
        <v>1.005804284305817</v>
      </c>
    </row>
    <row r="39" spans="1:10" x14ac:dyDescent="0.2">
      <c r="A39" s="155"/>
      <c r="B39" s="172" t="s">
        <v>1</v>
      </c>
      <c r="C39" s="351">
        <v>0.92894736842105263</v>
      </c>
      <c r="D39" s="383">
        <v>0.92407324698526128</v>
      </c>
      <c r="E39" s="383">
        <v>0.9223343571741992</v>
      </c>
      <c r="F39" s="383">
        <v>0.99157427937915743</v>
      </c>
      <c r="G39" s="383">
        <v>0.9086333720480062</v>
      </c>
      <c r="H39" s="350">
        <v>0.96999531176746367</v>
      </c>
      <c r="I39" s="351">
        <v>0.95883465108284638</v>
      </c>
      <c r="J39" s="527"/>
    </row>
    <row r="40" spans="1:10" ht="12" thickBot="1" x14ac:dyDescent="0.25">
      <c r="A40" s="286"/>
      <c r="B40" s="163" t="s">
        <v>0</v>
      </c>
      <c r="C40" s="356">
        <v>0.97778850796716565</v>
      </c>
      <c r="D40" s="390">
        <v>0.98693420438637425</v>
      </c>
      <c r="E40" s="390">
        <v>0.96646072374227709</v>
      </c>
      <c r="F40" s="390">
        <v>0.99289835774522861</v>
      </c>
      <c r="G40" s="390">
        <v>0.90345339769773492</v>
      </c>
      <c r="H40" s="355">
        <v>0.95763060468942818</v>
      </c>
      <c r="I40" s="356">
        <v>0.96440000000000003</v>
      </c>
      <c r="J40" s="528"/>
    </row>
    <row r="41" spans="1:10" x14ac:dyDescent="0.2">
      <c r="A41" s="301" t="s">
        <v>127</v>
      </c>
      <c r="B41" s="189" t="s">
        <v>2</v>
      </c>
      <c r="C41" s="294">
        <v>0.95600593178447846</v>
      </c>
      <c r="D41" s="295">
        <v>0.96453185409312492</v>
      </c>
      <c r="E41" s="295">
        <v>0.94232896192131455</v>
      </c>
      <c r="F41" s="295">
        <v>0.98962100959270327</v>
      </c>
      <c r="G41" s="295">
        <v>0.91805646749835845</v>
      </c>
      <c r="H41" s="427">
        <v>0.9844701583434835</v>
      </c>
      <c r="I41" s="294">
        <v>0.95957716320810515</v>
      </c>
      <c r="J41" s="517">
        <v>1.0271497992816396</v>
      </c>
    </row>
    <row r="42" spans="1:10" x14ac:dyDescent="0.2">
      <c r="A42" s="155"/>
      <c r="B42" s="172" t="s">
        <v>1</v>
      </c>
      <c r="C42" s="297">
        <v>0.94548994159636601</v>
      </c>
      <c r="D42" s="298">
        <v>0.9464696223316913</v>
      </c>
      <c r="E42" s="298">
        <v>0.91777356103731811</v>
      </c>
      <c r="F42" s="298">
        <v>0.9856070087609512</v>
      </c>
      <c r="G42" s="298">
        <v>0.9072847682119205</v>
      </c>
      <c r="H42" s="310">
        <v>0.97527200791295743</v>
      </c>
      <c r="I42" s="297">
        <v>0.9466</v>
      </c>
      <c r="J42" s="518"/>
    </row>
    <row r="43" spans="1:10" ht="12" thickBot="1" x14ac:dyDescent="0.25">
      <c r="A43" s="286"/>
      <c r="B43" s="163" t="s">
        <v>0</v>
      </c>
      <c r="C43" s="314">
        <v>0.96685637763642451</v>
      </c>
      <c r="D43" s="380">
        <v>0.98347107438016534</v>
      </c>
      <c r="E43" s="380">
        <v>0.96684559520050517</v>
      </c>
      <c r="F43" s="380">
        <v>0.99367688902940243</v>
      </c>
      <c r="G43" s="380">
        <v>0.92864583333333328</v>
      </c>
      <c r="H43" s="313">
        <v>0.99236209335219239</v>
      </c>
      <c r="I43" s="314">
        <v>0.97230000000000005</v>
      </c>
      <c r="J43" s="519"/>
    </row>
    <row r="44" spans="1:10" ht="12.75" x14ac:dyDescent="0.25">
      <c r="A44" s="315" t="s">
        <v>15</v>
      </c>
      <c r="B44" s="553" t="s">
        <v>2</v>
      </c>
      <c r="C44" s="449">
        <v>0.92958290179832403</v>
      </c>
      <c r="D44" s="450">
        <v>0.91809787458793957</v>
      </c>
      <c r="E44" s="450">
        <v>0.89916867288594648</v>
      </c>
      <c r="F44" s="450">
        <v>0.98454993077268682</v>
      </c>
      <c r="G44" s="450">
        <v>0.88260804171262408</v>
      </c>
      <c r="H44" s="451">
        <v>0.97558035895150508</v>
      </c>
      <c r="I44" s="449">
        <v>0.9316545484488159</v>
      </c>
      <c r="J44" s="562">
        <v>1.0383511482931556</v>
      </c>
    </row>
    <row r="45" spans="1:10" ht="12.75" x14ac:dyDescent="0.25">
      <c r="A45" s="323"/>
      <c r="B45" s="553" t="s">
        <v>1</v>
      </c>
      <c r="C45" s="325">
        <v>0.90361267397098011</v>
      </c>
      <c r="D45" s="326">
        <v>0.89119637201266921</v>
      </c>
      <c r="E45" s="326">
        <v>0.86659494351802047</v>
      </c>
      <c r="F45" s="326">
        <v>0.9780231696517323</v>
      </c>
      <c r="G45" s="326">
        <v>0.87559229589227883</v>
      </c>
      <c r="H45" s="327">
        <v>0.97147114720110572</v>
      </c>
      <c r="I45" s="325">
        <v>0.91419301085006499</v>
      </c>
      <c r="J45" s="563"/>
    </row>
    <row r="46" spans="1:10" ht="13.5" thickBot="1" x14ac:dyDescent="0.3">
      <c r="A46" s="330"/>
      <c r="B46" s="558" t="s">
        <v>0</v>
      </c>
      <c r="C46" s="332">
        <v>0.95647590938709803</v>
      </c>
      <c r="D46" s="333">
        <v>0.94565497916897101</v>
      </c>
      <c r="E46" s="333">
        <v>0.93266571292322364</v>
      </c>
      <c r="F46" s="333">
        <v>0.99127117066815562</v>
      </c>
      <c r="G46" s="333">
        <v>0.88935514539553484</v>
      </c>
      <c r="H46" s="334">
        <v>0.97920958266575109</v>
      </c>
      <c r="I46" s="332">
        <v>0.94925336257774218</v>
      </c>
      <c r="J46" s="564"/>
    </row>
  </sheetData>
  <sheetProtection algorithmName="SHA-512" hashValue="LjiLdKk02R2XBySfSw4JtuPY+JSFx5cJnR/RV5SfhKOA5eK7vEObpKMOjQ89njsx/hvp9yYs58F8FYKyC/B2YA==" saltValue="sEAaDq+nCQ6ByFrE+9xe/A==" spinCount="100000" sheet="1" objects="1" scenarios="1"/>
  <mergeCells count="36">
    <mergeCell ref="G9:G10"/>
    <mergeCell ref="B9:B10"/>
    <mergeCell ref="C9:C10"/>
    <mergeCell ref="D9:D10"/>
    <mergeCell ref="E9:E10"/>
    <mergeCell ref="F9:F10"/>
    <mergeCell ref="A6:J6"/>
    <mergeCell ref="GS3:HB3"/>
    <mergeCell ref="A4:J4"/>
    <mergeCell ref="A5:J5"/>
    <mergeCell ref="BS5:CB5"/>
    <mergeCell ref="CC5:CL5"/>
    <mergeCell ref="CM5:CV5"/>
    <mergeCell ref="FY5:GH5"/>
    <mergeCell ref="GI5:GR5"/>
    <mergeCell ref="GS5:HB5"/>
    <mergeCell ref="A3:J3"/>
    <mergeCell ref="BS3:CB3"/>
    <mergeCell ref="CC3:CL3"/>
    <mergeCell ref="CM3:CV3"/>
    <mergeCell ref="FY3:GH3"/>
    <mergeCell ref="GI3:GR3"/>
    <mergeCell ref="GS1:HB1"/>
    <mergeCell ref="A2:J2"/>
    <mergeCell ref="BS2:CB2"/>
    <mergeCell ref="CC2:CL2"/>
    <mergeCell ref="CM2:CV2"/>
    <mergeCell ref="FY2:GH2"/>
    <mergeCell ref="GI2:GR2"/>
    <mergeCell ref="GS2:HB2"/>
    <mergeCell ref="A1:J1"/>
    <mergeCell ref="BS1:CB1"/>
    <mergeCell ref="CC1:CL1"/>
    <mergeCell ref="CM1:CV1"/>
    <mergeCell ref="FY1:GH1"/>
    <mergeCell ref="GI1:GR1"/>
  </mergeCells>
  <printOptions horizontalCentered="1"/>
  <pageMargins left="0" right="0" top="1" bottom="0.75" header="0.5" footer="0.35"/>
  <pageSetup paperSize="9" scale="85" orientation="portrait" horizontalDpi="300" verticalDpi="300" r:id="rId1"/>
  <headerFooter alignWithMargins="0">
    <oddFooter>&amp;C&amp;8Page &amp;P of &amp;N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31</vt:i4>
      </vt:variant>
    </vt:vector>
  </HeadingPairs>
  <TitlesOfParts>
    <vt:vector size="62" baseType="lpstr">
      <vt:lpstr>GER-NER KINDER</vt:lpstr>
      <vt:lpstr>GER-NER G1toG6wLSENs</vt:lpstr>
      <vt:lpstr>GER-NER KtoG6wLSENs</vt:lpstr>
      <vt:lpstr>GER-NER G7toG10wLSENs</vt:lpstr>
      <vt:lpstr>GER-NER G11toG12</vt:lpstr>
      <vt:lpstr>GER-NER G7toG12wLSENs</vt:lpstr>
      <vt:lpstr>AIR-NIR Kinder</vt:lpstr>
      <vt:lpstr>AIR-NIR Grade1</vt:lpstr>
      <vt:lpstr>TransitionKtoG1</vt:lpstr>
      <vt:lpstr>TransitionG3toG4</vt:lpstr>
      <vt:lpstr>TransitionElem</vt:lpstr>
      <vt:lpstr>TransitionJHS</vt:lpstr>
      <vt:lpstr>TransitionSHS</vt:lpstr>
      <vt:lpstr>RetentionElem</vt:lpstr>
      <vt:lpstr>RetentionJHSonly</vt:lpstr>
      <vt:lpstr>RetentionSec</vt:lpstr>
      <vt:lpstr>Kto6CSR, CR, Coeffcnt,YrInput</vt:lpstr>
      <vt:lpstr>Kto6 SchoolLeaver</vt:lpstr>
      <vt:lpstr>Kto6 Repetition</vt:lpstr>
      <vt:lpstr>Kto6 Promo &amp; Grad</vt:lpstr>
      <vt:lpstr>G1toG6 CSR,CR, Coeffcnt,YrInput</vt:lpstr>
      <vt:lpstr>G1toG6 SchoolLeaver</vt:lpstr>
      <vt:lpstr>G1toG6 Repetition</vt:lpstr>
      <vt:lpstr>G1toG6 Promo &amp; Grad </vt:lpstr>
      <vt:lpstr>JHS CSR &amp; Completion Rate</vt:lpstr>
      <vt:lpstr>JHS School Leaver</vt:lpstr>
      <vt:lpstr>JHS Repetition Rate</vt:lpstr>
      <vt:lpstr>JHS Promo &amp; Grad</vt:lpstr>
      <vt:lpstr>JHS&amp;SHS CSR &amp; Completion Rate</vt:lpstr>
      <vt:lpstr>JHS&amp;SHS SchoolLeaver</vt:lpstr>
      <vt:lpstr>JHS&amp;SHS Promo &amp; Grad</vt:lpstr>
      <vt:lpstr>'AIR-NIR Grade1'!Print_Area</vt:lpstr>
      <vt:lpstr>'AIR-NIR Kinder'!Print_Area</vt:lpstr>
      <vt:lpstr>'G1toG6 CSR,CR, Coeffcnt,YrInput'!Print_Area</vt:lpstr>
      <vt:lpstr>'G1toG6 Promo &amp; Grad '!Print_Area</vt:lpstr>
      <vt:lpstr>'G1toG6 Repetition'!Print_Area</vt:lpstr>
      <vt:lpstr>'G1toG6 SchoolLeaver'!Print_Area</vt:lpstr>
      <vt:lpstr>'GER-NER G11toG12'!Print_Area</vt:lpstr>
      <vt:lpstr>'GER-NER G1toG6wLSENs'!Print_Area</vt:lpstr>
      <vt:lpstr>'GER-NER G7toG10wLSENs'!Print_Area</vt:lpstr>
      <vt:lpstr>'GER-NER G7toG12wLSENs'!Print_Area</vt:lpstr>
      <vt:lpstr>'GER-NER KINDER'!Print_Area</vt:lpstr>
      <vt:lpstr>'GER-NER KtoG6wLSENs'!Print_Area</vt:lpstr>
      <vt:lpstr>'JHS CSR &amp; Completion Rate'!Print_Area</vt:lpstr>
      <vt:lpstr>'JHS Promo &amp; Grad'!Print_Area</vt:lpstr>
      <vt:lpstr>'JHS Repetition Rate'!Print_Area</vt:lpstr>
      <vt:lpstr>'JHS School Leaver'!Print_Area</vt:lpstr>
      <vt:lpstr>'JHS&amp;SHS CSR &amp; Completion Rate'!Print_Area</vt:lpstr>
      <vt:lpstr>'JHS&amp;SHS Promo &amp; Grad'!Print_Area</vt:lpstr>
      <vt:lpstr>'JHS&amp;SHS SchoolLeaver'!Print_Area</vt:lpstr>
      <vt:lpstr>'Kto6 Promo &amp; Grad'!Print_Area</vt:lpstr>
      <vt:lpstr>'Kto6 Repetition'!Print_Area</vt:lpstr>
      <vt:lpstr>'Kto6 SchoolLeaver'!Print_Area</vt:lpstr>
      <vt:lpstr>'Kto6CSR, CR, Coeffcnt,YrInput'!Print_Area</vt:lpstr>
      <vt:lpstr>'AIR-NIR Grade1'!Print_Titles</vt:lpstr>
      <vt:lpstr>'AIR-NIR Kinder'!Print_Titles</vt:lpstr>
      <vt:lpstr>'GER-NER G11toG12'!Print_Titles</vt:lpstr>
      <vt:lpstr>'GER-NER G1toG6wLSENs'!Print_Titles</vt:lpstr>
      <vt:lpstr>'GER-NER G7toG10wLSENs'!Print_Titles</vt:lpstr>
      <vt:lpstr>'GER-NER G7toG12wLSENs'!Print_Titles</vt:lpstr>
      <vt:lpstr>'GER-NER KINDER'!Print_Titles</vt:lpstr>
      <vt:lpstr>'GER-NER KtoG6wLSENs'!Print_Titles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Josie</dc:creator>
  <cp:lastModifiedBy>xhLa</cp:lastModifiedBy>
  <cp:lastPrinted>2019-05-10T05:23:59Z</cp:lastPrinted>
  <dcterms:created xsi:type="dcterms:W3CDTF">2016-01-21T01:00:19Z</dcterms:created>
  <dcterms:modified xsi:type="dcterms:W3CDTF">2025-09-25T03:21:08Z</dcterms:modified>
</cp:coreProperties>
</file>