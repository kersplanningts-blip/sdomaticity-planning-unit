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EOSY 2023-2024/"/>
    </mc:Choice>
  </mc:AlternateContent>
  <xr:revisionPtr revIDLastSave="0" documentId="8_{1C797345-D933-4F47-8952-114772E30B06}" xr6:coauthVersionLast="47" xr6:coauthVersionMax="47" xr10:uidLastSave="{00000000-0000-0000-0000-000000000000}"/>
  <bookViews>
    <workbookView xWindow="-105" yWindow="0" windowWidth="21060" windowHeight="15585" xr2:uid="{A846980A-460D-4B41-850C-AC57978F0E4C}"/>
  </bookViews>
  <sheets>
    <sheet name="DB DROPOUT" sheetId="1" r:id="rId1"/>
  </sheets>
  <definedNames>
    <definedName name="_xlnm._FilterDatabase" localSheetId="0" hidden="1">'DB DROPOUT'!$A$7:$AZ$7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1" i="1" l="1"/>
  <c r="AY91" i="1"/>
  <c r="AX91" i="1"/>
  <c r="AZ90" i="1"/>
  <c r="AY90" i="1"/>
  <c r="AX90" i="1"/>
  <c r="AZ89" i="1"/>
  <c r="AY89" i="1"/>
  <c r="AX89" i="1"/>
  <c r="AZ88" i="1"/>
  <c r="AY88" i="1"/>
  <c r="AX88" i="1"/>
  <c r="AZ87" i="1"/>
  <c r="AY87" i="1"/>
  <c r="AX87" i="1"/>
  <c r="AZ86" i="1"/>
  <c r="AY86" i="1"/>
  <c r="AX86" i="1"/>
  <c r="AZ85" i="1"/>
  <c r="AY85" i="1"/>
  <c r="AX85" i="1"/>
  <c r="AZ84" i="1"/>
  <c r="AY84" i="1"/>
  <c r="AX84" i="1"/>
  <c r="AZ83" i="1"/>
  <c r="AY83" i="1"/>
  <c r="AX83" i="1"/>
  <c r="AZ82" i="1"/>
  <c r="AY82" i="1"/>
  <c r="AX82" i="1"/>
  <c r="AZ81" i="1"/>
  <c r="AY81" i="1"/>
  <c r="AX81" i="1"/>
  <c r="AZ80" i="1"/>
  <c r="AY80" i="1"/>
  <c r="AX80" i="1"/>
  <c r="AZ79" i="1"/>
  <c r="AY79" i="1"/>
  <c r="AX79" i="1"/>
  <c r="AZ78" i="1"/>
  <c r="AY78" i="1"/>
  <c r="AX78" i="1"/>
  <c r="AZ77" i="1"/>
  <c r="AY77" i="1"/>
  <c r="AX77" i="1"/>
  <c r="AZ76" i="1"/>
  <c r="AY76" i="1"/>
  <c r="AX76" i="1"/>
  <c r="AZ75" i="1"/>
  <c r="AY75" i="1"/>
  <c r="AX75" i="1"/>
  <c r="AZ74" i="1"/>
  <c r="AY74" i="1"/>
  <c r="AX74" i="1"/>
  <c r="AZ73" i="1"/>
  <c r="AY73" i="1"/>
  <c r="AX73" i="1"/>
  <c r="AZ72" i="1"/>
  <c r="AY72" i="1"/>
  <c r="AX72" i="1"/>
  <c r="AZ71" i="1"/>
  <c r="AY71" i="1"/>
  <c r="AX71" i="1"/>
  <c r="AZ70" i="1"/>
  <c r="AY70" i="1"/>
  <c r="AX70" i="1"/>
  <c r="AZ69" i="1"/>
  <c r="AY69" i="1"/>
  <c r="AX69" i="1"/>
  <c r="AZ68" i="1"/>
  <c r="AY68" i="1"/>
  <c r="AX68" i="1"/>
  <c r="AZ67" i="1"/>
  <c r="AY67" i="1"/>
  <c r="AX67" i="1"/>
  <c r="AZ66" i="1"/>
  <c r="AY66" i="1"/>
  <c r="AX66" i="1"/>
  <c r="AZ65" i="1"/>
  <c r="AY65" i="1"/>
  <c r="AX65" i="1"/>
  <c r="AZ64" i="1"/>
  <c r="AY64" i="1"/>
  <c r="AX64" i="1"/>
  <c r="AZ63" i="1"/>
  <c r="AY63" i="1"/>
  <c r="AX63" i="1"/>
  <c r="AZ62" i="1"/>
  <c r="AY62" i="1"/>
  <c r="AX62" i="1"/>
  <c r="AZ61" i="1"/>
  <c r="AY61" i="1"/>
  <c r="AX61" i="1"/>
  <c r="AZ60" i="1"/>
  <c r="AY60" i="1"/>
  <c r="AX60" i="1"/>
  <c r="AZ59" i="1"/>
  <c r="AY59" i="1"/>
  <c r="AX59" i="1"/>
  <c r="AZ58" i="1"/>
  <c r="AY58" i="1"/>
  <c r="AX58" i="1"/>
  <c r="AZ57" i="1"/>
  <c r="AY57" i="1"/>
  <c r="AX57" i="1"/>
  <c r="AZ56" i="1"/>
  <c r="AY56" i="1"/>
  <c r="AX56" i="1"/>
  <c r="AZ55" i="1"/>
  <c r="AY55" i="1"/>
  <c r="AX55" i="1"/>
  <c r="AZ54" i="1"/>
  <c r="AY54" i="1"/>
  <c r="AX54" i="1"/>
  <c r="AZ53" i="1"/>
  <c r="AY53" i="1"/>
  <c r="AX53" i="1"/>
  <c r="AZ52" i="1"/>
  <c r="AY52" i="1"/>
  <c r="AX52" i="1"/>
  <c r="AZ51" i="1"/>
  <c r="AY51" i="1"/>
  <c r="AX51" i="1"/>
  <c r="AZ50" i="1"/>
  <c r="AY50" i="1"/>
  <c r="AX50" i="1"/>
  <c r="AZ49" i="1"/>
  <c r="AY49" i="1"/>
  <c r="AX49" i="1"/>
  <c r="AZ48" i="1"/>
  <c r="AY48" i="1"/>
  <c r="AX48" i="1"/>
  <c r="AZ47" i="1"/>
  <c r="AY47" i="1"/>
  <c r="AX47" i="1"/>
  <c r="AZ46" i="1"/>
  <c r="AY46" i="1"/>
  <c r="AX46" i="1"/>
  <c r="AZ45" i="1"/>
  <c r="AY45" i="1"/>
  <c r="AX45" i="1"/>
  <c r="AZ44" i="1"/>
  <c r="AY44" i="1"/>
  <c r="AX44" i="1"/>
  <c r="AZ43" i="1"/>
  <c r="AY43" i="1"/>
  <c r="AX43" i="1"/>
  <c r="AZ42" i="1"/>
  <c r="AY42" i="1"/>
  <c r="AX42" i="1"/>
  <c r="AZ41" i="1"/>
  <c r="AY41" i="1"/>
  <c r="AX41" i="1"/>
  <c r="AZ40" i="1"/>
  <c r="AY40" i="1"/>
  <c r="AX40" i="1"/>
  <c r="AZ39" i="1"/>
  <c r="AY39" i="1"/>
  <c r="AX39" i="1"/>
  <c r="AZ38" i="1"/>
  <c r="AY38" i="1"/>
  <c r="AX38" i="1"/>
  <c r="AZ37" i="1"/>
  <c r="AY37" i="1"/>
  <c r="AX37" i="1"/>
  <c r="AZ36" i="1"/>
  <c r="AY36" i="1"/>
  <c r="AX36" i="1"/>
  <c r="AZ35" i="1"/>
  <c r="AY35" i="1"/>
  <c r="AX35" i="1"/>
  <c r="AZ34" i="1"/>
  <c r="AY34" i="1"/>
  <c r="AX34" i="1"/>
  <c r="AZ33" i="1"/>
  <c r="AY33" i="1"/>
  <c r="AX33" i="1"/>
  <c r="AZ32" i="1"/>
  <c r="AY32" i="1"/>
  <c r="AX32" i="1"/>
  <c r="AZ31" i="1"/>
  <c r="AY31" i="1"/>
  <c r="AX31" i="1"/>
  <c r="AZ30" i="1"/>
  <c r="AY30" i="1"/>
  <c r="AX30" i="1"/>
  <c r="AZ29" i="1"/>
  <c r="AY29" i="1"/>
  <c r="AX29" i="1"/>
  <c r="AZ28" i="1"/>
  <c r="AY28" i="1"/>
  <c r="AX28" i="1"/>
  <c r="AZ27" i="1"/>
  <c r="AY27" i="1"/>
  <c r="AX27" i="1"/>
  <c r="AZ26" i="1"/>
  <c r="AY26" i="1"/>
  <c r="AX26" i="1"/>
  <c r="AZ25" i="1"/>
  <c r="AY25" i="1"/>
  <c r="AX25" i="1"/>
  <c r="AZ24" i="1"/>
  <c r="AY24" i="1"/>
  <c r="AX24" i="1"/>
  <c r="AZ23" i="1"/>
  <c r="AY23" i="1"/>
  <c r="AX23" i="1"/>
  <c r="AZ22" i="1"/>
  <c r="AY22" i="1"/>
  <c r="AX22" i="1"/>
  <c r="AZ21" i="1"/>
  <c r="AY21" i="1"/>
  <c r="AX21" i="1"/>
  <c r="AZ20" i="1"/>
  <c r="AY20" i="1"/>
  <c r="AX20" i="1"/>
  <c r="AZ19" i="1"/>
  <c r="AY19" i="1"/>
  <c r="AX19" i="1"/>
  <c r="AZ18" i="1"/>
  <c r="AY18" i="1"/>
  <c r="AX18" i="1"/>
  <c r="AZ17" i="1"/>
  <c r="AY17" i="1"/>
  <c r="AX17" i="1"/>
  <c r="AZ16" i="1"/>
  <c r="AY16" i="1"/>
  <c r="AX16" i="1"/>
  <c r="AZ15" i="1"/>
  <c r="AY15" i="1"/>
  <c r="AX15" i="1"/>
  <c r="AZ14" i="1"/>
  <c r="AY14" i="1"/>
  <c r="AX14" i="1"/>
  <c r="AZ13" i="1"/>
  <c r="AY13" i="1"/>
  <c r="AX13" i="1"/>
  <c r="AZ12" i="1"/>
  <c r="AY12" i="1"/>
  <c r="AX12" i="1"/>
  <c r="AZ11" i="1"/>
  <c r="AY11" i="1"/>
  <c r="AX11" i="1"/>
  <c r="AZ10" i="1"/>
  <c r="AY10" i="1"/>
  <c r="AX10" i="1"/>
  <c r="AZ9" i="1"/>
  <c r="AY9" i="1"/>
  <c r="AX9" i="1"/>
  <c r="AZ8" i="1"/>
  <c r="AY8" i="1"/>
  <c r="AX8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Y6" i="1" l="1"/>
  <c r="AX6" i="1"/>
  <c r="AZ6" i="1"/>
</calcChain>
</file>

<file path=xl/sharedStrings.xml><?xml version="1.0" encoding="utf-8"?>
<sst xmlns="http://schemas.openxmlformats.org/spreadsheetml/2006/main" count="875" uniqueCount="138">
  <si>
    <t>SCHOOL LEVEL DATA ON NUMBER OF DROPOUT</t>
  </si>
  <si>
    <t>SY 2023-2024</t>
  </si>
  <si>
    <t>Based on official cut-off date of EOSY as of August 16, 2024</t>
  </si>
  <si>
    <t>ELEMENTARY LEVEL</t>
  </si>
  <si>
    <t>JUNIOR HIGH SCHOOL</t>
  </si>
  <si>
    <t>SENIOR HIGH SCHOOL</t>
  </si>
  <si>
    <t>K to 12 Grand Total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</si>
  <si>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</si>
  <si>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</si>
  <si>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</si>
  <si>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</si>
  <si>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</si>
  <si>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</si>
  <si>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</si>
  <si>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(SNED)</t>
  </si>
  <si>
    <t>Total</t>
  </si>
  <si>
    <t>Grade 7</t>
  </si>
  <si>
    <t>Grade 8</t>
  </si>
  <si>
    <t>Grade 9</t>
  </si>
  <si>
    <t>Grade 10</t>
  </si>
  <si>
    <t>Grade 11</t>
  </si>
  <si>
    <t>Grade 12</t>
  </si>
  <si>
    <t>Grand Total</t>
  </si>
  <si>
    <t>Male</t>
  </si>
  <si>
    <t>Female</t>
  </si>
  <si>
    <t>Region</t>
  </si>
  <si>
    <t>Division</t>
  </si>
  <si>
    <t>Province</t>
  </si>
  <si>
    <t>Municipality</t>
  </si>
  <si>
    <t>BEIS School ID</t>
  </si>
  <si>
    <t>School Name</t>
  </si>
  <si>
    <t>School Subclassification</t>
  </si>
  <si>
    <t>Sector</t>
  </si>
  <si>
    <t>Curricular Offering Classification</t>
  </si>
  <si>
    <t>School Type</t>
  </si>
  <si>
    <t>Region XI</t>
  </si>
  <si>
    <t>DepED Managed</t>
  </si>
  <si>
    <t>Public</t>
  </si>
  <si>
    <t>Kinder &amp; Grade 1-6</t>
  </si>
  <si>
    <t>School with no Annexes</t>
  </si>
  <si>
    <t>Grade 7-10 &amp; Grade 11-12</t>
  </si>
  <si>
    <t xml:space="preserve">Sectarian </t>
  </si>
  <si>
    <t>Private</t>
  </si>
  <si>
    <t>Kinder, Grade 1-6, Grade 7-10 &amp; Grade 11-12</t>
  </si>
  <si>
    <t xml:space="preserve">Non-Sectarian </t>
  </si>
  <si>
    <t>Kinder, Grade 1-6, Grade 7-10</t>
  </si>
  <si>
    <t>Grade 11-12</t>
  </si>
  <si>
    <t>Kinder</t>
  </si>
  <si>
    <t>Mati City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</si>
  <si>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</si>
  <si>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</si>
  <si>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</si>
  <si>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</si>
  <si>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</si>
  <si>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</si>
  <si>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</si>
  <si>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</si>
  <si>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</si>
  <si>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</si>
  <si>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</si>
  <si>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</si>
  <si>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</si>
  <si>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</si>
  <si>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</si>
  <si>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SCHOOL OF ARTS &amp; TRADES</t>
  </si>
  <si>
    <t>Badas NHS</t>
  </si>
  <si>
    <t>Immaculate Heart of Mary Academy</t>
  </si>
  <si>
    <t>Mati Polytechnic College</t>
  </si>
  <si>
    <t>Christian Life School of Davao Oriental, Inc.</t>
  </si>
  <si>
    <t>Don Bosco Training Center-Mati, Inc.</t>
  </si>
  <si>
    <t>Christian Academy in Davao Oriental Technological Colleges, Inc.</t>
  </si>
  <si>
    <t>Kinder, Grade 1-6  &amp; Grade 11-12</t>
  </si>
  <si>
    <t>Mother school</t>
  </si>
  <si>
    <t>Career Centre Academie and Technological Institute, Inc.</t>
  </si>
  <si>
    <t>Dvo. Oriental Institute of Technology, Inc.</t>
  </si>
  <si>
    <t>Sunbeam Christian School of Mati, Inc.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</si>
  <si>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</si>
  <si>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</si>
  <si>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</si>
  <si>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</si>
  <si>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</si>
  <si>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</si>
  <si>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</si>
  <si>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</si>
  <si>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</si>
  <si>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</si>
  <si>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</si>
  <si>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</si>
  <si>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</si>
  <si>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</si>
  <si>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</si>
  <si>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</si>
  <si>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Elementary School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</si>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</sst>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1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D3EC-9826-4AD2-9284-48093E0BC086}">
  <dimension ref="A1:AZ91"/>
  <sheetViews>
    <sheetView tabSelected="1" zoomScale="90" zoomScaleNormal="90" workbookViewId="0">
      <pane xSplit="10" ySplit="7" topLeftCell="K8" activePane="bottomRight" state="frozen"/>
      <selection pane="topRight" activeCell="K1" sqref="K1"/>
      <selection pane="bottomLeft" activeCell="A6" sqref="A6"/>
      <selection pane="bottomRight" activeCell="K8" sqref="K8"/>
    </sheetView>
  </sheetViews>
  <sheetFormatPr defaultRowHeight="15" x14ac:dyDescent="0.25"/>
  <cols>
    <col min="2" max="2" width="25.85546875" bestFit="1" customWidth="1"/>
    <col min="3" max="4" width="0" hidden="1" customWidth="1"/>
    <col min="6" max="6" width="25.85546875" bestFit="1" customWidth="1"/>
    <col min="7" max="7" width="0" hidden="1" customWidth="1"/>
    <col min="9" max="10" width="0" hidden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1" t="s">
        <v>2</v>
      </c>
      <c r="K3" s="2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 t="s">
        <v>4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2" t="s">
        <v>5</v>
      </c>
      <c r="AR3" s="2"/>
      <c r="AS3" s="2"/>
      <c r="AT3" s="2"/>
      <c r="AU3" s="2"/>
      <c r="AV3" s="2"/>
      <c r="AW3" s="2"/>
      <c r="AX3" s="4" t="s">
        <v>6</v>
      </c>
      <c r="AY3" s="4"/>
      <c r="AZ3" s="4"/>
    </row>
    <row r="4" spans="1:52" x14ac:dyDescent="0.25">
      <c r="K4" s="5" t="s">
        <v>7</v>
      </c>
      <c r="L4" s="5"/>
      <c r="M4" s="5" t="s">
        <v>8</v>
      </c>
      <c r="N4" s="5"/>
      <c r="O4" s="5" t="s">
        <v>9</v>
      </c>
      <c r="P4" s="5"/>
      <c r="Q4" s="5" t="s">
        <v>10</v>
      </c>
      <c r="R4" s="5"/>
      <c r="S4" s="5" t="s">
        <v>11</v>
      </c>
      <c r="T4" s="5"/>
      <c r="U4" s="5" t="s">
        <v>12</v>
      </c>
      <c r="V4" s="5"/>
      <c r="W4" s="5" t="s">
        <v>13</v>
      </c>
      <c r="X4" s="5"/>
      <c r="Y4" s="5" t="s">
        <v>14</v>
      </c>
      <c r="Z4" s="5"/>
      <c r="AA4" s="5" t="s">
        <v>15</v>
      </c>
      <c r="AB4" s="5"/>
      <c r="AC4" s="5"/>
      <c r="AD4" s="5" t="s">
        <v>16</v>
      </c>
      <c r="AE4" s="5"/>
      <c r="AF4" s="5" t="s">
        <v>17</v>
      </c>
      <c r="AG4" s="5"/>
      <c r="AH4" s="5" t="s">
        <v>18</v>
      </c>
      <c r="AI4" s="5"/>
      <c r="AJ4" s="5" t="s">
        <v>19</v>
      </c>
      <c r="AK4" s="5"/>
      <c r="AL4" s="5" t="s">
        <v>14</v>
      </c>
      <c r="AM4" s="5"/>
      <c r="AN4" s="5" t="s">
        <v>15</v>
      </c>
      <c r="AO4" s="5"/>
      <c r="AP4" s="5"/>
      <c r="AQ4" s="5" t="s">
        <v>20</v>
      </c>
      <c r="AR4" s="5"/>
      <c r="AS4" s="5" t="s">
        <v>21</v>
      </c>
      <c r="AT4" s="5"/>
      <c r="AU4" s="5" t="s">
        <v>22</v>
      </c>
      <c r="AV4" s="5"/>
      <c r="AW4" s="5"/>
      <c r="AX4" s="4"/>
      <c r="AY4" s="4"/>
      <c r="AZ4" s="4"/>
    </row>
    <row r="5" spans="1:52" x14ac:dyDescent="0.25">
      <c r="K5" s="6" t="s">
        <v>23</v>
      </c>
      <c r="L5" s="6" t="s">
        <v>24</v>
      </c>
      <c r="M5" s="6" t="s">
        <v>23</v>
      </c>
      <c r="N5" s="6" t="s">
        <v>24</v>
      </c>
      <c r="O5" s="6" t="s">
        <v>23</v>
      </c>
      <c r="P5" s="6" t="s">
        <v>24</v>
      </c>
      <c r="Q5" s="6" t="s">
        <v>23</v>
      </c>
      <c r="R5" s="6" t="s">
        <v>24</v>
      </c>
      <c r="S5" s="6" t="s">
        <v>23</v>
      </c>
      <c r="T5" s="6" t="s">
        <v>24</v>
      </c>
      <c r="U5" s="6" t="s">
        <v>23</v>
      </c>
      <c r="V5" s="6" t="s">
        <v>24</v>
      </c>
      <c r="W5" s="6" t="s">
        <v>23</v>
      </c>
      <c r="X5" s="6" t="s">
        <v>24</v>
      </c>
      <c r="Y5" s="6" t="s">
        <v>23</v>
      </c>
      <c r="Z5" s="6" t="s">
        <v>24</v>
      </c>
      <c r="AA5" s="6" t="s">
        <v>23</v>
      </c>
      <c r="AB5" s="6" t="s">
        <v>24</v>
      </c>
      <c r="AC5" s="6" t="s">
        <v>15</v>
      </c>
      <c r="AD5" s="6" t="s">
        <v>23</v>
      </c>
      <c r="AE5" s="6" t="s">
        <v>24</v>
      </c>
      <c r="AF5" s="6" t="s">
        <v>23</v>
      </c>
      <c r="AG5" s="6" t="s">
        <v>24</v>
      </c>
      <c r="AH5" s="6" t="s">
        <v>23</v>
      </c>
      <c r="AI5" s="6" t="s">
        <v>24</v>
      </c>
      <c r="AJ5" s="6" t="s">
        <v>23</v>
      </c>
      <c r="AK5" s="6" t="s">
        <v>24</v>
      </c>
      <c r="AL5" s="6" t="s">
        <v>23</v>
      </c>
      <c r="AM5" s="6" t="s">
        <v>24</v>
      </c>
      <c r="AN5" s="6" t="s">
        <v>23</v>
      </c>
      <c r="AO5" s="6" t="s">
        <v>24</v>
      </c>
      <c r="AP5" s="6" t="s">
        <v>15</v>
      </c>
      <c r="AQ5" s="6" t="s">
        <v>23</v>
      </c>
      <c r="AR5" s="6" t="s">
        <v>24</v>
      </c>
      <c r="AS5" s="6" t="s">
        <v>23</v>
      </c>
      <c r="AT5" s="6" t="s">
        <v>24</v>
      </c>
      <c r="AU5" s="6" t="s">
        <v>23</v>
      </c>
      <c r="AV5" s="6" t="s">
        <v>24</v>
      </c>
      <c r="AW5" s="6" t="s">
        <v>15</v>
      </c>
      <c r="AX5" s="6" t="s">
        <v>23</v>
      </c>
      <c r="AY5" s="6" t="s">
        <v>24</v>
      </c>
      <c r="AZ5" s="6" t="s">
        <v>15</v>
      </c>
    </row>
    <row r="6" spans="1:52" ht="14.1" customHeight="1" x14ac:dyDescent="0.25">
      <c r="K6" s="7">
        <f>SUM(K8:K91)</f>
        <v>64</v>
      </c>
      <c r="L6" s="7">
        <f>SUM(L8:L91)</f>
        <v>37</v>
      </c>
      <c r="M6" s="7">
        <f>SUM(M8:M91)</f>
        <v>23</v>
      </c>
      <c r="N6" s="7">
        <f>SUM(N8:N91)</f>
        <v>16</v>
      </c>
      <c r="O6" s="7">
        <f>SUM(O8:O91)</f>
        <v>22</v>
      </c>
      <c r="P6" s="7">
        <f>SUM(P8:P91)</f>
        <v>11</v>
      </c>
      <c r="Q6" s="7">
        <f>SUM(Q8:Q91)</f>
        <v>13</v>
      </c>
      <c r="R6" s="7">
        <f>SUM(R8:R91)</f>
        <v>10</v>
      </c>
      <c r="S6" s="7">
        <f>SUM(S8:S91)</f>
        <v>15</v>
      </c>
      <c r="T6" s="7">
        <f>SUM(T8:T91)</f>
        <v>8</v>
      </c>
      <c r="U6" s="7">
        <f>SUM(U8:U91)</f>
        <v>20</v>
      </c>
      <c r="V6" s="7">
        <f>SUM(V8:V91)</f>
        <v>3</v>
      </c>
      <c r="W6" s="7">
        <f>SUM(W8:W91)</f>
        <v>20</v>
      </c>
      <c r="X6" s="7">
        <f>SUM(X8:X91)</f>
        <v>11</v>
      </c>
      <c r="Y6" s="7">
        <f>SUM(Y8:Y91)</f>
        <v>0</v>
      </c>
      <c r="Z6" s="7">
        <f>SUM(Z8:Z91)</f>
        <v>0</v>
      </c>
      <c r="AA6" s="7">
        <f>SUM(AA8:AA91)</f>
        <v>177</v>
      </c>
      <c r="AB6" s="7">
        <f>SUM(AB8:AB91)</f>
        <v>96</v>
      </c>
      <c r="AC6" s="7">
        <f>SUM(AC8:AC91)</f>
        <v>273</v>
      </c>
      <c r="AD6" s="7">
        <f>SUM(AD8:AD91)</f>
        <v>79</v>
      </c>
      <c r="AE6" s="7">
        <f>SUM(AE8:AE91)</f>
        <v>33</v>
      </c>
      <c r="AF6" s="7">
        <f>SUM(AF8:AF91)</f>
        <v>57</v>
      </c>
      <c r="AG6" s="7">
        <f>SUM(AG8:AG91)</f>
        <v>41</v>
      </c>
      <c r="AH6" s="7">
        <f>SUM(AH8:AH91)</f>
        <v>41</v>
      </c>
      <c r="AI6" s="7">
        <f>SUM(AI8:AI91)</f>
        <v>30</v>
      </c>
      <c r="AJ6" s="7">
        <f>SUM(AJ8:AJ91)</f>
        <v>51</v>
      </c>
      <c r="AK6" s="7">
        <f>SUM(AK8:AK91)</f>
        <v>32</v>
      </c>
      <c r="AL6" s="7">
        <f>SUM(AL8:AL91)</f>
        <v>0</v>
      </c>
      <c r="AM6" s="7">
        <f>SUM(AM8:AM91)</f>
        <v>0</v>
      </c>
      <c r="AN6" s="7">
        <f>SUM(AN8:AN91)</f>
        <v>228</v>
      </c>
      <c r="AO6" s="7">
        <f>SUM(AO8:AO91)</f>
        <v>136</v>
      </c>
      <c r="AP6" s="7">
        <f>SUM(AP8:AP91)</f>
        <v>364</v>
      </c>
      <c r="AQ6" s="7">
        <f>SUM(AQ8:AQ91)</f>
        <v>42</v>
      </c>
      <c r="AR6" s="7">
        <f>SUM(AR8:AR91)</f>
        <v>34</v>
      </c>
      <c r="AS6" s="7">
        <f>SUM(AS8:AS91)</f>
        <v>15</v>
      </c>
      <c r="AT6" s="7">
        <f>SUM(AT8:AT91)</f>
        <v>21</v>
      </c>
      <c r="AU6" s="7">
        <f>SUM(AU8:AU91)</f>
        <v>57</v>
      </c>
      <c r="AV6" s="7">
        <f>SUM(AV8:AV91)</f>
        <v>55</v>
      </c>
      <c r="AW6" s="7">
        <f>SUM(AW8:AW91)</f>
        <v>112</v>
      </c>
      <c r="AX6" s="6">
        <f>SUM(AX8:AX91)</f>
        <v>462</v>
      </c>
      <c r="AY6" s="6">
        <f>SUM(AY8:AY91)</f>
        <v>287</v>
      </c>
      <c r="AZ6" s="6">
        <f>SUM(AZ8:AZ91)</f>
        <v>749</v>
      </c>
    </row>
    <row r="7" spans="1:52" s="1" customFormat="1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7" t="s">
        <v>23</v>
      </c>
      <c r="L7" s="7" t="s">
        <v>24</v>
      </c>
      <c r="M7" s="7" t="s">
        <v>23</v>
      </c>
      <c r="N7" s="7" t="s">
        <v>24</v>
      </c>
      <c r="O7" s="7" t="s">
        <v>23</v>
      </c>
      <c r="P7" s="7" t="s">
        <v>24</v>
      </c>
      <c r="Q7" s="7" t="s">
        <v>23</v>
      </c>
      <c r="R7" s="7" t="s">
        <v>24</v>
      </c>
      <c r="S7" s="7" t="s">
        <v>23</v>
      </c>
      <c r="T7" s="7" t="s">
        <v>24</v>
      </c>
      <c r="U7" s="7" t="s">
        <v>23</v>
      </c>
      <c r="V7" s="7" t="s">
        <v>24</v>
      </c>
      <c r="W7" s="7" t="s">
        <v>23</v>
      </c>
      <c r="X7" s="7" t="s">
        <v>24</v>
      </c>
      <c r="Y7" s="7" t="s">
        <v>23</v>
      </c>
      <c r="Z7" s="7" t="s">
        <v>24</v>
      </c>
      <c r="AA7" s="7" t="s">
        <v>23</v>
      </c>
      <c r="AB7" s="7" t="s">
        <v>24</v>
      </c>
      <c r="AC7" s="7" t="s">
        <v>15</v>
      </c>
      <c r="AD7" s="1" t="s">
        <v>23</v>
      </c>
      <c r="AE7" s="1" t="s">
        <v>24</v>
      </c>
      <c r="AF7" s="1" t="s">
        <v>23</v>
      </c>
      <c r="AG7" s="1" t="s">
        <v>24</v>
      </c>
      <c r="AH7" s="1" t="s">
        <v>23</v>
      </c>
      <c r="AI7" s="1" t="s">
        <v>24</v>
      </c>
      <c r="AJ7" s="1" t="s">
        <v>23</v>
      </c>
      <c r="AK7" s="1" t="s">
        <v>24</v>
      </c>
      <c r="AL7" s="1" t="s">
        <v>23</v>
      </c>
      <c r="AM7" s="1" t="s">
        <v>24</v>
      </c>
      <c r="AN7" s="1" t="s">
        <v>23</v>
      </c>
      <c r="AO7" s="1" t="s">
        <v>24</v>
      </c>
      <c r="AP7" s="1" t="s">
        <v>15</v>
      </c>
      <c r="AQ7" s="1" t="s">
        <v>23</v>
      </c>
      <c r="AR7" s="1" t="s">
        <v>24</v>
      </c>
      <c r="AS7" s="1" t="s">
        <v>23</v>
      </c>
      <c r="AT7" s="1" t="s">
        <v>24</v>
      </c>
      <c r="AU7" s="1" t="s">
        <v>23</v>
      </c>
      <c r="AV7" s="1" t="s">
        <v>24</v>
      </c>
      <c r="AW7" s="1" t="s">
        <v>15</v>
      </c>
      <c r="AX7" s="1" t="s">
        <v>23</v>
      </c>
      <c r="AY7" s="1" t="s">
        <v>24</v>
      </c>
      <c r="AZ7" s="1" t="s">
        <v>15</v>
      </c>
    </row>
    <row r="8" spans="1:52" x14ac:dyDescent="0.25">
      <c r="A8" t="s">
        <v>35</v>
      </c>
      <c r="B8" t="s">
        <v>48</v>
      </c>
      <c r="C8" t="s">
        <v>49</v>
      </c>
      <c r="D8" t="s">
        <v>50</v>
      </c>
      <c r="E8">
        <v>129374</v>
      </c>
      <c r="F8" t="s">
        <v>51</v>
      </c>
      <c r="G8" t="s">
        <v>36</v>
      </c>
      <c r="H8" t="s">
        <v>37</v>
      </c>
      <c r="I8" t="s">
        <v>38</v>
      </c>
      <c r="J8" t="s">
        <v>39</v>
      </c>
      <c r="K8" s="8">
        <v>4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4</v>
      </c>
      <c r="AB8" s="8">
        <v>0</v>
      </c>
      <c r="AC8" s="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9">
        <f>AA8+AN8+AU8</f>
        <v>4</v>
      </c>
      <c r="AY8" s="9">
        <f>AB8+AO8+AV8</f>
        <v>0</v>
      </c>
      <c r="AZ8" s="9">
        <f>AC8+AP8+AW8</f>
        <v>4</v>
      </c>
    </row>
    <row r="9" spans="1:52" x14ac:dyDescent="0.25">
      <c r="A9" t="s">
        <v>35</v>
      </c>
      <c r="B9" t="s">
        <v>48</v>
      </c>
      <c r="C9" t="s">
        <v>49</v>
      </c>
      <c r="D9" t="s">
        <v>50</v>
      </c>
      <c r="E9">
        <v>129375</v>
      </c>
      <c r="F9" t="s">
        <v>52</v>
      </c>
      <c r="G9" t="s">
        <v>36</v>
      </c>
      <c r="H9" t="s">
        <v>37</v>
      </c>
      <c r="I9" t="s">
        <v>38</v>
      </c>
      <c r="J9" t="s">
        <v>39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s="9">
        <f>AA9+AN9+AU9</f>
        <v>0</v>
      </c>
      <c r="AY9" s="9">
        <f>AB9+AO9+AV9</f>
        <v>0</v>
      </c>
      <c r="AZ9" s="9">
        <f>AC9+AP9+AW9</f>
        <v>0</v>
      </c>
    </row>
    <row r="10" spans="1:52" x14ac:dyDescent="0.25">
      <c r="A10" t="s">
        <v>35</v>
      </c>
      <c r="B10" t="s">
        <v>48</v>
      </c>
      <c r="C10" t="s">
        <v>49</v>
      </c>
      <c r="D10" t="s">
        <v>50</v>
      </c>
      <c r="E10">
        <v>129376</v>
      </c>
      <c r="F10" t="s">
        <v>53</v>
      </c>
      <c r="G10" t="s">
        <v>36</v>
      </c>
      <c r="H10" t="s">
        <v>37</v>
      </c>
      <c r="I10" t="s">
        <v>38</v>
      </c>
      <c r="J10" t="s">
        <v>39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s="9">
        <f>AA10+AN10+AU10</f>
        <v>0</v>
      </c>
      <c r="AY10" s="9">
        <f>AB10+AO10+AV10</f>
        <v>0</v>
      </c>
      <c r="AZ10" s="9">
        <f>AC10+AP10+AW10</f>
        <v>0</v>
      </c>
    </row>
    <row r="11" spans="1:52" x14ac:dyDescent="0.25">
      <c r="A11" t="s">
        <v>35</v>
      </c>
      <c r="B11" t="s">
        <v>48</v>
      </c>
      <c r="C11" t="s">
        <v>49</v>
      </c>
      <c r="D11" t="s">
        <v>50</v>
      </c>
      <c r="E11">
        <v>129377</v>
      </c>
      <c r="F11" t="s">
        <v>54</v>
      </c>
      <c r="G11" t="s">
        <v>36</v>
      </c>
      <c r="H11" t="s">
        <v>37</v>
      </c>
      <c r="I11" t="s">
        <v>38</v>
      </c>
      <c r="J11" t="s">
        <v>39</v>
      </c>
      <c r="K11" s="8">
        <v>2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3</v>
      </c>
      <c r="AB11" s="8">
        <v>2</v>
      </c>
      <c r="AC11" s="8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9">
        <f>AA11+AN11+AU11</f>
        <v>3</v>
      </c>
      <c r="AY11" s="9">
        <f>AB11+AO11+AV11</f>
        <v>2</v>
      </c>
      <c r="AZ11" s="9">
        <f>AC11+AP11+AW11</f>
        <v>5</v>
      </c>
    </row>
    <row r="12" spans="1:52" x14ac:dyDescent="0.25">
      <c r="A12" t="s">
        <v>35</v>
      </c>
      <c r="B12" t="s">
        <v>48</v>
      </c>
      <c r="C12" t="s">
        <v>49</v>
      </c>
      <c r="D12" t="s">
        <v>50</v>
      </c>
      <c r="E12">
        <v>129380</v>
      </c>
      <c r="F12" t="s">
        <v>55</v>
      </c>
      <c r="G12" t="s">
        <v>36</v>
      </c>
      <c r="H12" t="s">
        <v>37</v>
      </c>
      <c r="I12" t="s">
        <v>38</v>
      </c>
      <c r="J12" t="s">
        <v>39</v>
      </c>
      <c r="K12" s="8">
        <v>5</v>
      </c>
      <c r="L12" s="8">
        <v>3</v>
      </c>
      <c r="M12" s="8">
        <v>5</v>
      </c>
      <c r="N12" s="8">
        <v>3</v>
      </c>
      <c r="O12" s="8">
        <v>0</v>
      </c>
      <c r="P12" s="8">
        <v>0</v>
      </c>
      <c r="Q12" s="8">
        <v>0</v>
      </c>
      <c r="R12" s="8">
        <v>2</v>
      </c>
      <c r="S12" s="8">
        <v>1</v>
      </c>
      <c r="T12" s="8">
        <v>0</v>
      </c>
      <c r="U12" s="8">
        <v>2</v>
      </c>
      <c r="V12" s="8">
        <v>0</v>
      </c>
      <c r="W12" s="8">
        <v>3</v>
      </c>
      <c r="X12" s="8">
        <v>3</v>
      </c>
      <c r="Y12" s="8">
        <v>0</v>
      </c>
      <c r="Z12" s="8">
        <v>0</v>
      </c>
      <c r="AA12" s="8">
        <v>16</v>
      </c>
      <c r="AB12" s="8">
        <v>11</v>
      </c>
      <c r="AC12" s="8">
        <v>27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9">
        <f>AA12+AN12+AU12</f>
        <v>16</v>
      </c>
      <c r="AY12" s="9">
        <f>AB12+AO12+AV12</f>
        <v>11</v>
      </c>
      <c r="AZ12" s="9">
        <f>AC12+AP12+AW12</f>
        <v>27</v>
      </c>
    </row>
    <row r="13" spans="1:52" x14ac:dyDescent="0.25">
      <c r="A13" t="s">
        <v>35</v>
      </c>
      <c r="B13" t="s">
        <v>48</v>
      </c>
      <c r="C13" t="s">
        <v>49</v>
      </c>
      <c r="D13" t="s">
        <v>50</v>
      </c>
      <c r="E13">
        <v>129381</v>
      </c>
      <c r="F13" t="s">
        <v>56</v>
      </c>
      <c r="G13" t="s">
        <v>36</v>
      </c>
      <c r="H13" t="s">
        <v>37</v>
      </c>
      <c r="I13" t="s">
        <v>38</v>
      </c>
      <c r="J13" t="s">
        <v>39</v>
      </c>
      <c r="K13" s="8">
        <v>5</v>
      </c>
      <c r="L13" s="8">
        <v>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5</v>
      </c>
      <c r="AB13" s="8">
        <v>3</v>
      </c>
      <c r="AC13" s="8">
        <v>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s="9">
        <f>AA13+AN13+AU13</f>
        <v>5</v>
      </c>
      <c r="AY13" s="9">
        <f>AB13+AO13+AV13</f>
        <v>3</v>
      </c>
      <c r="AZ13" s="9">
        <f>AC13+AP13+AW13</f>
        <v>8</v>
      </c>
    </row>
    <row r="14" spans="1:52" x14ac:dyDescent="0.25">
      <c r="A14" t="s">
        <v>35</v>
      </c>
      <c r="B14" t="s">
        <v>48</v>
      </c>
      <c r="C14" t="s">
        <v>49</v>
      </c>
      <c r="D14" t="s">
        <v>50</v>
      </c>
      <c r="E14">
        <v>129382</v>
      </c>
      <c r="F14" t="s">
        <v>57</v>
      </c>
      <c r="G14" t="s">
        <v>36</v>
      </c>
      <c r="H14" t="s">
        <v>37</v>
      </c>
      <c r="I14" t="s">
        <v>38</v>
      </c>
      <c r="J14" t="s">
        <v>39</v>
      </c>
      <c r="K14" s="8">
        <v>10</v>
      </c>
      <c r="L14" s="8">
        <v>1</v>
      </c>
      <c r="M14" s="8">
        <v>0</v>
      </c>
      <c r="N14" s="8">
        <v>0</v>
      </c>
      <c r="O14" s="8">
        <v>3</v>
      </c>
      <c r="P14" s="8">
        <v>2</v>
      </c>
      <c r="Q14" s="8">
        <v>2</v>
      </c>
      <c r="R14" s="8">
        <v>0</v>
      </c>
      <c r="S14" s="8">
        <v>0</v>
      </c>
      <c r="T14" s="8">
        <v>1</v>
      </c>
      <c r="U14" s="8">
        <v>0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16</v>
      </c>
      <c r="AB14" s="8">
        <v>4</v>
      </c>
      <c r="AC14" s="8">
        <v>20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9">
        <f>AA14+AN14+AU14</f>
        <v>16</v>
      </c>
      <c r="AY14" s="9">
        <f>AB14+AO14+AV14</f>
        <v>4</v>
      </c>
      <c r="AZ14" s="9">
        <f>AC14+AP14+AW14</f>
        <v>20</v>
      </c>
    </row>
    <row r="15" spans="1:52" x14ac:dyDescent="0.25">
      <c r="A15" t="s">
        <v>35</v>
      </c>
      <c r="B15" t="s">
        <v>48</v>
      </c>
      <c r="C15" t="s">
        <v>49</v>
      </c>
      <c r="D15" t="s">
        <v>50</v>
      </c>
      <c r="E15">
        <v>129383</v>
      </c>
      <c r="F15" t="s">
        <v>58</v>
      </c>
      <c r="G15" t="s">
        <v>36</v>
      </c>
      <c r="H15" t="s">
        <v>37</v>
      </c>
      <c r="I15" t="s">
        <v>38</v>
      </c>
      <c r="J15" t="s">
        <v>39</v>
      </c>
      <c r="K15" s="8">
        <v>2</v>
      </c>
      <c r="L15" s="8">
        <v>3</v>
      </c>
      <c r="M15" s="8">
        <v>0</v>
      </c>
      <c r="N15" s="8">
        <v>0</v>
      </c>
      <c r="O15" s="8">
        <v>1</v>
      </c>
      <c r="P15" s="8">
        <v>1</v>
      </c>
      <c r="Q15" s="8">
        <v>1</v>
      </c>
      <c r="R15" s="8">
        <v>1</v>
      </c>
      <c r="S15" s="8">
        <v>0</v>
      </c>
      <c r="T15" s="8">
        <v>1</v>
      </c>
      <c r="U15" s="8">
        <v>3</v>
      </c>
      <c r="V15" s="8">
        <v>1</v>
      </c>
      <c r="W15" s="8">
        <v>1</v>
      </c>
      <c r="X15" s="8">
        <v>1</v>
      </c>
      <c r="Y15" s="8">
        <v>0</v>
      </c>
      <c r="Z15" s="8">
        <v>0</v>
      </c>
      <c r="AA15" s="8">
        <v>8</v>
      </c>
      <c r="AB15" s="8">
        <v>8</v>
      </c>
      <c r="AC15" s="8">
        <v>16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9">
        <f>AA15+AN15+AU15</f>
        <v>8</v>
      </c>
      <c r="AY15" s="9">
        <f>AB15+AO15+AV15</f>
        <v>8</v>
      </c>
      <c r="AZ15" s="9">
        <f>AC15+AP15+AW15</f>
        <v>16</v>
      </c>
    </row>
    <row r="16" spans="1:52" x14ac:dyDescent="0.25">
      <c r="A16" t="s">
        <v>35</v>
      </c>
      <c r="B16" t="s">
        <v>48</v>
      </c>
      <c r="C16" t="s">
        <v>49</v>
      </c>
      <c r="D16" t="s">
        <v>50</v>
      </c>
      <c r="E16">
        <v>129384</v>
      </c>
      <c r="F16" t="s">
        <v>59</v>
      </c>
      <c r="G16" t="s">
        <v>36</v>
      </c>
      <c r="H16" t="s">
        <v>37</v>
      </c>
      <c r="I16" t="s">
        <v>38</v>
      </c>
      <c r="J16" t="s">
        <v>39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2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3</v>
      </c>
      <c r="AB16" s="8">
        <v>0</v>
      </c>
      <c r="AC16" s="8">
        <v>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9">
        <f>AA16+AN16+AU16</f>
        <v>3</v>
      </c>
      <c r="AY16" s="9">
        <f>AB16+AO16+AV16</f>
        <v>0</v>
      </c>
      <c r="AZ16" s="9">
        <f>AC16+AP16+AW16</f>
        <v>3</v>
      </c>
    </row>
    <row r="17" spans="1:52" x14ac:dyDescent="0.25">
      <c r="A17" t="s">
        <v>35</v>
      </c>
      <c r="B17" t="s">
        <v>48</v>
      </c>
      <c r="C17" t="s">
        <v>49</v>
      </c>
      <c r="D17" t="s">
        <v>50</v>
      </c>
      <c r="E17">
        <v>129385</v>
      </c>
      <c r="F17" t="s">
        <v>60</v>
      </c>
      <c r="G17" t="s">
        <v>36</v>
      </c>
      <c r="H17" t="s">
        <v>37</v>
      </c>
      <c r="I17" t="s">
        <v>38</v>
      </c>
      <c r="J17" t="s">
        <v>39</v>
      </c>
      <c r="K17" s="8">
        <v>3</v>
      </c>
      <c r="L17" s="8">
        <v>2</v>
      </c>
      <c r="M17" s="8">
        <v>1</v>
      </c>
      <c r="N17" s="8">
        <v>1</v>
      </c>
      <c r="O17" s="8">
        <v>3</v>
      </c>
      <c r="P17" s="8">
        <v>1</v>
      </c>
      <c r="Q17" s="8">
        <v>0</v>
      </c>
      <c r="R17" s="8">
        <v>1</v>
      </c>
      <c r="S17" s="8">
        <v>3</v>
      </c>
      <c r="T17" s="8">
        <v>1</v>
      </c>
      <c r="U17" s="8">
        <v>1</v>
      </c>
      <c r="V17" s="8">
        <v>0</v>
      </c>
      <c r="W17" s="8">
        <v>2</v>
      </c>
      <c r="X17" s="8">
        <v>0</v>
      </c>
      <c r="Y17" s="8">
        <v>0</v>
      </c>
      <c r="Z17" s="8">
        <v>0</v>
      </c>
      <c r="AA17" s="8">
        <v>13</v>
      </c>
      <c r="AB17" s="8">
        <v>6</v>
      </c>
      <c r="AC17" s="8">
        <v>19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9">
        <f>AA17+AN17+AU17</f>
        <v>13</v>
      </c>
      <c r="AY17" s="9">
        <f>AB17+AO17+AV17</f>
        <v>6</v>
      </c>
      <c r="AZ17" s="9">
        <f>AC17+AP17+AW17</f>
        <v>19</v>
      </c>
    </row>
    <row r="18" spans="1:52" x14ac:dyDescent="0.25">
      <c r="A18" t="s">
        <v>35</v>
      </c>
      <c r="B18" t="s">
        <v>48</v>
      </c>
      <c r="C18" t="s">
        <v>49</v>
      </c>
      <c r="D18" t="s">
        <v>50</v>
      </c>
      <c r="E18">
        <v>129386</v>
      </c>
      <c r="F18" t="s">
        <v>61</v>
      </c>
      <c r="G18" t="s">
        <v>36</v>
      </c>
      <c r="H18" t="s">
        <v>37</v>
      </c>
      <c r="I18" t="s">
        <v>38</v>
      </c>
      <c r="J18" t="s">
        <v>39</v>
      </c>
      <c r="K18" s="8">
        <v>0</v>
      </c>
      <c r="L18" s="8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</v>
      </c>
      <c r="AC18" s="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9">
        <f>AA18+AN18+AU18</f>
        <v>0</v>
      </c>
      <c r="AY18" s="9">
        <f>AB18+AO18+AV18</f>
        <v>1</v>
      </c>
      <c r="AZ18" s="9">
        <f>AC18+AP18+AW18</f>
        <v>1</v>
      </c>
    </row>
    <row r="19" spans="1:52" x14ac:dyDescent="0.25">
      <c r="A19" t="s">
        <v>35</v>
      </c>
      <c r="B19" t="s">
        <v>48</v>
      </c>
      <c r="C19" t="s">
        <v>49</v>
      </c>
      <c r="D19" t="s">
        <v>50</v>
      </c>
      <c r="E19">
        <v>205504</v>
      </c>
      <c r="F19" t="s">
        <v>62</v>
      </c>
      <c r="G19" t="s">
        <v>36</v>
      </c>
      <c r="H19" t="s">
        <v>37</v>
      </c>
      <c r="I19" t="s">
        <v>38</v>
      </c>
      <c r="J19" t="s">
        <v>39</v>
      </c>
      <c r="K19" s="8">
        <v>0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</v>
      </c>
      <c r="X19" s="8">
        <v>0</v>
      </c>
      <c r="Y19" s="8">
        <v>0</v>
      </c>
      <c r="Z19" s="8">
        <v>0</v>
      </c>
      <c r="AA19" s="8">
        <v>2</v>
      </c>
      <c r="AB19" s="8">
        <v>0</v>
      </c>
      <c r="AC19" s="8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9">
        <f>AA19+AN19+AU19</f>
        <v>2</v>
      </c>
      <c r="AY19" s="9">
        <f>AB19+AO19+AV19</f>
        <v>0</v>
      </c>
      <c r="AZ19" s="9">
        <f>AC19+AP19+AW19</f>
        <v>2</v>
      </c>
    </row>
    <row r="20" spans="1:52" x14ac:dyDescent="0.25">
      <c r="A20" t="s">
        <v>35</v>
      </c>
      <c r="B20" t="s">
        <v>48</v>
      </c>
      <c r="C20" t="s">
        <v>49</v>
      </c>
      <c r="D20" t="s">
        <v>50</v>
      </c>
      <c r="E20">
        <v>304325</v>
      </c>
      <c r="F20" t="s">
        <v>63</v>
      </c>
      <c r="G20" t="s">
        <v>36</v>
      </c>
      <c r="H20" t="s">
        <v>37</v>
      </c>
      <c r="I20" t="s">
        <v>40</v>
      </c>
      <c r="J20" t="s">
        <v>39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>
        <v>29</v>
      </c>
      <c r="AE20">
        <v>14</v>
      </c>
      <c r="AF20">
        <v>16</v>
      </c>
      <c r="AG20">
        <v>13</v>
      </c>
      <c r="AH20">
        <v>18</v>
      </c>
      <c r="AI20">
        <v>14</v>
      </c>
      <c r="AJ20">
        <v>17</v>
      </c>
      <c r="AK20">
        <v>11</v>
      </c>
      <c r="AL20">
        <v>0</v>
      </c>
      <c r="AM20">
        <v>0</v>
      </c>
      <c r="AN20">
        <v>80</v>
      </c>
      <c r="AO20">
        <v>52</v>
      </c>
      <c r="AP20">
        <v>132</v>
      </c>
      <c r="AQ20">
        <v>22</v>
      </c>
      <c r="AR20">
        <v>15</v>
      </c>
      <c r="AS20">
        <v>10</v>
      </c>
      <c r="AT20">
        <v>14</v>
      </c>
      <c r="AU20">
        <v>32</v>
      </c>
      <c r="AV20">
        <v>29</v>
      </c>
      <c r="AW20">
        <v>61</v>
      </c>
      <c r="AX20" s="9">
        <f>AA20+AN20+AU20</f>
        <v>112</v>
      </c>
      <c r="AY20" s="9">
        <f>AB20+AO20+AV20</f>
        <v>81</v>
      </c>
      <c r="AZ20" s="9">
        <f>AC20+AP20+AW20</f>
        <v>193</v>
      </c>
    </row>
    <row r="21" spans="1:52" x14ac:dyDescent="0.25">
      <c r="A21" t="s">
        <v>35</v>
      </c>
      <c r="B21" t="s">
        <v>48</v>
      </c>
      <c r="C21" t="s">
        <v>49</v>
      </c>
      <c r="D21" t="s">
        <v>50</v>
      </c>
      <c r="E21">
        <v>304326</v>
      </c>
      <c r="F21" t="s">
        <v>64</v>
      </c>
      <c r="G21" t="s">
        <v>36</v>
      </c>
      <c r="H21" t="s">
        <v>37</v>
      </c>
      <c r="I21" t="s">
        <v>40</v>
      </c>
      <c r="J21" t="s">
        <v>39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>
        <v>6</v>
      </c>
      <c r="AE21">
        <v>3</v>
      </c>
      <c r="AF21">
        <v>7</v>
      </c>
      <c r="AG21">
        <v>2</v>
      </c>
      <c r="AH21">
        <v>2</v>
      </c>
      <c r="AI21">
        <v>1</v>
      </c>
      <c r="AJ21">
        <v>2</v>
      </c>
      <c r="AK21">
        <v>2</v>
      </c>
      <c r="AL21">
        <v>0</v>
      </c>
      <c r="AM21">
        <v>0</v>
      </c>
      <c r="AN21">
        <v>17</v>
      </c>
      <c r="AO21">
        <v>8</v>
      </c>
      <c r="AP21">
        <v>25</v>
      </c>
      <c r="AQ21">
        <v>7</v>
      </c>
      <c r="AR21">
        <v>11</v>
      </c>
      <c r="AS21">
        <v>2</v>
      </c>
      <c r="AT21">
        <v>4</v>
      </c>
      <c r="AU21">
        <v>9</v>
      </c>
      <c r="AV21">
        <v>15</v>
      </c>
      <c r="AW21">
        <v>24</v>
      </c>
      <c r="AX21" s="9">
        <f>AA21+AN21+AU21</f>
        <v>26</v>
      </c>
      <c r="AY21" s="9">
        <f>AB21+AO21+AV21</f>
        <v>23</v>
      </c>
      <c r="AZ21" s="9">
        <f>AC21+AP21+AW21</f>
        <v>49</v>
      </c>
    </row>
    <row r="22" spans="1:52" x14ac:dyDescent="0.25">
      <c r="A22" t="s">
        <v>35</v>
      </c>
      <c r="B22" t="s">
        <v>48</v>
      </c>
      <c r="C22" t="s">
        <v>49</v>
      </c>
      <c r="D22" t="s">
        <v>50</v>
      </c>
      <c r="E22">
        <v>325104</v>
      </c>
      <c r="F22" t="s">
        <v>65</v>
      </c>
      <c r="G22" t="s">
        <v>36</v>
      </c>
      <c r="H22" t="s">
        <v>37</v>
      </c>
      <c r="I22" t="s">
        <v>40</v>
      </c>
      <c r="J22" t="s">
        <v>39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>
        <v>7</v>
      </c>
      <c r="AE22">
        <v>4</v>
      </c>
      <c r="AF22">
        <v>4</v>
      </c>
      <c r="AG22">
        <v>3</v>
      </c>
      <c r="AH22">
        <v>2</v>
      </c>
      <c r="AI22">
        <v>4</v>
      </c>
      <c r="AJ22">
        <v>2</v>
      </c>
      <c r="AK22">
        <v>5</v>
      </c>
      <c r="AL22">
        <v>0</v>
      </c>
      <c r="AM22">
        <v>0</v>
      </c>
      <c r="AN22">
        <v>15</v>
      </c>
      <c r="AO22">
        <v>16</v>
      </c>
      <c r="AP22">
        <v>31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9">
        <f>AA22+AN22+AU22</f>
        <v>15</v>
      </c>
      <c r="AY22" s="9">
        <f>AB22+AO22+AV22</f>
        <v>16</v>
      </c>
      <c r="AZ22" s="9">
        <f>AC22+AP22+AW22</f>
        <v>31</v>
      </c>
    </row>
    <row r="23" spans="1:52" x14ac:dyDescent="0.25">
      <c r="A23" t="s">
        <v>35</v>
      </c>
      <c r="B23" t="s">
        <v>48</v>
      </c>
      <c r="C23" t="s">
        <v>49</v>
      </c>
      <c r="D23" t="s">
        <v>50</v>
      </c>
      <c r="E23">
        <v>405423</v>
      </c>
      <c r="F23" t="s">
        <v>66</v>
      </c>
      <c r="G23" t="s">
        <v>41</v>
      </c>
      <c r="H23" t="s">
        <v>42</v>
      </c>
      <c r="I23" t="s">
        <v>43</v>
      </c>
      <c r="J23" t="s">
        <v>39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9">
        <f>AA23+AN23+AU23</f>
        <v>0</v>
      </c>
      <c r="AY23" s="9">
        <f>AB23+AO23+AV23</f>
        <v>0</v>
      </c>
      <c r="AZ23" s="9">
        <f>AC23+AP23+AW23</f>
        <v>0</v>
      </c>
    </row>
    <row r="24" spans="1:52" x14ac:dyDescent="0.25">
      <c r="A24" t="s">
        <v>35</v>
      </c>
      <c r="B24" t="s">
        <v>48</v>
      </c>
      <c r="C24" t="s">
        <v>49</v>
      </c>
      <c r="D24" t="s">
        <v>50</v>
      </c>
      <c r="E24">
        <v>405424</v>
      </c>
      <c r="F24" t="s">
        <v>67</v>
      </c>
      <c r="G24" t="s">
        <v>41</v>
      </c>
      <c r="H24" t="s">
        <v>42</v>
      </c>
      <c r="I24" t="s">
        <v>40</v>
      </c>
      <c r="J24" t="s">
        <v>39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9">
        <f>AA24+AN24+AU24</f>
        <v>0</v>
      </c>
      <c r="AY24" s="9">
        <f>AB24+AO24+AV24</f>
        <v>0</v>
      </c>
      <c r="AZ24" s="9">
        <f>AC24+AP24+AW24</f>
        <v>0</v>
      </c>
    </row>
    <row r="25" spans="1:52" x14ac:dyDescent="0.25">
      <c r="A25" t="s">
        <v>35</v>
      </c>
      <c r="B25" t="s">
        <v>48</v>
      </c>
      <c r="C25" t="s">
        <v>49</v>
      </c>
      <c r="D25" t="s">
        <v>50</v>
      </c>
      <c r="E25">
        <v>405426</v>
      </c>
      <c r="F25" t="s">
        <v>68</v>
      </c>
      <c r="G25" t="s">
        <v>41</v>
      </c>
      <c r="H25" t="s">
        <v>42</v>
      </c>
      <c r="I25" t="s">
        <v>45</v>
      </c>
      <c r="J25" t="s">
        <v>39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9">
        <f>AA25+AN25+AU25</f>
        <v>0</v>
      </c>
      <c r="AY25" s="9">
        <f>AB25+AO25+AV25</f>
        <v>0</v>
      </c>
      <c r="AZ25" s="9">
        <f>AC25+AP25+AW25</f>
        <v>0</v>
      </c>
    </row>
    <row r="26" spans="1:52" x14ac:dyDescent="0.25">
      <c r="A26" t="s">
        <v>35</v>
      </c>
      <c r="B26" t="s">
        <v>48</v>
      </c>
      <c r="C26" t="s">
        <v>49</v>
      </c>
      <c r="D26" t="s">
        <v>50</v>
      </c>
      <c r="E26">
        <v>405812</v>
      </c>
      <c r="F26" t="s">
        <v>69</v>
      </c>
      <c r="G26" t="s">
        <v>44</v>
      </c>
      <c r="H26" t="s">
        <v>42</v>
      </c>
      <c r="I26" t="s">
        <v>46</v>
      </c>
      <c r="J26" t="s">
        <v>39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9">
        <f>AA26+AN26+AU26</f>
        <v>0</v>
      </c>
      <c r="AY26" s="9">
        <f>AB26+AO26+AV26</f>
        <v>0</v>
      </c>
      <c r="AZ26" s="9">
        <f>AC26+AP26+AW26</f>
        <v>0</v>
      </c>
    </row>
    <row r="27" spans="1:52" x14ac:dyDescent="0.25">
      <c r="A27" t="s">
        <v>35</v>
      </c>
      <c r="B27" t="s">
        <v>48</v>
      </c>
      <c r="C27" t="s">
        <v>49</v>
      </c>
      <c r="D27" t="s">
        <v>50</v>
      </c>
      <c r="E27">
        <v>407899</v>
      </c>
      <c r="F27" t="s">
        <v>70</v>
      </c>
      <c r="G27" t="s">
        <v>41</v>
      </c>
      <c r="H27" t="s">
        <v>42</v>
      </c>
      <c r="I27" t="s">
        <v>71</v>
      </c>
      <c r="J27" t="s">
        <v>72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9">
        <f>AA27+AN27+AU27</f>
        <v>0</v>
      </c>
      <c r="AY27" s="9">
        <f>AB27+AO27+AV27</f>
        <v>0</v>
      </c>
      <c r="AZ27" s="9">
        <f>AC27+AP27+AW27</f>
        <v>0</v>
      </c>
    </row>
    <row r="28" spans="1:52" x14ac:dyDescent="0.25">
      <c r="A28" t="s">
        <v>35</v>
      </c>
      <c r="B28" t="s">
        <v>48</v>
      </c>
      <c r="C28" t="s">
        <v>49</v>
      </c>
      <c r="D28" t="s">
        <v>50</v>
      </c>
      <c r="E28">
        <v>410494</v>
      </c>
      <c r="F28" t="s">
        <v>73</v>
      </c>
      <c r="G28" t="s">
        <v>44</v>
      </c>
      <c r="H28" t="s">
        <v>42</v>
      </c>
      <c r="I28" t="s">
        <v>46</v>
      </c>
      <c r="J28" t="s">
        <v>39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</v>
      </c>
      <c r="AR28">
        <v>3</v>
      </c>
      <c r="AS28">
        <v>2</v>
      </c>
      <c r="AT28">
        <v>2</v>
      </c>
      <c r="AU28">
        <v>5</v>
      </c>
      <c r="AV28">
        <v>5</v>
      </c>
      <c r="AW28">
        <v>10</v>
      </c>
      <c r="AX28" s="9">
        <f>AA28+AN28+AU28</f>
        <v>5</v>
      </c>
      <c r="AY28" s="9">
        <f>AB28+AO28+AV28</f>
        <v>5</v>
      </c>
      <c r="AZ28" s="9">
        <f>AC28+AP28+AW28</f>
        <v>10</v>
      </c>
    </row>
    <row r="29" spans="1:52" x14ac:dyDescent="0.25">
      <c r="A29" t="s">
        <v>35</v>
      </c>
      <c r="B29" t="s">
        <v>48</v>
      </c>
      <c r="C29" t="s">
        <v>49</v>
      </c>
      <c r="D29" t="s">
        <v>50</v>
      </c>
      <c r="E29">
        <v>410843</v>
      </c>
      <c r="F29" t="s">
        <v>74</v>
      </c>
      <c r="G29" t="s">
        <v>44</v>
      </c>
      <c r="H29" t="s">
        <v>42</v>
      </c>
      <c r="I29" t="s">
        <v>46</v>
      </c>
      <c r="J29" t="s">
        <v>39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9">
        <f>AA29+AN29+AU29</f>
        <v>0</v>
      </c>
      <c r="AY29" s="9">
        <f>AB29+AO29+AV29</f>
        <v>0</v>
      </c>
      <c r="AZ29" s="9">
        <f>AC29+AP29+AW29</f>
        <v>0</v>
      </c>
    </row>
    <row r="30" spans="1:52" x14ac:dyDescent="0.25">
      <c r="A30" t="s">
        <v>35</v>
      </c>
      <c r="B30" t="s">
        <v>48</v>
      </c>
      <c r="C30" t="s">
        <v>49</v>
      </c>
      <c r="D30" t="s">
        <v>50</v>
      </c>
      <c r="E30">
        <v>465506</v>
      </c>
      <c r="F30" t="s">
        <v>75</v>
      </c>
      <c r="G30" t="s">
        <v>44</v>
      </c>
      <c r="H30" t="s">
        <v>42</v>
      </c>
      <c r="I30" t="s">
        <v>43</v>
      </c>
      <c r="J30" t="s">
        <v>39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9">
        <f>AA30+AN30+AU30</f>
        <v>0</v>
      </c>
      <c r="AY30" s="9">
        <f>AB30+AO30+AV30</f>
        <v>0</v>
      </c>
      <c r="AZ30" s="9">
        <f>AC30+AP30+AW30</f>
        <v>0</v>
      </c>
    </row>
    <row r="31" spans="1:52" x14ac:dyDescent="0.25">
      <c r="A31" t="s">
        <v>35</v>
      </c>
      <c r="B31" t="s">
        <v>48</v>
      </c>
      <c r="C31" t="s">
        <v>49</v>
      </c>
      <c r="D31" t="s">
        <v>50</v>
      </c>
      <c r="E31">
        <v>500454</v>
      </c>
      <c r="F31" t="s">
        <v>76</v>
      </c>
      <c r="G31" t="s">
        <v>36</v>
      </c>
      <c r="H31" t="s">
        <v>37</v>
      </c>
      <c r="I31" t="s">
        <v>43</v>
      </c>
      <c r="J31" t="s">
        <v>39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1</v>
      </c>
      <c r="AB31" s="8">
        <v>0</v>
      </c>
      <c r="AC31" s="8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9">
        <f>AA31+AN31+AU31</f>
        <v>1</v>
      </c>
      <c r="AY31" s="9">
        <f>AB31+AO31+AV31</f>
        <v>0</v>
      </c>
      <c r="AZ31" s="9">
        <f>AC31+AP31+AW31</f>
        <v>1</v>
      </c>
    </row>
    <row r="32" spans="1:52" x14ac:dyDescent="0.25">
      <c r="A32" t="s">
        <v>35</v>
      </c>
      <c r="B32" t="s">
        <v>48</v>
      </c>
      <c r="C32" t="s">
        <v>49</v>
      </c>
      <c r="D32" t="s">
        <v>50</v>
      </c>
      <c r="E32">
        <v>501424</v>
      </c>
      <c r="F32" t="s">
        <v>77</v>
      </c>
      <c r="G32" t="s">
        <v>36</v>
      </c>
      <c r="H32" t="s">
        <v>37</v>
      </c>
      <c r="I32" t="s">
        <v>43</v>
      </c>
      <c r="J32" t="s">
        <v>39</v>
      </c>
      <c r="K32" s="8">
        <v>1</v>
      </c>
      <c r="L32" s="8">
        <v>0</v>
      </c>
      <c r="M32" s="8">
        <v>2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4</v>
      </c>
      <c r="AB32" s="8">
        <v>0</v>
      </c>
      <c r="AC32" s="8">
        <v>4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1</v>
      </c>
      <c r="AX32" s="9">
        <f>AA32+AN32+AU32</f>
        <v>6</v>
      </c>
      <c r="AY32" s="9">
        <f>AB32+AO32+AV32</f>
        <v>0</v>
      </c>
      <c r="AZ32" s="9">
        <f>AC32+AP32+AW32</f>
        <v>6</v>
      </c>
    </row>
    <row r="33" spans="1:52" x14ac:dyDescent="0.25">
      <c r="A33" t="s">
        <v>35</v>
      </c>
      <c r="B33" t="s">
        <v>48</v>
      </c>
      <c r="C33" t="s">
        <v>49</v>
      </c>
      <c r="D33" t="s">
        <v>50</v>
      </c>
      <c r="E33">
        <v>101813</v>
      </c>
      <c r="F33" t="s">
        <v>78</v>
      </c>
      <c r="G33" t="s">
        <v>36</v>
      </c>
      <c r="H33" t="s">
        <v>37</v>
      </c>
      <c r="I33" t="s">
        <v>38</v>
      </c>
      <c r="J33" t="s">
        <v>39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1</v>
      </c>
      <c r="X33" s="8">
        <v>0</v>
      </c>
      <c r="Y33" s="8">
        <v>0</v>
      </c>
      <c r="Z33" s="8">
        <v>0</v>
      </c>
      <c r="AA33" s="8">
        <v>1</v>
      </c>
      <c r="AB33" s="8">
        <v>0</v>
      </c>
      <c r="AC33" s="8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9">
        <f>AA33+AN33+AU33</f>
        <v>1</v>
      </c>
      <c r="AY33" s="9">
        <f>AB33+AO33+AV33</f>
        <v>0</v>
      </c>
      <c r="AZ33" s="9">
        <f>AC33+AP33+AW33</f>
        <v>1</v>
      </c>
    </row>
    <row r="34" spans="1:52" x14ac:dyDescent="0.25">
      <c r="A34" t="s">
        <v>35</v>
      </c>
      <c r="B34" t="s">
        <v>48</v>
      </c>
      <c r="C34" t="s">
        <v>49</v>
      </c>
      <c r="D34" t="s">
        <v>50</v>
      </c>
      <c r="E34">
        <v>129387</v>
      </c>
      <c r="F34" t="s">
        <v>79</v>
      </c>
      <c r="G34" t="s">
        <v>36</v>
      </c>
      <c r="H34" t="s">
        <v>37</v>
      </c>
      <c r="I34" t="s">
        <v>38</v>
      </c>
      <c r="J34" t="s">
        <v>39</v>
      </c>
      <c r="K34" s="8">
        <v>2</v>
      </c>
      <c r="L34" s="8">
        <v>2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2</v>
      </c>
      <c r="AB34" s="8">
        <v>3</v>
      </c>
      <c r="AC34" s="8">
        <v>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9">
        <f>AA34+AN34+AU34</f>
        <v>2</v>
      </c>
      <c r="AY34" s="9">
        <f>AB34+AO34+AV34</f>
        <v>3</v>
      </c>
      <c r="AZ34" s="9">
        <f>AC34+AP34+AW34</f>
        <v>5</v>
      </c>
    </row>
    <row r="35" spans="1:52" x14ac:dyDescent="0.25">
      <c r="A35" t="s">
        <v>35</v>
      </c>
      <c r="B35" t="s">
        <v>48</v>
      </c>
      <c r="C35" t="s">
        <v>49</v>
      </c>
      <c r="D35" t="s">
        <v>50</v>
      </c>
      <c r="E35">
        <v>129388</v>
      </c>
      <c r="F35" t="s">
        <v>80</v>
      </c>
      <c r="G35" t="s">
        <v>36</v>
      </c>
      <c r="H35" t="s">
        <v>37</v>
      </c>
      <c r="I35" t="s">
        <v>38</v>
      </c>
      <c r="J35" t="s">
        <v>39</v>
      </c>
      <c r="K35" s="8">
        <v>1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1</v>
      </c>
      <c r="R35" s="8">
        <v>1</v>
      </c>
      <c r="S35" s="8">
        <v>1</v>
      </c>
      <c r="T35" s="8">
        <v>0</v>
      </c>
      <c r="U35" s="8">
        <v>1</v>
      </c>
      <c r="V35" s="8">
        <v>1</v>
      </c>
      <c r="W35" s="8">
        <v>0</v>
      </c>
      <c r="X35" s="8">
        <v>0</v>
      </c>
      <c r="Y35" s="8">
        <v>0</v>
      </c>
      <c r="Z35" s="8">
        <v>0</v>
      </c>
      <c r="AA35" s="8">
        <v>4</v>
      </c>
      <c r="AB35" s="8">
        <v>3</v>
      </c>
      <c r="AC35" s="8">
        <v>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9">
        <f>AA35+AN35+AU35</f>
        <v>4</v>
      </c>
      <c r="AY35" s="9">
        <f>AB35+AO35+AV35</f>
        <v>3</v>
      </c>
      <c r="AZ35" s="9">
        <f>AC35+AP35+AW35</f>
        <v>7</v>
      </c>
    </row>
    <row r="36" spans="1:52" x14ac:dyDescent="0.25">
      <c r="A36" t="s">
        <v>35</v>
      </c>
      <c r="B36" t="s">
        <v>48</v>
      </c>
      <c r="C36" t="s">
        <v>49</v>
      </c>
      <c r="D36" t="s">
        <v>50</v>
      </c>
      <c r="E36">
        <v>129389</v>
      </c>
      <c r="F36" t="s">
        <v>81</v>
      </c>
      <c r="G36" t="s">
        <v>36</v>
      </c>
      <c r="H36" t="s">
        <v>37</v>
      </c>
      <c r="I36" t="s">
        <v>38</v>
      </c>
      <c r="J36" t="s">
        <v>39</v>
      </c>
      <c r="K36" s="8">
        <v>4</v>
      </c>
      <c r="L36" s="8">
        <v>5</v>
      </c>
      <c r="M36" s="8">
        <v>4</v>
      </c>
      <c r="N36" s="8">
        <v>2</v>
      </c>
      <c r="O36" s="8">
        <v>1</v>
      </c>
      <c r="P36" s="8">
        <v>1</v>
      </c>
      <c r="Q36" s="8">
        <v>0</v>
      </c>
      <c r="R36" s="8">
        <v>0</v>
      </c>
      <c r="S36" s="8">
        <v>2</v>
      </c>
      <c r="T36" s="8">
        <v>1</v>
      </c>
      <c r="U36" s="8">
        <v>2</v>
      </c>
      <c r="V36" s="8">
        <v>1</v>
      </c>
      <c r="W36" s="8">
        <v>4</v>
      </c>
      <c r="X36" s="8">
        <v>0</v>
      </c>
      <c r="Y36" s="8">
        <v>0</v>
      </c>
      <c r="Z36" s="8">
        <v>0</v>
      </c>
      <c r="AA36" s="8">
        <v>17</v>
      </c>
      <c r="AB36" s="8">
        <v>10</v>
      </c>
      <c r="AC36" s="8">
        <v>27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9">
        <f>AA36+AN36+AU36</f>
        <v>17</v>
      </c>
      <c r="AY36" s="9">
        <f>AB36+AO36+AV36</f>
        <v>10</v>
      </c>
      <c r="AZ36" s="9">
        <f>AC36+AP36+AW36</f>
        <v>27</v>
      </c>
    </row>
    <row r="37" spans="1:52" x14ac:dyDescent="0.25">
      <c r="A37" t="s">
        <v>35</v>
      </c>
      <c r="B37" t="s">
        <v>48</v>
      </c>
      <c r="C37" t="s">
        <v>49</v>
      </c>
      <c r="D37" t="s">
        <v>50</v>
      </c>
      <c r="E37">
        <v>129390</v>
      </c>
      <c r="F37" t="s">
        <v>82</v>
      </c>
      <c r="G37" t="s">
        <v>36</v>
      </c>
      <c r="H37" t="s">
        <v>37</v>
      </c>
      <c r="I37" t="s">
        <v>38</v>
      </c>
      <c r="J37" t="s">
        <v>39</v>
      </c>
      <c r="K37" s="8">
        <v>0</v>
      </c>
      <c r="L37" s="8">
        <v>0</v>
      </c>
      <c r="M37" s="8">
        <v>2</v>
      </c>
      <c r="N37" s="8">
        <v>2</v>
      </c>
      <c r="O37" s="8">
        <v>0</v>
      </c>
      <c r="P37" s="8">
        <v>0</v>
      </c>
      <c r="Q37" s="8">
        <v>0</v>
      </c>
      <c r="R37" s="8">
        <v>0</v>
      </c>
      <c r="S37" s="8">
        <v>2</v>
      </c>
      <c r="T37" s="8">
        <v>0</v>
      </c>
      <c r="U37" s="8">
        <v>1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5</v>
      </c>
      <c r="AB37" s="8">
        <v>2</v>
      </c>
      <c r="AC37" s="8">
        <v>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9">
        <f>AA37+AN37+AU37</f>
        <v>5</v>
      </c>
      <c r="AY37" s="9">
        <f>AB37+AO37+AV37</f>
        <v>2</v>
      </c>
      <c r="AZ37" s="9">
        <f>AC37+AP37+AW37</f>
        <v>7</v>
      </c>
    </row>
    <row r="38" spans="1:52" x14ac:dyDescent="0.25">
      <c r="A38" t="s">
        <v>35</v>
      </c>
      <c r="B38" t="s">
        <v>48</v>
      </c>
      <c r="C38" t="s">
        <v>49</v>
      </c>
      <c r="D38" t="s">
        <v>50</v>
      </c>
      <c r="E38">
        <v>129391</v>
      </c>
      <c r="F38" t="s">
        <v>83</v>
      </c>
      <c r="G38" t="s">
        <v>36</v>
      </c>
      <c r="H38" t="s">
        <v>37</v>
      </c>
      <c r="I38" t="s">
        <v>38</v>
      </c>
      <c r="J38" t="s">
        <v>39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9">
        <f>AA38+AN38+AU38</f>
        <v>0</v>
      </c>
      <c r="AY38" s="9">
        <f>AB38+AO38+AV38</f>
        <v>0</v>
      </c>
      <c r="AZ38" s="9">
        <f>AC38+AP38+AW38</f>
        <v>0</v>
      </c>
    </row>
    <row r="39" spans="1:52" x14ac:dyDescent="0.25">
      <c r="A39" t="s">
        <v>35</v>
      </c>
      <c r="B39" t="s">
        <v>48</v>
      </c>
      <c r="C39" t="s">
        <v>49</v>
      </c>
      <c r="D39" t="s">
        <v>50</v>
      </c>
      <c r="E39">
        <v>129392</v>
      </c>
      <c r="F39" t="s">
        <v>84</v>
      </c>
      <c r="G39" t="s">
        <v>36</v>
      </c>
      <c r="H39" t="s">
        <v>37</v>
      </c>
      <c r="I39" t="s">
        <v>38</v>
      </c>
      <c r="J39" t="s">
        <v>39</v>
      </c>
      <c r="K39" s="8">
        <v>1</v>
      </c>
      <c r="L39" s="8">
        <v>1</v>
      </c>
      <c r="M39" s="8">
        <v>1</v>
      </c>
      <c r="N39" s="8">
        <v>0</v>
      </c>
      <c r="O39" s="8">
        <v>0</v>
      </c>
      <c r="P39" s="8">
        <v>0</v>
      </c>
      <c r="Q39" s="8">
        <v>1</v>
      </c>
      <c r="R39" s="8">
        <v>1</v>
      </c>
      <c r="S39" s="8">
        <v>0</v>
      </c>
      <c r="T39" s="8">
        <v>1</v>
      </c>
      <c r="U39" s="8">
        <v>1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4</v>
      </c>
      <c r="AB39" s="8">
        <v>3</v>
      </c>
      <c r="AC39" s="8">
        <v>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9">
        <f>AA39+AN39+AU39</f>
        <v>4</v>
      </c>
      <c r="AY39" s="9">
        <f>AB39+AO39+AV39</f>
        <v>3</v>
      </c>
      <c r="AZ39" s="9">
        <f>AC39+AP39+AW39</f>
        <v>7</v>
      </c>
    </row>
    <row r="40" spans="1:52" x14ac:dyDescent="0.25">
      <c r="A40" t="s">
        <v>35</v>
      </c>
      <c r="B40" t="s">
        <v>48</v>
      </c>
      <c r="C40" t="s">
        <v>49</v>
      </c>
      <c r="D40" t="s">
        <v>50</v>
      </c>
      <c r="E40">
        <v>129393</v>
      </c>
      <c r="F40" t="s">
        <v>85</v>
      </c>
      <c r="G40" t="s">
        <v>36</v>
      </c>
      <c r="H40" t="s">
        <v>37</v>
      </c>
      <c r="I40" t="s">
        <v>38</v>
      </c>
      <c r="J40" t="s">
        <v>39</v>
      </c>
      <c r="K40" s="8">
        <v>0</v>
      </c>
      <c r="L40" s="8">
        <v>1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1</v>
      </c>
      <c r="AB40" s="8">
        <v>1</v>
      </c>
      <c r="AC40" s="8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 s="9">
        <f>AA40+AN40+AU40</f>
        <v>1</v>
      </c>
      <c r="AY40" s="9">
        <f>AB40+AO40+AV40</f>
        <v>1</v>
      </c>
      <c r="AZ40" s="9">
        <f>AC40+AP40+AW40</f>
        <v>2</v>
      </c>
    </row>
    <row r="41" spans="1:52" x14ac:dyDescent="0.25">
      <c r="A41" t="s">
        <v>35</v>
      </c>
      <c r="B41" t="s">
        <v>48</v>
      </c>
      <c r="C41" t="s">
        <v>49</v>
      </c>
      <c r="D41" t="s">
        <v>50</v>
      </c>
      <c r="E41">
        <v>129394</v>
      </c>
      <c r="F41" t="s">
        <v>86</v>
      </c>
      <c r="G41" t="s">
        <v>36</v>
      </c>
      <c r="H41" t="s">
        <v>37</v>
      </c>
      <c r="I41" t="s">
        <v>38</v>
      </c>
      <c r="J41" t="s">
        <v>39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9">
        <f>AA41+AN41+AU41</f>
        <v>0</v>
      </c>
      <c r="AY41" s="9">
        <f>AB41+AO41+AV41</f>
        <v>0</v>
      </c>
      <c r="AZ41" s="9">
        <f>AC41+AP41+AW41</f>
        <v>0</v>
      </c>
    </row>
    <row r="42" spans="1:52" x14ac:dyDescent="0.25">
      <c r="A42" t="s">
        <v>35</v>
      </c>
      <c r="B42" t="s">
        <v>48</v>
      </c>
      <c r="C42" t="s">
        <v>49</v>
      </c>
      <c r="D42" t="s">
        <v>50</v>
      </c>
      <c r="E42">
        <v>129395</v>
      </c>
      <c r="F42" t="s">
        <v>87</v>
      </c>
      <c r="G42" t="s">
        <v>36</v>
      </c>
      <c r="H42" t="s">
        <v>37</v>
      </c>
      <c r="I42" t="s">
        <v>38</v>
      </c>
      <c r="J42" t="s">
        <v>39</v>
      </c>
      <c r="K42" s="8">
        <v>1</v>
      </c>
      <c r="L42" s="8">
        <v>1</v>
      </c>
      <c r="M42" s="8">
        <v>4</v>
      </c>
      <c r="N42" s="8">
        <v>5</v>
      </c>
      <c r="O42" s="8">
        <v>2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2</v>
      </c>
      <c r="V42" s="8">
        <v>0</v>
      </c>
      <c r="W42" s="8">
        <v>0</v>
      </c>
      <c r="X42" s="8">
        <v>1</v>
      </c>
      <c r="Y42" s="8">
        <v>0</v>
      </c>
      <c r="Z42" s="8">
        <v>0</v>
      </c>
      <c r="AA42" s="8">
        <v>9</v>
      </c>
      <c r="AB42" s="8">
        <v>8</v>
      </c>
      <c r="AC42" s="8">
        <v>17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9">
        <f>AA42+AN42+AU42</f>
        <v>9</v>
      </c>
      <c r="AY42" s="9">
        <f>AB42+AO42+AV42</f>
        <v>8</v>
      </c>
      <c r="AZ42" s="9">
        <f>AC42+AP42+AW42</f>
        <v>17</v>
      </c>
    </row>
    <row r="43" spans="1:52" x14ac:dyDescent="0.25">
      <c r="A43" t="s">
        <v>35</v>
      </c>
      <c r="B43" t="s">
        <v>48</v>
      </c>
      <c r="C43" t="s">
        <v>49</v>
      </c>
      <c r="D43" t="s">
        <v>50</v>
      </c>
      <c r="E43">
        <v>129396</v>
      </c>
      <c r="F43" t="s">
        <v>88</v>
      </c>
      <c r="G43" t="s">
        <v>36</v>
      </c>
      <c r="H43" t="s">
        <v>37</v>
      </c>
      <c r="I43" t="s">
        <v>38</v>
      </c>
      <c r="J43" t="s">
        <v>39</v>
      </c>
      <c r="K43" s="8">
        <v>3</v>
      </c>
      <c r="L43" s="8">
        <v>2</v>
      </c>
      <c r="M43" s="8">
        <v>0</v>
      </c>
      <c r="N43" s="8">
        <v>0</v>
      </c>
      <c r="O43" s="8">
        <v>5</v>
      </c>
      <c r="P43" s="8">
        <v>0</v>
      </c>
      <c r="Q43" s="8">
        <v>0</v>
      </c>
      <c r="R43" s="8">
        <v>0</v>
      </c>
      <c r="S43" s="8">
        <v>1</v>
      </c>
      <c r="T43" s="8">
        <v>1</v>
      </c>
      <c r="U43" s="8">
        <v>1</v>
      </c>
      <c r="V43" s="8">
        <v>0</v>
      </c>
      <c r="W43" s="8">
        <v>1</v>
      </c>
      <c r="X43" s="8">
        <v>0</v>
      </c>
      <c r="Y43" s="8">
        <v>0</v>
      </c>
      <c r="Z43" s="8">
        <v>0</v>
      </c>
      <c r="AA43" s="8">
        <v>11</v>
      </c>
      <c r="AB43" s="8">
        <v>3</v>
      </c>
      <c r="AC43" s="8">
        <v>14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9">
        <f>AA43+AN43+AU43</f>
        <v>11</v>
      </c>
      <c r="AY43" s="9">
        <f>AB43+AO43+AV43</f>
        <v>3</v>
      </c>
      <c r="AZ43" s="9">
        <f>AC43+AP43+AW43</f>
        <v>14</v>
      </c>
    </row>
    <row r="44" spans="1:52" x14ac:dyDescent="0.25">
      <c r="A44" t="s">
        <v>35</v>
      </c>
      <c r="B44" t="s">
        <v>48</v>
      </c>
      <c r="C44" t="s">
        <v>49</v>
      </c>
      <c r="D44" t="s">
        <v>50</v>
      </c>
      <c r="E44">
        <v>129397</v>
      </c>
      <c r="F44" t="s">
        <v>89</v>
      </c>
      <c r="G44" t="s">
        <v>36</v>
      </c>
      <c r="H44" t="s">
        <v>37</v>
      </c>
      <c r="I44" t="s">
        <v>38</v>
      </c>
      <c r="J44" t="s">
        <v>39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1</v>
      </c>
      <c r="AC44" s="8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9">
        <f>AA44+AN44+AU44</f>
        <v>0</v>
      </c>
      <c r="AY44" s="9">
        <f>AB44+AO44+AV44</f>
        <v>1</v>
      </c>
      <c r="AZ44" s="9">
        <f>AC44+AP44+AW44</f>
        <v>1</v>
      </c>
    </row>
    <row r="45" spans="1:52" x14ac:dyDescent="0.25">
      <c r="A45" t="s">
        <v>35</v>
      </c>
      <c r="B45" t="s">
        <v>48</v>
      </c>
      <c r="C45" t="s">
        <v>49</v>
      </c>
      <c r="D45" t="s">
        <v>50</v>
      </c>
      <c r="E45">
        <v>129398</v>
      </c>
      <c r="F45" t="s">
        <v>90</v>
      </c>
      <c r="G45" t="s">
        <v>36</v>
      </c>
      <c r="H45" t="s">
        <v>37</v>
      </c>
      <c r="I45" t="s">
        <v>38</v>
      </c>
      <c r="J45" t="s">
        <v>39</v>
      </c>
      <c r="K45" s="8">
        <v>1</v>
      </c>
      <c r="L45" s="8">
        <v>3</v>
      </c>
      <c r="M45" s="8">
        <v>0</v>
      </c>
      <c r="N45" s="8">
        <v>1</v>
      </c>
      <c r="O45" s="8">
        <v>3</v>
      </c>
      <c r="P45" s="8">
        <v>4</v>
      </c>
      <c r="Q45" s="8">
        <v>2</v>
      </c>
      <c r="R45" s="8">
        <v>1</v>
      </c>
      <c r="S45" s="8">
        <v>0</v>
      </c>
      <c r="T45" s="8">
        <v>0</v>
      </c>
      <c r="U45" s="8">
        <v>0</v>
      </c>
      <c r="V45" s="8">
        <v>0</v>
      </c>
      <c r="W45" s="8">
        <v>2</v>
      </c>
      <c r="X45" s="8">
        <v>1</v>
      </c>
      <c r="Y45" s="8">
        <v>0</v>
      </c>
      <c r="Z45" s="8">
        <v>0</v>
      </c>
      <c r="AA45" s="8">
        <v>8</v>
      </c>
      <c r="AB45" s="8">
        <v>10</v>
      </c>
      <c r="AC45" s="8">
        <v>18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9">
        <f>AA45+AN45+AU45</f>
        <v>8</v>
      </c>
      <c r="AY45" s="9">
        <f>AB45+AO45+AV45</f>
        <v>10</v>
      </c>
      <c r="AZ45" s="9">
        <f>AC45+AP45+AW45</f>
        <v>18</v>
      </c>
    </row>
    <row r="46" spans="1:52" x14ac:dyDescent="0.25">
      <c r="A46" t="s">
        <v>35</v>
      </c>
      <c r="B46" t="s">
        <v>48</v>
      </c>
      <c r="C46" t="s">
        <v>49</v>
      </c>
      <c r="D46" t="s">
        <v>50</v>
      </c>
      <c r="E46">
        <v>129399</v>
      </c>
      <c r="F46" t="s">
        <v>91</v>
      </c>
      <c r="G46" t="s">
        <v>36</v>
      </c>
      <c r="H46" t="s">
        <v>37</v>
      </c>
      <c r="I46" t="s">
        <v>38</v>
      </c>
      <c r="J46" t="s">
        <v>39</v>
      </c>
      <c r="K46" s="8">
        <v>2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2</v>
      </c>
      <c r="AB46" s="8">
        <v>0</v>
      </c>
      <c r="AC46" s="8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9">
        <f>AA46+AN46+AU46</f>
        <v>2</v>
      </c>
      <c r="AY46" s="9">
        <f>AB46+AO46+AV46</f>
        <v>0</v>
      </c>
      <c r="AZ46" s="9">
        <f>AC46+AP46+AW46</f>
        <v>2</v>
      </c>
    </row>
    <row r="47" spans="1:52" x14ac:dyDescent="0.25">
      <c r="A47" t="s">
        <v>35</v>
      </c>
      <c r="B47" t="s">
        <v>48</v>
      </c>
      <c r="C47" t="s">
        <v>49</v>
      </c>
      <c r="D47" t="s">
        <v>50</v>
      </c>
      <c r="E47">
        <v>129400</v>
      </c>
      <c r="F47" t="s">
        <v>92</v>
      </c>
      <c r="G47" t="s">
        <v>36</v>
      </c>
      <c r="H47" t="s">
        <v>37</v>
      </c>
      <c r="I47" t="s">
        <v>38</v>
      </c>
      <c r="J47" t="s">
        <v>39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9">
        <f>AA47+AN47+AU47</f>
        <v>0</v>
      </c>
      <c r="AY47" s="9">
        <f>AB47+AO47+AV47</f>
        <v>0</v>
      </c>
      <c r="AZ47" s="9">
        <f>AC47+AP47+AW47</f>
        <v>0</v>
      </c>
    </row>
    <row r="48" spans="1:52" x14ac:dyDescent="0.25">
      <c r="A48" t="s">
        <v>35</v>
      </c>
      <c r="B48" t="s">
        <v>48</v>
      </c>
      <c r="C48" t="s">
        <v>49</v>
      </c>
      <c r="D48" t="s">
        <v>50</v>
      </c>
      <c r="E48">
        <v>129401</v>
      </c>
      <c r="F48" t="s">
        <v>93</v>
      </c>
      <c r="G48" t="s">
        <v>36</v>
      </c>
      <c r="H48" t="s">
        <v>37</v>
      </c>
      <c r="I48" t="s">
        <v>38</v>
      </c>
      <c r="J48" t="s">
        <v>39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1</v>
      </c>
      <c r="Y48" s="8">
        <v>0</v>
      </c>
      <c r="Z48" s="8">
        <v>0</v>
      </c>
      <c r="AA48" s="8">
        <v>0</v>
      </c>
      <c r="AB48" s="8">
        <v>1</v>
      </c>
      <c r="AC48" s="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9">
        <f>AA48+AN48+AU48</f>
        <v>0</v>
      </c>
      <c r="AY48" s="9">
        <f>AB48+AO48+AV48</f>
        <v>1</v>
      </c>
      <c r="AZ48" s="9">
        <f>AC48+AP48+AW48</f>
        <v>1</v>
      </c>
    </row>
    <row r="49" spans="1:52" x14ac:dyDescent="0.25">
      <c r="A49" t="s">
        <v>35</v>
      </c>
      <c r="B49" t="s">
        <v>48</v>
      </c>
      <c r="C49" t="s">
        <v>49</v>
      </c>
      <c r="D49" t="s">
        <v>50</v>
      </c>
      <c r="E49">
        <v>129402</v>
      </c>
      <c r="F49" t="s">
        <v>94</v>
      </c>
      <c r="G49" t="s">
        <v>36</v>
      </c>
      <c r="H49" t="s">
        <v>37</v>
      </c>
      <c r="I49" t="s">
        <v>38</v>
      </c>
      <c r="J49" t="s">
        <v>39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1</v>
      </c>
      <c r="R49" s="8">
        <v>0</v>
      </c>
      <c r="S49" s="8">
        <v>0</v>
      </c>
      <c r="T49" s="8">
        <v>0</v>
      </c>
      <c r="U49" s="8">
        <v>1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2</v>
      </c>
      <c r="AB49" s="8">
        <v>1</v>
      </c>
      <c r="AC49" s="8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s="9">
        <f>AA49+AN49+AU49</f>
        <v>2</v>
      </c>
      <c r="AY49" s="9">
        <f>AB49+AO49+AV49</f>
        <v>1</v>
      </c>
      <c r="AZ49" s="9">
        <f>AC49+AP49+AW49</f>
        <v>3</v>
      </c>
    </row>
    <row r="50" spans="1:52" x14ac:dyDescent="0.25">
      <c r="A50" t="s">
        <v>35</v>
      </c>
      <c r="B50" t="s">
        <v>48</v>
      </c>
      <c r="C50" t="s">
        <v>49</v>
      </c>
      <c r="D50" t="s">
        <v>50</v>
      </c>
      <c r="E50">
        <v>129403</v>
      </c>
      <c r="F50" t="s">
        <v>95</v>
      </c>
      <c r="G50" t="s">
        <v>36</v>
      </c>
      <c r="H50" t="s">
        <v>37</v>
      </c>
      <c r="I50" t="s">
        <v>38</v>
      </c>
      <c r="J50" t="s">
        <v>39</v>
      </c>
      <c r="K50" s="8">
        <v>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9">
        <f>AA50+AN50+AU50</f>
        <v>1</v>
      </c>
      <c r="AY50" s="9">
        <f>AB50+AO50+AV50</f>
        <v>0</v>
      </c>
      <c r="AZ50" s="9">
        <f>AC50+AP50+AW50</f>
        <v>1</v>
      </c>
    </row>
    <row r="51" spans="1:52" x14ac:dyDescent="0.25">
      <c r="A51" t="s">
        <v>35</v>
      </c>
      <c r="B51" t="s">
        <v>48</v>
      </c>
      <c r="C51" t="s">
        <v>49</v>
      </c>
      <c r="D51" t="s">
        <v>50</v>
      </c>
      <c r="E51">
        <v>129404</v>
      </c>
      <c r="F51" t="s">
        <v>96</v>
      </c>
      <c r="G51" t="s">
        <v>36</v>
      </c>
      <c r="H51" t="s">
        <v>37</v>
      </c>
      <c r="I51" t="s">
        <v>38</v>
      </c>
      <c r="J51" t="s">
        <v>39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9">
        <f>AA51+AN51+AU51</f>
        <v>0</v>
      </c>
      <c r="AY51" s="9">
        <f>AB51+AO51+AV51</f>
        <v>0</v>
      </c>
      <c r="AZ51" s="9">
        <f>AC51+AP51+AW51</f>
        <v>0</v>
      </c>
    </row>
    <row r="52" spans="1:52" x14ac:dyDescent="0.25">
      <c r="A52" t="s">
        <v>35</v>
      </c>
      <c r="B52" t="s">
        <v>48</v>
      </c>
      <c r="C52" t="s">
        <v>49</v>
      </c>
      <c r="D52" t="s">
        <v>50</v>
      </c>
      <c r="E52">
        <v>129405</v>
      </c>
      <c r="F52" t="s">
        <v>97</v>
      </c>
      <c r="G52" t="s">
        <v>36</v>
      </c>
      <c r="H52" t="s">
        <v>37</v>
      </c>
      <c r="I52" t="s">
        <v>38</v>
      </c>
      <c r="J52" t="s">
        <v>39</v>
      </c>
      <c r="K52" s="8">
        <v>1</v>
      </c>
      <c r="L52" s="8">
        <v>1</v>
      </c>
      <c r="M52" s="8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1</v>
      </c>
      <c r="V52" s="8">
        <v>0</v>
      </c>
      <c r="W52" s="8">
        <v>1</v>
      </c>
      <c r="X52" s="8">
        <v>0</v>
      </c>
      <c r="Y52" s="8">
        <v>0</v>
      </c>
      <c r="Z52" s="8">
        <v>0</v>
      </c>
      <c r="AA52" s="8">
        <v>5</v>
      </c>
      <c r="AB52" s="8">
        <v>1</v>
      </c>
      <c r="AC52" s="8">
        <v>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9">
        <f>AA52+AN52+AU52</f>
        <v>5</v>
      </c>
      <c r="AY52" s="9">
        <f>AB52+AO52+AV52</f>
        <v>1</v>
      </c>
      <c r="AZ52" s="9">
        <f>AC52+AP52+AW52</f>
        <v>6</v>
      </c>
    </row>
    <row r="53" spans="1:52" x14ac:dyDescent="0.25">
      <c r="A53" t="s">
        <v>35</v>
      </c>
      <c r="B53" t="s">
        <v>48</v>
      </c>
      <c r="C53" t="s">
        <v>49</v>
      </c>
      <c r="D53" t="s">
        <v>50</v>
      </c>
      <c r="E53">
        <v>129406</v>
      </c>
      <c r="F53" t="s">
        <v>98</v>
      </c>
      <c r="G53" t="s">
        <v>36</v>
      </c>
      <c r="H53" t="s">
        <v>37</v>
      </c>
      <c r="I53" t="s">
        <v>38</v>
      </c>
      <c r="J53" t="s">
        <v>39</v>
      </c>
      <c r="K53" s="8">
        <v>1</v>
      </c>
      <c r="L53" s="8">
        <v>1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1</v>
      </c>
      <c r="AB53" s="8">
        <v>1</v>
      </c>
      <c r="AC53" s="8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9">
        <f>AA53+AN53+AU53</f>
        <v>1</v>
      </c>
      <c r="AY53" s="9">
        <f>AB53+AO53+AV53</f>
        <v>1</v>
      </c>
      <c r="AZ53" s="9">
        <f>AC53+AP53+AW53</f>
        <v>2</v>
      </c>
    </row>
    <row r="54" spans="1:52" x14ac:dyDescent="0.25">
      <c r="A54" t="s">
        <v>35</v>
      </c>
      <c r="B54" t="s">
        <v>48</v>
      </c>
      <c r="C54" t="s">
        <v>49</v>
      </c>
      <c r="D54" t="s">
        <v>50</v>
      </c>
      <c r="E54">
        <v>129407</v>
      </c>
      <c r="F54" t="s">
        <v>99</v>
      </c>
      <c r="G54" t="s">
        <v>36</v>
      </c>
      <c r="H54" t="s">
        <v>37</v>
      </c>
      <c r="I54" t="s">
        <v>38</v>
      </c>
      <c r="J54" t="s">
        <v>39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9">
        <f>AA54+AN54+AU54</f>
        <v>0</v>
      </c>
      <c r="AY54" s="9">
        <f>AB54+AO54+AV54</f>
        <v>0</v>
      </c>
      <c r="AZ54" s="9">
        <f>AC54+AP54+AW54</f>
        <v>0</v>
      </c>
    </row>
    <row r="55" spans="1:52" x14ac:dyDescent="0.25">
      <c r="A55" t="s">
        <v>35</v>
      </c>
      <c r="B55" t="s">
        <v>48</v>
      </c>
      <c r="C55" t="s">
        <v>49</v>
      </c>
      <c r="D55" t="s">
        <v>50</v>
      </c>
      <c r="E55">
        <v>129408</v>
      </c>
      <c r="F55" t="s">
        <v>100</v>
      </c>
      <c r="G55" t="s">
        <v>36</v>
      </c>
      <c r="H55" t="s">
        <v>37</v>
      </c>
      <c r="I55" t="s">
        <v>38</v>
      </c>
      <c r="J55" t="s">
        <v>39</v>
      </c>
      <c r="K55" s="8">
        <v>1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1</v>
      </c>
      <c r="AB55" s="8">
        <v>0</v>
      </c>
      <c r="AC55" s="8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9">
        <f>AA55+AN55+AU55</f>
        <v>1</v>
      </c>
      <c r="AY55" s="9">
        <f>AB55+AO55+AV55</f>
        <v>0</v>
      </c>
      <c r="AZ55" s="9">
        <f>AC55+AP55+AW55</f>
        <v>1</v>
      </c>
    </row>
    <row r="56" spans="1:52" x14ac:dyDescent="0.25">
      <c r="A56" t="s">
        <v>35</v>
      </c>
      <c r="B56" t="s">
        <v>48</v>
      </c>
      <c r="C56" t="s">
        <v>49</v>
      </c>
      <c r="D56" t="s">
        <v>50</v>
      </c>
      <c r="E56">
        <v>129409</v>
      </c>
      <c r="F56" t="s">
        <v>101</v>
      </c>
      <c r="G56" t="s">
        <v>36</v>
      </c>
      <c r="H56" t="s">
        <v>37</v>
      </c>
      <c r="I56" t="s">
        <v>38</v>
      </c>
      <c r="J56" t="s">
        <v>39</v>
      </c>
      <c r="K56" s="8">
        <v>4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6</v>
      </c>
      <c r="AB56" s="8">
        <v>0</v>
      </c>
      <c r="AC56" s="8">
        <v>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 s="9">
        <f>AA56+AN56+AU56</f>
        <v>6</v>
      </c>
      <c r="AY56" s="9">
        <f>AB56+AO56+AV56</f>
        <v>0</v>
      </c>
      <c r="AZ56" s="9">
        <f>AC56+AP56+AW56</f>
        <v>6</v>
      </c>
    </row>
    <row r="57" spans="1:52" x14ac:dyDescent="0.25">
      <c r="A57" t="s">
        <v>35</v>
      </c>
      <c r="B57" t="s">
        <v>48</v>
      </c>
      <c r="C57" t="s">
        <v>49</v>
      </c>
      <c r="D57" t="s">
        <v>50</v>
      </c>
      <c r="E57">
        <v>257001</v>
      </c>
      <c r="F57" t="s">
        <v>102</v>
      </c>
      <c r="G57" t="s">
        <v>36</v>
      </c>
      <c r="H57" t="s">
        <v>37</v>
      </c>
      <c r="I57" t="s">
        <v>38</v>
      </c>
      <c r="J57" t="s">
        <v>39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9">
        <f>AA57+AN57+AU57</f>
        <v>0</v>
      </c>
      <c r="AY57" s="9">
        <f>AB57+AO57+AV57</f>
        <v>0</v>
      </c>
      <c r="AZ57" s="9">
        <f>AC57+AP57+AW57</f>
        <v>0</v>
      </c>
    </row>
    <row r="58" spans="1:52" x14ac:dyDescent="0.25">
      <c r="A58" t="s">
        <v>35</v>
      </c>
      <c r="B58" t="s">
        <v>48</v>
      </c>
      <c r="C58" t="s">
        <v>49</v>
      </c>
      <c r="D58" t="s">
        <v>50</v>
      </c>
      <c r="E58">
        <v>304303</v>
      </c>
      <c r="F58" t="s">
        <v>103</v>
      </c>
      <c r="G58" t="s">
        <v>36</v>
      </c>
      <c r="H58" t="s">
        <v>37</v>
      </c>
      <c r="I58" t="s">
        <v>40</v>
      </c>
      <c r="J58" t="s">
        <v>39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1</v>
      </c>
      <c r="AX58" s="9">
        <f>AA58+AN58+AU58</f>
        <v>0</v>
      </c>
      <c r="AY58" s="9">
        <f>AB58+AO58+AV58</f>
        <v>1</v>
      </c>
      <c r="AZ58" s="9">
        <f>AC58+AP58+AW58</f>
        <v>1</v>
      </c>
    </row>
    <row r="59" spans="1:52" x14ac:dyDescent="0.25">
      <c r="A59" t="s">
        <v>35</v>
      </c>
      <c r="B59" t="s">
        <v>48</v>
      </c>
      <c r="C59" t="s">
        <v>49</v>
      </c>
      <c r="D59" t="s">
        <v>50</v>
      </c>
      <c r="E59">
        <v>304305</v>
      </c>
      <c r="F59" t="s">
        <v>104</v>
      </c>
      <c r="G59" t="s">
        <v>36</v>
      </c>
      <c r="H59" t="s">
        <v>37</v>
      </c>
      <c r="I59" t="s">
        <v>40</v>
      </c>
      <c r="J59" t="s">
        <v>39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>
        <v>3</v>
      </c>
      <c r="AE59">
        <v>1</v>
      </c>
      <c r="AF59">
        <v>5</v>
      </c>
      <c r="AG59">
        <v>4</v>
      </c>
      <c r="AH59">
        <v>3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14</v>
      </c>
      <c r="AO59">
        <v>5</v>
      </c>
      <c r="AP59">
        <v>19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9">
        <f>AA59+AN59+AU59</f>
        <v>14</v>
      </c>
      <c r="AY59" s="9">
        <f>AB59+AO59+AV59</f>
        <v>5</v>
      </c>
      <c r="AZ59" s="9">
        <f>AC59+AP59+AW59</f>
        <v>19</v>
      </c>
    </row>
    <row r="60" spans="1:52" x14ac:dyDescent="0.25">
      <c r="A60" t="s">
        <v>35</v>
      </c>
      <c r="B60" t="s">
        <v>48</v>
      </c>
      <c r="C60" t="s">
        <v>49</v>
      </c>
      <c r="D60" t="s">
        <v>50</v>
      </c>
      <c r="E60">
        <v>304314</v>
      </c>
      <c r="F60" t="s">
        <v>105</v>
      </c>
      <c r="G60" t="s">
        <v>36</v>
      </c>
      <c r="H60" t="s">
        <v>37</v>
      </c>
      <c r="I60" t="s">
        <v>40</v>
      </c>
      <c r="J60" t="s">
        <v>39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>
        <v>10</v>
      </c>
      <c r="AE60">
        <v>1</v>
      </c>
      <c r="AF60">
        <v>4</v>
      </c>
      <c r="AG60">
        <v>2</v>
      </c>
      <c r="AH60">
        <v>2</v>
      </c>
      <c r="AI60">
        <v>1</v>
      </c>
      <c r="AJ60">
        <v>4</v>
      </c>
      <c r="AK60">
        <v>0</v>
      </c>
      <c r="AL60">
        <v>0</v>
      </c>
      <c r="AM60">
        <v>0</v>
      </c>
      <c r="AN60">
        <v>20</v>
      </c>
      <c r="AO60">
        <v>4</v>
      </c>
      <c r="AP60">
        <v>24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9">
        <f>AA60+AN60+AU60</f>
        <v>20</v>
      </c>
      <c r="AY60" s="9">
        <f>AB60+AO60+AV60</f>
        <v>4</v>
      </c>
      <c r="AZ60" s="9">
        <f>AC60+AP60+AW60</f>
        <v>24</v>
      </c>
    </row>
    <row r="61" spans="1:52" x14ac:dyDescent="0.25">
      <c r="A61" t="s">
        <v>35</v>
      </c>
      <c r="B61" t="s">
        <v>48</v>
      </c>
      <c r="C61" t="s">
        <v>49</v>
      </c>
      <c r="D61" t="s">
        <v>50</v>
      </c>
      <c r="E61">
        <v>304327</v>
      </c>
      <c r="F61" t="s">
        <v>106</v>
      </c>
      <c r="G61" t="s">
        <v>36</v>
      </c>
      <c r="H61" t="s">
        <v>37</v>
      </c>
      <c r="I61" t="s">
        <v>40</v>
      </c>
      <c r="J61" t="s">
        <v>39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>
        <v>3</v>
      </c>
      <c r="AE61">
        <v>0</v>
      </c>
      <c r="AF61">
        <v>3</v>
      </c>
      <c r="AG61">
        <v>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6</v>
      </c>
      <c r="AO61">
        <v>6</v>
      </c>
      <c r="AP61">
        <v>12</v>
      </c>
      <c r="AQ61">
        <v>3</v>
      </c>
      <c r="AR61">
        <v>0</v>
      </c>
      <c r="AS61">
        <v>1</v>
      </c>
      <c r="AT61">
        <v>1</v>
      </c>
      <c r="AU61">
        <v>4</v>
      </c>
      <c r="AV61">
        <v>1</v>
      </c>
      <c r="AW61">
        <v>5</v>
      </c>
      <c r="AX61" s="9">
        <f>AA61+AN61+AU61</f>
        <v>10</v>
      </c>
      <c r="AY61" s="9">
        <f>AB61+AO61+AV61</f>
        <v>7</v>
      </c>
      <c r="AZ61" s="9">
        <f>AC61+AP61+AW61</f>
        <v>17</v>
      </c>
    </row>
    <row r="62" spans="1:52" x14ac:dyDescent="0.25">
      <c r="A62" t="s">
        <v>35</v>
      </c>
      <c r="B62" t="s">
        <v>48</v>
      </c>
      <c r="C62" t="s">
        <v>49</v>
      </c>
      <c r="D62" t="s">
        <v>50</v>
      </c>
      <c r="E62">
        <v>304328</v>
      </c>
      <c r="F62" t="s">
        <v>107</v>
      </c>
      <c r="G62" t="s">
        <v>36</v>
      </c>
      <c r="H62" t="s">
        <v>37</v>
      </c>
      <c r="I62" t="s">
        <v>40</v>
      </c>
      <c r="J62" t="s">
        <v>39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9">
        <f>AA62+AN62+AU62</f>
        <v>0</v>
      </c>
      <c r="AY62" s="9">
        <f>AB62+AO62+AV62</f>
        <v>0</v>
      </c>
      <c r="AZ62" s="9">
        <f>AC62+AP62+AW62</f>
        <v>0</v>
      </c>
    </row>
    <row r="63" spans="1:52" x14ac:dyDescent="0.25">
      <c r="A63" t="s">
        <v>35</v>
      </c>
      <c r="B63" t="s">
        <v>48</v>
      </c>
      <c r="C63" t="s">
        <v>49</v>
      </c>
      <c r="D63" t="s">
        <v>50</v>
      </c>
      <c r="E63">
        <v>304338</v>
      </c>
      <c r="F63" t="s">
        <v>108</v>
      </c>
      <c r="G63" t="s">
        <v>36</v>
      </c>
      <c r="H63" t="s">
        <v>37</v>
      </c>
      <c r="I63" t="s">
        <v>40</v>
      </c>
      <c r="J63" t="s">
        <v>39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>
        <v>0</v>
      </c>
      <c r="AE63">
        <v>2</v>
      </c>
      <c r="AF63">
        <v>6</v>
      </c>
      <c r="AG63">
        <v>2</v>
      </c>
      <c r="AH63">
        <v>1</v>
      </c>
      <c r="AI63">
        <v>2</v>
      </c>
      <c r="AJ63">
        <v>2</v>
      </c>
      <c r="AK63">
        <v>0</v>
      </c>
      <c r="AL63">
        <v>0</v>
      </c>
      <c r="AM63">
        <v>0</v>
      </c>
      <c r="AN63">
        <v>9</v>
      </c>
      <c r="AO63">
        <v>6</v>
      </c>
      <c r="AP63">
        <v>15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9">
        <f>AA63+AN63+AU63</f>
        <v>9</v>
      </c>
      <c r="AY63" s="9">
        <f>AB63+AO63+AV63</f>
        <v>6</v>
      </c>
      <c r="AZ63" s="9">
        <f>AC63+AP63+AW63</f>
        <v>15</v>
      </c>
    </row>
    <row r="64" spans="1:52" x14ac:dyDescent="0.25">
      <c r="A64" t="s">
        <v>35</v>
      </c>
      <c r="B64" t="s">
        <v>48</v>
      </c>
      <c r="C64" t="s">
        <v>49</v>
      </c>
      <c r="D64" t="s">
        <v>50</v>
      </c>
      <c r="E64">
        <v>305680</v>
      </c>
      <c r="F64" t="s">
        <v>109</v>
      </c>
      <c r="G64" t="s">
        <v>36</v>
      </c>
      <c r="H64" t="s">
        <v>37</v>
      </c>
      <c r="I64" t="s">
        <v>40</v>
      </c>
      <c r="J64" t="s">
        <v>39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>
        <v>13</v>
      </c>
      <c r="AE64">
        <v>6</v>
      </c>
      <c r="AF64">
        <v>3</v>
      </c>
      <c r="AG64">
        <v>7</v>
      </c>
      <c r="AH64">
        <v>6</v>
      </c>
      <c r="AI64">
        <v>1</v>
      </c>
      <c r="AJ64">
        <v>8</v>
      </c>
      <c r="AK64">
        <v>2</v>
      </c>
      <c r="AL64">
        <v>0</v>
      </c>
      <c r="AM64">
        <v>0</v>
      </c>
      <c r="AN64">
        <v>30</v>
      </c>
      <c r="AO64">
        <v>16</v>
      </c>
      <c r="AP64">
        <v>46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9">
        <f>AA64+AN64+AU64</f>
        <v>30</v>
      </c>
      <c r="AY64" s="9">
        <f>AB64+AO64+AV64</f>
        <v>16</v>
      </c>
      <c r="AZ64" s="9">
        <f>AC64+AP64+AW64</f>
        <v>46</v>
      </c>
    </row>
    <row r="65" spans="1:52" x14ac:dyDescent="0.25">
      <c r="A65" t="s">
        <v>35</v>
      </c>
      <c r="B65" t="s">
        <v>48</v>
      </c>
      <c r="C65" t="s">
        <v>49</v>
      </c>
      <c r="D65" t="s">
        <v>50</v>
      </c>
      <c r="E65">
        <v>316104</v>
      </c>
      <c r="F65" t="s">
        <v>110</v>
      </c>
      <c r="G65" t="s">
        <v>36</v>
      </c>
      <c r="H65" t="s">
        <v>37</v>
      </c>
      <c r="I65" t="s">
        <v>40</v>
      </c>
      <c r="J65" t="s">
        <v>39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</v>
      </c>
      <c r="AK65">
        <v>3</v>
      </c>
      <c r="AL65">
        <v>0</v>
      </c>
      <c r="AM65">
        <v>0</v>
      </c>
      <c r="AN65">
        <v>2</v>
      </c>
      <c r="AO65">
        <v>3</v>
      </c>
      <c r="AP65">
        <v>5</v>
      </c>
      <c r="AQ65">
        <v>2</v>
      </c>
      <c r="AR65">
        <v>0</v>
      </c>
      <c r="AS65">
        <v>0</v>
      </c>
      <c r="AT65">
        <v>0</v>
      </c>
      <c r="AU65">
        <v>2</v>
      </c>
      <c r="AV65">
        <v>0</v>
      </c>
      <c r="AW65">
        <v>2</v>
      </c>
      <c r="AX65" s="9">
        <f>AA65+AN65+AU65</f>
        <v>4</v>
      </c>
      <c r="AY65" s="9">
        <f>AB65+AO65+AV65</f>
        <v>3</v>
      </c>
      <c r="AZ65" s="9">
        <f>AC65+AP65+AW65</f>
        <v>7</v>
      </c>
    </row>
    <row r="66" spans="1:52" x14ac:dyDescent="0.25">
      <c r="A66" t="s">
        <v>35</v>
      </c>
      <c r="B66" t="s">
        <v>48</v>
      </c>
      <c r="C66" t="s">
        <v>49</v>
      </c>
      <c r="D66" t="s">
        <v>50</v>
      </c>
      <c r="E66">
        <v>325101</v>
      </c>
      <c r="F66" t="s">
        <v>111</v>
      </c>
      <c r="G66" t="s">
        <v>36</v>
      </c>
      <c r="H66" t="s">
        <v>37</v>
      </c>
      <c r="I66" t="s">
        <v>40</v>
      </c>
      <c r="J66" t="s">
        <v>39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9">
        <f>AA66+AN66+AU66</f>
        <v>2</v>
      </c>
      <c r="AY66" s="9">
        <f>AB66+AO66+AV66</f>
        <v>0</v>
      </c>
      <c r="AZ66" s="9">
        <f>AC66+AP66+AW66</f>
        <v>2</v>
      </c>
    </row>
    <row r="67" spans="1:52" x14ac:dyDescent="0.25">
      <c r="A67" t="s">
        <v>35</v>
      </c>
      <c r="B67" t="s">
        <v>48</v>
      </c>
      <c r="C67" t="s">
        <v>49</v>
      </c>
      <c r="D67" t="s">
        <v>50</v>
      </c>
      <c r="E67">
        <v>325102</v>
      </c>
      <c r="F67" t="s">
        <v>112</v>
      </c>
      <c r="G67" t="s">
        <v>36</v>
      </c>
      <c r="H67" t="s">
        <v>37</v>
      </c>
      <c r="I67" t="s">
        <v>40</v>
      </c>
      <c r="J67" t="s">
        <v>39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1</v>
      </c>
      <c r="AV67">
        <v>1</v>
      </c>
      <c r="AW67">
        <v>2</v>
      </c>
      <c r="AX67" s="9">
        <f>AA67+AN67+AU67</f>
        <v>1</v>
      </c>
      <c r="AY67" s="9">
        <f>AB67+AO67+AV67</f>
        <v>1</v>
      </c>
      <c r="AZ67" s="9">
        <f>AC67+AP67+AW67</f>
        <v>2</v>
      </c>
    </row>
    <row r="68" spans="1:52" x14ac:dyDescent="0.25">
      <c r="A68" t="s">
        <v>35</v>
      </c>
      <c r="B68" t="s">
        <v>48</v>
      </c>
      <c r="C68" t="s">
        <v>49</v>
      </c>
      <c r="D68" t="s">
        <v>50</v>
      </c>
      <c r="E68">
        <v>325106</v>
      </c>
      <c r="F68" t="s">
        <v>113</v>
      </c>
      <c r="G68" t="s">
        <v>36</v>
      </c>
      <c r="H68" t="s">
        <v>37</v>
      </c>
      <c r="I68" t="s">
        <v>40</v>
      </c>
      <c r="J68" t="s">
        <v>39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>
        <v>1</v>
      </c>
      <c r="AE68">
        <v>0</v>
      </c>
      <c r="AF68">
        <v>2</v>
      </c>
      <c r="AG68">
        <v>1</v>
      </c>
      <c r="AH68">
        <v>2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5</v>
      </c>
      <c r="AO68">
        <v>4</v>
      </c>
      <c r="AP68">
        <v>9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9">
        <f>AA68+AN68+AU68</f>
        <v>5</v>
      </c>
      <c r="AY68" s="9">
        <f>AB68+AO68+AV68</f>
        <v>4</v>
      </c>
      <c r="AZ68" s="9">
        <f>AC68+AP68+AW68</f>
        <v>9</v>
      </c>
    </row>
    <row r="69" spans="1:52" x14ac:dyDescent="0.25">
      <c r="A69" t="s">
        <v>35</v>
      </c>
      <c r="B69" t="s">
        <v>48</v>
      </c>
      <c r="C69" t="s">
        <v>49</v>
      </c>
      <c r="D69" t="s">
        <v>50</v>
      </c>
      <c r="E69">
        <v>465513</v>
      </c>
      <c r="F69" t="s">
        <v>114</v>
      </c>
      <c r="G69" t="s">
        <v>44</v>
      </c>
      <c r="H69" t="s">
        <v>42</v>
      </c>
      <c r="I69" t="s">
        <v>115</v>
      </c>
      <c r="J69" t="s">
        <v>39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0</v>
      </c>
      <c r="AN69">
        <v>1</v>
      </c>
      <c r="AO69">
        <v>2</v>
      </c>
      <c r="AP69">
        <v>3</v>
      </c>
      <c r="AQ69">
        <v>2</v>
      </c>
      <c r="AR69">
        <v>3</v>
      </c>
      <c r="AS69">
        <v>0</v>
      </c>
      <c r="AT69">
        <v>0</v>
      </c>
      <c r="AU69">
        <v>2</v>
      </c>
      <c r="AV69">
        <v>3</v>
      </c>
      <c r="AW69">
        <v>5</v>
      </c>
      <c r="AX69" s="9">
        <f>AA69+AN69+AU69</f>
        <v>3</v>
      </c>
      <c r="AY69" s="9">
        <f>AB69+AO69+AV69</f>
        <v>5</v>
      </c>
      <c r="AZ69" s="9">
        <f>AC69+AP69+AW69</f>
        <v>8</v>
      </c>
    </row>
    <row r="70" spans="1:52" x14ac:dyDescent="0.25">
      <c r="A70" t="s">
        <v>35</v>
      </c>
      <c r="B70" t="s">
        <v>48</v>
      </c>
      <c r="C70" t="s">
        <v>49</v>
      </c>
      <c r="D70" t="s">
        <v>50</v>
      </c>
      <c r="E70">
        <v>465515</v>
      </c>
      <c r="F70" t="s">
        <v>116</v>
      </c>
      <c r="G70" t="s">
        <v>44</v>
      </c>
      <c r="H70" t="s">
        <v>42</v>
      </c>
      <c r="I70" t="s">
        <v>45</v>
      </c>
      <c r="J70" t="s">
        <v>39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s="9">
        <f>AA70+AN70+AU70</f>
        <v>0</v>
      </c>
      <c r="AY70" s="9">
        <f>AB70+AO70+AV70</f>
        <v>0</v>
      </c>
      <c r="AZ70" s="9">
        <f>AC70+AP70+AW70</f>
        <v>0</v>
      </c>
    </row>
    <row r="71" spans="1:52" x14ac:dyDescent="0.25">
      <c r="A71" t="s">
        <v>35</v>
      </c>
      <c r="B71" t="s">
        <v>48</v>
      </c>
      <c r="C71" t="s">
        <v>49</v>
      </c>
      <c r="D71" t="s">
        <v>50</v>
      </c>
      <c r="E71">
        <v>465516</v>
      </c>
      <c r="F71" t="s">
        <v>117</v>
      </c>
      <c r="G71" t="s">
        <v>44</v>
      </c>
      <c r="H71" t="s">
        <v>42</v>
      </c>
      <c r="I71" t="s">
        <v>47</v>
      </c>
      <c r="J71" t="s">
        <v>39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9">
        <f>AA71+AN71+AU71</f>
        <v>0</v>
      </c>
      <c r="AY71" s="9">
        <f>AB71+AO71+AV71</f>
        <v>0</v>
      </c>
      <c r="AZ71" s="9">
        <f>AC71+AP71+AW71</f>
        <v>0</v>
      </c>
    </row>
    <row r="72" spans="1:52" x14ac:dyDescent="0.25">
      <c r="A72" t="s">
        <v>35</v>
      </c>
      <c r="B72" t="s">
        <v>48</v>
      </c>
      <c r="C72" t="s">
        <v>49</v>
      </c>
      <c r="D72" t="s">
        <v>50</v>
      </c>
      <c r="E72">
        <v>465900</v>
      </c>
      <c r="F72" t="s">
        <v>118</v>
      </c>
      <c r="G72" t="s">
        <v>44</v>
      </c>
      <c r="H72" t="s">
        <v>42</v>
      </c>
      <c r="I72" t="s">
        <v>43</v>
      </c>
      <c r="J72" t="s">
        <v>39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s="9">
        <f>AA72+AN72+AU72</f>
        <v>0</v>
      </c>
      <c r="AY72" s="9">
        <f>AB72+AO72+AV72</f>
        <v>0</v>
      </c>
      <c r="AZ72" s="9">
        <f>AC72+AP72+AW72</f>
        <v>0</v>
      </c>
    </row>
    <row r="73" spans="1:52" x14ac:dyDescent="0.25">
      <c r="A73" t="s">
        <v>35</v>
      </c>
      <c r="B73" t="s">
        <v>48</v>
      </c>
      <c r="C73" t="s">
        <v>49</v>
      </c>
      <c r="D73" t="s">
        <v>50</v>
      </c>
      <c r="E73">
        <v>102157</v>
      </c>
      <c r="F73" t="s">
        <v>119</v>
      </c>
      <c r="G73" t="s">
        <v>36</v>
      </c>
      <c r="H73" t="s">
        <v>37</v>
      </c>
      <c r="I73" t="s">
        <v>38</v>
      </c>
      <c r="J73" t="s">
        <v>39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9">
        <f>AA73+AN73+AU73</f>
        <v>1</v>
      </c>
      <c r="AY73" s="9">
        <f>AB73+AO73+AV73</f>
        <v>0</v>
      </c>
      <c r="AZ73" s="9">
        <f>AC73+AP73+AW73</f>
        <v>1</v>
      </c>
    </row>
    <row r="74" spans="1:52" x14ac:dyDescent="0.25">
      <c r="A74" t="s">
        <v>35</v>
      </c>
      <c r="B74" t="s">
        <v>48</v>
      </c>
      <c r="C74" t="s">
        <v>49</v>
      </c>
      <c r="D74" t="s">
        <v>50</v>
      </c>
      <c r="E74">
        <v>102164</v>
      </c>
      <c r="F74" t="s">
        <v>120</v>
      </c>
      <c r="G74" t="s">
        <v>36</v>
      </c>
      <c r="H74" t="s">
        <v>37</v>
      </c>
      <c r="I74" t="s">
        <v>38</v>
      </c>
      <c r="J74" t="s">
        <v>39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9">
        <f>AA74+AN74+AU74</f>
        <v>0</v>
      </c>
      <c r="AY74" s="9">
        <f>AB74+AO74+AV74</f>
        <v>0</v>
      </c>
      <c r="AZ74" s="9">
        <f>AC74+AP74+AW74</f>
        <v>0</v>
      </c>
    </row>
    <row r="75" spans="1:52" x14ac:dyDescent="0.25">
      <c r="A75" t="s">
        <v>35</v>
      </c>
      <c r="B75" t="s">
        <v>48</v>
      </c>
      <c r="C75" t="s">
        <v>49</v>
      </c>
      <c r="D75" t="s">
        <v>50</v>
      </c>
      <c r="E75">
        <v>129410</v>
      </c>
      <c r="F75" t="s">
        <v>121</v>
      </c>
      <c r="G75" t="s">
        <v>36</v>
      </c>
      <c r="H75" t="s">
        <v>37</v>
      </c>
      <c r="I75" t="s">
        <v>38</v>
      </c>
      <c r="J75" t="s">
        <v>39</v>
      </c>
      <c r="K75" s="8">
        <v>1</v>
      </c>
      <c r="L75" s="8">
        <v>1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1</v>
      </c>
      <c r="AB75" s="8">
        <v>1</v>
      </c>
      <c r="AC75" s="8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9">
        <f>AA75+AN75+AU75</f>
        <v>1</v>
      </c>
      <c r="AY75" s="9">
        <f>AB75+AO75+AV75</f>
        <v>1</v>
      </c>
      <c r="AZ75" s="9">
        <f>AC75+AP75+AW75</f>
        <v>2</v>
      </c>
    </row>
    <row r="76" spans="1:52" x14ac:dyDescent="0.25">
      <c r="A76" t="s">
        <v>35</v>
      </c>
      <c r="B76" t="s">
        <v>48</v>
      </c>
      <c r="C76" t="s">
        <v>49</v>
      </c>
      <c r="D76" t="s">
        <v>50</v>
      </c>
      <c r="E76">
        <v>129412</v>
      </c>
      <c r="F76" t="s">
        <v>122</v>
      </c>
      <c r="G76" t="s">
        <v>36</v>
      </c>
      <c r="H76" t="s">
        <v>37</v>
      </c>
      <c r="I76" t="s">
        <v>38</v>
      </c>
      <c r="J76" t="s">
        <v>39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9">
        <f>AA76+AN76+AU76</f>
        <v>0</v>
      </c>
      <c r="AY76" s="9">
        <f>AB76+AO76+AV76</f>
        <v>0</v>
      </c>
      <c r="AZ76" s="9">
        <f>AC76+AP76+AW76</f>
        <v>0</v>
      </c>
    </row>
    <row r="77" spans="1:52" x14ac:dyDescent="0.25">
      <c r="A77" t="s">
        <v>35</v>
      </c>
      <c r="B77" t="s">
        <v>48</v>
      </c>
      <c r="C77" t="s">
        <v>49</v>
      </c>
      <c r="D77" t="s">
        <v>50</v>
      </c>
      <c r="E77">
        <v>129413</v>
      </c>
      <c r="F77" t="s">
        <v>123</v>
      </c>
      <c r="G77" t="s">
        <v>36</v>
      </c>
      <c r="H77" t="s">
        <v>37</v>
      </c>
      <c r="I77" t="s">
        <v>38</v>
      </c>
      <c r="J77" t="s">
        <v>39</v>
      </c>
      <c r="K77" s="8">
        <v>1</v>
      </c>
      <c r="L77" s="8">
        <v>1</v>
      </c>
      <c r="M77" s="8">
        <v>0</v>
      </c>
      <c r="N77" s="8">
        <v>0</v>
      </c>
      <c r="O77" s="8">
        <v>1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1</v>
      </c>
      <c r="X77" s="8">
        <v>0</v>
      </c>
      <c r="Y77" s="8">
        <v>0</v>
      </c>
      <c r="Z77" s="8">
        <v>0</v>
      </c>
      <c r="AA77" s="8">
        <v>3</v>
      </c>
      <c r="AB77" s="8">
        <v>1</v>
      </c>
      <c r="AC77" s="8">
        <v>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 s="9">
        <f>AA77+AN77+AU77</f>
        <v>3</v>
      </c>
      <c r="AY77" s="9">
        <f>AB77+AO77+AV77</f>
        <v>1</v>
      </c>
      <c r="AZ77" s="9">
        <f>AC77+AP77+AW77</f>
        <v>4</v>
      </c>
    </row>
    <row r="78" spans="1:52" x14ac:dyDescent="0.25">
      <c r="A78" t="s">
        <v>35</v>
      </c>
      <c r="B78" t="s">
        <v>48</v>
      </c>
      <c r="C78" t="s">
        <v>49</v>
      </c>
      <c r="D78" t="s">
        <v>50</v>
      </c>
      <c r="E78">
        <v>129414</v>
      </c>
      <c r="F78" t="s">
        <v>124</v>
      </c>
      <c r="G78" t="s">
        <v>36</v>
      </c>
      <c r="H78" t="s">
        <v>37</v>
      </c>
      <c r="I78" t="s">
        <v>38</v>
      </c>
      <c r="J78" t="s">
        <v>39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9">
        <f>AA78+AN78+AU78</f>
        <v>0</v>
      </c>
      <c r="AY78" s="9">
        <f>AB78+AO78+AV78</f>
        <v>0</v>
      </c>
      <c r="AZ78" s="9">
        <f>AC78+AP78+AW78</f>
        <v>0</v>
      </c>
    </row>
    <row r="79" spans="1:52" x14ac:dyDescent="0.25">
      <c r="A79" t="s">
        <v>35</v>
      </c>
      <c r="B79" t="s">
        <v>48</v>
      </c>
      <c r="C79" t="s">
        <v>49</v>
      </c>
      <c r="D79" t="s">
        <v>50</v>
      </c>
      <c r="E79">
        <v>129417</v>
      </c>
      <c r="F79" t="s">
        <v>125</v>
      </c>
      <c r="G79" t="s">
        <v>36</v>
      </c>
      <c r="H79" t="s">
        <v>37</v>
      </c>
      <c r="I79" t="s">
        <v>38</v>
      </c>
      <c r="J79" t="s">
        <v>39</v>
      </c>
      <c r="K79" s="8">
        <v>1</v>
      </c>
      <c r="L79" s="8">
        <v>1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1</v>
      </c>
      <c r="AB79" s="8">
        <v>1</v>
      </c>
      <c r="AC79" s="8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9">
        <f>AA79+AN79+AU79</f>
        <v>1</v>
      </c>
      <c r="AY79" s="9">
        <f>AB79+AO79+AV79</f>
        <v>1</v>
      </c>
      <c r="AZ79" s="9">
        <f>AC79+AP79+AW79</f>
        <v>2</v>
      </c>
    </row>
    <row r="80" spans="1:52" x14ac:dyDescent="0.25">
      <c r="A80" t="s">
        <v>35</v>
      </c>
      <c r="B80" t="s">
        <v>48</v>
      </c>
      <c r="C80" t="s">
        <v>49</v>
      </c>
      <c r="D80" t="s">
        <v>50</v>
      </c>
      <c r="E80">
        <v>129418</v>
      </c>
      <c r="F80" t="s">
        <v>126</v>
      </c>
      <c r="G80" t="s">
        <v>36</v>
      </c>
      <c r="H80" t="s">
        <v>37</v>
      </c>
      <c r="I80" t="s">
        <v>38</v>
      </c>
      <c r="J80" t="s">
        <v>39</v>
      </c>
      <c r="K80" s="8">
        <v>1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1</v>
      </c>
      <c r="AB80" s="8">
        <v>0</v>
      </c>
      <c r="AC80" s="8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9">
        <f>AA80+AN80+AU80</f>
        <v>1</v>
      </c>
      <c r="AY80" s="9">
        <f>AB80+AO80+AV80</f>
        <v>0</v>
      </c>
      <c r="AZ80" s="9">
        <f>AC80+AP80+AW80</f>
        <v>1</v>
      </c>
    </row>
    <row r="81" spans="1:52" x14ac:dyDescent="0.25">
      <c r="A81" t="s">
        <v>35</v>
      </c>
      <c r="B81" t="s">
        <v>48</v>
      </c>
      <c r="C81" t="s">
        <v>49</v>
      </c>
      <c r="D81" t="s">
        <v>50</v>
      </c>
      <c r="E81">
        <v>129419</v>
      </c>
      <c r="F81" t="s">
        <v>127</v>
      </c>
      <c r="G81" t="s">
        <v>36</v>
      </c>
      <c r="H81" t="s">
        <v>37</v>
      </c>
      <c r="I81" t="s">
        <v>38</v>
      </c>
      <c r="J81" t="s">
        <v>39</v>
      </c>
      <c r="K81" s="8">
        <v>1</v>
      </c>
      <c r="L81" s="8">
        <v>0</v>
      </c>
      <c r="M81" s="8">
        <v>1</v>
      </c>
      <c r="N81" s="8">
        <v>0</v>
      </c>
      <c r="O81" s="8">
        <v>1</v>
      </c>
      <c r="P81" s="8">
        <v>1</v>
      </c>
      <c r="Q81" s="8">
        <v>0</v>
      </c>
      <c r="R81" s="8">
        <v>0</v>
      </c>
      <c r="S81" s="8">
        <v>1</v>
      </c>
      <c r="T81" s="8">
        <v>1</v>
      </c>
      <c r="U81" s="8">
        <v>2</v>
      </c>
      <c r="V81" s="8">
        <v>0</v>
      </c>
      <c r="W81" s="8">
        <v>1</v>
      </c>
      <c r="X81" s="8">
        <v>1</v>
      </c>
      <c r="Y81" s="8">
        <v>0</v>
      </c>
      <c r="Z81" s="8">
        <v>0</v>
      </c>
      <c r="AA81" s="8">
        <v>7</v>
      </c>
      <c r="AB81" s="8">
        <v>3</v>
      </c>
      <c r="AC81" s="8">
        <v>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 s="9">
        <f>AA81+AN81+AU81</f>
        <v>7</v>
      </c>
      <c r="AY81" s="9">
        <f>AB81+AO81+AV81</f>
        <v>3</v>
      </c>
      <c r="AZ81" s="9">
        <f>AC81+AP81+AW81</f>
        <v>10</v>
      </c>
    </row>
    <row r="82" spans="1:52" x14ac:dyDescent="0.25">
      <c r="A82" t="s">
        <v>35</v>
      </c>
      <c r="B82" t="s">
        <v>48</v>
      </c>
      <c r="C82" t="s">
        <v>49</v>
      </c>
      <c r="D82" t="s">
        <v>50</v>
      </c>
      <c r="E82">
        <v>129420</v>
      </c>
      <c r="F82" t="s">
        <v>128</v>
      </c>
      <c r="G82" t="s">
        <v>36</v>
      </c>
      <c r="H82" t="s">
        <v>37</v>
      </c>
      <c r="I82" t="s">
        <v>38</v>
      </c>
      <c r="J82" t="s">
        <v>39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 s="9">
        <f>AA82+AN82+AU82</f>
        <v>0</v>
      </c>
      <c r="AY82" s="9">
        <f>AB82+AO82+AV82</f>
        <v>0</v>
      </c>
      <c r="AZ82" s="9">
        <f>AC82+AP82+AW82</f>
        <v>0</v>
      </c>
    </row>
    <row r="83" spans="1:52" x14ac:dyDescent="0.25">
      <c r="A83" t="s">
        <v>35</v>
      </c>
      <c r="B83" t="s">
        <v>48</v>
      </c>
      <c r="C83" t="s">
        <v>49</v>
      </c>
      <c r="D83" t="s">
        <v>50</v>
      </c>
      <c r="E83">
        <v>129421</v>
      </c>
      <c r="F83" t="s">
        <v>129</v>
      </c>
      <c r="G83" t="s">
        <v>36</v>
      </c>
      <c r="H83" t="s">
        <v>37</v>
      </c>
      <c r="I83" t="s">
        <v>38</v>
      </c>
      <c r="J83" t="s">
        <v>39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9">
        <f>AA83+AN83+AU83</f>
        <v>0</v>
      </c>
      <c r="AY83" s="9">
        <f>AB83+AO83+AV83</f>
        <v>0</v>
      </c>
      <c r="AZ83" s="9">
        <f>AC83+AP83+AW83</f>
        <v>0</v>
      </c>
    </row>
    <row r="84" spans="1:52" x14ac:dyDescent="0.25">
      <c r="A84" t="s">
        <v>35</v>
      </c>
      <c r="B84" t="s">
        <v>48</v>
      </c>
      <c r="C84" t="s">
        <v>49</v>
      </c>
      <c r="D84" t="s">
        <v>50</v>
      </c>
      <c r="E84">
        <v>129422</v>
      </c>
      <c r="F84" t="s">
        <v>130</v>
      </c>
      <c r="G84" t="s">
        <v>36</v>
      </c>
      <c r="H84" t="s">
        <v>37</v>
      </c>
      <c r="I84" t="s">
        <v>38</v>
      </c>
      <c r="J84" t="s">
        <v>39</v>
      </c>
      <c r="K84" s="8">
        <v>0</v>
      </c>
      <c r="L84" s="8">
        <v>2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2</v>
      </c>
      <c r="AC84" s="8">
        <v>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 s="9">
        <f>AA84+AN84+AU84</f>
        <v>0</v>
      </c>
      <c r="AY84" s="9">
        <f>AB84+AO84+AV84</f>
        <v>2</v>
      </c>
      <c r="AZ84" s="9">
        <f>AC84+AP84+AW84</f>
        <v>2</v>
      </c>
    </row>
    <row r="85" spans="1:52" x14ac:dyDescent="0.25">
      <c r="A85" t="s">
        <v>35</v>
      </c>
      <c r="B85" t="s">
        <v>48</v>
      </c>
      <c r="C85" t="s">
        <v>49</v>
      </c>
      <c r="D85" t="s">
        <v>50</v>
      </c>
      <c r="E85">
        <v>304313</v>
      </c>
      <c r="F85" t="s">
        <v>131</v>
      </c>
      <c r="G85" t="s">
        <v>36</v>
      </c>
      <c r="H85" t="s">
        <v>37</v>
      </c>
      <c r="I85" t="s">
        <v>40</v>
      </c>
      <c r="J85" t="s">
        <v>72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>
        <v>2</v>
      </c>
      <c r="AE85">
        <v>2</v>
      </c>
      <c r="AF85">
        <v>3</v>
      </c>
      <c r="AG85">
        <v>1</v>
      </c>
      <c r="AH85">
        <v>2</v>
      </c>
      <c r="AI85">
        <v>1</v>
      </c>
      <c r="AJ85">
        <v>6</v>
      </c>
      <c r="AK85">
        <v>2</v>
      </c>
      <c r="AL85">
        <v>0</v>
      </c>
      <c r="AM85">
        <v>0</v>
      </c>
      <c r="AN85">
        <v>13</v>
      </c>
      <c r="AO85">
        <v>6</v>
      </c>
      <c r="AP85">
        <v>19</v>
      </c>
      <c r="AQ85">
        <v>1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1</v>
      </c>
      <c r="AX85" s="9">
        <f>AA85+AN85+AU85</f>
        <v>14</v>
      </c>
      <c r="AY85" s="9">
        <f>AB85+AO85+AV85</f>
        <v>6</v>
      </c>
      <c r="AZ85" s="9">
        <f>AC85+AP85+AW85</f>
        <v>20</v>
      </c>
    </row>
    <row r="86" spans="1:52" x14ac:dyDescent="0.25">
      <c r="A86" t="s">
        <v>35</v>
      </c>
      <c r="B86" t="s">
        <v>48</v>
      </c>
      <c r="C86" t="s">
        <v>49</v>
      </c>
      <c r="D86" t="s">
        <v>50</v>
      </c>
      <c r="E86">
        <v>304318</v>
      </c>
      <c r="F86" t="s">
        <v>132</v>
      </c>
      <c r="G86" t="s">
        <v>36</v>
      </c>
      <c r="H86" t="s">
        <v>37</v>
      </c>
      <c r="I86" t="s">
        <v>40</v>
      </c>
      <c r="J86" t="s">
        <v>39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>
        <v>3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2</v>
      </c>
      <c r="AK86">
        <v>1</v>
      </c>
      <c r="AL86">
        <v>0</v>
      </c>
      <c r="AM86">
        <v>0</v>
      </c>
      <c r="AN86">
        <v>6</v>
      </c>
      <c r="AO86">
        <v>1</v>
      </c>
      <c r="AP86">
        <v>7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9">
        <f>AA86+AN86+AU86</f>
        <v>6</v>
      </c>
      <c r="AY86" s="9">
        <f>AB86+AO86+AV86</f>
        <v>1</v>
      </c>
      <c r="AZ86" s="9">
        <f>AC86+AP86+AW86</f>
        <v>7</v>
      </c>
    </row>
    <row r="87" spans="1:52" x14ac:dyDescent="0.25">
      <c r="A87" t="s">
        <v>35</v>
      </c>
      <c r="B87" t="s">
        <v>48</v>
      </c>
      <c r="C87" t="s">
        <v>49</v>
      </c>
      <c r="D87" t="s">
        <v>50</v>
      </c>
      <c r="E87">
        <v>325105</v>
      </c>
      <c r="F87" t="s">
        <v>133</v>
      </c>
      <c r="G87" t="s">
        <v>36</v>
      </c>
      <c r="H87" t="s">
        <v>37</v>
      </c>
      <c r="I87" t="s">
        <v>40</v>
      </c>
      <c r="J87" t="s">
        <v>72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9">
        <f>AA87+AN87+AU87</f>
        <v>0</v>
      </c>
      <c r="AY87" s="9">
        <f>AB87+AO87+AV87</f>
        <v>0</v>
      </c>
      <c r="AZ87" s="9">
        <f>AC87+AP87+AW87</f>
        <v>0</v>
      </c>
    </row>
    <row r="88" spans="1:52" x14ac:dyDescent="0.25">
      <c r="A88" t="s">
        <v>35</v>
      </c>
      <c r="B88" t="s">
        <v>48</v>
      </c>
      <c r="C88" t="s">
        <v>49</v>
      </c>
      <c r="D88" t="s">
        <v>50</v>
      </c>
      <c r="E88">
        <v>501085</v>
      </c>
      <c r="F88" t="s">
        <v>134</v>
      </c>
      <c r="G88" t="s">
        <v>36</v>
      </c>
      <c r="H88" t="s">
        <v>37</v>
      </c>
      <c r="I88" t="s">
        <v>45</v>
      </c>
      <c r="J88" t="s">
        <v>39</v>
      </c>
      <c r="K88" s="8">
        <v>1</v>
      </c>
      <c r="L88" s="8">
        <v>0</v>
      </c>
      <c r="M88" s="8">
        <v>0</v>
      </c>
      <c r="N88" s="8">
        <v>0</v>
      </c>
      <c r="O88" s="8">
        <v>1</v>
      </c>
      <c r="P88" s="8">
        <v>0</v>
      </c>
      <c r="Q88" s="8">
        <v>3</v>
      </c>
      <c r="R88" s="8">
        <v>3</v>
      </c>
      <c r="S88" s="8">
        <v>0</v>
      </c>
      <c r="T88" s="8">
        <v>0</v>
      </c>
      <c r="U88" s="8">
        <v>1</v>
      </c>
      <c r="V88" s="8">
        <v>0</v>
      </c>
      <c r="W88" s="8">
        <v>0</v>
      </c>
      <c r="X88" s="8">
        <v>1</v>
      </c>
      <c r="Y88" s="8">
        <v>0</v>
      </c>
      <c r="Z88" s="8">
        <v>0</v>
      </c>
      <c r="AA88" s="8">
        <v>6</v>
      </c>
      <c r="AB88" s="8">
        <v>4</v>
      </c>
      <c r="AC88" s="8">
        <v>10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2</v>
      </c>
      <c r="AK88">
        <v>5</v>
      </c>
      <c r="AL88">
        <v>0</v>
      </c>
      <c r="AM88">
        <v>0</v>
      </c>
      <c r="AN88">
        <v>3</v>
      </c>
      <c r="AO88">
        <v>6</v>
      </c>
      <c r="AP88">
        <v>9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9">
        <f>AA88+AN88+AU88</f>
        <v>9</v>
      </c>
      <c r="AY88" s="9">
        <f>AB88+AO88+AV88</f>
        <v>10</v>
      </c>
      <c r="AZ88" s="9">
        <f>AC88+AP88+AW88</f>
        <v>19</v>
      </c>
    </row>
    <row r="89" spans="1:52" x14ac:dyDescent="0.25">
      <c r="A89" t="s">
        <v>35</v>
      </c>
      <c r="B89" t="s">
        <v>48</v>
      </c>
      <c r="C89" t="s">
        <v>49</v>
      </c>
      <c r="D89" t="s">
        <v>50</v>
      </c>
      <c r="E89">
        <v>501086</v>
      </c>
      <c r="F89" t="s">
        <v>135</v>
      </c>
      <c r="G89" t="s">
        <v>36</v>
      </c>
      <c r="H89" t="s">
        <v>37</v>
      </c>
      <c r="I89" t="s">
        <v>45</v>
      </c>
      <c r="J89" t="s">
        <v>39</v>
      </c>
      <c r="K89" s="8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1</v>
      </c>
      <c r="AB89" s="8">
        <v>0</v>
      </c>
      <c r="AC89" s="8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 s="9">
        <f>AA89+AN89+AU89</f>
        <v>1</v>
      </c>
      <c r="AY89" s="9">
        <f>AB89+AO89+AV89</f>
        <v>0</v>
      </c>
      <c r="AZ89" s="9">
        <f>AC89+AP89+AW89</f>
        <v>1</v>
      </c>
    </row>
    <row r="90" spans="1:52" x14ac:dyDescent="0.25">
      <c r="A90" t="s">
        <v>35</v>
      </c>
      <c r="B90" t="s">
        <v>48</v>
      </c>
      <c r="C90" t="s">
        <v>49</v>
      </c>
      <c r="D90" t="s">
        <v>50</v>
      </c>
      <c r="E90">
        <v>501087</v>
      </c>
      <c r="F90" t="s">
        <v>136</v>
      </c>
      <c r="G90" t="s">
        <v>36</v>
      </c>
      <c r="H90" t="s">
        <v>37</v>
      </c>
      <c r="I90" t="s">
        <v>43</v>
      </c>
      <c r="J90" t="s">
        <v>39</v>
      </c>
      <c r="K90" s="8">
        <v>1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1</v>
      </c>
      <c r="AB90" s="8">
        <v>1</v>
      </c>
      <c r="AC90" s="8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9">
        <f>AA90+AN90+AU90</f>
        <v>1</v>
      </c>
      <c r="AY90" s="9">
        <f>AB90+AO90+AV90</f>
        <v>1</v>
      </c>
      <c r="AZ90" s="9">
        <f>AC90+AP90+AW90</f>
        <v>2</v>
      </c>
    </row>
    <row r="91" spans="1:52" x14ac:dyDescent="0.25">
      <c r="A91" t="s">
        <v>35</v>
      </c>
      <c r="B91" t="s">
        <v>48</v>
      </c>
      <c r="C91" t="s">
        <v>49</v>
      </c>
      <c r="D91" t="s">
        <v>50</v>
      </c>
      <c r="E91">
        <v>306039</v>
      </c>
      <c r="F91" t="s">
        <v>137</v>
      </c>
      <c r="G91" t="s">
        <v>36</v>
      </c>
      <c r="H91" t="s">
        <v>37</v>
      </c>
      <c r="I91" t="s">
        <v>40</v>
      </c>
      <c r="J91" t="s">
        <v>39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>
        <v>2</v>
      </c>
      <c r="AE91">
        <v>0</v>
      </c>
      <c r="AF91">
        <v>2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4</v>
      </c>
      <c r="AO91">
        <v>1</v>
      </c>
      <c r="AP91">
        <v>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9">
        <f>AA91+AN91+AU91</f>
        <v>4</v>
      </c>
      <c r="AY91" s="9">
        <f>AB91+AO91+AV91</f>
        <v>1</v>
      </c>
      <c r="AZ91" s="9">
        <f>AC91+AP91+AW91</f>
        <v>5</v>
      </c>
    </row>
  </sheetData>
  <autoFilter ref="A7:AZ7" xr:uid="{00000000-0001-0000-0000-000000000000}"/>
  <mergeCells count="22">
    <mergeCell ref="AJ4:AK4"/>
    <mergeCell ref="AL4:AM4"/>
    <mergeCell ref="AN4:AP4"/>
    <mergeCell ref="AQ4:AR4"/>
    <mergeCell ref="AS4:AT4"/>
    <mergeCell ref="AU4:AW4"/>
    <mergeCell ref="W4:X4"/>
    <mergeCell ref="Y4:Z4"/>
    <mergeCell ref="AA4:AC4"/>
    <mergeCell ref="AD4:AE4"/>
    <mergeCell ref="AF4:AG4"/>
    <mergeCell ref="AH4:AI4"/>
    <mergeCell ref="K3:AC3"/>
    <mergeCell ref="AD3:AP3"/>
    <mergeCell ref="AQ3:AW3"/>
    <mergeCell ref="AX3:AZ4"/>
    <mergeCell ref="K4:L4"/>
    <mergeCell ref="M4:N4"/>
    <mergeCell ref="O4:P4"/>
    <mergeCell ref="Q4:R4"/>
    <mergeCell ref="S4:T4"/>
    <mergeCell ref="U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DROPOUT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2024-09-27T06:52:59Z</dcterms:created>
  <dcterms:modified xsi:type="dcterms:W3CDTF">2024-09-27T06:54:20Z</dcterms:modified>
</cp:coreProperties>
</file>