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7BDF8C15-1BDE-4A5A-A405-9FD0F99EC350}" xr6:coauthVersionLast="47" xr6:coauthVersionMax="47" xr10:uidLastSave="{00000000-0000-0000-0000-000000000000}"/>
  <bookViews>
    <workbookView xWindow="-120" yWindow="-120" windowWidth="29040" windowHeight="15720" activeTab="2" xr2:uid="{F8DE19FA-9994-405B-BC36-F4B3A784B09B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ES!$A$9:$FX$63</definedName>
    <definedName name="_xlnm._FilterDatabase" localSheetId="1" hidden="1">JHS!$A$8:$DD$30</definedName>
    <definedName name="_xlnm._FilterDatabase" localSheetId="2" hidden="1">SHS!$A$8:$BT$24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24" i="3" l="1"/>
  <c r="BU24" i="3"/>
  <c r="BO24" i="3"/>
  <c r="BN24" i="3"/>
  <c r="BH24" i="3"/>
  <c r="BG24" i="3"/>
  <c r="BI24" i="3" s="1"/>
  <c r="BA24" i="3"/>
  <c r="AZ24" i="3"/>
  <c r="BB24" i="3" s="1"/>
  <c r="AT24" i="3"/>
  <c r="AS24" i="3"/>
  <c r="AU24" i="3" s="1"/>
  <c r="AM24" i="3"/>
  <c r="AN24" i="3" s="1"/>
  <c r="AL24" i="3"/>
  <c r="AF24" i="3"/>
  <c r="AE24" i="3"/>
  <c r="Y24" i="3"/>
  <c r="X24" i="3"/>
  <c r="R24" i="3"/>
  <c r="Q24" i="3"/>
  <c r="S24" i="3" s="1"/>
  <c r="BV23" i="3"/>
  <c r="BU23" i="3"/>
  <c r="BW23" i="3" s="1"/>
  <c r="BO23" i="3"/>
  <c r="BN23" i="3"/>
  <c r="BH23" i="3"/>
  <c r="BG23" i="3"/>
  <c r="BA23" i="3"/>
  <c r="AZ23" i="3"/>
  <c r="BB23" i="3" s="1"/>
  <c r="AT23" i="3"/>
  <c r="AS23" i="3"/>
  <c r="AU23" i="3" s="1"/>
  <c r="AM23" i="3"/>
  <c r="AL23" i="3"/>
  <c r="AF23" i="3"/>
  <c r="AE23" i="3"/>
  <c r="AG23" i="3" s="1"/>
  <c r="Y23" i="3"/>
  <c r="X23" i="3"/>
  <c r="R23" i="3"/>
  <c r="Q23" i="3"/>
  <c r="BV22" i="3"/>
  <c r="BU22" i="3"/>
  <c r="BO22" i="3"/>
  <c r="BN22" i="3"/>
  <c r="BI22" i="3"/>
  <c r="BH22" i="3"/>
  <c r="BG22" i="3"/>
  <c r="BA22" i="3"/>
  <c r="AZ22" i="3"/>
  <c r="AT22" i="3"/>
  <c r="AS22" i="3"/>
  <c r="AM22" i="3"/>
  <c r="AL22" i="3"/>
  <c r="AF22" i="3"/>
  <c r="AE22" i="3"/>
  <c r="Y22" i="3"/>
  <c r="X22" i="3"/>
  <c r="R22" i="3"/>
  <c r="Q22" i="3"/>
  <c r="BV21" i="3"/>
  <c r="BU21" i="3"/>
  <c r="BW21" i="3" s="1"/>
  <c r="BO21" i="3"/>
  <c r="BN21" i="3"/>
  <c r="BH21" i="3"/>
  <c r="BG21" i="3"/>
  <c r="BA21" i="3"/>
  <c r="AZ21" i="3"/>
  <c r="AT21" i="3"/>
  <c r="AS21" i="3"/>
  <c r="AM21" i="3"/>
  <c r="AL21" i="3"/>
  <c r="AF21" i="3"/>
  <c r="AE21" i="3"/>
  <c r="Y21" i="3"/>
  <c r="X21" i="3"/>
  <c r="R21" i="3"/>
  <c r="Q21" i="3"/>
  <c r="BV20" i="3"/>
  <c r="BU20" i="3"/>
  <c r="BO20" i="3"/>
  <c r="BN20" i="3"/>
  <c r="BH20" i="3"/>
  <c r="BG20" i="3"/>
  <c r="BA20" i="3"/>
  <c r="AZ20" i="3"/>
  <c r="BB20" i="3" s="1"/>
  <c r="AT20" i="3"/>
  <c r="AU20" i="3" s="1"/>
  <c r="AS20" i="3"/>
  <c r="AM20" i="3"/>
  <c r="AL20" i="3"/>
  <c r="AF20" i="3"/>
  <c r="AE20" i="3"/>
  <c r="Y20" i="3"/>
  <c r="X20" i="3"/>
  <c r="R20" i="3"/>
  <c r="Q20" i="3"/>
  <c r="BV19" i="3"/>
  <c r="BW19" i="3" s="1"/>
  <c r="BU19" i="3"/>
  <c r="BO19" i="3"/>
  <c r="BN19" i="3"/>
  <c r="BH19" i="3"/>
  <c r="BG19" i="3"/>
  <c r="BA19" i="3"/>
  <c r="AZ19" i="3"/>
  <c r="BB19" i="3" s="1"/>
  <c r="AT19" i="3"/>
  <c r="AS19" i="3"/>
  <c r="AM19" i="3"/>
  <c r="AL19" i="3"/>
  <c r="AF19" i="3"/>
  <c r="AE19" i="3"/>
  <c r="Y19" i="3"/>
  <c r="X19" i="3"/>
  <c r="Z19" i="3" s="1"/>
  <c r="R19" i="3"/>
  <c r="S19" i="3" s="1"/>
  <c r="Q19" i="3"/>
  <c r="BV18" i="3"/>
  <c r="BU18" i="3"/>
  <c r="BW18" i="3" s="1"/>
  <c r="BO18" i="3"/>
  <c r="BN18" i="3"/>
  <c r="BH18" i="3"/>
  <c r="BG18" i="3"/>
  <c r="BB18" i="3"/>
  <c r="BA18" i="3"/>
  <c r="AZ18" i="3"/>
  <c r="AT18" i="3"/>
  <c r="AS18" i="3"/>
  <c r="AM18" i="3"/>
  <c r="AL18" i="3"/>
  <c r="AN18" i="3" s="1"/>
  <c r="AF18" i="3"/>
  <c r="AE18" i="3"/>
  <c r="Y18" i="3"/>
  <c r="X18" i="3"/>
  <c r="R18" i="3"/>
  <c r="Q18" i="3"/>
  <c r="BV17" i="3"/>
  <c r="BU17" i="3"/>
  <c r="BW17" i="3" s="1"/>
  <c r="BO17" i="3"/>
  <c r="BN17" i="3"/>
  <c r="BH17" i="3"/>
  <c r="BG17" i="3"/>
  <c r="BI17" i="3" s="1"/>
  <c r="BA17" i="3"/>
  <c r="AZ17" i="3"/>
  <c r="AT17" i="3"/>
  <c r="AS17" i="3"/>
  <c r="AU17" i="3" s="1"/>
  <c r="AM17" i="3"/>
  <c r="AL17" i="3"/>
  <c r="AF17" i="3"/>
  <c r="AE17" i="3"/>
  <c r="Y17" i="3"/>
  <c r="X17" i="3"/>
  <c r="R17" i="3"/>
  <c r="Q17" i="3"/>
  <c r="S17" i="3" s="1"/>
  <c r="BV16" i="3"/>
  <c r="BU16" i="3"/>
  <c r="BW16" i="3" s="1"/>
  <c r="BP16" i="3"/>
  <c r="BO16" i="3"/>
  <c r="BN16" i="3"/>
  <c r="BH16" i="3"/>
  <c r="BG16" i="3"/>
  <c r="BI16" i="3" s="1"/>
  <c r="BA16" i="3"/>
  <c r="AZ16" i="3"/>
  <c r="AT16" i="3"/>
  <c r="AS16" i="3"/>
  <c r="AM16" i="3"/>
  <c r="AN16" i="3" s="1"/>
  <c r="AL16" i="3"/>
  <c r="AF16" i="3"/>
  <c r="AE16" i="3"/>
  <c r="Y16" i="3"/>
  <c r="X16" i="3"/>
  <c r="R16" i="3"/>
  <c r="Q16" i="3"/>
  <c r="S16" i="3" s="1"/>
  <c r="BV15" i="3"/>
  <c r="BU15" i="3"/>
  <c r="BO15" i="3"/>
  <c r="BN15" i="3"/>
  <c r="BH15" i="3"/>
  <c r="BG15" i="3"/>
  <c r="BA15" i="3"/>
  <c r="AZ15" i="3"/>
  <c r="AT15" i="3"/>
  <c r="AS15" i="3"/>
  <c r="AM15" i="3"/>
  <c r="AL15" i="3"/>
  <c r="AF15" i="3"/>
  <c r="AE15" i="3"/>
  <c r="Y15" i="3"/>
  <c r="X15" i="3"/>
  <c r="R15" i="3"/>
  <c r="Q15" i="3"/>
  <c r="BV14" i="3"/>
  <c r="BU14" i="3"/>
  <c r="BO14" i="3"/>
  <c r="BN14" i="3"/>
  <c r="BH14" i="3"/>
  <c r="BG14" i="3"/>
  <c r="BA14" i="3"/>
  <c r="AZ14" i="3"/>
  <c r="AT14" i="3"/>
  <c r="AS14" i="3"/>
  <c r="AM14" i="3"/>
  <c r="AL14" i="3"/>
  <c r="AN14" i="3" s="1"/>
  <c r="AF14" i="3"/>
  <c r="AE14" i="3"/>
  <c r="Y14" i="3"/>
  <c r="X14" i="3"/>
  <c r="Z14" i="3" s="1"/>
  <c r="R14" i="3"/>
  <c r="Q14" i="3"/>
  <c r="BV13" i="3"/>
  <c r="BU13" i="3"/>
  <c r="BO13" i="3"/>
  <c r="BN13" i="3"/>
  <c r="BH13" i="3"/>
  <c r="BG13" i="3"/>
  <c r="BI13" i="3" s="1"/>
  <c r="BA13" i="3"/>
  <c r="AZ13" i="3"/>
  <c r="AT13" i="3"/>
  <c r="AS13" i="3"/>
  <c r="AU13" i="3" s="1"/>
  <c r="AM13" i="3"/>
  <c r="AM7" i="3" s="1"/>
  <c r="AL13" i="3"/>
  <c r="AF13" i="3"/>
  <c r="AE13" i="3"/>
  <c r="Y13" i="3"/>
  <c r="X13" i="3"/>
  <c r="S13" i="3"/>
  <c r="R13" i="3"/>
  <c r="Q13" i="3"/>
  <c r="BV12" i="3"/>
  <c r="BU12" i="3"/>
  <c r="BW12" i="3" s="1"/>
  <c r="BO12" i="3"/>
  <c r="BP12" i="3" s="1"/>
  <c r="BN12" i="3"/>
  <c r="BH12" i="3"/>
  <c r="BG12" i="3"/>
  <c r="BI12" i="3" s="1"/>
  <c r="BA12" i="3"/>
  <c r="AZ12" i="3"/>
  <c r="AT12" i="3"/>
  <c r="AS12" i="3"/>
  <c r="AM12" i="3"/>
  <c r="AL12" i="3"/>
  <c r="AF12" i="3"/>
  <c r="AE12" i="3"/>
  <c r="Y12" i="3"/>
  <c r="X12" i="3"/>
  <c r="R12" i="3"/>
  <c r="Q12" i="3"/>
  <c r="S12" i="3" s="1"/>
  <c r="BV11" i="3"/>
  <c r="BU11" i="3"/>
  <c r="BO11" i="3"/>
  <c r="BN11" i="3"/>
  <c r="BH11" i="3"/>
  <c r="BG11" i="3"/>
  <c r="BA11" i="3"/>
  <c r="AZ11" i="3"/>
  <c r="BB11" i="3" s="1"/>
  <c r="AT11" i="3"/>
  <c r="AS11" i="3"/>
  <c r="AM11" i="3"/>
  <c r="AL11" i="3"/>
  <c r="AF11" i="3"/>
  <c r="AE11" i="3"/>
  <c r="Y11" i="3"/>
  <c r="X11" i="3"/>
  <c r="R11" i="3"/>
  <c r="Q11" i="3"/>
  <c r="BV10" i="3"/>
  <c r="BU10" i="3"/>
  <c r="BW10" i="3" s="1"/>
  <c r="BP10" i="3"/>
  <c r="BO10" i="3"/>
  <c r="BN10" i="3"/>
  <c r="BH10" i="3"/>
  <c r="BG10" i="3"/>
  <c r="BA10" i="3"/>
  <c r="AZ10" i="3"/>
  <c r="AT10" i="3"/>
  <c r="AS10" i="3"/>
  <c r="AM10" i="3"/>
  <c r="AL10" i="3"/>
  <c r="AF10" i="3"/>
  <c r="AE10" i="3"/>
  <c r="Y10" i="3"/>
  <c r="X10" i="3"/>
  <c r="Z10" i="3" s="1"/>
  <c r="R10" i="3"/>
  <c r="Q10" i="3"/>
  <c r="BV9" i="3"/>
  <c r="BU9" i="3"/>
  <c r="BW9" i="3" s="1"/>
  <c r="BO9" i="3"/>
  <c r="BN9" i="3"/>
  <c r="BP9" i="3" s="1"/>
  <c r="BH9" i="3"/>
  <c r="BG9" i="3"/>
  <c r="BA9" i="3"/>
  <c r="AZ9" i="3"/>
  <c r="BB9" i="3" s="1"/>
  <c r="AT9" i="3"/>
  <c r="AS9" i="3"/>
  <c r="AU9" i="3" s="1"/>
  <c r="AM9" i="3"/>
  <c r="AL9" i="3"/>
  <c r="AF9" i="3"/>
  <c r="AE9" i="3"/>
  <c r="AG9" i="3" s="1"/>
  <c r="Y9" i="3"/>
  <c r="X9" i="3"/>
  <c r="Z9" i="3" s="1"/>
  <c r="R9" i="3"/>
  <c r="Q9" i="3"/>
  <c r="BT7" i="3"/>
  <c r="BS7" i="3"/>
  <c r="BR7" i="3"/>
  <c r="BQ7" i="3"/>
  <c r="BM7" i="3"/>
  <c r="BL7" i="3"/>
  <c r="BK7" i="3"/>
  <c r="BJ7" i="3"/>
  <c r="BF7" i="3"/>
  <c r="BE7" i="3"/>
  <c r="BD7" i="3"/>
  <c r="BC7" i="3"/>
  <c r="AY7" i="3"/>
  <c r="AX7" i="3"/>
  <c r="AW7" i="3"/>
  <c r="AV7" i="3"/>
  <c r="AR7" i="3"/>
  <c r="AQ7" i="3"/>
  <c r="AP7" i="3"/>
  <c r="AO7" i="3"/>
  <c r="AK7" i="3"/>
  <c r="AJ7" i="3"/>
  <c r="AI7" i="3"/>
  <c r="AH7" i="3"/>
  <c r="AD7" i="3"/>
  <c r="AC7" i="3"/>
  <c r="AB7" i="3"/>
  <c r="AA7" i="3"/>
  <c r="W7" i="3"/>
  <c r="V7" i="3"/>
  <c r="U7" i="3"/>
  <c r="T7" i="3"/>
  <c r="P7" i="3"/>
  <c r="O7" i="3"/>
  <c r="N7" i="3"/>
  <c r="M7" i="3"/>
  <c r="DF30" i="2"/>
  <c r="DE30" i="2"/>
  <c r="DG30" i="2" s="1"/>
  <c r="CU30" i="2"/>
  <c r="CV30" i="2" s="1"/>
  <c r="CT30" i="2"/>
  <c r="CJ30" i="2"/>
  <c r="CI30" i="2"/>
  <c r="BY30" i="2"/>
  <c r="BX30" i="2"/>
  <c r="BZ30" i="2" s="1"/>
  <c r="BN30" i="2"/>
  <c r="BM30" i="2"/>
  <c r="BC30" i="2"/>
  <c r="BB30" i="2"/>
  <c r="AR30" i="2"/>
  <c r="AQ30" i="2"/>
  <c r="AS30" i="2" s="1"/>
  <c r="AG30" i="2"/>
  <c r="AF30" i="2"/>
  <c r="V30" i="2"/>
  <c r="U30" i="2"/>
  <c r="DF29" i="2"/>
  <c r="DE29" i="2"/>
  <c r="DG29" i="2" s="1"/>
  <c r="CU29" i="2"/>
  <c r="CT29" i="2"/>
  <c r="CJ29" i="2"/>
  <c r="CI29" i="2"/>
  <c r="BY29" i="2"/>
  <c r="BX29" i="2"/>
  <c r="BN29" i="2"/>
  <c r="BM29" i="2"/>
  <c r="BC29" i="2"/>
  <c r="BB29" i="2"/>
  <c r="AR29" i="2"/>
  <c r="AQ29" i="2"/>
  <c r="AS29" i="2" s="1"/>
  <c r="AG29" i="2"/>
  <c r="AF29" i="2"/>
  <c r="V29" i="2"/>
  <c r="U29" i="2"/>
  <c r="W29" i="2" s="1"/>
  <c r="DF28" i="2"/>
  <c r="DE28" i="2"/>
  <c r="CU28" i="2"/>
  <c r="CT28" i="2"/>
  <c r="CJ28" i="2"/>
  <c r="CI28" i="2"/>
  <c r="CK28" i="2" s="1"/>
  <c r="BY28" i="2"/>
  <c r="BX28" i="2"/>
  <c r="BZ28" i="2" s="1"/>
  <c r="BN28" i="2"/>
  <c r="BM28" i="2"/>
  <c r="BC28" i="2"/>
  <c r="BB28" i="2"/>
  <c r="BD28" i="2" s="1"/>
  <c r="AR28" i="2"/>
  <c r="AQ28" i="2"/>
  <c r="AS28" i="2" s="1"/>
  <c r="AG28" i="2"/>
  <c r="AH28" i="2" s="1"/>
  <c r="AF28" i="2"/>
  <c r="V28" i="2"/>
  <c r="U28" i="2"/>
  <c r="DF27" i="2"/>
  <c r="DE27" i="2"/>
  <c r="CU27" i="2"/>
  <c r="CT27" i="2"/>
  <c r="CJ27" i="2"/>
  <c r="CI27" i="2"/>
  <c r="BY27" i="2"/>
  <c r="BX27" i="2"/>
  <c r="BZ27" i="2" s="1"/>
  <c r="BN27" i="2"/>
  <c r="BM27" i="2"/>
  <c r="BC27" i="2"/>
  <c r="BB27" i="2"/>
  <c r="AR27" i="2"/>
  <c r="AQ27" i="2"/>
  <c r="AG27" i="2"/>
  <c r="AF27" i="2"/>
  <c r="V27" i="2"/>
  <c r="U27" i="2"/>
  <c r="DF26" i="2"/>
  <c r="DE26" i="2"/>
  <c r="CU26" i="2"/>
  <c r="CT26" i="2"/>
  <c r="CJ26" i="2"/>
  <c r="CI26" i="2"/>
  <c r="BY26" i="2"/>
  <c r="BX26" i="2"/>
  <c r="BN26" i="2"/>
  <c r="BM26" i="2"/>
  <c r="BC26" i="2"/>
  <c r="BB26" i="2"/>
  <c r="BD26" i="2" s="1"/>
  <c r="AR26" i="2"/>
  <c r="AQ26" i="2"/>
  <c r="AG26" i="2"/>
  <c r="AF26" i="2"/>
  <c r="V26" i="2"/>
  <c r="U26" i="2"/>
  <c r="DF25" i="2"/>
  <c r="DE25" i="2"/>
  <c r="CU25" i="2"/>
  <c r="CT25" i="2"/>
  <c r="CJ25" i="2"/>
  <c r="CI25" i="2"/>
  <c r="CK25" i="2" s="1"/>
  <c r="BY25" i="2"/>
  <c r="BX25" i="2"/>
  <c r="BZ25" i="2" s="1"/>
  <c r="BN25" i="2"/>
  <c r="BM25" i="2"/>
  <c r="BC25" i="2"/>
  <c r="BB25" i="2"/>
  <c r="AR25" i="2"/>
  <c r="AQ25" i="2"/>
  <c r="AS25" i="2" s="1"/>
  <c r="AG25" i="2"/>
  <c r="AF25" i="2"/>
  <c r="V25" i="2"/>
  <c r="U25" i="2"/>
  <c r="DF24" i="2"/>
  <c r="DE24" i="2"/>
  <c r="DG24" i="2" s="1"/>
  <c r="CU24" i="2"/>
  <c r="CT24" i="2"/>
  <c r="CJ24" i="2"/>
  <c r="CI24" i="2"/>
  <c r="BY24" i="2"/>
  <c r="BX24" i="2"/>
  <c r="BZ24" i="2" s="1"/>
  <c r="BN24" i="2"/>
  <c r="BM24" i="2"/>
  <c r="BC24" i="2"/>
  <c r="BB24" i="2"/>
  <c r="AR24" i="2"/>
  <c r="AQ24" i="2"/>
  <c r="AG24" i="2"/>
  <c r="AF24" i="2"/>
  <c r="V24" i="2"/>
  <c r="U24" i="2"/>
  <c r="DF23" i="2"/>
  <c r="DE23" i="2"/>
  <c r="DG23" i="2" s="1"/>
  <c r="CU23" i="2"/>
  <c r="CT23" i="2"/>
  <c r="CJ23" i="2"/>
  <c r="CI23" i="2"/>
  <c r="CK23" i="2" s="1"/>
  <c r="BY23" i="2"/>
  <c r="BX23" i="2"/>
  <c r="BZ23" i="2" s="1"/>
  <c r="BN23" i="2"/>
  <c r="BM23" i="2"/>
  <c r="BC23" i="2"/>
  <c r="BB23" i="2"/>
  <c r="BD23" i="2" s="1"/>
  <c r="AR23" i="2"/>
  <c r="AQ23" i="2"/>
  <c r="AG23" i="2"/>
  <c r="AF23" i="2"/>
  <c r="V23" i="2"/>
  <c r="U23" i="2"/>
  <c r="W23" i="2" s="1"/>
  <c r="DF22" i="2"/>
  <c r="DE22" i="2"/>
  <c r="DG22" i="2" s="1"/>
  <c r="CU22" i="2"/>
  <c r="CV22" i="2" s="1"/>
  <c r="CT22" i="2"/>
  <c r="CJ22" i="2"/>
  <c r="CI22" i="2"/>
  <c r="BY22" i="2"/>
  <c r="BX22" i="2"/>
  <c r="BZ22" i="2" s="1"/>
  <c r="BN22" i="2"/>
  <c r="BM22" i="2"/>
  <c r="BC22" i="2"/>
  <c r="BB22" i="2"/>
  <c r="AR22" i="2"/>
  <c r="AQ22" i="2"/>
  <c r="AG22" i="2"/>
  <c r="AF22" i="2"/>
  <c r="V22" i="2"/>
  <c r="U22" i="2"/>
  <c r="DF21" i="2"/>
  <c r="DE21" i="2"/>
  <c r="DG21" i="2" s="1"/>
  <c r="CU21" i="2"/>
  <c r="CT21" i="2"/>
  <c r="CJ21" i="2"/>
  <c r="CI21" i="2"/>
  <c r="BY21" i="2"/>
  <c r="BX21" i="2"/>
  <c r="BN21" i="2"/>
  <c r="BM21" i="2"/>
  <c r="BC21" i="2"/>
  <c r="BB21" i="2"/>
  <c r="AR21" i="2"/>
  <c r="AQ21" i="2"/>
  <c r="AS21" i="2" s="1"/>
  <c r="AG21" i="2"/>
  <c r="AF21" i="2"/>
  <c r="V21" i="2"/>
  <c r="U21" i="2"/>
  <c r="W21" i="2" s="1"/>
  <c r="DF20" i="2"/>
  <c r="DE20" i="2"/>
  <c r="CU20" i="2"/>
  <c r="CT20" i="2"/>
  <c r="CJ20" i="2"/>
  <c r="CI20" i="2"/>
  <c r="CK20" i="2" s="1"/>
  <c r="BY20" i="2"/>
  <c r="BX20" i="2"/>
  <c r="BN20" i="2"/>
  <c r="BM20" i="2"/>
  <c r="BC20" i="2"/>
  <c r="BB20" i="2"/>
  <c r="BD20" i="2" s="1"/>
  <c r="AR20" i="2"/>
  <c r="AQ20" i="2"/>
  <c r="AS20" i="2" s="1"/>
  <c r="AG20" i="2"/>
  <c r="AH20" i="2" s="1"/>
  <c r="AF20" i="2"/>
  <c r="V20" i="2"/>
  <c r="U20" i="2"/>
  <c r="DF19" i="2"/>
  <c r="DE19" i="2"/>
  <c r="DG19" i="2" s="1"/>
  <c r="CU19" i="2"/>
  <c r="CT19" i="2"/>
  <c r="CJ19" i="2"/>
  <c r="CI19" i="2"/>
  <c r="BY19" i="2"/>
  <c r="BX19" i="2"/>
  <c r="BZ19" i="2" s="1"/>
  <c r="BN19" i="2"/>
  <c r="BM19" i="2"/>
  <c r="BC19" i="2"/>
  <c r="BB19" i="2"/>
  <c r="AR19" i="2"/>
  <c r="AQ19" i="2"/>
  <c r="AS19" i="2" s="1"/>
  <c r="AG19" i="2"/>
  <c r="AF19" i="2"/>
  <c r="V19" i="2"/>
  <c r="U19" i="2"/>
  <c r="DF18" i="2"/>
  <c r="DE18" i="2"/>
  <c r="CU18" i="2"/>
  <c r="CT18" i="2"/>
  <c r="CJ18" i="2"/>
  <c r="CI18" i="2"/>
  <c r="BY18" i="2"/>
  <c r="BX18" i="2"/>
  <c r="BZ18" i="2" s="1"/>
  <c r="BN18" i="2"/>
  <c r="BM18" i="2"/>
  <c r="BC18" i="2"/>
  <c r="BB18" i="2"/>
  <c r="BD18" i="2" s="1"/>
  <c r="AR18" i="2"/>
  <c r="AQ18" i="2"/>
  <c r="AG18" i="2"/>
  <c r="AF18" i="2"/>
  <c r="V18" i="2"/>
  <c r="U18" i="2"/>
  <c r="W18" i="2" s="1"/>
  <c r="DF17" i="2"/>
  <c r="DE17" i="2"/>
  <c r="DG17" i="2" s="1"/>
  <c r="CU17" i="2"/>
  <c r="CT17" i="2"/>
  <c r="CJ17" i="2"/>
  <c r="CI17" i="2"/>
  <c r="CK17" i="2" s="1"/>
  <c r="BY17" i="2"/>
  <c r="BX17" i="2"/>
  <c r="BZ17" i="2" s="1"/>
  <c r="BN17" i="2"/>
  <c r="BO17" i="2" s="1"/>
  <c r="BM17" i="2"/>
  <c r="BC17" i="2"/>
  <c r="BB17" i="2"/>
  <c r="AR17" i="2"/>
  <c r="AQ17" i="2"/>
  <c r="AG17" i="2"/>
  <c r="AF17" i="2"/>
  <c r="V17" i="2"/>
  <c r="U17" i="2"/>
  <c r="DF16" i="2"/>
  <c r="DE16" i="2"/>
  <c r="DG16" i="2" s="1"/>
  <c r="CU16" i="2"/>
  <c r="CT16" i="2"/>
  <c r="CJ16" i="2"/>
  <c r="CI16" i="2"/>
  <c r="BY16" i="2"/>
  <c r="BX16" i="2"/>
  <c r="BZ16" i="2" s="1"/>
  <c r="BN16" i="2"/>
  <c r="BM16" i="2"/>
  <c r="BC16" i="2"/>
  <c r="BB16" i="2"/>
  <c r="AR16" i="2"/>
  <c r="AQ16" i="2"/>
  <c r="AG16" i="2"/>
  <c r="AF16" i="2"/>
  <c r="V16" i="2"/>
  <c r="U16" i="2"/>
  <c r="DF15" i="2"/>
  <c r="DE15" i="2"/>
  <c r="DG15" i="2" s="1"/>
  <c r="CU15" i="2"/>
  <c r="CT15" i="2"/>
  <c r="CJ15" i="2"/>
  <c r="CI15" i="2"/>
  <c r="CK15" i="2" s="1"/>
  <c r="BY15" i="2"/>
  <c r="BX15" i="2"/>
  <c r="BN15" i="2"/>
  <c r="BM15" i="2"/>
  <c r="BC15" i="2"/>
  <c r="BB15" i="2"/>
  <c r="BD15" i="2" s="1"/>
  <c r="AR15" i="2"/>
  <c r="AQ15" i="2"/>
  <c r="AG15" i="2"/>
  <c r="AF15" i="2"/>
  <c r="V15" i="2"/>
  <c r="U15" i="2"/>
  <c r="W15" i="2" s="1"/>
  <c r="DF14" i="2"/>
  <c r="DE14" i="2"/>
  <c r="DG14" i="2" s="1"/>
  <c r="CU14" i="2"/>
  <c r="CT14" i="2"/>
  <c r="CJ14" i="2"/>
  <c r="CI14" i="2"/>
  <c r="BY14" i="2"/>
  <c r="BX14" i="2"/>
  <c r="BZ14" i="2" s="1"/>
  <c r="BN14" i="2"/>
  <c r="BM14" i="2"/>
  <c r="BC14" i="2"/>
  <c r="BB14" i="2"/>
  <c r="AR14" i="2"/>
  <c r="AQ14" i="2"/>
  <c r="AS14" i="2" s="1"/>
  <c r="AG14" i="2"/>
  <c r="AF14" i="2"/>
  <c r="V14" i="2"/>
  <c r="U14" i="2"/>
  <c r="DF13" i="2"/>
  <c r="DE13" i="2"/>
  <c r="DG13" i="2" s="1"/>
  <c r="CU13" i="2"/>
  <c r="CT13" i="2"/>
  <c r="CJ13" i="2"/>
  <c r="CI13" i="2"/>
  <c r="BY13" i="2"/>
  <c r="BX13" i="2"/>
  <c r="BN13" i="2"/>
  <c r="BM13" i="2"/>
  <c r="BC13" i="2"/>
  <c r="BB13" i="2"/>
  <c r="AR13" i="2"/>
  <c r="AQ13" i="2"/>
  <c r="AS13" i="2" s="1"/>
  <c r="AG13" i="2"/>
  <c r="AF13" i="2"/>
  <c r="V13" i="2"/>
  <c r="U13" i="2"/>
  <c r="DF12" i="2"/>
  <c r="DE12" i="2"/>
  <c r="DG12" i="2" s="1"/>
  <c r="CU12" i="2"/>
  <c r="CT12" i="2"/>
  <c r="CJ12" i="2"/>
  <c r="CI12" i="2"/>
  <c r="CK12" i="2" s="1"/>
  <c r="BY12" i="2"/>
  <c r="BX12" i="2"/>
  <c r="BN12" i="2"/>
  <c r="BM12" i="2"/>
  <c r="BC12" i="2"/>
  <c r="BB12" i="2"/>
  <c r="BD12" i="2" s="1"/>
  <c r="AR12" i="2"/>
  <c r="AQ12" i="2"/>
  <c r="AS12" i="2" s="1"/>
  <c r="AG12" i="2"/>
  <c r="AH12" i="2" s="1"/>
  <c r="AF12" i="2"/>
  <c r="V12" i="2"/>
  <c r="U12" i="2"/>
  <c r="DF11" i="2"/>
  <c r="DE11" i="2"/>
  <c r="DG11" i="2" s="1"/>
  <c r="CU11" i="2"/>
  <c r="CT11" i="2"/>
  <c r="CJ11" i="2"/>
  <c r="CI11" i="2"/>
  <c r="BY11" i="2"/>
  <c r="BX11" i="2"/>
  <c r="BZ11" i="2" s="1"/>
  <c r="BN11" i="2"/>
  <c r="BM11" i="2"/>
  <c r="BC11" i="2"/>
  <c r="BB11" i="2"/>
  <c r="AR11" i="2"/>
  <c r="AQ11" i="2"/>
  <c r="AS11" i="2" s="1"/>
  <c r="AG11" i="2"/>
  <c r="AF11" i="2"/>
  <c r="V11" i="2"/>
  <c r="U11" i="2"/>
  <c r="DF10" i="2"/>
  <c r="DE10" i="2"/>
  <c r="CU10" i="2"/>
  <c r="CT10" i="2"/>
  <c r="CJ10" i="2"/>
  <c r="CI10" i="2"/>
  <c r="BY10" i="2"/>
  <c r="BX10" i="2"/>
  <c r="BZ10" i="2" s="1"/>
  <c r="BN10" i="2"/>
  <c r="BM10" i="2"/>
  <c r="BC10" i="2"/>
  <c r="BB10" i="2"/>
  <c r="BD10" i="2" s="1"/>
  <c r="AR10" i="2"/>
  <c r="AQ10" i="2"/>
  <c r="AG10" i="2"/>
  <c r="AF10" i="2"/>
  <c r="V10" i="2"/>
  <c r="U10" i="2"/>
  <c r="W10" i="2" s="1"/>
  <c r="DF9" i="2"/>
  <c r="DE9" i="2"/>
  <c r="CU9" i="2"/>
  <c r="CT9" i="2"/>
  <c r="CJ9" i="2"/>
  <c r="CI9" i="2"/>
  <c r="CK9" i="2" s="1"/>
  <c r="BY9" i="2"/>
  <c r="BX9" i="2"/>
  <c r="BZ9" i="2" s="1"/>
  <c r="BN9" i="2"/>
  <c r="BO9" i="2" s="1"/>
  <c r="BM9" i="2"/>
  <c r="BC9" i="2"/>
  <c r="BB9" i="2"/>
  <c r="AR9" i="2"/>
  <c r="AQ9" i="2"/>
  <c r="AS9" i="2" s="1"/>
  <c r="AG9" i="2"/>
  <c r="AF9" i="2"/>
  <c r="V9" i="2"/>
  <c r="V7" i="2" s="1"/>
  <c r="U9" i="2"/>
  <c r="DD7" i="2"/>
  <c r="DC7" i="2"/>
  <c r="DB7" i="2"/>
  <c r="DA7" i="2"/>
  <c r="CZ7" i="2"/>
  <c r="CY7" i="2"/>
  <c r="CX7" i="2"/>
  <c r="CW7" i="2"/>
  <c r="CS7" i="2"/>
  <c r="CR7" i="2"/>
  <c r="CQ7" i="2"/>
  <c r="CP7" i="2"/>
  <c r="CO7" i="2"/>
  <c r="CN7" i="2"/>
  <c r="CM7" i="2"/>
  <c r="CL7" i="2"/>
  <c r="CH7" i="2"/>
  <c r="CG7" i="2"/>
  <c r="CF7" i="2"/>
  <c r="CE7" i="2"/>
  <c r="CD7" i="2"/>
  <c r="CC7" i="2"/>
  <c r="CB7" i="2"/>
  <c r="CA7" i="2"/>
  <c r="BW7" i="2"/>
  <c r="BV7" i="2"/>
  <c r="BU7" i="2"/>
  <c r="BT7" i="2"/>
  <c r="BS7" i="2"/>
  <c r="BR7" i="2"/>
  <c r="BQ7" i="2"/>
  <c r="BP7" i="2"/>
  <c r="BL7" i="2"/>
  <c r="BK7" i="2"/>
  <c r="BJ7" i="2"/>
  <c r="BI7" i="2"/>
  <c r="BH7" i="2"/>
  <c r="BG7" i="2"/>
  <c r="BF7" i="2"/>
  <c r="BE7" i="2"/>
  <c r="BA7" i="2"/>
  <c r="AZ7" i="2"/>
  <c r="AY7" i="2"/>
  <c r="AX7" i="2"/>
  <c r="AW7" i="2"/>
  <c r="AV7" i="2"/>
  <c r="AU7" i="2"/>
  <c r="AT7" i="2"/>
  <c r="AP7" i="2"/>
  <c r="AO7" i="2"/>
  <c r="AN7" i="2"/>
  <c r="AM7" i="2"/>
  <c r="AL7" i="2"/>
  <c r="AK7" i="2"/>
  <c r="AJ7" i="2"/>
  <c r="AI7" i="2"/>
  <c r="AE7" i="2"/>
  <c r="AD7" i="2"/>
  <c r="AC7" i="2"/>
  <c r="AB7" i="2"/>
  <c r="AA7" i="2"/>
  <c r="Z7" i="2"/>
  <c r="Y7" i="2"/>
  <c r="X7" i="2"/>
  <c r="T7" i="2"/>
  <c r="S7" i="2"/>
  <c r="R7" i="2"/>
  <c r="Q7" i="2"/>
  <c r="P7" i="2"/>
  <c r="O7" i="2"/>
  <c r="N7" i="2"/>
  <c r="M7" i="2"/>
  <c r="FZ63" i="1"/>
  <c r="FY63" i="1"/>
  <c r="FG63" i="1"/>
  <c r="FF63" i="1"/>
  <c r="EN63" i="1"/>
  <c r="EM63" i="1"/>
  <c r="EO63" i="1" s="1"/>
  <c r="DU63" i="1"/>
  <c r="DT63" i="1"/>
  <c r="DV63" i="1" s="1"/>
  <c r="DB63" i="1"/>
  <c r="DA63" i="1"/>
  <c r="DC63" i="1" s="1"/>
  <c r="CI63" i="1"/>
  <c r="CH63" i="1"/>
  <c r="BP63" i="1"/>
  <c r="BO63" i="1"/>
  <c r="AW63" i="1"/>
  <c r="AV63" i="1"/>
  <c r="AD63" i="1"/>
  <c r="AC63" i="1"/>
  <c r="FZ62" i="1"/>
  <c r="FY62" i="1"/>
  <c r="GA62" i="1" s="1"/>
  <c r="FG62" i="1"/>
  <c r="FF62" i="1"/>
  <c r="EN62" i="1"/>
  <c r="EM62" i="1"/>
  <c r="DU62" i="1"/>
  <c r="DT62" i="1"/>
  <c r="DB62" i="1"/>
  <c r="DA62" i="1"/>
  <c r="DC62" i="1" s="1"/>
  <c r="CI62" i="1"/>
  <c r="CH62" i="1"/>
  <c r="BP62" i="1"/>
  <c r="BO62" i="1"/>
  <c r="BQ62" i="1" s="1"/>
  <c r="AW62" i="1"/>
  <c r="AV62" i="1"/>
  <c r="AX62" i="1" s="1"/>
  <c r="AE62" i="1"/>
  <c r="AD62" i="1"/>
  <c r="AC62" i="1"/>
  <c r="FZ61" i="1"/>
  <c r="FY61" i="1"/>
  <c r="GA61" i="1" s="1"/>
  <c r="FG61" i="1"/>
  <c r="FH61" i="1" s="1"/>
  <c r="FF61" i="1"/>
  <c r="EO61" i="1"/>
  <c r="EN61" i="1"/>
  <c r="EM61" i="1"/>
  <c r="DU61" i="1"/>
  <c r="DT61" i="1"/>
  <c r="DB61" i="1"/>
  <c r="DA61" i="1"/>
  <c r="CI61" i="1"/>
  <c r="CJ61" i="1" s="1"/>
  <c r="CH61" i="1"/>
  <c r="BP61" i="1"/>
  <c r="BO61" i="1"/>
  <c r="AW61" i="1"/>
  <c r="AV61" i="1"/>
  <c r="AX61" i="1" s="1"/>
  <c r="AD61" i="1"/>
  <c r="AC61" i="1"/>
  <c r="AE61" i="1" s="1"/>
  <c r="FZ60" i="1"/>
  <c r="FY60" i="1"/>
  <c r="FG60" i="1"/>
  <c r="FF60" i="1"/>
  <c r="EN60" i="1"/>
  <c r="EM60" i="1"/>
  <c r="EO60" i="1" s="1"/>
  <c r="DU60" i="1"/>
  <c r="DT60" i="1"/>
  <c r="DB60" i="1"/>
  <c r="DA60" i="1"/>
  <c r="CI60" i="1"/>
  <c r="CH60" i="1"/>
  <c r="BP60" i="1"/>
  <c r="BQ60" i="1" s="1"/>
  <c r="BO60" i="1"/>
  <c r="AW60" i="1"/>
  <c r="AV60" i="1"/>
  <c r="AD60" i="1"/>
  <c r="AC60" i="1"/>
  <c r="AE60" i="1" s="1"/>
  <c r="FZ59" i="1"/>
  <c r="FY59" i="1"/>
  <c r="GA59" i="1" s="1"/>
  <c r="FG59" i="1"/>
  <c r="FF59" i="1"/>
  <c r="EN59" i="1"/>
  <c r="EM59" i="1"/>
  <c r="DV59" i="1"/>
  <c r="DU59" i="1"/>
  <c r="DT59" i="1"/>
  <c r="DB59" i="1"/>
  <c r="DA59" i="1"/>
  <c r="CI59" i="1"/>
  <c r="CH59" i="1"/>
  <c r="BP59" i="1"/>
  <c r="BO59" i="1"/>
  <c r="AW59" i="1"/>
  <c r="AV59" i="1"/>
  <c r="AD59" i="1"/>
  <c r="AC59" i="1"/>
  <c r="FZ58" i="1"/>
  <c r="GA58" i="1" s="1"/>
  <c r="FY58" i="1"/>
  <c r="FG58" i="1"/>
  <c r="FF58" i="1"/>
  <c r="EN58" i="1"/>
  <c r="EM58" i="1"/>
  <c r="DU58" i="1"/>
  <c r="DT58" i="1"/>
  <c r="DV58" i="1" s="1"/>
  <c r="DB58" i="1"/>
  <c r="DA58" i="1"/>
  <c r="DC58" i="1" s="1"/>
  <c r="CI58" i="1"/>
  <c r="CH58" i="1"/>
  <c r="BQ58" i="1"/>
  <c r="BP58" i="1"/>
  <c r="BO58" i="1"/>
  <c r="AX58" i="1"/>
  <c r="AW58" i="1"/>
  <c r="AV58" i="1"/>
  <c r="AD58" i="1"/>
  <c r="AC58" i="1"/>
  <c r="FZ57" i="1"/>
  <c r="FY57" i="1"/>
  <c r="FG57" i="1"/>
  <c r="FH57" i="1" s="1"/>
  <c r="FF57" i="1"/>
  <c r="EN57" i="1"/>
  <c r="EM57" i="1"/>
  <c r="DU57" i="1"/>
  <c r="DT57" i="1"/>
  <c r="DV57" i="1" s="1"/>
  <c r="DB57" i="1"/>
  <c r="DA57" i="1"/>
  <c r="DC57" i="1" s="1"/>
  <c r="CI57" i="1"/>
  <c r="CH57" i="1"/>
  <c r="BP57" i="1"/>
  <c r="BO57" i="1"/>
  <c r="BQ57" i="1" s="1"/>
  <c r="AW57" i="1"/>
  <c r="AV57" i="1"/>
  <c r="AD57" i="1"/>
  <c r="AC57" i="1"/>
  <c r="FZ56" i="1"/>
  <c r="FY56" i="1"/>
  <c r="GA56" i="1" s="1"/>
  <c r="FG56" i="1"/>
  <c r="FF56" i="1"/>
  <c r="FH56" i="1" s="1"/>
  <c r="EN56" i="1"/>
  <c r="EM56" i="1"/>
  <c r="EO56" i="1" s="1"/>
  <c r="DU56" i="1"/>
  <c r="DT56" i="1"/>
  <c r="DB56" i="1"/>
  <c r="DA56" i="1"/>
  <c r="CI56" i="1"/>
  <c r="CH56" i="1"/>
  <c r="BP56" i="1"/>
  <c r="BO56" i="1"/>
  <c r="BQ56" i="1" s="1"/>
  <c r="AW56" i="1"/>
  <c r="AV56" i="1"/>
  <c r="AX56" i="1" s="1"/>
  <c r="AD56" i="1"/>
  <c r="AC56" i="1"/>
  <c r="AE56" i="1" s="1"/>
  <c r="FZ55" i="1"/>
  <c r="FY55" i="1"/>
  <c r="FG55" i="1"/>
  <c r="FF55" i="1"/>
  <c r="FH55" i="1" s="1"/>
  <c r="EN55" i="1"/>
  <c r="EM55" i="1"/>
  <c r="EO55" i="1" s="1"/>
  <c r="DU55" i="1"/>
  <c r="DT55" i="1"/>
  <c r="DB55" i="1"/>
  <c r="DA55" i="1"/>
  <c r="DC55" i="1" s="1"/>
  <c r="CJ55" i="1"/>
  <c r="CI55" i="1"/>
  <c r="CH55" i="1"/>
  <c r="BP55" i="1"/>
  <c r="BO55" i="1"/>
  <c r="AW55" i="1"/>
  <c r="AV55" i="1"/>
  <c r="AX55" i="1" s="1"/>
  <c r="AD55" i="1"/>
  <c r="AC55" i="1"/>
  <c r="AE55" i="1" s="1"/>
  <c r="FZ54" i="1"/>
  <c r="GA54" i="1" s="1"/>
  <c r="FY54" i="1"/>
  <c r="FG54" i="1"/>
  <c r="FF54" i="1"/>
  <c r="EN54" i="1"/>
  <c r="EM54" i="1"/>
  <c r="DU54" i="1"/>
  <c r="DT54" i="1"/>
  <c r="DV54" i="1" s="1"/>
  <c r="DB54" i="1"/>
  <c r="DA54" i="1"/>
  <c r="DC54" i="1" s="1"/>
  <c r="CI54" i="1"/>
  <c r="CH54" i="1"/>
  <c r="BP54" i="1"/>
  <c r="BO54" i="1"/>
  <c r="BQ54" i="1" s="1"/>
  <c r="AW54" i="1"/>
  <c r="AV54" i="1"/>
  <c r="AD54" i="1"/>
  <c r="AC54" i="1"/>
  <c r="AE54" i="1" s="1"/>
  <c r="FZ53" i="1"/>
  <c r="FY53" i="1"/>
  <c r="FG53" i="1"/>
  <c r="FF53" i="1"/>
  <c r="FH53" i="1" s="1"/>
  <c r="EN53" i="1"/>
  <c r="EM53" i="1"/>
  <c r="EO53" i="1" s="1"/>
  <c r="DU53" i="1"/>
  <c r="DV53" i="1" s="1"/>
  <c r="DT53" i="1"/>
  <c r="DB53" i="1"/>
  <c r="DA53" i="1"/>
  <c r="CI53" i="1"/>
  <c r="CH53" i="1"/>
  <c r="CJ53" i="1" s="1"/>
  <c r="BP53" i="1"/>
  <c r="BO53" i="1"/>
  <c r="BQ53" i="1" s="1"/>
  <c r="AW53" i="1"/>
  <c r="AV53" i="1"/>
  <c r="AX53" i="1" s="1"/>
  <c r="AD53" i="1"/>
  <c r="AC53" i="1"/>
  <c r="AE53" i="1" s="1"/>
  <c r="GA52" i="1"/>
  <c r="FZ52" i="1"/>
  <c r="FY52" i="1"/>
  <c r="FG52" i="1"/>
  <c r="FF52" i="1"/>
  <c r="FH52" i="1" s="1"/>
  <c r="EN52" i="1"/>
  <c r="EM52" i="1"/>
  <c r="EO52" i="1" s="1"/>
  <c r="DU52" i="1"/>
  <c r="DT52" i="1"/>
  <c r="DB52" i="1"/>
  <c r="DA52" i="1"/>
  <c r="CI52" i="1"/>
  <c r="CH52" i="1"/>
  <c r="BP52" i="1"/>
  <c r="BO52" i="1"/>
  <c r="BQ52" i="1" s="1"/>
  <c r="AW52" i="1"/>
  <c r="AV52" i="1"/>
  <c r="AX52" i="1" s="1"/>
  <c r="AD52" i="1"/>
  <c r="AC52" i="1"/>
  <c r="AE52" i="1" s="1"/>
  <c r="FZ51" i="1"/>
  <c r="FY51" i="1"/>
  <c r="GA51" i="1" s="1"/>
  <c r="FG51" i="1"/>
  <c r="FF51" i="1"/>
  <c r="FH51" i="1" s="1"/>
  <c r="EN51" i="1"/>
  <c r="EM51" i="1"/>
  <c r="DU51" i="1"/>
  <c r="DT51" i="1"/>
  <c r="DV51" i="1" s="1"/>
  <c r="DB51" i="1"/>
  <c r="DA51" i="1"/>
  <c r="DC51" i="1" s="1"/>
  <c r="CI51" i="1"/>
  <c r="CH51" i="1"/>
  <c r="CJ51" i="1" s="1"/>
  <c r="BP51" i="1"/>
  <c r="BO51" i="1"/>
  <c r="AX51" i="1"/>
  <c r="AW51" i="1"/>
  <c r="AV51" i="1"/>
  <c r="AD51" i="1"/>
  <c r="AE51" i="1" s="1"/>
  <c r="AC51" i="1"/>
  <c r="FZ50" i="1"/>
  <c r="FY50" i="1"/>
  <c r="GA50" i="1" s="1"/>
  <c r="FG50" i="1"/>
  <c r="FF50" i="1"/>
  <c r="FH50" i="1" s="1"/>
  <c r="EN50" i="1"/>
  <c r="EM50" i="1"/>
  <c r="EO50" i="1" s="1"/>
  <c r="DU50" i="1"/>
  <c r="DV50" i="1" s="1"/>
  <c r="DT50" i="1"/>
  <c r="DB50" i="1"/>
  <c r="DA50" i="1"/>
  <c r="DC50" i="1" s="1"/>
  <c r="CI50" i="1"/>
  <c r="CH50" i="1"/>
  <c r="CJ50" i="1" s="1"/>
  <c r="BP50" i="1"/>
  <c r="BO50" i="1"/>
  <c r="AW50" i="1"/>
  <c r="AV50" i="1"/>
  <c r="AE50" i="1"/>
  <c r="AD50" i="1"/>
  <c r="AC50" i="1"/>
  <c r="FZ49" i="1"/>
  <c r="FY49" i="1"/>
  <c r="FG49" i="1"/>
  <c r="FF49" i="1"/>
  <c r="FH49" i="1" s="1"/>
  <c r="EN49" i="1"/>
  <c r="EO49" i="1" s="1"/>
  <c r="EM49" i="1"/>
  <c r="DU49" i="1"/>
  <c r="DT49" i="1"/>
  <c r="DV49" i="1" s="1"/>
  <c r="DB49" i="1"/>
  <c r="DA49" i="1"/>
  <c r="CI49" i="1"/>
  <c r="CH49" i="1"/>
  <c r="BP49" i="1"/>
  <c r="BO49" i="1"/>
  <c r="BQ49" i="1" s="1"/>
  <c r="AW49" i="1"/>
  <c r="AV49" i="1"/>
  <c r="AX49" i="1" s="1"/>
  <c r="AD49" i="1"/>
  <c r="AC49" i="1"/>
  <c r="FZ48" i="1"/>
  <c r="FY48" i="1"/>
  <c r="GA48" i="1" s="1"/>
  <c r="FG48" i="1"/>
  <c r="FF48" i="1"/>
  <c r="EN48" i="1"/>
  <c r="EO48" i="1" s="1"/>
  <c r="EM48" i="1"/>
  <c r="DU48" i="1"/>
  <c r="DT48" i="1"/>
  <c r="DB48" i="1"/>
  <c r="DA48" i="1"/>
  <c r="CI48" i="1"/>
  <c r="CH48" i="1"/>
  <c r="BP48" i="1"/>
  <c r="BO48" i="1"/>
  <c r="AW48" i="1"/>
  <c r="AV48" i="1"/>
  <c r="AD48" i="1"/>
  <c r="AC48" i="1"/>
  <c r="AE48" i="1" s="1"/>
  <c r="FZ47" i="1"/>
  <c r="FY47" i="1"/>
  <c r="GA47" i="1" s="1"/>
  <c r="FG47" i="1"/>
  <c r="FF47" i="1"/>
  <c r="FH47" i="1" s="1"/>
  <c r="EN47" i="1"/>
  <c r="EM47" i="1"/>
  <c r="EO47" i="1" s="1"/>
  <c r="DV47" i="1"/>
  <c r="DU47" i="1"/>
  <c r="DT47" i="1"/>
  <c r="DB47" i="1"/>
  <c r="DA47" i="1"/>
  <c r="CI47" i="1"/>
  <c r="CH47" i="1"/>
  <c r="BP47" i="1"/>
  <c r="BO47" i="1"/>
  <c r="BQ47" i="1" s="1"/>
  <c r="AW47" i="1"/>
  <c r="AV47" i="1"/>
  <c r="AX47" i="1" s="1"/>
  <c r="AD47" i="1"/>
  <c r="AC47" i="1"/>
  <c r="GA46" i="1"/>
  <c r="FZ46" i="1"/>
  <c r="FY46" i="1"/>
  <c r="FG46" i="1"/>
  <c r="FF46" i="1"/>
  <c r="EN46" i="1"/>
  <c r="EM46" i="1"/>
  <c r="EO46" i="1" s="1"/>
  <c r="DU46" i="1"/>
  <c r="DT46" i="1"/>
  <c r="DV46" i="1" s="1"/>
  <c r="DB46" i="1"/>
  <c r="DA46" i="1"/>
  <c r="CI46" i="1"/>
  <c r="CH46" i="1"/>
  <c r="BQ46" i="1"/>
  <c r="BP46" i="1"/>
  <c r="BO46" i="1"/>
  <c r="AW46" i="1"/>
  <c r="AV46" i="1"/>
  <c r="AX46" i="1" s="1"/>
  <c r="AD46" i="1"/>
  <c r="AE46" i="1" s="1"/>
  <c r="AC46" i="1"/>
  <c r="FZ45" i="1"/>
  <c r="FY45" i="1"/>
  <c r="GA45" i="1" s="1"/>
  <c r="FG45" i="1"/>
  <c r="FF45" i="1"/>
  <c r="FH45" i="1" s="1"/>
  <c r="EO45" i="1"/>
  <c r="EN45" i="1"/>
  <c r="EM45" i="1"/>
  <c r="DU45" i="1"/>
  <c r="DT45" i="1"/>
  <c r="DB45" i="1"/>
  <c r="DA45" i="1"/>
  <c r="CI45" i="1"/>
  <c r="CH45" i="1"/>
  <c r="CJ45" i="1" s="1"/>
  <c r="BP45" i="1"/>
  <c r="BO45" i="1"/>
  <c r="BQ45" i="1" s="1"/>
  <c r="AX45" i="1"/>
  <c r="AW45" i="1"/>
  <c r="AV45" i="1"/>
  <c r="AD45" i="1"/>
  <c r="AC45" i="1"/>
  <c r="FZ44" i="1"/>
  <c r="FY44" i="1"/>
  <c r="GA44" i="1" s="1"/>
  <c r="FG44" i="1"/>
  <c r="FF44" i="1"/>
  <c r="FH44" i="1" s="1"/>
  <c r="EN44" i="1"/>
  <c r="EM44" i="1"/>
  <c r="EO44" i="1" s="1"/>
  <c r="DU44" i="1"/>
  <c r="DT44" i="1"/>
  <c r="DC44" i="1"/>
  <c r="DB44" i="1"/>
  <c r="DA44" i="1"/>
  <c r="CI44" i="1"/>
  <c r="CH44" i="1"/>
  <c r="BP44" i="1"/>
  <c r="BO44" i="1"/>
  <c r="AW44" i="1"/>
  <c r="AV44" i="1"/>
  <c r="AX44" i="1" s="1"/>
  <c r="AD44" i="1"/>
  <c r="AC44" i="1"/>
  <c r="FZ43" i="1"/>
  <c r="FY43" i="1"/>
  <c r="FG43" i="1"/>
  <c r="FF43" i="1"/>
  <c r="FH43" i="1" s="1"/>
  <c r="EN43" i="1"/>
  <c r="EM43" i="1"/>
  <c r="EO43" i="1" s="1"/>
  <c r="DU43" i="1"/>
  <c r="DT43" i="1"/>
  <c r="DV43" i="1" s="1"/>
  <c r="DB43" i="1"/>
  <c r="DA43" i="1"/>
  <c r="CI43" i="1"/>
  <c r="CH43" i="1"/>
  <c r="BP43" i="1"/>
  <c r="BO43" i="1"/>
  <c r="AW43" i="1"/>
  <c r="AV43" i="1"/>
  <c r="AX43" i="1" s="1"/>
  <c r="AD43" i="1"/>
  <c r="AC43" i="1"/>
  <c r="FZ42" i="1"/>
  <c r="FY42" i="1"/>
  <c r="GA42" i="1" s="1"/>
  <c r="FG42" i="1"/>
  <c r="FF42" i="1"/>
  <c r="EN42" i="1"/>
  <c r="EM42" i="1"/>
  <c r="DU42" i="1"/>
  <c r="DT42" i="1"/>
  <c r="DB42" i="1"/>
  <c r="DC42" i="1" s="1"/>
  <c r="DA42" i="1"/>
  <c r="CI42" i="1"/>
  <c r="CH42" i="1"/>
  <c r="CJ42" i="1" s="1"/>
  <c r="BP42" i="1"/>
  <c r="BO42" i="1"/>
  <c r="AW42" i="1"/>
  <c r="AV42" i="1"/>
  <c r="AX42" i="1" s="1"/>
  <c r="AD42" i="1"/>
  <c r="AC42" i="1"/>
  <c r="FZ41" i="1"/>
  <c r="FY41" i="1"/>
  <c r="FG41" i="1"/>
  <c r="FF41" i="1"/>
  <c r="EN41" i="1"/>
  <c r="EM41" i="1"/>
  <c r="EO41" i="1" s="1"/>
  <c r="DU41" i="1"/>
  <c r="DT41" i="1"/>
  <c r="DV41" i="1" s="1"/>
  <c r="DB41" i="1"/>
  <c r="DA41" i="1"/>
  <c r="CJ41" i="1"/>
  <c r="CI41" i="1"/>
  <c r="CH41" i="1"/>
  <c r="BP41" i="1"/>
  <c r="BO41" i="1"/>
  <c r="AW41" i="1"/>
  <c r="AX41" i="1" s="1"/>
  <c r="AV41" i="1"/>
  <c r="AD41" i="1"/>
  <c r="AC41" i="1"/>
  <c r="FZ40" i="1"/>
  <c r="FY40" i="1"/>
  <c r="FG40" i="1"/>
  <c r="FF40" i="1"/>
  <c r="EO40" i="1"/>
  <c r="EN40" i="1"/>
  <c r="EM40" i="1"/>
  <c r="DU40" i="1"/>
  <c r="DT40" i="1"/>
  <c r="DB40" i="1"/>
  <c r="DA40" i="1"/>
  <c r="DC40" i="1" s="1"/>
  <c r="CI40" i="1"/>
  <c r="CH40" i="1"/>
  <c r="BP40" i="1"/>
  <c r="BO40" i="1"/>
  <c r="AW40" i="1"/>
  <c r="AV40" i="1"/>
  <c r="AD40" i="1"/>
  <c r="AC40" i="1"/>
  <c r="AE40" i="1" s="1"/>
  <c r="FZ39" i="1"/>
  <c r="FY39" i="1"/>
  <c r="GA39" i="1" s="1"/>
  <c r="FG39" i="1"/>
  <c r="FF39" i="1"/>
  <c r="FH39" i="1" s="1"/>
  <c r="EN39" i="1"/>
  <c r="EM39" i="1"/>
  <c r="EO39" i="1" s="1"/>
  <c r="DU39" i="1"/>
  <c r="DT39" i="1"/>
  <c r="DV39" i="1" s="1"/>
  <c r="DB39" i="1"/>
  <c r="DA39" i="1"/>
  <c r="CI39" i="1"/>
  <c r="CJ39" i="1" s="1"/>
  <c r="CH39" i="1"/>
  <c r="BP39" i="1"/>
  <c r="BO39" i="1"/>
  <c r="BQ39" i="1" s="1"/>
  <c r="AW39" i="1"/>
  <c r="AV39" i="1"/>
  <c r="AD39" i="1"/>
  <c r="AC39" i="1"/>
  <c r="FZ38" i="1"/>
  <c r="FY38" i="1"/>
  <c r="FG38" i="1"/>
  <c r="FF38" i="1"/>
  <c r="EN38" i="1"/>
  <c r="EM38" i="1"/>
  <c r="DU38" i="1"/>
  <c r="DT38" i="1"/>
  <c r="DV38" i="1" s="1"/>
  <c r="DB38" i="1"/>
  <c r="DA38" i="1"/>
  <c r="DC38" i="1" s="1"/>
  <c r="CI38" i="1"/>
  <c r="CH38" i="1"/>
  <c r="CJ38" i="1" s="1"/>
  <c r="BP38" i="1"/>
  <c r="BO38" i="1"/>
  <c r="AW38" i="1"/>
  <c r="AV38" i="1"/>
  <c r="AX38" i="1" s="1"/>
  <c r="AD38" i="1"/>
  <c r="AC38" i="1"/>
  <c r="FZ37" i="1"/>
  <c r="FY37" i="1"/>
  <c r="FG37" i="1"/>
  <c r="FH37" i="1" s="1"/>
  <c r="FF37" i="1"/>
  <c r="EN37" i="1"/>
  <c r="EM37" i="1"/>
  <c r="DU37" i="1"/>
  <c r="DT37" i="1"/>
  <c r="DB37" i="1"/>
  <c r="DA37" i="1"/>
  <c r="CI37" i="1"/>
  <c r="CH37" i="1"/>
  <c r="BP37" i="1"/>
  <c r="BO37" i="1"/>
  <c r="BQ37" i="1" s="1"/>
  <c r="AW37" i="1"/>
  <c r="AV37" i="1"/>
  <c r="AX37" i="1" s="1"/>
  <c r="AD37" i="1"/>
  <c r="AC37" i="1"/>
  <c r="FZ36" i="1"/>
  <c r="FY36" i="1"/>
  <c r="GA36" i="1" s="1"/>
  <c r="FG36" i="1"/>
  <c r="FF36" i="1"/>
  <c r="FH36" i="1" s="1"/>
  <c r="EN36" i="1"/>
  <c r="EM36" i="1"/>
  <c r="EO36" i="1" s="1"/>
  <c r="DU36" i="1"/>
  <c r="DT36" i="1"/>
  <c r="DB36" i="1"/>
  <c r="DC36" i="1" s="1"/>
  <c r="DA36" i="1"/>
  <c r="CI36" i="1"/>
  <c r="CH36" i="1"/>
  <c r="BP36" i="1"/>
  <c r="BO36" i="1"/>
  <c r="BQ36" i="1" s="1"/>
  <c r="AW36" i="1"/>
  <c r="AV36" i="1"/>
  <c r="AD36" i="1"/>
  <c r="AC36" i="1"/>
  <c r="AE36" i="1" s="1"/>
  <c r="FZ35" i="1"/>
  <c r="FY35" i="1"/>
  <c r="GA35" i="1" s="1"/>
  <c r="FG35" i="1"/>
  <c r="FF35" i="1"/>
  <c r="EN35" i="1"/>
  <c r="EM35" i="1"/>
  <c r="DU35" i="1"/>
  <c r="DT35" i="1"/>
  <c r="DB35" i="1"/>
  <c r="DA35" i="1"/>
  <c r="CI35" i="1"/>
  <c r="CH35" i="1"/>
  <c r="CJ35" i="1" s="1"/>
  <c r="BP35" i="1"/>
  <c r="BO35" i="1"/>
  <c r="BQ35" i="1" s="1"/>
  <c r="AW35" i="1"/>
  <c r="AX35" i="1" s="1"/>
  <c r="AV35" i="1"/>
  <c r="AD35" i="1"/>
  <c r="AC35" i="1"/>
  <c r="AE35" i="1" s="1"/>
  <c r="FZ34" i="1"/>
  <c r="FY34" i="1"/>
  <c r="GA34" i="1" s="1"/>
  <c r="FG34" i="1"/>
  <c r="FF34" i="1"/>
  <c r="EN34" i="1"/>
  <c r="EM34" i="1"/>
  <c r="EO34" i="1" s="1"/>
  <c r="DU34" i="1"/>
  <c r="DT34" i="1"/>
  <c r="DB34" i="1"/>
  <c r="DA34" i="1"/>
  <c r="CI34" i="1"/>
  <c r="CH34" i="1"/>
  <c r="BP34" i="1"/>
  <c r="BO34" i="1"/>
  <c r="BQ34" i="1" s="1"/>
  <c r="AW34" i="1"/>
  <c r="AV34" i="1"/>
  <c r="AD34" i="1"/>
  <c r="AC34" i="1"/>
  <c r="AE34" i="1" s="1"/>
  <c r="FZ33" i="1"/>
  <c r="FY33" i="1"/>
  <c r="FG33" i="1"/>
  <c r="FF33" i="1"/>
  <c r="FH33" i="1" s="1"/>
  <c r="EN33" i="1"/>
  <c r="EM33" i="1"/>
  <c r="EO33" i="1" s="1"/>
  <c r="DU33" i="1"/>
  <c r="DT33" i="1"/>
  <c r="DV33" i="1" s="1"/>
  <c r="DB33" i="1"/>
  <c r="DA33" i="1"/>
  <c r="DC33" i="1" s="1"/>
  <c r="CI33" i="1"/>
  <c r="CH33" i="1"/>
  <c r="BP33" i="1"/>
  <c r="BQ33" i="1" s="1"/>
  <c r="BO33" i="1"/>
  <c r="AW33" i="1"/>
  <c r="AV33" i="1"/>
  <c r="AX33" i="1" s="1"/>
  <c r="AD33" i="1"/>
  <c r="AC33" i="1"/>
  <c r="FZ32" i="1"/>
  <c r="FY32" i="1"/>
  <c r="GA32" i="1" s="1"/>
  <c r="FG32" i="1"/>
  <c r="FF32" i="1"/>
  <c r="FH32" i="1" s="1"/>
  <c r="EO32" i="1"/>
  <c r="EN32" i="1"/>
  <c r="EM32" i="1"/>
  <c r="DU32" i="1"/>
  <c r="DT32" i="1"/>
  <c r="DB32" i="1"/>
  <c r="DA32" i="1"/>
  <c r="DC32" i="1" s="1"/>
  <c r="CI32" i="1"/>
  <c r="CH32" i="1"/>
  <c r="CJ32" i="1" s="1"/>
  <c r="BP32" i="1"/>
  <c r="BO32" i="1"/>
  <c r="AW32" i="1"/>
  <c r="AV32" i="1"/>
  <c r="AD32" i="1"/>
  <c r="AC32" i="1"/>
  <c r="FZ31" i="1"/>
  <c r="FY31" i="1"/>
  <c r="FG31" i="1"/>
  <c r="FF31" i="1"/>
  <c r="FH31" i="1" s="1"/>
  <c r="EN31" i="1"/>
  <c r="EM31" i="1"/>
  <c r="DU31" i="1"/>
  <c r="DT31" i="1"/>
  <c r="DV31" i="1" s="1"/>
  <c r="DB31" i="1"/>
  <c r="DA31" i="1"/>
  <c r="CI31" i="1"/>
  <c r="CH31" i="1"/>
  <c r="CJ31" i="1" s="1"/>
  <c r="BP31" i="1"/>
  <c r="BO31" i="1"/>
  <c r="BQ31" i="1" s="1"/>
  <c r="AX31" i="1"/>
  <c r="AW31" i="1"/>
  <c r="AV31" i="1"/>
  <c r="AD31" i="1"/>
  <c r="AC31" i="1"/>
  <c r="AE31" i="1" s="1"/>
  <c r="FZ30" i="1"/>
  <c r="FY30" i="1"/>
  <c r="FG30" i="1"/>
  <c r="FF30" i="1"/>
  <c r="EN30" i="1"/>
  <c r="EM30" i="1"/>
  <c r="DU30" i="1"/>
  <c r="DT30" i="1"/>
  <c r="DB30" i="1"/>
  <c r="DA30" i="1"/>
  <c r="CI30" i="1"/>
  <c r="CH30" i="1"/>
  <c r="BP30" i="1"/>
  <c r="BO30" i="1"/>
  <c r="AW30" i="1"/>
  <c r="AV30" i="1"/>
  <c r="AD30" i="1"/>
  <c r="AE30" i="1" s="1"/>
  <c r="AC30" i="1"/>
  <c r="FZ29" i="1"/>
  <c r="FY29" i="1"/>
  <c r="FG29" i="1"/>
  <c r="FF29" i="1"/>
  <c r="FH29" i="1" s="1"/>
  <c r="EN29" i="1"/>
  <c r="EM29" i="1"/>
  <c r="EO29" i="1" s="1"/>
  <c r="DU29" i="1"/>
  <c r="DT29" i="1"/>
  <c r="DB29" i="1"/>
  <c r="DA29" i="1"/>
  <c r="CI29" i="1"/>
  <c r="CH29" i="1"/>
  <c r="CJ29" i="1" s="1"/>
  <c r="BP29" i="1"/>
  <c r="BO29" i="1"/>
  <c r="BQ29" i="1" s="1"/>
  <c r="AW29" i="1"/>
  <c r="AV29" i="1"/>
  <c r="AX29" i="1" s="1"/>
  <c r="AD29" i="1"/>
  <c r="AC29" i="1"/>
  <c r="FZ28" i="1"/>
  <c r="FY28" i="1"/>
  <c r="FG28" i="1"/>
  <c r="FF28" i="1"/>
  <c r="EN28" i="1"/>
  <c r="EM28" i="1"/>
  <c r="EO28" i="1" s="1"/>
  <c r="DU28" i="1"/>
  <c r="DT28" i="1"/>
  <c r="DV28" i="1" s="1"/>
  <c r="DB28" i="1"/>
  <c r="DA28" i="1"/>
  <c r="CI28" i="1"/>
  <c r="CH28" i="1"/>
  <c r="BQ28" i="1"/>
  <c r="BP28" i="1"/>
  <c r="BO28" i="1"/>
  <c r="AW28" i="1"/>
  <c r="AV28" i="1"/>
  <c r="AD28" i="1"/>
  <c r="AC28" i="1"/>
  <c r="FZ27" i="1"/>
  <c r="FY27" i="1"/>
  <c r="GA27" i="1" s="1"/>
  <c r="FG27" i="1"/>
  <c r="FF27" i="1"/>
  <c r="EN27" i="1"/>
  <c r="EM27" i="1"/>
  <c r="DU27" i="1"/>
  <c r="DT27" i="1"/>
  <c r="DV27" i="1" s="1"/>
  <c r="DB27" i="1"/>
  <c r="DA27" i="1"/>
  <c r="DC27" i="1" s="1"/>
  <c r="CI27" i="1"/>
  <c r="CH27" i="1"/>
  <c r="CJ27" i="1" s="1"/>
  <c r="BP27" i="1"/>
  <c r="BO27" i="1"/>
  <c r="AW27" i="1"/>
  <c r="AV27" i="1"/>
  <c r="AX27" i="1" s="1"/>
  <c r="AD27" i="1"/>
  <c r="AC27" i="1"/>
  <c r="FZ26" i="1"/>
  <c r="FY26" i="1"/>
  <c r="FG26" i="1"/>
  <c r="FF26" i="1"/>
  <c r="EN26" i="1"/>
  <c r="EM26" i="1"/>
  <c r="DU26" i="1"/>
  <c r="DT26" i="1"/>
  <c r="DV26" i="1" s="1"/>
  <c r="DB26" i="1"/>
  <c r="DA26" i="1"/>
  <c r="DC26" i="1" s="1"/>
  <c r="CI26" i="1"/>
  <c r="CH26" i="1"/>
  <c r="BP26" i="1"/>
  <c r="BO26" i="1"/>
  <c r="AW26" i="1"/>
  <c r="AV26" i="1"/>
  <c r="AD26" i="1"/>
  <c r="AC26" i="1"/>
  <c r="AE26" i="1" s="1"/>
  <c r="FZ25" i="1"/>
  <c r="FY25" i="1"/>
  <c r="GA25" i="1" s="1"/>
  <c r="FG25" i="1"/>
  <c r="FF25" i="1"/>
  <c r="EN25" i="1"/>
  <c r="EM25" i="1"/>
  <c r="DU25" i="1"/>
  <c r="DT25" i="1"/>
  <c r="DV25" i="1" s="1"/>
  <c r="DB25" i="1"/>
  <c r="DA25" i="1"/>
  <c r="CI25" i="1"/>
  <c r="CH25" i="1"/>
  <c r="CJ25" i="1" s="1"/>
  <c r="BP25" i="1"/>
  <c r="BO25" i="1"/>
  <c r="AX25" i="1"/>
  <c r="AW25" i="1"/>
  <c r="AV25" i="1"/>
  <c r="AD25" i="1"/>
  <c r="AC25" i="1"/>
  <c r="FZ24" i="1"/>
  <c r="FY24" i="1"/>
  <c r="GA24" i="1" s="1"/>
  <c r="FG24" i="1"/>
  <c r="FF24" i="1"/>
  <c r="FH24" i="1" s="1"/>
  <c r="EN24" i="1"/>
  <c r="EO24" i="1" s="1"/>
  <c r="EM24" i="1"/>
  <c r="DU24" i="1"/>
  <c r="DT24" i="1"/>
  <c r="DB24" i="1"/>
  <c r="DA24" i="1"/>
  <c r="CI24" i="1"/>
  <c r="CH24" i="1"/>
  <c r="CJ24" i="1" s="1"/>
  <c r="BP24" i="1"/>
  <c r="BO24" i="1"/>
  <c r="BQ24" i="1" s="1"/>
  <c r="AW24" i="1"/>
  <c r="AV24" i="1"/>
  <c r="AD24" i="1"/>
  <c r="AC24" i="1"/>
  <c r="AE24" i="1" s="1"/>
  <c r="FZ23" i="1"/>
  <c r="FY23" i="1"/>
  <c r="FG23" i="1"/>
  <c r="FF23" i="1"/>
  <c r="EN23" i="1"/>
  <c r="EM23" i="1"/>
  <c r="DU23" i="1"/>
  <c r="DT23" i="1"/>
  <c r="DB23" i="1"/>
  <c r="DA23" i="1"/>
  <c r="DC23" i="1" s="1"/>
  <c r="CI23" i="1"/>
  <c r="CH23" i="1"/>
  <c r="CJ23" i="1" s="1"/>
  <c r="BP23" i="1"/>
  <c r="BO23" i="1"/>
  <c r="AW23" i="1"/>
  <c r="AV23" i="1"/>
  <c r="AD23" i="1"/>
  <c r="AC23" i="1"/>
  <c r="FZ22" i="1"/>
  <c r="FY22" i="1"/>
  <c r="GA22" i="1" s="1"/>
  <c r="FG22" i="1"/>
  <c r="FF22" i="1"/>
  <c r="EN22" i="1"/>
  <c r="EM22" i="1"/>
  <c r="EO22" i="1" s="1"/>
  <c r="DU22" i="1"/>
  <c r="DT22" i="1"/>
  <c r="DB22" i="1"/>
  <c r="DA22" i="1"/>
  <c r="DC22" i="1" s="1"/>
  <c r="CI22" i="1"/>
  <c r="CH22" i="1"/>
  <c r="BP22" i="1"/>
  <c r="BO22" i="1"/>
  <c r="AW22" i="1"/>
  <c r="AV22" i="1"/>
  <c r="AX22" i="1" s="1"/>
  <c r="AD22" i="1"/>
  <c r="AC22" i="1"/>
  <c r="AE22" i="1" s="1"/>
  <c r="FZ21" i="1"/>
  <c r="FY21" i="1"/>
  <c r="FG21" i="1"/>
  <c r="FF21" i="1"/>
  <c r="FH21" i="1" s="1"/>
  <c r="EN21" i="1"/>
  <c r="EM21" i="1"/>
  <c r="EO21" i="1" s="1"/>
  <c r="DU21" i="1"/>
  <c r="DT21" i="1"/>
  <c r="DV21" i="1" s="1"/>
  <c r="DB21" i="1"/>
  <c r="DA21" i="1"/>
  <c r="CI21" i="1"/>
  <c r="CH21" i="1"/>
  <c r="CJ21" i="1" s="1"/>
  <c r="BP21" i="1"/>
  <c r="BQ21" i="1" s="1"/>
  <c r="BO21" i="1"/>
  <c r="AW21" i="1"/>
  <c r="AV21" i="1"/>
  <c r="AX21" i="1" s="1"/>
  <c r="AD21" i="1"/>
  <c r="AC21" i="1"/>
  <c r="AE21" i="1" s="1"/>
  <c r="FZ20" i="1"/>
  <c r="FY20" i="1"/>
  <c r="GA20" i="1" s="1"/>
  <c r="FG20" i="1"/>
  <c r="FF20" i="1"/>
  <c r="FH20" i="1" s="1"/>
  <c r="EN20" i="1"/>
  <c r="EM20" i="1"/>
  <c r="DU20" i="1"/>
  <c r="DT20" i="1"/>
  <c r="DB20" i="1"/>
  <c r="DA20" i="1"/>
  <c r="DC20" i="1" s="1"/>
  <c r="CI20" i="1"/>
  <c r="CH20" i="1"/>
  <c r="CJ20" i="1" s="1"/>
  <c r="BP20" i="1"/>
  <c r="BO20" i="1"/>
  <c r="BQ20" i="1" s="1"/>
  <c r="AW20" i="1"/>
  <c r="AV20" i="1"/>
  <c r="AD20" i="1"/>
  <c r="AC20" i="1"/>
  <c r="AE20" i="1" s="1"/>
  <c r="FZ19" i="1"/>
  <c r="FY19" i="1"/>
  <c r="FG19" i="1"/>
  <c r="FF19" i="1"/>
  <c r="EN19" i="1"/>
  <c r="EM19" i="1"/>
  <c r="DU19" i="1"/>
  <c r="DT19" i="1"/>
  <c r="DB19" i="1"/>
  <c r="DA19" i="1"/>
  <c r="CI19" i="1"/>
  <c r="CH19" i="1"/>
  <c r="CJ19" i="1" s="1"/>
  <c r="BP19" i="1"/>
  <c r="BO19" i="1"/>
  <c r="AW19" i="1"/>
  <c r="AV19" i="1"/>
  <c r="AX19" i="1" s="1"/>
  <c r="AD19" i="1"/>
  <c r="AC19" i="1"/>
  <c r="FZ18" i="1"/>
  <c r="FY18" i="1"/>
  <c r="GA18" i="1" s="1"/>
  <c r="FG18" i="1"/>
  <c r="FF18" i="1"/>
  <c r="EN18" i="1"/>
  <c r="EM18" i="1"/>
  <c r="DV18" i="1"/>
  <c r="DU18" i="1"/>
  <c r="DT18" i="1"/>
  <c r="DB18" i="1"/>
  <c r="DA18" i="1"/>
  <c r="DC18" i="1" s="1"/>
  <c r="CI18" i="1"/>
  <c r="CH18" i="1"/>
  <c r="BP18" i="1"/>
  <c r="BO18" i="1"/>
  <c r="BQ18" i="1" s="1"/>
  <c r="AW18" i="1"/>
  <c r="AV18" i="1"/>
  <c r="AE18" i="1"/>
  <c r="AD18" i="1"/>
  <c r="AC18" i="1"/>
  <c r="FZ17" i="1"/>
  <c r="FY17" i="1"/>
  <c r="GA17" i="1" s="1"/>
  <c r="FG17" i="1"/>
  <c r="FF17" i="1"/>
  <c r="FH17" i="1" s="1"/>
  <c r="EN17" i="1"/>
  <c r="EM17" i="1"/>
  <c r="EO17" i="1" s="1"/>
  <c r="DU17" i="1"/>
  <c r="DT17" i="1"/>
  <c r="DB17" i="1"/>
  <c r="DA17" i="1"/>
  <c r="CJ17" i="1"/>
  <c r="CI17" i="1"/>
  <c r="CH17" i="1"/>
  <c r="BP17" i="1"/>
  <c r="BO17" i="1"/>
  <c r="BQ17" i="1" s="1"/>
  <c r="AW17" i="1"/>
  <c r="AV17" i="1"/>
  <c r="AD17" i="1"/>
  <c r="AC17" i="1"/>
  <c r="AE17" i="1" s="1"/>
  <c r="FZ16" i="1"/>
  <c r="FY16" i="1"/>
  <c r="FG16" i="1"/>
  <c r="FF16" i="1"/>
  <c r="EN16" i="1"/>
  <c r="EM16" i="1"/>
  <c r="DU16" i="1"/>
  <c r="DT16" i="1"/>
  <c r="DV16" i="1" s="1"/>
  <c r="DB16" i="1"/>
  <c r="DA16" i="1"/>
  <c r="CI16" i="1"/>
  <c r="CH16" i="1"/>
  <c r="CJ16" i="1" s="1"/>
  <c r="BP16" i="1"/>
  <c r="BO16" i="1"/>
  <c r="BQ16" i="1" s="1"/>
  <c r="AW16" i="1"/>
  <c r="AV16" i="1"/>
  <c r="AD16" i="1"/>
  <c r="AC16" i="1"/>
  <c r="FZ15" i="1"/>
  <c r="GA15" i="1" s="1"/>
  <c r="FY15" i="1"/>
  <c r="FG15" i="1"/>
  <c r="FH15" i="1" s="1"/>
  <c r="FF15" i="1"/>
  <c r="EN15" i="1"/>
  <c r="EM15" i="1"/>
  <c r="DU15" i="1"/>
  <c r="DT15" i="1"/>
  <c r="DB15" i="1"/>
  <c r="DA15" i="1"/>
  <c r="CI15" i="1"/>
  <c r="CH15" i="1"/>
  <c r="CJ15" i="1" s="1"/>
  <c r="BP15" i="1"/>
  <c r="BO15" i="1"/>
  <c r="BQ15" i="1" s="1"/>
  <c r="AW15" i="1"/>
  <c r="AV15" i="1"/>
  <c r="AX15" i="1" s="1"/>
  <c r="AD15" i="1"/>
  <c r="AC15" i="1"/>
  <c r="AE15" i="1" s="1"/>
  <c r="FZ14" i="1"/>
  <c r="FY14" i="1"/>
  <c r="FG14" i="1"/>
  <c r="FF14" i="1"/>
  <c r="EN14" i="1"/>
  <c r="EM14" i="1"/>
  <c r="DU14" i="1"/>
  <c r="DT14" i="1"/>
  <c r="DB14" i="1"/>
  <c r="DA14" i="1"/>
  <c r="DC14" i="1" s="1"/>
  <c r="CI14" i="1"/>
  <c r="CH14" i="1"/>
  <c r="BP14" i="1"/>
  <c r="BO14" i="1"/>
  <c r="AW14" i="1"/>
  <c r="AV14" i="1"/>
  <c r="AX14" i="1" s="1"/>
  <c r="AD14" i="1"/>
  <c r="AC14" i="1"/>
  <c r="AE14" i="1" s="1"/>
  <c r="FZ13" i="1"/>
  <c r="FY13" i="1"/>
  <c r="GA13" i="1" s="1"/>
  <c r="FG13" i="1"/>
  <c r="FF13" i="1"/>
  <c r="FH13" i="1" s="1"/>
  <c r="EN13" i="1"/>
  <c r="EM13" i="1"/>
  <c r="EO13" i="1" s="1"/>
  <c r="DU13" i="1"/>
  <c r="DV13" i="1" s="1"/>
  <c r="DT13" i="1"/>
  <c r="DB13" i="1"/>
  <c r="DA13" i="1"/>
  <c r="CI13" i="1"/>
  <c r="CH13" i="1"/>
  <c r="BP13" i="1"/>
  <c r="BQ13" i="1" s="1"/>
  <c r="BO13" i="1"/>
  <c r="AW13" i="1"/>
  <c r="AV13" i="1"/>
  <c r="AX13" i="1" s="1"/>
  <c r="AD13" i="1"/>
  <c r="AC13" i="1"/>
  <c r="FZ12" i="1"/>
  <c r="FY12" i="1"/>
  <c r="GA12" i="1" s="1"/>
  <c r="FG12" i="1"/>
  <c r="FF12" i="1"/>
  <c r="FH12" i="1" s="1"/>
  <c r="EN12" i="1"/>
  <c r="EM12" i="1"/>
  <c r="DU12" i="1"/>
  <c r="DT12" i="1"/>
  <c r="DB12" i="1"/>
  <c r="DA12" i="1"/>
  <c r="CI12" i="1"/>
  <c r="CH12" i="1"/>
  <c r="BP12" i="1"/>
  <c r="BO12" i="1"/>
  <c r="BQ12" i="1" s="1"/>
  <c r="AW12" i="1"/>
  <c r="AV12" i="1"/>
  <c r="AX12" i="1" s="1"/>
  <c r="AD12" i="1"/>
  <c r="AC12" i="1"/>
  <c r="AE12" i="1" s="1"/>
  <c r="FZ11" i="1"/>
  <c r="FY11" i="1"/>
  <c r="GA11" i="1" s="1"/>
  <c r="FG11" i="1"/>
  <c r="FG8" i="1" s="1"/>
  <c r="FF11" i="1"/>
  <c r="FF8" i="1" s="1"/>
  <c r="EN11" i="1"/>
  <c r="EM11" i="1"/>
  <c r="DU11" i="1"/>
  <c r="DT11" i="1"/>
  <c r="DB11" i="1"/>
  <c r="DA11" i="1"/>
  <c r="CJ11" i="1"/>
  <c r="CI11" i="1"/>
  <c r="CH11" i="1"/>
  <c r="BP11" i="1"/>
  <c r="BO11" i="1"/>
  <c r="BQ11" i="1" s="1"/>
  <c r="AW11" i="1"/>
  <c r="AV11" i="1"/>
  <c r="AD11" i="1"/>
  <c r="AE11" i="1" s="1"/>
  <c r="AC11" i="1"/>
  <c r="FZ10" i="1"/>
  <c r="FY10" i="1"/>
  <c r="GA10" i="1" s="1"/>
  <c r="FG10" i="1"/>
  <c r="FF10" i="1"/>
  <c r="EN10" i="1"/>
  <c r="EM10" i="1"/>
  <c r="DU10" i="1"/>
  <c r="DU8" i="1" s="1"/>
  <c r="DT10" i="1"/>
  <c r="DC10" i="1"/>
  <c r="DB10" i="1"/>
  <c r="DA10" i="1"/>
  <c r="CI10" i="1"/>
  <c r="CH10" i="1"/>
  <c r="CJ10" i="1" s="1"/>
  <c r="BP10" i="1"/>
  <c r="BO10" i="1"/>
  <c r="BQ10" i="1" s="1"/>
  <c r="AW10" i="1"/>
  <c r="AV10" i="1"/>
  <c r="AX10" i="1" s="1"/>
  <c r="AD10" i="1"/>
  <c r="AC10" i="1"/>
  <c r="AC8" i="1" s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S9" i="3" l="1"/>
  <c r="BG7" i="3"/>
  <c r="AN10" i="3"/>
  <c r="BI21" i="3"/>
  <c r="BH7" i="3"/>
  <c r="BI11" i="3"/>
  <c r="AN12" i="3"/>
  <c r="BP14" i="3"/>
  <c r="AU15" i="3"/>
  <c r="Z16" i="3"/>
  <c r="AG19" i="3"/>
  <c r="AG14" i="3"/>
  <c r="BW14" i="3"/>
  <c r="BB15" i="3"/>
  <c r="BB22" i="3"/>
  <c r="BV7" i="3"/>
  <c r="AG11" i="3"/>
  <c r="BB12" i="3"/>
  <c r="BI15" i="3"/>
  <c r="BP18" i="3"/>
  <c r="S20" i="3"/>
  <c r="BI20" i="3"/>
  <c r="S22" i="3"/>
  <c r="AN9" i="3"/>
  <c r="BP13" i="3"/>
  <c r="BP20" i="3"/>
  <c r="Z12" i="3"/>
  <c r="AN13" i="3"/>
  <c r="BW13" i="3"/>
  <c r="AG15" i="3"/>
  <c r="BB16" i="3"/>
  <c r="Z24" i="3"/>
  <c r="BP24" i="3"/>
  <c r="BO13" i="2"/>
  <c r="AH14" i="2"/>
  <c r="AH24" i="2"/>
  <c r="CV24" i="2"/>
  <c r="DG10" i="2"/>
  <c r="BZ21" i="2"/>
  <c r="W13" i="2"/>
  <c r="CJ7" i="2"/>
  <c r="AH9" i="2"/>
  <c r="BO10" i="2"/>
  <c r="AH13" i="2"/>
  <c r="CV15" i="2"/>
  <c r="BO18" i="2"/>
  <c r="AH19" i="2"/>
  <c r="CV19" i="2"/>
  <c r="AH21" i="2"/>
  <c r="CV23" i="2"/>
  <c r="BO26" i="2"/>
  <c r="AH29" i="2"/>
  <c r="CV29" i="2"/>
  <c r="BO30" i="2"/>
  <c r="BC7" i="2"/>
  <c r="AD8" i="1"/>
  <c r="EO10" i="1"/>
  <c r="EO18" i="1"/>
  <c r="EO20" i="1"/>
  <c r="FH25" i="1"/>
  <c r="FH27" i="1"/>
  <c r="DV36" i="1"/>
  <c r="GA40" i="1"/>
  <c r="AE44" i="1"/>
  <c r="DC46" i="1"/>
  <c r="AX50" i="1"/>
  <c r="DC52" i="1"/>
  <c r="AX59" i="1"/>
  <c r="CJ60" i="1"/>
  <c r="FH22" i="1"/>
  <c r="BQ32" i="1"/>
  <c r="AE58" i="1"/>
  <c r="FH59" i="1"/>
  <c r="DC60" i="1"/>
  <c r="DV17" i="1"/>
  <c r="DC28" i="1"/>
  <c r="CJ40" i="1"/>
  <c r="AE41" i="1"/>
  <c r="BQ50" i="1"/>
  <c r="DC35" i="1"/>
  <c r="BQ44" i="1"/>
  <c r="EO12" i="1"/>
  <c r="CJ13" i="1"/>
  <c r="AX17" i="1"/>
  <c r="CJ18" i="1"/>
  <c r="DV23" i="1"/>
  <c r="AE28" i="1"/>
  <c r="EO58" i="1"/>
  <c r="CJ59" i="1"/>
  <c r="AE63" i="1"/>
  <c r="DB8" i="1"/>
  <c r="CJ37" i="1"/>
  <c r="AE38" i="1"/>
  <c r="FH41" i="1"/>
  <c r="CJ47" i="1"/>
  <c r="CI8" i="1"/>
  <c r="EO14" i="1"/>
  <c r="AE19" i="1"/>
  <c r="EO23" i="1"/>
  <c r="AX28" i="1"/>
  <c r="EO30" i="1"/>
  <c r="GA31" i="1"/>
  <c r="EO38" i="1"/>
  <c r="DV45" i="1"/>
  <c r="CJ56" i="1"/>
  <c r="DA8" i="1"/>
  <c r="AE16" i="1"/>
  <c r="DV42" i="1"/>
  <c r="AX60" i="1"/>
  <c r="AX63" i="1"/>
  <c r="EO11" i="1"/>
  <c r="DC15" i="1"/>
  <c r="EO16" i="1"/>
  <c r="FH19" i="1"/>
  <c r="AX23" i="1"/>
  <c r="FH23" i="1"/>
  <c r="GA26" i="1"/>
  <c r="AX30" i="1"/>
  <c r="DC34" i="1"/>
  <c r="DV37" i="1"/>
  <c r="DC39" i="1"/>
  <c r="BQ43" i="1"/>
  <c r="FH48" i="1"/>
  <c r="CJ49" i="1"/>
  <c r="AX54" i="1"/>
  <c r="EO54" i="1"/>
  <c r="DC56" i="1"/>
  <c r="FH60" i="1"/>
  <c r="DC61" i="1"/>
  <c r="DV62" i="1"/>
  <c r="FH63" i="1"/>
  <c r="AX11" i="1"/>
  <c r="AE13" i="1"/>
  <c r="BQ14" i="1"/>
  <c r="GA14" i="1"/>
  <c r="BQ19" i="1"/>
  <c r="GA19" i="1"/>
  <c r="GA21" i="1"/>
  <c r="DV22" i="1"/>
  <c r="AE27" i="1"/>
  <c r="GA28" i="1"/>
  <c r="DV29" i="1"/>
  <c r="DC31" i="1"/>
  <c r="GA33" i="1"/>
  <c r="FH35" i="1"/>
  <c r="BQ38" i="1"/>
  <c r="AE42" i="1"/>
  <c r="EO42" i="1"/>
  <c r="GA43" i="1"/>
  <c r="EO51" i="1"/>
  <c r="CJ52" i="1"/>
  <c r="GA55" i="1"/>
  <c r="DV56" i="1"/>
  <c r="AX57" i="1"/>
  <c r="CJ58" i="1"/>
  <c r="DV10" i="1"/>
  <c r="AW8" i="1"/>
  <c r="FH11" i="1"/>
  <c r="FZ8" i="1"/>
  <c r="DV15" i="1"/>
  <c r="FH16" i="1"/>
  <c r="BQ23" i="1"/>
  <c r="GA23" i="1"/>
  <c r="BQ30" i="1"/>
  <c r="GA30" i="1"/>
  <c r="CJ33" i="1"/>
  <c r="DV34" i="1"/>
  <c r="EO37" i="1"/>
  <c r="GA38" i="1"/>
  <c r="CJ43" i="1"/>
  <c r="CJ46" i="1"/>
  <c r="BQ48" i="1"/>
  <c r="DC49" i="1"/>
  <c r="FH54" i="1"/>
  <c r="AE59" i="1"/>
  <c r="GA60" i="1"/>
  <c r="DV61" i="1"/>
  <c r="CJ63" i="1"/>
  <c r="GA63" i="1"/>
  <c r="BB10" i="3"/>
  <c r="Z11" i="3"/>
  <c r="AU14" i="3"/>
  <c r="S15" i="3"/>
  <c r="AG17" i="3"/>
  <c r="BP17" i="3"/>
  <c r="BI19" i="3"/>
  <c r="BW20" i="3"/>
  <c r="BB21" i="3"/>
  <c r="AG22" i="3"/>
  <c r="BP22" i="3"/>
  <c r="S10" i="3"/>
  <c r="BI10" i="3"/>
  <c r="BP11" i="3"/>
  <c r="BB14" i="3"/>
  <c r="Z15" i="3"/>
  <c r="AG16" i="3"/>
  <c r="AN17" i="3"/>
  <c r="S21" i="3"/>
  <c r="AN22" i="3"/>
  <c r="BW22" i="3"/>
  <c r="BW11" i="3"/>
  <c r="AU12" i="3"/>
  <c r="BB13" i="3"/>
  <c r="BI14" i="3"/>
  <c r="BI18" i="3"/>
  <c r="BP21" i="3"/>
  <c r="AG10" i="3"/>
  <c r="AN11" i="3"/>
  <c r="BP15" i="3"/>
  <c r="Z18" i="3"/>
  <c r="AN19" i="3"/>
  <c r="BI23" i="3"/>
  <c r="AG24" i="3"/>
  <c r="BW24" i="3"/>
  <c r="BI9" i="3"/>
  <c r="AU11" i="3"/>
  <c r="Z13" i="3"/>
  <c r="BW15" i="3"/>
  <c r="AU16" i="3"/>
  <c r="AG18" i="3"/>
  <c r="AU19" i="3"/>
  <c r="AG21" i="3"/>
  <c r="Z23" i="3"/>
  <c r="AN21" i="3"/>
  <c r="AU10" i="3"/>
  <c r="S11" i="3"/>
  <c r="AG13" i="3"/>
  <c r="Z20" i="3"/>
  <c r="AU21" i="3"/>
  <c r="Z22" i="3"/>
  <c r="AH10" i="2"/>
  <c r="CK10" i="2"/>
  <c r="BD11" i="2"/>
  <c r="W12" i="2"/>
  <c r="AH15" i="2"/>
  <c r="BD16" i="2"/>
  <c r="W17" i="2"/>
  <c r="CV20" i="2"/>
  <c r="BD21" i="2"/>
  <c r="W22" i="2"/>
  <c r="CK22" i="2"/>
  <c r="CV25" i="2"/>
  <c r="W27" i="2"/>
  <c r="CK27" i="2"/>
  <c r="AS10" i="2"/>
  <c r="CV10" i="2"/>
  <c r="BO11" i="2"/>
  <c r="AS15" i="2"/>
  <c r="BO16" i="2"/>
  <c r="AH17" i="2"/>
  <c r="DG18" i="2"/>
  <c r="DG20" i="2"/>
  <c r="BO21" i="2"/>
  <c r="AH22" i="2"/>
  <c r="DG25" i="2"/>
  <c r="AH27" i="2"/>
  <c r="CV27" i="2"/>
  <c r="BZ29" i="2"/>
  <c r="W9" i="2"/>
  <c r="CV12" i="2"/>
  <c r="BD13" i="2"/>
  <c r="W14" i="2"/>
  <c r="CK14" i="2"/>
  <c r="CV17" i="2"/>
  <c r="W19" i="2"/>
  <c r="CK19" i="2"/>
  <c r="BO23" i="2"/>
  <c r="W24" i="2"/>
  <c r="CK24" i="2"/>
  <c r="BD25" i="2"/>
  <c r="BO28" i="2"/>
  <c r="CK29" i="2"/>
  <c r="BD30" i="2"/>
  <c r="AS17" i="2"/>
  <c r="AS22" i="2"/>
  <c r="W26" i="2"/>
  <c r="BZ26" i="2"/>
  <c r="AS27" i="2"/>
  <c r="DG27" i="2"/>
  <c r="CV9" i="2"/>
  <c r="W11" i="2"/>
  <c r="CK11" i="2"/>
  <c r="CK7" i="2" s="1"/>
  <c r="CV14" i="2"/>
  <c r="BO15" i="2"/>
  <c r="W16" i="2"/>
  <c r="CK16" i="2"/>
  <c r="BD17" i="2"/>
  <c r="BO20" i="2"/>
  <c r="CK21" i="2"/>
  <c r="BD22" i="2"/>
  <c r="BO25" i="2"/>
  <c r="AH26" i="2"/>
  <c r="CK26" i="2"/>
  <c r="BD27" i="2"/>
  <c r="W28" i="2"/>
  <c r="DG9" i="2"/>
  <c r="DG7" i="2" s="1"/>
  <c r="AH11" i="2"/>
  <c r="CV11" i="2"/>
  <c r="BZ13" i="2"/>
  <c r="BZ15" i="2"/>
  <c r="AH16" i="2"/>
  <c r="CV16" i="2"/>
  <c r="BZ20" i="2"/>
  <c r="CV21" i="2"/>
  <c r="BO22" i="2"/>
  <c r="AS24" i="2"/>
  <c r="AS26" i="2"/>
  <c r="CV26" i="2"/>
  <c r="BO27" i="2"/>
  <c r="BD9" i="2"/>
  <c r="BO12" i="2"/>
  <c r="CK13" i="2"/>
  <c r="BD14" i="2"/>
  <c r="AH18" i="2"/>
  <c r="CK18" i="2"/>
  <c r="BD19" i="2"/>
  <c r="W20" i="2"/>
  <c r="AH23" i="2"/>
  <c r="BD24" i="2"/>
  <c r="W25" i="2"/>
  <c r="CV28" i="2"/>
  <c r="BD29" i="2"/>
  <c r="W30" i="2"/>
  <c r="CK30" i="2"/>
  <c r="BZ12" i="2"/>
  <c r="CV13" i="2"/>
  <c r="BO14" i="2"/>
  <c r="AS16" i="2"/>
  <c r="AS18" i="2"/>
  <c r="CV18" i="2"/>
  <c r="BO19" i="2"/>
  <c r="AS23" i="2"/>
  <c r="BO24" i="2"/>
  <c r="AH25" i="2"/>
  <c r="DG26" i="2"/>
  <c r="DG28" i="2"/>
  <c r="BO29" i="2"/>
  <c r="AH30" i="2"/>
  <c r="AE10" i="1"/>
  <c r="AV8" i="1"/>
  <c r="CJ12" i="1"/>
  <c r="CJ8" i="1" s="1"/>
  <c r="DV14" i="1"/>
  <c r="EO15" i="1"/>
  <c r="DC19" i="1"/>
  <c r="DV20" i="1"/>
  <c r="EO27" i="1"/>
  <c r="DV35" i="1"/>
  <c r="DV40" i="1"/>
  <c r="BQ42" i="1"/>
  <c r="CJ48" i="1"/>
  <c r="AE57" i="1"/>
  <c r="EO57" i="1"/>
  <c r="FH58" i="1"/>
  <c r="EO62" i="1"/>
  <c r="DC12" i="1"/>
  <c r="DV19" i="1"/>
  <c r="DC24" i="1"/>
  <c r="AX26" i="1"/>
  <c r="EO26" i="1"/>
  <c r="BQ27" i="1"/>
  <c r="FH28" i="1"/>
  <c r="CJ30" i="1"/>
  <c r="AE32" i="1"/>
  <c r="GA37" i="1"/>
  <c r="AE39" i="1"/>
  <c r="DV44" i="1"/>
  <c r="DC48" i="1"/>
  <c r="DC59" i="1"/>
  <c r="FH62" i="1"/>
  <c r="DC11" i="1"/>
  <c r="DV12" i="1"/>
  <c r="DC17" i="1"/>
  <c r="DV24" i="1"/>
  <c r="EO25" i="1"/>
  <c r="BQ26" i="1"/>
  <c r="CJ28" i="1"/>
  <c r="DC30" i="1"/>
  <c r="CJ36" i="1"/>
  <c r="AX39" i="1"/>
  <c r="BQ40" i="1"/>
  <c r="DV55" i="1"/>
  <c r="BQ61" i="1"/>
  <c r="DC16" i="1"/>
  <c r="AX18" i="1"/>
  <c r="AE23" i="1"/>
  <c r="BQ25" i="1"/>
  <c r="CJ26" i="1"/>
  <c r="DV30" i="1"/>
  <c r="AE37" i="1"/>
  <c r="AE43" i="1"/>
  <c r="BQ51" i="1"/>
  <c r="DC53" i="1"/>
  <c r="CJ57" i="1"/>
  <c r="CJ62" i="1"/>
  <c r="GA29" i="1"/>
  <c r="AE33" i="1"/>
  <c r="BQ41" i="1"/>
  <c r="CJ44" i="1"/>
  <c r="DC47" i="1"/>
  <c r="GA49" i="1"/>
  <c r="BQ55" i="1"/>
  <c r="DV60" i="1"/>
  <c r="DV32" i="1"/>
  <c r="AX34" i="1"/>
  <c r="FH40" i="1"/>
  <c r="AE47" i="1"/>
  <c r="AE49" i="1"/>
  <c r="CJ54" i="1"/>
  <c r="EO59" i="1"/>
  <c r="EO35" i="1"/>
  <c r="FH38" i="1"/>
  <c r="GA41" i="1"/>
  <c r="DC43" i="1"/>
  <c r="AE45" i="1"/>
  <c r="DV48" i="1"/>
  <c r="GA53" i="1"/>
  <c r="BQ59" i="1"/>
  <c r="DV52" i="1"/>
  <c r="GA57" i="1"/>
  <c r="BQ63" i="1"/>
  <c r="BO8" i="1"/>
  <c r="EN8" i="1"/>
  <c r="BP8" i="1"/>
  <c r="CJ14" i="1"/>
  <c r="EO19" i="1"/>
  <c r="AE25" i="1"/>
  <c r="BX7" i="2"/>
  <c r="EM8" i="1"/>
  <c r="AR7" i="2"/>
  <c r="FY8" i="1"/>
  <c r="CH8" i="1"/>
  <c r="DT8" i="1"/>
  <c r="DV11" i="1"/>
  <c r="DV8" i="1" s="1"/>
  <c r="GA16" i="1"/>
  <c r="BQ22" i="1"/>
  <c r="EO31" i="1"/>
  <c r="FH14" i="1"/>
  <c r="AX20" i="1"/>
  <c r="DC25" i="1"/>
  <c r="FH30" i="1"/>
  <c r="AX36" i="1"/>
  <c r="DC41" i="1"/>
  <c r="FH46" i="1"/>
  <c r="DC13" i="1"/>
  <c r="FH18" i="1"/>
  <c r="AX24" i="1"/>
  <c r="DC29" i="1"/>
  <c r="FH34" i="1"/>
  <c r="AX40" i="1"/>
  <c r="DC45" i="1"/>
  <c r="AE29" i="1"/>
  <c r="CJ34" i="1"/>
  <c r="CJ22" i="1"/>
  <c r="FH10" i="1"/>
  <c r="AX16" i="1"/>
  <c r="DC21" i="1"/>
  <c r="FH26" i="1"/>
  <c r="AX32" i="1"/>
  <c r="DC37" i="1"/>
  <c r="FH42" i="1"/>
  <c r="AX48" i="1"/>
  <c r="AF7" i="2"/>
  <c r="U7" i="2"/>
  <c r="CI7" i="2"/>
  <c r="AG7" i="2"/>
  <c r="AQ7" i="2"/>
  <c r="BY7" i="2"/>
  <c r="AF7" i="3"/>
  <c r="CU7" i="2"/>
  <c r="CT7" i="2"/>
  <c r="BO7" i="3"/>
  <c r="AL7" i="3"/>
  <c r="BB7" i="2"/>
  <c r="DF7" i="2"/>
  <c r="BN7" i="2"/>
  <c r="BM7" i="2"/>
  <c r="DE7" i="2"/>
  <c r="Y7" i="3"/>
  <c r="AZ7" i="3"/>
  <c r="AS7" i="3"/>
  <c r="X7" i="3"/>
  <c r="Q7" i="3"/>
  <c r="AT7" i="3"/>
  <c r="AE7" i="3"/>
  <c r="BU7" i="3"/>
  <c r="AU22" i="3"/>
  <c r="S23" i="3"/>
  <c r="AG12" i="3"/>
  <c r="S18" i="3"/>
  <c r="AG20" i="3"/>
  <c r="R7" i="3"/>
  <c r="BA7" i="3"/>
  <c r="BP19" i="3"/>
  <c r="AN20" i="3"/>
  <c r="BB17" i="3"/>
  <c r="AN23" i="3"/>
  <c r="BN7" i="3"/>
  <c r="Z17" i="3"/>
  <c r="S14" i="3"/>
  <c r="AU18" i="3"/>
  <c r="Z21" i="3"/>
  <c r="BP23" i="3"/>
  <c r="AN15" i="3"/>
  <c r="BW7" i="3" l="1"/>
  <c r="BB7" i="3"/>
  <c r="AU7" i="3"/>
  <c r="BP7" i="3"/>
  <c r="AH7" i="2"/>
  <c r="AS7" i="2"/>
  <c r="BO7" i="2"/>
  <c r="FH8" i="1"/>
  <c r="DC8" i="1"/>
  <c r="AE8" i="1"/>
  <c r="EO8" i="1"/>
  <c r="BQ8" i="1"/>
  <c r="GA8" i="1"/>
  <c r="BI7" i="3"/>
  <c r="AX8" i="1"/>
  <c r="AG7" i="3"/>
  <c r="S7" i="3"/>
  <c r="BD7" i="2"/>
  <c r="W7" i="2"/>
  <c r="Z7" i="3"/>
  <c r="AN7" i="3"/>
  <c r="BZ7" i="2"/>
  <c r="CV7" i="2"/>
</calcChain>
</file>

<file path=xl/sharedStrings.xml><?xml version="1.0" encoding="utf-8"?>
<sst xmlns="http://schemas.openxmlformats.org/spreadsheetml/2006/main" count="1903" uniqueCount="487">
  <si>
    <t>School Level Data on Number of Learners by - Nutritional Status (Public Elementary)</t>
  </si>
  <si>
    <t>SY 2019-2020</t>
  </si>
  <si>
    <t>Based on BEIS, generated as of February 27, 2020</t>
  </si>
  <si>
    <t>WEIGHT- NORMAL</t>
  </si>
  <si>
    <t>WEIGHT- OBESE</t>
  </si>
  <si>
    <t>WEIGHT- Overweight</t>
  </si>
  <si>
    <t>WEIGHT- Severely Wasted</t>
  </si>
  <si>
    <t>WEIGHT- Wasted</t>
  </si>
  <si>
    <t>HEIGHT- Severely Stunted</t>
  </si>
  <si>
    <t>HEIGHT-  Stunted</t>
  </si>
  <si>
    <t>HEIGHT-  NORMAL</t>
  </si>
  <si>
    <t>HEIGHT-  TALL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</si>
  <si>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</si>
  <si>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</si>
  <si>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</si>
  <si>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</si>
  <si>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</si>
  <si>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</si>
  <si>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</si>
  <si>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</t>
  </si>
  <si>
    <t>Total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</si>
  <si>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</si>
  <si>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</si>
  <si>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</si>
  <si>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</si>
  <si>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</si>
  <si>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</si>
  <si>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</si>
  <si>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</si>
  <si>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</si>
  <si>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</si>
  <si>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</si>
  <si>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</si>
  <si>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</si>
  <si>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</si>
  <si>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sch_health_nsw_normal_k_m</t>
  </si>
  <si>
    <t>sch_health_nsw_normal_k_f</t>
  </si>
  <si>
    <t>sch_health_nsw_normal_g1_m</t>
  </si>
  <si>
    <t>sch_health_nsw_normal_g1_f</t>
  </si>
  <si>
    <t>sch_health_nsw_normal_g2_m</t>
  </si>
  <si>
    <t>sch_health_nsw_normal_g2_f</t>
  </si>
  <si>
    <t>sch_health_nsw_normal_g3_m</t>
  </si>
  <si>
    <t>sch_health_nsw_normal_g3_f</t>
  </si>
  <si>
    <t>sch_health_nsw_normal_g4_m</t>
  </si>
  <si>
    <t>sch_health_nsw_normal_g4_f</t>
  </si>
  <si>
    <t>sch_health_nsw_normal_g5_m</t>
  </si>
  <si>
    <t>sch_health_nsw_normal_g5_f</t>
  </si>
  <si>
    <t>sch_health_nsw_normal_g6_m</t>
  </si>
  <si>
    <t>sch_health_nsw_normal_g6_f</t>
  </si>
  <si>
    <t>sch_health_nsw_normal_ng_m</t>
  </si>
  <si>
    <t>sch_health_nsw_normal_ng_f</t>
  </si>
  <si>
    <t>sch_health_nsw_obese_k_m</t>
  </si>
  <si>
    <t>sch_health_nsw_obese_k_f</t>
  </si>
  <si>
    <t>sch_health_nsw_obese_g1_m</t>
  </si>
  <si>
    <t>sch_health_nsw_obese_g1_f</t>
  </si>
  <si>
    <t>sch_health_nsw_obese_g2_m</t>
  </si>
  <si>
    <t>sch_health_nsw_obese_g2_f</t>
  </si>
  <si>
    <t>sch_health_nsw_obese_g3_m</t>
  </si>
  <si>
    <t>sch_health_nsw_obese_g3_f</t>
  </si>
  <si>
    <t>sch_health_nsw_obese_g4_m</t>
  </si>
  <si>
    <t>sch_health_nsw_obese_g4_f</t>
  </si>
  <si>
    <t>sch_health_nsw_obese_g5_m</t>
  </si>
  <si>
    <t>sch_health_nsw_obese_g5_f</t>
  </si>
  <si>
    <t>sch_health_nsw_obese_g6_m</t>
  </si>
  <si>
    <t>sch_health_nsw_obese_g6_f</t>
  </si>
  <si>
    <t>sch_health_nsw_obese_ng_m</t>
  </si>
  <si>
    <t>sch_health_nsw_obese_ng_f</t>
  </si>
  <si>
    <t>sch_health_nsw_overweight_k_m</t>
  </si>
  <si>
    <t>sch_health_nsw_overweight_k_f</t>
  </si>
  <si>
    <t>sch_health_nsw_overweight_g1_m</t>
  </si>
  <si>
    <t>sch_health_nsw_overweight_g1_f</t>
  </si>
  <si>
    <t>sch_health_nsw_overweight_g2_m</t>
  </si>
  <si>
    <t>sch_health_nsw_overweight_g2_f</t>
  </si>
  <si>
    <t>sch_health_nsw_overweight_g3_m</t>
  </si>
  <si>
    <t>sch_health_nsw_overweight_g3_f</t>
  </si>
  <si>
    <t>sch_health_nsw_overweight_g4_m</t>
  </si>
  <si>
    <t>sch_health_nsw_overweight_g4_f</t>
  </si>
  <si>
    <t>sch_health_nsw_overweight_g5_m</t>
  </si>
  <si>
    <t>sch_health_nsw_overweight_g5_f</t>
  </si>
  <si>
    <t>sch_health_nsw_overweight_g6_m</t>
  </si>
  <si>
    <t>sch_health_nsw_overweight_g6_f</t>
  </si>
  <si>
    <t>sch_health_nsw_overweight_ng_m</t>
  </si>
  <si>
    <t>sch_health_nsw_overweight_ng_f</t>
  </si>
  <si>
    <t>sch_health_nsw_severelywasted_k_m</t>
  </si>
  <si>
    <t>sch_health_nsw_severelywasted_k_f</t>
  </si>
  <si>
    <t>sch_health_nsw_severelywasted_g1_m</t>
  </si>
  <si>
    <t>sch_health_nsw_severelywasted_g1_f</t>
  </si>
  <si>
    <t>sch_health_nsw_severelywasted_g2_m</t>
  </si>
  <si>
    <t>sch_health_nsw_severelywasted_g2_f</t>
  </si>
  <si>
    <t>sch_health_nsw_severelywasted_g3_m</t>
  </si>
  <si>
    <t>sch_health_nsw_severelywasted_g3_f</t>
  </si>
  <si>
    <t>sch_health_nsw_severelywasted_g4_m</t>
  </si>
  <si>
    <t>sch_health_nsw_severelywasted_g4_f</t>
  </si>
  <si>
    <t>sch_health_nsw_severelywasted_g5_m</t>
  </si>
  <si>
    <t>sch_health_nsw_severelywasted_g5_f</t>
  </si>
  <si>
    <t>sch_health_nsw_severelywasted_g6_m</t>
  </si>
  <si>
    <t>sch_health_nsw_severelywasted_g6_f</t>
  </si>
  <si>
    <t>sch_health_nsw_severelywasted_ng_m</t>
  </si>
  <si>
    <t>sch_health_nsw_severelywasted_ng_f</t>
  </si>
  <si>
    <t>sch_health_nsw_wasted_k_m</t>
  </si>
  <si>
    <t>sch_health_nsw_wasted_k_f</t>
  </si>
  <si>
    <t>sch_health_nsw_wasted_g1_m</t>
  </si>
  <si>
    <t>sch_health_nsw_wasted_g1_f</t>
  </si>
  <si>
    <t>sch_health_nsw_wasted_g2_m</t>
  </si>
  <si>
    <t>sch_health_nsw_wasted_g2_f</t>
  </si>
  <si>
    <t>sch_health_nsw_wasted_g3_m</t>
  </si>
  <si>
    <t>sch_health_nsw_wasted_g3_f</t>
  </si>
  <si>
    <t>sch_health_nsw_wasted_g4_m</t>
  </si>
  <si>
    <t>sch_health_nsw_wasted_g4_f</t>
  </si>
  <si>
    <t>sch_health_nsw_wasted_g5_m</t>
  </si>
  <si>
    <t>sch_health_nsw_wasted_g5_f</t>
  </si>
  <si>
    <t>sch_health_nsw_wasted_g6_m</t>
  </si>
  <si>
    <t>sch_health_nsw_wasted_g6_f</t>
  </si>
  <si>
    <t>sch_health_nsw_wasted_ng_m</t>
  </si>
  <si>
    <t>sch_health_nsw_wasted_ng_f</t>
  </si>
  <si>
    <t>sch_health_nsh_severelystunted_k_m</t>
  </si>
  <si>
    <t>sch_health_nsh_severelystunted_k_f</t>
  </si>
  <si>
    <t>sch_health_nsh_severelystunted_g1_m</t>
  </si>
  <si>
    <t>sch_health_nsh_severelystunted_g1_f</t>
  </si>
  <si>
    <t>sch_health_nsh_severelystunted_g2_m</t>
  </si>
  <si>
    <t>sch_health_nsh_severelystunted_g2_f</t>
  </si>
  <si>
    <t>sch_health_nsh_severelystunted_g3_m</t>
  </si>
  <si>
    <t>sch_health_nsh_severelystunted_g3_f</t>
  </si>
  <si>
    <t>sch_health_nsh_severelystunted_g4_m</t>
  </si>
  <si>
    <t>sch_health_nsh_severelystunted_g4_f</t>
  </si>
  <si>
    <t>sch_health_nsh_severelystunted_g5_m</t>
  </si>
  <si>
    <t>sch_health_nsh_severelystunted_g5_f</t>
  </si>
  <si>
    <t>sch_health_nsh_severelystunted_g6_m</t>
  </si>
  <si>
    <t>sch_health_nsh_severelystunted_g6_f</t>
  </si>
  <si>
    <t>sch_health_nsh_severelystunted_ng_m</t>
  </si>
  <si>
    <t>sch_health_nsh_severelystunted_ng_f</t>
  </si>
  <si>
    <t>sch_health_nsh_stunted_k_m</t>
  </si>
  <si>
    <t>sch_health_nsh_stunted_k_f</t>
  </si>
  <si>
    <t>sch_health_nsh_stunted_g1_m</t>
  </si>
  <si>
    <t>sch_health_nsh_stunted_g1_f</t>
  </si>
  <si>
    <t>sch_health_nsh_stunted_g2_m</t>
  </si>
  <si>
    <t>sch_health_nsh_stunted_g2_f</t>
  </si>
  <si>
    <t>sch_health_nsh_stunted_g3_m</t>
  </si>
  <si>
    <t>sch_health_nsh_stunted_g3_f</t>
  </si>
  <si>
    <t>sch_health_nsh_stunted_g4_m</t>
  </si>
  <si>
    <t>sch_health_nsh_stunted_g4_f</t>
  </si>
  <si>
    <t>sch_health_nsh_stunted_g5_m</t>
  </si>
  <si>
    <t>sch_health_nsh_stunted_g5_f</t>
  </si>
  <si>
    <t>sch_health_nsh_stunted_g6_m</t>
  </si>
  <si>
    <t>sch_health_nsh_stunted_g6_f</t>
  </si>
  <si>
    <t>sch_health_nsh_stunted_ng_m</t>
  </si>
  <si>
    <t>sch_health_nsh_stunted_ng_f</t>
  </si>
  <si>
    <t>sch_health_nsh_normal_k_m</t>
  </si>
  <si>
    <t>sch_health_nsh_normal_k_f</t>
  </si>
  <si>
    <t>sch_health_nsh_normal_g1_m</t>
  </si>
  <si>
    <t>sch_health_nsh_normal_g1_f</t>
  </si>
  <si>
    <t>sch_health_nsh_normal_g2_m</t>
  </si>
  <si>
    <t>sch_health_nsh_normal_g2_f</t>
  </si>
  <si>
    <t>sch_health_nsh_normal_g3_m</t>
  </si>
  <si>
    <t>sch_health_nsh_normal_g3_f</t>
  </si>
  <si>
    <t>sch_health_nsh_normal_g4_m</t>
  </si>
  <si>
    <t>sch_health_nsh_normal_g4_f</t>
  </si>
  <si>
    <t>sch_health_nsh_normal_g5_m</t>
  </si>
  <si>
    <t>sch_health_nsh_normal_g5_f</t>
  </si>
  <si>
    <t>sch_health_nsh_normal_g6_m</t>
  </si>
  <si>
    <t>sch_health_nsh_normal_g6_f</t>
  </si>
  <si>
    <t>sch_health_nsh_normal_ng_m</t>
  </si>
  <si>
    <t>sch_health_nsh_normal_ng_f</t>
  </si>
  <si>
    <t>sch_health_nsh_tall_k_m</t>
  </si>
  <si>
    <t>sch_health_nsh_tall_k_f</t>
  </si>
  <si>
    <t>sch_health_nsh_tall_g1_m</t>
  </si>
  <si>
    <t>sch_health_nsh_tall_g1_f</t>
  </si>
  <si>
    <t>sch_health_nsh_tall_g2_m</t>
  </si>
  <si>
    <t>sch_health_nsh_tall_g2_f</t>
  </si>
  <si>
    <t>sch_health_nsh_tall_g3_m</t>
  </si>
  <si>
    <t>sch_health_nsh_tall_g3_f</t>
  </si>
  <si>
    <t>sch_health_nsh_tall_g4_m</t>
  </si>
  <si>
    <t>sch_health_nsh_tall_g4_f</t>
  </si>
  <si>
    <t>sch_health_nsh_tall_g5_m</t>
  </si>
  <si>
    <t>sch_health_nsh_tall_g5_f</t>
  </si>
  <si>
    <t>sch_health_nsh_tall_g6_m</t>
  </si>
  <si>
    <t>sch_health_nsh_tall_g6_f</t>
  </si>
  <si>
    <t>sch_health_nsh_tall_ng_m</t>
  </si>
  <si>
    <t>sch_health_nsh_tall_ng_f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</si>
  <si>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</si>
  <si>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</si>
  <si>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</si>
  <si>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</si>
  <si>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</si>
  <si>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</si>
  <si>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</si>
  <si>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</si>
  <si>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</si>
  <si>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</si>
  <si>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</si>
  <si>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</si>
  <si>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</si>
  <si>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</si>
  <si>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</si>
  <si>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</si>
  <si>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</si>
  <si>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</si>
  <si>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</si>
  <si>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</si>
  <si>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</si>
  <si>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</si>
  <si>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</si>
  <si>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</si>
  <si>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</si>
  <si>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</si>
  <si>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</si>
  <si>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</si>
  <si>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</si>
  <si>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</si>
  <si>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</si>
  <si>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</si>
  <si>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</si>
  <si>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</si>
  <si>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</si>
  <si>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</si>
  <si>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</si>
  <si>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</si>
  <si>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</si>
  <si>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</si>
  <si>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</si>
  <si>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</si>
  <si>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</si>
  <si>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</si>
  <si>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</si>
  <si>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</si>
  <si>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</si>
  <si>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</si>
  <si>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</si>
  <si>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</si>
  <si>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</si>
  <si>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</si>
  <si>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</si>
  <si>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</si>
  <si>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</si>
  <si>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</si>
  <si>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</si>
  <si>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</si>
  <si>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</si>
  <si>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</si>
  <si>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</si>
  <si>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</si>
  <si>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</si>
  <si>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</si>
  <si>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</si>
  <si>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</si>
  <si>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</si>
  <si>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</si>
  <si>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</si>
  <si>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</si>
  <si>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</si>
  <si>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</si>
  <si>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</si>
  <si>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</si>
  <si>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</si>
  <si>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</si>
  <si>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</si>
  <si>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</si>
  <si>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</si>
  <si>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</si>
  <si>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</si>
  <si>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</si>
  <si>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</si>
  <si>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</si>
  <si>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</si>
  <si>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</si>
  <si>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</si>
  <si>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</si>
  <si>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</si>
  <si>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</si>
  <si>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</si>
  <si>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</si>
  <si>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</si>
  <si>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</si>
  <si>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</si>
  <si>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</si>
  <si>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</si>
  <si>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</si>
  <si>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</si>
  <si>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</si>
  <si>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</si>
  <si>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</si>
  <si>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</si>
  <si>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</si>
  <si>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</si>
  <si>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</si>
  <si>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</si>
  <si>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</si>
  <si>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</si>
  <si>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</si>
  <si>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</si>
  <si>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</si>
  <si>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</si>
  <si>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</si>
  <si>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</si>
  <si>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</si>
  <si>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</si>
  <si>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</si>
  <si>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</si>
  <si>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</si>
  <si>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</si>
  <si>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</si>
  <si>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</si>
  <si>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</si>
  <si>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</si>
  <si>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</si>
  <si>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</si>
  <si>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</si>
  <si>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</si>
  <si>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</si>
  <si>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</si>
  <si>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</si>
  <si>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</si>
  <si>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</si>
  <si>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</si>
  <si>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</si>
  <si>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</si>
  <si>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</si>
  <si>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</si>
  <si>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</si>
  <si>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</si>
  <si>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</si>
  <si>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</si>
  <si>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</si>
  <si>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</si>
  <si>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</si>
  <si>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</si>
  <si>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Learners by - Nutritional Status (Public Junior High School)</t>
  </si>
  <si>
    <t>Based on LIS, as of January 5, 2020</t>
  </si>
  <si>
    <t>WEIGHT - NORMAL</t>
  </si>
  <si>
    <t>WEIGHT - OBESE</t>
  </si>
  <si>
    <t>WEIGHT - OVERWEIGHT</t>
  </si>
  <si>
    <t>WEIGHT - Severely Wasted</t>
  </si>
  <si>
    <t>WEIGHT - Wasted</t>
  </si>
  <si>
    <t>HEIGHT - Severely Stunted</t>
  </si>
  <si>
    <t>HEIGHT - Stunted</t>
  </si>
  <si>
    <t>HEIGHT - NORMAL</t>
  </si>
  <si>
    <t>HEIGHT - TALL</t>
  </si>
  <si>
    <t>Grade 7</t>
  </si>
  <si>
    <t>Grade 8</t>
  </si>
  <si>
    <t>Grade 9</t>
  </si>
  <si>
    <t>Grade 10</t>
  </si>
  <si>
    <t>sch_health_nsw_normal_g7_m</t>
  </si>
  <si>
    <t>sch_health_nsw_normal_g7_f</t>
  </si>
  <si>
    <t>sch_health_nsw_normal_g8_m</t>
  </si>
  <si>
    <t>sch_health_nsw_normal_g8_f</t>
  </si>
  <si>
    <t>sch_health_nsw_normal_g9_m</t>
  </si>
  <si>
    <t>sch_health_nsw_normal_g9_f</t>
  </si>
  <si>
    <t>sch_health_nsw_normal_g10_m</t>
  </si>
  <si>
    <t>sch_health_nsw_normal_g10_f</t>
  </si>
  <si>
    <t>sch_health_nsw_obese_g7_m</t>
  </si>
  <si>
    <t>sch_health_nsw_obese_g7_f</t>
  </si>
  <si>
    <t>sch_health_nsw_obese_g8_m</t>
  </si>
  <si>
    <t>sch_health_nsw_obese_g8_f</t>
  </si>
  <si>
    <t>sch_health_nsw_obese_g9_m</t>
  </si>
  <si>
    <t>sch_health_nsw_obese_g9_f</t>
  </si>
  <si>
    <t>sch_health_nsw_obese_g10_m</t>
  </si>
  <si>
    <t>sch_health_nsw_obese_g10_f</t>
  </si>
  <si>
    <t>sch_health_nsw_overweight_g7_m</t>
  </si>
  <si>
    <t>sch_health_nsw_overweight_g7_f</t>
  </si>
  <si>
    <t>sch_health_nsw_overweight_g8_m</t>
  </si>
  <si>
    <t>sch_health_nsw_overweight_g8_f</t>
  </si>
  <si>
    <t>sch_health_nsw_overweight_g9_m</t>
  </si>
  <si>
    <t>sch_health_nsw_overweight_g9_f</t>
  </si>
  <si>
    <t>sch_health_nsw_overweight_g10_m</t>
  </si>
  <si>
    <t>sch_health_nsw_overweight_g10_f</t>
  </si>
  <si>
    <t>sch_health_nsw_severelywasted_g7_m</t>
  </si>
  <si>
    <t>sch_health_nsw_severelywasted_g7_f</t>
  </si>
  <si>
    <t>sch_health_nsw_severelywasted_g8_m</t>
  </si>
  <si>
    <t>sch_health_nsw_severelywasted_g8_f</t>
  </si>
  <si>
    <t>sch_health_nsw_severelywasted_g9_m</t>
  </si>
  <si>
    <t>sch_health_nsw_severelywasted_g9_f</t>
  </si>
  <si>
    <t>sch_health_nsw_severelywasted_g10_m</t>
  </si>
  <si>
    <t>sch_health_nsw_severelywasted_g10_f</t>
  </si>
  <si>
    <t>sch_health_nsw_wasted_g7_m</t>
  </si>
  <si>
    <t>sch_health_nsw_wasted_g7_f</t>
  </si>
  <si>
    <t>sch_health_nsw_wasted_g8_m</t>
  </si>
  <si>
    <t>sch_health_nsw_wasted_g8_f</t>
  </si>
  <si>
    <t>sch_health_nsw_wasted_g9_m</t>
  </si>
  <si>
    <t>sch_health_nsw_wasted_g9_f</t>
  </si>
  <si>
    <t>sch_health_nsw_wasted_g10_m</t>
  </si>
  <si>
    <t>sch_health_nsw_wasted_g10_f</t>
  </si>
  <si>
    <t>sch_health_nsh_severelystunted_g7_m</t>
  </si>
  <si>
    <t>sch_health_nsh_severelystunted_g7_f</t>
  </si>
  <si>
    <t>sch_health_nsh_severelystunted_g8_m</t>
  </si>
  <si>
    <t>sch_health_nsh_severelystunted_g8_f</t>
  </si>
  <si>
    <t>sch_health_nsh_severelystunted_g9_m</t>
  </si>
  <si>
    <t>sch_health_nsh_severelystunted_g9_f</t>
  </si>
  <si>
    <t>sch_health_nsh_severelystunted_g10_m</t>
  </si>
  <si>
    <t>sch_health_nsh_severelystunted_g10_f</t>
  </si>
  <si>
    <t>sch_health_nsh_stunted_g7_m</t>
  </si>
  <si>
    <t>sch_health_nsh_stunted_g7_f</t>
  </si>
  <si>
    <t>sch_health_nsh_stunted_g8_m</t>
  </si>
  <si>
    <t>sch_health_nsh_stunted_g8_f</t>
  </si>
  <si>
    <t>sch_health_nsh_stunted_g9_m</t>
  </si>
  <si>
    <t>sch_health_nsh_stunted_g9_f</t>
  </si>
  <si>
    <t>sch_health_nsh_stunted_g10_m</t>
  </si>
  <si>
    <t>sch_health_nsh_stunted_g10_f</t>
  </si>
  <si>
    <t>sch_health_nsh_normal_g7_m</t>
  </si>
  <si>
    <t>sch_health_nsh_normal_g7_f</t>
  </si>
  <si>
    <t>sch_health_nsh_normal_g8_m</t>
  </si>
  <si>
    <t>sch_health_nsh_normal_g8_f</t>
  </si>
  <si>
    <t>sch_health_nsh_normal_g9_m</t>
  </si>
  <si>
    <t>sch_health_nsh_normal_g9_f</t>
  </si>
  <si>
    <t>sch_health_nsh_normal_g10_m</t>
  </si>
  <si>
    <t>sch_health_nsh_normal_g10_f</t>
  </si>
  <si>
    <t>sch_health_nsh_tall_g7_m</t>
  </si>
  <si>
    <t>sch_health_nsh_tall_g7_f</t>
  </si>
  <si>
    <t>sch_health_nsh_tall_g8_m</t>
  </si>
  <si>
    <t>sch_health_nsh_tall_g8_f</t>
  </si>
  <si>
    <t>sch_health_nsh_tall_g9_m</t>
  </si>
  <si>
    <t>sch_health_nsh_tall_g9_f</t>
  </si>
  <si>
    <t>sch_health_nsh_tall_g10_m</t>
  </si>
  <si>
    <t>sch_health_nsh_tall_g10_f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</si>
  <si>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</si>
  <si>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</si>
  <si>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</si>
  <si>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</si>
  <si>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</si>
  <si>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</si>
  <si>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</si>
  <si>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</si>
  <si>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</si>
  <si>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</si>
  <si>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</si>
  <si>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</si>
  <si>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</si>
  <si>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</si>
  <si>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</si>
  <si>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</si>
  <si>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</si>
  <si>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</si>
  <si>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</si>
  <si>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</si>
  <si>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</si>
  <si>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</si>
  <si>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</si>
  <si>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</si>
  <si>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</si>
  <si>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</si>
  <si>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</si>
  <si>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</si>
  <si>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</si>
  <si>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</si>
  <si>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</si>
  <si>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</si>
  <si>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</si>
  <si>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</si>
  <si>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Learners by - Nutritional Status (Public Senior High School)</t>
  </si>
  <si>
    <t>WEIGHT - Overweight</t>
  </si>
  <si>
    <t>Grade 11</t>
  </si>
  <si>
    <t>Grade 12</t>
  </si>
  <si>
    <t>sch_health_nsw_normal_g11_m</t>
  </si>
  <si>
    <t>sch_health_nsw_normal_g11_f</t>
  </si>
  <si>
    <t>sch_health_nsw_normal_g12_m</t>
  </si>
  <si>
    <t>sch_health_nsw_normal_g12_f</t>
  </si>
  <si>
    <t>sch_health_nsw_obese_g11_m</t>
  </si>
  <si>
    <t>sch_health_nsw_obese_g11_f</t>
  </si>
  <si>
    <t>sch_health_nsw_obese_g12_m</t>
  </si>
  <si>
    <t>sch_health_nsw_obese_g12_f</t>
  </si>
  <si>
    <t>sch_health_nsw_overweight_g11_m</t>
  </si>
  <si>
    <t>sch_health_nsw_overweight_g11_f</t>
  </si>
  <si>
    <t>sch_health_nsw_overweight_g12_m</t>
  </si>
  <si>
    <t>sch_health_nsw_overweight_g12_f</t>
  </si>
  <si>
    <t>sch_health_nsw_severelywasted_g11_m</t>
  </si>
  <si>
    <t>sch_health_nsw_severelywasted_g11_f</t>
  </si>
  <si>
    <t>sch_health_nsw_severelywasted_g12_m</t>
  </si>
  <si>
    <t>sch_health_nsw_severelywasted_g12_f</t>
  </si>
  <si>
    <t>sch_health_nsw_wasted_g11_m</t>
  </si>
  <si>
    <t>sch_health_nsw_wasted_g11_f</t>
  </si>
  <si>
    <t>sch_health_nsw_wasted_g12_m</t>
  </si>
  <si>
    <t>sch_health_nsw_wasted_g12_f</t>
  </si>
  <si>
    <t>sch_health_nsh_severely_stunted_g11_m</t>
  </si>
  <si>
    <t>sch_health_nsh_severely_stunted_g11_f</t>
  </si>
  <si>
    <t>sch_health_nsh_severely_stunted_g12_m</t>
  </si>
  <si>
    <t>sch_health_nsh_severely_stunted_g12_f</t>
  </si>
  <si>
    <t>sch_health_nsh_stunted_g11_m</t>
  </si>
  <si>
    <t>sch_health_nsh_stunted_g11_f</t>
  </si>
  <si>
    <t>sch_health_nsh_stunted_g12_m</t>
  </si>
  <si>
    <t>sch_health_nsh_stunted_g12_f</t>
  </si>
  <si>
    <t>sch_health_nsh_normal_g11_m</t>
  </si>
  <si>
    <t>sch_health_nsh_normal_g11_f</t>
  </si>
  <si>
    <t>sch_health_nsh_normal_g12_m</t>
  </si>
  <si>
    <t>sch_health_nsh_normal_g12_f</t>
  </si>
  <si>
    <t>sch_health_nsh_tall_g11_m</t>
  </si>
  <si>
    <t>sch_health_nsh_tall_g11_f</t>
  </si>
  <si>
    <t>sch_health_nsh_tall_g12_m</t>
  </si>
  <si>
    <t>sch_health_nsh_tall_g12_f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</si>
</sst>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5" fontId="0" fillId="0" borderId="0" xfId="1" applyNumberFormat="1" applyFont="1"/>
    <xf numFmtId="165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5CA6-2C75-413C-B3B6-13454A6AD21B}">
  <dimension ref="A1:GA63"/>
  <sheetViews>
    <sheetView zoomScale="90" zoomScaleNormal="90" workbookViewId="0">
      <pane xSplit="4" ySplit="9" topLeftCell="E45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4" sqref="A64:XFD233"/>
    </sheetView>
  </sheetViews>
  <sheetFormatPr defaultRowHeight="15" x14ac:dyDescent="0.25"/>
  <cols>
    <col min="2" max="2" width="25.5703125" bestFit="1" customWidth="1"/>
    <col min="13" max="26" width="11.140625" bestFit="1" customWidth="1"/>
    <col min="27" max="27" width="12.5703125" bestFit="1" customWidth="1"/>
    <col min="28" max="28" width="13.7109375" bestFit="1" customWidth="1"/>
    <col min="29" max="31" width="13.7109375" customWidth="1"/>
    <col min="32" max="33" width="9.140625" bestFit="1" customWidth="1"/>
    <col min="34" max="34" width="10.140625" bestFit="1" customWidth="1"/>
    <col min="35" max="35" width="9.140625" bestFit="1" customWidth="1"/>
    <col min="36" max="36" width="10.140625" bestFit="1" customWidth="1"/>
    <col min="37" max="37" width="9.140625" bestFit="1" customWidth="1"/>
    <col min="38" max="38" width="10.140625" bestFit="1" customWidth="1"/>
    <col min="39" max="39" width="9.140625" bestFit="1" customWidth="1"/>
    <col min="40" max="40" width="10.140625" bestFit="1" customWidth="1"/>
    <col min="41" max="41" width="9.140625" bestFit="1" customWidth="1"/>
    <col min="42" max="42" width="10.140625" bestFit="1" customWidth="1"/>
    <col min="43" max="43" width="9.140625" bestFit="1" customWidth="1"/>
    <col min="44" max="44" width="10.140625" bestFit="1" customWidth="1"/>
    <col min="45" max="46" width="9.140625" bestFit="1" customWidth="1"/>
    <col min="47" max="47" width="9" bestFit="1" customWidth="1"/>
    <col min="48" max="50" width="9" customWidth="1"/>
    <col min="51" max="64" width="10.140625" bestFit="1" customWidth="1"/>
    <col min="65" max="66" width="9.140625" bestFit="1" customWidth="1"/>
    <col min="67" max="69" width="9.140625" customWidth="1"/>
    <col min="70" max="83" width="10.140625" bestFit="1" customWidth="1"/>
    <col min="84" max="85" width="9.140625" bestFit="1" customWidth="1"/>
    <col min="86" max="88" width="9.140625" customWidth="1"/>
    <col min="89" max="92" width="11.140625" bestFit="1" customWidth="1"/>
    <col min="93" max="102" width="10.140625" bestFit="1" customWidth="1"/>
    <col min="103" max="103" width="9.140625" bestFit="1" customWidth="1"/>
    <col min="104" max="104" width="10" bestFit="1" customWidth="1"/>
    <col min="105" max="107" width="10" customWidth="1"/>
    <col min="108" max="121" width="10.140625" bestFit="1" customWidth="1"/>
    <col min="122" max="123" width="9.140625" bestFit="1" customWidth="1"/>
    <col min="124" max="126" width="9.140625" customWidth="1"/>
    <col min="127" max="140" width="11.140625" bestFit="1" customWidth="1"/>
    <col min="141" max="142" width="9.140625" bestFit="1" customWidth="1"/>
    <col min="143" max="143" width="9.85546875" customWidth="1"/>
    <col min="144" max="144" width="9.140625" customWidth="1"/>
    <col min="145" max="145" width="10" customWidth="1"/>
    <col min="146" max="159" width="11.140625" bestFit="1" customWidth="1"/>
    <col min="160" max="161" width="10.140625" bestFit="1" customWidth="1"/>
    <col min="162" max="163" width="10.140625" customWidth="1"/>
    <col min="164" max="164" width="10.85546875" customWidth="1"/>
    <col min="165" max="171" width="10.140625" bestFit="1" customWidth="1"/>
    <col min="172" max="172" width="9.140625" bestFit="1" customWidth="1"/>
    <col min="173" max="178" width="10.140625" bestFit="1" customWidth="1"/>
    <col min="179" max="180" width="9.140625" bestFit="1" customWidth="1"/>
  </cols>
  <sheetData>
    <row r="1" spans="1:183" x14ac:dyDescent="0.25">
      <c r="A1" s="1" t="s">
        <v>0</v>
      </c>
    </row>
    <row r="2" spans="1:183" x14ac:dyDescent="0.25">
      <c r="A2" s="1" t="s">
        <v>1</v>
      </c>
      <c r="L2" s="2"/>
      <c r="AA2" s="2"/>
      <c r="AB2" s="2"/>
      <c r="AC2" s="2"/>
      <c r="AD2" s="2"/>
      <c r="AE2" s="2"/>
      <c r="AT2" s="2"/>
      <c r="AU2" s="2"/>
      <c r="AV2" s="2"/>
      <c r="AW2" s="2"/>
      <c r="AX2" s="2"/>
      <c r="BM2" s="2"/>
      <c r="BN2" s="2"/>
      <c r="BO2" s="2"/>
      <c r="BP2" s="2"/>
      <c r="BQ2" s="2"/>
      <c r="CF2" s="2"/>
      <c r="CG2" s="2"/>
      <c r="CH2" s="2"/>
      <c r="CI2" s="2"/>
      <c r="CJ2" s="2"/>
      <c r="CY2" s="2"/>
      <c r="CZ2" s="2"/>
      <c r="DA2" s="2"/>
      <c r="DB2" s="2"/>
      <c r="DC2" s="2"/>
      <c r="DR2" s="2"/>
      <c r="DS2" s="2"/>
      <c r="DT2" s="2"/>
      <c r="DU2" s="2"/>
      <c r="DV2" s="2"/>
      <c r="EK2" s="2"/>
      <c r="EL2" s="2"/>
      <c r="EM2" s="2"/>
      <c r="EN2" s="2"/>
      <c r="EO2" s="2"/>
      <c r="FD2" s="2"/>
      <c r="FE2" s="2"/>
      <c r="FF2" s="2"/>
      <c r="FG2" s="2"/>
      <c r="FH2" s="2"/>
      <c r="FW2" s="2"/>
      <c r="FX2" s="2"/>
    </row>
    <row r="3" spans="1:183" x14ac:dyDescent="0.25">
      <c r="A3" s="1" t="s">
        <v>2</v>
      </c>
      <c r="L3" s="2"/>
      <c r="AA3" s="2"/>
      <c r="AB3" s="2"/>
      <c r="AC3" s="2"/>
      <c r="AD3" s="2"/>
      <c r="AE3" s="2"/>
      <c r="AT3" s="2"/>
      <c r="AU3" s="2"/>
      <c r="AV3" s="2"/>
      <c r="AW3" s="2"/>
      <c r="AX3" s="2"/>
      <c r="BM3" s="2"/>
      <c r="BN3" s="2"/>
      <c r="BO3" s="2"/>
      <c r="BP3" s="2"/>
      <c r="BQ3" s="2"/>
      <c r="CF3" s="2"/>
      <c r="CG3" s="2"/>
      <c r="CH3" s="2"/>
      <c r="CI3" s="2"/>
      <c r="CJ3" s="2"/>
      <c r="CY3" s="2"/>
      <c r="CZ3" s="2"/>
      <c r="DA3" s="2"/>
      <c r="DB3" s="2"/>
      <c r="DC3" s="2"/>
      <c r="DR3" s="2"/>
      <c r="DS3" s="2"/>
      <c r="DT3" s="2"/>
      <c r="DU3" s="2"/>
      <c r="DV3" s="2"/>
      <c r="EK3" s="2"/>
      <c r="EL3" s="2"/>
      <c r="EM3" s="2"/>
      <c r="EN3" s="2"/>
      <c r="EO3" s="2"/>
      <c r="FD3" s="2"/>
      <c r="FE3" s="2"/>
      <c r="FF3" s="2"/>
      <c r="FG3" s="2"/>
      <c r="FH3" s="2"/>
      <c r="FW3" s="2"/>
      <c r="FX3" s="2"/>
    </row>
    <row r="4" spans="1:183" x14ac:dyDescent="0.25">
      <c r="M4" s="3"/>
      <c r="N4" s="3"/>
      <c r="P4" s="3"/>
      <c r="R4" s="3"/>
      <c r="T4" s="3"/>
      <c r="V4" s="3"/>
      <c r="X4" s="3"/>
      <c r="Z4" s="3"/>
      <c r="AB4" s="3"/>
      <c r="AC4" s="3"/>
      <c r="AD4" s="3"/>
      <c r="AE4" s="3"/>
      <c r="AG4" s="3"/>
      <c r="AI4" s="3"/>
      <c r="AK4" s="3"/>
      <c r="AM4" s="3"/>
      <c r="AO4" s="3"/>
      <c r="AQ4" s="3"/>
      <c r="AS4" s="3"/>
      <c r="AU4" s="3"/>
      <c r="AV4" s="3"/>
      <c r="AW4" s="3"/>
      <c r="AX4" s="3"/>
      <c r="AZ4" s="3"/>
      <c r="BB4" s="3"/>
      <c r="BD4" s="3"/>
      <c r="BF4" s="3"/>
      <c r="BH4" s="3"/>
      <c r="BJ4" s="3"/>
      <c r="BL4" s="3"/>
      <c r="BN4" s="3"/>
      <c r="BO4" s="3"/>
      <c r="BP4" s="3"/>
      <c r="BQ4" s="3"/>
      <c r="BS4" s="3"/>
      <c r="BU4" s="3"/>
      <c r="BW4" s="3"/>
      <c r="BY4" s="3"/>
      <c r="CA4" s="3"/>
      <c r="CC4" s="3"/>
      <c r="CE4" s="3"/>
      <c r="CG4" s="3"/>
      <c r="CH4" s="3"/>
      <c r="CI4" s="3"/>
      <c r="CJ4" s="3"/>
      <c r="CL4" s="3"/>
      <c r="CN4" s="3"/>
      <c r="CP4" s="3"/>
      <c r="CR4" s="3"/>
      <c r="CT4" s="3"/>
      <c r="CV4" s="3"/>
      <c r="CX4" s="3"/>
      <c r="CZ4" s="3"/>
      <c r="DA4" s="3"/>
      <c r="DB4" s="3"/>
      <c r="DC4" s="3"/>
      <c r="DE4" s="3"/>
      <c r="DG4" s="3"/>
      <c r="DI4" s="3"/>
      <c r="DK4" s="3"/>
      <c r="DM4" s="3"/>
      <c r="DO4" s="3"/>
      <c r="DQ4" s="3"/>
      <c r="DS4" s="3"/>
      <c r="DT4" s="3"/>
      <c r="DU4" s="3"/>
      <c r="DV4" s="3"/>
      <c r="DX4" s="3"/>
      <c r="DZ4" s="3"/>
      <c r="EB4" s="3"/>
      <c r="ED4" s="3"/>
      <c r="EF4" s="3"/>
      <c r="EH4" s="3"/>
      <c r="EJ4" s="3"/>
      <c r="EL4" s="3"/>
      <c r="EM4" s="3"/>
      <c r="EN4" s="3"/>
      <c r="EO4" s="3"/>
      <c r="EQ4" s="3"/>
      <c r="ES4" s="3"/>
      <c r="EU4" s="3"/>
      <c r="EW4" s="3"/>
      <c r="EY4" s="3"/>
      <c r="FA4" s="3"/>
      <c r="FC4" s="3"/>
      <c r="FE4" s="3"/>
      <c r="FF4" s="3"/>
      <c r="FG4" s="3"/>
      <c r="FH4" s="3"/>
      <c r="FJ4" s="3"/>
      <c r="FL4" s="3"/>
      <c r="FN4" s="3"/>
      <c r="FP4" s="3"/>
      <c r="FR4" s="3"/>
      <c r="FT4" s="3"/>
      <c r="FV4" s="3"/>
      <c r="FX4" s="3"/>
    </row>
    <row r="5" spans="1:183" x14ac:dyDescent="0.25">
      <c r="M5" s="4" t="s">
        <v>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6"/>
      <c r="AF5" s="4" t="s">
        <v>4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6"/>
      <c r="AY5" s="4" t="s">
        <v>5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6"/>
      <c r="BR5" s="4" t="s">
        <v>6</v>
      </c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6"/>
      <c r="CK5" s="4" t="s">
        <v>7</v>
      </c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6"/>
      <c r="DD5" s="4" t="s">
        <v>8</v>
      </c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6"/>
      <c r="DW5" s="4" t="s">
        <v>9</v>
      </c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6"/>
      <c r="EP5" s="4" t="s">
        <v>10</v>
      </c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6"/>
      <c r="FI5" s="7" t="s">
        <v>11</v>
      </c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</row>
    <row r="6" spans="1:183" x14ac:dyDescent="0.25">
      <c r="M6" s="7" t="s">
        <v>12</v>
      </c>
      <c r="N6" s="7"/>
      <c r="O6" s="7" t="s">
        <v>13</v>
      </c>
      <c r="P6" s="7"/>
      <c r="Q6" s="7" t="s">
        <v>14</v>
      </c>
      <c r="R6" s="7"/>
      <c r="S6" s="7" t="s">
        <v>15</v>
      </c>
      <c r="T6" s="7"/>
      <c r="U6" s="7" t="s">
        <v>16</v>
      </c>
      <c r="V6" s="7"/>
      <c r="W6" s="7" t="s">
        <v>17</v>
      </c>
      <c r="X6" s="7"/>
      <c r="Y6" s="7" t="s">
        <v>18</v>
      </c>
      <c r="Z6" s="7"/>
      <c r="AA6" s="7" t="s">
        <v>19</v>
      </c>
      <c r="AB6" s="7"/>
      <c r="AC6" s="4" t="s">
        <v>20</v>
      </c>
      <c r="AD6" s="5"/>
      <c r="AE6" s="6"/>
      <c r="AF6" s="7" t="s">
        <v>12</v>
      </c>
      <c r="AG6" s="7"/>
      <c r="AH6" s="7" t="s">
        <v>13</v>
      </c>
      <c r="AI6" s="7"/>
      <c r="AJ6" s="7" t="s">
        <v>14</v>
      </c>
      <c r="AK6" s="7"/>
      <c r="AL6" s="7" t="s">
        <v>15</v>
      </c>
      <c r="AM6" s="7"/>
      <c r="AN6" s="7" t="s">
        <v>16</v>
      </c>
      <c r="AO6" s="7"/>
      <c r="AP6" s="7" t="s">
        <v>17</v>
      </c>
      <c r="AQ6" s="7"/>
      <c r="AR6" s="7" t="s">
        <v>18</v>
      </c>
      <c r="AS6" s="7"/>
      <c r="AT6" s="7" t="s">
        <v>19</v>
      </c>
      <c r="AU6" s="7"/>
      <c r="AV6" s="4" t="s">
        <v>20</v>
      </c>
      <c r="AW6" s="5"/>
      <c r="AX6" s="6"/>
      <c r="AY6" s="7" t="s">
        <v>12</v>
      </c>
      <c r="AZ6" s="7"/>
      <c r="BA6" s="7" t="s">
        <v>13</v>
      </c>
      <c r="BB6" s="7"/>
      <c r="BC6" s="7" t="s">
        <v>14</v>
      </c>
      <c r="BD6" s="7"/>
      <c r="BE6" s="7" t="s">
        <v>15</v>
      </c>
      <c r="BF6" s="7"/>
      <c r="BG6" s="7" t="s">
        <v>16</v>
      </c>
      <c r="BH6" s="7"/>
      <c r="BI6" s="7" t="s">
        <v>17</v>
      </c>
      <c r="BJ6" s="7"/>
      <c r="BK6" s="7" t="s">
        <v>18</v>
      </c>
      <c r="BL6" s="7"/>
      <c r="BM6" s="7" t="s">
        <v>19</v>
      </c>
      <c r="BN6" s="7"/>
      <c r="BO6" s="4" t="s">
        <v>20</v>
      </c>
      <c r="BP6" s="5"/>
      <c r="BQ6" s="6"/>
      <c r="BR6" s="7" t="s">
        <v>12</v>
      </c>
      <c r="BS6" s="7"/>
      <c r="BT6" s="7" t="s">
        <v>13</v>
      </c>
      <c r="BU6" s="7"/>
      <c r="BV6" s="7" t="s">
        <v>14</v>
      </c>
      <c r="BW6" s="7"/>
      <c r="BX6" s="7" t="s">
        <v>15</v>
      </c>
      <c r="BY6" s="7"/>
      <c r="BZ6" s="7" t="s">
        <v>16</v>
      </c>
      <c r="CA6" s="7"/>
      <c r="CB6" s="7" t="s">
        <v>17</v>
      </c>
      <c r="CC6" s="7"/>
      <c r="CD6" s="7" t="s">
        <v>18</v>
      </c>
      <c r="CE6" s="7"/>
      <c r="CF6" s="7" t="s">
        <v>19</v>
      </c>
      <c r="CG6" s="7"/>
      <c r="CH6" s="4" t="s">
        <v>20</v>
      </c>
      <c r="CI6" s="5"/>
      <c r="CJ6" s="6"/>
      <c r="CK6" s="7" t="s">
        <v>12</v>
      </c>
      <c r="CL6" s="7"/>
      <c r="CM6" s="7" t="s">
        <v>13</v>
      </c>
      <c r="CN6" s="7"/>
      <c r="CO6" s="7" t="s">
        <v>14</v>
      </c>
      <c r="CP6" s="7"/>
      <c r="CQ6" s="7" t="s">
        <v>15</v>
      </c>
      <c r="CR6" s="7"/>
      <c r="CS6" s="7" t="s">
        <v>16</v>
      </c>
      <c r="CT6" s="7"/>
      <c r="CU6" s="7" t="s">
        <v>17</v>
      </c>
      <c r="CV6" s="7"/>
      <c r="CW6" s="7" t="s">
        <v>18</v>
      </c>
      <c r="CX6" s="7"/>
      <c r="CY6" s="7" t="s">
        <v>19</v>
      </c>
      <c r="CZ6" s="7"/>
      <c r="DA6" s="4" t="s">
        <v>20</v>
      </c>
      <c r="DB6" s="5"/>
      <c r="DC6" s="6"/>
      <c r="DD6" s="7" t="s">
        <v>12</v>
      </c>
      <c r="DE6" s="7"/>
      <c r="DF6" s="7" t="s">
        <v>13</v>
      </c>
      <c r="DG6" s="7"/>
      <c r="DH6" s="7" t="s">
        <v>14</v>
      </c>
      <c r="DI6" s="7"/>
      <c r="DJ6" s="7" t="s">
        <v>15</v>
      </c>
      <c r="DK6" s="7"/>
      <c r="DL6" s="7" t="s">
        <v>16</v>
      </c>
      <c r="DM6" s="7"/>
      <c r="DN6" s="7" t="s">
        <v>17</v>
      </c>
      <c r="DO6" s="7"/>
      <c r="DP6" s="7" t="s">
        <v>18</v>
      </c>
      <c r="DQ6" s="7"/>
      <c r="DR6" s="7" t="s">
        <v>19</v>
      </c>
      <c r="DS6" s="7"/>
      <c r="DT6" s="4" t="s">
        <v>20</v>
      </c>
      <c r="DU6" s="5"/>
      <c r="DV6" s="6"/>
      <c r="DW6" s="7" t="s">
        <v>12</v>
      </c>
      <c r="DX6" s="7"/>
      <c r="DY6" s="7" t="s">
        <v>13</v>
      </c>
      <c r="DZ6" s="7"/>
      <c r="EA6" s="7" t="s">
        <v>14</v>
      </c>
      <c r="EB6" s="7"/>
      <c r="EC6" s="7" t="s">
        <v>15</v>
      </c>
      <c r="ED6" s="7"/>
      <c r="EE6" s="7" t="s">
        <v>16</v>
      </c>
      <c r="EF6" s="7"/>
      <c r="EG6" s="7" t="s">
        <v>17</v>
      </c>
      <c r="EH6" s="7"/>
      <c r="EI6" s="7" t="s">
        <v>18</v>
      </c>
      <c r="EJ6" s="7"/>
      <c r="EK6" s="7" t="s">
        <v>19</v>
      </c>
      <c r="EL6" s="7"/>
      <c r="EM6" s="4" t="s">
        <v>20</v>
      </c>
      <c r="EN6" s="5"/>
      <c r="EO6" s="6"/>
      <c r="EP6" s="7" t="s">
        <v>12</v>
      </c>
      <c r="EQ6" s="7"/>
      <c r="ER6" s="7" t="s">
        <v>13</v>
      </c>
      <c r="ES6" s="7"/>
      <c r="ET6" s="7" t="s">
        <v>14</v>
      </c>
      <c r="EU6" s="7"/>
      <c r="EV6" s="7" t="s">
        <v>15</v>
      </c>
      <c r="EW6" s="7"/>
      <c r="EX6" s="7" t="s">
        <v>16</v>
      </c>
      <c r="EY6" s="7"/>
      <c r="EZ6" s="7" t="s">
        <v>17</v>
      </c>
      <c r="FA6" s="7"/>
      <c r="FB6" s="7" t="s">
        <v>18</v>
      </c>
      <c r="FC6" s="7"/>
      <c r="FD6" s="7" t="s">
        <v>19</v>
      </c>
      <c r="FE6" s="7"/>
      <c r="FF6" s="4" t="s">
        <v>20</v>
      </c>
      <c r="FG6" s="5"/>
      <c r="FH6" s="6"/>
      <c r="FI6" s="8" t="s">
        <v>12</v>
      </c>
      <c r="FJ6" s="8"/>
      <c r="FK6" s="8" t="s">
        <v>13</v>
      </c>
      <c r="FL6" s="8"/>
      <c r="FM6" s="8" t="s">
        <v>14</v>
      </c>
      <c r="FN6" s="8"/>
      <c r="FO6" s="8" t="s">
        <v>15</v>
      </c>
      <c r="FP6" s="8"/>
      <c r="FQ6" s="8" t="s">
        <v>16</v>
      </c>
      <c r="FR6" s="8"/>
      <c r="FS6" s="8" t="s">
        <v>17</v>
      </c>
      <c r="FT6" s="8"/>
      <c r="FU6" s="8" t="s">
        <v>18</v>
      </c>
      <c r="FV6" s="8"/>
      <c r="FW6" s="8" t="s">
        <v>19</v>
      </c>
      <c r="FX6" s="8"/>
      <c r="FY6" s="4" t="s">
        <v>20</v>
      </c>
      <c r="FZ6" s="5"/>
      <c r="GA6" s="6"/>
    </row>
    <row r="7" spans="1:183" ht="15.75" thickBot="1" x14ac:dyDescent="0.3">
      <c r="M7" s="9" t="s">
        <v>21</v>
      </c>
      <c r="N7" s="9" t="s">
        <v>22</v>
      </c>
      <c r="O7" s="9" t="s">
        <v>21</v>
      </c>
      <c r="P7" s="9" t="s">
        <v>22</v>
      </c>
      <c r="Q7" s="9" t="s">
        <v>21</v>
      </c>
      <c r="R7" s="9" t="s">
        <v>22</v>
      </c>
      <c r="S7" s="9" t="s">
        <v>21</v>
      </c>
      <c r="T7" s="9" t="s">
        <v>22</v>
      </c>
      <c r="U7" s="9" t="s">
        <v>21</v>
      </c>
      <c r="V7" s="9" t="s">
        <v>22</v>
      </c>
      <c r="W7" s="9" t="s">
        <v>21</v>
      </c>
      <c r="X7" s="9" t="s">
        <v>22</v>
      </c>
      <c r="Y7" s="9" t="s">
        <v>21</v>
      </c>
      <c r="Z7" s="9" t="s">
        <v>22</v>
      </c>
      <c r="AA7" s="9" t="s">
        <v>21</v>
      </c>
      <c r="AB7" s="9" t="s">
        <v>22</v>
      </c>
      <c r="AC7" s="9" t="s">
        <v>21</v>
      </c>
      <c r="AD7" s="9" t="s">
        <v>22</v>
      </c>
      <c r="AE7" s="9" t="s">
        <v>20</v>
      </c>
      <c r="AF7" s="9" t="s">
        <v>21</v>
      </c>
      <c r="AG7" s="9" t="s">
        <v>22</v>
      </c>
      <c r="AH7" s="9" t="s">
        <v>21</v>
      </c>
      <c r="AI7" s="9" t="s">
        <v>22</v>
      </c>
      <c r="AJ7" s="9" t="s">
        <v>21</v>
      </c>
      <c r="AK7" s="9" t="s">
        <v>22</v>
      </c>
      <c r="AL7" s="9" t="s">
        <v>21</v>
      </c>
      <c r="AM7" s="9" t="s">
        <v>22</v>
      </c>
      <c r="AN7" s="9" t="s">
        <v>21</v>
      </c>
      <c r="AO7" s="9" t="s">
        <v>22</v>
      </c>
      <c r="AP7" s="9" t="s">
        <v>21</v>
      </c>
      <c r="AQ7" s="9" t="s">
        <v>22</v>
      </c>
      <c r="AR7" s="9" t="s">
        <v>21</v>
      </c>
      <c r="AS7" s="9" t="s">
        <v>22</v>
      </c>
      <c r="AT7" s="9" t="s">
        <v>21</v>
      </c>
      <c r="AU7" s="9" t="s">
        <v>22</v>
      </c>
      <c r="AV7" s="9" t="s">
        <v>21</v>
      </c>
      <c r="AW7" s="9" t="s">
        <v>22</v>
      </c>
      <c r="AX7" s="9" t="s">
        <v>20</v>
      </c>
      <c r="AY7" s="9" t="s">
        <v>21</v>
      </c>
      <c r="AZ7" s="9" t="s">
        <v>22</v>
      </c>
      <c r="BA7" s="9" t="s">
        <v>21</v>
      </c>
      <c r="BB7" s="9" t="s">
        <v>22</v>
      </c>
      <c r="BC7" s="9" t="s">
        <v>21</v>
      </c>
      <c r="BD7" s="9" t="s">
        <v>22</v>
      </c>
      <c r="BE7" s="9" t="s">
        <v>21</v>
      </c>
      <c r="BF7" s="9" t="s">
        <v>22</v>
      </c>
      <c r="BG7" s="9" t="s">
        <v>21</v>
      </c>
      <c r="BH7" s="9" t="s">
        <v>22</v>
      </c>
      <c r="BI7" s="9" t="s">
        <v>21</v>
      </c>
      <c r="BJ7" s="9" t="s">
        <v>22</v>
      </c>
      <c r="BK7" s="9" t="s">
        <v>21</v>
      </c>
      <c r="BL7" s="9" t="s">
        <v>22</v>
      </c>
      <c r="BM7" s="9" t="s">
        <v>21</v>
      </c>
      <c r="BN7" s="9" t="s">
        <v>22</v>
      </c>
      <c r="BO7" s="9" t="s">
        <v>21</v>
      </c>
      <c r="BP7" s="9" t="s">
        <v>22</v>
      </c>
      <c r="BQ7" s="9" t="s">
        <v>20</v>
      </c>
      <c r="BR7" s="9" t="s">
        <v>21</v>
      </c>
      <c r="BS7" s="9" t="s">
        <v>22</v>
      </c>
      <c r="BT7" s="9" t="s">
        <v>21</v>
      </c>
      <c r="BU7" s="9" t="s">
        <v>22</v>
      </c>
      <c r="BV7" s="9" t="s">
        <v>21</v>
      </c>
      <c r="BW7" s="9" t="s">
        <v>22</v>
      </c>
      <c r="BX7" s="9" t="s">
        <v>21</v>
      </c>
      <c r="BY7" s="9" t="s">
        <v>22</v>
      </c>
      <c r="BZ7" s="9" t="s">
        <v>21</v>
      </c>
      <c r="CA7" s="9" t="s">
        <v>22</v>
      </c>
      <c r="CB7" s="9" t="s">
        <v>21</v>
      </c>
      <c r="CC7" s="9" t="s">
        <v>22</v>
      </c>
      <c r="CD7" s="9" t="s">
        <v>21</v>
      </c>
      <c r="CE7" s="9" t="s">
        <v>22</v>
      </c>
      <c r="CF7" s="9" t="s">
        <v>21</v>
      </c>
      <c r="CG7" s="9" t="s">
        <v>22</v>
      </c>
      <c r="CH7" s="9" t="s">
        <v>21</v>
      </c>
      <c r="CI7" s="9" t="s">
        <v>22</v>
      </c>
      <c r="CJ7" s="9" t="s">
        <v>20</v>
      </c>
      <c r="CK7" s="9" t="s">
        <v>21</v>
      </c>
      <c r="CL7" s="9" t="s">
        <v>22</v>
      </c>
      <c r="CM7" s="9" t="s">
        <v>21</v>
      </c>
      <c r="CN7" s="9" t="s">
        <v>22</v>
      </c>
      <c r="CO7" s="9" t="s">
        <v>21</v>
      </c>
      <c r="CP7" s="9" t="s">
        <v>22</v>
      </c>
      <c r="CQ7" s="9" t="s">
        <v>21</v>
      </c>
      <c r="CR7" s="9" t="s">
        <v>22</v>
      </c>
      <c r="CS7" s="9" t="s">
        <v>21</v>
      </c>
      <c r="CT7" s="9" t="s">
        <v>22</v>
      </c>
      <c r="CU7" s="9" t="s">
        <v>21</v>
      </c>
      <c r="CV7" s="9" t="s">
        <v>22</v>
      </c>
      <c r="CW7" s="9" t="s">
        <v>21</v>
      </c>
      <c r="CX7" s="9" t="s">
        <v>22</v>
      </c>
      <c r="CY7" s="9" t="s">
        <v>21</v>
      </c>
      <c r="CZ7" s="9" t="s">
        <v>22</v>
      </c>
      <c r="DA7" s="9" t="s">
        <v>21</v>
      </c>
      <c r="DB7" s="9" t="s">
        <v>22</v>
      </c>
      <c r="DC7" s="9" t="s">
        <v>20</v>
      </c>
      <c r="DD7" s="9" t="s">
        <v>21</v>
      </c>
      <c r="DE7" s="9" t="s">
        <v>22</v>
      </c>
      <c r="DF7" s="9" t="s">
        <v>21</v>
      </c>
      <c r="DG7" s="9" t="s">
        <v>22</v>
      </c>
      <c r="DH7" s="9" t="s">
        <v>21</v>
      </c>
      <c r="DI7" s="9" t="s">
        <v>22</v>
      </c>
      <c r="DJ7" s="9" t="s">
        <v>21</v>
      </c>
      <c r="DK7" s="9" t="s">
        <v>22</v>
      </c>
      <c r="DL7" s="9" t="s">
        <v>21</v>
      </c>
      <c r="DM7" s="9" t="s">
        <v>22</v>
      </c>
      <c r="DN7" s="9" t="s">
        <v>21</v>
      </c>
      <c r="DO7" s="9" t="s">
        <v>22</v>
      </c>
      <c r="DP7" s="9" t="s">
        <v>21</v>
      </c>
      <c r="DQ7" s="9" t="s">
        <v>22</v>
      </c>
      <c r="DR7" s="9" t="s">
        <v>21</v>
      </c>
      <c r="DS7" s="9" t="s">
        <v>22</v>
      </c>
      <c r="DT7" s="9" t="s">
        <v>21</v>
      </c>
      <c r="DU7" s="9" t="s">
        <v>22</v>
      </c>
      <c r="DV7" s="9" t="s">
        <v>20</v>
      </c>
      <c r="DW7" s="9" t="s">
        <v>21</v>
      </c>
      <c r="DX7" s="9" t="s">
        <v>22</v>
      </c>
      <c r="DY7" s="9" t="s">
        <v>21</v>
      </c>
      <c r="DZ7" s="9" t="s">
        <v>22</v>
      </c>
      <c r="EA7" s="9" t="s">
        <v>21</v>
      </c>
      <c r="EB7" s="9" t="s">
        <v>22</v>
      </c>
      <c r="EC7" s="9" t="s">
        <v>21</v>
      </c>
      <c r="ED7" s="9" t="s">
        <v>22</v>
      </c>
      <c r="EE7" s="9" t="s">
        <v>21</v>
      </c>
      <c r="EF7" s="9" t="s">
        <v>22</v>
      </c>
      <c r="EG7" s="9" t="s">
        <v>21</v>
      </c>
      <c r="EH7" s="9" t="s">
        <v>22</v>
      </c>
      <c r="EI7" s="9" t="s">
        <v>21</v>
      </c>
      <c r="EJ7" s="9" t="s">
        <v>22</v>
      </c>
      <c r="EK7" s="9" t="s">
        <v>21</v>
      </c>
      <c r="EL7" s="9" t="s">
        <v>22</v>
      </c>
      <c r="EM7" s="9" t="s">
        <v>21</v>
      </c>
      <c r="EN7" s="9" t="s">
        <v>22</v>
      </c>
      <c r="EO7" s="9" t="s">
        <v>20</v>
      </c>
      <c r="EP7" s="9" t="s">
        <v>21</v>
      </c>
      <c r="EQ7" s="9" t="s">
        <v>22</v>
      </c>
      <c r="ER7" s="9" t="s">
        <v>21</v>
      </c>
      <c r="ES7" s="9" t="s">
        <v>22</v>
      </c>
      <c r="ET7" s="9" t="s">
        <v>21</v>
      </c>
      <c r="EU7" s="9" t="s">
        <v>22</v>
      </c>
      <c r="EV7" s="9" t="s">
        <v>21</v>
      </c>
      <c r="EW7" s="9" t="s">
        <v>22</v>
      </c>
      <c r="EX7" s="9" t="s">
        <v>21</v>
      </c>
      <c r="EY7" s="9" t="s">
        <v>22</v>
      </c>
      <c r="EZ7" s="9" t="s">
        <v>21</v>
      </c>
      <c r="FA7" s="9" t="s">
        <v>22</v>
      </c>
      <c r="FB7" s="9" t="s">
        <v>21</v>
      </c>
      <c r="FC7" s="9" t="s">
        <v>22</v>
      </c>
      <c r="FD7" s="9" t="s">
        <v>21</v>
      </c>
      <c r="FE7" s="9" t="s">
        <v>22</v>
      </c>
      <c r="FF7" s="9" t="s">
        <v>21</v>
      </c>
      <c r="FG7" s="9" t="s">
        <v>22</v>
      </c>
      <c r="FH7" s="9" t="s">
        <v>20</v>
      </c>
      <c r="FI7" s="9" t="s">
        <v>21</v>
      </c>
      <c r="FJ7" s="9" t="s">
        <v>22</v>
      </c>
      <c r="FK7" s="9" t="s">
        <v>21</v>
      </c>
      <c r="FL7" s="9" t="s">
        <v>22</v>
      </c>
      <c r="FM7" s="9" t="s">
        <v>21</v>
      </c>
      <c r="FN7" s="9" t="s">
        <v>22</v>
      </c>
      <c r="FO7" s="9" t="s">
        <v>21</v>
      </c>
      <c r="FP7" s="9" t="s">
        <v>22</v>
      </c>
      <c r="FQ7" s="9" t="s">
        <v>21</v>
      </c>
      <c r="FR7" s="9" t="s">
        <v>22</v>
      </c>
      <c r="FS7" s="9" t="s">
        <v>21</v>
      </c>
      <c r="FT7" s="9" t="s">
        <v>22</v>
      </c>
      <c r="FU7" s="9" t="s">
        <v>21</v>
      </c>
      <c r="FV7" s="9" t="s">
        <v>22</v>
      </c>
      <c r="FW7" s="9" t="s">
        <v>21</v>
      </c>
      <c r="FX7" s="9" t="s">
        <v>22</v>
      </c>
      <c r="FY7" s="9" t="s">
        <v>21</v>
      </c>
      <c r="FZ7" s="9" t="s">
        <v>22</v>
      </c>
      <c r="GA7" s="9" t="s">
        <v>20</v>
      </c>
    </row>
    <row r="8" spans="1:183" ht="15.75" thickTop="1" x14ac:dyDescent="0.25">
      <c r="M8" s="2">
        <f>SUM(M10:M63)</f>
        <v>1278</v>
      </c>
      <c r="N8" s="2">
        <f>SUM(N10:N63)</f>
        <v>1249</v>
      </c>
      <c r="O8" s="2">
        <f>SUM(O10:O63)</f>
        <v>1638</v>
      </c>
      <c r="P8" s="2">
        <f>SUM(P10:P63)</f>
        <v>1498</v>
      </c>
      <c r="Q8" s="2">
        <f>SUM(Q10:Q63)</f>
        <v>1567</v>
      </c>
      <c r="R8" s="2">
        <f>SUM(R10:R63)</f>
        <v>1415</v>
      </c>
      <c r="S8" s="2">
        <f>SUM(S10:S63)</f>
        <v>1343</v>
      </c>
      <c r="T8" s="2">
        <f>SUM(T10:T63)</f>
        <v>1134</v>
      </c>
      <c r="U8" s="2">
        <f>SUM(U10:U63)</f>
        <v>1341</v>
      </c>
      <c r="V8" s="2">
        <f>SUM(V10:V63)</f>
        <v>1252</v>
      </c>
      <c r="W8" s="2">
        <f>SUM(W10:W63)</f>
        <v>1339</v>
      </c>
      <c r="X8" s="2">
        <f>SUM(X10:X63)</f>
        <v>1406</v>
      </c>
      <c r="Y8" s="2">
        <f>SUM(Y10:Y63)</f>
        <v>1329</v>
      </c>
      <c r="Z8" s="2">
        <f>SUM(Z10:Z63)</f>
        <v>1421</v>
      </c>
      <c r="AA8" s="2">
        <f>SUM(AA10:AA63)</f>
        <v>42</v>
      </c>
      <c r="AB8" s="2">
        <f>SUM(AB10:AB63)</f>
        <v>25</v>
      </c>
      <c r="AC8" s="2">
        <f>SUM(AC10:AC63)</f>
        <v>9877</v>
      </c>
      <c r="AD8" s="2">
        <f>SUM(AD10:AD63)</f>
        <v>9400</v>
      </c>
      <c r="AE8" s="2">
        <f>SUM(AE10:AE63)</f>
        <v>19277</v>
      </c>
      <c r="AF8" s="2">
        <f>SUM(AF10:AF63)</f>
        <v>3</v>
      </c>
      <c r="AG8" s="2">
        <f>SUM(AG10:AG63)</f>
        <v>4</v>
      </c>
      <c r="AH8" s="2">
        <f>SUM(AH10:AH63)</f>
        <v>5</v>
      </c>
      <c r="AI8" s="2">
        <f>SUM(AI10:AI63)</f>
        <v>1</v>
      </c>
      <c r="AJ8" s="2">
        <f>SUM(AJ10:AJ63)</f>
        <v>13</v>
      </c>
      <c r="AK8" s="2">
        <f>SUM(AK10:AK63)</f>
        <v>4</v>
      </c>
      <c r="AL8" s="2">
        <f>SUM(AL10:AL63)</f>
        <v>8</v>
      </c>
      <c r="AM8" s="2">
        <f>SUM(AM10:AM63)</f>
        <v>6</v>
      </c>
      <c r="AN8" s="2">
        <f>SUM(AN10:AN63)</f>
        <v>9</v>
      </c>
      <c r="AO8" s="2">
        <f>SUM(AO10:AO63)</f>
        <v>2</v>
      </c>
      <c r="AP8" s="2">
        <f>SUM(AP10:AP63)</f>
        <v>14</v>
      </c>
      <c r="AQ8" s="2">
        <f>SUM(AQ10:AQ63)</f>
        <v>11</v>
      </c>
      <c r="AR8" s="2">
        <f>SUM(AR10:AR63)</f>
        <v>7</v>
      </c>
      <c r="AS8" s="2">
        <f>SUM(AS10:AS63)</f>
        <v>9</v>
      </c>
      <c r="AT8" s="2">
        <f>SUM(AT10:AT63)</f>
        <v>0</v>
      </c>
      <c r="AU8" s="2">
        <f>SUM(AU10:AU63)</f>
        <v>1</v>
      </c>
      <c r="AV8" s="2">
        <f>SUM(AV10:AV63)</f>
        <v>59</v>
      </c>
      <c r="AW8" s="2">
        <f>SUM(AW10:AW63)</f>
        <v>38</v>
      </c>
      <c r="AX8" s="2">
        <f>SUM(AX10:AX63)</f>
        <v>97</v>
      </c>
      <c r="AY8" s="2">
        <f>SUM(AY10:AY63)</f>
        <v>14</v>
      </c>
      <c r="AZ8" s="2">
        <f>SUM(AZ10:AZ63)</f>
        <v>12</v>
      </c>
      <c r="BA8" s="2">
        <f>SUM(BA10:BA63)</f>
        <v>26</v>
      </c>
      <c r="BB8" s="2">
        <f>SUM(BB10:BB63)</f>
        <v>14</v>
      </c>
      <c r="BC8" s="2">
        <f>SUM(BC10:BC63)</f>
        <v>29</v>
      </c>
      <c r="BD8" s="2">
        <f>SUM(BD10:BD63)</f>
        <v>24</v>
      </c>
      <c r="BE8" s="2">
        <f>SUM(BE10:BE63)</f>
        <v>28</v>
      </c>
      <c r="BF8" s="2">
        <f>SUM(BF10:BF63)</f>
        <v>17</v>
      </c>
      <c r="BG8" s="2">
        <f>SUM(BG10:BG63)</f>
        <v>28</v>
      </c>
      <c r="BH8" s="2">
        <f>SUM(BH10:BH63)</f>
        <v>20</v>
      </c>
      <c r="BI8" s="2">
        <f>SUM(BI10:BI63)</f>
        <v>37</v>
      </c>
      <c r="BJ8" s="2">
        <f>SUM(BJ10:BJ63)</f>
        <v>17</v>
      </c>
      <c r="BK8" s="2">
        <f>SUM(BK10:BK63)</f>
        <v>28</v>
      </c>
      <c r="BL8" s="2">
        <f>SUM(BL10:BL63)</f>
        <v>27</v>
      </c>
      <c r="BM8" s="2">
        <f>SUM(BM10:BM63)</f>
        <v>0</v>
      </c>
      <c r="BN8" s="2">
        <f>SUM(BN10:BN63)</f>
        <v>1</v>
      </c>
      <c r="BO8" s="2">
        <f>SUM(BO10:BO63)</f>
        <v>190</v>
      </c>
      <c r="BP8" s="2">
        <f>SUM(BP10:BP63)</f>
        <v>132</v>
      </c>
      <c r="BQ8" s="2">
        <f>SUM(BQ10:BQ63)</f>
        <v>322</v>
      </c>
      <c r="BR8" s="2">
        <f>SUM(BR10:BR63)</f>
        <v>31</v>
      </c>
      <c r="BS8" s="2">
        <f>SUM(BS10:BS63)</f>
        <v>40</v>
      </c>
      <c r="BT8" s="2">
        <f>SUM(BT10:BT63)</f>
        <v>57</v>
      </c>
      <c r="BU8" s="2">
        <f>SUM(BU10:BU63)</f>
        <v>41</v>
      </c>
      <c r="BV8" s="2">
        <f>SUM(BV10:BV63)</f>
        <v>51</v>
      </c>
      <c r="BW8" s="2">
        <f>SUM(BW10:BW63)</f>
        <v>26</v>
      </c>
      <c r="BX8" s="2">
        <f>SUM(BX10:BX63)</f>
        <v>31</v>
      </c>
      <c r="BY8" s="2">
        <f>SUM(BY10:BY63)</f>
        <v>22</v>
      </c>
      <c r="BZ8" s="2">
        <f>SUM(BZ10:BZ63)</f>
        <v>42</v>
      </c>
      <c r="CA8" s="2">
        <f>SUM(CA10:CA63)</f>
        <v>28</v>
      </c>
      <c r="CB8" s="2">
        <f>SUM(CB10:CB63)</f>
        <v>27</v>
      </c>
      <c r="CC8" s="2">
        <f>SUM(CC10:CC63)</f>
        <v>25</v>
      </c>
      <c r="CD8" s="2">
        <f>SUM(CD10:CD63)</f>
        <v>24</v>
      </c>
      <c r="CE8" s="2">
        <f>SUM(CE10:CE63)</f>
        <v>17</v>
      </c>
      <c r="CF8" s="2">
        <f>SUM(CF10:CF63)</f>
        <v>6</v>
      </c>
      <c r="CG8" s="2">
        <f>SUM(CG10:CG63)</f>
        <v>5</v>
      </c>
      <c r="CH8" s="2">
        <f>SUM(CH10:CH63)</f>
        <v>269</v>
      </c>
      <c r="CI8" s="2">
        <f>SUM(CI10:CI63)</f>
        <v>204</v>
      </c>
      <c r="CJ8" s="2">
        <f>SUM(CJ10:CJ63)</f>
        <v>473</v>
      </c>
      <c r="CK8" s="2">
        <f>SUM(CK10:CK63)</f>
        <v>103</v>
      </c>
      <c r="CL8" s="2">
        <f>SUM(CL10:CL63)</f>
        <v>111</v>
      </c>
      <c r="CM8" s="2">
        <f>SUM(CM10:CM63)</f>
        <v>119</v>
      </c>
      <c r="CN8" s="2">
        <f>SUM(CN10:CN63)</f>
        <v>150</v>
      </c>
      <c r="CO8" s="2">
        <f>SUM(CO10:CO63)</f>
        <v>110</v>
      </c>
      <c r="CP8" s="2">
        <f>SUM(CP10:CP63)</f>
        <v>91</v>
      </c>
      <c r="CQ8" s="2">
        <f>SUM(CQ10:CQ63)</f>
        <v>76</v>
      </c>
      <c r="CR8" s="2">
        <f>SUM(CR10:CR63)</f>
        <v>80</v>
      </c>
      <c r="CS8" s="2">
        <f>SUM(CS10:CS63)</f>
        <v>78</v>
      </c>
      <c r="CT8" s="2">
        <f>SUM(CT10:CT63)</f>
        <v>81</v>
      </c>
      <c r="CU8" s="2">
        <f>SUM(CU10:CU63)</f>
        <v>58</v>
      </c>
      <c r="CV8" s="2">
        <f>SUM(CV10:CV63)</f>
        <v>44</v>
      </c>
      <c r="CW8" s="2">
        <f>SUM(CW10:CW63)</f>
        <v>63</v>
      </c>
      <c r="CX8" s="2">
        <f>SUM(CX10:CX63)</f>
        <v>65</v>
      </c>
      <c r="CY8" s="2">
        <f>SUM(CY10:CY63)</f>
        <v>0</v>
      </c>
      <c r="CZ8" s="2">
        <f>SUM(CZ10:CZ63)</f>
        <v>2</v>
      </c>
      <c r="DA8" s="2">
        <f>SUM(DA10:DA63)</f>
        <v>607</v>
      </c>
      <c r="DB8" s="2">
        <f>SUM(DB10:DB63)</f>
        <v>624</v>
      </c>
      <c r="DC8" s="2">
        <f>SUM(DC10:DC63)</f>
        <v>1231</v>
      </c>
      <c r="DD8" s="2">
        <f>SUM(DD10:DD63)</f>
        <v>44</v>
      </c>
      <c r="DE8" s="2">
        <f>SUM(DE10:DE63)</f>
        <v>90</v>
      </c>
      <c r="DF8" s="2">
        <f>SUM(DF10:DF63)</f>
        <v>89</v>
      </c>
      <c r="DG8" s="2">
        <f>SUM(DG10:DG63)</f>
        <v>60</v>
      </c>
      <c r="DH8" s="2">
        <f>SUM(DH10:DH63)</f>
        <v>93</v>
      </c>
      <c r="DI8" s="2">
        <f>SUM(DI10:DI63)</f>
        <v>69</v>
      </c>
      <c r="DJ8" s="2">
        <f>SUM(DJ10:DJ63)</f>
        <v>73</v>
      </c>
      <c r="DK8" s="2">
        <f>SUM(DK10:DK63)</f>
        <v>40</v>
      </c>
      <c r="DL8" s="2">
        <f>SUM(DL10:DL63)</f>
        <v>70</v>
      </c>
      <c r="DM8" s="2">
        <f>SUM(DM10:DM63)</f>
        <v>45</v>
      </c>
      <c r="DN8" s="2">
        <f>SUM(DN10:DN63)</f>
        <v>70</v>
      </c>
      <c r="DO8" s="2">
        <f>SUM(DO10:DO63)</f>
        <v>76</v>
      </c>
      <c r="DP8" s="2">
        <f>SUM(DP10:DP63)</f>
        <v>113</v>
      </c>
      <c r="DQ8" s="2">
        <f>SUM(DQ10:DQ63)</f>
        <v>73</v>
      </c>
      <c r="DR8" s="2">
        <f>SUM(DR10:DR63)</f>
        <v>0</v>
      </c>
      <c r="DS8" s="2">
        <f>SUM(DS10:DS63)</f>
        <v>0</v>
      </c>
      <c r="DT8" s="2">
        <f>SUM(DT10:DT63)</f>
        <v>552</v>
      </c>
      <c r="DU8" s="2">
        <f>SUM(DU10:DU63)</f>
        <v>453</v>
      </c>
      <c r="DV8" s="2">
        <f>SUM(DV10:DV63)</f>
        <v>1005</v>
      </c>
      <c r="DW8" s="2">
        <f>SUM(DW10:DW63)</f>
        <v>249</v>
      </c>
      <c r="DX8" s="2">
        <f>SUM(DX10:DX63)</f>
        <v>233</v>
      </c>
      <c r="DY8" s="2">
        <f>SUM(DY10:DY63)</f>
        <v>298</v>
      </c>
      <c r="DZ8" s="2">
        <f>SUM(DZ10:DZ63)</f>
        <v>217</v>
      </c>
      <c r="EA8" s="2">
        <f>SUM(EA10:EA63)</f>
        <v>336</v>
      </c>
      <c r="EB8" s="2">
        <f>SUM(EB10:EB63)</f>
        <v>242</v>
      </c>
      <c r="EC8" s="2">
        <f>SUM(EC10:EC63)</f>
        <v>275</v>
      </c>
      <c r="ED8" s="2">
        <f>SUM(ED10:ED63)</f>
        <v>200</v>
      </c>
      <c r="EE8" s="2">
        <f>SUM(EE10:EE63)</f>
        <v>276</v>
      </c>
      <c r="EF8" s="2">
        <f>SUM(EF10:EF63)</f>
        <v>217</v>
      </c>
      <c r="EG8" s="2">
        <f>SUM(EG10:EG63)</f>
        <v>279</v>
      </c>
      <c r="EH8" s="2">
        <f>SUM(EH10:EH63)</f>
        <v>269</v>
      </c>
      <c r="EI8" s="2">
        <f>SUM(EI10:EI63)</f>
        <v>289</v>
      </c>
      <c r="EJ8" s="2">
        <f>SUM(EJ10:EJ63)</f>
        <v>249</v>
      </c>
      <c r="EK8" s="2">
        <f>SUM(EK10:EK63)</f>
        <v>1</v>
      </c>
      <c r="EL8" s="2">
        <f>SUM(EL10:EL63)</f>
        <v>2</v>
      </c>
      <c r="EM8" s="2">
        <f>SUM(EM10:EM63)</f>
        <v>2003</v>
      </c>
      <c r="EN8" s="2">
        <f>SUM(EN10:EN63)</f>
        <v>1629</v>
      </c>
      <c r="EO8" s="2">
        <f>SUM(EO10:EO63)</f>
        <v>3632</v>
      </c>
      <c r="EP8" s="2">
        <f>SUM(EP10:EP63)</f>
        <v>1068</v>
      </c>
      <c r="EQ8" s="2">
        <f>SUM(EQ10:EQ63)</f>
        <v>993</v>
      </c>
      <c r="ER8" s="2">
        <f>SUM(ER10:ER63)</f>
        <v>1391</v>
      </c>
      <c r="ES8" s="2">
        <f>SUM(ES10:ES63)</f>
        <v>1320</v>
      </c>
      <c r="ET8" s="2">
        <f>SUM(ET10:ET63)</f>
        <v>1295</v>
      </c>
      <c r="EU8" s="2">
        <f>SUM(EU10:EU63)</f>
        <v>1212</v>
      </c>
      <c r="EV8" s="2">
        <f>SUM(EV10:EV63)</f>
        <v>1098</v>
      </c>
      <c r="EW8" s="2">
        <f>SUM(EW10:EW63)</f>
        <v>980</v>
      </c>
      <c r="EX8" s="2">
        <f>SUM(EX10:EX63)</f>
        <v>1105</v>
      </c>
      <c r="EY8" s="2">
        <f>SUM(EY10:EY63)</f>
        <v>1084</v>
      </c>
      <c r="EZ8" s="2">
        <f>SUM(EZ10:EZ63)</f>
        <v>1054</v>
      </c>
      <c r="FA8" s="2">
        <f>SUM(FA10:FA63)</f>
        <v>1112</v>
      </c>
      <c r="FB8" s="2">
        <f>SUM(FB10:FB63)</f>
        <v>990</v>
      </c>
      <c r="FC8" s="2">
        <f>SUM(FC10:FC63)</f>
        <v>1115</v>
      </c>
      <c r="FD8" s="2">
        <f>SUM(FD10:FD63)</f>
        <v>45</v>
      </c>
      <c r="FE8" s="2">
        <f>SUM(FE10:FE63)</f>
        <v>30</v>
      </c>
      <c r="FF8" s="2">
        <f>SUM(FF10:FF63)</f>
        <v>8046</v>
      </c>
      <c r="FG8" s="2">
        <f>SUM(FG10:FG63)</f>
        <v>7846</v>
      </c>
      <c r="FH8" s="2">
        <f>SUM(FH10:FH63)</f>
        <v>15892</v>
      </c>
      <c r="FI8" s="2">
        <f>SUM(FI10:FI63)</f>
        <v>37</v>
      </c>
      <c r="FJ8" s="2">
        <f>SUM(FJ10:FJ63)</f>
        <v>52</v>
      </c>
      <c r="FK8" s="2">
        <f>SUM(FK10:FK63)</f>
        <v>15</v>
      </c>
      <c r="FL8" s="2">
        <f>SUM(FL10:FL63)</f>
        <v>11</v>
      </c>
      <c r="FM8" s="2">
        <f>SUM(FM10:FM63)</f>
        <v>11</v>
      </c>
      <c r="FN8" s="2">
        <f>SUM(FN10:FN63)</f>
        <v>7</v>
      </c>
      <c r="FO8" s="2">
        <f>SUM(FO10:FO63)</f>
        <v>8</v>
      </c>
      <c r="FP8" s="2">
        <f>SUM(FP10:FP63)</f>
        <v>3</v>
      </c>
      <c r="FQ8" s="2">
        <f>SUM(FQ10:FQ63)</f>
        <v>11</v>
      </c>
      <c r="FR8" s="2">
        <f>SUM(FR10:FR63)</f>
        <v>10</v>
      </c>
      <c r="FS8" s="2">
        <f>SUM(FS10:FS63)</f>
        <v>9</v>
      </c>
      <c r="FT8" s="2">
        <f>SUM(FT10:FT63)</f>
        <v>12</v>
      </c>
      <c r="FU8" s="2">
        <f>SUM(FU10:FU63)</f>
        <v>10</v>
      </c>
      <c r="FV8" s="2">
        <f>SUM(FV10:FV63)</f>
        <v>15</v>
      </c>
      <c r="FW8" s="2">
        <f>SUM(FW10:FW63)</f>
        <v>2</v>
      </c>
      <c r="FX8" s="2">
        <f>SUM(FX10:FX63)</f>
        <v>2</v>
      </c>
      <c r="FY8" s="2">
        <f>SUM(FY10:FY63)</f>
        <v>103</v>
      </c>
      <c r="FZ8" s="2">
        <f>SUM(FZ10:FZ63)</f>
        <v>112</v>
      </c>
      <c r="GA8" s="2">
        <f>SUM(GA10:GA63)</f>
        <v>215</v>
      </c>
    </row>
    <row r="9" spans="1:183" x14ac:dyDescent="0.25">
      <c r="A9" s="10" t="s">
        <v>23</v>
      </c>
      <c r="B9" s="10" t="s">
        <v>24</v>
      </c>
      <c r="C9" s="10" t="s">
        <v>25</v>
      </c>
      <c r="D9" s="10" t="s">
        <v>26</v>
      </c>
      <c r="E9" s="10" t="s">
        <v>27</v>
      </c>
      <c r="F9" s="10" t="s">
        <v>28</v>
      </c>
      <c r="G9" s="10" t="s">
        <v>29</v>
      </c>
      <c r="H9" s="10" t="s">
        <v>30</v>
      </c>
      <c r="I9" s="10" t="s">
        <v>31</v>
      </c>
      <c r="J9" s="10" t="s">
        <v>32</v>
      </c>
      <c r="K9" s="10" t="s">
        <v>33</v>
      </c>
      <c r="L9" s="11" t="s">
        <v>34</v>
      </c>
      <c r="M9" s="12" t="s">
        <v>35</v>
      </c>
      <c r="N9" s="12" t="s">
        <v>36</v>
      </c>
      <c r="O9" s="12" t="s">
        <v>37</v>
      </c>
      <c r="P9" s="12" t="s">
        <v>38</v>
      </c>
      <c r="Q9" s="12" t="s">
        <v>39</v>
      </c>
      <c r="R9" s="12" t="s">
        <v>40</v>
      </c>
      <c r="S9" s="12" t="s">
        <v>41</v>
      </c>
      <c r="T9" s="12" t="s">
        <v>42</v>
      </c>
      <c r="U9" s="12" t="s">
        <v>43</v>
      </c>
      <c r="V9" s="12" t="s">
        <v>44</v>
      </c>
      <c r="W9" s="12" t="s">
        <v>45</v>
      </c>
      <c r="X9" s="12" t="s">
        <v>46</v>
      </c>
      <c r="Y9" s="12" t="s">
        <v>47</v>
      </c>
      <c r="Z9" s="12" t="s">
        <v>48</v>
      </c>
      <c r="AA9" s="12" t="s">
        <v>49</v>
      </c>
      <c r="AB9" s="12" t="s">
        <v>50</v>
      </c>
      <c r="AC9" s="12" t="s">
        <v>21</v>
      </c>
      <c r="AD9" s="12" t="s">
        <v>22</v>
      </c>
      <c r="AE9" s="12" t="s">
        <v>20</v>
      </c>
      <c r="AF9" s="12" t="s">
        <v>51</v>
      </c>
      <c r="AG9" s="12" t="s">
        <v>52</v>
      </c>
      <c r="AH9" s="12" t="s">
        <v>53</v>
      </c>
      <c r="AI9" s="12" t="s">
        <v>54</v>
      </c>
      <c r="AJ9" s="12" t="s">
        <v>55</v>
      </c>
      <c r="AK9" s="12" t="s">
        <v>56</v>
      </c>
      <c r="AL9" s="12" t="s">
        <v>57</v>
      </c>
      <c r="AM9" s="12" t="s">
        <v>58</v>
      </c>
      <c r="AN9" s="12" t="s">
        <v>59</v>
      </c>
      <c r="AO9" s="12" t="s">
        <v>60</v>
      </c>
      <c r="AP9" s="12" t="s">
        <v>61</v>
      </c>
      <c r="AQ9" s="12" t="s">
        <v>62</v>
      </c>
      <c r="AR9" s="12" t="s">
        <v>63</v>
      </c>
      <c r="AS9" s="12" t="s">
        <v>64</v>
      </c>
      <c r="AT9" s="12" t="s">
        <v>65</v>
      </c>
      <c r="AU9" s="12" t="s">
        <v>66</v>
      </c>
      <c r="AV9" s="12" t="s">
        <v>21</v>
      </c>
      <c r="AW9" s="12" t="s">
        <v>22</v>
      </c>
      <c r="AX9" s="12" t="s">
        <v>20</v>
      </c>
      <c r="AY9" s="12" t="s">
        <v>67</v>
      </c>
      <c r="AZ9" s="12" t="s">
        <v>68</v>
      </c>
      <c r="BA9" s="12" t="s">
        <v>69</v>
      </c>
      <c r="BB9" s="12" t="s">
        <v>70</v>
      </c>
      <c r="BC9" s="12" t="s">
        <v>71</v>
      </c>
      <c r="BD9" s="12" t="s">
        <v>72</v>
      </c>
      <c r="BE9" s="12" t="s">
        <v>73</v>
      </c>
      <c r="BF9" s="12" t="s">
        <v>74</v>
      </c>
      <c r="BG9" s="12" t="s">
        <v>75</v>
      </c>
      <c r="BH9" s="12" t="s">
        <v>76</v>
      </c>
      <c r="BI9" s="12" t="s">
        <v>77</v>
      </c>
      <c r="BJ9" s="12" t="s">
        <v>78</v>
      </c>
      <c r="BK9" s="12" t="s">
        <v>79</v>
      </c>
      <c r="BL9" s="12" t="s">
        <v>80</v>
      </c>
      <c r="BM9" s="12" t="s">
        <v>81</v>
      </c>
      <c r="BN9" s="12" t="s">
        <v>82</v>
      </c>
      <c r="BO9" s="12" t="s">
        <v>21</v>
      </c>
      <c r="BP9" s="12" t="s">
        <v>22</v>
      </c>
      <c r="BQ9" s="12" t="s">
        <v>20</v>
      </c>
      <c r="BR9" s="12" t="s">
        <v>83</v>
      </c>
      <c r="BS9" s="12" t="s">
        <v>84</v>
      </c>
      <c r="BT9" s="12" t="s">
        <v>85</v>
      </c>
      <c r="BU9" s="12" t="s">
        <v>86</v>
      </c>
      <c r="BV9" s="12" t="s">
        <v>87</v>
      </c>
      <c r="BW9" s="12" t="s">
        <v>88</v>
      </c>
      <c r="BX9" s="12" t="s">
        <v>89</v>
      </c>
      <c r="BY9" s="12" t="s">
        <v>90</v>
      </c>
      <c r="BZ9" s="12" t="s">
        <v>91</v>
      </c>
      <c r="CA9" s="12" t="s">
        <v>92</v>
      </c>
      <c r="CB9" s="12" t="s">
        <v>93</v>
      </c>
      <c r="CC9" s="12" t="s">
        <v>94</v>
      </c>
      <c r="CD9" s="12" t="s">
        <v>95</v>
      </c>
      <c r="CE9" s="12" t="s">
        <v>96</v>
      </c>
      <c r="CF9" s="12" t="s">
        <v>97</v>
      </c>
      <c r="CG9" s="12" t="s">
        <v>98</v>
      </c>
      <c r="CH9" s="12" t="s">
        <v>21</v>
      </c>
      <c r="CI9" s="12" t="s">
        <v>22</v>
      </c>
      <c r="CJ9" s="12" t="s">
        <v>20</v>
      </c>
      <c r="CK9" s="12" t="s">
        <v>99</v>
      </c>
      <c r="CL9" s="12" t="s">
        <v>100</v>
      </c>
      <c r="CM9" s="12" t="s">
        <v>101</v>
      </c>
      <c r="CN9" s="12" t="s">
        <v>102</v>
      </c>
      <c r="CO9" s="12" t="s">
        <v>103</v>
      </c>
      <c r="CP9" s="12" t="s">
        <v>104</v>
      </c>
      <c r="CQ9" s="12" t="s">
        <v>105</v>
      </c>
      <c r="CR9" s="12" t="s">
        <v>106</v>
      </c>
      <c r="CS9" s="12" t="s">
        <v>107</v>
      </c>
      <c r="CT9" s="12" t="s">
        <v>108</v>
      </c>
      <c r="CU9" s="12" t="s">
        <v>109</v>
      </c>
      <c r="CV9" s="12" t="s">
        <v>110</v>
      </c>
      <c r="CW9" s="12" t="s">
        <v>111</v>
      </c>
      <c r="CX9" s="12" t="s">
        <v>112</v>
      </c>
      <c r="CY9" s="12" t="s">
        <v>113</v>
      </c>
      <c r="CZ9" s="12" t="s">
        <v>114</v>
      </c>
      <c r="DA9" s="12" t="s">
        <v>21</v>
      </c>
      <c r="DB9" s="12" t="s">
        <v>22</v>
      </c>
      <c r="DC9" s="12" t="s">
        <v>20</v>
      </c>
      <c r="DD9" s="12" t="s">
        <v>115</v>
      </c>
      <c r="DE9" s="12" t="s">
        <v>116</v>
      </c>
      <c r="DF9" s="12" t="s">
        <v>117</v>
      </c>
      <c r="DG9" s="12" t="s">
        <v>118</v>
      </c>
      <c r="DH9" s="12" t="s">
        <v>119</v>
      </c>
      <c r="DI9" s="12" t="s">
        <v>120</v>
      </c>
      <c r="DJ9" s="12" t="s">
        <v>121</v>
      </c>
      <c r="DK9" s="12" t="s">
        <v>122</v>
      </c>
      <c r="DL9" s="12" t="s">
        <v>123</v>
      </c>
      <c r="DM9" s="12" t="s">
        <v>124</v>
      </c>
      <c r="DN9" s="12" t="s">
        <v>125</v>
      </c>
      <c r="DO9" s="12" t="s">
        <v>126</v>
      </c>
      <c r="DP9" s="12" t="s">
        <v>127</v>
      </c>
      <c r="DQ9" s="12" t="s">
        <v>128</v>
      </c>
      <c r="DR9" s="12" t="s">
        <v>129</v>
      </c>
      <c r="DS9" s="12" t="s">
        <v>130</v>
      </c>
      <c r="DT9" s="12" t="s">
        <v>21</v>
      </c>
      <c r="DU9" s="12" t="s">
        <v>22</v>
      </c>
      <c r="DV9" s="12" t="s">
        <v>20</v>
      </c>
      <c r="DW9" s="12" t="s">
        <v>131</v>
      </c>
      <c r="DX9" s="12" t="s">
        <v>132</v>
      </c>
      <c r="DY9" s="12" t="s">
        <v>133</v>
      </c>
      <c r="DZ9" s="12" t="s">
        <v>134</v>
      </c>
      <c r="EA9" s="12" t="s">
        <v>135</v>
      </c>
      <c r="EB9" s="12" t="s">
        <v>136</v>
      </c>
      <c r="EC9" s="12" t="s">
        <v>137</v>
      </c>
      <c r="ED9" s="12" t="s">
        <v>138</v>
      </c>
      <c r="EE9" s="12" t="s">
        <v>139</v>
      </c>
      <c r="EF9" s="12" t="s">
        <v>140</v>
      </c>
      <c r="EG9" s="12" t="s">
        <v>141</v>
      </c>
      <c r="EH9" s="12" t="s">
        <v>142</v>
      </c>
      <c r="EI9" s="12" t="s">
        <v>143</v>
      </c>
      <c r="EJ9" s="12" t="s">
        <v>144</v>
      </c>
      <c r="EK9" s="12" t="s">
        <v>145</v>
      </c>
      <c r="EL9" s="12" t="s">
        <v>146</v>
      </c>
      <c r="EM9" s="12" t="s">
        <v>21</v>
      </c>
      <c r="EN9" s="12" t="s">
        <v>22</v>
      </c>
      <c r="EO9" s="12" t="s">
        <v>20</v>
      </c>
      <c r="EP9" s="12" t="s">
        <v>147</v>
      </c>
      <c r="EQ9" s="12" t="s">
        <v>148</v>
      </c>
      <c r="ER9" s="12" t="s">
        <v>149</v>
      </c>
      <c r="ES9" s="12" t="s">
        <v>150</v>
      </c>
      <c r="ET9" s="12" t="s">
        <v>151</v>
      </c>
      <c r="EU9" s="12" t="s">
        <v>152</v>
      </c>
      <c r="EV9" s="12" t="s">
        <v>153</v>
      </c>
      <c r="EW9" s="12" t="s">
        <v>154</v>
      </c>
      <c r="EX9" s="12" t="s">
        <v>155</v>
      </c>
      <c r="EY9" s="12" t="s">
        <v>156</v>
      </c>
      <c r="EZ9" s="12" t="s">
        <v>157</v>
      </c>
      <c r="FA9" s="12" t="s">
        <v>158</v>
      </c>
      <c r="FB9" s="12" t="s">
        <v>159</v>
      </c>
      <c r="FC9" s="12" t="s">
        <v>160</v>
      </c>
      <c r="FD9" s="12" t="s">
        <v>161</v>
      </c>
      <c r="FE9" s="12" t="s">
        <v>162</v>
      </c>
      <c r="FF9" s="12" t="s">
        <v>21</v>
      </c>
      <c r="FG9" s="12" t="s">
        <v>22</v>
      </c>
      <c r="FH9" s="12" t="s">
        <v>20</v>
      </c>
      <c r="FI9" s="12" t="s">
        <v>163</v>
      </c>
      <c r="FJ9" s="12" t="s">
        <v>164</v>
      </c>
      <c r="FK9" s="12" t="s">
        <v>165</v>
      </c>
      <c r="FL9" s="12" t="s">
        <v>166</v>
      </c>
      <c r="FM9" s="12" t="s">
        <v>167</v>
      </c>
      <c r="FN9" s="12" t="s">
        <v>168</v>
      </c>
      <c r="FO9" s="12" t="s">
        <v>169</v>
      </c>
      <c r="FP9" s="12" t="s">
        <v>170</v>
      </c>
      <c r="FQ9" s="12" t="s">
        <v>171</v>
      </c>
      <c r="FR9" s="12" t="s">
        <v>172</v>
      </c>
      <c r="FS9" s="12" t="s">
        <v>173</v>
      </c>
      <c r="FT9" s="12" t="s">
        <v>174</v>
      </c>
      <c r="FU9" s="12" t="s">
        <v>175</v>
      </c>
      <c r="FV9" s="12" t="s">
        <v>176</v>
      </c>
      <c r="FW9" s="12" t="s">
        <v>177</v>
      </c>
      <c r="FX9" s="12" t="s">
        <v>178</v>
      </c>
      <c r="FY9" s="12" t="s">
        <v>21</v>
      </c>
      <c r="FZ9" s="12" t="s">
        <v>22</v>
      </c>
      <c r="GA9" s="12" t="s">
        <v>20</v>
      </c>
    </row>
    <row r="10" spans="1:183" x14ac:dyDescent="0.25">
      <c r="A10" t="s">
        <v>179</v>
      </c>
      <c r="B10" t="s">
        <v>185</v>
      </c>
      <c r="C10" t="s">
        <v>186</v>
      </c>
      <c r="D10">
        <v>129374</v>
      </c>
      <c r="E10" t="s">
        <v>187</v>
      </c>
      <c r="F10" t="s">
        <v>188</v>
      </c>
      <c r="G10" t="s">
        <v>189</v>
      </c>
      <c r="H10" t="s">
        <v>190</v>
      </c>
      <c r="I10" t="s">
        <v>180</v>
      </c>
      <c r="J10" t="s">
        <v>191</v>
      </c>
      <c r="K10" t="s">
        <v>181</v>
      </c>
      <c r="L10" s="13" t="s">
        <v>182</v>
      </c>
      <c r="M10">
        <v>36</v>
      </c>
      <c r="N10">
        <v>16</v>
      </c>
      <c r="O10">
        <v>23</v>
      </c>
      <c r="P10">
        <v>38</v>
      </c>
      <c r="Q10">
        <v>29</v>
      </c>
      <c r="R10">
        <v>27</v>
      </c>
      <c r="S10">
        <v>30</v>
      </c>
      <c r="T10">
        <v>25</v>
      </c>
      <c r="U10">
        <v>29</v>
      </c>
      <c r="V10">
        <v>26</v>
      </c>
      <c r="W10">
        <v>26</v>
      </c>
      <c r="X10">
        <v>41</v>
      </c>
      <c r="Y10">
        <v>30</v>
      </c>
      <c r="Z10">
        <v>20</v>
      </c>
      <c r="AA10">
        <v>0</v>
      </c>
      <c r="AB10">
        <v>0</v>
      </c>
      <c r="AC10">
        <f t="shared" ref="AC10:AD63" si="0">M10+O10+Q10+S10+U10+W10+Y10+AA10</f>
        <v>203</v>
      </c>
      <c r="AD10">
        <f t="shared" si="0"/>
        <v>193</v>
      </c>
      <c r="AE10">
        <f t="shared" ref="AE10:AE22" si="1">SUM(AC10:AD10)</f>
        <v>396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f t="shared" ref="AV10:AW63" si="2">AF10+AH10+AJ10+AL10+AN10+AP10+AR10+AT10</f>
        <v>0</v>
      </c>
      <c r="AW10">
        <f t="shared" si="2"/>
        <v>0</v>
      </c>
      <c r="AX10">
        <f t="shared" ref="AX10:AX22" si="3">SUM(AV10:AW10)</f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f t="shared" ref="BO10:BP63" si="4">AY10+BA10+BC10+BE10+BG10+BI10+BK10+BM10</f>
        <v>0</v>
      </c>
      <c r="BP10">
        <f t="shared" si="4"/>
        <v>0</v>
      </c>
      <c r="BQ10">
        <f t="shared" ref="BQ10:BQ22" si="5">SUM(BO10:BP10)</f>
        <v>0</v>
      </c>
      <c r="BR10">
        <v>1</v>
      </c>
      <c r="BS10">
        <v>4</v>
      </c>
      <c r="BT10">
        <v>1</v>
      </c>
      <c r="BU10">
        <v>2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f t="shared" ref="CH10:CI63" si="6">BR10+BT10+BV10+BX10+BZ10+CB10+CD10+CF10</f>
        <v>2</v>
      </c>
      <c r="CI10">
        <f t="shared" si="6"/>
        <v>6</v>
      </c>
      <c r="CJ10">
        <f t="shared" ref="CJ10:CJ22" si="7">SUM(CH10:CI10)</f>
        <v>8</v>
      </c>
      <c r="CK10">
        <v>0</v>
      </c>
      <c r="CL10">
        <v>0</v>
      </c>
      <c r="CM10">
        <v>1</v>
      </c>
      <c r="CN10">
        <v>1</v>
      </c>
      <c r="CO10">
        <v>1</v>
      </c>
      <c r="CP10">
        <v>2</v>
      </c>
      <c r="CQ10">
        <v>1</v>
      </c>
      <c r="CR10">
        <v>3</v>
      </c>
      <c r="CS10">
        <v>1</v>
      </c>
      <c r="CT10">
        <v>2</v>
      </c>
      <c r="CU10">
        <v>1</v>
      </c>
      <c r="CV10">
        <v>2</v>
      </c>
      <c r="CW10">
        <v>3</v>
      </c>
      <c r="CX10">
        <v>2</v>
      </c>
      <c r="CY10">
        <v>0</v>
      </c>
      <c r="CZ10">
        <v>0</v>
      </c>
      <c r="DA10">
        <f t="shared" ref="DA10:DB63" si="8">CK10+CM10+CO10+CQ10+CS10+CU10+CW10+CY10</f>
        <v>8</v>
      </c>
      <c r="DB10">
        <f t="shared" si="8"/>
        <v>12</v>
      </c>
      <c r="DC10">
        <f t="shared" ref="DC10:DC22" si="9">SUM(DA10:DB10)</f>
        <v>20</v>
      </c>
      <c r="DD10">
        <v>2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3</v>
      </c>
      <c r="DM10">
        <v>2</v>
      </c>
      <c r="DN10">
        <v>1</v>
      </c>
      <c r="DO10">
        <v>0</v>
      </c>
      <c r="DP10">
        <v>3</v>
      </c>
      <c r="DQ10">
        <v>3</v>
      </c>
      <c r="DR10">
        <v>0</v>
      </c>
      <c r="DS10">
        <v>0</v>
      </c>
      <c r="DT10">
        <f t="shared" ref="DT10:DU63" si="10">DD10+DF10+DH10+DJ10+DL10+DN10+DP10+DR10</f>
        <v>10</v>
      </c>
      <c r="DU10">
        <f t="shared" si="10"/>
        <v>5</v>
      </c>
      <c r="DV10">
        <f t="shared" ref="DV10:DV22" si="11">SUM(DT10:DU10)</f>
        <v>15</v>
      </c>
      <c r="DW10">
        <v>10</v>
      </c>
      <c r="DX10">
        <v>5</v>
      </c>
      <c r="DY10">
        <v>4</v>
      </c>
      <c r="DZ10">
        <v>6</v>
      </c>
      <c r="EA10">
        <v>1</v>
      </c>
      <c r="EB10">
        <v>2</v>
      </c>
      <c r="EC10">
        <v>2</v>
      </c>
      <c r="ED10">
        <v>3</v>
      </c>
      <c r="EE10">
        <v>8</v>
      </c>
      <c r="EF10">
        <v>5</v>
      </c>
      <c r="EG10">
        <v>5</v>
      </c>
      <c r="EH10">
        <v>3</v>
      </c>
      <c r="EI10">
        <v>6</v>
      </c>
      <c r="EJ10">
        <v>5</v>
      </c>
      <c r="EK10">
        <v>0</v>
      </c>
      <c r="EL10">
        <v>0</v>
      </c>
      <c r="EM10">
        <f t="shared" ref="EM10:EN63" si="12">DW10+DY10+EA10+EC10+EE10+EG10+EI10+EK10</f>
        <v>36</v>
      </c>
      <c r="EN10">
        <f t="shared" si="12"/>
        <v>29</v>
      </c>
      <c r="EO10">
        <f t="shared" ref="EO10:EO22" si="13">SUM(EM10:EN10)</f>
        <v>65</v>
      </c>
      <c r="EP10">
        <v>25</v>
      </c>
      <c r="EQ10">
        <v>15</v>
      </c>
      <c r="ER10">
        <v>20</v>
      </c>
      <c r="ES10">
        <v>35</v>
      </c>
      <c r="ET10">
        <v>27</v>
      </c>
      <c r="EU10">
        <v>27</v>
      </c>
      <c r="EV10">
        <v>29</v>
      </c>
      <c r="EW10">
        <v>25</v>
      </c>
      <c r="EX10">
        <v>10</v>
      </c>
      <c r="EY10">
        <v>18</v>
      </c>
      <c r="EZ10">
        <v>21</v>
      </c>
      <c r="FA10">
        <v>40</v>
      </c>
      <c r="FB10">
        <v>24</v>
      </c>
      <c r="FC10">
        <v>13</v>
      </c>
      <c r="FD10">
        <v>0</v>
      </c>
      <c r="FE10">
        <v>0</v>
      </c>
      <c r="FF10">
        <f t="shared" ref="FF10:FG63" si="14">EP10+ER10+ET10+EV10+EX10+EZ10+FB10+FD10</f>
        <v>156</v>
      </c>
      <c r="FG10">
        <f t="shared" si="14"/>
        <v>173</v>
      </c>
      <c r="FH10">
        <f t="shared" ref="FH10:FH22" si="15">SUM(FF10:FG10)</f>
        <v>329</v>
      </c>
      <c r="FI10">
        <v>0</v>
      </c>
      <c r="FJ10">
        <v>0</v>
      </c>
      <c r="FK10">
        <v>0</v>
      </c>
      <c r="FL10">
        <v>0</v>
      </c>
      <c r="FM10">
        <v>2</v>
      </c>
      <c r="FN10">
        <v>0</v>
      </c>
      <c r="FO10">
        <v>0</v>
      </c>
      <c r="FP10">
        <v>0</v>
      </c>
      <c r="FQ10">
        <v>9</v>
      </c>
      <c r="FR10">
        <v>3</v>
      </c>
      <c r="FS10">
        <v>0</v>
      </c>
      <c r="FT10">
        <v>0</v>
      </c>
      <c r="FU10">
        <v>0</v>
      </c>
      <c r="FV10">
        <v>1</v>
      </c>
      <c r="FW10">
        <v>0</v>
      </c>
      <c r="FX10">
        <v>0</v>
      </c>
      <c r="FY10">
        <f t="shared" ref="FY10:FZ63" si="16">FI10+FK10+FM10+FO10+FQ10+FS10+FU10+FW10</f>
        <v>11</v>
      </c>
      <c r="FZ10">
        <f t="shared" si="16"/>
        <v>4</v>
      </c>
      <c r="GA10">
        <f t="shared" ref="GA10:GA22" si="17">SUM(FY10:FZ10)</f>
        <v>15</v>
      </c>
    </row>
    <row r="11" spans="1:183" x14ac:dyDescent="0.25">
      <c r="A11" t="s">
        <v>179</v>
      </c>
      <c r="B11" t="s">
        <v>185</v>
      </c>
      <c r="C11" t="s">
        <v>186</v>
      </c>
      <c r="D11">
        <v>129375</v>
      </c>
      <c r="E11" t="s">
        <v>192</v>
      </c>
      <c r="F11" t="s">
        <v>193</v>
      </c>
      <c r="G11" t="s">
        <v>189</v>
      </c>
      <c r="H11" t="s">
        <v>190</v>
      </c>
      <c r="I11" t="s">
        <v>180</v>
      </c>
      <c r="J11" t="s">
        <v>191</v>
      </c>
      <c r="K11" t="s">
        <v>181</v>
      </c>
      <c r="L11" s="13" t="s">
        <v>182</v>
      </c>
      <c r="M11">
        <v>10</v>
      </c>
      <c r="N11">
        <v>8</v>
      </c>
      <c r="O11">
        <v>7</v>
      </c>
      <c r="P11">
        <v>20</v>
      </c>
      <c r="Q11">
        <v>11</v>
      </c>
      <c r="R11">
        <v>15</v>
      </c>
      <c r="S11">
        <v>7</v>
      </c>
      <c r="T11">
        <v>12</v>
      </c>
      <c r="U11">
        <v>10</v>
      </c>
      <c r="V11">
        <v>10</v>
      </c>
      <c r="W11">
        <v>7</v>
      </c>
      <c r="X11">
        <v>16</v>
      </c>
      <c r="Y11">
        <v>9</v>
      </c>
      <c r="Z11">
        <v>6</v>
      </c>
      <c r="AA11">
        <v>0</v>
      </c>
      <c r="AB11">
        <v>0</v>
      </c>
      <c r="AC11">
        <f t="shared" si="0"/>
        <v>61</v>
      </c>
      <c r="AD11">
        <f t="shared" si="0"/>
        <v>87</v>
      </c>
      <c r="AE11">
        <f t="shared" si="1"/>
        <v>148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f t="shared" si="2"/>
        <v>0</v>
      </c>
      <c r="AW11">
        <f t="shared" si="2"/>
        <v>0</v>
      </c>
      <c r="AX11">
        <f t="shared" si="3"/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f t="shared" si="4"/>
        <v>0</v>
      </c>
      <c r="BP11">
        <f t="shared" si="4"/>
        <v>0</v>
      </c>
      <c r="BQ11">
        <f t="shared" si="5"/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f t="shared" si="6"/>
        <v>0</v>
      </c>
      <c r="CI11">
        <f t="shared" si="6"/>
        <v>0</v>
      </c>
      <c r="CJ11">
        <f t="shared" si="7"/>
        <v>0</v>
      </c>
      <c r="CK11">
        <v>1</v>
      </c>
      <c r="CL11">
        <v>1</v>
      </c>
      <c r="CM11">
        <v>0</v>
      </c>
      <c r="CN11">
        <v>1</v>
      </c>
      <c r="CO11">
        <v>3</v>
      </c>
      <c r="CP11">
        <v>0</v>
      </c>
      <c r="CQ11">
        <v>7</v>
      </c>
      <c r="CR11">
        <v>0</v>
      </c>
      <c r="CS11">
        <v>3</v>
      </c>
      <c r="CT11">
        <v>0</v>
      </c>
      <c r="CU11">
        <v>4</v>
      </c>
      <c r="CV11">
        <v>1</v>
      </c>
      <c r="CW11">
        <v>1</v>
      </c>
      <c r="CX11">
        <v>2</v>
      </c>
      <c r="CY11">
        <v>0</v>
      </c>
      <c r="CZ11">
        <v>0</v>
      </c>
      <c r="DA11">
        <f t="shared" si="8"/>
        <v>19</v>
      </c>
      <c r="DB11">
        <f t="shared" si="8"/>
        <v>5</v>
      </c>
      <c r="DC11">
        <f t="shared" si="9"/>
        <v>24</v>
      </c>
      <c r="DD11">
        <v>1</v>
      </c>
      <c r="DE11">
        <v>0</v>
      </c>
      <c r="DF11">
        <v>0</v>
      </c>
      <c r="DG11">
        <v>2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0</v>
      </c>
      <c r="DT11">
        <f t="shared" si="10"/>
        <v>4</v>
      </c>
      <c r="DU11">
        <f t="shared" si="10"/>
        <v>4</v>
      </c>
      <c r="DV11">
        <f t="shared" si="11"/>
        <v>8</v>
      </c>
      <c r="DW11">
        <v>3</v>
      </c>
      <c r="DX11">
        <v>5</v>
      </c>
      <c r="DY11">
        <v>2</v>
      </c>
      <c r="DZ11">
        <v>4</v>
      </c>
      <c r="EA11">
        <v>2</v>
      </c>
      <c r="EB11">
        <v>2</v>
      </c>
      <c r="EC11">
        <v>6</v>
      </c>
      <c r="ED11">
        <v>6</v>
      </c>
      <c r="EE11">
        <v>3</v>
      </c>
      <c r="EF11">
        <v>4</v>
      </c>
      <c r="EG11">
        <v>3</v>
      </c>
      <c r="EH11">
        <v>1</v>
      </c>
      <c r="EI11">
        <v>1</v>
      </c>
      <c r="EJ11">
        <v>3</v>
      </c>
      <c r="EK11">
        <v>0</v>
      </c>
      <c r="EL11">
        <v>0</v>
      </c>
      <c r="EM11">
        <f t="shared" si="12"/>
        <v>20</v>
      </c>
      <c r="EN11">
        <f t="shared" si="12"/>
        <v>25</v>
      </c>
      <c r="EO11">
        <f t="shared" si="13"/>
        <v>45</v>
      </c>
      <c r="EP11">
        <v>7</v>
      </c>
      <c r="EQ11">
        <v>4</v>
      </c>
      <c r="ER11">
        <v>5</v>
      </c>
      <c r="ES11">
        <v>15</v>
      </c>
      <c r="ET11">
        <v>12</v>
      </c>
      <c r="EU11">
        <v>13</v>
      </c>
      <c r="EV11">
        <v>7</v>
      </c>
      <c r="EW11">
        <v>6</v>
      </c>
      <c r="EX11">
        <v>10</v>
      </c>
      <c r="EY11">
        <v>6</v>
      </c>
      <c r="EZ11">
        <v>7</v>
      </c>
      <c r="FA11">
        <v>15</v>
      </c>
      <c r="FB11">
        <v>8</v>
      </c>
      <c r="FC11">
        <v>4</v>
      </c>
      <c r="FD11">
        <v>0</v>
      </c>
      <c r="FE11">
        <v>0</v>
      </c>
      <c r="FF11">
        <f t="shared" si="14"/>
        <v>56</v>
      </c>
      <c r="FG11">
        <f t="shared" si="14"/>
        <v>63</v>
      </c>
      <c r="FH11">
        <f t="shared" si="15"/>
        <v>119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f t="shared" si="16"/>
        <v>0</v>
      </c>
      <c r="FZ11">
        <f t="shared" si="16"/>
        <v>0</v>
      </c>
      <c r="GA11">
        <f t="shared" si="17"/>
        <v>0</v>
      </c>
    </row>
    <row r="12" spans="1:183" x14ac:dyDescent="0.25">
      <c r="A12" t="s">
        <v>179</v>
      </c>
      <c r="B12" t="s">
        <v>185</v>
      </c>
      <c r="C12" t="s">
        <v>186</v>
      </c>
      <c r="D12">
        <v>129376</v>
      </c>
      <c r="E12" t="s">
        <v>194</v>
      </c>
      <c r="F12" t="s">
        <v>195</v>
      </c>
      <c r="G12" t="s">
        <v>189</v>
      </c>
      <c r="H12" t="s">
        <v>190</v>
      </c>
      <c r="I12" t="s">
        <v>180</v>
      </c>
      <c r="J12" t="s">
        <v>196</v>
      </c>
      <c r="K12" t="s">
        <v>181</v>
      </c>
      <c r="L12" s="13" t="s">
        <v>182</v>
      </c>
      <c r="M12">
        <v>21</v>
      </c>
      <c r="N12">
        <v>8</v>
      </c>
      <c r="O12">
        <v>32</v>
      </c>
      <c r="P12">
        <v>13</v>
      </c>
      <c r="Q12">
        <v>17</v>
      </c>
      <c r="R12">
        <v>22</v>
      </c>
      <c r="S12">
        <v>16</v>
      </c>
      <c r="T12">
        <v>15</v>
      </c>
      <c r="U12">
        <v>9</v>
      </c>
      <c r="V12">
        <v>9</v>
      </c>
      <c r="W12">
        <v>11</v>
      </c>
      <c r="X12">
        <v>11</v>
      </c>
      <c r="Y12">
        <v>9</v>
      </c>
      <c r="Z12">
        <v>15</v>
      </c>
      <c r="AA12">
        <v>0</v>
      </c>
      <c r="AB12">
        <v>0</v>
      </c>
      <c r="AC12">
        <f t="shared" si="0"/>
        <v>115</v>
      </c>
      <c r="AD12">
        <f t="shared" si="0"/>
        <v>93</v>
      </c>
      <c r="AE12">
        <f t="shared" si="1"/>
        <v>208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f t="shared" si="2"/>
        <v>0</v>
      </c>
      <c r="AW12">
        <f t="shared" si="2"/>
        <v>0</v>
      </c>
      <c r="AX12">
        <f t="shared" si="3"/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f t="shared" si="4"/>
        <v>0</v>
      </c>
      <c r="BP12">
        <f t="shared" si="4"/>
        <v>1</v>
      </c>
      <c r="BQ12">
        <f t="shared" si="5"/>
        <v>1</v>
      </c>
      <c r="BR12">
        <v>2</v>
      </c>
      <c r="BS12">
        <v>0</v>
      </c>
      <c r="BT12">
        <v>3</v>
      </c>
      <c r="BU12">
        <v>2</v>
      </c>
      <c r="BV12">
        <v>0</v>
      </c>
      <c r="BW12">
        <v>0</v>
      </c>
      <c r="BX12">
        <v>0</v>
      </c>
      <c r="BY12">
        <v>1</v>
      </c>
      <c r="BZ12">
        <v>1</v>
      </c>
      <c r="CA12">
        <v>1</v>
      </c>
      <c r="CB12">
        <v>0</v>
      </c>
      <c r="CC12">
        <v>1</v>
      </c>
      <c r="CD12">
        <v>1</v>
      </c>
      <c r="CE12">
        <v>0</v>
      </c>
      <c r="CF12">
        <v>0</v>
      </c>
      <c r="CG12">
        <v>0</v>
      </c>
      <c r="CH12">
        <f t="shared" si="6"/>
        <v>7</v>
      </c>
      <c r="CI12">
        <f t="shared" si="6"/>
        <v>5</v>
      </c>
      <c r="CJ12">
        <f t="shared" si="7"/>
        <v>12</v>
      </c>
      <c r="CK12">
        <v>4</v>
      </c>
      <c r="CL12">
        <v>0</v>
      </c>
      <c r="CM12">
        <v>3</v>
      </c>
      <c r="CN12">
        <v>1</v>
      </c>
      <c r="CO12">
        <v>1</v>
      </c>
      <c r="CP12">
        <v>1</v>
      </c>
      <c r="CQ12">
        <v>0</v>
      </c>
      <c r="CR12">
        <v>3</v>
      </c>
      <c r="CS12">
        <v>4</v>
      </c>
      <c r="CT12">
        <v>2</v>
      </c>
      <c r="CU12">
        <v>1</v>
      </c>
      <c r="CV12">
        <v>1</v>
      </c>
      <c r="CW12">
        <v>1</v>
      </c>
      <c r="CX12">
        <v>1</v>
      </c>
      <c r="CY12">
        <v>0</v>
      </c>
      <c r="CZ12">
        <v>0</v>
      </c>
      <c r="DA12">
        <f t="shared" si="8"/>
        <v>14</v>
      </c>
      <c r="DB12">
        <f t="shared" si="8"/>
        <v>9</v>
      </c>
      <c r="DC12">
        <f t="shared" si="9"/>
        <v>23</v>
      </c>
      <c r="DD12">
        <v>0</v>
      </c>
      <c r="DE12">
        <v>0</v>
      </c>
      <c r="DF12">
        <v>1</v>
      </c>
      <c r="DG12">
        <v>2</v>
      </c>
      <c r="DH12">
        <v>2</v>
      </c>
      <c r="DI12">
        <v>2</v>
      </c>
      <c r="DJ12">
        <v>0</v>
      </c>
      <c r="DK12">
        <v>2</v>
      </c>
      <c r="DL12">
        <v>2</v>
      </c>
      <c r="DM12">
        <v>1</v>
      </c>
      <c r="DN12">
        <v>1</v>
      </c>
      <c r="DO12">
        <v>2</v>
      </c>
      <c r="DP12">
        <v>2</v>
      </c>
      <c r="DQ12">
        <v>1</v>
      </c>
      <c r="DR12">
        <v>0</v>
      </c>
      <c r="DS12">
        <v>0</v>
      </c>
      <c r="DT12">
        <f t="shared" si="10"/>
        <v>8</v>
      </c>
      <c r="DU12">
        <f t="shared" si="10"/>
        <v>10</v>
      </c>
      <c r="DV12">
        <f t="shared" si="11"/>
        <v>18</v>
      </c>
      <c r="DW12">
        <v>7</v>
      </c>
      <c r="DX12">
        <v>0</v>
      </c>
      <c r="DY12">
        <v>7</v>
      </c>
      <c r="DZ12">
        <v>5</v>
      </c>
      <c r="EA12">
        <v>6</v>
      </c>
      <c r="EB12">
        <v>9</v>
      </c>
      <c r="EC12">
        <v>4</v>
      </c>
      <c r="ED12">
        <v>5</v>
      </c>
      <c r="EE12">
        <v>3</v>
      </c>
      <c r="EF12">
        <v>2</v>
      </c>
      <c r="EG12">
        <v>4</v>
      </c>
      <c r="EH12">
        <v>3</v>
      </c>
      <c r="EI12">
        <v>3</v>
      </c>
      <c r="EJ12">
        <v>2</v>
      </c>
      <c r="EK12">
        <v>0</v>
      </c>
      <c r="EL12">
        <v>0</v>
      </c>
      <c r="EM12">
        <f t="shared" si="12"/>
        <v>34</v>
      </c>
      <c r="EN12">
        <f t="shared" si="12"/>
        <v>26</v>
      </c>
      <c r="EO12">
        <f t="shared" si="13"/>
        <v>60</v>
      </c>
      <c r="EP12">
        <v>19</v>
      </c>
      <c r="EQ12">
        <v>8</v>
      </c>
      <c r="ER12">
        <v>28</v>
      </c>
      <c r="ES12">
        <v>7</v>
      </c>
      <c r="ET12">
        <v>10</v>
      </c>
      <c r="EU12">
        <v>12</v>
      </c>
      <c r="EV12">
        <v>12</v>
      </c>
      <c r="EW12">
        <v>12</v>
      </c>
      <c r="EX12">
        <v>9</v>
      </c>
      <c r="EY12">
        <v>9</v>
      </c>
      <c r="EZ12">
        <v>7</v>
      </c>
      <c r="FA12">
        <v>8</v>
      </c>
      <c r="FB12">
        <v>6</v>
      </c>
      <c r="FC12">
        <v>14</v>
      </c>
      <c r="FD12">
        <v>0</v>
      </c>
      <c r="FE12">
        <v>0</v>
      </c>
      <c r="FF12">
        <f t="shared" si="14"/>
        <v>91</v>
      </c>
      <c r="FG12">
        <f t="shared" si="14"/>
        <v>70</v>
      </c>
      <c r="FH12">
        <f t="shared" si="15"/>
        <v>161</v>
      </c>
      <c r="FI12">
        <v>1</v>
      </c>
      <c r="FJ12">
        <v>0</v>
      </c>
      <c r="FK12">
        <v>2</v>
      </c>
      <c r="FL12">
        <v>2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f t="shared" si="16"/>
        <v>3</v>
      </c>
      <c r="FZ12">
        <f t="shared" si="16"/>
        <v>2</v>
      </c>
      <c r="GA12">
        <f t="shared" si="17"/>
        <v>5</v>
      </c>
    </row>
    <row r="13" spans="1:183" x14ac:dyDescent="0.25">
      <c r="A13" t="s">
        <v>179</v>
      </c>
      <c r="B13" t="s">
        <v>185</v>
      </c>
      <c r="C13" t="s">
        <v>186</v>
      </c>
      <c r="D13">
        <v>129377</v>
      </c>
      <c r="E13" t="s">
        <v>197</v>
      </c>
      <c r="F13" t="s">
        <v>198</v>
      </c>
      <c r="G13" t="s">
        <v>189</v>
      </c>
      <c r="H13" t="s">
        <v>190</v>
      </c>
      <c r="I13" t="s">
        <v>180</v>
      </c>
      <c r="J13" t="s">
        <v>199</v>
      </c>
      <c r="K13" t="s">
        <v>181</v>
      </c>
      <c r="L13" s="13" t="s">
        <v>182</v>
      </c>
      <c r="M13">
        <v>24</v>
      </c>
      <c r="N13">
        <v>24</v>
      </c>
      <c r="O13">
        <v>23</v>
      </c>
      <c r="P13">
        <v>23</v>
      </c>
      <c r="Q13">
        <v>20</v>
      </c>
      <c r="R13">
        <v>26</v>
      </c>
      <c r="S13">
        <v>20</v>
      </c>
      <c r="T13">
        <v>23</v>
      </c>
      <c r="U13">
        <v>28</v>
      </c>
      <c r="V13">
        <v>22</v>
      </c>
      <c r="W13">
        <v>27</v>
      </c>
      <c r="X13">
        <v>25</v>
      </c>
      <c r="Y13">
        <v>32</v>
      </c>
      <c r="Z13">
        <v>31</v>
      </c>
      <c r="AA13">
        <v>0</v>
      </c>
      <c r="AB13">
        <v>0</v>
      </c>
      <c r="AC13">
        <f t="shared" si="0"/>
        <v>174</v>
      </c>
      <c r="AD13">
        <f t="shared" si="0"/>
        <v>174</v>
      </c>
      <c r="AE13">
        <f t="shared" si="1"/>
        <v>348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f t="shared" si="2"/>
        <v>0</v>
      </c>
      <c r="AW13">
        <f t="shared" si="2"/>
        <v>0</v>
      </c>
      <c r="AX13">
        <f t="shared" si="3"/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f t="shared" si="4"/>
        <v>0</v>
      </c>
      <c r="BP13">
        <f t="shared" si="4"/>
        <v>0</v>
      </c>
      <c r="BQ13">
        <f t="shared" si="5"/>
        <v>0</v>
      </c>
      <c r="BR13">
        <v>0</v>
      </c>
      <c r="BS13">
        <v>0</v>
      </c>
      <c r="BT13">
        <v>2</v>
      </c>
      <c r="BU13">
        <v>3</v>
      </c>
      <c r="BV13">
        <v>2</v>
      </c>
      <c r="BW13">
        <v>2</v>
      </c>
      <c r="BX13">
        <v>1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f t="shared" si="6"/>
        <v>5</v>
      </c>
      <c r="CI13">
        <f t="shared" si="6"/>
        <v>6</v>
      </c>
      <c r="CJ13">
        <f t="shared" si="7"/>
        <v>11</v>
      </c>
      <c r="CK13">
        <v>0</v>
      </c>
      <c r="CL13">
        <v>0</v>
      </c>
      <c r="CM13">
        <v>0</v>
      </c>
      <c r="CN13">
        <v>0</v>
      </c>
      <c r="CO13">
        <v>2</v>
      </c>
      <c r="CP13">
        <v>2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f t="shared" si="8"/>
        <v>2</v>
      </c>
      <c r="DB13">
        <f t="shared" si="8"/>
        <v>2</v>
      </c>
      <c r="DC13">
        <f t="shared" si="9"/>
        <v>4</v>
      </c>
      <c r="DD13">
        <v>2</v>
      </c>
      <c r="DE13">
        <v>2</v>
      </c>
      <c r="DF13">
        <v>1</v>
      </c>
      <c r="DG13">
        <v>3</v>
      </c>
      <c r="DH13">
        <v>2</v>
      </c>
      <c r="DI13">
        <v>4</v>
      </c>
      <c r="DJ13">
        <v>1</v>
      </c>
      <c r="DK13">
        <v>2</v>
      </c>
      <c r="DL13">
        <v>4</v>
      </c>
      <c r="DM13">
        <v>1</v>
      </c>
      <c r="DN13">
        <v>4</v>
      </c>
      <c r="DO13">
        <v>4</v>
      </c>
      <c r="DP13">
        <v>6</v>
      </c>
      <c r="DQ13">
        <v>2</v>
      </c>
      <c r="DR13">
        <v>0</v>
      </c>
      <c r="DS13">
        <v>0</v>
      </c>
      <c r="DT13">
        <f t="shared" si="10"/>
        <v>20</v>
      </c>
      <c r="DU13">
        <f t="shared" si="10"/>
        <v>18</v>
      </c>
      <c r="DV13">
        <f t="shared" si="11"/>
        <v>38</v>
      </c>
      <c r="DW13">
        <v>1</v>
      </c>
      <c r="DX13">
        <v>3</v>
      </c>
      <c r="DY13">
        <v>1</v>
      </c>
      <c r="DZ13">
        <v>0</v>
      </c>
      <c r="EA13">
        <v>2</v>
      </c>
      <c r="EB13">
        <v>2</v>
      </c>
      <c r="EC13">
        <v>0</v>
      </c>
      <c r="ED13">
        <v>2</v>
      </c>
      <c r="EE13">
        <v>2</v>
      </c>
      <c r="EF13">
        <v>1</v>
      </c>
      <c r="EG13">
        <v>2</v>
      </c>
      <c r="EH13">
        <v>2</v>
      </c>
      <c r="EI13">
        <v>6</v>
      </c>
      <c r="EJ13">
        <v>2</v>
      </c>
      <c r="EK13">
        <v>0</v>
      </c>
      <c r="EL13">
        <v>0</v>
      </c>
      <c r="EM13">
        <f t="shared" si="12"/>
        <v>14</v>
      </c>
      <c r="EN13">
        <f t="shared" si="12"/>
        <v>12</v>
      </c>
      <c r="EO13">
        <f t="shared" si="13"/>
        <v>26</v>
      </c>
      <c r="EP13">
        <v>21</v>
      </c>
      <c r="EQ13">
        <v>19</v>
      </c>
      <c r="ER13">
        <v>23</v>
      </c>
      <c r="ES13">
        <v>23</v>
      </c>
      <c r="ET13">
        <v>20</v>
      </c>
      <c r="EU13">
        <v>24</v>
      </c>
      <c r="EV13">
        <v>20</v>
      </c>
      <c r="EW13">
        <v>20</v>
      </c>
      <c r="EX13">
        <v>22</v>
      </c>
      <c r="EY13">
        <v>20</v>
      </c>
      <c r="EZ13">
        <v>21</v>
      </c>
      <c r="FA13">
        <v>19</v>
      </c>
      <c r="FB13">
        <v>20</v>
      </c>
      <c r="FC13">
        <v>27</v>
      </c>
      <c r="FD13">
        <v>0</v>
      </c>
      <c r="FE13">
        <v>0</v>
      </c>
      <c r="FF13">
        <f t="shared" si="14"/>
        <v>147</v>
      </c>
      <c r="FG13">
        <f t="shared" si="14"/>
        <v>152</v>
      </c>
      <c r="FH13">
        <f t="shared" si="15"/>
        <v>299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f t="shared" si="16"/>
        <v>0</v>
      </c>
      <c r="FZ13">
        <f t="shared" si="16"/>
        <v>0</v>
      </c>
      <c r="GA13">
        <f t="shared" si="17"/>
        <v>0</v>
      </c>
    </row>
    <row r="14" spans="1:183" x14ac:dyDescent="0.25">
      <c r="A14" t="s">
        <v>179</v>
      </c>
      <c r="B14" t="s">
        <v>185</v>
      </c>
      <c r="C14" t="s">
        <v>186</v>
      </c>
      <c r="D14">
        <v>129380</v>
      </c>
      <c r="E14" t="s">
        <v>200</v>
      </c>
      <c r="F14" t="s">
        <v>201</v>
      </c>
      <c r="G14" t="s">
        <v>189</v>
      </c>
      <c r="H14" t="s">
        <v>190</v>
      </c>
      <c r="I14" t="s">
        <v>180</v>
      </c>
      <c r="J14" t="s">
        <v>196</v>
      </c>
      <c r="K14" t="s">
        <v>181</v>
      </c>
      <c r="L14" s="13" t="s">
        <v>182</v>
      </c>
      <c r="M14">
        <v>74</v>
      </c>
      <c r="N14">
        <v>65</v>
      </c>
      <c r="O14">
        <v>95</v>
      </c>
      <c r="P14">
        <v>88</v>
      </c>
      <c r="Q14">
        <v>76</v>
      </c>
      <c r="R14">
        <v>93</v>
      </c>
      <c r="S14">
        <v>84</v>
      </c>
      <c r="T14">
        <v>53</v>
      </c>
      <c r="U14">
        <v>76</v>
      </c>
      <c r="V14">
        <v>88</v>
      </c>
      <c r="W14">
        <v>85</v>
      </c>
      <c r="X14">
        <v>75</v>
      </c>
      <c r="Y14">
        <v>90</v>
      </c>
      <c r="Z14">
        <v>96</v>
      </c>
      <c r="AA14">
        <v>0</v>
      </c>
      <c r="AB14">
        <v>0</v>
      </c>
      <c r="AC14">
        <f t="shared" si="0"/>
        <v>580</v>
      </c>
      <c r="AD14">
        <f t="shared" si="0"/>
        <v>558</v>
      </c>
      <c r="AE14">
        <f t="shared" si="1"/>
        <v>1138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11</v>
      </c>
      <c r="AQ14">
        <v>7</v>
      </c>
      <c r="AR14">
        <v>1</v>
      </c>
      <c r="AS14">
        <v>2</v>
      </c>
      <c r="AT14">
        <v>0</v>
      </c>
      <c r="AU14">
        <v>0</v>
      </c>
      <c r="AV14">
        <f t="shared" si="2"/>
        <v>12</v>
      </c>
      <c r="AW14">
        <f t="shared" si="2"/>
        <v>9</v>
      </c>
      <c r="AX14">
        <f t="shared" si="3"/>
        <v>21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</v>
      </c>
      <c r="BK14">
        <v>3</v>
      </c>
      <c r="BL14">
        <v>4</v>
      </c>
      <c r="BM14">
        <v>0</v>
      </c>
      <c r="BN14">
        <v>0</v>
      </c>
      <c r="BO14">
        <f t="shared" si="4"/>
        <v>3</v>
      </c>
      <c r="BP14">
        <f t="shared" si="4"/>
        <v>6</v>
      </c>
      <c r="BQ14">
        <f t="shared" si="5"/>
        <v>9</v>
      </c>
      <c r="BR14">
        <v>3</v>
      </c>
      <c r="BS14">
        <v>2</v>
      </c>
      <c r="BT14">
        <v>5</v>
      </c>
      <c r="BU14">
        <v>2</v>
      </c>
      <c r="BV14">
        <v>5</v>
      </c>
      <c r="BW14">
        <v>3</v>
      </c>
      <c r="BX14">
        <v>7</v>
      </c>
      <c r="BY14">
        <v>4</v>
      </c>
      <c r="BZ14">
        <v>4</v>
      </c>
      <c r="CA14">
        <v>3</v>
      </c>
      <c r="CB14">
        <v>2</v>
      </c>
      <c r="CC14">
        <v>3</v>
      </c>
      <c r="CD14">
        <v>2</v>
      </c>
      <c r="CE14">
        <v>4</v>
      </c>
      <c r="CF14">
        <v>0</v>
      </c>
      <c r="CG14">
        <v>0</v>
      </c>
      <c r="CH14">
        <f t="shared" si="6"/>
        <v>28</v>
      </c>
      <c r="CI14">
        <f t="shared" si="6"/>
        <v>21</v>
      </c>
      <c r="CJ14">
        <f t="shared" si="7"/>
        <v>49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1</v>
      </c>
      <c r="CQ14">
        <v>4</v>
      </c>
      <c r="CR14">
        <v>4</v>
      </c>
      <c r="CS14">
        <v>3</v>
      </c>
      <c r="CT14">
        <v>2</v>
      </c>
      <c r="CU14">
        <v>2</v>
      </c>
      <c r="CV14">
        <v>1</v>
      </c>
      <c r="CW14">
        <v>2</v>
      </c>
      <c r="CX14">
        <v>3</v>
      </c>
      <c r="CY14">
        <v>0</v>
      </c>
      <c r="CZ14">
        <v>0</v>
      </c>
      <c r="DA14">
        <f t="shared" si="8"/>
        <v>13</v>
      </c>
      <c r="DB14">
        <f t="shared" si="8"/>
        <v>13</v>
      </c>
      <c r="DC14">
        <f t="shared" si="9"/>
        <v>26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2</v>
      </c>
      <c r="DQ14">
        <v>4</v>
      </c>
      <c r="DR14">
        <v>0</v>
      </c>
      <c r="DS14">
        <v>0</v>
      </c>
      <c r="DT14">
        <f t="shared" si="10"/>
        <v>2</v>
      </c>
      <c r="DU14">
        <f t="shared" si="10"/>
        <v>4</v>
      </c>
      <c r="DV14">
        <f t="shared" si="11"/>
        <v>6</v>
      </c>
      <c r="DW14">
        <v>2</v>
      </c>
      <c r="DX14">
        <v>2</v>
      </c>
      <c r="DY14">
        <v>3</v>
      </c>
      <c r="DZ14">
        <v>2</v>
      </c>
      <c r="EA14">
        <v>1</v>
      </c>
      <c r="EB14">
        <v>3</v>
      </c>
      <c r="EC14">
        <v>4</v>
      </c>
      <c r="ED14">
        <v>3</v>
      </c>
      <c r="EE14">
        <v>3</v>
      </c>
      <c r="EF14">
        <v>3</v>
      </c>
      <c r="EG14">
        <v>4</v>
      </c>
      <c r="EH14">
        <v>2</v>
      </c>
      <c r="EI14">
        <v>4</v>
      </c>
      <c r="EJ14">
        <v>4</v>
      </c>
      <c r="EK14">
        <v>0</v>
      </c>
      <c r="EL14">
        <v>0</v>
      </c>
      <c r="EM14">
        <f t="shared" si="12"/>
        <v>21</v>
      </c>
      <c r="EN14">
        <f t="shared" si="12"/>
        <v>19</v>
      </c>
      <c r="EO14">
        <f t="shared" si="13"/>
        <v>40</v>
      </c>
      <c r="EP14">
        <v>74</v>
      </c>
      <c r="EQ14">
        <v>65</v>
      </c>
      <c r="ER14">
        <v>97</v>
      </c>
      <c r="ES14">
        <v>90</v>
      </c>
      <c r="ET14">
        <v>80</v>
      </c>
      <c r="EU14">
        <v>94</v>
      </c>
      <c r="EV14">
        <v>89</v>
      </c>
      <c r="EW14">
        <v>58</v>
      </c>
      <c r="EX14">
        <v>80</v>
      </c>
      <c r="EY14">
        <v>90</v>
      </c>
      <c r="EZ14">
        <v>96</v>
      </c>
      <c r="FA14">
        <v>85</v>
      </c>
      <c r="FB14">
        <v>92</v>
      </c>
      <c r="FC14">
        <v>99</v>
      </c>
      <c r="FD14">
        <v>0</v>
      </c>
      <c r="FE14">
        <v>0</v>
      </c>
      <c r="FF14">
        <f t="shared" si="14"/>
        <v>608</v>
      </c>
      <c r="FG14">
        <f t="shared" si="14"/>
        <v>581</v>
      </c>
      <c r="FH14">
        <f t="shared" si="15"/>
        <v>1189</v>
      </c>
      <c r="FI14">
        <v>2</v>
      </c>
      <c r="FJ14">
        <v>1</v>
      </c>
      <c r="FK14">
        <v>0</v>
      </c>
      <c r="FL14">
        <v>1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2</v>
      </c>
      <c r="FU14">
        <v>0</v>
      </c>
      <c r="FV14">
        <v>0</v>
      </c>
      <c r="FW14">
        <v>0</v>
      </c>
      <c r="FX14">
        <v>0</v>
      </c>
      <c r="FY14">
        <f t="shared" si="16"/>
        <v>3</v>
      </c>
      <c r="FZ14">
        <f t="shared" si="16"/>
        <v>4</v>
      </c>
      <c r="GA14">
        <f t="shared" si="17"/>
        <v>7</v>
      </c>
    </row>
    <row r="15" spans="1:183" x14ac:dyDescent="0.25">
      <c r="A15" t="s">
        <v>179</v>
      </c>
      <c r="B15" t="s">
        <v>185</v>
      </c>
      <c r="C15" t="s">
        <v>186</v>
      </c>
      <c r="D15">
        <v>129381</v>
      </c>
      <c r="E15" t="s">
        <v>202</v>
      </c>
      <c r="F15" t="s">
        <v>203</v>
      </c>
      <c r="G15" t="s">
        <v>189</v>
      </c>
      <c r="H15" t="s">
        <v>190</v>
      </c>
      <c r="I15" t="s">
        <v>180</v>
      </c>
      <c r="J15" t="s">
        <v>196</v>
      </c>
      <c r="K15" t="s">
        <v>181</v>
      </c>
      <c r="L15" s="13" t="s">
        <v>182</v>
      </c>
      <c r="M15">
        <v>67</v>
      </c>
      <c r="N15">
        <v>79</v>
      </c>
      <c r="O15">
        <v>60</v>
      </c>
      <c r="P15">
        <v>69</v>
      </c>
      <c r="Q15">
        <v>84</v>
      </c>
      <c r="R15">
        <v>73</v>
      </c>
      <c r="S15">
        <v>68</v>
      </c>
      <c r="T15">
        <v>60</v>
      </c>
      <c r="U15">
        <v>71</v>
      </c>
      <c r="V15">
        <v>78</v>
      </c>
      <c r="W15">
        <v>85</v>
      </c>
      <c r="X15">
        <v>87</v>
      </c>
      <c r="Y15">
        <v>93</v>
      </c>
      <c r="Z15">
        <v>92</v>
      </c>
      <c r="AA15">
        <v>0</v>
      </c>
      <c r="AB15">
        <v>0</v>
      </c>
      <c r="AC15">
        <f t="shared" si="0"/>
        <v>528</v>
      </c>
      <c r="AD15">
        <f t="shared" si="0"/>
        <v>538</v>
      </c>
      <c r="AE15">
        <f t="shared" si="1"/>
        <v>1066</v>
      </c>
      <c r="AF15">
        <v>0</v>
      </c>
      <c r="AG15">
        <v>0</v>
      </c>
      <c r="AH15">
        <v>2</v>
      </c>
      <c r="AI15">
        <v>0</v>
      </c>
      <c r="AJ15">
        <v>4</v>
      </c>
      <c r="AK15">
        <v>0</v>
      </c>
      <c r="AL15">
        <v>0</v>
      </c>
      <c r="AM15">
        <v>0</v>
      </c>
      <c r="AN15">
        <v>3</v>
      </c>
      <c r="AO15">
        <v>1</v>
      </c>
      <c r="AP15">
        <v>2</v>
      </c>
      <c r="AQ15">
        <v>0</v>
      </c>
      <c r="AR15">
        <v>1</v>
      </c>
      <c r="AS15">
        <v>0</v>
      </c>
      <c r="AT15">
        <v>0</v>
      </c>
      <c r="AU15">
        <v>0</v>
      </c>
      <c r="AV15">
        <f t="shared" si="2"/>
        <v>12</v>
      </c>
      <c r="AW15">
        <f t="shared" si="2"/>
        <v>1</v>
      </c>
      <c r="AX15">
        <f t="shared" si="3"/>
        <v>13</v>
      </c>
      <c r="AY15">
        <v>2</v>
      </c>
      <c r="AZ15">
        <v>2</v>
      </c>
      <c r="BA15">
        <v>6</v>
      </c>
      <c r="BB15">
        <v>2</v>
      </c>
      <c r="BC15">
        <v>2</v>
      </c>
      <c r="BD15">
        <v>4</v>
      </c>
      <c r="BE15">
        <v>2</v>
      </c>
      <c r="BF15">
        <v>3</v>
      </c>
      <c r="BG15">
        <v>5</v>
      </c>
      <c r="BH15">
        <v>3</v>
      </c>
      <c r="BI15">
        <v>7</v>
      </c>
      <c r="BJ15">
        <v>1</v>
      </c>
      <c r="BK15">
        <v>5</v>
      </c>
      <c r="BL15">
        <v>2</v>
      </c>
      <c r="BM15">
        <v>0</v>
      </c>
      <c r="BN15">
        <v>0</v>
      </c>
      <c r="BO15">
        <f t="shared" si="4"/>
        <v>29</v>
      </c>
      <c r="BP15">
        <f t="shared" si="4"/>
        <v>17</v>
      </c>
      <c r="BQ15">
        <f t="shared" si="5"/>
        <v>46</v>
      </c>
      <c r="BR15">
        <v>2</v>
      </c>
      <c r="BS15">
        <v>0</v>
      </c>
      <c r="BT15">
        <v>3</v>
      </c>
      <c r="BU15">
        <v>2</v>
      </c>
      <c r="BV15">
        <v>2</v>
      </c>
      <c r="BW15">
        <v>0</v>
      </c>
      <c r="BX15">
        <v>1</v>
      </c>
      <c r="BY15">
        <v>0</v>
      </c>
      <c r="BZ15">
        <v>2</v>
      </c>
      <c r="CA15">
        <v>0</v>
      </c>
      <c r="CB15">
        <v>3</v>
      </c>
      <c r="CC15">
        <v>2</v>
      </c>
      <c r="CD15">
        <v>3</v>
      </c>
      <c r="CE15">
        <v>1</v>
      </c>
      <c r="CF15">
        <v>0</v>
      </c>
      <c r="CG15">
        <v>0</v>
      </c>
      <c r="CH15">
        <f t="shared" si="6"/>
        <v>16</v>
      </c>
      <c r="CI15">
        <f t="shared" si="6"/>
        <v>5</v>
      </c>
      <c r="CJ15">
        <f t="shared" si="7"/>
        <v>21</v>
      </c>
      <c r="CK15">
        <v>6</v>
      </c>
      <c r="CL15">
        <v>7</v>
      </c>
      <c r="CM15">
        <v>6</v>
      </c>
      <c r="CN15">
        <v>2</v>
      </c>
      <c r="CO15">
        <v>7</v>
      </c>
      <c r="CP15">
        <v>4</v>
      </c>
      <c r="CQ15">
        <v>1</v>
      </c>
      <c r="CR15">
        <v>5</v>
      </c>
      <c r="CS15">
        <v>4</v>
      </c>
      <c r="CT15">
        <v>5</v>
      </c>
      <c r="CU15">
        <v>2</v>
      </c>
      <c r="CV15">
        <v>2</v>
      </c>
      <c r="CW15">
        <v>2</v>
      </c>
      <c r="CX15">
        <v>1</v>
      </c>
      <c r="CY15">
        <v>0</v>
      </c>
      <c r="CZ15">
        <v>0</v>
      </c>
      <c r="DA15">
        <f t="shared" si="8"/>
        <v>28</v>
      </c>
      <c r="DB15">
        <f t="shared" si="8"/>
        <v>26</v>
      </c>
      <c r="DC15">
        <f t="shared" si="9"/>
        <v>54</v>
      </c>
      <c r="DD15">
        <v>3</v>
      </c>
      <c r="DE15">
        <v>2</v>
      </c>
      <c r="DF15">
        <v>6</v>
      </c>
      <c r="DG15">
        <v>1</v>
      </c>
      <c r="DH15">
        <v>2</v>
      </c>
      <c r="DI15">
        <v>2</v>
      </c>
      <c r="DJ15">
        <v>0</v>
      </c>
      <c r="DK15">
        <v>1</v>
      </c>
      <c r="DL15">
        <v>7</v>
      </c>
      <c r="DM15">
        <v>5</v>
      </c>
      <c r="DN15">
        <v>4</v>
      </c>
      <c r="DO15">
        <v>6</v>
      </c>
      <c r="DP15">
        <v>3</v>
      </c>
      <c r="DQ15">
        <v>3</v>
      </c>
      <c r="DR15">
        <v>0</v>
      </c>
      <c r="DS15">
        <v>0</v>
      </c>
      <c r="DT15">
        <f t="shared" si="10"/>
        <v>25</v>
      </c>
      <c r="DU15">
        <f t="shared" si="10"/>
        <v>20</v>
      </c>
      <c r="DV15">
        <f t="shared" si="11"/>
        <v>45</v>
      </c>
      <c r="DW15">
        <v>17</v>
      </c>
      <c r="DX15">
        <v>14</v>
      </c>
      <c r="DY15">
        <v>11</v>
      </c>
      <c r="DZ15">
        <v>11</v>
      </c>
      <c r="EA15">
        <v>15</v>
      </c>
      <c r="EB15">
        <v>13</v>
      </c>
      <c r="EC15">
        <v>16</v>
      </c>
      <c r="ED15">
        <v>13</v>
      </c>
      <c r="EE15">
        <v>17</v>
      </c>
      <c r="EF15">
        <v>14</v>
      </c>
      <c r="EG15">
        <v>19</v>
      </c>
      <c r="EH15">
        <v>15</v>
      </c>
      <c r="EI15">
        <v>22</v>
      </c>
      <c r="EJ15">
        <v>12</v>
      </c>
      <c r="EK15">
        <v>0</v>
      </c>
      <c r="EL15">
        <v>0</v>
      </c>
      <c r="EM15">
        <f t="shared" si="12"/>
        <v>117</v>
      </c>
      <c r="EN15">
        <f t="shared" si="12"/>
        <v>92</v>
      </c>
      <c r="EO15">
        <f t="shared" si="13"/>
        <v>209</v>
      </c>
      <c r="EP15">
        <v>55</v>
      </c>
      <c r="EQ15">
        <v>69</v>
      </c>
      <c r="ER15">
        <v>63</v>
      </c>
      <c r="ES15">
        <v>63</v>
      </c>
      <c r="ET15">
        <v>80</v>
      </c>
      <c r="EU15">
        <v>64</v>
      </c>
      <c r="EV15">
        <v>56</v>
      </c>
      <c r="EW15">
        <v>54</v>
      </c>
      <c r="EX15">
        <v>61</v>
      </c>
      <c r="EY15">
        <v>76</v>
      </c>
      <c r="EZ15">
        <v>76</v>
      </c>
      <c r="FA15">
        <v>71</v>
      </c>
      <c r="FB15">
        <v>79</v>
      </c>
      <c r="FC15">
        <v>80</v>
      </c>
      <c r="FD15">
        <v>0</v>
      </c>
      <c r="FE15">
        <v>0</v>
      </c>
      <c r="FF15">
        <f t="shared" si="14"/>
        <v>470</v>
      </c>
      <c r="FG15">
        <f t="shared" si="14"/>
        <v>477</v>
      </c>
      <c r="FH15">
        <f t="shared" si="15"/>
        <v>947</v>
      </c>
      <c r="FI15">
        <v>2</v>
      </c>
      <c r="FJ15">
        <v>2</v>
      </c>
      <c r="FK15">
        <v>0</v>
      </c>
      <c r="FL15">
        <v>0</v>
      </c>
      <c r="FM15">
        <v>2</v>
      </c>
      <c r="FN15">
        <v>2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f t="shared" si="16"/>
        <v>4</v>
      </c>
      <c r="FZ15">
        <f t="shared" si="16"/>
        <v>4</v>
      </c>
      <c r="GA15">
        <f t="shared" si="17"/>
        <v>8</v>
      </c>
    </row>
    <row r="16" spans="1:183" x14ac:dyDescent="0.25">
      <c r="A16" t="s">
        <v>179</v>
      </c>
      <c r="B16" t="s">
        <v>185</v>
      </c>
      <c r="C16" t="s">
        <v>186</v>
      </c>
      <c r="D16">
        <v>129382</v>
      </c>
      <c r="E16" t="s">
        <v>204</v>
      </c>
      <c r="F16" t="s">
        <v>205</v>
      </c>
      <c r="G16" t="s">
        <v>189</v>
      </c>
      <c r="H16" t="s">
        <v>190</v>
      </c>
      <c r="I16" t="s">
        <v>180</v>
      </c>
      <c r="J16" t="s">
        <v>196</v>
      </c>
      <c r="K16" t="s">
        <v>181</v>
      </c>
      <c r="L16" s="13" t="s">
        <v>182</v>
      </c>
      <c r="M16">
        <v>161</v>
      </c>
      <c r="N16">
        <v>164</v>
      </c>
      <c r="O16">
        <v>134</v>
      </c>
      <c r="P16">
        <v>123</v>
      </c>
      <c r="Q16">
        <v>149</v>
      </c>
      <c r="R16">
        <v>105</v>
      </c>
      <c r="S16">
        <v>95</v>
      </c>
      <c r="T16">
        <v>92</v>
      </c>
      <c r="U16">
        <v>119</v>
      </c>
      <c r="V16">
        <v>96</v>
      </c>
      <c r="W16">
        <v>107</v>
      </c>
      <c r="X16">
        <v>140</v>
      </c>
      <c r="Y16">
        <v>91</v>
      </c>
      <c r="Z16">
        <v>113</v>
      </c>
      <c r="AA16">
        <v>0</v>
      </c>
      <c r="AB16">
        <v>0</v>
      </c>
      <c r="AC16">
        <f t="shared" si="0"/>
        <v>856</v>
      </c>
      <c r="AD16">
        <f t="shared" si="0"/>
        <v>833</v>
      </c>
      <c r="AE16">
        <f t="shared" si="1"/>
        <v>1689</v>
      </c>
      <c r="AF16">
        <v>0</v>
      </c>
      <c r="AG16">
        <v>2</v>
      </c>
      <c r="AH16">
        <v>0</v>
      </c>
      <c r="AI16">
        <v>0</v>
      </c>
      <c r="AJ16">
        <v>0</v>
      </c>
      <c r="AK16">
        <v>1</v>
      </c>
      <c r="AL16">
        <v>2</v>
      </c>
      <c r="AM16">
        <v>2</v>
      </c>
      <c r="AN16">
        <v>0</v>
      </c>
      <c r="AO16">
        <v>0</v>
      </c>
      <c r="AP16">
        <v>0</v>
      </c>
      <c r="AQ16">
        <v>1</v>
      </c>
      <c r="AR16">
        <v>3</v>
      </c>
      <c r="AS16">
        <v>0</v>
      </c>
      <c r="AT16">
        <v>0</v>
      </c>
      <c r="AU16">
        <v>0</v>
      </c>
      <c r="AV16">
        <f t="shared" si="2"/>
        <v>5</v>
      </c>
      <c r="AW16">
        <f t="shared" si="2"/>
        <v>6</v>
      </c>
      <c r="AX16">
        <f t="shared" si="3"/>
        <v>11</v>
      </c>
      <c r="AY16">
        <v>1</v>
      </c>
      <c r="AZ16">
        <v>3</v>
      </c>
      <c r="BA16">
        <v>2</v>
      </c>
      <c r="BB16">
        <v>1</v>
      </c>
      <c r="BC16">
        <v>1</v>
      </c>
      <c r="BD16">
        <v>3</v>
      </c>
      <c r="BE16">
        <v>6</v>
      </c>
      <c r="BF16">
        <v>3</v>
      </c>
      <c r="BG16">
        <v>3</v>
      </c>
      <c r="BH16">
        <v>2</v>
      </c>
      <c r="BI16">
        <v>9</v>
      </c>
      <c r="BJ16">
        <v>6</v>
      </c>
      <c r="BK16">
        <v>4</v>
      </c>
      <c r="BL16">
        <v>2</v>
      </c>
      <c r="BM16">
        <v>0</v>
      </c>
      <c r="BN16">
        <v>0</v>
      </c>
      <c r="BO16">
        <f t="shared" si="4"/>
        <v>26</v>
      </c>
      <c r="BP16">
        <f t="shared" si="4"/>
        <v>20</v>
      </c>
      <c r="BQ16">
        <f t="shared" si="5"/>
        <v>46</v>
      </c>
      <c r="BR16">
        <v>0</v>
      </c>
      <c r="BS16">
        <v>0</v>
      </c>
      <c r="BT16">
        <v>13</v>
      </c>
      <c r="BU16">
        <v>9</v>
      </c>
      <c r="BV16">
        <v>17</v>
      </c>
      <c r="BW16">
        <v>4</v>
      </c>
      <c r="BX16">
        <v>5</v>
      </c>
      <c r="BY16">
        <v>6</v>
      </c>
      <c r="BZ16">
        <v>7</v>
      </c>
      <c r="CA16">
        <v>7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f t="shared" si="6"/>
        <v>42</v>
      </c>
      <c r="CI16">
        <f t="shared" si="6"/>
        <v>26</v>
      </c>
      <c r="CJ16">
        <f t="shared" si="7"/>
        <v>68</v>
      </c>
      <c r="CK16">
        <v>0</v>
      </c>
      <c r="CL16">
        <v>0</v>
      </c>
      <c r="CM16">
        <v>11</v>
      </c>
      <c r="CN16">
        <v>19</v>
      </c>
      <c r="CO16">
        <v>14</v>
      </c>
      <c r="CP16">
        <v>15</v>
      </c>
      <c r="CQ16">
        <v>13</v>
      </c>
      <c r="CR16">
        <v>6</v>
      </c>
      <c r="CS16">
        <v>7</v>
      </c>
      <c r="CT16">
        <v>9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f t="shared" si="8"/>
        <v>45</v>
      </c>
      <c r="DB16">
        <f t="shared" si="8"/>
        <v>49</v>
      </c>
      <c r="DC16">
        <f t="shared" si="9"/>
        <v>94</v>
      </c>
      <c r="DD16">
        <v>6</v>
      </c>
      <c r="DE16">
        <v>6</v>
      </c>
      <c r="DF16">
        <v>5</v>
      </c>
      <c r="DG16">
        <v>6</v>
      </c>
      <c r="DH16">
        <v>6</v>
      </c>
      <c r="DI16">
        <v>5</v>
      </c>
      <c r="DJ16">
        <v>14</v>
      </c>
      <c r="DK16">
        <v>2</v>
      </c>
      <c r="DL16">
        <v>5</v>
      </c>
      <c r="DM16">
        <v>2</v>
      </c>
      <c r="DN16">
        <v>9</v>
      </c>
      <c r="DO16">
        <v>7</v>
      </c>
      <c r="DP16">
        <v>8</v>
      </c>
      <c r="DQ16">
        <v>6</v>
      </c>
      <c r="DR16">
        <v>0</v>
      </c>
      <c r="DS16">
        <v>0</v>
      </c>
      <c r="DT16">
        <f t="shared" si="10"/>
        <v>53</v>
      </c>
      <c r="DU16">
        <f t="shared" si="10"/>
        <v>34</v>
      </c>
      <c r="DV16">
        <f t="shared" si="11"/>
        <v>87</v>
      </c>
      <c r="DW16">
        <v>27</v>
      </c>
      <c r="DX16">
        <v>33</v>
      </c>
      <c r="DY16">
        <v>20</v>
      </c>
      <c r="DZ16">
        <v>18</v>
      </c>
      <c r="EA16">
        <v>32</v>
      </c>
      <c r="EB16">
        <v>23</v>
      </c>
      <c r="EC16">
        <v>23</v>
      </c>
      <c r="ED16">
        <v>24</v>
      </c>
      <c r="EE16">
        <v>15</v>
      </c>
      <c r="EF16">
        <v>17</v>
      </c>
      <c r="EG16">
        <v>36</v>
      </c>
      <c r="EH16">
        <v>44</v>
      </c>
      <c r="EI16">
        <v>21</v>
      </c>
      <c r="EJ16">
        <v>20</v>
      </c>
      <c r="EK16">
        <v>0</v>
      </c>
      <c r="EL16">
        <v>0</v>
      </c>
      <c r="EM16">
        <f t="shared" si="12"/>
        <v>174</v>
      </c>
      <c r="EN16">
        <f t="shared" si="12"/>
        <v>179</v>
      </c>
      <c r="EO16">
        <f t="shared" si="13"/>
        <v>353</v>
      </c>
      <c r="EP16">
        <v>126</v>
      </c>
      <c r="EQ16">
        <v>127</v>
      </c>
      <c r="ER16">
        <v>132</v>
      </c>
      <c r="ES16">
        <v>126</v>
      </c>
      <c r="ET16">
        <v>140</v>
      </c>
      <c r="EU16">
        <v>100</v>
      </c>
      <c r="EV16">
        <v>83</v>
      </c>
      <c r="EW16">
        <v>82</v>
      </c>
      <c r="EX16">
        <v>116</v>
      </c>
      <c r="EY16">
        <v>95</v>
      </c>
      <c r="EZ16">
        <v>71</v>
      </c>
      <c r="FA16">
        <v>96</v>
      </c>
      <c r="FB16">
        <v>69</v>
      </c>
      <c r="FC16">
        <v>88</v>
      </c>
      <c r="FD16">
        <v>0</v>
      </c>
      <c r="FE16">
        <v>0</v>
      </c>
      <c r="FF16">
        <f t="shared" si="14"/>
        <v>737</v>
      </c>
      <c r="FG16">
        <f t="shared" si="14"/>
        <v>714</v>
      </c>
      <c r="FH16">
        <f t="shared" si="15"/>
        <v>1451</v>
      </c>
      <c r="FI16">
        <v>1</v>
      </c>
      <c r="FJ16">
        <v>3</v>
      </c>
      <c r="FK16">
        <v>3</v>
      </c>
      <c r="FL16">
        <v>2</v>
      </c>
      <c r="FM16">
        <v>3</v>
      </c>
      <c r="FN16">
        <v>0</v>
      </c>
      <c r="FO16">
        <v>1</v>
      </c>
      <c r="FP16">
        <v>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f t="shared" si="16"/>
        <v>8</v>
      </c>
      <c r="FZ16">
        <f t="shared" si="16"/>
        <v>7</v>
      </c>
      <c r="GA16">
        <f t="shared" si="17"/>
        <v>15</v>
      </c>
    </row>
    <row r="17" spans="1:183" x14ac:dyDescent="0.25">
      <c r="A17" t="s">
        <v>179</v>
      </c>
      <c r="B17" t="s">
        <v>185</v>
      </c>
      <c r="C17" t="s">
        <v>186</v>
      </c>
      <c r="D17">
        <v>129383</v>
      </c>
      <c r="E17" t="s">
        <v>206</v>
      </c>
      <c r="F17" t="s">
        <v>207</v>
      </c>
      <c r="G17" t="s">
        <v>189</v>
      </c>
      <c r="H17" t="s">
        <v>190</v>
      </c>
      <c r="I17" t="s">
        <v>180</v>
      </c>
      <c r="J17" t="s">
        <v>196</v>
      </c>
      <c r="K17" t="s">
        <v>181</v>
      </c>
      <c r="L17" s="13" t="s">
        <v>182</v>
      </c>
      <c r="M17">
        <v>77</v>
      </c>
      <c r="N17">
        <v>54</v>
      </c>
      <c r="O17">
        <v>71</v>
      </c>
      <c r="P17">
        <v>54</v>
      </c>
      <c r="Q17">
        <v>57</v>
      </c>
      <c r="R17">
        <v>53</v>
      </c>
      <c r="S17">
        <v>51</v>
      </c>
      <c r="T17">
        <v>37</v>
      </c>
      <c r="U17">
        <v>66</v>
      </c>
      <c r="V17">
        <v>68</v>
      </c>
      <c r="W17">
        <v>76</v>
      </c>
      <c r="X17">
        <v>68</v>
      </c>
      <c r="Y17">
        <v>63</v>
      </c>
      <c r="Z17">
        <v>66</v>
      </c>
      <c r="AA17">
        <v>0</v>
      </c>
      <c r="AB17">
        <v>0</v>
      </c>
      <c r="AC17">
        <f t="shared" si="0"/>
        <v>461</v>
      </c>
      <c r="AD17">
        <f t="shared" si="0"/>
        <v>400</v>
      </c>
      <c r="AE17">
        <f t="shared" si="1"/>
        <v>861</v>
      </c>
      <c r="AF17">
        <v>0</v>
      </c>
      <c r="AG17">
        <v>0</v>
      </c>
      <c r="AH17">
        <v>0</v>
      </c>
      <c r="AI17">
        <v>0</v>
      </c>
      <c r="AJ17">
        <v>2</v>
      </c>
      <c r="AK17">
        <v>2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f t="shared" si="2"/>
        <v>3</v>
      </c>
      <c r="AW17">
        <f t="shared" si="2"/>
        <v>3</v>
      </c>
      <c r="AX17">
        <f t="shared" si="3"/>
        <v>6</v>
      </c>
      <c r="AY17">
        <v>0</v>
      </c>
      <c r="AZ17">
        <v>0</v>
      </c>
      <c r="BA17">
        <v>2</v>
      </c>
      <c r="BB17">
        <v>0</v>
      </c>
      <c r="BC17">
        <v>2</v>
      </c>
      <c r="BD17">
        <v>4</v>
      </c>
      <c r="BE17">
        <v>4</v>
      </c>
      <c r="BF17">
        <v>1</v>
      </c>
      <c r="BG17">
        <v>2</v>
      </c>
      <c r="BH17">
        <v>2</v>
      </c>
      <c r="BI17">
        <v>0</v>
      </c>
      <c r="BJ17">
        <v>0</v>
      </c>
      <c r="BK17">
        <v>4</v>
      </c>
      <c r="BL17">
        <v>5</v>
      </c>
      <c r="BM17">
        <v>0</v>
      </c>
      <c r="BN17">
        <v>0</v>
      </c>
      <c r="BO17">
        <f t="shared" si="4"/>
        <v>14</v>
      </c>
      <c r="BP17">
        <f t="shared" si="4"/>
        <v>12</v>
      </c>
      <c r="BQ17">
        <f t="shared" si="5"/>
        <v>26</v>
      </c>
      <c r="BR17">
        <v>0</v>
      </c>
      <c r="BS17">
        <v>0</v>
      </c>
      <c r="BT17">
        <v>1</v>
      </c>
      <c r="BU17">
        <v>3</v>
      </c>
      <c r="BV17">
        <v>2</v>
      </c>
      <c r="BW17">
        <v>0</v>
      </c>
      <c r="BX17">
        <v>1</v>
      </c>
      <c r="BY17">
        <v>1</v>
      </c>
      <c r="BZ17">
        <v>5</v>
      </c>
      <c r="CA17">
        <v>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f t="shared" si="6"/>
        <v>9</v>
      </c>
      <c r="CI17">
        <f t="shared" si="6"/>
        <v>9</v>
      </c>
      <c r="CJ17">
        <f t="shared" si="7"/>
        <v>18</v>
      </c>
      <c r="CK17">
        <v>4</v>
      </c>
      <c r="CL17">
        <v>4</v>
      </c>
      <c r="CM17">
        <v>7</v>
      </c>
      <c r="CN17">
        <v>4</v>
      </c>
      <c r="CO17">
        <v>2</v>
      </c>
      <c r="CP17">
        <v>1</v>
      </c>
      <c r="CQ17">
        <v>3</v>
      </c>
      <c r="CR17">
        <v>5</v>
      </c>
      <c r="CS17">
        <v>0</v>
      </c>
      <c r="CT17">
        <v>7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f t="shared" si="8"/>
        <v>16</v>
      </c>
      <c r="DB17">
        <f t="shared" si="8"/>
        <v>21</v>
      </c>
      <c r="DC17">
        <f t="shared" si="9"/>
        <v>37</v>
      </c>
      <c r="DD17">
        <v>0</v>
      </c>
      <c r="DE17">
        <v>0</v>
      </c>
      <c r="DF17">
        <v>12</v>
      </c>
      <c r="DG17">
        <v>7</v>
      </c>
      <c r="DH17">
        <v>7</v>
      </c>
      <c r="DI17">
        <v>6</v>
      </c>
      <c r="DJ17">
        <v>3</v>
      </c>
      <c r="DK17">
        <v>0</v>
      </c>
      <c r="DL17">
        <v>4</v>
      </c>
      <c r="DM17">
        <v>9</v>
      </c>
      <c r="DN17">
        <v>6</v>
      </c>
      <c r="DO17">
        <v>4</v>
      </c>
      <c r="DP17">
        <v>23</v>
      </c>
      <c r="DQ17">
        <v>13</v>
      </c>
      <c r="DR17">
        <v>0</v>
      </c>
      <c r="DS17">
        <v>0</v>
      </c>
      <c r="DT17">
        <f t="shared" si="10"/>
        <v>55</v>
      </c>
      <c r="DU17">
        <f t="shared" si="10"/>
        <v>39</v>
      </c>
      <c r="DV17">
        <f t="shared" si="11"/>
        <v>94</v>
      </c>
      <c r="DW17">
        <v>11</v>
      </c>
      <c r="DX17">
        <v>3</v>
      </c>
      <c r="DY17">
        <v>12</v>
      </c>
      <c r="DZ17">
        <v>9</v>
      </c>
      <c r="EA17">
        <v>12</v>
      </c>
      <c r="EB17">
        <v>23</v>
      </c>
      <c r="EC17">
        <v>8</v>
      </c>
      <c r="ED17">
        <v>10</v>
      </c>
      <c r="EE17">
        <v>18</v>
      </c>
      <c r="EF17">
        <v>14</v>
      </c>
      <c r="EG17">
        <v>14</v>
      </c>
      <c r="EH17">
        <v>10</v>
      </c>
      <c r="EI17">
        <v>23</v>
      </c>
      <c r="EJ17">
        <v>26</v>
      </c>
      <c r="EK17">
        <v>0</v>
      </c>
      <c r="EL17">
        <v>0</v>
      </c>
      <c r="EM17">
        <f t="shared" si="12"/>
        <v>98</v>
      </c>
      <c r="EN17">
        <f t="shared" si="12"/>
        <v>95</v>
      </c>
      <c r="EO17">
        <f t="shared" si="13"/>
        <v>193</v>
      </c>
      <c r="EP17">
        <v>70</v>
      </c>
      <c r="EQ17">
        <v>55</v>
      </c>
      <c r="ER17">
        <v>55</v>
      </c>
      <c r="ES17">
        <v>45</v>
      </c>
      <c r="ET17">
        <v>41</v>
      </c>
      <c r="EU17">
        <v>31</v>
      </c>
      <c r="EV17">
        <v>49</v>
      </c>
      <c r="EW17">
        <v>35</v>
      </c>
      <c r="EX17">
        <v>55</v>
      </c>
      <c r="EY17">
        <v>53</v>
      </c>
      <c r="EZ17">
        <v>56</v>
      </c>
      <c r="FA17">
        <v>54</v>
      </c>
      <c r="FB17">
        <v>21</v>
      </c>
      <c r="FC17">
        <v>32</v>
      </c>
      <c r="FD17">
        <v>0</v>
      </c>
      <c r="FE17">
        <v>0</v>
      </c>
      <c r="FF17">
        <f t="shared" si="14"/>
        <v>347</v>
      </c>
      <c r="FG17">
        <f t="shared" si="14"/>
        <v>305</v>
      </c>
      <c r="FH17">
        <f t="shared" si="15"/>
        <v>652</v>
      </c>
      <c r="FI17">
        <v>0</v>
      </c>
      <c r="FJ17">
        <v>0</v>
      </c>
      <c r="FK17">
        <v>2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f t="shared" si="16"/>
        <v>2</v>
      </c>
      <c r="FZ17">
        <f t="shared" si="16"/>
        <v>0</v>
      </c>
      <c r="GA17">
        <f t="shared" si="17"/>
        <v>2</v>
      </c>
    </row>
    <row r="18" spans="1:183" x14ac:dyDescent="0.25">
      <c r="A18" t="s">
        <v>179</v>
      </c>
      <c r="B18" t="s">
        <v>185</v>
      </c>
      <c r="C18" t="s">
        <v>186</v>
      </c>
      <c r="D18">
        <v>129384</v>
      </c>
      <c r="E18" t="s">
        <v>208</v>
      </c>
      <c r="F18" t="s">
        <v>209</v>
      </c>
      <c r="G18" t="s">
        <v>189</v>
      </c>
      <c r="H18" t="s">
        <v>190</v>
      </c>
      <c r="I18" t="s">
        <v>180</v>
      </c>
      <c r="J18" t="s">
        <v>196</v>
      </c>
      <c r="K18" t="s">
        <v>181</v>
      </c>
      <c r="L18" s="13" t="s">
        <v>182</v>
      </c>
      <c r="M18">
        <v>8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4</v>
      </c>
      <c r="T18">
        <v>8</v>
      </c>
      <c r="U18">
        <v>5</v>
      </c>
      <c r="V18">
        <v>6</v>
      </c>
      <c r="W18">
        <v>3</v>
      </c>
      <c r="X18">
        <v>12</v>
      </c>
      <c r="Y18">
        <v>12</v>
      </c>
      <c r="Z18">
        <v>7</v>
      </c>
      <c r="AA18">
        <v>0</v>
      </c>
      <c r="AB18">
        <v>0</v>
      </c>
      <c r="AC18">
        <f t="shared" si="0"/>
        <v>52</v>
      </c>
      <c r="AD18">
        <f t="shared" si="0"/>
        <v>63</v>
      </c>
      <c r="AE18">
        <f t="shared" si="1"/>
        <v>115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f t="shared" si="2"/>
        <v>0</v>
      </c>
      <c r="AW18">
        <f t="shared" si="2"/>
        <v>0</v>
      </c>
      <c r="AX18">
        <f t="shared" si="3"/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f t="shared" si="4"/>
        <v>0</v>
      </c>
      <c r="BP18">
        <f t="shared" si="4"/>
        <v>0</v>
      </c>
      <c r="BQ18">
        <f t="shared" si="5"/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f t="shared" si="6"/>
        <v>0</v>
      </c>
      <c r="CI18">
        <f t="shared" si="6"/>
        <v>0</v>
      </c>
      <c r="CJ18">
        <f t="shared" si="7"/>
        <v>0</v>
      </c>
      <c r="CK18">
        <v>0</v>
      </c>
      <c r="CL18">
        <v>0</v>
      </c>
      <c r="CM18">
        <v>1</v>
      </c>
      <c r="CN18">
        <v>0</v>
      </c>
      <c r="CO18">
        <v>1</v>
      </c>
      <c r="CP18">
        <v>1</v>
      </c>
      <c r="CQ18">
        <v>1</v>
      </c>
      <c r="CR18">
        <v>1</v>
      </c>
      <c r="CS18">
        <v>3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f t="shared" si="8"/>
        <v>6</v>
      </c>
      <c r="DB18">
        <f t="shared" si="8"/>
        <v>3</v>
      </c>
      <c r="DC18">
        <f t="shared" si="9"/>
        <v>9</v>
      </c>
      <c r="DD18">
        <v>0</v>
      </c>
      <c r="DE18">
        <v>0</v>
      </c>
      <c r="DF18">
        <v>1</v>
      </c>
      <c r="DG18">
        <v>1</v>
      </c>
      <c r="DH18">
        <v>1</v>
      </c>
      <c r="DI18">
        <v>3</v>
      </c>
      <c r="DJ18">
        <v>0</v>
      </c>
      <c r="DK18">
        <v>0</v>
      </c>
      <c r="DL18">
        <v>0</v>
      </c>
      <c r="DM18">
        <v>1</v>
      </c>
      <c r="DN18">
        <v>0</v>
      </c>
      <c r="DO18">
        <v>3</v>
      </c>
      <c r="DP18">
        <v>2</v>
      </c>
      <c r="DQ18">
        <v>0</v>
      </c>
      <c r="DR18">
        <v>0</v>
      </c>
      <c r="DS18">
        <v>0</v>
      </c>
      <c r="DT18">
        <f t="shared" si="10"/>
        <v>4</v>
      </c>
      <c r="DU18">
        <f t="shared" si="10"/>
        <v>8</v>
      </c>
      <c r="DV18">
        <f t="shared" si="11"/>
        <v>12</v>
      </c>
      <c r="DW18">
        <v>0</v>
      </c>
      <c r="DX18">
        <v>0</v>
      </c>
      <c r="DY18">
        <v>3</v>
      </c>
      <c r="DZ18">
        <v>1</v>
      </c>
      <c r="EA18">
        <v>6</v>
      </c>
      <c r="EB18">
        <v>3</v>
      </c>
      <c r="EC18">
        <v>2</v>
      </c>
      <c r="ED18">
        <v>4</v>
      </c>
      <c r="EE18">
        <v>4</v>
      </c>
      <c r="EF18">
        <v>1</v>
      </c>
      <c r="EG18">
        <v>2</v>
      </c>
      <c r="EH18">
        <v>2</v>
      </c>
      <c r="EI18">
        <v>4</v>
      </c>
      <c r="EJ18">
        <v>0</v>
      </c>
      <c r="EK18">
        <v>0</v>
      </c>
      <c r="EL18">
        <v>0</v>
      </c>
      <c r="EM18">
        <f t="shared" si="12"/>
        <v>21</v>
      </c>
      <c r="EN18">
        <f t="shared" si="12"/>
        <v>11</v>
      </c>
      <c r="EO18">
        <f t="shared" si="13"/>
        <v>32</v>
      </c>
      <c r="EP18">
        <v>8</v>
      </c>
      <c r="EQ18">
        <v>10</v>
      </c>
      <c r="ER18">
        <v>7</v>
      </c>
      <c r="ES18">
        <v>9</v>
      </c>
      <c r="ET18">
        <v>4</v>
      </c>
      <c r="EU18">
        <v>5</v>
      </c>
      <c r="EV18">
        <v>3</v>
      </c>
      <c r="EW18">
        <v>5</v>
      </c>
      <c r="EX18">
        <v>4</v>
      </c>
      <c r="EY18">
        <v>4</v>
      </c>
      <c r="EZ18">
        <v>1</v>
      </c>
      <c r="FA18">
        <v>8</v>
      </c>
      <c r="FB18">
        <v>6</v>
      </c>
      <c r="FC18">
        <v>7</v>
      </c>
      <c r="FD18">
        <v>0</v>
      </c>
      <c r="FE18">
        <v>0</v>
      </c>
      <c r="FF18">
        <f t="shared" si="14"/>
        <v>33</v>
      </c>
      <c r="FG18">
        <f t="shared" si="14"/>
        <v>48</v>
      </c>
      <c r="FH18">
        <f t="shared" si="15"/>
        <v>81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f t="shared" si="16"/>
        <v>0</v>
      </c>
      <c r="FZ18">
        <f t="shared" si="16"/>
        <v>0</v>
      </c>
      <c r="GA18">
        <f t="shared" si="17"/>
        <v>0</v>
      </c>
    </row>
    <row r="19" spans="1:183" x14ac:dyDescent="0.25">
      <c r="A19" t="s">
        <v>179</v>
      </c>
      <c r="B19" t="s">
        <v>185</v>
      </c>
      <c r="C19" t="s">
        <v>186</v>
      </c>
      <c r="D19">
        <v>129385</v>
      </c>
      <c r="E19" t="s">
        <v>210</v>
      </c>
      <c r="F19" t="s">
        <v>211</v>
      </c>
      <c r="G19" t="s">
        <v>189</v>
      </c>
      <c r="H19" t="s">
        <v>190</v>
      </c>
      <c r="I19" t="s">
        <v>180</v>
      </c>
      <c r="J19" t="s">
        <v>191</v>
      </c>
      <c r="K19" t="s">
        <v>181</v>
      </c>
      <c r="L19" s="13" t="s">
        <v>182</v>
      </c>
      <c r="M19">
        <v>46</v>
      </c>
      <c r="N19">
        <v>43</v>
      </c>
      <c r="O19">
        <v>63</v>
      </c>
      <c r="P19">
        <v>56</v>
      </c>
      <c r="Q19">
        <v>64</v>
      </c>
      <c r="R19">
        <v>53</v>
      </c>
      <c r="S19">
        <v>56</v>
      </c>
      <c r="T19">
        <v>35</v>
      </c>
      <c r="U19">
        <v>57</v>
      </c>
      <c r="V19">
        <v>51</v>
      </c>
      <c r="W19">
        <v>47</v>
      </c>
      <c r="X19">
        <v>48</v>
      </c>
      <c r="Y19">
        <v>51</v>
      </c>
      <c r="Z19">
        <v>60</v>
      </c>
      <c r="AA19">
        <v>0</v>
      </c>
      <c r="AB19">
        <v>0</v>
      </c>
      <c r="AC19">
        <f t="shared" si="0"/>
        <v>384</v>
      </c>
      <c r="AD19">
        <f t="shared" si="0"/>
        <v>346</v>
      </c>
      <c r="AE19">
        <f t="shared" si="1"/>
        <v>730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1</v>
      </c>
      <c r="AT19">
        <v>0</v>
      </c>
      <c r="AU19">
        <v>0</v>
      </c>
      <c r="AV19">
        <f t="shared" si="2"/>
        <v>2</v>
      </c>
      <c r="AW19">
        <f t="shared" si="2"/>
        <v>2</v>
      </c>
      <c r="AX19">
        <f t="shared" si="3"/>
        <v>4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1</v>
      </c>
      <c r="BI19">
        <v>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f t="shared" si="4"/>
        <v>5</v>
      </c>
      <c r="BP19">
        <f t="shared" si="4"/>
        <v>2</v>
      </c>
      <c r="BQ19">
        <f t="shared" si="5"/>
        <v>7</v>
      </c>
      <c r="BR19">
        <v>0</v>
      </c>
      <c r="BS19">
        <v>0</v>
      </c>
      <c r="BT19">
        <v>2</v>
      </c>
      <c r="BU19">
        <v>0</v>
      </c>
      <c r="BV19">
        <v>4</v>
      </c>
      <c r="BW19">
        <v>1</v>
      </c>
      <c r="BX19">
        <v>0</v>
      </c>
      <c r="BY19">
        <v>2</v>
      </c>
      <c r="BZ19">
        <v>6</v>
      </c>
      <c r="CA19">
        <v>1</v>
      </c>
      <c r="CB19">
        <v>3</v>
      </c>
      <c r="CC19">
        <v>3</v>
      </c>
      <c r="CD19">
        <v>1</v>
      </c>
      <c r="CE19">
        <v>2</v>
      </c>
      <c r="CF19">
        <v>0</v>
      </c>
      <c r="CG19">
        <v>0</v>
      </c>
      <c r="CH19">
        <f t="shared" si="6"/>
        <v>16</v>
      </c>
      <c r="CI19">
        <f t="shared" si="6"/>
        <v>9</v>
      </c>
      <c r="CJ19">
        <f t="shared" si="7"/>
        <v>25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2</v>
      </c>
      <c r="CQ19">
        <v>0</v>
      </c>
      <c r="CR19">
        <v>0</v>
      </c>
      <c r="CS19">
        <v>0</v>
      </c>
      <c r="CT19">
        <v>0</v>
      </c>
      <c r="CU19">
        <v>2</v>
      </c>
      <c r="CV19">
        <v>0</v>
      </c>
      <c r="CW19">
        <v>0</v>
      </c>
      <c r="CX19">
        <v>0</v>
      </c>
      <c r="CY19">
        <v>0</v>
      </c>
      <c r="CZ19">
        <v>0</v>
      </c>
      <c r="DA19">
        <f t="shared" si="8"/>
        <v>3</v>
      </c>
      <c r="DB19">
        <f t="shared" si="8"/>
        <v>2</v>
      </c>
      <c r="DC19">
        <f t="shared" si="9"/>
        <v>5</v>
      </c>
      <c r="DD19">
        <v>2</v>
      </c>
      <c r="DE19">
        <v>1</v>
      </c>
      <c r="DF19">
        <v>0</v>
      </c>
      <c r="DG19">
        <v>1</v>
      </c>
      <c r="DH19">
        <v>2</v>
      </c>
      <c r="DI19">
        <v>1</v>
      </c>
      <c r="DJ19">
        <v>2</v>
      </c>
      <c r="DK19">
        <v>3</v>
      </c>
      <c r="DL19">
        <v>3</v>
      </c>
      <c r="DM19">
        <v>0</v>
      </c>
      <c r="DN19">
        <v>0</v>
      </c>
      <c r="DO19">
        <v>2</v>
      </c>
      <c r="DP19">
        <v>3</v>
      </c>
      <c r="DQ19">
        <v>8</v>
      </c>
      <c r="DR19">
        <v>0</v>
      </c>
      <c r="DS19">
        <v>0</v>
      </c>
      <c r="DT19">
        <f t="shared" si="10"/>
        <v>12</v>
      </c>
      <c r="DU19">
        <f t="shared" si="10"/>
        <v>16</v>
      </c>
      <c r="DV19">
        <f t="shared" si="11"/>
        <v>28</v>
      </c>
      <c r="DW19">
        <v>15</v>
      </c>
      <c r="DX19">
        <v>6</v>
      </c>
      <c r="DY19">
        <v>13</v>
      </c>
      <c r="DZ19">
        <v>6</v>
      </c>
      <c r="EA19">
        <v>12</v>
      </c>
      <c r="EB19">
        <v>16</v>
      </c>
      <c r="EC19">
        <v>9</v>
      </c>
      <c r="ED19">
        <v>2</v>
      </c>
      <c r="EE19">
        <v>15</v>
      </c>
      <c r="EF19">
        <v>9</v>
      </c>
      <c r="EG19">
        <v>5</v>
      </c>
      <c r="EH19">
        <v>6</v>
      </c>
      <c r="EI19">
        <v>14</v>
      </c>
      <c r="EJ19">
        <v>13</v>
      </c>
      <c r="EK19">
        <v>0</v>
      </c>
      <c r="EL19">
        <v>0</v>
      </c>
      <c r="EM19">
        <f t="shared" si="12"/>
        <v>83</v>
      </c>
      <c r="EN19">
        <f t="shared" si="12"/>
        <v>58</v>
      </c>
      <c r="EO19">
        <f t="shared" si="13"/>
        <v>141</v>
      </c>
      <c r="EP19">
        <v>30</v>
      </c>
      <c r="EQ19">
        <v>35</v>
      </c>
      <c r="ER19">
        <v>52</v>
      </c>
      <c r="ES19">
        <v>49</v>
      </c>
      <c r="ET19">
        <v>56</v>
      </c>
      <c r="EU19">
        <v>39</v>
      </c>
      <c r="EV19">
        <v>46</v>
      </c>
      <c r="EW19">
        <v>32</v>
      </c>
      <c r="EX19">
        <v>46</v>
      </c>
      <c r="EY19">
        <v>44</v>
      </c>
      <c r="EZ19">
        <v>49</v>
      </c>
      <c r="FA19">
        <v>44</v>
      </c>
      <c r="FB19">
        <v>34</v>
      </c>
      <c r="FC19">
        <v>41</v>
      </c>
      <c r="FD19">
        <v>0</v>
      </c>
      <c r="FE19">
        <v>0</v>
      </c>
      <c r="FF19">
        <f t="shared" si="14"/>
        <v>313</v>
      </c>
      <c r="FG19">
        <f t="shared" si="14"/>
        <v>284</v>
      </c>
      <c r="FH19">
        <f t="shared" si="15"/>
        <v>597</v>
      </c>
      <c r="FI19">
        <v>0</v>
      </c>
      <c r="FJ19">
        <v>1</v>
      </c>
      <c r="FK19">
        <v>0</v>
      </c>
      <c r="FL19">
        <v>1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</v>
      </c>
      <c r="FV19">
        <v>1</v>
      </c>
      <c r="FW19">
        <v>0</v>
      </c>
      <c r="FX19">
        <v>0</v>
      </c>
      <c r="FY19">
        <f t="shared" si="16"/>
        <v>2</v>
      </c>
      <c r="FZ19">
        <f t="shared" si="16"/>
        <v>3</v>
      </c>
      <c r="GA19">
        <f t="shared" si="17"/>
        <v>5</v>
      </c>
    </row>
    <row r="20" spans="1:183" x14ac:dyDescent="0.25">
      <c r="A20" t="s">
        <v>179</v>
      </c>
      <c r="B20" t="s">
        <v>185</v>
      </c>
      <c r="C20" t="s">
        <v>186</v>
      </c>
      <c r="D20">
        <v>129386</v>
      </c>
      <c r="E20" t="s">
        <v>212</v>
      </c>
      <c r="F20" t="s">
        <v>213</v>
      </c>
      <c r="G20" t="s">
        <v>189</v>
      </c>
      <c r="H20" t="s">
        <v>190</v>
      </c>
      <c r="I20" t="s">
        <v>180</v>
      </c>
      <c r="J20" t="s">
        <v>199</v>
      </c>
      <c r="K20" t="s">
        <v>181</v>
      </c>
      <c r="L20" s="13" t="s">
        <v>182</v>
      </c>
      <c r="M20">
        <v>5</v>
      </c>
      <c r="N20">
        <v>7</v>
      </c>
      <c r="O20">
        <v>11</v>
      </c>
      <c r="P20">
        <v>8</v>
      </c>
      <c r="Q20">
        <v>4</v>
      </c>
      <c r="R20">
        <v>7</v>
      </c>
      <c r="S20">
        <v>10</v>
      </c>
      <c r="T20">
        <v>4</v>
      </c>
      <c r="U20">
        <v>5</v>
      </c>
      <c r="V20">
        <v>8</v>
      </c>
      <c r="W20">
        <v>7</v>
      </c>
      <c r="X20">
        <v>7</v>
      </c>
      <c r="Y20">
        <v>11</v>
      </c>
      <c r="Z20">
        <v>4</v>
      </c>
      <c r="AA20">
        <v>0</v>
      </c>
      <c r="AB20">
        <v>0</v>
      </c>
      <c r="AC20">
        <f t="shared" si="0"/>
        <v>53</v>
      </c>
      <c r="AD20">
        <f t="shared" si="0"/>
        <v>45</v>
      </c>
      <c r="AE20">
        <f t="shared" si="1"/>
        <v>98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f t="shared" si="2"/>
        <v>0</v>
      </c>
      <c r="AW20">
        <f t="shared" si="2"/>
        <v>0</v>
      </c>
      <c r="AX20">
        <f t="shared" si="3"/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f t="shared" si="4"/>
        <v>0</v>
      </c>
      <c r="BP20">
        <f t="shared" si="4"/>
        <v>0</v>
      </c>
      <c r="BQ20">
        <f t="shared" si="5"/>
        <v>0</v>
      </c>
      <c r="BR20">
        <v>0</v>
      </c>
      <c r="BS20">
        <v>0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f t="shared" si="6"/>
        <v>1</v>
      </c>
      <c r="CI20">
        <f t="shared" si="6"/>
        <v>0</v>
      </c>
      <c r="CJ20">
        <f t="shared" si="7"/>
        <v>1</v>
      </c>
      <c r="CK20">
        <v>4</v>
      </c>
      <c r="CL20">
        <v>2</v>
      </c>
      <c r="CM20">
        <v>2</v>
      </c>
      <c r="CN20">
        <v>2</v>
      </c>
      <c r="CO20">
        <v>1</v>
      </c>
      <c r="CP20">
        <v>3</v>
      </c>
      <c r="CQ20">
        <v>1</v>
      </c>
      <c r="CR20">
        <v>3</v>
      </c>
      <c r="CS20">
        <v>2</v>
      </c>
      <c r="CT20">
        <v>2</v>
      </c>
      <c r="CU20">
        <v>2</v>
      </c>
      <c r="CV20">
        <v>1</v>
      </c>
      <c r="CW20">
        <v>3</v>
      </c>
      <c r="CX20">
        <v>1</v>
      </c>
      <c r="CY20">
        <v>0</v>
      </c>
      <c r="CZ20">
        <v>0</v>
      </c>
      <c r="DA20">
        <f t="shared" si="8"/>
        <v>15</v>
      </c>
      <c r="DB20">
        <f t="shared" si="8"/>
        <v>14</v>
      </c>
      <c r="DC20">
        <f t="shared" si="9"/>
        <v>29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f t="shared" si="10"/>
        <v>0</v>
      </c>
      <c r="DU20">
        <f t="shared" si="10"/>
        <v>2</v>
      </c>
      <c r="DV20">
        <f t="shared" si="11"/>
        <v>2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5</v>
      </c>
      <c r="EC20">
        <v>2</v>
      </c>
      <c r="ED20">
        <v>1</v>
      </c>
      <c r="EE20">
        <v>2</v>
      </c>
      <c r="EF20">
        <v>3</v>
      </c>
      <c r="EG20">
        <v>2</v>
      </c>
      <c r="EH20">
        <v>3</v>
      </c>
      <c r="EI20">
        <v>0</v>
      </c>
      <c r="EJ20">
        <v>0</v>
      </c>
      <c r="EK20">
        <v>0</v>
      </c>
      <c r="EL20">
        <v>0</v>
      </c>
      <c r="EM20">
        <f t="shared" si="12"/>
        <v>7</v>
      </c>
      <c r="EN20">
        <f t="shared" si="12"/>
        <v>12</v>
      </c>
      <c r="EO20">
        <f t="shared" si="13"/>
        <v>19</v>
      </c>
      <c r="EP20">
        <v>0</v>
      </c>
      <c r="EQ20">
        <v>0</v>
      </c>
      <c r="ER20">
        <v>0</v>
      </c>
      <c r="ES20">
        <v>0</v>
      </c>
      <c r="ET20">
        <v>4</v>
      </c>
      <c r="EU20">
        <v>4</v>
      </c>
      <c r="EV20">
        <v>9</v>
      </c>
      <c r="EW20">
        <v>6</v>
      </c>
      <c r="EX20">
        <v>5</v>
      </c>
      <c r="EY20">
        <v>6</v>
      </c>
      <c r="EZ20">
        <v>7</v>
      </c>
      <c r="FA20">
        <v>4</v>
      </c>
      <c r="FB20">
        <v>0</v>
      </c>
      <c r="FC20">
        <v>0</v>
      </c>
      <c r="FD20">
        <v>0</v>
      </c>
      <c r="FE20">
        <v>0</v>
      </c>
      <c r="FF20">
        <f t="shared" si="14"/>
        <v>25</v>
      </c>
      <c r="FG20">
        <f t="shared" si="14"/>
        <v>20</v>
      </c>
      <c r="FH20">
        <f t="shared" si="15"/>
        <v>45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f t="shared" si="16"/>
        <v>0</v>
      </c>
      <c r="FZ20">
        <f t="shared" si="16"/>
        <v>0</v>
      </c>
      <c r="GA20">
        <f t="shared" si="17"/>
        <v>0</v>
      </c>
    </row>
    <row r="21" spans="1:183" x14ac:dyDescent="0.25">
      <c r="A21" t="s">
        <v>179</v>
      </c>
      <c r="B21" t="s">
        <v>185</v>
      </c>
      <c r="C21" t="s">
        <v>186</v>
      </c>
      <c r="D21">
        <v>205504</v>
      </c>
      <c r="E21" t="s">
        <v>214</v>
      </c>
      <c r="F21" t="s">
        <v>203</v>
      </c>
      <c r="G21" t="s">
        <v>189</v>
      </c>
      <c r="H21" t="s">
        <v>190</v>
      </c>
      <c r="I21" t="s">
        <v>180</v>
      </c>
      <c r="J21" t="s">
        <v>196</v>
      </c>
      <c r="K21" t="s">
        <v>181</v>
      </c>
      <c r="L21" s="13" t="s">
        <v>182</v>
      </c>
      <c r="M21">
        <v>40</v>
      </c>
      <c r="N21">
        <v>50</v>
      </c>
      <c r="O21">
        <v>45</v>
      </c>
      <c r="P21">
        <v>55</v>
      </c>
      <c r="Q21">
        <v>65</v>
      </c>
      <c r="R21">
        <v>55</v>
      </c>
      <c r="S21">
        <v>59</v>
      </c>
      <c r="T21">
        <v>58</v>
      </c>
      <c r="U21">
        <v>46</v>
      </c>
      <c r="V21">
        <v>56</v>
      </c>
      <c r="W21">
        <v>46</v>
      </c>
      <c r="X21">
        <v>63</v>
      </c>
      <c r="Y21">
        <v>45</v>
      </c>
      <c r="Z21">
        <v>65</v>
      </c>
      <c r="AA21">
        <v>40</v>
      </c>
      <c r="AB21">
        <v>25</v>
      </c>
      <c r="AC21">
        <f t="shared" si="0"/>
        <v>386</v>
      </c>
      <c r="AD21">
        <f t="shared" si="0"/>
        <v>427</v>
      </c>
      <c r="AE21">
        <f t="shared" si="1"/>
        <v>813</v>
      </c>
      <c r="AF21">
        <v>0</v>
      </c>
      <c r="AG21">
        <v>1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5</v>
      </c>
      <c r="AT21">
        <v>0</v>
      </c>
      <c r="AU21">
        <v>1</v>
      </c>
      <c r="AV21">
        <f t="shared" si="2"/>
        <v>2</v>
      </c>
      <c r="AW21">
        <f t="shared" si="2"/>
        <v>8</v>
      </c>
      <c r="AX21">
        <f t="shared" si="3"/>
        <v>10</v>
      </c>
      <c r="AY21">
        <v>0</v>
      </c>
      <c r="AZ21">
        <v>2</v>
      </c>
      <c r="BA21">
        <v>2</v>
      </c>
      <c r="BB21">
        <v>1</v>
      </c>
      <c r="BC21">
        <v>0</v>
      </c>
      <c r="BD21">
        <v>0</v>
      </c>
      <c r="BE21">
        <v>1</v>
      </c>
      <c r="BF21">
        <v>2</v>
      </c>
      <c r="BG21">
        <v>0</v>
      </c>
      <c r="BH21">
        <v>1</v>
      </c>
      <c r="BI21">
        <v>0</v>
      </c>
      <c r="BJ21">
        <v>0</v>
      </c>
      <c r="BK21">
        <v>2</v>
      </c>
      <c r="BL21">
        <v>0</v>
      </c>
      <c r="BM21">
        <v>0</v>
      </c>
      <c r="BN21">
        <v>1</v>
      </c>
      <c r="BO21">
        <f t="shared" si="4"/>
        <v>5</v>
      </c>
      <c r="BP21">
        <f t="shared" si="4"/>
        <v>7</v>
      </c>
      <c r="BQ21">
        <f t="shared" si="5"/>
        <v>12</v>
      </c>
      <c r="BR21">
        <v>0</v>
      </c>
      <c r="BS21">
        <v>1</v>
      </c>
      <c r="BT21">
        <v>6</v>
      </c>
      <c r="BU21">
        <v>5</v>
      </c>
      <c r="BV21">
        <v>3</v>
      </c>
      <c r="BW21">
        <v>2</v>
      </c>
      <c r="BX21">
        <v>2</v>
      </c>
      <c r="BY21">
        <v>1</v>
      </c>
      <c r="BZ21">
        <v>3</v>
      </c>
      <c r="CA21">
        <v>4</v>
      </c>
      <c r="CB21">
        <v>2</v>
      </c>
      <c r="CC21">
        <v>5</v>
      </c>
      <c r="CD21">
        <v>2</v>
      </c>
      <c r="CE21">
        <v>2</v>
      </c>
      <c r="CF21">
        <v>6</v>
      </c>
      <c r="CG21">
        <v>5</v>
      </c>
      <c r="CH21">
        <f t="shared" si="6"/>
        <v>24</v>
      </c>
      <c r="CI21">
        <f t="shared" si="6"/>
        <v>25</v>
      </c>
      <c r="CJ21">
        <f t="shared" si="7"/>
        <v>49</v>
      </c>
      <c r="CK21">
        <v>3</v>
      </c>
      <c r="CL21">
        <v>5</v>
      </c>
      <c r="CM21">
        <v>4</v>
      </c>
      <c r="CN21">
        <v>50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1</v>
      </c>
      <c r="CU21">
        <v>2</v>
      </c>
      <c r="CV21">
        <v>0</v>
      </c>
      <c r="CW21">
        <v>0</v>
      </c>
      <c r="CX21">
        <v>2</v>
      </c>
      <c r="CY21">
        <v>0</v>
      </c>
      <c r="CZ21">
        <v>2</v>
      </c>
      <c r="DA21">
        <f t="shared" si="8"/>
        <v>10</v>
      </c>
      <c r="DB21">
        <f t="shared" si="8"/>
        <v>60</v>
      </c>
      <c r="DC21">
        <f t="shared" si="9"/>
        <v>70</v>
      </c>
      <c r="DD21">
        <v>0</v>
      </c>
      <c r="DE21">
        <v>50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f t="shared" si="10"/>
        <v>0</v>
      </c>
      <c r="DU21">
        <f t="shared" si="10"/>
        <v>51</v>
      </c>
      <c r="DV21">
        <f t="shared" si="11"/>
        <v>51</v>
      </c>
      <c r="DW21">
        <v>0</v>
      </c>
      <c r="DX21">
        <v>2</v>
      </c>
      <c r="DY21">
        <v>2</v>
      </c>
      <c r="DZ21">
        <v>3</v>
      </c>
      <c r="EA21">
        <v>5</v>
      </c>
      <c r="EB21">
        <v>0</v>
      </c>
      <c r="EC21">
        <v>1</v>
      </c>
      <c r="ED21">
        <v>1</v>
      </c>
      <c r="EE21">
        <v>1</v>
      </c>
      <c r="EF21">
        <v>3</v>
      </c>
      <c r="EG21">
        <v>0</v>
      </c>
      <c r="EH21">
        <v>2</v>
      </c>
      <c r="EI21">
        <v>1</v>
      </c>
      <c r="EJ21">
        <v>1</v>
      </c>
      <c r="EK21">
        <v>1</v>
      </c>
      <c r="EL21">
        <v>2</v>
      </c>
      <c r="EM21">
        <f t="shared" si="12"/>
        <v>11</v>
      </c>
      <c r="EN21">
        <f t="shared" si="12"/>
        <v>14</v>
      </c>
      <c r="EO21">
        <f t="shared" si="13"/>
        <v>25</v>
      </c>
      <c r="EP21">
        <v>43</v>
      </c>
      <c r="EQ21">
        <v>3</v>
      </c>
      <c r="ER21">
        <v>50</v>
      </c>
      <c r="ES21">
        <v>65</v>
      </c>
      <c r="ET21">
        <v>61</v>
      </c>
      <c r="EU21">
        <v>55</v>
      </c>
      <c r="EV21">
        <v>60</v>
      </c>
      <c r="EW21">
        <v>59</v>
      </c>
      <c r="EX21">
        <v>48</v>
      </c>
      <c r="EY21">
        <v>59</v>
      </c>
      <c r="EZ21">
        <v>48</v>
      </c>
      <c r="FA21">
        <v>63</v>
      </c>
      <c r="FB21">
        <v>45</v>
      </c>
      <c r="FC21">
        <v>70</v>
      </c>
      <c r="FD21">
        <v>43</v>
      </c>
      <c r="FE21">
        <v>30</v>
      </c>
      <c r="FF21">
        <f t="shared" si="14"/>
        <v>398</v>
      </c>
      <c r="FG21">
        <f t="shared" si="14"/>
        <v>404</v>
      </c>
      <c r="FH21">
        <f t="shared" si="15"/>
        <v>802</v>
      </c>
      <c r="FI21">
        <v>9</v>
      </c>
      <c r="FJ21">
        <v>4</v>
      </c>
      <c r="FK21">
        <v>2</v>
      </c>
      <c r="FL21">
        <v>2</v>
      </c>
      <c r="FM21">
        <v>3</v>
      </c>
      <c r="FN21">
        <v>2</v>
      </c>
      <c r="FO21">
        <v>1</v>
      </c>
      <c r="FP21">
        <v>1</v>
      </c>
      <c r="FQ21">
        <v>1</v>
      </c>
      <c r="FR21">
        <v>2</v>
      </c>
      <c r="FS21">
        <v>2</v>
      </c>
      <c r="FT21">
        <v>3</v>
      </c>
      <c r="FU21">
        <v>3</v>
      </c>
      <c r="FV21">
        <v>3</v>
      </c>
      <c r="FW21">
        <v>2</v>
      </c>
      <c r="FX21">
        <v>2</v>
      </c>
      <c r="FY21">
        <f t="shared" si="16"/>
        <v>23</v>
      </c>
      <c r="FZ21">
        <f t="shared" si="16"/>
        <v>19</v>
      </c>
      <c r="GA21">
        <f t="shared" si="17"/>
        <v>42</v>
      </c>
    </row>
    <row r="22" spans="1:183" x14ac:dyDescent="0.25">
      <c r="A22" t="s">
        <v>179</v>
      </c>
      <c r="B22" t="s">
        <v>185</v>
      </c>
      <c r="C22" t="s">
        <v>186</v>
      </c>
      <c r="D22">
        <v>500454</v>
      </c>
      <c r="E22" t="s">
        <v>215</v>
      </c>
      <c r="F22" t="s">
        <v>216</v>
      </c>
      <c r="G22" t="s">
        <v>189</v>
      </c>
      <c r="H22" t="s">
        <v>190</v>
      </c>
      <c r="I22" t="s">
        <v>180</v>
      </c>
      <c r="J22" t="s">
        <v>199</v>
      </c>
      <c r="K22" t="s">
        <v>217</v>
      </c>
      <c r="L22" s="13" t="s">
        <v>218</v>
      </c>
      <c r="M22">
        <v>10</v>
      </c>
      <c r="N22">
        <v>12</v>
      </c>
      <c r="O22">
        <v>17</v>
      </c>
      <c r="P22">
        <v>16</v>
      </c>
      <c r="Q22">
        <v>23</v>
      </c>
      <c r="R22">
        <v>21</v>
      </c>
      <c r="S22">
        <v>10</v>
      </c>
      <c r="T22">
        <v>17</v>
      </c>
      <c r="U22">
        <v>10</v>
      </c>
      <c r="V22">
        <v>14</v>
      </c>
      <c r="W22">
        <v>8</v>
      </c>
      <c r="X22">
        <v>15</v>
      </c>
      <c r="Y22">
        <v>14</v>
      </c>
      <c r="Z22">
        <v>9</v>
      </c>
      <c r="AA22">
        <v>0</v>
      </c>
      <c r="AB22">
        <v>0</v>
      </c>
      <c r="AC22">
        <f t="shared" si="0"/>
        <v>92</v>
      </c>
      <c r="AD22">
        <f t="shared" si="0"/>
        <v>104</v>
      </c>
      <c r="AE22">
        <f t="shared" si="1"/>
        <v>196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f t="shared" si="2"/>
        <v>0</v>
      </c>
      <c r="AW22">
        <f t="shared" si="2"/>
        <v>0</v>
      </c>
      <c r="AX22">
        <f t="shared" si="3"/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f t="shared" si="4"/>
        <v>1</v>
      </c>
      <c r="BP22">
        <f t="shared" si="4"/>
        <v>0</v>
      </c>
      <c r="BQ22">
        <f t="shared" si="5"/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f t="shared" si="6"/>
        <v>0</v>
      </c>
      <c r="CI22">
        <f t="shared" si="6"/>
        <v>0</v>
      </c>
      <c r="CJ22">
        <f t="shared" si="7"/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f t="shared" si="8"/>
        <v>0</v>
      </c>
      <c r="DB22">
        <f t="shared" si="8"/>
        <v>0</v>
      </c>
      <c r="DC22">
        <f t="shared" si="9"/>
        <v>0</v>
      </c>
      <c r="DD22">
        <v>0</v>
      </c>
      <c r="DE22">
        <v>0</v>
      </c>
      <c r="DF22">
        <v>0</v>
      </c>
      <c r="DG22">
        <v>1</v>
      </c>
      <c r="DH22">
        <v>2</v>
      </c>
      <c r="DI22">
        <v>1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f t="shared" si="10"/>
        <v>4</v>
      </c>
      <c r="DU22">
        <f t="shared" si="10"/>
        <v>2</v>
      </c>
      <c r="DV22">
        <f t="shared" si="11"/>
        <v>6</v>
      </c>
      <c r="DW22">
        <v>3</v>
      </c>
      <c r="DX22">
        <v>5</v>
      </c>
      <c r="DY22">
        <v>8</v>
      </c>
      <c r="DZ22">
        <v>5</v>
      </c>
      <c r="EA22">
        <v>8</v>
      </c>
      <c r="EB22">
        <v>7</v>
      </c>
      <c r="EC22">
        <v>7</v>
      </c>
      <c r="ED22">
        <v>4</v>
      </c>
      <c r="EE22">
        <v>3</v>
      </c>
      <c r="EF22">
        <v>3</v>
      </c>
      <c r="EG22">
        <v>3</v>
      </c>
      <c r="EH22">
        <v>6</v>
      </c>
      <c r="EI22">
        <v>3</v>
      </c>
      <c r="EJ22">
        <v>5</v>
      </c>
      <c r="EK22">
        <v>0</v>
      </c>
      <c r="EL22">
        <v>0</v>
      </c>
      <c r="EM22">
        <f t="shared" si="12"/>
        <v>35</v>
      </c>
      <c r="EN22">
        <f t="shared" si="12"/>
        <v>35</v>
      </c>
      <c r="EO22">
        <f t="shared" si="13"/>
        <v>70</v>
      </c>
      <c r="EP22">
        <v>7</v>
      </c>
      <c r="EQ22">
        <v>6</v>
      </c>
      <c r="ER22">
        <v>8</v>
      </c>
      <c r="ES22">
        <v>10</v>
      </c>
      <c r="ET22">
        <v>13</v>
      </c>
      <c r="EU22">
        <v>13</v>
      </c>
      <c r="EV22">
        <v>2</v>
      </c>
      <c r="EW22">
        <v>13</v>
      </c>
      <c r="EX22">
        <v>8</v>
      </c>
      <c r="EY22">
        <v>11</v>
      </c>
      <c r="EZ22">
        <v>5</v>
      </c>
      <c r="FA22">
        <v>9</v>
      </c>
      <c r="FB22">
        <v>10</v>
      </c>
      <c r="FC22">
        <v>4</v>
      </c>
      <c r="FD22">
        <v>0</v>
      </c>
      <c r="FE22">
        <v>0</v>
      </c>
      <c r="FF22">
        <f t="shared" si="14"/>
        <v>53</v>
      </c>
      <c r="FG22">
        <f t="shared" si="14"/>
        <v>66</v>
      </c>
      <c r="FH22">
        <f t="shared" si="15"/>
        <v>119</v>
      </c>
      <c r="FI22">
        <v>0</v>
      </c>
      <c r="FJ22">
        <v>1</v>
      </c>
      <c r="FK22">
        <v>1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f t="shared" si="16"/>
        <v>1</v>
      </c>
      <c r="FZ22">
        <f t="shared" si="16"/>
        <v>1</v>
      </c>
      <c r="GA22">
        <f t="shared" si="17"/>
        <v>2</v>
      </c>
    </row>
    <row r="23" spans="1:183" x14ac:dyDescent="0.25">
      <c r="A23" t="s">
        <v>179</v>
      </c>
      <c r="B23" t="s">
        <v>185</v>
      </c>
      <c r="C23" t="s">
        <v>186</v>
      </c>
      <c r="D23">
        <v>501424</v>
      </c>
      <c r="E23" t="s">
        <v>219</v>
      </c>
      <c r="F23" t="s">
        <v>220</v>
      </c>
      <c r="G23" t="s">
        <v>189</v>
      </c>
      <c r="H23" t="s">
        <v>190</v>
      </c>
      <c r="I23" t="s">
        <v>180</v>
      </c>
      <c r="J23" t="s">
        <v>221</v>
      </c>
      <c r="K23" t="s">
        <v>183</v>
      </c>
      <c r="L23" s="13" t="s">
        <v>184</v>
      </c>
      <c r="M23">
        <v>17</v>
      </c>
      <c r="N23">
        <v>24</v>
      </c>
      <c r="O23">
        <v>17</v>
      </c>
      <c r="P23">
        <v>15</v>
      </c>
      <c r="Q23">
        <v>24</v>
      </c>
      <c r="R23">
        <v>17</v>
      </c>
      <c r="S23">
        <v>10</v>
      </c>
      <c r="T23">
        <v>12</v>
      </c>
      <c r="U23">
        <v>25</v>
      </c>
      <c r="V23">
        <v>20</v>
      </c>
      <c r="W23">
        <v>14</v>
      </c>
      <c r="X23">
        <v>19</v>
      </c>
      <c r="Y23">
        <v>13</v>
      </c>
      <c r="Z23">
        <v>23</v>
      </c>
      <c r="AA23">
        <v>0</v>
      </c>
      <c r="AB23">
        <v>0</v>
      </c>
      <c r="AC23">
        <f t="shared" si="0"/>
        <v>120</v>
      </c>
      <c r="AD23">
        <f t="shared" si="0"/>
        <v>130</v>
      </c>
      <c r="AE23">
        <f t="shared" ref="AE23:AE63" si="18">SUM(AC23:AD23)</f>
        <v>250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f t="shared" si="2"/>
        <v>0</v>
      </c>
      <c r="AW23">
        <f t="shared" si="2"/>
        <v>0</v>
      </c>
      <c r="AX23">
        <f t="shared" ref="AX23:AX63" si="19">SUM(AV23:AW23)</f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f t="shared" si="4"/>
        <v>2</v>
      </c>
      <c r="BP23">
        <f t="shared" si="4"/>
        <v>0</v>
      </c>
      <c r="BQ23">
        <f t="shared" ref="BQ23:BQ63" si="20">SUM(BO23:BP23)</f>
        <v>2</v>
      </c>
      <c r="BR23">
        <v>0</v>
      </c>
      <c r="BS23">
        <v>2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2</v>
      </c>
      <c r="CE23">
        <v>0</v>
      </c>
      <c r="CF23">
        <v>0</v>
      </c>
      <c r="CG23">
        <v>0</v>
      </c>
      <c r="CH23">
        <f t="shared" si="6"/>
        <v>3</v>
      </c>
      <c r="CI23">
        <f t="shared" si="6"/>
        <v>2</v>
      </c>
      <c r="CJ23">
        <f t="shared" ref="CJ23:CJ63" si="21">SUM(CH23:CI23)</f>
        <v>5</v>
      </c>
      <c r="CK23">
        <v>4</v>
      </c>
      <c r="CL23">
        <v>1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2</v>
      </c>
      <c r="CU23">
        <v>2</v>
      </c>
      <c r="CV23">
        <v>0</v>
      </c>
      <c r="CW23">
        <v>1</v>
      </c>
      <c r="CX23">
        <v>3</v>
      </c>
      <c r="CY23">
        <v>0</v>
      </c>
      <c r="CZ23">
        <v>0</v>
      </c>
      <c r="DA23">
        <f t="shared" si="8"/>
        <v>8</v>
      </c>
      <c r="DB23">
        <f t="shared" si="8"/>
        <v>7</v>
      </c>
      <c r="DC23">
        <f t="shared" ref="DC23:DC63" si="22">SUM(DA23:DB23)</f>
        <v>15</v>
      </c>
      <c r="DD23">
        <v>0</v>
      </c>
      <c r="DE23">
        <v>3</v>
      </c>
      <c r="DF23">
        <v>2</v>
      </c>
      <c r="DG23">
        <v>1</v>
      </c>
      <c r="DH23">
        <v>4</v>
      </c>
      <c r="DI23">
        <v>1</v>
      </c>
      <c r="DJ23">
        <v>0</v>
      </c>
      <c r="DK23">
        <v>1</v>
      </c>
      <c r="DL23">
        <v>1</v>
      </c>
      <c r="DM23">
        <v>1</v>
      </c>
      <c r="DN23">
        <v>1</v>
      </c>
      <c r="DO23">
        <v>3</v>
      </c>
      <c r="DP23">
        <v>5</v>
      </c>
      <c r="DQ23">
        <v>2</v>
      </c>
      <c r="DR23">
        <v>0</v>
      </c>
      <c r="DS23">
        <v>0</v>
      </c>
      <c r="DT23">
        <f t="shared" si="10"/>
        <v>13</v>
      </c>
      <c r="DU23">
        <f t="shared" si="10"/>
        <v>12</v>
      </c>
      <c r="DV23">
        <f t="shared" ref="DV23:DV63" si="23">SUM(DT23:DU23)</f>
        <v>25</v>
      </c>
      <c r="DW23">
        <v>9</v>
      </c>
      <c r="DX23">
        <v>10</v>
      </c>
      <c r="DY23">
        <v>4</v>
      </c>
      <c r="DZ23">
        <v>2</v>
      </c>
      <c r="EA23">
        <v>6</v>
      </c>
      <c r="EB23">
        <v>5</v>
      </c>
      <c r="EC23">
        <v>3</v>
      </c>
      <c r="ED23">
        <v>3</v>
      </c>
      <c r="EE23">
        <v>9</v>
      </c>
      <c r="EF23">
        <v>7</v>
      </c>
      <c r="EG23">
        <v>11</v>
      </c>
      <c r="EH23">
        <v>9</v>
      </c>
      <c r="EI23">
        <v>6</v>
      </c>
      <c r="EJ23">
        <v>10</v>
      </c>
      <c r="EK23">
        <v>0</v>
      </c>
      <c r="EL23">
        <v>0</v>
      </c>
      <c r="EM23">
        <f t="shared" si="12"/>
        <v>48</v>
      </c>
      <c r="EN23">
        <f t="shared" si="12"/>
        <v>46</v>
      </c>
      <c r="EO23">
        <f t="shared" ref="EO23:EO63" si="24">SUM(EM23:EN23)</f>
        <v>94</v>
      </c>
      <c r="EP23">
        <v>13</v>
      </c>
      <c r="EQ23">
        <v>14</v>
      </c>
      <c r="ER23">
        <v>12</v>
      </c>
      <c r="ES23">
        <v>12</v>
      </c>
      <c r="ET23">
        <v>14</v>
      </c>
      <c r="EU23">
        <v>12</v>
      </c>
      <c r="EV23">
        <v>8</v>
      </c>
      <c r="EW23">
        <v>8</v>
      </c>
      <c r="EX23">
        <v>15</v>
      </c>
      <c r="EY23">
        <v>14</v>
      </c>
      <c r="EZ23">
        <v>5</v>
      </c>
      <c r="FA23">
        <v>7</v>
      </c>
      <c r="FB23">
        <v>5</v>
      </c>
      <c r="FC23">
        <v>14</v>
      </c>
      <c r="FD23">
        <v>0</v>
      </c>
      <c r="FE23">
        <v>0</v>
      </c>
      <c r="FF23">
        <f t="shared" si="14"/>
        <v>72</v>
      </c>
      <c r="FG23">
        <f t="shared" si="14"/>
        <v>81</v>
      </c>
      <c r="FH23">
        <f t="shared" ref="FH23:FH63" si="25">SUM(FF23:FG23)</f>
        <v>153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f t="shared" si="16"/>
        <v>0</v>
      </c>
      <c r="FZ23">
        <f t="shared" si="16"/>
        <v>0</v>
      </c>
      <c r="GA23">
        <f t="shared" ref="GA23:GA63" si="26">SUM(FY23:FZ23)</f>
        <v>0</v>
      </c>
    </row>
    <row r="24" spans="1:183" x14ac:dyDescent="0.25">
      <c r="A24" t="s">
        <v>179</v>
      </c>
      <c r="B24" t="s">
        <v>185</v>
      </c>
      <c r="C24" t="s">
        <v>222</v>
      </c>
      <c r="D24">
        <v>101813</v>
      </c>
      <c r="E24" t="s">
        <v>223</v>
      </c>
      <c r="F24" t="s">
        <v>224</v>
      </c>
      <c r="G24" t="s">
        <v>189</v>
      </c>
      <c r="H24" t="s">
        <v>190</v>
      </c>
      <c r="I24" t="s">
        <v>180</v>
      </c>
      <c r="J24" t="s">
        <v>225</v>
      </c>
      <c r="K24" t="s">
        <v>181</v>
      </c>
      <c r="L24" s="13" t="s">
        <v>182</v>
      </c>
      <c r="M24">
        <v>3</v>
      </c>
      <c r="N24">
        <v>3</v>
      </c>
      <c r="O24">
        <v>8</v>
      </c>
      <c r="P24">
        <v>8</v>
      </c>
      <c r="Q24">
        <v>4</v>
      </c>
      <c r="R24">
        <v>3</v>
      </c>
      <c r="S24">
        <v>4</v>
      </c>
      <c r="T24">
        <v>4</v>
      </c>
      <c r="U24">
        <v>3</v>
      </c>
      <c r="V24">
        <v>7</v>
      </c>
      <c r="W24">
        <v>2</v>
      </c>
      <c r="X24">
        <v>5</v>
      </c>
      <c r="Y24">
        <v>6</v>
      </c>
      <c r="Z24">
        <v>3</v>
      </c>
      <c r="AA24">
        <v>0</v>
      </c>
      <c r="AB24">
        <v>0</v>
      </c>
      <c r="AC24">
        <f t="shared" si="0"/>
        <v>30</v>
      </c>
      <c r="AD24">
        <f t="shared" si="0"/>
        <v>33</v>
      </c>
      <c r="AE24">
        <f t="shared" si="18"/>
        <v>63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f t="shared" si="2"/>
        <v>0</v>
      </c>
      <c r="AW24">
        <f t="shared" si="2"/>
        <v>0</v>
      </c>
      <c r="AX24">
        <f t="shared" si="19"/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f t="shared" si="4"/>
        <v>1</v>
      </c>
      <c r="BP24">
        <f t="shared" si="4"/>
        <v>0</v>
      </c>
      <c r="BQ24">
        <f t="shared" si="20"/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1</v>
      </c>
      <c r="CE24">
        <v>0</v>
      </c>
      <c r="CF24">
        <v>0</v>
      </c>
      <c r="CG24">
        <v>0</v>
      </c>
      <c r="CH24">
        <f t="shared" si="6"/>
        <v>3</v>
      </c>
      <c r="CI24">
        <f t="shared" si="6"/>
        <v>2</v>
      </c>
      <c r="CJ24">
        <f t="shared" si="21"/>
        <v>5</v>
      </c>
      <c r="CK24">
        <v>2</v>
      </c>
      <c r="CL24">
        <v>1</v>
      </c>
      <c r="CM24">
        <v>3</v>
      </c>
      <c r="CN24">
        <v>3</v>
      </c>
      <c r="CO24">
        <v>1</v>
      </c>
      <c r="CP24">
        <v>0</v>
      </c>
      <c r="CQ24">
        <v>1</v>
      </c>
      <c r="CR24">
        <v>3</v>
      </c>
      <c r="CS24">
        <v>2</v>
      </c>
      <c r="CT24">
        <v>1</v>
      </c>
      <c r="CU24">
        <v>0</v>
      </c>
      <c r="CV24">
        <v>2</v>
      </c>
      <c r="CW24">
        <v>2</v>
      </c>
      <c r="CX24">
        <v>3</v>
      </c>
      <c r="CY24">
        <v>0</v>
      </c>
      <c r="CZ24">
        <v>0</v>
      </c>
      <c r="DA24">
        <f t="shared" si="8"/>
        <v>11</v>
      </c>
      <c r="DB24">
        <f t="shared" si="8"/>
        <v>13</v>
      </c>
      <c r="DC24">
        <f t="shared" si="22"/>
        <v>24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  <c r="DO24">
        <v>1</v>
      </c>
      <c r="DP24">
        <v>1</v>
      </c>
      <c r="DQ24">
        <v>0</v>
      </c>
      <c r="DR24">
        <v>0</v>
      </c>
      <c r="DS24">
        <v>0</v>
      </c>
      <c r="DT24">
        <f t="shared" si="10"/>
        <v>2</v>
      </c>
      <c r="DU24">
        <f t="shared" si="10"/>
        <v>1</v>
      </c>
      <c r="DV24">
        <f t="shared" si="23"/>
        <v>3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1</v>
      </c>
      <c r="EG24">
        <v>2</v>
      </c>
      <c r="EH24">
        <v>0</v>
      </c>
      <c r="EI24">
        <v>1</v>
      </c>
      <c r="EJ24">
        <v>0</v>
      </c>
      <c r="EK24">
        <v>0</v>
      </c>
      <c r="EL24">
        <v>0</v>
      </c>
      <c r="EM24">
        <f t="shared" si="12"/>
        <v>4</v>
      </c>
      <c r="EN24">
        <f t="shared" si="12"/>
        <v>1</v>
      </c>
      <c r="EO24">
        <f t="shared" si="24"/>
        <v>5</v>
      </c>
      <c r="EP24">
        <v>5</v>
      </c>
      <c r="EQ24">
        <v>4</v>
      </c>
      <c r="ER24">
        <v>11</v>
      </c>
      <c r="ES24">
        <v>11</v>
      </c>
      <c r="ET24">
        <v>5</v>
      </c>
      <c r="EU24">
        <v>4</v>
      </c>
      <c r="EV24">
        <v>6</v>
      </c>
      <c r="EW24">
        <v>7</v>
      </c>
      <c r="EX24">
        <v>3</v>
      </c>
      <c r="EY24">
        <v>7</v>
      </c>
      <c r="EZ24">
        <v>1</v>
      </c>
      <c r="FA24">
        <v>7</v>
      </c>
      <c r="FB24">
        <v>8</v>
      </c>
      <c r="FC24">
        <v>6</v>
      </c>
      <c r="FD24">
        <v>0</v>
      </c>
      <c r="FE24">
        <v>0</v>
      </c>
      <c r="FF24">
        <f t="shared" si="14"/>
        <v>39</v>
      </c>
      <c r="FG24">
        <f t="shared" si="14"/>
        <v>46</v>
      </c>
      <c r="FH24">
        <f t="shared" si="25"/>
        <v>85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f t="shared" si="16"/>
        <v>0</v>
      </c>
      <c r="FZ24">
        <f t="shared" si="16"/>
        <v>0</v>
      </c>
      <c r="GA24">
        <f t="shared" si="26"/>
        <v>0</v>
      </c>
    </row>
    <row r="25" spans="1:183" x14ac:dyDescent="0.25">
      <c r="A25" t="s">
        <v>179</v>
      </c>
      <c r="B25" t="s">
        <v>185</v>
      </c>
      <c r="C25" t="s">
        <v>222</v>
      </c>
      <c r="D25">
        <v>129387</v>
      </c>
      <c r="E25" t="s">
        <v>226</v>
      </c>
      <c r="F25" t="s">
        <v>227</v>
      </c>
      <c r="G25" t="s">
        <v>189</v>
      </c>
      <c r="H25" t="s">
        <v>190</v>
      </c>
      <c r="I25" t="s">
        <v>180</v>
      </c>
      <c r="J25" t="s">
        <v>228</v>
      </c>
      <c r="K25" t="s">
        <v>181</v>
      </c>
      <c r="L25" s="13" t="s">
        <v>182</v>
      </c>
      <c r="M25">
        <v>10</v>
      </c>
      <c r="N25">
        <v>13</v>
      </c>
      <c r="O25">
        <v>19</v>
      </c>
      <c r="P25">
        <v>21</v>
      </c>
      <c r="Q25">
        <v>10</v>
      </c>
      <c r="R25">
        <v>13</v>
      </c>
      <c r="S25">
        <v>15</v>
      </c>
      <c r="T25">
        <v>9</v>
      </c>
      <c r="U25">
        <v>12</v>
      </c>
      <c r="V25">
        <v>9</v>
      </c>
      <c r="W25">
        <v>12</v>
      </c>
      <c r="X25">
        <v>13</v>
      </c>
      <c r="Y25">
        <v>13</v>
      </c>
      <c r="Z25">
        <v>11</v>
      </c>
      <c r="AA25">
        <v>0</v>
      </c>
      <c r="AB25">
        <v>0</v>
      </c>
      <c r="AC25">
        <f t="shared" si="0"/>
        <v>91</v>
      </c>
      <c r="AD25">
        <f t="shared" si="0"/>
        <v>89</v>
      </c>
      <c r="AE25">
        <f t="shared" si="18"/>
        <v>180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f t="shared" si="2"/>
        <v>0</v>
      </c>
      <c r="AW25">
        <f t="shared" si="2"/>
        <v>0</v>
      </c>
      <c r="AX25">
        <f t="shared" si="19"/>
        <v>0</v>
      </c>
      <c r="AY25">
        <v>0</v>
      </c>
      <c r="AZ25">
        <v>0</v>
      </c>
      <c r="BA25">
        <v>0</v>
      </c>
      <c r="BB25">
        <v>0</v>
      </c>
      <c r="BC25">
        <v>4</v>
      </c>
      <c r="BD25">
        <v>0</v>
      </c>
      <c r="BE25">
        <v>0</v>
      </c>
      <c r="BF25">
        <v>0</v>
      </c>
      <c r="BG25">
        <v>0</v>
      </c>
      <c r="BH25">
        <v>2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f t="shared" si="4"/>
        <v>4</v>
      </c>
      <c r="BP25">
        <f t="shared" si="4"/>
        <v>3</v>
      </c>
      <c r="BQ25">
        <f t="shared" si="20"/>
        <v>7</v>
      </c>
      <c r="BR25">
        <v>2</v>
      </c>
      <c r="BS25">
        <v>3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f t="shared" si="6"/>
        <v>2</v>
      </c>
      <c r="CI25">
        <f t="shared" si="6"/>
        <v>3</v>
      </c>
      <c r="CJ25">
        <f t="shared" si="21"/>
        <v>5</v>
      </c>
      <c r="CK25">
        <v>3</v>
      </c>
      <c r="CL25">
        <v>2</v>
      </c>
      <c r="CM25">
        <v>2</v>
      </c>
      <c r="CN25">
        <v>1</v>
      </c>
      <c r="CO25">
        <v>3</v>
      </c>
      <c r="CP25">
        <v>3</v>
      </c>
      <c r="CQ25">
        <v>1</v>
      </c>
      <c r="CR25">
        <v>3</v>
      </c>
      <c r="CS25">
        <v>0</v>
      </c>
      <c r="CT25">
        <v>3</v>
      </c>
      <c r="CU25">
        <v>0</v>
      </c>
      <c r="CV25">
        <v>2</v>
      </c>
      <c r="CW25">
        <v>0</v>
      </c>
      <c r="CX25">
        <v>0</v>
      </c>
      <c r="CY25">
        <v>0</v>
      </c>
      <c r="CZ25">
        <v>0</v>
      </c>
      <c r="DA25">
        <f t="shared" si="8"/>
        <v>9</v>
      </c>
      <c r="DB25">
        <f t="shared" si="8"/>
        <v>14</v>
      </c>
      <c r="DC25">
        <f t="shared" si="22"/>
        <v>23</v>
      </c>
      <c r="DD25">
        <v>1</v>
      </c>
      <c r="DE25">
        <v>0</v>
      </c>
      <c r="DF25">
        <v>1</v>
      </c>
      <c r="DG25">
        <v>0</v>
      </c>
      <c r="DH25">
        <v>6</v>
      </c>
      <c r="DI25">
        <v>10</v>
      </c>
      <c r="DJ25">
        <v>1</v>
      </c>
      <c r="DK25">
        <v>1</v>
      </c>
      <c r="DL25">
        <v>1</v>
      </c>
      <c r="DM25">
        <v>0</v>
      </c>
      <c r="DN25">
        <v>0</v>
      </c>
      <c r="DO25">
        <v>0</v>
      </c>
      <c r="DP25">
        <v>2</v>
      </c>
      <c r="DQ25">
        <v>1</v>
      </c>
      <c r="DR25">
        <v>0</v>
      </c>
      <c r="DS25">
        <v>0</v>
      </c>
      <c r="DT25">
        <f t="shared" si="10"/>
        <v>12</v>
      </c>
      <c r="DU25">
        <f t="shared" si="10"/>
        <v>12</v>
      </c>
      <c r="DV25">
        <f t="shared" si="23"/>
        <v>24</v>
      </c>
      <c r="DW25">
        <v>3</v>
      </c>
      <c r="DX25">
        <v>2</v>
      </c>
      <c r="DY25">
        <v>5</v>
      </c>
      <c r="DZ25">
        <v>2</v>
      </c>
      <c r="EA25">
        <v>9</v>
      </c>
      <c r="EB25">
        <v>4</v>
      </c>
      <c r="EC25">
        <v>3</v>
      </c>
      <c r="ED25">
        <v>2</v>
      </c>
      <c r="EE25">
        <v>3</v>
      </c>
      <c r="EF25">
        <v>0</v>
      </c>
      <c r="EG25">
        <v>3</v>
      </c>
      <c r="EH25">
        <v>2</v>
      </c>
      <c r="EI25">
        <v>3</v>
      </c>
      <c r="EJ25">
        <v>1</v>
      </c>
      <c r="EK25">
        <v>0</v>
      </c>
      <c r="EL25">
        <v>0</v>
      </c>
      <c r="EM25">
        <f t="shared" si="12"/>
        <v>29</v>
      </c>
      <c r="EN25">
        <f t="shared" si="12"/>
        <v>13</v>
      </c>
      <c r="EO25">
        <f t="shared" si="24"/>
        <v>42</v>
      </c>
      <c r="EP25">
        <v>11</v>
      </c>
      <c r="EQ25">
        <v>3</v>
      </c>
      <c r="ER25">
        <v>15</v>
      </c>
      <c r="ES25">
        <v>20</v>
      </c>
      <c r="ET25">
        <v>2</v>
      </c>
      <c r="EU25">
        <v>2</v>
      </c>
      <c r="EV25">
        <v>12</v>
      </c>
      <c r="EW25">
        <v>9</v>
      </c>
      <c r="EX25">
        <v>8</v>
      </c>
      <c r="EY25">
        <v>14</v>
      </c>
      <c r="EZ25">
        <v>9</v>
      </c>
      <c r="FA25">
        <v>12</v>
      </c>
      <c r="FB25">
        <v>8</v>
      </c>
      <c r="FC25">
        <v>10</v>
      </c>
      <c r="FD25">
        <v>0</v>
      </c>
      <c r="FE25">
        <v>0</v>
      </c>
      <c r="FF25">
        <f t="shared" si="14"/>
        <v>65</v>
      </c>
      <c r="FG25">
        <f t="shared" si="14"/>
        <v>70</v>
      </c>
      <c r="FH25">
        <f t="shared" si="25"/>
        <v>135</v>
      </c>
      <c r="FI25">
        <v>0</v>
      </c>
      <c r="FJ25">
        <v>13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0</v>
      </c>
      <c r="FY25">
        <f t="shared" si="16"/>
        <v>0</v>
      </c>
      <c r="FZ25">
        <f t="shared" si="16"/>
        <v>14</v>
      </c>
      <c r="GA25">
        <f t="shared" si="26"/>
        <v>14</v>
      </c>
    </row>
    <row r="26" spans="1:183" x14ac:dyDescent="0.25">
      <c r="A26" t="s">
        <v>179</v>
      </c>
      <c r="B26" t="s">
        <v>185</v>
      </c>
      <c r="C26" t="s">
        <v>222</v>
      </c>
      <c r="D26">
        <v>129388</v>
      </c>
      <c r="E26" t="s">
        <v>229</v>
      </c>
      <c r="F26" t="s">
        <v>230</v>
      </c>
      <c r="G26" t="s">
        <v>189</v>
      </c>
      <c r="H26" t="s">
        <v>190</v>
      </c>
      <c r="I26" t="s">
        <v>180</v>
      </c>
      <c r="J26" t="s">
        <v>231</v>
      </c>
      <c r="K26" t="s">
        <v>181</v>
      </c>
      <c r="L26" s="13" t="s">
        <v>182</v>
      </c>
      <c r="M26">
        <v>10</v>
      </c>
      <c r="N26">
        <v>23</v>
      </c>
      <c r="O26">
        <v>25</v>
      </c>
      <c r="P26">
        <v>25</v>
      </c>
      <c r="Q26">
        <v>16</v>
      </c>
      <c r="R26">
        <v>16</v>
      </c>
      <c r="S26">
        <v>26</v>
      </c>
      <c r="T26">
        <v>23</v>
      </c>
      <c r="U26">
        <v>28</v>
      </c>
      <c r="V26">
        <v>27</v>
      </c>
      <c r="W26">
        <v>21</v>
      </c>
      <c r="X26">
        <v>25</v>
      </c>
      <c r="Y26">
        <v>12</v>
      </c>
      <c r="Z26">
        <v>16</v>
      </c>
      <c r="AA26">
        <v>0</v>
      </c>
      <c r="AB26">
        <v>0</v>
      </c>
      <c r="AC26">
        <f t="shared" si="0"/>
        <v>138</v>
      </c>
      <c r="AD26">
        <f t="shared" si="0"/>
        <v>155</v>
      </c>
      <c r="AE26">
        <f t="shared" si="18"/>
        <v>293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f t="shared" si="2"/>
        <v>0</v>
      </c>
      <c r="AW26">
        <f t="shared" si="2"/>
        <v>0</v>
      </c>
      <c r="AX26">
        <f t="shared" si="19"/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f t="shared" si="4"/>
        <v>0</v>
      </c>
      <c r="BP26">
        <f t="shared" si="4"/>
        <v>0</v>
      </c>
      <c r="BQ26">
        <f t="shared" si="20"/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2</v>
      </c>
      <c r="CC26">
        <v>1</v>
      </c>
      <c r="CD26">
        <v>3</v>
      </c>
      <c r="CE26">
        <v>4</v>
      </c>
      <c r="CF26">
        <v>0</v>
      </c>
      <c r="CG26">
        <v>0</v>
      </c>
      <c r="CH26">
        <f t="shared" si="6"/>
        <v>7</v>
      </c>
      <c r="CI26">
        <f t="shared" si="6"/>
        <v>5</v>
      </c>
      <c r="CJ26">
        <f t="shared" si="21"/>
        <v>12</v>
      </c>
      <c r="CK26">
        <v>6</v>
      </c>
      <c r="CL26">
        <v>5</v>
      </c>
      <c r="CM26">
        <v>0</v>
      </c>
      <c r="CN26">
        <v>0</v>
      </c>
      <c r="CO26">
        <v>1</v>
      </c>
      <c r="CP26">
        <v>1</v>
      </c>
      <c r="CQ26">
        <v>0</v>
      </c>
      <c r="CR26">
        <v>3</v>
      </c>
      <c r="CS26">
        <v>1</v>
      </c>
      <c r="CT26">
        <v>4</v>
      </c>
      <c r="CU26">
        <v>3</v>
      </c>
      <c r="CV26">
        <v>0</v>
      </c>
      <c r="CW26">
        <v>8</v>
      </c>
      <c r="CX26">
        <v>5</v>
      </c>
      <c r="CY26">
        <v>0</v>
      </c>
      <c r="CZ26">
        <v>0</v>
      </c>
      <c r="DA26">
        <f t="shared" si="8"/>
        <v>19</v>
      </c>
      <c r="DB26">
        <f t="shared" si="8"/>
        <v>18</v>
      </c>
      <c r="DC26">
        <f t="shared" si="22"/>
        <v>37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f t="shared" si="10"/>
        <v>0</v>
      </c>
      <c r="DU26">
        <f t="shared" si="10"/>
        <v>0</v>
      </c>
      <c r="DV26">
        <f t="shared" si="23"/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f t="shared" si="12"/>
        <v>0</v>
      </c>
      <c r="EN26">
        <f t="shared" si="12"/>
        <v>0</v>
      </c>
      <c r="EO26">
        <f t="shared" si="24"/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f t="shared" si="14"/>
        <v>0</v>
      </c>
      <c r="FG26">
        <f t="shared" si="14"/>
        <v>0</v>
      </c>
      <c r="FH26">
        <f t="shared" si="25"/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f t="shared" si="16"/>
        <v>0</v>
      </c>
      <c r="FZ26">
        <f t="shared" si="16"/>
        <v>0</v>
      </c>
      <c r="GA26">
        <f t="shared" si="26"/>
        <v>0</v>
      </c>
    </row>
    <row r="27" spans="1:183" x14ac:dyDescent="0.25">
      <c r="A27" t="s">
        <v>179</v>
      </c>
      <c r="B27" t="s">
        <v>185</v>
      </c>
      <c r="C27" t="s">
        <v>222</v>
      </c>
      <c r="D27">
        <v>129389</v>
      </c>
      <c r="E27" t="s">
        <v>232</v>
      </c>
      <c r="F27" t="s">
        <v>233</v>
      </c>
      <c r="G27" t="s">
        <v>189</v>
      </c>
      <c r="H27" t="s">
        <v>190</v>
      </c>
      <c r="I27" t="s">
        <v>180</v>
      </c>
      <c r="J27" t="s">
        <v>234</v>
      </c>
      <c r="K27" t="s">
        <v>181</v>
      </c>
      <c r="L27" s="13" t="s">
        <v>182</v>
      </c>
      <c r="M27">
        <v>40</v>
      </c>
      <c r="N27">
        <v>35</v>
      </c>
      <c r="O27">
        <v>48</v>
      </c>
      <c r="P27">
        <v>40</v>
      </c>
      <c r="Q27">
        <v>47</v>
      </c>
      <c r="R27">
        <v>44</v>
      </c>
      <c r="S27">
        <v>35</v>
      </c>
      <c r="T27">
        <v>34</v>
      </c>
      <c r="U27">
        <v>47</v>
      </c>
      <c r="V27">
        <v>40</v>
      </c>
      <c r="W27">
        <v>48</v>
      </c>
      <c r="X27">
        <v>39</v>
      </c>
      <c r="Y27">
        <v>34</v>
      </c>
      <c r="Z27">
        <v>49</v>
      </c>
      <c r="AA27">
        <v>0</v>
      </c>
      <c r="AB27">
        <v>0</v>
      </c>
      <c r="AC27">
        <f t="shared" si="0"/>
        <v>299</v>
      </c>
      <c r="AD27">
        <f t="shared" si="0"/>
        <v>281</v>
      </c>
      <c r="AE27">
        <f t="shared" si="18"/>
        <v>580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1</v>
      </c>
      <c r="AM27">
        <v>1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f t="shared" si="2"/>
        <v>4</v>
      </c>
      <c r="AW27">
        <f t="shared" si="2"/>
        <v>3</v>
      </c>
      <c r="AX27">
        <f t="shared" si="19"/>
        <v>7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2</v>
      </c>
      <c r="BE27">
        <v>0</v>
      </c>
      <c r="BF27">
        <v>0</v>
      </c>
      <c r="BG27">
        <v>2</v>
      </c>
      <c r="BH27">
        <v>0</v>
      </c>
      <c r="BI27">
        <v>3</v>
      </c>
      <c r="BJ27">
        <v>0</v>
      </c>
      <c r="BK27">
        <v>1</v>
      </c>
      <c r="BL27">
        <v>1</v>
      </c>
      <c r="BM27">
        <v>0</v>
      </c>
      <c r="BN27">
        <v>0</v>
      </c>
      <c r="BO27">
        <f t="shared" si="4"/>
        <v>7</v>
      </c>
      <c r="BP27">
        <f t="shared" si="4"/>
        <v>4</v>
      </c>
      <c r="BQ27">
        <f t="shared" si="20"/>
        <v>11</v>
      </c>
      <c r="BR27">
        <v>1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f t="shared" si="6"/>
        <v>6</v>
      </c>
      <c r="CI27">
        <f t="shared" si="6"/>
        <v>0</v>
      </c>
      <c r="CJ27">
        <f t="shared" si="21"/>
        <v>6</v>
      </c>
      <c r="CK27">
        <v>2</v>
      </c>
      <c r="CL27">
        <v>3</v>
      </c>
      <c r="CM27">
        <v>3</v>
      </c>
      <c r="CN27">
        <v>6</v>
      </c>
      <c r="CO27">
        <v>1</v>
      </c>
      <c r="CP27">
        <v>0</v>
      </c>
      <c r="CQ27">
        <v>7</v>
      </c>
      <c r="CR27">
        <v>5</v>
      </c>
      <c r="CS27">
        <v>2</v>
      </c>
      <c r="CT27">
        <v>0</v>
      </c>
      <c r="CU27">
        <v>1</v>
      </c>
      <c r="CV27">
        <v>0</v>
      </c>
      <c r="CW27">
        <v>2</v>
      </c>
      <c r="CX27">
        <v>0</v>
      </c>
      <c r="CY27">
        <v>0</v>
      </c>
      <c r="CZ27">
        <v>0</v>
      </c>
      <c r="DA27">
        <f t="shared" si="8"/>
        <v>18</v>
      </c>
      <c r="DB27">
        <f t="shared" si="8"/>
        <v>14</v>
      </c>
      <c r="DC27">
        <f t="shared" si="22"/>
        <v>32</v>
      </c>
      <c r="DD27">
        <v>0</v>
      </c>
      <c r="DE27">
        <v>2</v>
      </c>
      <c r="DF27">
        <v>1</v>
      </c>
      <c r="DG27">
        <v>0</v>
      </c>
      <c r="DH27">
        <v>2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3</v>
      </c>
      <c r="DO27">
        <v>2</v>
      </c>
      <c r="DP27">
        <v>2</v>
      </c>
      <c r="DQ27">
        <v>0</v>
      </c>
      <c r="DR27">
        <v>0</v>
      </c>
      <c r="DS27">
        <v>0</v>
      </c>
      <c r="DT27">
        <f t="shared" si="10"/>
        <v>8</v>
      </c>
      <c r="DU27">
        <f t="shared" si="10"/>
        <v>5</v>
      </c>
      <c r="DV27">
        <f t="shared" si="23"/>
        <v>13</v>
      </c>
      <c r="DW27">
        <v>9</v>
      </c>
      <c r="DX27">
        <v>7</v>
      </c>
      <c r="DY27">
        <v>7</v>
      </c>
      <c r="DZ27">
        <v>1</v>
      </c>
      <c r="EA27">
        <v>10</v>
      </c>
      <c r="EB27">
        <v>8</v>
      </c>
      <c r="EC27">
        <v>6</v>
      </c>
      <c r="ED27">
        <v>2</v>
      </c>
      <c r="EE27">
        <v>9</v>
      </c>
      <c r="EF27">
        <v>5</v>
      </c>
      <c r="EG27">
        <v>13</v>
      </c>
      <c r="EH27">
        <v>4</v>
      </c>
      <c r="EI27">
        <v>6</v>
      </c>
      <c r="EJ27">
        <v>11</v>
      </c>
      <c r="EK27">
        <v>0</v>
      </c>
      <c r="EL27">
        <v>0</v>
      </c>
      <c r="EM27">
        <f t="shared" si="12"/>
        <v>60</v>
      </c>
      <c r="EN27">
        <f t="shared" si="12"/>
        <v>38</v>
      </c>
      <c r="EO27">
        <f t="shared" si="24"/>
        <v>98</v>
      </c>
      <c r="EP27">
        <v>33</v>
      </c>
      <c r="EQ27">
        <v>29</v>
      </c>
      <c r="ER27">
        <v>46</v>
      </c>
      <c r="ES27">
        <v>47</v>
      </c>
      <c r="ET27">
        <v>37</v>
      </c>
      <c r="EU27">
        <v>38</v>
      </c>
      <c r="EV27">
        <v>39</v>
      </c>
      <c r="EW27">
        <v>37</v>
      </c>
      <c r="EX27">
        <v>43</v>
      </c>
      <c r="EY27">
        <v>35</v>
      </c>
      <c r="EZ27">
        <v>36</v>
      </c>
      <c r="FA27">
        <v>33</v>
      </c>
      <c r="FB27">
        <v>29</v>
      </c>
      <c r="FC27">
        <v>40</v>
      </c>
      <c r="FD27">
        <v>0</v>
      </c>
      <c r="FE27">
        <v>0</v>
      </c>
      <c r="FF27">
        <f t="shared" si="14"/>
        <v>263</v>
      </c>
      <c r="FG27">
        <f t="shared" si="14"/>
        <v>259</v>
      </c>
      <c r="FH27">
        <f t="shared" si="25"/>
        <v>522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</v>
      </c>
      <c r="FP27">
        <v>0</v>
      </c>
      <c r="FQ27">
        <v>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f t="shared" si="16"/>
        <v>3</v>
      </c>
      <c r="FZ27">
        <f t="shared" si="16"/>
        <v>0</v>
      </c>
      <c r="GA27">
        <f t="shared" si="26"/>
        <v>3</v>
      </c>
    </row>
    <row r="28" spans="1:183" x14ac:dyDescent="0.25">
      <c r="A28" t="s">
        <v>179</v>
      </c>
      <c r="B28" t="s">
        <v>185</v>
      </c>
      <c r="C28" t="s">
        <v>222</v>
      </c>
      <c r="D28">
        <v>129390</v>
      </c>
      <c r="E28" t="s">
        <v>235</v>
      </c>
      <c r="F28" t="s">
        <v>236</v>
      </c>
      <c r="G28" t="s">
        <v>189</v>
      </c>
      <c r="H28" t="s">
        <v>190</v>
      </c>
      <c r="I28" t="s">
        <v>180</v>
      </c>
      <c r="J28" t="s">
        <v>228</v>
      </c>
      <c r="K28" t="s">
        <v>181</v>
      </c>
      <c r="L28" s="13" t="s">
        <v>182</v>
      </c>
      <c r="M28">
        <v>17</v>
      </c>
      <c r="N28">
        <v>32</v>
      </c>
      <c r="O28">
        <v>72</v>
      </c>
      <c r="P28">
        <v>60</v>
      </c>
      <c r="Q28">
        <v>44</v>
      </c>
      <c r="R28">
        <v>39</v>
      </c>
      <c r="S28">
        <v>55</v>
      </c>
      <c r="T28">
        <v>37</v>
      </c>
      <c r="U28">
        <v>35</v>
      </c>
      <c r="V28">
        <v>44</v>
      </c>
      <c r="W28">
        <v>38</v>
      </c>
      <c r="X28">
        <v>42</v>
      </c>
      <c r="Y28">
        <v>44</v>
      </c>
      <c r="Z28">
        <v>54</v>
      </c>
      <c r="AA28">
        <v>0</v>
      </c>
      <c r="AB28">
        <v>0</v>
      </c>
      <c r="AC28">
        <f t="shared" si="0"/>
        <v>305</v>
      </c>
      <c r="AD28">
        <f t="shared" si="0"/>
        <v>308</v>
      </c>
      <c r="AE28">
        <f t="shared" si="18"/>
        <v>613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2</v>
      </c>
      <c r="AS28">
        <v>0</v>
      </c>
      <c r="AT28">
        <v>0</v>
      </c>
      <c r="AU28">
        <v>0</v>
      </c>
      <c r="AV28">
        <f t="shared" si="2"/>
        <v>2</v>
      </c>
      <c r="AW28">
        <f t="shared" si="2"/>
        <v>2</v>
      </c>
      <c r="AX28">
        <f t="shared" si="19"/>
        <v>4</v>
      </c>
      <c r="AY28">
        <v>2</v>
      </c>
      <c r="AZ28">
        <v>0</v>
      </c>
      <c r="BA28">
        <v>0</v>
      </c>
      <c r="BB28">
        <v>0</v>
      </c>
      <c r="BC28">
        <v>3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2</v>
      </c>
      <c r="BJ28">
        <v>0</v>
      </c>
      <c r="BK28">
        <v>1</v>
      </c>
      <c r="BL28">
        <v>1</v>
      </c>
      <c r="BM28">
        <v>0</v>
      </c>
      <c r="BN28">
        <v>0</v>
      </c>
      <c r="BO28">
        <f t="shared" si="4"/>
        <v>8</v>
      </c>
      <c r="BP28">
        <f t="shared" si="4"/>
        <v>2</v>
      </c>
      <c r="BQ28">
        <f t="shared" si="20"/>
        <v>10</v>
      </c>
      <c r="BR28">
        <v>0</v>
      </c>
      <c r="BS28">
        <v>2</v>
      </c>
      <c r="BT28">
        <v>0</v>
      </c>
      <c r="BU28">
        <v>1</v>
      </c>
      <c r="BV28">
        <v>0</v>
      </c>
      <c r="BW28">
        <v>1</v>
      </c>
      <c r="BX28">
        <v>1</v>
      </c>
      <c r="BY28">
        <v>1</v>
      </c>
      <c r="BZ28">
        <v>0</v>
      </c>
      <c r="CA28">
        <v>0</v>
      </c>
      <c r="CB28">
        <v>2</v>
      </c>
      <c r="CC28">
        <v>1</v>
      </c>
      <c r="CD28">
        <v>0</v>
      </c>
      <c r="CE28">
        <v>0</v>
      </c>
      <c r="CF28">
        <v>0</v>
      </c>
      <c r="CG28">
        <v>0</v>
      </c>
      <c r="CH28">
        <f t="shared" si="6"/>
        <v>3</v>
      </c>
      <c r="CI28">
        <f t="shared" si="6"/>
        <v>6</v>
      </c>
      <c r="CJ28">
        <f t="shared" si="21"/>
        <v>9</v>
      </c>
      <c r="CK28">
        <v>0</v>
      </c>
      <c r="CL28">
        <v>3</v>
      </c>
      <c r="CM28">
        <v>1</v>
      </c>
      <c r="CN28">
        <v>2</v>
      </c>
      <c r="CO28">
        <v>2</v>
      </c>
      <c r="CP28">
        <v>2</v>
      </c>
      <c r="CQ28">
        <v>1</v>
      </c>
      <c r="CR28">
        <v>2</v>
      </c>
      <c r="CS28">
        <v>0</v>
      </c>
      <c r="CT28">
        <v>2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f t="shared" si="8"/>
        <v>4</v>
      </c>
      <c r="DB28">
        <f t="shared" si="8"/>
        <v>11</v>
      </c>
      <c r="DC28">
        <f t="shared" si="22"/>
        <v>15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2</v>
      </c>
      <c r="DO28">
        <v>6</v>
      </c>
      <c r="DP28">
        <v>2</v>
      </c>
      <c r="DQ28">
        <v>0</v>
      </c>
      <c r="DR28">
        <v>0</v>
      </c>
      <c r="DS28">
        <v>0</v>
      </c>
      <c r="DT28">
        <f t="shared" si="10"/>
        <v>4</v>
      </c>
      <c r="DU28">
        <f t="shared" si="10"/>
        <v>6</v>
      </c>
      <c r="DV28">
        <f t="shared" si="23"/>
        <v>10</v>
      </c>
      <c r="DW28">
        <v>1</v>
      </c>
      <c r="DX28">
        <v>1</v>
      </c>
      <c r="DY28">
        <v>0</v>
      </c>
      <c r="DZ28">
        <v>1</v>
      </c>
      <c r="EA28">
        <v>1</v>
      </c>
      <c r="EB28">
        <v>0</v>
      </c>
      <c r="EC28">
        <v>1</v>
      </c>
      <c r="ED28">
        <v>2</v>
      </c>
      <c r="EE28">
        <v>1</v>
      </c>
      <c r="EF28">
        <v>1</v>
      </c>
      <c r="EG28">
        <v>2</v>
      </c>
      <c r="EH28">
        <v>2</v>
      </c>
      <c r="EI28">
        <v>0</v>
      </c>
      <c r="EJ28">
        <v>1</v>
      </c>
      <c r="EK28">
        <v>0</v>
      </c>
      <c r="EL28">
        <v>0</v>
      </c>
      <c r="EM28">
        <f t="shared" si="12"/>
        <v>6</v>
      </c>
      <c r="EN28">
        <f t="shared" si="12"/>
        <v>8</v>
      </c>
      <c r="EO28">
        <f t="shared" si="24"/>
        <v>14</v>
      </c>
      <c r="EP28">
        <v>18</v>
      </c>
      <c r="EQ28">
        <v>36</v>
      </c>
      <c r="ER28">
        <v>71</v>
      </c>
      <c r="ES28">
        <v>60</v>
      </c>
      <c r="ET28">
        <v>48</v>
      </c>
      <c r="EU28">
        <v>42</v>
      </c>
      <c r="EV28">
        <v>55</v>
      </c>
      <c r="EW28">
        <v>39</v>
      </c>
      <c r="EX28">
        <v>34</v>
      </c>
      <c r="EY28">
        <v>42</v>
      </c>
      <c r="EZ28">
        <v>38</v>
      </c>
      <c r="FA28">
        <v>37</v>
      </c>
      <c r="FB28">
        <v>45</v>
      </c>
      <c r="FC28">
        <v>52</v>
      </c>
      <c r="FD28">
        <v>0</v>
      </c>
      <c r="FE28">
        <v>0</v>
      </c>
      <c r="FF28">
        <f t="shared" si="14"/>
        <v>309</v>
      </c>
      <c r="FG28">
        <f t="shared" si="14"/>
        <v>308</v>
      </c>
      <c r="FH28">
        <f t="shared" si="25"/>
        <v>617</v>
      </c>
      <c r="FI28">
        <v>0</v>
      </c>
      <c r="FJ28">
        <v>0</v>
      </c>
      <c r="FK28">
        <v>2</v>
      </c>
      <c r="FL28">
        <v>2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3</v>
      </c>
      <c r="FS28">
        <v>0</v>
      </c>
      <c r="FT28">
        <v>0</v>
      </c>
      <c r="FU28">
        <v>0</v>
      </c>
      <c r="FV28">
        <v>2</v>
      </c>
      <c r="FW28">
        <v>0</v>
      </c>
      <c r="FX28">
        <v>0</v>
      </c>
      <c r="FY28">
        <f t="shared" si="16"/>
        <v>3</v>
      </c>
      <c r="FZ28">
        <f t="shared" si="16"/>
        <v>7</v>
      </c>
      <c r="GA28">
        <f t="shared" si="26"/>
        <v>10</v>
      </c>
    </row>
    <row r="29" spans="1:183" x14ac:dyDescent="0.25">
      <c r="A29" t="s">
        <v>179</v>
      </c>
      <c r="B29" t="s">
        <v>185</v>
      </c>
      <c r="C29" t="s">
        <v>222</v>
      </c>
      <c r="D29">
        <v>129391</v>
      </c>
      <c r="E29" t="s">
        <v>237</v>
      </c>
      <c r="F29" t="s">
        <v>238</v>
      </c>
      <c r="G29" t="s">
        <v>189</v>
      </c>
      <c r="H29" t="s">
        <v>190</v>
      </c>
      <c r="I29" t="s">
        <v>180</v>
      </c>
      <c r="J29" t="s">
        <v>239</v>
      </c>
      <c r="K29" t="s">
        <v>181</v>
      </c>
      <c r="L29" s="13" t="s">
        <v>182</v>
      </c>
      <c r="M29">
        <v>11</v>
      </c>
      <c r="N29">
        <v>17</v>
      </c>
      <c r="O29">
        <v>24</v>
      </c>
      <c r="P29">
        <v>19</v>
      </c>
      <c r="Q29">
        <v>27</v>
      </c>
      <c r="R29">
        <v>17</v>
      </c>
      <c r="S29">
        <v>17</v>
      </c>
      <c r="T29">
        <v>8</v>
      </c>
      <c r="U29">
        <v>22</v>
      </c>
      <c r="V29">
        <v>19</v>
      </c>
      <c r="W29">
        <v>12</v>
      </c>
      <c r="X29">
        <v>18</v>
      </c>
      <c r="Y29">
        <v>22</v>
      </c>
      <c r="Z29">
        <v>21</v>
      </c>
      <c r="AA29">
        <v>0</v>
      </c>
      <c r="AB29">
        <v>0</v>
      </c>
      <c r="AC29">
        <f t="shared" si="0"/>
        <v>135</v>
      </c>
      <c r="AD29">
        <f t="shared" si="0"/>
        <v>119</v>
      </c>
      <c r="AE29">
        <f t="shared" si="18"/>
        <v>254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f t="shared" si="2"/>
        <v>0</v>
      </c>
      <c r="AW29">
        <f t="shared" si="2"/>
        <v>0</v>
      </c>
      <c r="AX29">
        <f t="shared" si="19"/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f t="shared" si="4"/>
        <v>0</v>
      </c>
      <c r="BP29">
        <f t="shared" si="4"/>
        <v>2</v>
      </c>
      <c r="BQ29">
        <f t="shared" si="20"/>
        <v>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f t="shared" si="6"/>
        <v>1</v>
      </c>
      <c r="CI29">
        <f t="shared" si="6"/>
        <v>0</v>
      </c>
      <c r="CJ29">
        <f t="shared" si="21"/>
        <v>1</v>
      </c>
      <c r="CK29">
        <v>1</v>
      </c>
      <c r="CL29">
        <v>0</v>
      </c>
      <c r="CM29">
        <v>4</v>
      </c>
      <c r="CN29">
        <v>2</v>
      </c>
      <c r="CO29">
        <v>0</v>
      </c>
      <c r="CP29">
        <v>3</v>
      </c>
      <c r="CQ29">
        <v>0</v>
      </c>
      <c r="CR29">
        <v>2</v>
      </c>
      <c r="CS29">
        <v>2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f t="shared" si="8"/>
        <v>7</v>
      </c>
      <c r="DB29">
        <f t="shared" si="8"/>
        <v>8</v>
      </c>
      <c r="DC29">
        <f t="shared" si="22"/>
        <v>15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3</v>
      </c>
      <c r="DJ29">
        <v>0</v>
      </c>
      <c r="DK29">
        <v>1</v>
      </c>
      <c r="DL29">
        <v>1</v>
      </c>
      <c r="DM29">
        <v>0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</v>
      </c>
      <c r="DT29">
        <f t="shared" si="10"/>
        <v>4</v>
      </c>
      <c r="DU29">
        <f t="shared" si="10"/>
        <v>6</v>
      </c>
      <c r="DV29">
        <f t="shared" si="23"/>
        <v>10</v>
      </c>
      <c r="DW29">
        <v>1</v>
      </c>
      <c r="DX29">
        <v>6</v>
      </c>
      <c r="DY29">
        <v>7</v>
      </c>
      <c r="DZ29">
        <v>0</v>
      </c>
      <c r="EA29">
        <v>7</v>
      </c>
      <c r="EB29">
        <v>2</v>
      </c>
      <c r="EC29">
        <v>1</v>
      </c>
      <c r="ED29">
        <v>3</v>
      </c>
      <c r="EE29">
        <v>6</v>
      </c>
      <c r="EF29">
        <v>4</v>
      </c>
      <c r="EG29">
        <v>2</v>
      </c>
      <c r="EH29">
        <v>3</v>
      </c>
      <c r="EI29">
        <v>3</v>
      </c>
      <c r="EJ29">
        <v>6</v>
      </c>
      <c r="EK29">
        <v>0</v>
      </c>
      <c r="EL29">
        <v>0</v>
      </c>
      <c r="EM29">
        <f t="shared" si="12"/>
        <v>27</v>
      </c>
      <c r="EN29">
        <f t="shared" si="12"/>
        <v>24</v>
      </c>
      <c r="EO29">
        <f t="shared" si="24"/>
        <v>51</v>
      </c>
      <c r="EP29">
        <v>11</v>
      </c>
      <c r="EQ29">
        <v>13</v>
      </c>
      <c r="ER29">
        <v>20</v>
      </c>
      <c r="ES29">
        <v>20</v>
      </c>
      <c r="ET29">
        <v>18</v>
      </c>
      <c r="EU29">
        <v>15</v>
      </c>
      <c r="EV29">
        <v>17</v>
      </c>
      <c r="EW29">
        <v>6</v>
      </c>
      <c r="EX29">
        <v>17</v>
      </c>
      <c r="EY29">
        <v>17</v>
      </c>
      <c r="EZ29">
        <v>9</v>
      </c>
      <c r="FA29">
        <v>14</v>
      </c>
      <c r="FB29">
        <v>18</v>
      </c>
      <c r="FC29">
        <v>14</v>
      </c>
      <c r="FD29">
        <v>0</v>
      </c>
      <c r="FE29">
        <v>0</v>
      </c>
      <c r="FF29">
        <f t="shared" si="14"/>
        <v>110</v>
      </c>
      <c r="FG29">
        <f t="shared" si="14"/>
        <v>99</v>
      </c>
      <c r="FH29">
        <f t="shared" si="25"/>
        <v>209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f t="shared" si="16"/>
        <v>0</v>
      </c>
      <c r="FZ29">
        <f t="shared" si="16"/>
        <v>0</v>
      </c>
      <c r="GA29">
        <f t="shared" si="26"/>
        <v>0</v>
      </c>
    </row>
    <row r="30" spans="1:183" x14ac:dyDescent="0.25">
      <c r="A30" t="s">
        <v>179</v>
      </c>
      <c r="B30" t="s">
        <v>185</v>
      </c>
      <c r="C30" t="s">
        <v>222</v>
      </c>
      <c r="D30">
        <v>129392</v>
      </c>
      <c r="E30" t="s">
        <v>240</v>
      </c>
      <c r="F30" t="s">
        <v>241</v>
      </c>
      <c r="G30" t="s">
        <v>189</v>
      </c>
      <c r="H30" t="s">
        <v>190</v>
      </c>
      <c r="I30" t="s">
        <v>180</v>
      </c>
      <c r="J30" t="s">
        <v>242</v>
      </c>
      <c r="K30" t="s">
        <v>181</v>
      </c>
      <c r="L30" s="13" t="s">
        <v>182</v>
      </c>
      <c r="M30">
        <v>26</v>
      </c>
      <c r="N30">
        <v>16</v>
      </c>
      <c r="O30">
        <v>23</v>
      </c>
      <c r="P30">
        <v>23</v>
      </c>
      <c r="Q30">
        <v>33</v>
      </c>
      <c r="R30">
        <v>23</v>
      </c>
      <c r="S30">
        <v>22</v>
      </c>
      <c r="T30">
        <v>15</v>
      </c>
      <c r="U30">
        <v>17</v>
      </c>
      <c r="V30">
        <v>21</v>
      </c>
      <c r="W30">
        <v>31</v>
      </c>
      <c r="X30">
        <v>13</v>
      </c>
      <c r="Y30">
        <v>24</v>
      </c>
      <c r="Z30">
        <v>13</v>
      </c>
      <c r="AA30">
        <v>0</v>
      </c>
      <c r="AB30">
        <v>0</v>
      </c>
      <c r="AC30">
        <f t="shared" si="0"/>
        <v>176</v>
      </c>
      <c r="AD30">
        <f t="shared" si="0"/>
        <v>124</v>
      </c>
      <c r="AE30">
        <f t="shared" si="18"/>
        <v>300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f t="shared" si="2"/>
        <v>1</v>
      </c>
      <c r="AW30">
        <f t="shared" si="2"/>
        <v>1</v>
      </c>
      <c r="AX30">
        <f t="shared" si="19"/>
        <v>2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0</v>
      </c>
      <c r="BO30">
        <f t="shared" si="4"/>
        <v>4</v>
      </c>
      <c r="BP30">
        <f t="shared" si="4"/>
        <v>2</v>
      </c>
      <c r="BQ30">
        <f t="shared" si="20"/>
        <v>6</v>
      </c>
      <c r="BR30">
        <v>2</v>
      </c>
      <c r="BS30">
        <v>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f t="shared" si="6"/>
        <v>3</v>
      </c>
      <c r="CI30">
        <f t="shared" si="6"/>
        <v>2</v>
      </c>
      <c r="CJ30">
        <f t="shared" si="21"/>
        <v>5</v>
      </c>
      <c r="CK30">
        <v>0</v>
      </c>
      <c r="CL30">
        <v>0</v>
      </c>
      <c r="CM30">
        <v>2</v>
      </c>
      <c r="CN30">
        <v>2</v>
      </c>
      <c r="CO30">
        <v>4</v>
      </c>
      <c r="CP30">
        <v>0</v>
      </c>
      <c r="CQ30">
        <v>0</v>
      </c>
      <c r="CR30">
        <v>1</v>
      </c>
      <c r="CS30">
        <v>2</v>
      </c>
      <c r="CT30">
        <v>1</v>
      </c>
      <c r="CU30">
        <v>3</v>
      </c>
      <c r="CV30">
        <v>2</v>
      </c>
      <c r="CW30">
        <v>2</v>
      </c>
      <c r="CX30">
        <v>0</v>
      </c>
      <c r="CY30">
        <v>0</v>
      </c>
      <c r="CZ30">
        <v>0</v>
      </c>
      <c r="DA30">
        <f t="shared" si="8"/>
        <v>13</v>
      </c>
      <c r="DB30">
        <f t="shared" si="8"/>
        <v>6</v>
      </c>
      <c r="DC30">
        <f t="shared" si="22"/>
        <v>19</v>
      </c>
      <c r="DD30">
        <v>0</v>
      </c>
      <c r="DE30">
        <v>4</v>
      </c>
      <c r="DF30">
        <v>0</v>
      </c>
      <c r="DG30">
        <v>1</v>
      </c>
      <c r="DH30">
        <v>1</v>
      </c>
      <c r="DI30">
        <v>1</v>
      </c>
      <c r="DJ30">
        <v>1</v>
      </c>
      <c r="DK30">
        <v>2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1</v>
      </c>
      <c r="DR30">
        <v>0</v>
      </c>
      <c r="DS30">
        <v>0</v>
      </c>
      <c r="DT30">
        <f t="shared" si="10"/>
        <v>3</v>
      </c>
      <c r="DU30">
        <f t="shared" si="10"/>
        <v>9</v>
      </c>
      <c r="DV30">
        <f t="shared" si="23"/>
        <v>12</v>
      </c>
      <c r="DW30">
        <v>4</v>
      </c>
      <c r="DX30">
        <v>1</v>
      </c>
      <c r="DY30">
        <v>2</v>
      </c>
      <c r="DZ30">
        <v>1</v>
      </c>
      <c r="EA30">
        <v>4</v>
      </c>
      <c r="EB30">
        <v>4</v>
      </c>
      <c r="EC30">
        <v>8</v>
      </c>
      <c r="ED30">
        <v>3</v>
      </c>
      <c r="EE30">
        <v>4</v>
      </c>
      <c r="EF30">
        <v>6</v>
      </c>
      <c r="EG30">
        <v>5</v>
      </c>
      <c r="EH30">
        <v>8</v>
      </c>
      <c r="EI30">
        <v>5</v>
      </c>
      <c r="EJ30">
        <v>3</v>
      </c>
      <c r="EK30">
        <v>0</v>
      </c>
      <c r="EL30">
        <v>0</v>
      </c>
      <c r="EM30">
        <f t="shared" si="12"/>
        <v>32</v>
      </c>
      <c r="EN30">
        <f t="shared" si="12"/>
        <v>26</v>
      </c>
      <c r="EO30">
        <f t="shared" si="24"/>
        <v>58</v>
      </c>
      <c r="EP30">
        <v>24</v>
      </c>
      <c r="EQ30">
        <v>16</v>
      </c>
      <c r="ER30">
        <v>24</v>
      </c>
      <c r="ES30">
        <v>20</v>
      </c>
      <c r="ET30">
        <v>29</v>
      </c>
      <c r="EU30">
        <v>18</v>
      </c>
      <c r="EV30">
        <v>14</v>
      </c>
      <c r="EW30">
        <v>11</v>
      </c>
      <c r="EX30">
        <v>12</v>
      </c>
      <c r="EY30">
        <v>18</v>
      </c>
      <c r="EZ30">
        <v>14</v>
      </c>
      <c r="FA30">
        <v>15</v>
      </c>
      <c r="FB30">
        <v>21</v>
      </c>
      <c r="FC30">
        <v>10</v>
      </c>
      <c r="FD30">
        <v>0</v>
      </c>
      <c r="FE30">
        <v>0</v>
      </c>
      <c r="FF30">
        <f t="shared" si="14"/>
        <v>138</v>
      </c>
      <c r="FG30">
        <f t="shared" si="14"/>
        <v>108</v>
      </c>
      <c r="FH30">
        <f t="shared" si="25"/>
        <v>246</v>
      </c>
      <c r="FI30">
        <v>0</v>
      </c>
      <c r="FJ30">
        <v>2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f t="shared" si="16"/>
        <v>0</v>
      </c>
      <c r="FZ30">
        <f t="shared" si="16"/>
        <v>2</v>
      </c>
      <c r="GA30">
        <f t="shared" si="26"/>
        <v>2</v>
      </c>
    </row>
    <row r="31" spans="1:183" x14ac:dyDescent="0.25">
      <c r="A31" t="s">
        <v>179</v>
      </c>
      <c r="B31" t="s">
        <v>185</v>
      </c>
      <c r="C31" t="s">
        <v>222</v>
      </c>
      <c r="D31">
        <v>129393</v>
      </c>
      <c r="E31" t="s">
        <v>243</v>
      </c>
      <c r="F31" t="s">
        <v>244</v>
      </c>
      <c r="G31" t="s">
        <v>189</v>
      </c>
      <c r="H31" t="s">
        <v>190</v>
      </c>
      <c r="I31" t="s">
        <v>180</v>
      </c>
      <c r="J31" t="s">
        <v>245</v>
      </c>
      <c r="K31" t="s">
        <v>181</v>
      </c>
      <c r="L31" s="13" t="s">
        <v>182</v>
      </c>
      <c r="M31">
        <v>3</v>
      </c>
      <c r="N31">
        <v>5</v>
      </c>
      <c r="O31">
        <v>2</v>
      </c>
      <c r="P31">
        <v>5</v>
      </c>
      <c r="Q31">
        <v>8</v>
      </c>
      <c r="R31">
        <v>1</v>
      </c>
      <c r="S31">
        <v>1</v>
      </c>
      <c r="T31">
        <v>4</v>
      </c>
      <c r="U31">
        <v>5</v>
      </c>
      <c r="V31">
        <v>2</v>
      </c>
      <c r="W31">
        <v>1</v>
      </c>
      <c r="X31">
        <v>3</v>
      </c>
      <c r="Y31">
        <v>2</v>
      </c>
      <c r="Z31">
        <v>2</v>
      </c>
      <c r="AA31">
        <v>1</v>
      </c>
      <c r="AB31">
        <v>0</v>
      </c>
      <c r="AC31">
        <f t="shared" si="0"/>
        <v>23</v>
      </c>
      <c r="AD31">
        <f t="shared" si="0"/>
        <v>22</v>
      </c>
      <c r="AE31">
        <f t="shared" si="18"/>
        <v>45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f t="shared" si="2"/>
        <v>0</v>
      </c>
      <c r="AW31">
        <f t="shared" si="2"/>
        <v>0</v>
      </c>
      <c r="AX31">
        <f t="shared" si="19"/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f t="shared" si="4"/>
        <v>0</v>
      </c>
      <c r="BP31">
        <f t="shared" si="4"/>
        <v>0</v>
      </c>
      <c r="BQ31">
        <f t="shared" si="20"/>
        <v>0</v>
      </c>
      <c r="BR31">
        <v>0</v>
      </c>
      <c r="BS31">
        <v>1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f t="shared" si="6"/>
        <v>1</v>
      </c>
      <c r="CI31">
        <f t="shared" si="6"/>
        <v>1</v>
      </c>
      <c r="CJ31">
        <f t="shared" si="21"/>
        <v>2</v>
      </c>
      <c r="CK31">
        <v>3</v>
      </c>
      <c r="CL31">
        <v>2</v>
      </c>
      <c r="CM31">
        <v>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f t="shared" si="8"/>
        <v>8</v>
      </c>
      <c r="DB31">
        <f t="shared" si="8"/>
        <v>2</v>
      </c>
      <c r="DC31">
        <f t="shared" si="22"/>
        <v>10</v>
      </c>
      <c r="DD31">
        <v>0</v>
      </c>
      <c r="DE31">
        <v>1</v>
      </c>
      <c r="DF31">
        <v>0</v>
      </c>
      <c r="DG31">
        <v>1</v>
      </c>
      <c r="DH31">
        <v>2</v>
      </c>
      <c r="DI31">
        <v>1</v>
      </c>
      <c r="DJ31">
        <v>1</v>
      </c>
      <c r="DK31">
        <v>0</v>
      </c>
      <c r="DL31">
        <v>1</v>
      </c>
      <c r="DM31">
        <v>1</v>
      </c>
      <c r="DN31">
        <v>0</v>
      </c>
      <c r="DO31">
        <v>1</v>
      </c>
      <c r="DP31">
        <v>1</v>
      </c>
      <c r="DQ31">
        <v>1</v>
      </c>
      <c r="DR31">
        <v>0</v>
      </c>
      <c r="DS31">
        <v>0</v>
      </c>
      <c r="DT31">
        <f t="shared" si="10"/>
        <v>5</v>
      </c>
      <c r="DU31">
        <f t="shared" si="10"/>
        <v>6</v>
      </c>
      <c r="DV31">
        <f t="shared" si="23"/>
        <v>11</v>
      </c>
      <c r="DW31">
        <v>3</v>
      </c>
      <c r="DX31">
        <v>3</v>
      </c>
      <c r="DY31">
        <v>3</v>
      </c>
      <c r="DZ31">
        <v>1</v>
      </c>
      <c r="EA31">
        <v>3</v>
      </c>
      <c r="EB31">
        <v>0</v>
      </c>
      <c r="EC31">
        <v>0</v>
      </c>
      <c r="ED31">
        <v>1</v>
      </c>
      <c r="EE31">
        <v>1</v>
      </c>
      <c r="EF31">
        <v>0</v>
      </c>
      <c r="EG31">
        <v>0</v>
      </c>
      <c r="EH31">
        <v>2</v>
      </c>
      <c r="EI31">
        <v>0</v>
      </c>
      <c r="EJ31">
        <v>0</v>
      </c>
      <c r="EK31">
        <v>0</v>
      </c>
      <c r="EL31">
        <v>0</v>
      </c>
      <c r="EM31">
        <f t="shared" si="12"/>
        <v>10</v>
      </c>
      <c r="EN31">
        <f t="shared" si="12"/>
        <v>7</v>
      </c>
      <c r="EO31">
        <f t="shared" si="24"/>
        <v>17</v>
      </c>
      <c r="EP31">
        <v>3</v>
      </c>
      <c r="EQ31">
        <v>4</v>
      </c>
      <c r="ER31">
        <v>5</v>
      </c>
      <c r="ES31">
        <v>3</v>
      </c>
      <c r="ET31">
        <v>3</v>
      </c>
      <c r="EU31">
        <v>0</v>
      </c>
      <c r="EV31">
        <v>0</v>
      </c>
      <c r="EW31">
        <v>3</v>
      </c>
      <c r="EX31">
        <v>3</v>
      </c>
      <c r="EY31">
        <v>1</v>
      </c>
      <c r="EZ31">
        <v>1</v>
      </c>
      <c r="FA31">
        <v>0</v>
      </c>
      <c r="FB31">
        <v>1</v>
      </c>
      <c r="FC31">
        <v>1</v>
      </c>
      <c r="FD31">
        <v>1</v>
      </c>
      <c r="FE31">
        <v>0</v>
      </c>
      <c r="FF31">
        <f t="shared" si="14"/>
        <v>17</v>
      </c>
      <c r="FG31">
        <f t="shared" si="14"/>
        <v>12</v>
      </c>
      <c r="FH31">
        <f t="shared" si="25"/>
        <v>29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f t="shared" si="16"/>
        <v>0</v>
      </c>
      <c r="FZ31">
        <f t="shared" si="16"/>
        <v>0</v>
      </c>
      <c r="GA31">
        <f t="shared" si="26"/>
        <v>0</v>
      </c>
    </row>
    <row r="32" spans="1:183" x14ac:dyDescent="0.25">
      <c r="A32" t="s">
        <v>179</v>
      </c>
      <c r="B32" t="s">
        <v>185</v>
      </c>
      <c r="C32" t="s">
        <v>222</v>
      </c>
      <c r="D32">
        <v>129394</v>
      </c>
      <c r="E32" t="s">
        <v>246</v>
      </c>
      <c r="F32" t="s">
        <v>247</v>
      </c>
      <c r="G32" t="s">
        <v>189</v>
      </c>
      <c r="H32" t="s">
        <v>190</v>
      </c>
      <c r="I32" t="s">
        <v>180</v>
      </c>
      <c r="J32" t="s">
        <v>239</v>
      </c>
      <c r="K32" t="s">
        <v>181</v>
      </c>
      <c r="L32" s="13" t="s">
        <v>182</v>
      </c>
      <c r="M32">
        <v>8</v>
      </c>
      <c r="N32">
        <v>6</v>
      </c>
      <c r="O32">
        <v>10</v>
      </c>
      <c r="P32">
        <v>7</v>
      </c>
      <c r="Q32">
        <v>12</v>
      </c>
      <c r="R32">
        <v>10</v>
      </c>
      <c r="S32">
        <v>6</v>
      </c>
      <c r="T32">
        <v>6</v>
      </c>
      <c r="U32">
        <v>4</v>
      </c>
      <c r="V32">
        <v>7</v>
      </c>
      <c r="W32">
        <v>6</v>
      </c>
      <c r="X32">
        <v>6</v>
      </c>
      <c r="Y32">
        <v>7</v>
      </c>
      <c r="Z32">
        <v>6</v>
      </c>
      <c r="AA32">
        <v>0</v>
      </c>
      <c r="AB32">
        <v>0</v>
      </c>
      <c r="AC32">
        <f t="shared" si="0"/>
        <v>53</v>
      </c>
      <c r="AD32">
        <f t="shared" si="0"/>
        <v>48</v>
      </c>
      <c r="AE32">
        <f t="shared" si="18"/>
        <v>101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f t="shared" si="2"/>
        <v>0</v>
      </c>
      <c r="AW32">
        <f t="shared" si="2"/>
        <v>0</v>
      </c>
      <c r="AX32">
        <f t="shared" si="19"/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f t="shared" si="4"/>
        <v>0</v>
      </c>
      <c r="BP32">
        <f t="shared" si="4"/>
        <v>0</v>
      </c>
      <c r="BQ32">
        <f t="shared" si="20"/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f t="shared" si="6"/>
        <v>0</v>
      </c>
      <c r="CI32">
        <f t="shared" si="6"/>
        <v>0</v>
      </c>
      <c r="CJ32">
        <f t="shared" si="21"/>
        <v>0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0</v>
      </c>
      <c r="CQ32">
        <v>1</v>
      </c>
      <c r="CR32">
        <v>0</v>
      </c>
      <c r="CS32">
        <v>0</v>
      </c>
      <c r="CT32">
        <v>2</v>
      </c>
      <c r="CU32">
        <v>0</v>
      </c>
      <c r="CV32">
        <v>1</v>
      </c>
      <c r="CW32">
        <v>0</v>
      </c>
      <c r="CX32">
        <v>1</v>
      </c>
      <c r="CY32">
        <v>0</v>
      </c>
      <c r="CZ32">
        <v>0</v>
      </c>
      <c r="DA32">
        <f t="shared" si="8"/>
        <v>4</v>
      </c>
      <c r="DB32">
        <f t="shared" si="8"/>
        <v>4</v>
      </c>
      <c r="DC32">
        <f t="shared" si="22"/>
        <v>8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f t="shared" si="10"/>
        <v>0</v>
      </c>
      <c r="DU32">
        <f t="shared" si="10"/>
        <v>1</v>
      </c>
      <c r="DV32">
        <f t="shared" si="23"/>
        <v>1</v>
      </c>
      <c r="DW32">
        <v>5</v>
      </c>
      <c r="DX32">
        <v>1</v>
      </c>
      <c r="DY32">
        <v>3</v>
      </c>
      <c r="DZ32">
        <v>1</v>
      </c>
      <c r="EA32">
        <v>8</v>
      </c>
      <c r="EB32">
        <v>1</v>
      </c>
      <c r="EC32">
        <v>2</v>
      </c>
      <c r="ED32">
        <v>1</v>
      </c>
      <c r="EE32">
        <v>1</v>
      </c>
      <c r="EF32">
        <v>2</v>
      </c>
      <c r="EG32">
        <v>2</v>
      </c>
      <c r="EH32">
        <v>5</v>
      </c>
      <c r="EI32">
        <v>1</v>
      </c>
      <c r="EJ32">
        <v>1</v>
      </c>
      <c r="EK32">
        <v>0</v>
      </c>
      <c r="EL32">
        <v>0</v>
      </c>
      <c r="EM32">
        <f t="shared" si="12"/>
        <v>22</v>
      </c>
      <c r="EN32">
        <f t="shared" si="12"/>
        <v>12</v>
      </c>
      <c r="EO32">
        <f t="shared" si="24"/>
        <v>34</v>
      </c>
      <c r="EP32">
        <v>4</v>
      </c>
      <c r="EQ32">
        <v>5</v>
      </c>
      <c r="ER32">
        <v>8</v>
      </c>
      <c r="ES32">
        <v>6</v>
      </c>
      <c r="ET32">
        <v>5</v>
      </c>
      <c r="EU32">
        <v>9</v>
      </c>
      <c r="EV32">
        <v>5</v>
      </c>
      <c r="EW32">
        <v>5</v>
      </c>
      <c r="EX32">
        <v>3</v>
      </c>
      <c r="EY32">
        <v>6</v>
      </c>
      <c r="EZ32">
        <v>4</v>
      </c>
      <c r="FA32">
        <v>2</v>
      </c>
      <c r="FB32">
        <v>2</v>
      </c>
      <c r="FC32">
        <v>2</v>
      </c>
      <c r="FD32">
        <v>0</v>
      </c>
      <c r="FE32">
        <v>0</v>
      </c>
      <c r="FF32">
        <f t="shared" si="14"/>
        <v>31</v>
      </c>
      <c r="FG32">
        <f t="shared" si="14"/>
        <v>35</v>
      </c>
      <c r="FH32">
        <f t="shared" si="25"/>
        <v>66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4</v>
      </c>
      <c r="FV32">
        <v>4</v>
      </c>
      <c r="FW32">
        <v>0</v>
      </c>
      <c r="FX32">
        <v>0</v>
      </c>
      <c r="FY32">
        <f t="shared" si="16"/>
        <v>4</v>
      </c>
      <c r="FZ32">
        <f t="shared" si="16"/>
        <v>4</v>
      </c>
      <c r="GA32">
        <f t="shared" si="26"/>
        <v>8</v>
      </c>
    </row>
    <row r="33" spans="1:183" x14ac:dyDescent="0.25">
      <c r="A33" t="s">
        <v>179</v>
      </c>
      <c r="B33" t="s">
        <v>185</v>
      </c>
      <c r="C33" t="s">
        <v>222</v>
      </c>
      <c r="D33">
        <v>129395</v>
      </c>
      <c r="E33" t="s">
        <v>248</v>
      </c>
      <c r="F33" t="s">
        <v>249</v>
      </c>
      <c r="G33" t="s">
        <v>189</v>
      </c>
      <c r="H33" t="s">
        <v>190</v>
      </c>
      <c r="I33" t="s">
        <v>180</v>
      </c>
      <c r="J33" t="s">
        <v>234</v>
      </c>
      <c r="K33" t="s">
        <v>181</v>
      </c>
      <c r="L33" s="13" t="s">
        <v>182</v>
      </c>
      <c r="M33">
        <v>31</v>
      </c>
      <c r="N33">
        <v>48</v>
      </c>
      <c r="O33">
        <v>56</v>
      </c>
      <c r="P33">
        <v>38</v>
      </c>
      <c r="Q33">
        <v>53</v>
      </c>
      <c r="R33">
        <v>34</v>
      </c>
      <c r="S33">
        <v>48</v>
      </c>
      <c r="T33">
        <v>28</v>
      </c>
      <c r="U33">
        <v>37</v>
      </c>
      <c r="V33">
        <v>36</v>
      </c>
      <c r="W33">
        <v>35</v>
      </c>
      <c r="X33">
        <v>39</v>
      </c>
      <c r="Y33">
        <v>31</v>
      </c>
      <c r="Z33">
        <v>76</v>
      </c>
      <c r="AA33">
        <v>0</v>
      </c>
      <c r="AB33">
        <v>0</v>
      </c>
      <c r="AC33">
        <f t="shared" si="0"/>
        <v>291</v>
      </c>
      <c r="AD33">
        <f t="shared" si="0"/>
        <v>299</v>
      </c>
      <c r="AE33">
        <f t="shared" si="18"/>
        <v>590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f t="shared" si="2"/>
        <v>1</v>
      </c>
      <c r="AW33">
        <f t="shared" si="2"/>
        <v>1</v>
      </c>
      <c r="AX33">
        <f t="shared" si="19"/>
        <v>2</v>
      </c>
      <c r="AY33">
        <v>0</v>
      </c>
      <c r="AZ33">
        <v>0</v>
      </c>
      <c r="BA33">
        <v>2</v>
      </c>
      <c r="BB33">
        <v>0</v>
      </c>
      <c r="BC33">
        <v>2</v>
      </c>
      <c r="BD33">
        <v>3</v>
      </c>
      <c r="BE33">
        <v>1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0</v>
      </c>
      <c r="BL33">
        <v>0</v>
      </c>
      <c r="BM33">
        <v>0</v>
      </c>
      <c r="BN33">
        <v>0</v>
      </c>
      <c r="BO33">
        <f t="shared" si="4"/>
        <v>7</v>
      </c>
      <c r="BP33">
        <f t="shared" si="4"/>
        <v>5</v>
      </c>
      <c r="BQ33">
        <f t="shared" si="20"/>
        <v>12</v>
      </c>
      <c r="BR33">
        <v>0</v>
      </c>
      <c r="BS33">
        <v>1</v>
      </c>
      <c r="BT33">
        <v>2</v>
      </c>
      <c r="BU33">
        <v>0</v>
      </c>
      <c r="BV33">
        <v>0</v>
      </c>
      <c r="BW33">
        <v>2</v>
      </c>
      <c r="BX33">
        <v>0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f t="shared" si="6"/>
        <v>4</v>
      </c>
      <c r="CI33">
        <f t="shared" si="6"/>
        <v>6</v>
      </c>
      <c r="CJ33">
        <f t="shared" si="21"/>
        <v>10</v>
      </c>
      <c r="CK33">
        <v>4</v>
      </c>
      <c r="CL33">
        <v>7</v>
      </c>
      <c r="CM33">
        <v>6</v>
      </c>
      <c r="CN33">
        <v>5</v>
      </c>
      <c r="CO33">
        <v>2</v>
      </c>
      <c r="CP33">
        <v>3</v>
      </c>
      <c r="CQ33">
        <v>6</v>
      </c>
      <c r="CR33">
        <v>1</v>
      </c>
      <c r="CS33">
        <v>5</v>
      </c>
      <c r="CT33">
        <v>2</v>
      </c>
      <c r="CU33">
        <v>2</v>
      </c>
      <c r="CV33">
        <v>1</v>
      </c>
      <c r="CW33">
        <v>3</v>
      </c>
      <c r="CX33">
        <v>7</v>
      </c>
      <c r="CY33">
        <v>0</v>
      </c>
      <c r="CZ33">
        <v>0</v>
      </c>
      <c r="DA33">
        <f t="shared" si="8"/>
        <v>28</v>
      </c>
      <c r="DB33">
        <f t="shared" si="8"/>
        <v>26</v>
      </c>
      <c r="DC33">
        <f t="shared" si="22"/>
        <v>54</v>
      </c>
      <c r="DD33">
        <v>1</v>
      </c>
      <c r="DE33">
        <v>0</v>
      </c>
      <c r="DF33">
        <v>2</v>
      </c>
      <c r="DG33">
        <v>0</v>
      </c>
      <c r="DH33">
        <v>2</v>
      </c>
      <c r="DI33">
        <v>2</v>
      </c>
      <c r="DJ33">
        <v>7</v>
      </c>
      <c r="DK33">
        <v>1</v>
      </c>
      <c r="DL33">
        <v>3</v>
      </c>
      <c r="DM33">
        <v>0</v>
      </c>
      <c r="DN33">
        <v>1</v>
      </c>
      <c r="DO33">
        <v>3</v>
      </c>
      <c r="DP33">
        <v>3</v>
      </c>
      <c r="DQ33">
        <v>0</v>
      </c>
      <c r="DR33">
        <v>0</v>
      </c>
      <c r="DS33">
        <v>0</v>
      </c>
      <c r="DT33">
        <f t="shared" si="10"/>
        <v>19</v>
      </c>
      <c r="DU33">
        <f t="shared" si="10"/>
        <v>6</v>
      </c>
      <c r="DV33">
        <f t="shared" si="23"/>
        <v>25</v>
      </c>
      <c r="DW33">
        <v>5</v>
      </c>
      <c r="DX33">
        <v>7</v>
      </c>
      <c r="DY33">
        <v>10</v>
      </c>
      <c r="DZ33">
        <v>3</v>
      </c>
      <c r="EA33">
        <v>19</v>
      </c>
      <c r="EB33">
        <v>9</v>
      </c>
      <c r="EC33">
        <v>5</v>
      </c>
      <c r="ED33">
        <v>2</v>
      </c>
      <c r="EE33">
        <v>5</v>
      </c>
      <c r="EF33">
        <v>8</v>
      </c>
      <c r="EG33">
        <v>5</v>
      </c>
      <c r="EH33">
        <v>9</v>
      </c>
      <c r="EI33">
        <v>10</v>
      </c>
      <c r="EJ33">
        <v>5</v>
      </c>
      <c r="EK33">
        <v>0</v>
      </c>
      <c r="EL33">
        <v>0</v>
      </c>
      <c r="EM33">
        <f t="shared" si="12"/>
        <v>59</v>
      </c>
      <c r="EN33">
        <f t="shared" si="12"/>
        <v>43</v>
      </c>
      <c r="EO33">
        <f t="shared" si="24"/>
        <v>102</v>
      </c>
      <c r="EP33">
        <v>29</v>
      </c>
      <c r="EQ33">
        <v>44</v>
      </c>
      <c r="ER33">
        <v>53</v>
      </c>
      <c r="ES33">
        <v>40</v>
      </c>
      <c r="ET33">
        <v>37</v>
      </c>
      <c r="EU33">
        <v>32</v>
      </c>
      <c r="EV33">
        <v>43</v>
      </c>
      <c r="EW33">
        <v>26</v>
      </c>
      <c r="EX33">
        <v>36</v>
      </c>
      <c r="EY33">
        <v>32</v>
      </c>
      <c r="EZ33">
        <v>32</v>
      </c>
      <c r="FA33">
        <v>30</v>
      </c>
      <c r="FB33">
        <v>36</v>
      </c>
      <c r="FC33">
        <v>29</v>
      </c>
      <c r="FD33">
        <v>0</v>
      </c>
      <c r="FE33">
        <v>0</v>
      </c>
      <c r="FF33">
        <f t="shared" si="14"/>
        <v>266</v>
      </c>
      <c r="FG33">
        <f t="shared" si="14"/>
        <v>233</v>
      </c>
      <c r="FH33">
        <f t="shared" si="25"/>
        <v>499</v>
      </c>
      <c r="FI33">
        <v>0</v>
      </c>
      <c r="FJ33">
        <v>2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1</v>
      </c>
      <c r="FQ33">
        <v>0</v>
      </c>
      <c r="FR33">
        <v>0</v>
      </c>
      <c r="FS33">
        <v>1</v>
      </c>
      <c r="FT33">
        <v>0</v>
      </c>
      <c r="FU33">
        <v>0</v>
      </c>
      <c r="FV33">
        <v>0</v>
      </c>
      <c r="FW33">
        <v>0</v>
      </c>
      <c r="FX33">
        <v>0</v>
      </c>
      <c r="FY33">
        <f t="shared" si="16"/>
        <v>2</v>
      </c>
      <c r="FZ33">
        <f t="shared" si="16"/>
        <v>3</v>
      </c>
      <c r="GA33">
        <f t="shared" si="26"/>
        <v>5</v>
      </c>
    </row>
    <row r="34" spans="1:183" x14ac:dyDescent="0.25">
      <c r="A34" t="s">
        <v>179</v>
      </c>
      <c r="B34" t="s">
        <v>185</v>
      </c>
      <c r="C34" t="s">
        <v>222</v>
      </c>
      <c r="D34">
        <v>129396</v>
      </c>
      <c r="E34" t="s">
        <v>250</v>
      </c>
      <c r="F34" t="s">
        <v>251</v>
      </c>
      <c r="G34" t="s">
        <v>189</v>
      </c>
      <c r="H34" t="s">
        <v>190</v>
      </c>
      <c r="I34" t="s">
        <v>180</v>
      </c>
      <c r="J34" t="s">
        <v>245</v>
      </c>
      <c r="K34" t="s">
        <v>181</v>
      </c>
      <c r="L34" s="13" t="s">
        <v>182</v>
      </c>
      <c r="M34">
        <v>41</v>
      </c>
      <c r="N34">
        <v>36</v>
      </c>
      <c r="O34">
        <v>33</v>
      </c>
      <c r="P34">
        <v>22</v>
      </c>
      <c r="Q34">
        <v>37</v>
      </c>
      <c r="R34">
        <v>38</v>
      </c>
      <c r="S34">
        <v>33</v>
      </c>
      <c r="T34">
        <v>28</v>
      </c>
      <c r="U34">
        <v>37</v>
      </c>
      <c r="V34">
        <v>33</v>
      </c>
      <c r="W34">
        <v>37</v>
      </c>
      <c r="X34">
        <v>34</v>
      </c>
      <c r="Y34">
        <v>28</v>
      </c>
      <c r="Z34">
        <v>27</v>
      </c>
      <c r="AA34">
        <v>0</v>
      </c>
      <c r="AB34">
        <v>0</v>
      </c>
      <c r="AC34">
        <f t="shared" si="0"/>
        <v>246</v>
      </c>
      <c r="AD34">
        <f t="shared" si="0"/>
        <v>218</v>
      </c>
      <c r="AE34">
        <f t="shared" si="18"/>
        <v>464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f t="shared" si="2"/>
        <v>0</v>
      </c>
      <c r="AW34">
        <f t="shared" si="2"/>
        <v>1</v>
      </c>
      <c r="AX34">
        <f t="shared" si="19"/>
        <v>1</v>
      </c>
      <c r="AY34">
        <v>1</v>
      </c>
      <c r="AZ34">
        <v>0</v>
      </c>
      <c r="BA34">
        <v>1</v>
      </c>
      <c r="BB34">
        <v>0</v>
      </c>
      <c r="BC34">
        <v>3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1</v>
      </c>
      <c r="BM34">
        <v>0</v>
      </c>
      <c r="BN34">
        <v>0</v>
      </c>
      <c r="BO34">
        <f t="shared" si="4"/>
        <v>7</v>
      </c>
      <c r="BP34">
        <f t="shared" si="4"/>
        <v>2</v>
      </c>
      <c r="BQ34">
        <f t="shared" si="20"/>
        <v>9</v>
      </c>
      <c r="BR34">
        <v>0</v>
      </c>
      <c r="BS34">
        <v>1</v>
      </c>
      <c r="BT34">
        <v>1</v>
      </c>
      <c r="BU34">
        <v>1</v>
      </c>
      <c r="BV34">
        <v>0</v>
      </c>
      <c r="BW34">
        <v>1</v>
      </c>
      <c r="BX34">
        <v>0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f t="shared" si="6"/>
        <v>3</v>
      </c>
      <c r="CI34">
        <f t="shared" si="6"/>
        <v>3</v>
      </c>
      <c r="CJ34">
        <f t="shared" si="21"/>
        <v>6</v>
      </c>
      <c r="CK34">
        <v>6</v>
      </c>
      <c r="CL34">
        <v>5</v>
      </c>
      <c r="CM34">
        <v>0</v>
      </c>
      <c r="CN34">
        <v>2</v>
      </c>
      <c r="CO34">
        <v>5</v>
      </c>
      <c r="CP34">
        <v>0</v>
      </c>
      <c r="CQ34">
        <v>1</v>
      </c>
      <c r="CR34">
        <v>0</v>
      </c>
      <c r="CS34">
        <v>2</v>
      </c>
      <c r="CT34">
        <v>0</v>
      </c>
      <c r="CU34">
        <v>0</v>
      </c>
      <c r="CV34">
        <v>1</v>
      </c>
      <c r="CW34">
        <v>3</v>
      </c>
      <c r="CX34">
        <v>0</v>
      </c>
      <c r="CY34">
        <v>0</v>
      </c>
      <c r="CZ34">
        <v>0</v>
      </c>
      <c r="DA34">
        <f t="shared" si="8"/>
        <v>17</v>
      </c>
      <c r="DB34">
        <f t="shared" si="8"/>
        <v>8</v>
      </c>
      <c r="DC34">
        <f t="shared" si="22"/>
        <v>25</v>
      </c>
      <c r="DD34">
        <v>1</v>
      </c>
      <c r="DE34">
        <v>0</v>
      </c>
      <c r="DF34">
        <v>1</v>
      </c>
      <c r="DG34">
        <v>0</v>
      </c>
      <c r="DH34">
        <v>4</v>
      </c>
      <c r="DI34">
        <v>4</v>
      </c>
      <c r="DJ34">
        <v>2</v>
      </c>
      <c r="DK34">
        <v>1</v>
      </c>
      <c r="DL34">
        <v>3</v>
      </c>
      <c r="DM34">
        <v>1</v>
      </c>
      <c r="DN34">
        <v>6</v>
      </c>
      <c r="DO34">
        <v>3</v>
      </c>
      <c r="DP34">
        <v>4</v>
      </c>
      <c r="DQ34">
        <v>3</v>
      </c>
      <c r="DR34">
        <v>0</v>
      </c>
      <c r="DS34">
        <v>0</v>
      </c>
      <c r="DT34">
        <f t="shared" si="10"/>
        <v>21</v>
      </c>
      <c r="DU34">
        <f t="shared" si="10"/>
        <v>12</v>
      </c>
      <c r="DV34">
        <f t="shared" si="23"/>
        <v>33</v>
      </c>
      <c r="DW34">
        <v>9</v>
      </c>
      <c r="DX34">
        <v>9</v>
      </c>
      <c r="DY34">
        <v>7</v>
      </c>
      <c r="DZ34">
        <v>3</v>
      </c>
      <c r="EA34">
        <v>12</v>
      </c>
      <c r="EB34">
        <v>12</v>
      </c>
      <c r="EC34">
        <v>8</v>
      </c>
      <c r="ED34">
        <v>6</v>
      </c>
      <c r="EE34">
        <v>18</v>
      </c>
      <c r="EF34">
        <v>9</v>
      </c>
      <c r="EG34">
        <v>18</v>
      </c>
      <c r="EH34">
        <v>13</v>
      </c>
      <c r="EI34">
        <v>7</v>
      </c>
      <c r="EJ34">
        <v>7</v>
      </c>
      <c r="EK34">
        <v>0</v>
      </c>
      <c r="EL34">
        <v>0</v>
      </c>
      <c r="EM34">
        <f t="shared" si="12"/>
        <v>79</v>
      </c>
      <c r="EN34">
        <f t="shared" si="12"/>
        <v>59</v>
      </c>
      <c r="EO34">
        <f t="shared" si="24"/>
        <v>138</v>
      </c>
      <c r="EP34">
        <v>38</v>
      </c>
      <c r="EQ34">
        <v>33</v>
      </c>
      <c r="ER34">
        <v>27</v>
      </c>
      <c r="ES34">
        <v>22</v>
      </c>
      <c r="ET34">
        <v>29</v>
      </c>
      <c r="EU34">
        <v>23</v>
      </c>
      <c r="EV34">
        <v>25</v>
      </c>
      <c r="EW34">
        <v>22</v>
      </c>
      <c r="EX34">
        <v>20</v>
      </c>
      <c r="EY34">
        <v>23</v>
      </c>
      <c r="EZ34">
        <v>15</v>
      </c>
      <c r="FA34">
        <v>20</v>
      </c>
      <c r="FB34">
        <v>2</v>
      </c>
      <c r="FC34">
        <v>18</v>
      </c>
      <c r="FD34">
        <v>0</v>
      </c>
      <c r="FE34">
        <v>0</v>
      </c>
      <c r="FF34">
        <f t="shared" si="14"/>
        <v>156</v>
      </c>
      <c r="FG34">
        <f t="shared" si="14"/>
        <v>161</v>
      </c>
      <c r="FH34">
        <f t="shared" si="25"/>
        <v>317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f t="shared" si="16"/>
        <v>0</v>
      </c>
      <c r="FZ34">
        <f t="shared" si="16"/>
        <v>0</v>
      </c>
      <c r="GA34">
        <f t="shared" si="26"/>
        <v>0</v>
      </c>
    </row>
    <row r="35" spans="1:183" x14ac:dyDescent="0.25">
      <c r="A35" t="s">
        <v>179</v>
      </c>
      <c r="B35" t="s">
        <v>185</v>
      </c>
      <c r="C35" t="s">
        <v>222</v>
      </c>
      <c r="D35">
        <v>129397</v>
      </c>
      <c r="E35" t="s">
        <v>252</v>
      </c>
      <c r="F35" t="s">
        <v>253</v>
      </c>
      <c r="G35" t="s">
        <v>189</v>
      </c>
      <c r="H35" t="s">
        <v>190</v>
      </c>
      <c r="I35" t="s">
        <v>180</v>
      </c>
      <c r="J35" t="s">
        <v>254</v>
      </c>
      <c r="K35" t="s">
        <v>181</v>
      </c>
      <c r="L35" s="13" t="s">
        <v>182</v>
      </c>
      <c r="M35">
        <v>9</v>
      </c>
      <c r="N35">
        <v>12</v>
      </c>
      <c r="O35">
        <v>15</v>
      </c>
      <c r="P35">
        <v>12</v>
      </c>
      <c r="Q35">
        <v>16</v>
      </c>
      <c r="R35">
        <v>11</v>
      </c>
      <c r="S35">
        <v>13</v>
      </c>
      <c r="T35">
        <v>3</v>
      </c>
      <c r="U35">
        <v>11</v>
      </c>
      <c r="V35">
        <v>7</v>
      </c>
      <c r="W35">
        <v>17</v>
      </c>
      <c r="X35">
        <v>11</v>
      </c>
      <c r="Y35">
        <v>13</v>
      </c>
      <c r="Z35">
        <v>12</v>
      </c>
      <c r="AA35">
        <v>0</v>
      </c>
      <c r="AB35">
        <v>0</v>
      </c>
      <c r="AC35">
        <f t="shared" si="0"/>
        <v>94</v>
      </c>
      <c r="AD35">
        <f t="shared" si="0"/>
        <v>68</v>
      </c>
      <c r="AE35">
        <f t="shared" si="18"/>
        <v>162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f t="shared" si="2"/>
        <v>0</v>
      </c>
      <c r="AW35">
        <f t="shared" si="2"/>
        <v>0</v>
      </c>
      <c r="AX35">
        <f t="shared" si="19"/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f t="shared" si="4"/>
        <v>0</v>
      </c>
      <c r="BP35">
        <f t="shared" si="4"/>
        <v>0</v>
      </c>
      <c r="BQ35">
        <f t="shared" si="20"/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2</v>
      </c>
      <c r="CF35">
        <v>0</v>
      </c>
      <c r="CG35">
        <v>0</v>
      </c>
      <c r="CH35">
        <f t="shared" si="6"/>
        <v>0</v>
      </c>
      <c r="CI35">
        <f t="shared" si="6"/>
        <v>2</v>
      </c>
      <c r="CJ35">
        <f t="shared" si="21"/>
        <v>2</v>
      </c>
      <c r="CK35">
        <v>2</v>
      </c>
      <c r="CL35">
        <v>5</v>
      </c>
      <c r="CM35">
        <v>1</v>
      </c>
      <c r="CN35">
        <v>1</v>
      </c>
      <c r="CO35">
        <v>2</v>
      </c>
      <c r="CP35">
        <v>2</v>
      </c>
      <c r="CQ35">
        <v>2</v>
      </c>
      <c r="CR35">
        <v>0</v>
      </c>
      <c r="CS35">
        <v>2</v>
      </c>
      <c r="CT35">
        <v>1</v>
      </c>
      <c r="CU35">
        <v>3</v>
      </c>
      <c r="CV35">
        <v>0</v>
      </c>
      <c r="CW35">
        <v>1</v>
      </c>
      <c r="CX35">
        <v>2</v>
      </c>
      <c r="CY35">
        <v>0</v>
      </c>
      <c r="CZ35">
        <v>0</v>
      </c>
      <c r="DA35">
        <f t="shared" si="8"/>
        <v>13</v>
      </c>
      <c r="DB35">
        <f t="shared" si="8"/>
        <v>11</v>
      </c>
      <c r="DC35">
        <f t="shared" si="22"/>
        <v>24</v>
      </c>
      <c r="DD35">
        <v>1</v>
      </c>
      <c r="DE35">
        <v>1</v>
      </c>
      <c r="DF35">
        <v>5</v>
      </c>
      <c r="DG35">
        <v>0</v>
      </c>
      <c r="DH35">
        <v>1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f t="shared" si="10"/>
        <v>7</v>
      </c>
      <c r="DU35">
        <f t="shared" si="10"/>
        <v>2</v>
      </c>
      <c r="DV35">
        <f t="shared" si="23"/>
        <v>9</v>
      </c>
      <c r="DW35">
        <v>0</v>
      </c>
      <c r="DX35">
        <v>7</v>
      </c>
      <c r="DY35">
        <v>2</v>
      </c>
      <c r="DZ35">
        <v>4</v>
      </c>
      <c r="EA35">
        <v>3</v>
      </c>
      <c r="EB35">
        <v>2</v>
      </c>
      <c r="EC35">
        <v>3</v>
      </c>
      <c r="ED35">
        <v>0</v>
      </c>
      <c r="EE35">
        <v>1</v>
      </c>
      <c r="EF35">
        <v>0</v>
      </c>
      <c r="EG35">
        <v>5</v>
      </c>
      <c r="EH35">
        <v>2</v>
      </c>
      <c r="EI35">
        <v>3</v>
      </c>
      <c r="EJ35">
        <v>5</v>
      </c>
      <c r="EK35">
        <v>0</v>
      </c>
      <c r="EL35">
        <v>0</v>
      </c>
      <c r="EM35">
        <f t="shared" si="12"/>
        <v>17</v>
      </c>
      <c r="EN35">
        <f t="shared" si="12"/>
        <v>20</v>
      </c>
      <c r="EO35">
        <f t="shared" si="24"/>
        <v>37</v>
      </c>
      <c r="EP35">
        <v>10</v>
      </c>
      <c r="EQ35">
        <v>9</v>
      </c>
      <c r="ER35">
        <v>9</v>
      </c>
      <c r="ES35">
        <v>9</v>
      </c>
      <c r="ET35">
        <v>14</v>
      </c>
      <c r="EU35">
        <v>11</v>
      </c>
      <c r="EV35">
        <v>12</v>
      </c>
      <c r="EW35">
        <v>2</v>
      </c>
      <c r="EX35">
        <v>12</v>
      </c>
      <c r="EY35">
        <v>8</v>
      </c>
      <c r="EZ35">
        <v>15</v>
      </c>
      <c r="FA35">
        <v>9</v>
      </c>
      <c r="FB35">
        <v>11</v>
      </c>
      <c r="FC35">
        <v>11</v>
      </c>
      <c r="FD35">
        <v>0</v>
      </c>
      <c r="FE35">
        <v>0</v>
      </c>
      <c r="FF35">
        <f t="shared" si="14"/>
        <v>83</v>
      </c>
      <c r="FG35">
        <f t="shared" si="14"/>
        <v>59</v>
      </c>
      <c r="FH35">
        <f t="shared" si="25"/>
        <v>142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f t="shared" si="16"/>
        <v>0</v>
      </c>
      <c r="FZ35">
        <f t="shared" si="16"/>
        <v>0</v>
      </c>
      <c r="GA35">
        <f t="shared" si="26"/>
        <v>0</v>
      </c>
    </row>
    <row r="36" spans="1:183" x14ac:dyDescent="0.25">
      <c r="A36" t="s">
        <v>179</v>
      </c>
      <c r="B36" t="s">
        <v>185</v>
      </c>
      <c r="C36" t="s">
        <v>222</v>
      </c>
      <c r="D36">
        <v>129398</v>
      </c>
      <c r="E36" t="s">
        <v>255</v>
      </c>
      <c r="F36" t="s">
        <v>256</v>
      </c>
      <c r="G36" t="s">
        <v>189</v>
      </c>
      <c r="H36" t="s">
        <v>190</v>
      </c>
      <c r="I36" t="s">
        <v>180</v>
      </c>
      <c r="J36" t="s">
        <v>257</v>
      </c>
      <c r="K36" t="s">
        <v>181</v>
      </c>
      <c r="L36" s="13" t="s">
        <v>182</v>
      </c>
      <c r="M36">
        <v>23</v>
      </c>
      <c r="N36">
        <v>31</v>
      </c>
      <c r="O36">
        <v>54</v>
      </c>
      <c r="P36">
        <v>60</v>
      </c>
      <c r="Q36">
        <v>49</v>
      </c>
      <c r="R36">
        <v>42</v>
      </c>
      <c r="S36">
        <v>33</v>
      </c>
      <c r="T36">
        <v>25</v>
      </c>
      <c r="U36">
        <v>34</v>
      </c>
      <c r="V36">
        <v>37</v>
      </c>
      <c r="W36">
        <v>41</v>
      </c>
      <c r="X36">
        <v>26</v>
      </c>
      <c r="Y36">
        <v>25</v>
      </c>
      <c r="Z36">
        <v>41</v>
      </c>
      <c r="AA36">
        <v>0</v>
      </c>
      <c r="AB36">
        <v>0</v>
      </c>
      <c r="AC36">
        <f t="shared" si="0"/>
        <v>259</v>
      </c>
      <c r="AD36">
        <f t="shared" si="0"/>
        <v>262</v>
      </c>
      <c r="AE36">
        <f t="shared" si="18"/>
        <v>521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f t="shared" si="2"/>
        <v>0</v>
      </c>
      <c r="AW36">
        <f t="shared" si="2"/>
        <v>0</v>
      </c>
      <c r="AX36">
        <f t="shared" si="19"/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1</v>
      </c>
      <c r="BF36">
        <v>1</v>
      </c>
      <c r="BG36">
        <v>2</v>
      </c>
      <c r="BH36">
        <v>0</v>
      </c>
      <c r="BI36">
        <v>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f t="shared" si="4"/>
        <v>7</v>
      </c>
      <c r="BP36">
        <f t="shared" si="4"/>
        <v>1</v>
      </c>
      <c r="BQ36">
        <f t="shared" si="20"/>
        <v>8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f t="shared" si="6"/>
        <v>1</v>
      </c>
      <c r="CI36">
        <f t="shared" si="6"/>
        <v>1</v>
      </c>
      <c r="CJ36">
        <f t="shared" si="21"/>
        <v>2</v>
      </c>
      <c r="CK36">
        <v>1</v>
      </c>
      <c r="CL36">
        <v>2</v>
      </c>
      <c r="CM36">
        <v>2</v>
      </c>
      <c r="CN36">
        <v>3</v>
      </c>
      <c r="CO36">
        <v>1</v>
      </c>
      <c r="CP36">
        <v>1</v>
      </c>
      <c r="CQ36">
        <v>1</v>
      </c>
      <c r="CR36">
        <v>1</v>
      </c>
      <c r="CS36">
        <v>3</v>
      </c>
      <c r="CT36">
        <v>1</v>
      </c>
      <c r="CU36">
        <v>2</v>
      </c>
      <c r="CV36">
        <v>1</v>
      </c>
      <c r="CW36">
        <v>1</v>
      </c>
      <c r="CX36">
        <v>1</v>
      </c>
      <c r="CY36">
        <v>0</v>
      </c>
      <c r="CZ36">
        <v>0</v>
      </c>
      <c r="DA36">
        <f t="shared" si="8"/>
        <v>11</v>
      </c>
      <c r="DB36">
        <f t="shared" si="8"/>
        <v>10</v>
      </c>
      <c r="DC36">
        <f t="shared" si="22"/>
        <v>21</v>
      </c>
      <c r="DD36">
        <v>4</v>
      </c>
      <c r="DE36">
        <v>0</v>
      </c>
      <c r="DF36">
        <v>4</v>
      </c>
      <c r="DG36">
        <v>1</v>
      </c>
      <c r="DH36">
        <v>3</v>
      </c>
      <c r="DI36">
        <v>1</v>
      </c>
      <c r="DJ36">
        <v>0</v>
      </c>
      <c r="DK36">
        <v>0</v>
      </c>
      <c r="DL36">
        <v>1</v>
      </c>
      <c r="DM36">
        <v>3</v>
      </c>
      <c r="DN36">
        <v>3</v>
      </c>
      <c r="DO36">
        <v>0</v>
      </c>
      <c r="DP36">
        <v>1</v>
      </c>
      <c r="DQ36">
        <v>2</v>
      </c>
      <c r="DR36">
        <v>0</v>
      </c>
      <c r="DS36">
        <v>0</v>
      </c>
      <c r="DT36">
        <f t="shared" si="10"/>
        <v>16</v>
      </c>
      <c r="DU36">
        <f t="shared" si="10"/>
        <v>7</v>
      </c>
      <c r="DV36">
        <f t="shared" si="23"/>
        <v>23</v>
      </c>
      <c r="DW36">
        <v>7</v>
      </c>
      <c r="DX36">
        <v>9</v>
      </c>
      <c r="DY36">
        <v>10</v>
      </c>
      <c r="DZ36">
        <v>10</v>
      </c>
      <c r="EA36">
        <v>7</v>
      </c>
      <c r="EB36">
        <v>7</v>
      </c>
      <c r="EC36">
        <v>6</v>
      </c>
      <c r="ED36">
        <v>8</v>
      </c>
      <c r="EE36">
        <v>9</v>
      </c>
      <c r="EF36">
        <v>10</v>
      </c>
      <c r="EG36">
        <v>16</v>
      </c>
      <c r="EH36">
        <v>7</v>
      </c>
      <c r="EI36">
        <v>8</v>
      </c>
      <c r="EJ36">
        <v>11</v>
      </c>
      <c r="EK36">
        <v>0</v>
      </c>
      <c r="EL36">
        <v>0</v>
      </c>
      <c r="EM36">
        <f t="shared" si="12"/>
        <v>63</v>
      </c>
      <c r="EN36">
        <f t="shared" si="12"/>
        <v>62</v>
      </c>
      <c r="EO36">
        <f t="shared" si="24"/>
        <v>125</v>
      </c>
      <c r="EP36">
        <v>14</v>
      </c>
      <c r="EQ36">
        <v>26</v>
      </c>
      <c r="ER36">
        <v>41</v>
      </c>
      <c r="ES36">
        <v>54</v>
      </c>
      <c r="ET36">
        <v>41</v>
      </c>
      <c r="EU36">
        <v>35</v>
      </c>
      <c r="EV36">
        <v>27</v>
      </c>
      <c r="EW36">
        <v>21</v>
      </c>
      <c r="EX36">
        <v>29</v>
      </c>
      <c r="EY36">
        <v>24</v>
      </c>
      <c r="EZ36">
        <v>26</v>
      </c>
      <c r="FA36">
        <v>21</v>
      </c>
      <c r="FB36">
        <v>19</v>
      </c>
      <c r="FC36">
        <v>29</v>
      </c>
      <c r="FD36">
        <v>0</v>
      </c>
      <c r="FE36">
        <v>0</v>
      </c>
      <c r="FF36">
        <f t="shared" si="14"/>
        <v>197</v>
      </c>
      <c r="FG36">
        <f t="shared" si="14"/>
        <v>210</v>
      </c>
      <c r="FH36">
        <f t="shared" si="25"/>
        <v>407</v>
      </c>
      <c r="FI36">
        <v>0</v>
      </c>
      <c r="FJ36">
        <v>0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1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f t="shared" si="16"/>
        <v>1</v>
      </c>
      <c r="FZ36">
        <f t="shared" si="16"/>
        <v>1</v>
      </c>
      <c r="GA36">
        <f t="shared" si="26"/>
        <v>2</v>
      </c>
    </row>
    <row r="37" spans="1:183" x14ac:dyDescent="0.25">
      <c r="A37" t="s">
        <v>179</v>
      </c>
      <c r="B37" t="s">
        <v>185</v>
      </c>
      <c r="C37" t="s">
        <v>222</v>
      </c>
      <c r="D37">
        <v>129399</v>
      </c>
      <c r="E37" t="s">
        <v>258</v>
      </c>
      <c r="F37" t="s">
        <v>259</v>
      </c>
      <c r="G37" t="s">
        <v>189</v>
      </c>
      <c r="H37" t="s">
        <v>190</v>
      </c>
      <c r="I37" t="s">
        <v>180</v>
      </c>
      <c r="J37" t="s">
        <v>260</v>
      </c>
      <c r="K37" t="s">
        <v>181</v>
      </c>
      <c r="L37" s="13" t="s">
        <v>182</v>
      </c>
      <c r="M37">
        <v>34</v>
      </c>
      <c r="N37">
        <v>30</v>
      </c>
      <c r="O37">
        <v>40</v>
      </c>
      <c r="P37">
        <v>32</v>
      </c>
      <c r="Q37">
        <v>52</v>
      </c>
      <c r="R37">
        <v>46</v>
      </c>
      <c r="S37">
        <v>41</v>
      </c>
      <c r="T37">
        <v>28</v>
      </c>
      <c r="U37">
        <v>39</v>
      </c>
      <c r="V37">
        <v>29</v>
      </c>
      <c r="W37">
        <v>40</v>
      </c>
      <c r="X37">
        <v>35</v>
      </c>
      <c r="Y37">
        <v>42</v>
      </c>
      <c r="Z37">
        <v>35</v>
      </c>
      <c r="AA37">
        <v>0</v>
      </c>
      <c r="AB37">
        <v>0</v>
      </c>
      <c r="AC37">
        <f t="shared" si="0"/>
        <v>288</v>
      </c>
      <c r="AD37">
        <f t="shared" si="0"/>
        <v>235</v>
      </c>
      <c r="AE37">
        <f t="shared" si="18"/>
        <v>523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f t="shared" si="2"/>
        <v>1</v>
      </c>
      <c r="AW37">
        <f t="shared" si="2"/>
        <v>0</v>
      </c>
      <c r="AX37">
        <f t="shared" si="19"/>
        <v>1</v>
      </c>
      <c r="AY37">
        <v>0</v>
      </c>
      <c r="AZ37">
        <v>0</v>
      </c>
      <c r="BA37">
        <v>0</v>
      </c>
      <c r="BB37">
        <v>1</v>
      </c>
      <c r="BC37">
        <v>2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f t="shared" si="4"/>
        <v>4</v>
      </c>
      <c r="BP37">
        <f t="shared" si="4"/>
        <v>1</v>
      </c>
      <c r="BQ37">
        <f t="shared" si="20"/>
        <v>5</v>
      </c>
      <c r="BR37">
        <v>0</v>
      </c>
      <c r="BS37">
        <v>6</v>
      </c>
      <c r="BT37">
        <v>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f t="shared" si="6"/>
        <v>3</v>
      </c>
      <c r="CI37">
        <f t="shared" si="6"/>
        <v>6</v>
      </c>
      <c r="CJ37">
        <f t="shared" si="21"/>
        <v>9</v>
      </c>
      <c r="CK37">
        <v>1</v>
      </c>
      <c r="CL37">
        <v>6</v>
      </c>
      <c r="CM37">
        <v>2</v>
      </c>
      <c r="CN37">
        <v>3</v>
      </c>
      <c r="CO37">
        <v>0</v>
      </c>
      <c r="CP37">
        <v>0</v>
      </c>
      <c r="CQ37">
        <v>0</v>
      </c>
      <c r="CR37">
        <v>3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f t="shared" si="8"/>
        <v>3</v>
      </c>
      <c r="DB37">
        <f t="shared" si="8"/>
        <v>12</v>
      </c>
      <c r="DC37">
        <f t="shared" si="22"/>
        <v>15</v>
      </c>
      <c r="DD37">
        <v>0</v>
      </c>
      <c r="DE37">
        <v>5</v>
      </c>
      <c r="DF37">
        <v>3</v>
      </c>
      <c r="DG37">
        <v>1</v>
      </c>
      <c r="DH37">
        <v>10</v>
      </c>
      <c r="DI37">
        <v>6</v>
      </c>
      <c r="DJ37">
        <v>4</v>
      </c>
      <c r="DK37">
        <v>4</v>
      </c>
      <c r="DL37">
        <v>6</v>
      </c>
      <c r="DM37">
        <v>1</v>
      </c>
      <c r="DN37">
        <v>0</v>
      </c>
      <c r="DO37">
        <v>0</v>
      </c>
      <c r="DP37">
        <v>3</v>
      </c>
      <c r="DQ37">
        <v>1</v>
      </c>
      <c r="DR37">
        <v>0</v>
      </c>
      <c r="DS37">
        <v>0</v>
      </c>
      <c r="DT37">
        <f t="shared" si="10"/>
        <v>26</v>
      </c>
      <c r="DU37">
        <f t="shared" si="10"/>
        <v>18</v>
      </c>
      <c r="DV37">
        <f t="shared" si="23"/>
        <v>44</v>
      </c>
      <c r="DW37">
        <v>4</v>
      </c>
      <c r="DX37">
        <v>4</v>
      </c>
      <c r="DY37">
        <v>15</v>
      </c>
      <c r="DZ37">
        <v>10</v>
      </c>
      <c r="EA37">
        <v>13</v>
      </c>
      <c r="EB37">
        <v>7</v>
      </c>
      <c r="EC37">
        <v>13</v>
      </c>
      <c r="ED37">
        <v>7</v>
      </c>
      <c r="EE37">
        <v>8</v>
      </c>
      <c r="EF37">
        <v>4</v>
      </c>
      <c r="EG37">
        <v>4</v>
      </c>
      <c r="EH37">
        <v>4</v>
      </c>
      <c r="EI37">
        <v>13</v>
      </c>
      <c r="EJ37">
        <v>8</v>
      </c>
      <c r="EK37">
        <v>0</v>
      </c>
      <c r="EL37">
        <v>0</v>
      </c>
      <c r="EM37">
        <f t="shared" si="12"/>
        <v>70</v>
      </c>
      <c r="EN37">
        <f t="shared" si="12"/>
        <v>44</v>
      </c>
      <c r="EO37">
        <f t="shared" si="24"/>
        <v>114</v>
      </c>
      <c r="EP37">
        <v>30</v>
      </c>
      <c r="EQ37">
        <v>32</v>
      </c>
      <c r="ER37">
        <v>27</v>
      </c>
      <c r="ES37">
        <v>25</v>
      </c>
      <c r="ET37">
        <v>31</v>
      </c>
      <c r="EU37">
        <v>33</v>
      </c>
      <c r="EV37">
        <v>25</v>
      </c>
      <c r="EW37">
        <v>20</v>
      </c>
      <c r="EX37">
        <v>27</v>
      </c>
      <c r="EY37">
        <v>24</v>
      </c>
      <c r="EZ37">
        <v>36</v>
      </c>
      <c r="FA37">
        <v>31</v>
      </c>
      <c r="FB37">
        <v>26</v>
      </c>
      <c r="FC37">
        <v>26</v>
      </c>
      <c r="FD37">
        <v>0</v>
      </c>
      <c r="FE37">
        <v>0</v>
      </c>
      <c r="FF37">
        <f t="shared" si="14"/>
        <v>202</v>
      </c>
      <c r="FG37">
        <f t="shared" si="14"/>
        <v>191</v>
      </c>
      <c r="FH37">
        <f t="shared" si="25"/>
        <v>393</v>
      </c>
      <c r="FI37">
        <v>1</v>
      </c>
      <c r="FJ37">
        <v>1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f t="shared" si="16"/>
        <v>1</v>
      </c>
      <c r="FZ37">
        <f t="shared" si="16"/>
        <v>1</v>
      </c>
      <c r="GA37">
        <f t="shared" si="26"/>
        <v>2</v>
      </c>
    </row>
    <row r="38" spans="1:183" x14ac:dyDescent="0.25">
      <c r="A38" t="s">
        <v>179</v>
      </c>
      <c r="B38" t="s">
        <v>185</v>
      </c>
      <c r="C38" t="s">
        <v>222</v>
      </c>
      <c r="D38">
        <v>129400</v>
      </c>
      <c r="E38" t="s">
        <v>261</v>
      </c>
      <c r="F38" t="s">
        <v>262</v>
      </c>
      <c r="G38" t="s">
        <v>189</v>
      </c>
      <c r="H38" t="s">
        <v>190</v>
      </c>
      <c r="I38" t="s">
        <v>180</v>
      </c>
      <c r="J38" t="s">
        <v>257</v>
      </c>
      <c r="K38" t="s">
        <v>181</v>
      </c>
      <c r="L38" s="13" t="s">
        <v>182</v>
      </c>
      <c r="M38">
        <v>68</v>
      </c>
      <c r="N38">
        <v>68</v>
      </c>
      <c r="O38">
        <v>99</v>
      </c>
      <c r="P38">
        <v>88</v>
      </c>
      <c r="Q38">
        <v>85</v>
      </c>
      <c r="R38">
        <v>94</v>
      </c>
      <c r="S38">
        <v>97</v>
      </c>
      <c r="T38">
        <v>92</v>
      </c>
      <c r="U38">
        <v>75</v>
      </c>
      <c r="V38">
        <v>58</v>
      </c>
      <c r="W38">
        <v>89</v>
      </c>
      <c r="X38">
        <v>88</v>
      </c>
      <c r="Y38">
        <v>101</v>
      </c>
      <c r="Z38">
        <v>101</v>
      </c>
      <c r="AA38">
        <v>0</v>
      </c>
      <c r="AB38">
        <v>0</v>
      </c>
      <c r="AC38">
        <f t="shared" si="0"/>
        <v>614</v>
      </c>
      <c r="AD38">
        <f t="shared" si="0"/>
        <v>589</v>
      </c>
      <c r="AE38">
        <f t="shared" si="18"/>
        <v>1203</v>
      </c>
      <c r="AF38">
        <v>0</v>
      </c>
      <c r="AG38">
        <v>0</v>
      </c>
      <c r="AH38">
        <v>1</v>
      </c>
      <c r="AI38">
        <v>0</v>
      </c>
      <c r="AJ38">
        <v>2</v>
      </c>
      <c r="AK38">
        <v>0</v>
      </c>
      <c r="AL38">
        <v>2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f t="shared" si="2"/>
        <v>6</v>
      </c>
      <c r="AW38">
        <f t="shared" si="2"/>
        <v>1</v>
      </c>
      <c r="AX38">
        <f t="shared" si="19"/>
        <v>7</v>
      </c>
      <c r="AY38">
        <v>2</v>
      </c>
      <c r="AZ38">
        <v>0</v>
      </c>
      <c r="BA38">
        <v>2</v>
      </c>
      <c r="BB38">
        <v>1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3</v>
      </c>
      <c r="BJ38">
        <v>3</v>
      </c>
      <c r="BK38">
        <v>4</v>
      </c>
      <c r="BL38">
        <v>1</v>
      </c>
      <c r="BM38">
        <v>0</v>
      </c>
      <c r="BN38">
        <v>0</v>
      </c>
      <c r="BO38">
        <f t="shared" si="4"/>
        <v>17</v>
      </c>
      <c r="BP38">
        <f t="shared" si="4"/>
        <v>11</v>
      </c>
      <c r="BQ38">
        <f t="shared" si="20"/>
        <v>28</v>
      </c>
      <c r="BR38">
        <v>1</v>
      </c>
      <c r="BS38">
        <v>4</v>
      </c>
      <c r="BT38">
        <v>0</v>
      </c>
      <c r="BU38">
        <v>0</v>
      </c>
      <c r="BV38">
        <v>2</v>
      </c>
      <c r="BW38">
        <v>0</v>
      </c>
      <c r="BX38">
        <v>2</v>
      </c>
      <c r="BY38">
        <v>0</v>
      </c>
      <c r="BZ38">
        <v>2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f t="shared" si="6"/>
        <v>8</v>
      </c>
      <c r="CI38">
        <f t="shared" si="6"/>
        <v>4</v>
      </c>
      <c r="CJ38">
        <f t="shared" si="21"/>
        <v>12</v>
      </c>
      <c r="CK38">
        <v>4</v>
      </c>
      <c r="CL38">
        <v>3</v>
      </c>
      <c r="CM38">
        <v>13</v>
      </c>
      <c r="CN38">
        <v>7</v>
      </c>
      <c r="CO38">
        <v>16</v>
      </c>
      <c r="CP38">
        <v>12</v>
      </c>
      <c r="CQ38">
        <v>2</v>
      </c>
      <c r="CR38">
        <v>1</v>
      </c>
      <c r="CS38">
        <v>3</v>
      </c>
      <c r="CT38">
        <v>3</v>
      </c>
      <c r="CU38">
        <v>4</v>
      </c>
      <c r="CV38">
        <v>5</v>
      </c>
      <c r="CW38">
        <v>1</v>
      </c>
      <c r="CX38">
        <v>4</v>
      </c>
      <c r="CY38">
        <v>0</v>
      </c>
      <c r="CZ38">
        <v>0</v>
      </c>
      <c r="DA38">
        <f t="shared" si="8"/>
        <v>43</v>
      </c>
      <c r="DB38">
        <f t="shared" si="8"/>
        <v>35</v>
      </c>
      <c r="DC38">
        <f t="shared" si="22"/>
        <v>78</v>
      </c>
      <c r="DD38">
        <v>1</v>
      </c>
      <c r="DE38">
        <v>0</v>
      </c>
      <c r="DF38">
        <v>6</v>
      </c>
      <c r="DG38">
        <v>4</v>
      </c>
      <c r="DH38">
        <v>3</v>
      </c>
      <c r="DI38">
        <v>4</v>
      </c>
      <c r="DJ38">
        <v>3</v>
      </c>
      <c r="DK38">
        <v>5</v>
      </c>
      <c r="DL38">
        <v>3</v>
      </c>
      <c r="DM38">
        <v>1</v>
      </c>
      <c r="DN38">
        <v>3</v>
      </c>
      <c r="DO38">
        <v>8</v>
      </c>
      <c r="DP38">
        <v>10</v>
      </c>
      <c r="DQ38">
        <v>5</v>
      </c>
      <c r="DR38">
        <v>0</v>
      </c>
      <c r="DS38">
        <v>0</v>
      </c>
      <c r="DT38">
        <f t="shared" si="10"/>
        <v>29</v>
      </c>
      <c r="DU38">
        <f t="shared" si="10"/>
        <v>27</v>
      </c>
      <c r="DV38">
        <f t="shared" si="23"/>
        <v>56</v>
      </c>
      <c r="DW38">
        <v>17</v>
      </c>
      <c r="DX38">
        <v>14</v>
      </c>
      <c r="DY38">
        <v>16</v>
      </c>
      <c r="DZ38">
        <v>22</v>
      </c>
      <c r="EA38">
        <v>23</v>
      </c>
      <c r="EB38">
        <v>12</v>
      </c>
      <c r="EC38">
        <v>20</v>
      </c>
      <c r="ED38">
        <v>14</v>
      </c>
      <c r="EE38">
        <v>13</v>
      </c>
      <c r="EF38">
        <v>8</v>
      </c>
      <c r="EG38">
        <v>13</v>
      </c>
      <c r="EH38">
        <v>14</v>
      </c>
      <c r="EI38">
        <v>19</v>
      </c>
      <c r="EJ38">
        <v>20</v>
      </c>
      <c r="EK38">
        <v>0</v>
      </c>
      <c r="EL38">
        <v>0</v>
      </c>
      <c r="EM38">
        <f t="shared" si="12"/>
        <v>121</v>
      </c>
      <c r="EN38">
        <f t="shared" si="12"/>
        <v>104</v>
      </c>
      <c r="EO38">
        <f t="shared" si="24"/>
        <v>225</v>
      </c>
      <c r="EP38">
        <v>57</v>
      </c>
      <c r="EQ38">
        <v>60</v>
      </c>
      <c r="ER38">
        <v>93</v>
      </c>
      <c r="ES38">
        <v>70</v>
      </c>
      <c r="ET38">
        <v>81</v>
      </c>
      <c r="EU38">
        <v>90</v>
      </c>
      <c r="EV38">
        <v>81</v>
      </c>
      <c r="EW38">
        <v>77</v>
      </c>
      <c r="EX38">
        <v>67</v>
      </c>
      <c r="EY38">
        <v>54</v>
      </c>
      <c r="EZ38">
        <v>80</v>
      </c>
      <c r="FA38">
        <v>74</v>
      </c>
      <c r="FB38">
        <v>76</v>
      </c>
      <c r="FC38">
        <v>81</v>
      </c>
      <c r="FD38">
        <v>0</v>
      </c>
      <c r="FE38">
        <v>0</v>
      </c>
      <c r="FF38">
        <f t="shared" si="14"/>
        <v>535</v>
      </c>
      <c r="FG38">
        <f t="shared" si="14"/>
        <v>506</v>
      </c>
      <c r="FH38">
        <f t="shared" si="25"/>
        <v>1041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2</v>
      </c>
      <c r="FO38">
        <v>1</v>
      </c>
      <c r="FP38">
        <v>0</v>
      </c>
      <c r="FQ38">
        <v>0</v>
      </c>
      <c r="FR38">
        <v>0</v>
      </c>
      <c r="FS38">
        <v>1</v>
      </c>
      <c r="FT38">
        <v>0</v>
      </c>
      <c r="FU38">
        <v>1</v>
      </c>
      <c r="FV38">
        <v>0</v>
      </c>
      <c r="FW38">
        <v>0</v>
      </c>
      <c r="FX38">
        <v>0</v>
      </c>
      <c r="FY38">
        <f t="shared" si="16"/>
        <v>3</v>
      </c>
      <c r="FZ38">
        <f t="shared" si="16"/>
        <v>3</v>
      </c>
      <c r="GA38">
        <f t="shared" si="26"/>
        <v>6</v>
      </c>
    </row>
    <row r="39" spans="1:183" x14ac:dyDescent="0.25">
      <c r="A39" t="s">
        <v>179</v>
      </c>
      <c r="B39" t="s">
        <v>185</v>
      </c>
      <c r="C39" t="s">
        <v>222</v>
      </c>
      <c r="D39">
        <v>129401</v>
      </c>
      <c r="E39" t="s">
        <v>263</v>
      </c>
      <c r="F39" t="s">
        <v>264</v>
      </c>
      <c r="G39" t="s">
        <v>189</v>
      </c>
      <c r="H39" t="s">
        <v>190</v>
      </c>
      <c r="I39" t="s">
        <v>180</v>
      </c>
      <c r="J39" t="s">
        <v>231</v>
      </c>
      <c r="K39" t="s">
        <v>181</v>
      </c>
      <c r="L39" s="13" t="s">
        <v>182</v>
      </c>
      <c r="M39">
        <v>8</v>
      </c>
      <c r="N39">
        <v>9</v>
      </c>
      <c r="O39">
        <v>23</v>
      </c>
      <c r="P39">
        <v>22</v>
      </c>
      <c r="Q39">
        <v>10</v>
      </c>
      <c r="R39">
        <v>16</v>
      </c>
      <c r="S39">
        <v>13</v>
      </c>
      <c r="T39">
        <v>9</v>
      </c>
      <c r="U39">
        <v>12</v>
      </c>
      <c r="V39">
        <v>9</v>
      </c>
      <c r="W39">
        <v>11</v>
      </c>
      <c r="X39">
        <v>15</v>
      </c>
      <c r="Y39">
        <v>15</v>
      </c>
      <c r="Z39">
        <v>11</v>
      </c>
      <c r="AA39">
        <v>0</v>
      </c>
      <c r="AB39">
        <v>0</v>
      </c>
      <c r="AC39">
        <f t="shared" si="0"/>
        <v>92</v>
      </c>
      <c r="AD39">
        <f t="shared" si="0"/>
        <v>91</v>
      </c>
      <c r="AE39">
        <f t="shared" si="18"/>
        <v>183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f t="shared" si="2"/>
        <v>0</v>
      </c>
      <c r="AW39">
        <f t="shared" si="2"/>
        <v>0</v>
      </c>
      <c r="AX39">
        <f t="shared" si="19"/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f t="shared" si="4"/>
        <v>0</v>
      </c>
      <c r="BP39">
        <f t="shared" si="4"/>
        <v>0</v>
      </c>
      <c r="BQ39">
        <f t="shared" si="20"/>
        <v>0</v>
      </c>
      <c r="BR39">
        <v>2</v>
      </c>
      <c r="BS39">
        <v>0</v>
      </c>
      <c r="BT39">
        <v>0</v>
      </c>
      <c r="BU39">
        <v>1</v>
      </c>
      <c r="BV39">
        <v>2</v>
      </c>
      <c r="BW39">
        <v>3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f t="shared" si="6"/>
        <v>4</v>
      </c>
      <c r="CI39">
        <f t="shared" si="6"/>
        <v>4</v>
      </c>
      <c r="CJ39">
        <f t="shared" si="21"/>
        <v>8</v>
      </c>
      <c r="CK39">
        <v>6</v>
      </c>
      <c r="CL39">
        <v>3</v>
      </c>
      <c r="CM39">
        <v>3</v>
      </c>
      <c r="CN39">
        <v>0</v>
      </c>
      <c r="CO39">
        <v>0</v>
      </c>
      <c r="CP39">
        <v>0</v>
      </c>
      <c r="CQ39">
        <v>4</v>
      </c>
      <c r="CR39">
        <v>2</v>
      </c>
      <c r="CS39">
        <v>0</v>
      </c>
      <c r="CT39">
        <v>1</v>
      </c>
      <c r="CU39">
        <v>1</v>
      </c>
      <c r="CV39">
        <v>0</v>
      </c>
      <c r="CW39">
        <v>1</v>
      </c>
      <c r="CX39">
        <v>1</v>
      </c>
      <c r="CY39">
        <v>0</v>
      </c>
      <c r="CZ39">
        <v>0</v>
      </c>
      <c r="DA39">
        <f t="shared" si="8"/>
        <v>15</v>
      </c>
      <c r="DB39">
        <f t="shared" si="8"/>
        <v>7</v>
      </c>
      <c r="DC39">
        <f t="shared" si="22"/>
        <v>22</v>
      </c>
      <c r="DD39">
        <v>0</v>
      </c>
      <c r="DE39">
        <v>0</v>
      </c>
      <c r="DF39">
        <v>3</v>
      </c>
      <c r="DG39">
        <v>1</v>
      </c>
      <c r="DH39">
        <v>0</v>
      </c>
      <c r="DI39">
        <v>0</v>
      </c>
      <c r="DJ39">
        <v>0</v>
      </c>
      <c r="DK39">
        <v>1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f t="shared" si="10"/>
        <v>4</v>
      </c>
      <c r="DU39">
        <f t="shared" si="10"/>
        <v>2</v>
      </c>
      <c r="DV39">
        <f t="shared" si="23"/>
        <v>6</v>
      </c>
      <c r="DW39">
        <v>5</v>
      </c>
      <c r="DX39">
        <v>1</v>
      </c>
      <c r="DY39">
        <v>8</v>
      </c>
      <c r="DZ39">
        <v>6</v>
      </c>
      <c r="EA39">
        <v>2</v>
      </c>
      <c r="EB39">
        <v>0</v>
      </c>
      <c r="EC39">
        <v>6</v>
      </c>
      <c r="ED39">
        <v>3</v>
      </c>
      <c r="EE39">
        <v>3</v>
      </c>
      <c r="EF39">
        <v>4</v>
      </c>
      <c r="EG39">
        <v>0</v>
      </c>
      <c r="EH39">
        <v>0</v>
      </c>
      <c r="EI39">
        <v>5</v>
      </c>
      <c r="EJ39">
        <v>3</v>
      </c>
      <c r="EK39">
        <v>0</v>
      </c>
      <c r="EL39">
        <v>0</v>
      </c>
      <c r="EM39">
        <f t="shared" si="12"/>
        <v>29</v>
      </c>
      <c r="EN39">
        <f t="shared" si="12"/>
        <v>17</v>
      </c>
      <c r="EO39">
        <f t="shared" si="24"/>
        <v>46</v>
      </c>
      <c r="EP39">
        <v>11</v>
      </c>
      <c r="EQ39">
        <v>11</v>
      </c>
      <c r="ER39">
        <v>15</v>
      </c>
      <c r="ES39">
        <v>16</v>
      </c>
      <c r="ET39">
        <v>13</v>
      </c>
      <c r="EU39">
        <v>16</v>
      </c>
      <c r="EV39">
        <v>11</v>
      </c>
      <c r="EW39">
        <v>7</v>
      </c>
      <c r="EX39">
        <v>8</v>
      </c>
      <c r="EY39">
        <v>6</v>
      </c>
      <c r="EZ39">
        <v>13</v>
      </c>
      <c r="FA39">
        <v>15</v>
      </c>
      <c r="FB39">
        <v>10</v>
      </c>
      <c r="FC39">
        <v>9</v>
      </c>
      <c r="FD39">
        <v>0</v>
      </c>
      <c r="FE39">
        <v>0</v>
      </c>
      <c r="FF39">
        <f t="shared" si="14"/>
        <v>81</v>
      </c>
      <c r="FG39">
        <f t="shared" si="14"/>
        <v>80</v>
      </c>
      <c r="FH39">
        <f t="shared" si="25"/>
        <v>161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f t="shared" si="16"/>
        <v>0</v>
      </c>
      <c r="FZ39">
        <f t="shared" si="16"/>
        <v>0</v>
      </c>
      <c r="GA39">
        <f t="shared" si="26"/>
        <v>0</v>
      </c>
    </row>
    <row r="40" spans="1:183" x14ac:dyDescent="0.25">
      <c r="A40" t="s">
        <v>179</v>
      </c>
      <c r="B40" t="s">
        <v>185</v>
      </c>
      <c r="C40" t="s">
        <v>222</v>
      </c>
      <c r="D40">
        <v>129402</v>
      </c>
      <c r="E40" t="s">
        <v>265</v>
      </c>
      <c r="F40" t="s">
        <v>266</v>
      </c>
      <c r="G40" t="s">
        <v>189</v>
      </c>
      <c r="H40" t="s">
        <v>190</v>
      </c>
      <c r="I40" t="s">
        <v>180</v>
      </c>
      <c r="J40" t="s">
        <v>245</v>
      </c>
      <c r="K40" t="s">
        <v>181</v>
      </c>
      <c r="L40" s="13" t="s">
        <v>182</v>
      </c>
      <c r="M40">
        <v>5</v>
      </c>
      <c r="N40">
        <v>5</v>
      </c>
      <c r="O40">
        <v>7</v>
      </c>
      <c r="P40">
        <v>4</v>
      </c>
      <c r="Q40">
        <v>10</v>
      </c>
      <c r="R40">
        <v>6</v>
      </c>
      <c r="S40">
        <v>6</v>
      </c>
      <c r="T40">
        <v>5</v>
      </c>
      <c r="U40">
        <v>7</v>
      </c>
      <c r="V40">
        <v>7</v>
      </c>
      <c r="W40">
        <v>2</v>
      </c>
      <c r="X40">
        <v>2</v>
      </c>
      <c r="Y40">
        <v>4</v>
      </c>
      <c r="Z40">
        <v>8</v>
      </c>
      <c r="AA40">
        <v>0</v>
      </c>
      <c r="AB40">
        <v>0</v>
      </c>
      <c r="AC40">
        <f t="shared" si="0"/>
        <v>41</v>
      </c>
      <c r="AD40">
        <f t="shared" si="0"/>
        <v>37</v>
      </c>
      <c r="AE40">
        <f t="shared" si="18"/>
        <v>78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f t="shared" si="2"/>
        <v>0</v>
      </c>
      <c r="AW40">
        <f t="shared" si="2"/>
        <v>0</v>
      </c>
      <c r="AX40">
        <f t="shared" si="19"/>
        <v>0</v>
      </c>
      <c r="AY40">
        <v>0</v>
      </c>
      <c r="AZ40">
        <v>0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f t="shared" si="4"/>
        <v>1</v>
      </c>
      <c r="BP40">
        <f t="shared" si="4"/>
        <v>1</v>
      </c>
      <c r="BQ40">
        <f t="shared" si="20"/>
        <v>2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f t="shared" si="6"/>
        <v>1</v>
      </c>
      <c r="CI40">
        <f t="shared" si="6"/>
        <v>0</v>
      </c>
      <c r="CJ40">
        <f t="shared" si="21"/>
        <v>1</v>
      </c>
      <c r="CK40">
        <v>2</v>
      </c>
      <c r="CL40">
        <v>2</v>
      </c>
      <c r="CM40">
        <v>2</v>
      </c>
      <c r="CN40">
        <v>2</v>
      </c>
      <c r="CO40">
        <v>5</v>
      </c>
      <c r="CP40">
        <v>2</v>
      </c>
      <c r="CQ40">
        <v>1</v>
      </c>
      <c r="CR40">
        <v>1</v>
      </c>
      <c r="CS40">
        <v>0</v>
      </c>
      <c r="CT40">
        <v>1</v>
      </c>
      <c r="CU40">
        <v>2</v>
      </c>
      <c r="CV40">
        <v>0</v>
      </c>
      <c r="CW40">
        <v>2</v>
      </c>
      <c r="CX40">
        <v>2</v>
      </c>
      <c r="CY40">
        <v>0</v>
      </c>
      <c r="CZ40">
        <v>0</v>
      </c>
      <c r="DA40">
        <f t="shared" si="8"/>
        <v>14</v>
      </c>
      <c r="DB40">
        <f t="shared" si="8"/>
        <v>10</v>
      </c>
      <c r="DC40">
        <f t="shared" si="22"/>
        <v>24</v>
      </c>
      <c r="DD40">
        <v>0</v>
      </c>
      <c r="DE40">
        <v>0</v>
      </c>
      <c r="DF40">
        <v>2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f t="shared" si="10"/>
        <v>3</v>
      </c>
      <c r="DU40">
        <f t="shared" si="10"/>
        <v>0</v>
      </c>
      <c r="DV40">
        <f t="shared" si="23"/>
        <v>3</v>
      </c>
      <c r="DW40">
        <v>2</v>
      </c>
      <c r="DX40">
        <v>0</v>
      </c>
      <c r="DY40">
        <v>4</v>
      </c>
      <c r="DZ40">
        <v>1</v>
      </c>
      <c r="EA40">
        <v>3</v>
      </c>
      <c r="EB40">
        <v>0</v>
      </c>
      <c r="EC40">
        <v>5</v>
      </c>
      <c r="ED40">
        <v>1</v>
      </c>
      <c r="EE40">
        <v>1</v>
      </c>
      <c r="EF40">
        <v>2</v>
      </c>
      <c r="EG40">
        <v>1</v>
      </c>
      <c r="EH40">
        <v>0</v>
      </c>
      <c r="EI40">
        <v>1</v>
      </c>
      <c r="EJ40">
        <v>2</v>
      </c>
      <c r="EK40">
        <v>0</v>
      </c>
      <c r="EL40">
        <v>0</v>
      </c>
      <c r="EM40">
        <f t="shared" si="12"/>
        <v>17</v>
      </c>
      <c r="EN40">
        <f t="shared" si="12"/>
        <v>6</v>
      </c>
      <c r="EO40">
        <f t="shared" si="24"/>
        <v>23</v>
      </c>
      <c r="EP40">
        <v>5</v>
      </c>
      <c r="EQ40">
        <v>7</v>
      </c>
      <c r="ER40">
        <v>5</v>
      </c>
      <c r="ES40">
        <v>6</v>
      </c>
      <c r="ET40">
        <v>12</v>
      </c>
      <c r="EU40">
        <v>8</v>
      </c>
      <c r="EV40">
        <v>1</v>
      </c>
      <c r="EW40">
        <v>5</v>
      </c>
      <c r="EX40">
        <v>6</v>
      </c>
      <c r="EY40">
        <v>6</v>
      </c>
      <c r="EZ40">
        <v>3</v>
      </c>
      <c r="FA40">
        <v>2</v>
      </c>
      <c r="FB40">
        <v>5</v>
      </c>
      <c r="FC40">
        <v>8</v>
      </c>
      <c r="FD40">
        <v>0</v>
      </c>
      <c r="FE40">
        <v>0</v>
      </c>
      <c r="FF40">
        <f t="shared" si="14"/>
        <v>37</v>
      </c>
      <c r="FG40">
        <f t="shared" si="14"/>
        <v>42</v>
      </c>
      <c r="FH40">
        <f t="shared" si="25"/>
        <v>79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f t="shared" si="16"/>
        <v>0</v>
      </c>
      <c r="FZ40">
        <f t="shared" si="16"/>
        <v>0</v>
      </c>
      <c r="GA40">
        <f t="shared" si="26"/>
        <v>0</v>
      </c>
    </row>
    <row r="41" spans="1:183" x14ac:dyDescent="0.25">
      <c r="A41" t="s">
        <v>179</v>
      </c>
      <c r="B41" t="s">
        <v>185</v>
      </c>
      <c r="C41" t="s">
        <v>222</v>
      </c>
      <c r="D41">
        <v>129403</v>
      </c>
      <c r="E41" t="s">
        <v>267</v>
      </c>
      <c r="F41" t="s">
        <v>268</v>
      </c>
      <c r="G41" t="s">
        <v>189</v>
      </c>
      <c r="H41" t="s">
        <v>190</v>
      </c>
      <c r="I41" t="s">
        <v>180</v>
      </c>
      <c r="J41" t="s">
        <v>225</v>
      </c>
      <c r="K41" t="s">
        <v>181</v>
      </c>
      <c r="L41" s="13" t="s">
        <v>182</v>
      </c>
      <c r="M41">
        <v>9</v>
      </c>
      <c r="N41">
        <v>7</v>
      </c>
      <c r="O41">
        <v>13</v>
      </c>
      <c r="P41">
        <v>8</v>
      </c>
      <c r="Q41">
        <v>10</v>
      </c>
      <c r="R41">
        <v>9</v>
      </c>
      <c r="S41">
        <v>10</v>
      </c>
      <c r="T41">
        <v>5</v>
      </c>
      <c r="U41">
        <v>9</v>
      </c>
      <c r="V41">
        <v>6</v>
      </c>
      <c r="W41">
        <v>5</v>
      </c>
      <c r="X41">
        <v>8</v>
      </c>
      <c r="Y41">
        <v>3</v>
      </c>
      <c r="Z41">
        <v>7</v>
      </c>
      <c r="AA41">
        <v>0</v>
      </c>
      <c r="AB41">
        <v>0</v>
      </c>
      <c r="AC41">
        <f t="shared" si="0"/>
        <v>59</v>
      </c>
      <c r="AD41">
        <f t="shared" si="0"/>
        <v>50</v>
      </c>
      <c r="AE41">
        <f t="shared" si="18"/>
        <v>109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f t="shared" si="2"/>
        <v>0</v>
      </c>
      <c r="AW41">
        <f t="shared" si="2"/>
        <v>0</v>
      </c>
      <c r="AX41">
        <f t="shared" si="19"/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f t="shared" si="4"/>
        <v>0</v>
      </c>
      <c r="BP41">
        <f t="shared" si="4"/>
        <v>2</v>
      </c>
      <c r="BQ41">
        <f t="shared" si="20"/>
        <v>2</v>
      </c>
      <c r="BR41">
        <v>2</v>
      </c>
      <c r="BS41">
        <v>0</v>
      </c>
      <c r="BT41">
        <v>3</v>
      </c>
      <c r="BU41">
        <v>0</v>
      </c>
      <c r="BV41">
        <v>2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f t="shared" si="6"/>
        <v>8</v>
      </c>
      <c r="CI41">
        <f t="shared" si="6"/>
        <v>1</v>
      </c>
      <c r="CJ41">
        <f t="shared" si="21"/>
        <v>9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2</v>
      </c>
      <c r="CR41">
        <v>6</v>
      </c>
      <c r="CS41">
        <v>2</v>
      </c>
      <c r="CT41">
        <v>4</v>
      </c>
      <c r="CU41">
        <v>2</v>
      </c>
      <c r="CV41">
        <v>2</v>
      </c>
      <c r="CW41">
        <v>2</v>
      </c>
      <c r="CX41">
        <v>1</v>
      </c>
      <c r="CY41">
        <v>0</v>
      </c>
      <c r="CZ41">
        <v>0</v>
      </c>
      <c r="DA41">
        <f t="shared" si="8"/>
        <v>10</v>
      </c>
      <c r="DB41">
        <f t="shared" si="8"/>
        <v>13</v>
      </c>
      <c r="DC41">
        <f t="shared" si="22"/>
        <v>23</v>
      </c>
      <c r="DD41">
        <v>0</v>
      </c>
      <c r="DE41">
        <v>0</v>
      </c>
      <c r="DF41">
        <v>1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2</v>
      </c>
      <c r="DM41">
        <v>0</v>
      </c>
      <c r="DN41">
        <v>1</v>
      </c>
      <c r="DO41">
        <v>0</v>
      </c>
      <c r="DP41">
        <v>1</v>
      </c>
      <c r="DQ41">
        <v>0</v>
      </c>
      <c r="DR41">
        <v>0</v>
      </c>
      <c r="DS41">
        <v>0</v>
      </c>
      <c r="DT41">
        <f t="shared" si="10"/>
        <v>5</v>
      </c>
      <c r="DU41">
        <f t="shared" si="10"/>
        <v>1</v>
      </c>
      <c r="DV41">
        <f t="shared" si="23"/>
        <v>6</v>
      </c>
      <c r="DW41">
        <v>0</v>
      </c>
      <c r="DX41">
        <v>0</v>
      </c>
      <c r="DY41">
        <v>3</v>
      </c>
      <c r="DZ41">
        <v>0</v>
      </c>
      <c r="EA41">
        <v>2</v>
      </c>
      <c r="EB41">
        <v>0</v>
      </c>
      <c r="EC41">
        <v>3</v>
      </c>
      <c r="ED41">
        <v>0</v>
      </c>
      <c r="EE41">
        <v>0</v>
      </c>
      <c r="EF41">
        <v>4</v>
      </c>
      <c r="EG41">
        <v>0</v>
      </c>
      <c r="EH41">
        <v>0</v>
      </c>
      <c r="EI41">
        <v>1</v>
      </c>
      <c r="EJ41">
        <v>1</v>
      </c>
      <c r="EK41">
        <v>0</v>
      </c>
      <c r="EL41">
        <v>0</v>
      </c>
      <c r="EM41">
        <f t="shared" si="12"/>
        <v>9</v>
      </c>
      <c r="EN41">
        <f t="shared" si="12"/>
        <v>5</v>
      </c>
      <c r="EO41">
        <f t="shared" si="24"/>
        <v>14</v>
      </c>
      <c r="EP41">
        <v>12</v>
      </c>
      <c r="EQ41">
        <v>7</v>
      </c>
      <c r="ER41">
        <v>12</v>
      </c>
      <c r="ES41">
        <v>7</v>
      </c>
      <c r="ET41">
        <v>11</v>
      </c>
      <c r="EU41">
        <v>8</v>
      </c>
      <c r="EV41">
        <v>8</v>
      </c>
      <c r="EW41">
        <v>6</v>
      </c>
      <c r="EX41">
        <v>9</v>
      </c>
      <c r="EY41">
        <v>7</v>
      </c>
      <c r="EZ41">
        <v>6</v>
      </c>
      <c r="FA41">
        <v>11</v>
      </c>
      <c r="FB41">
        <v>3</v>
      </c>
      <c r="FC41">
        <v>8</v>
      </c>
      <c r="FD41">
        <v>0</v>
      </c>
      <c r="FE41">
        <v>0</v>
      </c>
      <c r="FF41">
        <f t="shared" si="14"/>
        <v>61</v>
      </c>
      <c r="FG41">
        <f t="shared" si="14"/>
        <v>54</v>
      </c>
      <c r="FH41">
        <f t="shared" si="25"/>
        <v>115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f t="shared" si="16"/>
        <v>0</v>
      </c>
      <c r="FZ41">
        <f t="shared" si="16"/>
        <v>1</v>
      </c>
      <c r="GA41">
        <f t="shared" si="26"/>
        <v>1</v>
      </c>
    </row>
    <row r="42" spans="1:183" x14ac:dyDescent="0.25">
      <c r="A42" t="s">
        <v>179</v>
      </c>
      <c r="B42" t="s">
        <v>185</v>
      </c>
      <c r="C42" t="s">
        <v>222</v>
      </c>
      <c r="D42">
        <v>129404</v>
      </c>
      <c r="E42" t="s">
        <v>269</v>
      </c>
      <c r="F42" t="s">
        <v>270</v>
      </c>
      <c r="G42" t="s">
        <v>189</v>
      </c>
      <c r="H42" t="s">
        <v>190</v>
      </c>
      <c r="I42" t="s">
        <v>180</v>
      </c>
      <c r="J42" t="s">
        <v>271</v>
      </c>
      <c r="K42" t="s">
        <v>181</v>
      </c>
      <c r="L42" s="13" t="s">
        <v>182</v>
      </c>
      <c r="M42">
        <v>9</v>
      </c>
      <c r="N42">
        <v>17</v>
      </c>
      <c r="O42">
        <v>18</v>
      </c>
      <c r="P42">
        <v>7</v>
      </c>
      <c r="Q42">
        <v>17</v>
      </c>
      <c r="R42">
        <v>14</v>
      </c>
      <c r="S42">
        <v>15</v>
      </c>
      <c r="T42">
        <v>12</v>
      </c>
      <c r="U42">
        <v>14</v>
      </c>
      <c r="V42">
        <v>11</v>
      </c>
      <c r="W42">
        <v>18</v>
      </c>
      <c r="X42">
        <v>15</v>
      </c>
      <c r="Y42">
        <v>13</v>
      </c>
      <c r="Z42">
        <v>13</v>
      </c>
      <c r="AA42">
        <v>0</v>
      </c>
      <c r="AB42">
        <v>0</v>
      </c>
      <c r="AC42">
        <f t="shared" si="0"/>
        <v>104</v>
      </c>
      <c r="AD42">
        <f t="shared" si="0"/>
        <v>89</v>
      </c>
      <c r="AE42">
        <f t="shared" si="18"/>
        <v>193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f t="shared" si="2"/>
        <v>1</v>
      </c>
      <c r="AW42">
        <f t="shared" si="2"/>
        <v>0</v>
      </c>
      <c r="AX42">
        <f t="shared" si="19"/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2</v>
      </c>
      <c r="BM42">
        <v>0</v>
      </c>
      <c r="BN42">
        <v>0</v>
      </c>
      <c r="BO42">
        <f t="shared" si="4"/>
        <v>0</v>
      </c>
      <c r="BP42">
        <f t="shared" si="4"/>
        <v>3</v>
      </c>
      <c r="BQ42">
        <f t="shared" si="20"/>
        <v>3</v>
      </c>
      <c r="BR42">
        <v>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f t="shared" si="6"/>
        <v>3</v>
      </c>
      <c r="CI42">
        <f t="shared" si="6"/>
        <v>1</v>
      </c>
      <c r="CJ42">
        <f t="shared" si="21"/>
        <v>4</v>
      </c>
      <c r="CK42">
        <v>0</v>
      </c>
      <c r="CL42">
        <v>2</v>
      </c>
      <c r="CM42">
        <v>0</v>
      </c>
      <c r="CN42">
        <v>0</v>
      </c>
      <c r="CO42">
        <v>0</v>
      </c>
      <c r="CP42">
        <v>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2</v>
      </c>
      <c r="CX42">
        <v>0</v>
      </c>
      <c r="CY42">
        <v>0</v>
      </c>
      <c r="CZ42">
        <v>0</v>
      </c>
      <c r="DA42">
        <f t="shared" si="8"/>
        <v>2</v>
      </c>
      <c r="DB42">
        <f t="shared" si="8"/>
        <v>4</v>
      </c>
      <c r="DC42">
        <f t="shared" si="22"/>
        <v>6</v>
      </c>
      <c r="DD42">
        <v>0</v>
      </c>
      <c r="DE42">
        <v>0</v>
      </c>
      <c r="DF42">
        <v>1</v>
      </c>
      <c r="DG42">
        <v>0</v>
      </c>
      <c r="DH42">
        <v>2</v>
      </c>
      <c r="DI42">
        <v>0</v>
      </c>
      <c r="DJ42">
        <v>2</v>
      </c>
      <c r="DK42">
        <v>0</v>
      </c>
      <c r="DL42">
        <v>1</v>
      </c>
      <c r="DM42">
        <v>0</v>
      </c>
      <c r="DN42">
        <v>2</v>
      </c>
      <c r="DO42">
        <v>1</v>
      </c>
      <c r="DP42">
        <v>0</v>
      </c>
      <c r="DQ42">
        <v>0</v>
      </c>
      <c r="DR42">
        <v>0</v>
      </c>
      <c r="DS42">
        <v>0</v>
      </c>
      <c r="DT42">
        <f t="shared" si="10"/>
        <v>8</v>
      </c>
      <c r="DU42">
        <f t="shared" si="10"/>
        <v>1</v>
      </c>
      <c r="DV42">
        <f t="shared" si="23"/>
        <v>9</v>
      </c>
      <c r="DW42">
        <v>1</v>
      </c>
      <c r="DX42">
        <v>4</v>
      </c>
      <c r="DY42">
        <v>4</v>
      </c>
      <c r="DZ42">
        <v>2</v>
      </c>
      <c r="EA42">
        <v>6</v>
      </c>
      <c r="EB42">
        <v>3</v>
      </c>
      <c r="EC42">
        <v>6</v>
      </c>
      <c r="ED42">
        <v>2</v>
      </c>
      <c r="EE42">
        <v>3</v>
      </c>
      <c r="EF42">
        <v>2</v>
      </c>
      <c r="EG42">
        <v>7</v>
      </c>
      <c r="EH42">
        <v>5</v>
      </c>
      <c r="EI42">
        <v>5</v>
      </c>
      <c r="EJ42">
        <v>2</v>
      </c>
      <c r="EK42">
        <v>0</v>
      </c>
      <c r="EL42">
        <v>0</v>
      </c>
      <c r="EM42">
        <f t="shared" si="12"/>
        <v>32</v>
      </c>
      <c r="EN42">
        <f t="shared" si="12"/>
        <v>20</v>
      </c>
      <c r="EO42">
        <f t="shared" si="24"/>
        <v>52</v>
      </c>
      <c r="EP42">
        <v>10</v>
      </c>
      <c r="EQ42">
        <v>15</v>
      </c>
      <c r="ER42">
        <v>13</v>
      </c>
      <c r="ES42">
        <v>5</v>
      </c>
      <c r="ET42">
        <v>9</v>
      </c>
      <c r="EU42">
        <v>13</v>
      </c>
      <c r="EV42">
        <v>8</v>
      </c>
      <c r="EW42">
        <v>10</v>
      </c>
      <c r="EX42">
        <v>11</v>
      </c>
      <c r="EY42">
        <v>11</v>
      </c>
      <c r="EZ42">
        <v>9</v>
      </c>
      <c r="FA42">
        <v>9</v>
      </c>
      <c r="FB42">
        <v>10</v>
      </c>
      <c r="FC42">
        <v>13</v>
      </c>
      <c r="FD42">
        <v>0</v>
      </c>
      <c r="FE42">
        <v>0</v>
      </c>
      <c r="FF42">
        <f t="shared" si="14"/>
        <v>70</v>
      </c>
      <c r="FG42">
        <f t="shared" si="14"/>
        <v>76</v>
      </c>
      <c r="FH42">
        <f t="shared" si="25"/>
        <v>146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f t="shared" si="16"/>
        <v>0</v>
      </c>
      <c r="FZ42">
        <f t="shared" si="16"/>
        <v>0</v>
      </c>
      <c r="GA42">
        <f t="shared" si="26"/>
        <v>0</v>
      </c>
    </row>
    <row r="43" spans="1:183" x14ac:dyDescent="0.25">
      <c r="A43" t="s">
        <v>179</v>
      </c>
      <c r="B43" t="s">
        <v>185</v>
      </c>
      <c r="C43" t="s">
        <v>222</v>
      </c>
      <c r="D43">
        <v>129405</v>
      </c>
      <c r="E43" t="s">
        <v>272</v>
      </c>
      <c r="F43" t="s">
        <v>273</v>
      </c>
      <c r="G43" t="s">
        <v>189</v>
      </c>
      <c r="H43" t="s">
        <v>190</v>
      </c>
      <c r="I43" t="s">
        <v>180</v>
      </c>
      <c r="J43" t="s">
        <v>274</v>
      </c>
      <c r="K43" t="s">
        <v>181</v>
      </c>
      <c r="L43" s="13" t="s">
        <v>182</v>
      </c>
      <c r="M43">
        <v>19</v>
      </c>
      <c r="N43">
        <v>16</v>
      </c>
      <c r="O43">
        <v>35</v>
      </c>
      <c r="P43">
        <v>27</v>
      </c>
      <c r="Q43">
        <v>23</v>
      </c>
      <c r="R43">
        <v>20</v>
      </c>
      <c r="S43">
        <v>26</v>
      </c>
      <c r="T43">
        <v>20</v>
      </c>
      <c r="U43">
        <v>16</v>
      </c>
      <c r="V43">
        <v>22</v>
      </c>
      <c r="W43">
        <v>23</v>
      </c>
      <c r="X43">
        <v>23</v>
      </c>
      <c r="Y43">
        <v>22</v>
      </c>
      <c r="Z43">
        <v>22</v>
      </c>
      <c r="AA43">
        <v>0</v>
      </c>
      <c r="AB43">
        <v>0</v>
      </c>
      <c r="AC43">
        <f t="shared" si="0"/>
        <v>164</v>
      </c>
      <c r="AD43">
        <f t="shared" si="0"/>
        <v>150</v>
      </c>
      <c r="AE43">
        <f t="shared" si="18"/>
        <v>314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f t="shared" si="2"/>
        <v>1</v>
      </c>
      <c r="AW43">
        <f t="shared" si="2"/>
        <v>0</v>
      </c>
      <c r="AX43">
        <f t="shared" si="19"/>
        <v>1</v>
      </c>
      <c r="AY43">
        <v>0</v>
      </c>
      <c r="AZ43">
        <v>0</v>
      </c>
      <c r="BA43">
        <v>0</v>
      </c>
      <c r="BB43">
        <v>2</v>
      </c>
      <c r="BC43">
        <v>1</v>
      </c>
      <c r="BD43">
        <v>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f t="shared" si="4"/>
        <v>1</v>
      </c>
      <c r="BP43">
        <f t="shared" si="4"/>
        <v>5</v>
      </c>
      <c r="BQ43">
        <f t="shared" si="20"/>
        <v>6</v>
      </c>
      <c r="BR43">
        <v>0</v>
      </c>
      <c r="BS43">
        <v>0</v>
      </c>
      <c r="BT43">
        <v>1</v>
      </c>
      <c r="BU43">
        <v>0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1</v>
      </c>
      <c r="CE43">
        <v>1</v>
      </c>
      <c r="CF43">
        <v>0</v>
      </c>
      <c r="CG43">
        <v>0</v>
      </c>
      <c r="CH43">
        <f t="shared" si="6"/>
        <v>4</v>
      </c>
      <c r="CI43">
        <f t="shared" si="6"/>
        <v>2</v>
      </c>
      <c r="CJ43">
        <f t="shared" si="21"/>
        <v>6</v>
      </c>
      <c r="CK43">
        <v>5</v>
      </c>
      <c r="CL43">
        <v>8</v>
      </c>
      <c r="CM43">
        <v>2</v>
      </c>
      <c r="CN43">
        <v>3</v>
      </c>
      <c r="CO43">
        <v>2</v>
      </c>
      <c r="CP43">
        <v>5</v>
      </c>
      <c r="CQ43">
        <v>0</v>
      </c>
      <c r="CR43">
        <v>1</v>
      </c>
      <c r="CS43">
        <v>1</v>
      </c>
      <c r="CT43">
        <v>2</v>
      </c>
      <c r="CU43">
        <v>0</v>
      </c>
      <c r="CV43">
        <v>1</v>
      </c>
      <c r="CW43">
        <v>1</v>
      </c>
      <c r="CX43">
        <v>4</v>
      </c>
      <c r="CY43">
        <v>0</v>
      </c>
      <c r="CZ43">
        <v>0</v>
      </c>
      <c r="DA43">
        <f t="shared" si="8"/>
        <v>11</v>
      </c>
      <c r="DB43">
        <f t="shared" si="8"/>
        <v>24</v>
      </c>
      <c r="DC43">
        <f t="shared" si="22"/>
        <v>35</v>
      </c>
      <c r="DD43">
        <v>3</v>
      </c>
      <c r="DE43">
        <v>2</v>
      </c>
      <c r="DF43">
        <v>4</v>
      </c>
      <c r="DG43">
        <v>5</v>
      </c>
      <c r="DH43">
        <v>3</v>
      </c>
      <c r="DI43">
        <v>0</v>
      </c>
      <c r="DJ43">
        <v>4</v>
      </c>
      <c r="DK43">
        <v>0</v>
      </c>
      <c r="DL43">
        <v>0</v>
      </c>
      <c r="DM43">
        <v>1</v>
      </c>
      <c r="DN43">
        <v>0</v>
      </c>
      <c r="DO43">
        <v>3</v>
      </c>
      <c r="DP43">
        <v>3</v>
      </c>
      <c r="DQ43">
        <v>2</v>
      </c>
      <c r="DR43">
        <v>0</v>
      </c>
      <c r="DS43">
        <v>0</v>
      </c>
      <c r="DT43">
        <f t="shared" si="10"/>
        <v>17</v>
      </c>
      <c r="DU43">
        <f t="shared" si="10"/>
        <v>13</v>
      </c>
      <c r="DV43">
        <f t="shared" si="23"/>
        <v>30</v>
      </c>
      <c r="DW43">
        <v>7</v>
      </c>
      <c r="DX43">
        <v>8</v>
      </c>
      <c r="DY43">
        <v>12</v>
      </c>
      <c r="DZ43">
        <v>9</v>
      </c>
      <c r="EA43">
        <v>5</v>
      </c>
      <c r="EB43">
        <v>3</v>
      </c>
      <c r="EC43">
        <v>6</v>
      </c>
      <c r="ED43">
        <v>4</v>
      </c>
      <c r="EE43">
        <v>4</v>
      </c>
      <c r="EF43">
        <v>4</v>
      </c>
      <c r="EG43">
        <v>11</v>
      </c>
      <c r="EH43">
        <v>9</v>
      </c>
      <c r="EI43">
        <v>9</v>
      </c>
      <c r="EJ43">
        <v>10</v>
      </c>
      <c r="EK43">
        <v>0</v>
      </c>
      <c r="EL43">
        <v>0</v>
      </c>
      <c r="EM43">
        <f t="shared" si="12"/>
        <v>54</v>
      </c>
      <c r="EN43">
        <f t="shared" si="12"/>
        <v>47</v>
      </c>
      <c r="EO43">
        <f t="shared" si="24"/>
        <v>101</v>
      </c>
      <c r="EP43">
        <v>14</v>
      </c>
      <c r="EQ43">
        <v>14</v>
      </c>
      <c r="ER43">
        <v>22</v>
      </c>
      <c r="ES43">
        <v>18</v>
      </c>
      <c r="ET43">
        <v>20</v>
      </c>
      <c r="EU43">
        <v>25</v>
      </c>
      <c r="EV43">
        <v>16</v>
      </c>
      <c r="EW43">
        <v>17</v>
      </c>
      <c r="EX43">
        <v>13</v>
      </c>
      <c r="EY43">
        <v>19</v>
      </c>
      <c r="EZ43">
        <v>13</v>
      </c>
      <c r="FA43">
        <v>12</v>
      </c>
      <c r="FB43">
        <v>12</v>
      </c>
      <c r="FC43">
        <v>16</v>
      </c>
      <c r="FD43">
        <v>0</v>
      </c>
      <c r="FE43">
        <v>0</v>
      </c>
      <c r="FF43">
        <f t="shared" si="14"/>
        <v>110</v>
      </c>
      <c r="FG43">
        <f t="shared" si="14"/>
        <v>121</v>
      </c>
      <c r="FH43">
        <f t="shared" si="25"/>
        <v>231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f t="shared" si="16"/>
        <v>0</v>
      </c>
      <c r="FZ43">
        <f t="shared" si="16"/>
        <v>0</v>
      </c>
      <c r="GA43">
        <f t="shared" si="26"/>
        <v>0</v>
      </c>
    </row>
    <row r="44" spans="1:183" x14ac:dyDescent="0.25">
      <c r="A44" t="s">
        <v>179</v>
      </c>
      <c r="B44" t="s">
        <v>185</v>
      </c>
      <c r="C44" t="s">
        <v>222</v>
      </c>
      <c r="D44">
        <v>129406</v>
      </c>
      <c r="E44" t="s">
        <v>275</v>
      </c>
      <c r="F44" t="s">
        <v>276</v>
      </c>
      <c r="G44" t="s">
        <v>189</v>
      </c>
      <c r="H44" t="s">
        <v>190</v>
      </c>
      <c r="I44" t="s">
        <v>180</v>
      </c>
      <c r="J44" t="s">
        <v>242</v>
      </c>
      <c r="K44" t="s">
        <v>181</v>
      </c>
      <c r="L44" s="13" t="s">
        <v>182</v>
      </c>
      <c r="M44">
        <v>12</v>
      </c>
      <c r="N44">
        <v>18</v>
      </c>
      <c r="O44">
        <v>15</v>
      </c>
      <c r="P44">
        <v>13</v>
      </c>
      <c r="Q44">
        <v>9</v>
      </c>
      <c r="R44">
        <v>14</v>
      </c>
      <c r="S44">
        <v>11</v>
      </c>
      <c r="T44">
        <v>3</v>
      </c>
      <c r="U44">
        <v>5</v>
      </c>
      <c r="V44">
        <v>8</v>
      </c>
      <c r="W44">
        <v>8</v>
      </c>
      <c r="X44">
        <v>10</v>
      </c>
      <c r="Y44">
        <v>9</v>
      </c>
      <c r="Z44">
        <v>7</v>
      </c>
      <c r="AA44">
        <v>0</v>
      </c>
      <c r="AB44">
        <v>0</v>
      </c>
      <c r="AC44">
        <f t="shared" si="0"/>
        <v>69</v>
      </c>
      <c r="AD44">
        <f t="shared" si="0"/>
        <v>73</v>
      </c>
      <c r="AE44">
        <f t="shared" si="18"/>
        <v>142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f t="shared" si="2"/>
        <v>0</v>
      </c>
      <c r="AW44">
        <f t="shared" si="2"/>
        <v>0</v>
      </c>
      <c r="AX44">
        <f t="shared" si="19"/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f t="shared" si="4"/>
        <v>1</v>
      </c>
      <c r="BP44">
        <f t="shared" si="4"/>
        <v>0</v>
      </c>
      <c r="BQ44">
        <f t="shared" si="20"/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f t="shared" si="6"/>
        <v>0</v>
      </c>
      <c r="CI44">
        <f t="shared" si="6"/>
        <v>0</v>
      </c>
      <c r="CJ44">
        <f t="shared" si="21"/>
        <v>0</v>
      </c>
      <c r="CK44">
        <v>0</v>
      </c>
      <c r="CL44">
        <v>0</v>
      </c>
      <c r="CM44">
        <v>1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2</v>
      </c>
      <c r="CT44">
        <v>2</v>
      </c>
      <c r="CU44">
        <v>1</v>
      </c>
      <c r="CV44">
        <v>0</v>
      </c>
      <c r="CW44">
        <v>1</v>
      </c>
      <c r="CX44">
        <v>0</v>
      </c>
      <c r="CY44">
        <v>0</v>
      </c>
      <c r="CZ44">
        <v>0</v>
      </c>
      <c r="DA44">
        <f t="shared" si="8"/>
        <v>5</v>
      </c>
      <c r="DB44">
        <f t="shared" si="8"/>
        <v>3</v>
      </c>
      <c r="DC44">
        <f t="shared" si="22"/>
        <v>8</v>
      </c>
      <c r="DD44">
        <v>0</v>
      </c>
      <c r="DE44">
        <v>0</v>
      </c>
      <c r="DF44">
        <v>1</v>
      </c>
      <c r="DG44">
        <v>2</v>
      </c>
      <c r="DH44">
        <v>0</v>
      </c>
      <c r="DI44">
        <v>1</v>
      </c>
      <c r="DJ44">
        <v>0</v>
      </c>
      <c r="DK44">
        <v>0</v>
      </c>
      <c r="DL44">
        <v>2</v>
      </c>
      <c r="DM44">
        <v>0</v>
      </c>
      <c r="DN44">
        <v>0</v>
      </c>
      <c r="DO44">
        <v>0</v>
      </c>
      <c r="DP44">
        <v>2</v>
      </c>
      <c r="DQ44">
        <v>0</v>
      </c>
      <c r="DR44">
        <v>0</v>
      </c>
      <c r="DS44">
        <v>0</v>
      </c>
      <c r="DT44">
        <f t="shared" si="10"/>
        <v>5</v>
      </c>
      <c r="DU44">
        <f t="shared" si="10"/>
        <v>3</v>
      </c>
      <c r="DV44">
        <f t="shared" si="23"/>
        <v>8</v>
      </c>
      <c r="DW44">
        <v>4</v>
      </c>
      <c r="DX44">
        <v>4</v>
      </c>
      <c r="DY44">
        <v>3</v>
      </c>
      <c r="DZ44">
        <v>7</v>
      </c>
      <c r="EA44">
        <v>4</v>
      </c>
      <c r="EB44">
        <v>3</v>
      </c>
      <c r="EC44">
        <v>2</v>
      </c>
      <c r="ED44">
        <v>0</v>
      </c>
      <c r="EE44">
        <v>2</v>
      </c>
      <c r="EF44">
        <v>2</v>
      </c>
      <c r="EG44">
        <v>0</v>
      </c>
      <c r="EH44">
        <v>0</v>
      </c>
      <c r="EI44">
        <v>4</v>
      </c>
      <c r="EJ44">
        <v>2</v>
      </c>
      <c r="EK44">
        <v>0</v>
      </c>
      <c r="EL44">
        <v>0</v>
      </c>
      <c r="EM44">
        <f t="shared" si="12"/>
        <v>19</v>
      </c>
      <c r="EN44">
        <f t="shared" si="12"/>
        <v>18</v>
      </c>
      <c r="EO44">
        <f t="shared" si="24"/>
        <v>37</v>
      </c>
      <c r="EP44">
        <v>8</v>
      </c>
      <c r="EQ44">
        <v>14</v>
      </c>
      <c r="ER44">
        <v>12</v>
      </c>
      <c r="ES44">
        <v>5</v>
      </c>
      <c r="ET44">
        <v>6</v>
      </c>
      <c r="EU44">
        <v>10</v>
      </c>
      <c r="EV44">
        <v>9</v>
      </c>
      <c r="EW44">
        <v>3</v>
      </c>
      <c r="EX44">
        <v>3</v>
      </c>
      <c r="EY44">
        <v>8</v>
      </c>
      <c r="EZ44">
        <v>7</v>
      </c>
      <c r="FA44">
        <v>5</v>
      </c>
      <c r="FB44">
        <v>4</v>
      </c>
      <c r="FC44">
        <v>5</v>
      </c>
      <c r="FD44">
        <v>0</v>
      </c>
      <c r="FE44">
        <v>0</v>
      </c>
      <c r="FF44">
        <f t="shared" si="14"/>
        <v>49</v>
      </c>
      <c r="FG44">
        <f t="shared" si="14"/>
        <v>50</v>
      </c>
      <c r="FH44">
        <f t="shared" si="25"/>
        <v>99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2</v>
      </c>
      <c r="FT44">
        <v>5</v>
      </c>
      <c r="FU44">
        <v>0</v>
      </c>
      <c r="FV44">
        <v>0</v>
      </c>
      <c r="FW44">
        <v>0</v>
      </c>
      <c r="FX44">
        <v>0</v>
      </c>
      <c r="FY44">
        <f t="shared" si="16"/>
        <v>2</v>
      </c>
      <c r="FZ44">
        <f t="shared" si="16"/>
        <v>5</v>
      </c>
      <c r="GA44">
        <f t="shared" si="26"/>
        <v>7</v>
      </c>
    </row>
    <row r="45" spans="1:183" x14ac:dyDescent="0.25">
      <c r="A45" t="s">
        <v>179</v>
      </c>
      <c r="B45" t="s">
        <v>185</v>
      </c>
      <c r="C45" t="s">
        <v>222</v>
      </c>
      <c r="D45">
        <v>129407</v>
      </c>
      <c r="E45" t="s">
        <v>277</v>
      </c>
      <c r="F45" t="s">
        <v>278</v>
      </c>
      <c r="G45" t="s">
        <v>189</v>
      </c>
      <c r="H45" t="s">
        <v>190</v>
      </c>
      <c r="I45" t="s">
        <v>180</v>
      </c>
      <c r="J45" t="s">
        <v>254</v>
      </c>
      <c r="K45" t="s">
        <v>181</v>
      </c>
      <c r="L45" s="13" t="s">
        <v>182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f t="shared" si="0"/>
        <v>0</v>
      </c>
      <c r="AD45">
        <f t="shared" si="0"/>
        <v>0</v>
      </c>
      <c r="AE45">
        <f t="shared" si="18"/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f t="shared" si="2"/>
        <v>0</v>
      </c>
      <c r="AW45">
        <f t="shared" si="2"/>
        <v>0</v>
      </c>
      <c r="AX45">
        <f t="shared" si="19"/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f t="shared" si="4"/>
        <v>1</v>
      </c>
      <c r="BP45">
        <f t="shared" si="4"/>
        <v>1</v>
      </c>
      <c r="BQ45">
        <f t="shared" si="20"/>
        <v>2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1</v>
      </c>
      <c r="CE45">
        <v>1</v>
      </c>
      <c r="CF45">
        <v>0</v>
      </c>
      <c r="CG45">
        <v>0</v>
      </c>
      <c r="CH45">
        <f t="shared" si="6"/>
        <v>4</v>
      </c>
      <c r="CI45">
        <f t="shared" si="6"/>
        <v>1</v>
      </c>
      <c r="CJ45">
        <f t="shared" si="21"/>
        <v>5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f t="shared" si="8"/>
        <v>0</v>
      </c>
      <c r="DB45">
        <f t="shared" si="8"/>
        <v>0</v>
      </c>
      <c r="DC45">
        <f t="shared" si="22"/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f t="shared" si="10"/>
        <v>0</v>
      </c>
      <c r="DU45">
        <f t="shared" si="10"/>
        <v>0</v>
      </c>
      <c r="DV45">
        <f t="shared" si="23"/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2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f t="shared" si="12"/>
        <v>2</v>
      </c>
      <c r="EN45">
        <f t="shared" si="12"/>
        <v>0</v>
      </c>
      <c r="EO45">
        <f t="shared" si="24"/>
        <v>2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f t="shared" si="14"/>
        <v>0</v>
      </c>
      <c r="FG45">
        <f t="shared" si="14"/>
        <v>0</v>
      </c>
      <c r="FH45">
        <f t="shared" si="25"/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1</v>
      </c>
      <c r="FW45">
        <v>0</v>
      </c>
      <c r="FX45">
        <v>0</v>
      </c>
      <c r="FY45">
        <f t="shared" si="16"/>
        <v>0</v>
      </c>
      <c r="FZ45">
        <f t="shared" si="16"/>
        <v>1</v>
      </c>
      <c r="GA45">
        <f t="shared" si="26"/>
        <v>1</v>
      </c>
    </row>
    <row r="46" spans="1:183" x14ac:dyDescent="0.25">
      <c r="A46" t="s">
        <v>179</v>
      </c>
      <c r="B46" t="s">
        <v>185</v>
      </c>
      <c r="C46" t="s">
        <v>222</v>
      </c>
      <c r="D46">
        <v>129408</v>
      </c>
      <c r="E46" t="s">
        <v>279</v>
      </c>
      <c r="F46" t="s">
        <v>280</v>
      </c>
      <c r="G46" t="s">
        <v>189</v>
      </c>
      <c r="H46" t="s">
        <v>190</v>
      </c>
      <c r="I46" t="s">
        <v>180</v>
      </c>
      <c r="J46" t="s">
        <v>257</v>
      </c>
      <c r="K46" t="s">
        <v>181</v>
      </c>
      <c r="L46" s="13" t="s">
        <v>182</v>
      </c>
      <c r="M46">
        <v>5</v>
      </c>
      <c r="N46">
        <v>5</v>
      </c>
      <c r="O46">
        <v>11</v>
      </c>
      <c r="P46">
        <v>16</v>
      </c>
      <c r="Q46">
        <v>8</v>
      </c>
      <c r="R46">
        <v>10</v>
      </c>
      <c r="S46">
        <v>10</v>
      </c>
      <c r="T46">
        <v>14</v>
      </c>
      <c r="U46">
        <v>9</v>
      </c>
      <c r="V46">
        <v>11</v>
      </c>
      <c r="W46">
        <v>8</v>
      </c>
      <c r="X46">
        <v>8</v>
      </c>
      <c r="Y46">
        <v>10</v>
      </c>
      <c r="Z46">
        <v>3</v>
      </c>
      <c r="AA46">
        <v>0</v>
      </c>
      <c r="AB46">
        <v>0</v>
      </c>
      <c r="AC46">
        <f t="shared" si="0"/>
        <v>61</v>
      </c>
      <c r="AD46">
        <f t="shared" si="0"/>
        <v>67</v>
      </c>
      <c r="AE46">
        <f t="shared" si="18"/>
        <v>128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f t="shared" si="2"/>
        <v>0</v>
      </c>
      <c r="AW46">
        <f t="shared" si="2"/>
        <v>0</v>
      </c>
      <c r="AX46">
        <f t="shared" si="19"/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f t="shared" si="4"/>
        <v>1</v>
      </c>
      <c r="BP46">
        <f t="shared" si="4"/>
        <v>0</v>
      </c>
      <c r="BQ46">
        <f t="shared" si="20"/>
        <v>1</v>
      </c>
      <c r="BR46">
        <v>1</v>
      </c>
      <c r="BS46">
        <v>0</v>
      </c>
      <c r="BT46">
        <v>1</v>
      </c>
      <c r="BU46">
        <v>1</v>
      </c>
      <c r="BV46">
        <v>0</v>
      </c>
      <c r="BW46">
        <v>0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f t="shared" si="6"/>
        <v>4</v>
      </c>
      <c r="CI46">
        <f t="shared" si="6"/>
        <v>1</v>
      </c>
      <c r="CJ46">
        <f t="shared" si="21"/>
        <v>5</v>
      </c>
      <c r="CK46">
        <v>1</v>
      </c>
      <c r="CL46">
        <v>1</v>
      </c>
      <c r="CM46">
        <v>1</v>
      </c>
      <c r="CN46">
        <v>2</v>
      </c>
      <c r="CO46">
        <v>2</v>
      </c>
      <c r="CP46">
        <v>3</v>
      </c>
      <c r="CQ46">
        <v>1</v>
      </c>
      <c r="CR46">
        <v>2</v>
      </c>
      <c r="CS46">
        <v>2</v>
      </c>
      <c r="CT46">
        <v>0</v>
      </c>
      <c r="CU46">
        <v>2</v>
      </c>
      <c r="CV46">
        <v>0</v>
      </c>
      <c r="CW46">
        <v>2</v>
      </c>
      <c r="CX46">
        <v>1</v>
      </c>
      <c r="CY46">
        <v>0</v>
      </c>
      <c r="CZ46">
        <v>0</v>
      </c>
      <c r="DA46">
        <f t="shared" si="8"/>
        <v>11</v>
      </c>
      <c r="DB46">
        <f t="shared" si="8"/>
        <v>9</v>
      </c>
      <c r="DC46">
        <f t="shared" si="22"/>
        <v>20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1</v>
      </c>
      <c r="DO46">
        <v>0</v>
      </c>
      <c r="DP46">
        <v>2</v>
      </c>
      <c r="DQ46">
        <v>0</v>
      </c>
      <c r="DR46">
        <v>0</v>
      </c>
      <c r="DS46">
        <v>0</v>
      </c>
      <c r="DT46">
        <f t="shared" si="10"/>
        <v>3</v>
      </c>
      <c r="DU46">
        <f t="shared" si="10"/>
        <v>2</v>
      </c>
      <c r="DV46">
        <f t="shared" si="23"/>
        <v>5</v>
      </c>
      <c r="DW46">
        <v>2</v>
      </c>
      <c r="DX46">
        <v>1</v>
      </c>
      <c r="DY46">
        <v>0</v>
      </c>
      <c r="DZ46">
        <v>2</v>
      </c>
      <c r="EA46">
        <v>0</v>
      </c>
      <c r="EB46">
        <v>0</v>
      </c>
      <c r="EC46">
        <v>5</v>
      </c>
      <c r="ED46">
        <v>6</v>
      </c>
      <c r="EE46">
        <v>5</v>
      </c>
      <c r="EF46">
        <v>3</v>
      </c>
      <c r="EG46">
        <v>3</v>
      </c>
      <c r="EH46">
        <v>3</v>
      </c>
      <c r="EI46">
        <v>0</v>
      </c>
      <c r="EJ46">
        <v>1</v>
      </c>
      <c r="EK46">
        <v>0</v>
      </c>
      <c r="EL46">
        <v>0</v>
      </c>
      <c r="EM46">
        <f t="shared" si="12"/>
        <v>15</v>
      </c>
      <c r="EN46">
        <f t="shared" si="12"/>
        <v>16</v>
      </c>
      <c r="EO46">
        <f t="shared" si="24"/>
        <v>31</v>
      </c>
      <c r="EP46">
        <v>5</v>
      </c>
      <c r="EQ46">
        <v>5</v>
      </c>
      <c r="ER46">
        <v>13</v>
      </c>
      <c r="ES46">
        <v>16</v>
      </c>
      <c r="ET46">
        <v>10</v>
      </c>
      <c r="EU46">
        <v>13</v>
      </c>
      <c r="EV46">
        <v>9</v>
      </c>
      <c r="EW46">
        <v>10</v>
      </c>
      <c r="EX46">
        <v>6</v>
      </c>
      <c r="EY46">
        <v>7</v>
      </c>
      <c r="EZ46">
        <v>6</v>
      </c>
      <c r="FA46">
        <v>5</v>
      </c>
      <c r="FB46">
        <v>10</v>
      </c>
      <c r="FC46">
        <v>3</v>
      </c>
      <c r="FD46">
        <v>0</v>
      </c>
      <c r="FE46">
        <v>0</v>
      </c>
      <c r="FF46">
        <f t="shared" si="14"/>
        <v>59</v>
      </c>
      <c r="FG46">
        <f t="shared" si="14"/>
        <v>59</v>
      </c>
      <c r="FH46">
        <f t="shared" si="25"/>
        <v>118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f t="shared" si="16"/>
        <v>0</v>
      </c>
      <c r="FZ46">
        <f t="shared" si="16"/>
        <v>0</v>
      </c>
      <c r="GA46">
        <f t="shared" si="26"/>
        <v>0</v>
      </c>
    </row>
    <row r="47" spans="1:183" x14ac:dyDescent="0.25">
      <c r="A47" t="s">
        <v>179</v>
      </c>
      <c r="B47" t="s">
        <v>185</v>
      </c>
      <c r="C47" t="s">
        <v>222</v>
      </c>
      <c r="D47">
        <v>129409</v>
      </c>
      <c r="E47" t="s">
        <v>281</v>
      </c>
      <c r="F47" t="s">
        <v>282</v>
      </c>
      <c r="G47" t="s">
        <v>189</v>
      </c>
      <c r="H47" t="s">
        <v>190</v>
      </c>
      <c r="I47" t="s">
        <v>180</v>
      </c>
      <c r="J47" t="s">
        <v>283</v>
      </c>
      <c r="K47" t="s">
        <v>181</v>
      </c>
      <c r="L47" s="13" t="s">
        <v>182</v>
      </c>
      <c r="M47">
        <v>51</v>
      </c>
      <c r="N47">
        <v>50</v>
      </c>
      <c r="O47">
        <v>39</v>
      </c>
      <c r="P47">
        <v>51</v>
      </c>
      <c r="Q47">
        <v>49</v>
      </c>
      <c r="R47">
        <v>46</v>
      </c>
      <c r="S47">
        <v>39</v>
      </c>
      <c r="T47">
        <v>45</v>
      </c>
      <c r="U47">
        <v>37</v>
      </c>
      <c r="V47">
        <v>31</v>
      </c>
      <c r="W47">
        <v>45</v>
      </c>
      <c r="X47">
        <v>50</v>
      </c>
      <c r="Y47">
        <v>48</v>
      </c>
      <c r="Z47">
        <v>42</v>
      </c>
      <c r="AA47">
        <v>0</v>
      </c>
      <c r="AB47">
        <v>0</v>
      </c>
      <c r="AC47">
        <f t="shared" si="0"/>
        <v>308</v>
      </c>
      <c r="AD47">
        <f t="shared" si="0"/>
        <v>315</v>
      </c>
      <c r="AE47">
        <f t="shared" si="18"/>
        <v>623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f t="shared" si="2"/>
        <v>2</v>
      </c>
      <c r="AW47">
        <f t="shared" si="2"/>
        <v>0</v>
      </c>
      <c r="AX47">
        <f t="shared" si="19"/>
        <v>2</v>
      </c>
      <c r="AY47">
        <v>3</v>
      </c>
      <c r="AZ47">
        <v>3</v>
      </c>
      <c r="BA47">
        <v>1</v>
      </c>
      <c r="BB47">
        <v>1</v>
      </c>
      <c r="BC47">
        <v>0</v>
      </c>
      <c r="BD47">
        <v>0</v>
      </c>
      <c r="BE47">
        <v>0</v>
      </c>
      <c r="BF47">
        <v>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f t="shared" si="4"/>
        <v>4</v>
      </c>
      <c r="BP47">
        <f t="shared" si="4"/>
        <v>6</v>
      </c>
      <c r="BQ47">
        <f t="shared" si="20"/>
        <v>10</v>
      </c>
      <c r="BR47">
        <v>1</v>
      </c>
      <c r="BS47">
        <v>0</v>
      </c>
      <c r="BT47">
        <v>0</v>
      </c>
      <c r="BU47">
        <v>3</v>
      </c>
      <c r="BV47">
        <v>1</v>
      </c>
      <c r="BW47">
        <v>0</v>
      </c>
      <c r="BX47">
        <v>0</v>
      </c>
      <c r="BY47">
        <v>0</v>
      </c>
      <c r="BZ47">
        <v>2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f t="shared" si="6"/>
        <v>4</v>
      </c>
      <c r="CI47">
        <f t="shared" si="6"/>
        <v>4</v>
      </c>
      <c r="CJ47">
        <f t="shared" si="21"/>
        <v>8</v>
      </c>
      <c r="CK47">
        <v>0</v>
      </c>
      <c r="CL47">
        <v>1</v>
      </c>
      <c r="CM47">
        <v>4</v>
      </c>
      <c r="CN47">
        <v>2</v>
      </c>
      <c r="CO47">
        <v>8</v>
      </c>
      <c r="CP47">
        <v>2</v>
      </c>
      <c r="CQ47">
        <v>4</v>
      </c>
      <c r="CR47">
        <v>0</v>
      </c>
      <c r="CS47">
        <v>4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f t="shared" si="8"/>
        <v>20</v>
      </c>
      <c r="DB47">
        <f t="shared" si="8"/>
        <v>6</v>
      </c>
      <c r="DC47">
        <f t="shared" si="22"/>
        <v>26</v>
      </c>
      <c r="DD47">
        <v>2</v>
      </c>
      <c r="DE47">
        <v>2</v>
      </c>
      <c r="DF47">
        <v>2</v>
      </c>
      <c r="DG47">
        <v>2</v>
      </c>
      <c r="DH47">
        <v>1</v>
      </c>
      <c r="DI47">
        <v>0</v>
      </c>
      <c r="DJ47">
        <v>3</v>
      </c>
      <c r="DK47">
        <v>5</v>
      </c>
      <c r="DL47">
        <v>4</v>
      </c>
      <c r="DM47">
        <v>0</v>
      </c>
      <c r="DN47">
        <v>3</v>
      </c>
      <c r="DO47">
        <v>2</v>
      </c>
      <c r="DP47">
        <v>5</v>
      </c>
      <c r="DQ47">
        <v>3</v>
      </c>
      <c r="DR47">
        <v>0</v>
      </c>
      <c r="DS47">
        <v>0</v>
      </c>
      <c r="DT47">
        <f t="shared" si="10"/>
        <v>20</v>
      </c>
      <c r="DU47">
        <f t="shared" si="10"/>
        <v>14</v>
      </c>
      <c r="DV47">
        <f t="shared" si="23"/>
        <v>34</v>
      </c>
      <c r="DW47">
        <v>11</v>
      </c>
      <c r="DX47">
        <v>7</v>
      </c>
      <c r="DY47">
        <v>8</v>
      </c>
      <c r="DZ47">
        <v>9</v>
      </c>
      <c r="EA47">
        <v>15</v>
      </c>
      <c r="EB47">
        <v>6</v>
      </c>
      <c r="EC47">
        <v>16</v>
      </c>
      <c r="ED47">
        <v>7</v>
      </c>
      <c r="EE47">
        <v>7</v>
      </c>
      <c r="EF47">
        <v>5</v>
      </c>
      <c r="EG47">
        <v>6</v>
      </c>
      <c r="EH47">
        <v>11</v>
      </c>
      <c r="EI47">
        <v>9</v>
      </c>
      <c r="EJ47">
        <v>6</v>
      </c>
      <c r="EK47">
        <v>0</v>
      </c>
      <c r="EL47">
        <v>0</v>
      </c>
      <c r="EM47">
        <f t="shared" si="12"/>
        <v>72</v>
      </c>
      <c r="EN47">
        <f t="shared" si="12"/>
        <v>51</v>
      </c>
      <c r="EO47">
        <f t="shared" si="24"/>
        <v>123</v>
      </c>
      <c r="EP47">
        <v>28</v>
      </c>
      <c r="EQ47">
        <v>28</v>
      </c>
      <c r="ER47">
        <v>34</v>
      </c>
      <c r="ES47">
        <v>46</v>
      </c>
      <c r="ET47">
        <v>42</v>
      </c>
      <c r="EU47">
        <v>42</v>
      </c>
      <c r="EV47">
        <v>24</v>
      </c>
      <c r="EW47">
        <v>36</v>
      </c>
      <c r="EX47">
        <v>33</v>
      </c>
      <c r="EY47">
        <v>28</v>
      </c>
      <c r="EZ47">
        <v>35</v>
      </c>
      <c r="FA47">
        <v>37</v>
      </c>
      <c r="FB47">
        <v>34</v>
      </c>
      <c r="FC47">
        <v>33</v>
      </c>
      <c r="FD47">
        <v>0</v>
      </c>
      <c r="FE47">
        <v>0</v>
      </c>
      <c r="FF47">
        <f t="shared" si="14"/>
        <v>230</v>
      </c>
      <c r="FG47">
        <f t="shared" si="14"/>
        <v>250</v>
      </c>
      <c r="FH47">
        <f t="shared" si="25"/>
        <v>480</v>
      </c>
      <c r="FI47">
        <v>15</v>
      </c>
      <c r="FJ47">
        <v>17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f t="shared" si="16"/>
        <v>16</v>
      </c>
      <c r="FZ47">
        <f t="shared" si="16"/>
        <v>17</v>
      </c>
      <c r="GA47">
        <f t="shared" si="26"/>
        <v>33</v>
      </c>
    </row>
    <row r="48" spans="1:183" x14ac:dyDescent="0.25">
      <c r="A48" t="s">
        <v>179</v>
      </c>
      <c r="B48" t="s">
        <v>185</v>
      </c>
      <c r="C48" t="s">
        <v>222</v>
      </c>
      <c r="D48">
        <v>257001</v>
      </c>
      <c r="E48" t="s">
        <v>284</v>
      </c>
      <c r="F48" t="s">
        <v>285</v>
      </c>
      <c r="G48" t="s">
        <v>189</v>
      </c>
      <c r="H48" t="s">
        <v>190</v>
      </c>
      <c r="I48" t="s">
        <v>180</v>
      </c>
      <c r="J48" t="s">
        <v>234</v>
      </c>
      <c r="K48" t="s">
        <v>181</v>
      </c>
      <c r="L48" s="13" t="s">
        <v>182</v>
      </c>
      <c r="M48">
        <v>26</v>
      </c>
      <c r="N48">
        <v>22</v>
      </c>
      <c r="O48">
        <v>39</v>
      </c>
      <c r="P48">
        <v>34</v>
      </c>
      <c r="Q48">
        <v>39</v>
      </c>
      <c r="R48">
        <v>33</v>
      </c>
      <c r="S48">
        <v>22</v>
      </c>
      <c r="T48">
        <v>28</v>
      </c>
      <c r="U48">
        <v>30</v>
      </c>
      <c r="V48">
        <v>31</v>
      </c>
      <c r="W48">
        <v>25</v>
      </c>
      <c r="X48">
        <v>21</v>
      </c>
      <c r="Y48">
        <v>25</v>
      </c>
      <c r="Z48">
        <v>20</v>
      </c>
      <c r="AA48">
        <v>0</v>
      </c>
      <c r="AB48">
        <v>0</v>
      </c>
      <c r="AC48">
        <f t="shared" si="0"/>
        <v>206</v>
      </c>
      <c r="AD48">
        <f t="shared" si="0"/>
        <v>189</v>
      </c>
      <c r="AE48">
        <f t="shared" si="18"/>
        <v>395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f t="shared" si="2"/>
        <v>0</v>
      </c>
      <c r="AW48">
        <f t="shared" si="2"/>
        <v>0</v>
      </c>
      <c r="AX48">
        <f t="shared" si="19"/>
        <v>0</v>
      </c>
      <c r="AY48">
        <v>0</v>
      </c>
      <c r="AZ48">
        <v>0</v>
      </c>
      <c r="BA48">
        <v>2</v>
      </c>
      <c r="BB48">
        <v>0</v>
      </c>
      <c r="BC48">
        <v>1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f t="shared" si="4"/>
        <v>3</v>
      </c>
      <c r="BP48">
        <f t="shared" si="4"/>
        <v>2</v>
      </c>
      <c r="BQ48">
        <f t="shared" si="20"/>
        <v>5</v>
      </c>
      <c r="BR48">
        <v>1</v>
      </c>
      <c r="BS48">
        <v>2</v>
      </c>
      <c r="BT48">
        <v>2</v>
      </c>
      <c r="BU48">
        <v>2</v>
      </c>
      <c r="BV48">
        <v>0</v>
      </c>
      <c r="BW48">
        <v>0</v>
      </c>
      <c r="BX48">
        <v>0</v>
      </c>
      <c r="BY48">
        <v>1</v>
      </c>
      <c r="BZ48">
        <v>2</v>
      </c>
      <c r="CA48">
        <v>0</v>
      </c>
      <c r="CB48">
        <v>0</v>
      </c>
      <c r="CC48">
        <v>2</v>
      </c>
      <c r="CD48">
        <v>1</v>
      </c>
      <c r="CE48">
        <v>0</v>
      </c>
      <c r="CF48">
        <v>0</v>
      </c>
      <c r="CG48">
        <v>0</v>
      </c>
      <c r="CH48">
        <f t="shared" si="6"/>
        <v>6</v>
      </c>
      <c r="CI48">
        <f t="shared" si="6"/>
        <v>7</v>
      </c>
      <c r="CJ48">
        <f t="shared" si="21"/>
        <v>13</v>
      </c>
      <c r="CK48">
        <v>5</v>
      </c>
      <c r="CL48">
        <v>7</v>
      </c>
      <c r="CM48">
        <v>1</v>
      </c>
      <c r="CN48">
        <v>4</v>
      </c>
      <c r="CO48">
        <v>1</v>
      </c>
      <c r="CP48">
        <v>2</v>
      </c>
      <c r="CQ48">
        <v>3</v>
      </c>
      <c r="CR48">
        <v>2</v>
      </c>
      <c r="CS48">
        <v>1</v>
      </c>
      <c r="CT48">
        <v>1</v>
      </c>
      <c r="CU48">
        <v>2</v>
      </c>
      <c r="CV48">
        <v>2</v>
      </c>
      <c r="CW48">
        <v>2</v>
      </c>
      <c r="CX48">
        <v>8</v>
      </c>
      <c r="CY48">
        <v>0</v>
      </c>
      <c r="CZ48">
        <v>0</v>
      </c>
      <c r="DA48">
        <f t="shared" si="8"/>
        <v>15</v>
      </c>
      <c r="DB48">
        <f t="shared" si="8"/>
        <v>26</v>
      </c>
      <c r="DC48">
        <f t="shared" si="22"/>
        <v>41</v>
      </c>
      <c r="DD48">
        <v>2</v>
      </c>
      <c r="DE48">
        <v>1</v>
      </c>
      <c r="DF48">
        <v>2</v>
      </c>
      <c r="DG48">
        <v>0</v>
      </c>
      <c r="DH48">
        <v>5</v>
      </c>
      <c r="DI48">
        <v>2</v>
      </c>
      <c r="DJ48">
        <v>4</v>
      </c>
      <c r="DK48">
        <v>2</v>
      </c>
      <c r="DL48">
        <v>1</v>
      </c>
      <c r="DM48">
        <v>0</v>
      </c>
      <c r="DN48">
        <v>1</v>
      </c>
      <c r="DO48">
        <v>1</v>
      </c>
      <c r="DP48">
        <v>0</v>
      </c>
      <c r="DQ48">
        <v>4</v>
      </c>
      <c r="DR48">
        <v>0</v>
      </c>
      <c r="DS48">
        <v>0</v>
      </c>
      <c r="DT48">
        <f t="shared" si="10"/>
        <v>15</v>
      </c>
      <c r="DU48">
        <f t="shared" si="10"/>
        <v>10</v>
      </c>
      <c r="DV48">
        <f t="shared" si="23"/>
        <v>25</v>
      </c>
      <c r="DW48">
        <v>4</v>
      </c>
      <c r="DX48">
        <v>9</v>
      </c>
      <c r="DY48">
        <v>10</v>
      </c>
      <c r="DZ48">
        <v>6</v>
      </c>
      <c r="EA48">
        <v>10</v>
      </c>
      <c r="EB48">
        <v>7</v>
      </c>
      <c r="EC48">
        <v>2</v>
      </c>
      <c r="ED48">
        <v>7</v>
      </c>
      <c r="EE48">
        <v>6</v>
      </c>
      <c r="EF48">
        <v>7</v>
      </c>
      <c r="EG48">
        <v>1</v>
      </c>
      <c r="EH48">
        <v>4</v>
      </c>
      <c r="EI48">
        <v>11</v>
      </c>
      <c r="EJ48">
        <v>8</v>
      </c>
      <c r="EK48">
        <v>0</v>
      </c>
      <c r="EL48">
        <v>0</v>
      </c>
      <c r="EM48">
        <f t="shared" si="12"/>
        <v>44</v>
      </c>
      <c r="EN48">
        <f t="shared" si="12"/>
        <v>48</v>
      </c>
      <c r="EO48">
        <f t="shared" si="24"/>
        <v>92</v>
      </c>
      <c r="EP48">
        <v>26</v>
      </c>
      <c r="EQ48">
        <v>21</v>
      </c>
      <c r="ER48">
        <v>32</v>
      </c>
      <c r="ES48">
        <v>34</v>
      </c>
      <c r="ET48">
        <v>26</v>
      </c>
      <c r="EU48">
        <v>26</v>
      </c>
      <c r="EV48">
        <v>19</v>
      </c>
      <c r="EW48">
        <v>23</v>
      </c>
      <c r="EX48">
        <v>26</v>
      </c>
      <c r="EY48">
        <v>26</v>
      </c>
      <c r="EZ48">
        <v>25</v>
      </c>
      <c r="FA48">
        <v>20</v>
      </c>
      <c r="FB48">
        <v>17</v>
      </c>
      <c r="FC48">
        <v>16</v>
      </c>
      <c r="FD48">
        <v>0</v>
      </c>
      <c r="FE48">
        <v>0</v>
      </c>
      <c r="FF48">
        <f t="shared" si="14"/>
        <v>171</v>
      </c>
      <c r="FG48">
        <f t="shared" si="14"/>
        <v>166</v>
      </c>
      <c r="FH48">
        <f t="shared" si="25"/>
        <v>337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f t="shared" si="16"/>
        <v>0</v>
      </c>
      <c r="FZ48">
        <f t="shared" si="16"/>
        <v>0</v>
      </c>
      <c r="GA48">
        <f t="shared" si="26"/>
        <v>0</v>
      </c>
    </row>
    <row r="49" spans="1:183" x14ac:dyDescent="0.25">
      <c r="A49" t="s">
        <v>179</v>
      </c>
      <c r="B49" t="s">
        <v>185</v>
      </c>
      <c r="C49" t="s">
        <v>286</v>
      </c>
      <c r="D49">
        <v>102157</v>
      </c>
      <c r="E49" t="s">
        <v>287</v>
      </c>
      <c r="F49" t="s">
        <v>288</v>
      </c>
      <c r="G49" t="s">
        <v>189</v>
      </c>
      <c r="H49" t="s">
        <v>190</v>
      </c>
      <c r="I49" t="s">
        <v>180</v>
      </c>
      <c r="J49" t="s">
        <v>289</v>
      </c>
      <c r="K49" t="s">
        <v>181</v>
      </c>
      <c r="L49" s="13" t="s">
        <v>182</v>
      </c>
      <c r="M49">
        <v>12</v>
      </c>
      <c r="N49">
        <v>12</v>
      </c>
      <c r="O49">
        <v>8</v>
      </c>
      <c r="P49">
        <v>4</v>
      </c>
      <c r="Q49">
        <v>13</v>
      </c>
      <c r="R49">
        <v>7</v>
      </c>
      <c r="S49">
        <v>5</v>
      </c>
      <c r="T49">
        <v>5</v>
      </c>
      <c r="U49">
        <v>13</v>
      </c>
      <c r="V49">
        <v>12</v>
      </c>
      <c r="W49">
        <v>9</v>
      </c>
      <c r="X49">
        <v>7</v>
      </c>
      <c r="Y49">
        <v>5</v>
      </c>
      <c r="Z49">
        <v>3</v>
      </c>
      <c r="AA49">
        <v>0</v>
      </c>
      <c r="AB49">
        <v>0</v>
      </c>
      <c r="AC49">
        <f t="shared" si="0"/>
        <v>65</v>
      </c>
      <c r="AD49">
        <f t="shared" si="0"/>
        <v>50</v>
      </c>
      <c r="AE49">
        <f t="shared" si="18"/>
        <v>115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f t="shared" si="2"/>
        <v>0</v>
      </c>
      <c r="AW49">
        <f t="shared" si="2"/>
        <v>0</v>
      </c>
      <c r="AX49">
        <f t="shared" si="19"/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f t="shared" si="4"/>
        <v>1</v>
      </c>
      <c r="BP49">
        <f t="shared" si="4"/>
        <v>2</v>
      </c>
      <c r="BQ49">
        <f t="shared" si="20"/>
        <v>3</v>
      </c>
      <c r="BR49">
        <v>0</v>
      </c>
      <c r="BS49">
        <v>5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f t="shared" si="6"/>
        <v>0</v>
      </c>
      <c r="CI49">
        <f t="shared" si="6"/>
        <v>6</v>
      </c>
      <c r="CJ49">
        <f t="shared" si="21"/>
        <v>6</v>
      </c>
      <c r="CK49">
        <v>0</v>
      </c>
      <c r="CL49">
        <v>1</v>
      </c>
      <c r="CM49">
        <v>3</v>
      </c>
      <c r="CN49">
        <v>2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3</v>
      </c>
      <c r="CX49">
        <v>0</v>
      </c>
      <c r="CY49">
        <v>0</v>
      </c>
      <c r="CZ49">
        <v>0</v>
      </c>
      <c r="DA49">
        <f t="shared" si="8"/>
        <v>7</v>
      </c>
      <c r="DB49">
        <f t="shared" si="8"/>
        <v>3</v>
      </c>
      <c r="DC49">
        <f t="shared" si="22"/>
        <v>10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f t="shared" si="10"/>
        <v>0</v>
      </c>
      <c r="DU49">
        <f t="shared" si="10"/>
        <v>0</v>
      </c>
      <c r="DV49">
        <f t="shared" si="23"/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f t="shared" si="12"/>
        <v>0</v>
      </c>
      <c r="EN49">
        <f t="shared" si="12"/>
        <v>0</v>
      </c>
      <c r="EO49">
        <f t="shared" si="24"/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f t="shared" si="14"/>
        <v>0</v>
      </c>
      <c r="FG49">
        <f t="shared" si="14"/>
        <v>0</v>
      </c>
      <c r="FH49">
        <f t="shared" si="25"/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f t="shared" si="16"/>
        <v>0</v>
      </c>
      <c r="FZ49">
        <f t="shared" si="16"/>
        <v>0</v>
      </c>
      <c r="GA49">
        <f t="shared" si="26"/>
        <v>0</v>
      </c>
    </row>
    <row r="50" spans="1:183" x14ac:dyDescent="0.25">
      <c r="A50" t="s">
        <v>179</v>
      </c>
      <c r="B50" t="s">
        <v>185</v>
      </c>
      <c r="C50" t="s">
        <v>286</v>
      </c>
      <c r="D50">
        <v>102164</v>
      </c>
      <c r="E50" t="s">
        <v>290</v>
      </c>
      <c r="F50" t="s">
        <v>291</v>
      </c>
      <c r="G50" t="s">
        <v>189</v>
      </c>
      <c r="H50" t="s">
        <v>190</v>
      </c>
      <c r="I50" t="s">
        <v>180</v>
      </c>
      <c r="J50" t="s">
        <v>292</v>
      </c>
      <c r="K50" t="s">
        <v>181</v>
      </c>
      <c r="L50" s="13" t="s">
        <v>182</v>
      </c>
      <c r="M50">
        <v>6</v>
      </c>
      <c r="N50">
        <v>5</v>
      </c>
      <c r="O50">
        <v>4</v>
      </c>
      <c r="P50">
        <v>5</v>
      </c>
      <c r="Q50">
        <v>4</v>
      </c>
      <c r="R50">
        <v>5</v>
      </c>
      <c r="S50">
        <v>4</v>
      </c>
      <c r="T50">
        <v>8</v>
      </c>
      <c r="U50">
        <v>5</v>
      </c>
      <c r="V50">
        <v>5</v>
      </c>
      <c r="W50">
        <v>7</v>
      </c>
      <c r="X50">
        <v>1</v>
      </c>
      <c r="Y50">
        <v>6</v>
      </c>
      <c r="Z50">
        <v>5</v>
      </c>
      <c r="AA50">
        <v>0</v>
      </c>
      <c r="AB50">
        <v>0</v>
      </c>
      <c r="AC50">
        <f t="shared" si="0"/>
        <v>36</v>
      </c>
      <c r="AD50">
        <f t="shared" si="0"/>
        <v>34</v>
      </c>
      <c r="AE50">
        <f t="shared" si="18"/>
        <v>70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f t="shared" si="2"/>
        <v>0</v>
      </c>
      <c r="AW50">
        <f t="shared" si="2"/>
        <v>0</v>
      </c>
      <c r="AX50">
        <f t="shared" si="19"/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f t="shared" si="4"/>
        <v>1</v>
      </c>
      <c r="BP50">
        <f t="shared" si="4"/>
        <v>0</v>
      </c>
      <c r="BQ50">
        <f t="shared" si="20"/>
        <v>1</v>
      </c>
      <c r="BR50">
        <v>0</v>
      </c>
      <c r="BS50">
        <v>0</v>
      </c>
      <c r="BT50">
        <v>0</v>
      </c>
      <c r="BU50">
        <v>2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f t="shared" si="6"/>
        <v>1</v>
      </c>
      <c r="CI50">
        <f t="shared" si="6"/>
        <v>2</v>
      </c>
      <c r="CJ50">
        <f t="shared" si="21"/>
        <v>3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1</v>
      </c>
      <c r="CX50">
        <v>0</v>
      </c>
      <c r="CY50">
        <v>0</v>
      </c>
      <c r="CZ50">
        <v>0</v>
      </c>
      <c r="DA50">
        <f t="shared" si="8"/>
        <v>3</v>
      </c>
      <c r="DB50">
        <f t="shared" si="8"/>
        <v>0</v>
      </c>
      <c r="DC50">
        <f t="shared" si="22"/>
        <v>3</v>
      </c>
      <c r="DD50">
        <v>0</v>
      </c>
      <c r="DE50">
        <v>1</v>
      </c>
      <c r="DF50">
        <v>3</v>
      </c>
      <c r="DG50">
        <v>2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1</v>
      </c>
      <c r="DR50">
        <v>0</v>
      </c>
      <c r="DS50">
        <v>0</v>
      </c>
      <c r="DT50">
        <f t="shared" si="10"/>
        <v>5</v>
      </c>
      <c r="DU50">
        <f t="shared" si="10"/>
        <v>4</v>
      </c>
      <c r="DV50">
        <f t="shared" si="23"/>
        <v>9</v>
      </c>
      <c r="DW50">
        <v>2</v>
      </c>
      <c r="DX50">
        <v>3</v>
      </c>
      <c r="DY50">
        <v>0</v>
      </c>
      <c r="DZ50">
        <v>0</v>
      </c>
      <c r="EA50">
        <v>0</v>
      </c>
      <c r="EB50">
        <v>3</v>
      </c>
      <c r="EC50">
        <v>0</v>
      </c>
      <c r="ED50">
        <v>2</v>
      </c>
      <c r="EE50">
        <v>2</v>
      </c>
      <c r="EF50">
        <v>2</v>
      </c>
      <c r="EG50">
        <v>1</v>
      </c>
      <c r="EH50">
        <v>0</v>
      </c>
      <c r="EI50">
        <v>0</v>
      </c>
      <c r="EJ50">
        <v>2</v>
      </c>
      <c r="EK50">
        <v>0</v>
      </c>
      <c r="EL50">
        <v>0</v>
      </c>
      <c r="EM50">
        <f t="shared" si="12"/>
        <v>5</v>
      </c>
      <c r="EN50">
        <f t="shared" si="12"/>
        <v>12</v>
      </c>
      <c r="EO50">
        <f t="shared" si="24"/>
        <v>17</v>
      </c>
      <c r="EP50">
        <v>5</v>
      </c>
      <c r="EQ50">
        <v>4</v>
      </c>
      <c r="ER50">
        <v>4</v>
      </c>
      <c r="ES50">
        <v>6</v>
      </c>
      <c r="ET50">
        <v>5</v>
      </c>
      <c r="EU50">
        <v>2</v>
      </c>
      <c r="EV50">
        <v>4</v>
      </c>
      <c r="EW50">
        <v>6</v>
      </c>
      <c r="EX50">
        <v>3</v>
      </c>
      <c r="EY50">
        <v>3</v>
      </c>
      <c r="EZ50">
        <v>7</v>
      </c>
      <c r="FA50">
        <v>1</v>
      </c>
      <c r="FB50">
        <v>6</v>
      </c>
      <c r="FC50">
        <v>2</v>
      </c>
      <c r="FD50">
        <v>0</v>
      </c>
      <c r="FE50">
        <v>0</v>
      </c>
      <c r="FF50">
        <f t="shared" si="14"/>
        <v>34</v>
      </c>
      <c r="FG50">
        <f t="shared" si="14"/>
        <v>24</v>
      </c>
      <c r="FH50">
        <f t="shared" si="25"/>
        <v>58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f t="shared" si="16"/>
        <v>0</v>
      </c>
      <c r="FZ50">
        <f t="shared" si="16"/>
        <v>0</v>
      </c>
      <c r="GA50">
        <f t="shared" si="26"/>
        <v>0</v>
      </c>
    </row>
    <row r="51" spans="1:183" x14ac:dyDescent="0.25">
      <c r="A51" t="s">
        <v>179</v>
      </c>
      <c r="B51" t="s">
        <v>185</v>
      </c>
      <c r="C51" t="s">
        <v>286</v>
      </c>
      <c r="D51">
        <v>129410</v>
      </c>
      <c r="E51" t="s">
        <v>293</v>
      </c>
      <c r="F51" t="s">
        <v>294</v>
      </c>
      <c r="G51" t="s">
        <v>189</v>
      </c>
      <c r="H51" t="s">
        <v>190</v>
      </c>
      <c r="I51" t="s">
        <v>180</v>
      </c>
      <c r="J51" t="s">
        <v>295</v>
      </c>
      <c r="K51" t="s">
        <v>181</v>
      </c>
      <c r="L51" s="13" t="s">
        <v>182</v>
      </c>
      <c r="M51">
        <v>10</v>
      </c>
      <c r="N51">
        <v>16</v>
      </c>
      <c r="O51">
        <v>14</v>
      </c>
      <c r="P51">
        <v>14</v>
      </c>
      <c r="Q51">
        <v>14</v>
      </c>
      <c r="R51">
        <v>15</v>
      </c>
      <c r="S51">
        <v>12</v>
      </c>
      <c r="T51">
        <v>8</v>
      </c>
      <c r="U51">
        <v>16</v>
      </c>
      <c r="V51">
        <v>9</v>
      </c>
      <c r="W51">
        <v>12</v>
      </c>
      <c r="X51">
        <v>13</v>
      </c>
      <c r="Y51">
        <v>13</v>
      </c>
      <c r="Z51">
        <v>13</v>
      </c>
      <c r="AA51">
        <v>0</v>
      </c>
      <c r="AB51">
        <v>0</v>
      </c>
      <c r="AC51">
        <f t="shared" si="0"/>
        <v>91</v>
      </c>
      <c r="AD51">
        <f t="shared" si="0"/>
        <v>88</v>
      </c>
      <c r="AE51">
        <f t="shared" si="18"/>
        <v>179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f t="shared" si="2"/>
        <v>0</v>
      </c>
      <c r="AW51">
        <f t="shared" si="2"/>
        <v>0</v>
      </c>
      <c r="AX51">
        <f t="shared" si="19"/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f t="shared" si="4"/>
        <v>0</v>
      </c>
      <c r="BP51">
        <f t="shared" si="4"/>
        <v>0</v>
      </c>
      <c r="BQ51">
        <f t="shared" si="20"/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f t="shared" si="6"/>
        <v>0</v>
      </c>
      <c r="CI51">
        <f t="shared" si="6"/>
        <v>0</v>
      </c>
      <c r="CJ51">
        <f t="shared" si="21"/>
        <v>0</v>
      </c>
      <c r="CK51">
        <v>0</v>
      </c>
      <c r="CL51">
        <v>1</v>
      </c>
      <c r="CM51">
        <v>1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1</v>
      </c>
      <c r="CW51">
        <v>1</v>
      </c>
      <c r="CX51">
        <v>0</v>
      </c>
      <c r="CY51">
        <v>0</v>
      </c>
      <c r="CZ51">
        <v>0</v>
      </c>
      <c r="DA51">
        <f t="shared" si="8"/>
        <v>3</v>
      </c>
      <c r="DB51">
        <f t="shared" si="8"/>
        <v>3</v>
      </c>
      <c r="DC51">
        <f t="shared" si="22"/>
        <v>6</v>
      </c>
      <c r="DD51">
        <v>1</v>
      </c>
      <c r="DE51">
        <v>1</v>
      </c>
      <c r="DF51">
        <v>0</v>
      </c>
      <c r="DG51">
        <v>1</v>
      </c>
      <c r="DH51">
        <v>1</v>
      </c>
      <c r="DI51">
        <v>1</v>
      </c>
      <c r="DJ51">
        <v>0</v>
      </c>
      <c r="DK51">
        <v>0</v>
      </c>
      <c r="DL51">
        <v>1</v>
      </c>
      <c r="DM51">
        <v>0</v>
      </c>
      <c r="DN51">
        <v>1</v>
      </c>
      <c r="DO51">
        <v>2</v>
      </c>
      <c r="DP51">
        <v>1</v>
      </c>
      <c r="DQ51">
        <v>0</v>
      </c>
      <c r="DR51">
        <v>0</v>
      </c>
      <c r="DS51">
        <v>0</v>
      </c>
      <c r="DT51">
        <f t="shared" si="10"/>
        <v>5</v>
      </c>
      <c r="DU51">
        <f t="shared" si="10"/>
        <v>5</v>
      </c>
      <c r="DV51">
        <f t="shared" si="23"/>
        <v>10</v>
      </c>
      <c r="DW51">
        <v>1</v>
      </c>
      <c r="DX51">
        <v>1</v>
      </c>
      <c r="DY51">
        <v>0</v>
      </c>
      <c r="DZ51">
        <v>0</v>
      </c>
      <c r="EA51">
        <v>2</v>
      </c>
      <c r="EB51">
        <v>0</v>
      </c>
      <c r="EC51">
        <v>4</v>
      </c>
      <c r="ED51">
        <v>1</v>
      </c>
      <c r="EE51">
        <v>1</v>
      </c>
      <c r="EF51">
        <v>3</v>
      </c>
      <c r="EG51">
        <v>1</v>
      </c>
      <c r="EH51">
        <v>3</v>
      </c>
      <c r="EI51">
        <v>4</v>
      </c>
      <c r="EJ51">
        <v>4</v>
      </c>
      <c r="EK51">
        <v>0</v>
      </c>
      <c r="EL51">
        <v>0</v>
      </c>
      <c r="EM51">
        <f t="shared" si="12"/>
        <v>13</v>
      </c>
      <c r="EN51">
        <f t="shared" si="12"/>
        <v>12</v>
      </c>
      <c r="EO51">
        <f t="shared" si="24"/>
        <v>25</v>
      </c>
      <c r="EP51">
        <v>8</v>
      </c>
      <c r="EQ51">
        <v>15</v>
      </c>
      <c r="ER51">
        <v>15</v>
      </c>
      <c r="ES51">
        <v>13</v>
      </c>
      <c r="ET51">
        <v>11</v>
      </c>
      <c r="EU51">
        <v>15</v>
      </c>
      <c r="EV51">
        <v>8</v>
      </c>
      <c r="EW51">
        <v>5</v>
      </c>
      <c r="EX51">
        <v>15</v>
      </c>
      <c r="EY51">
        <v>6</v>
      </c>
      <c r="EZ51">
        <v>10</v>
      </c>
      <c r="FA51">
        <v>9</v>
      </c>
      <c r="FB51">
        <v>9</v>
      </c>
      <c r="FC51">
        <v>8</v>
      </c>
      <c r="FD51">
        <v>0</v>
      </c>
      <c r="FE51">
        <v>0</v>
      </c>
      <c r="FF51">
        <f t="shared" si="14"/>
        <v>76</v>
      </c>
      <c r="FG51">
        <f t="shared" si="14"/>
        <v>71</v>
      </c>
      <c r="FH51">
        <f t="shared" si="25"/>
        <v>147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f t="shared" si="16"/>
        <v>0</v>
      </c>
      <c r="FZ51">
        <f t="shared" si="16"/>
        <v>0</v>
      </c>
      <c r="GA51">
        <f t="shared" si="26"/>
        <v>0</v>
      </c>
    </row>
    <row r="52" spans="1:183" x14ac:dyDescent="0.25">
      <c r="A52" t="s">
        <v>179</v>
      </c>
      <c r="B52" t="s">
        <v>185</v>
      </c>
      <c r="C52" t="s">
        <v>286</v>
      </c>
      <c r="D52">
        <v>129412</v>
      </c>
      <c r="E52" t="s">
        <v>296</v>
      </c>
      <c r="F52" t="s">
        <v>297</v>
      </c>
      <c r="G52" t="s">
        <v>189</v>
      </c>
      <c r="H52" t="s">
        <v>190</v>
      </c>
      <c r="I52" t="s">
        <v>180</v>
      </c>
      <c r="J52" t="s">
        <v>298</v>
      </c>
      <c r="K52" t="s">
        <v>181</v>
      </c>
      <c r="L52" s="13" t="s">
        <v>182</v>
      </c>
      <c r="M52">
        <v>9</v>
      </c>
      <c r="N52">
        <v>3</v>
      </c>
      <c r="O52">
        <v>11</v>
      </c>
      <c r="P52">
        <v>10</v>
      </c>
      <c r="Q52">
        <v>6</v>
      </c>
      <c r="R52">
        <v>6</v>
      </c>
      <c r="S52">
        <v>7</v>
      </c>
      <c r="T52">
        <v>6</v>
      </c>
      <c r="U52">
        <v>9</v>
      </c>
      <c r="V52">
        <v>3</v>
      </c>
      <c r="W52">
        <v>9</v>
      </c>
      <c r="X52">
        <v>7</v>
      </c>
      <c r="Y52">
        <v>5</v>
      </c>
      <c r="Z52">
        <v>5</v>
      </c>
      <c r="AA52">
        <v>0</v>
      </c>
      <c r="AB52">
        <v>0</v>
      </c>
      <c r="AC52">
        <f t="shared" si="0"/>
        <v>56</v>
      </c>
      <c r="AD52">
        <f t="shared" si="0"/>
        <v>40</v>
      </c>
      <c r="AE52">
        <f t="shared" si="18"/>
        <v>96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f t="shared" si="2"/>
        <v>0</v>
      </c>
      <c r="AW52">
        <f t="shared" si="2"/>
        <v>0</v>
      </c>
      <c r="AX52">
        <f t="shared" si="19"/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f t="shared" si="4"/>
        <v>2</v>
      </c>
      <c r="BP52">
        <f t="shared" si="4"/>
        <v>1</v>
      </c>
      <c r="BQ52">
        <f t="shared" si="20"/>
        <v>3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f t="shared" si="6"/>
        <v>0</v>
      </c>
      <c r="CI52">
        <f t="shared" si="6"/>
        <v>1</v>
      </c>
      <c r="CJ52">
        <f t="shared" si="21"/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f t="shared" si="8"/>
        <v>0</v>
      </c>
      <c r="DB52">
        <f t="shared" si="8"/>
        <v>1</v>
      </c>
      <c r="DC52">
        <f t="shared" si="22"/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f t="shared" si="10"/>
        <v>1</v>
      </c>
      <c r="DU52">
        <f t="shared" si="10"/>
        <v>0</v>
      </c>
      <c r="DV52">
        <f t="shared" si="23"/>
        <v>1</v>
      </c>
      <c r="DW52">
        <v>0</v>
      </c>
      <c r="DX52">
        <v>1</v>
      </c>
      <c r="DY52">
        <v>1</v>
      </c>
      <c r="DZ52">
        <v>0</v>
      </c>
      <c r="EA52">
        <v>1</v>
      </c>
      <c r="EB52">
        <v>0</v>
      </c>
      <c r="EC52">
        <v>2</v>
      </c>
      <c r="ED52">
        <v>0</v>
      </c>
      <c r="EE52">
        <v>0</v>
      </c>
      <c r="EF52">
        <v>0</v>
      </c>
      <c r="EG52">
        <v>5</v>
      </c>
      <c r="EH52">
        <v>3</v>
      </c>
      <c r="EI52">
        <v>0</v>
      </c>
      <c r="EJ52">
        <v>0</v>
      </c>
      <c r="EK52">
        <v>0</v>
      </c>
      <c r="EL52">
        <v>0</v>
      </c>
      <c r="EM52">
        <f t="shared" si="12"/>
        <v>9</v>
      </c>
      <c r="EN52">
        <f t="shared" si="12"/>
        <v>4</v>
      </c>
      <c r="EO52">
        <f t="shared" si="24"/>
        <v>13</v>
      </c>
      <c r="EP52">
        <v>9</v>
      </c>
      <c r="EQ52">
        <v>3</v>
      </c>
      <c r="ER52">
        <v>10</v>
      </c>
      <c r="ES52">
        <v>10</v>
      </c>
      <c r="ET52">
        <v>5</v>
      </c>
      <c r="EU52">
        <v>6</v>
      </c>
      <c r="EV52">
        <v>6</v>
      </c>
      <c r="EW52">
        <v>6</v>
      </c>
      <c r="EX52">
        <v>9</v>
      </c>
      <c r="EY52">
        <v>4</v>
      </c>
      <c r="EZ52">
        <v>4</v>
      </c>
      <c r="FA52">
        <v>5</v>
      </c>
      <c r="FB52">
        <v>5</v>
      </c>
      <c r="FC52">
        <v>5</v>
      </c>
      <c r="FD52">
        <v>0</v>
      </c>
      <c r="FE52">
        <v>0</v>
      </c>
      <c r="FF52">
        <f t="shared" si="14"/>
        <v>48</v>
      </c>
      <c r="FG52">
        <f t="shared" si="14"/>
        <v>39</v>
      </c>
      <c r="FH52">
        <f t="shared" si="25"/>
        <v>87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f t="shared" si="16"/>
        <v>0</v>
      </c>
      <c r="FZ52">
        <f t="shared" si="16"/>
        <v>0</v>
      </c>
      <c r="GA52">
        <f t="shared" si="26"/>
        <v>0</v>
      </c>
    </row>
    <row r="53" spans="1:183" x14ac:dyDescent="0.25">
      <c r="A53" t="s">
        <v>179</v>
      </c>
      <c r="B53" t="s">
        <v>185</v>
      </c>
      <c r="C53" t="s">
        <v>286</v>
      </c>
      <c r="D53">
        <v>129413</v>
      </c>
      <c r="E53" t="s">
        <v>299</v>
      </c>
      <c r="F53" t="s">
        <v>300</v>
      </c>
      <c r="G53" t="s">
        <v>189</v>
      </c>
      <c r="H53" t="s">
        <v>190</v>
      </c>
      <c r="I53" t="s">
        <v>180</v>
      </c>
      <c r="J53" t="s">
        <v>295</v>
      </c>
      <c r="K53" t="s">
        <v>181</v>
      </c>
      <c r="L53" s="13" t="s">
        <v>182</v>
      </c>
      <c r="M53">
        <v>24</v>
      </c>
      <c r="N53">
        <v>19</v>
      </c>
      <c r="O53">
        <v>14</v>
      </c>
      <c r="P53">
        <v>24</v>
      </c>
      <c r="Q53">
        <v>23</v>
      </c>
      <c r="R53">
        <v>19</v>
      </c>
      <c r="S53">
        <v>22</v>
      </c>
      <c r="T53">
        <v>16</v>
      </c>
      <c r="U53">
        <v>10</v>
      </c>
      <c r="V53">
        <v>7</v>
      </c>
      <c r="W53">
        <v>22</v>
      </c>
      <c r="X53">
        <v>30</v>
      </c>
      <c r="Y53">
        <v>18</v>
      </c>
      <c r="Z53">
        <v>21</v>
      </c>
      <c r="AA53">
        <v>0</v>
      </c>
      <c r="AB53">
        <v>0</v>
      </c>
      <c r="AC53">
        <f t="shared" si="0"/>
        <v>133</v>
      </c>
      <c r="AD53">
        <f t="shared" si="0"/>
        <v>136</v>
      </c>
      <c r="AE53">
        <f t="shared" si="18"/>
        <v>269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f t="shared" si="2"/>
        <v>0</v>
      </c>
      <c r="AW53">
        <f t="shared" si="2"/>
        <v>0</v>
      </c>
      <c r="AX53">
        <f t="shared" si="19"/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</v>
      </c>
      <c r="BF53">
        <v>0</v>
      </c>
      <c r="BG53">
        <v>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f t="shared" si="4"/>
        <v>4</v>
      </c>
      <c r="BP53">
        <f t="shared" si="4"/>
        <v>0</v>
      </c>
      <c r="BQ53">
        <f t="shared" si="20"/>
        <v>4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1</v>
      </c>
      <c r="CA53">
        <v>0</v>
      </c>
      <c r="CB53">
        <v>2</v>
      </c>
      <c r="CC53">
        <v>0</v>
      </c>
      <c r="CD53">
        <v>0</v>
      </c>
      <c r="CE53">
        <v>0</v>
      </c>
      <c r="CF53">
        <v>0</v>
      </c>
      <c r="CG53">
        <v>0</v>
      </c>
      <c r="CH53">
        <f t="shared" si="6"/>
        <v>4</v>
      </c>
      <c r="CI53">
        <f t="shared" si="6"/>
        <v>2</v>
      </c>
      <c r="CJ53">
        <f t="shared" si="21"/>
        <v>6</v>
      </c>
      <c r="CK53">
        <v>0</v>
      </c>
      <c r="CL53">
        <v>1</v>
      </c>
      <c r="CM53">
        <v>2</v>
      </c>
      <c r="CN53">
        <v>3</v>
      </c>
      <c r="CO53">
        <v>4</v>
      </c>
      <c r="CP53">
        <v>2</v>
      </c>
      <c r="CQ53">
        <v>2</v>
      </c>
      <c r="CR53">
        <v>3</v>
      </c>
      <c r="CS53">
        <v>2</v>
      </c>
      <c r="CT53">
        <v>1</v>
      </c>
      <c r="CU53">
        <v>4</v>
      </c>
      <c r="CV53">
        <v>3</v>
      </c>
      <c r="CW53">
        <v>1</v>
      </c>
      <c r="CX53">
        <v>2</v>
      </c>
      <c r="CY53">
        <v>0</v>
      </c>
      <c r="CZ53">
        <v>0</v>
      </c>
      <c r="DA53">
        <f t="shared" si="8"/>
        <v>15</v>
      </c>
      <c r="DB53">
        <f t="shared" si="8"/>
        <v>15</v>
      </c>
      <c r="DC53">
        <f t="shared" si="22"/>
        <v>30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3</v>
      </c>
      <c r="DK53">
        <v>0</v>
      </c>
      <c r="DL53">
        <v>1</v>
      </c>
      <c r="DM53">
        <v>1</v>
      </c>
      <c r="DN53">
        <v>3</v>
      </c>
      <c r="DO53">
        <v>0</v>
      </c>
      <c r="DP53">
        <v>0</v>
      </c>
      <c r="DQ53">
        <v>0</v>
      </c>
      <c r="DR53">
        <v>0</v>
      </c>
      <c r="DS53">
        <v>0</v>
      </c>
      <c r="DT53">
        <f t="shared" si="10"/>
        <v>7</v>
      </c>
      <c r="DU53">
        <f t="shared" si="10"/>
        <v>2</v>
      </c>
      <c r="DV53">
        <f t="shared" si="23"/>
        <v>9</v>
      </c>
      <c r="DW53">
        <v>1</v>
      </c>
      <c r="DX53">
        <v>1</v>
      </c>
      <c r="DY53">
        <v>2</v>
      </c>
      <c r="DZ53">
        <v>6</v>
      </c>
      <c r="EA53">
        <v>8</v>
      </c>
      <c r="EB53">
        <v>3</v>
      </c>
      <c r="EC53">
        <v>9</v>
      </c>
      <c r="ED53">
        <v>5</v>
      </c>
      <c r="EE53">
        <v>4</v>
      </c>
      <c r="EF53">
        <v>1</v>
      </c>
      <c r="EG53">
        <v>6</v>
      </c>
      <c r="EH53">
        <v>5</v>
      </c>
      <c r="EI53">
        <v>2</v>
      </c>
      <c r="EJ53">
        <v>1</v>
      </c>
      <c r="EK53">
        <v>0</v>
      </c>
      <c r="EL53">
        <v>0</v>
      </c>
      <c r="EM53">
        <f t="shared" si="12"/>
        <v>32</v>
      </c>
      <c r="EN53">
        <f t="shared" si="12"/>
        <v>22</v>
      </c>
      <c r="EO53">
        <f t="shared" si="24"/>
        <v>54</v>
      </c>
      <c r="EP53">
        <v>20</v>
      </c>
      <c r="EQ53">
        <v>16</v>
      </c>
      <c r="ER53">
        <v>15</v>
      </c>
      <c r="ES53">
        <v>21</v>
      </c>
      <c r="ET53">
        <v>19</v>
      </c>
      <c r="EU53">
        <v>19</v>
      </c>
      <c r="EV53">
        <v>14</v>
      </c>
      <c r="EW53">
        <v>14</v>
      </c>
      <c r="EX53">
        <v>18</v>
      </c>
      <c r="EY53">
        <v>16</v>
      </c>
      <c r="EZ53">
        <v>11</v>
      </c>
      <c r="FA53">
        <v>19</v>
      </c>
      <c r="FB53">
        <v>17</v>
      </c>
      <c r="FC53">
        <v>20</v>
      </c>
      <c r="FD53">
        <v>0</v>
      </c>
      <c r="FE53">
        <v>0</v>
      </c>
      <c r="FF53">
        <f t="shared" si="14"/>
        <v>114</v>
      </c>
      <c r="FG53">
        <f t="shared" si="14"/>
        <v>125</v>
      </c>
      <c r="FH53">
        <f t="shared" si="25"/>
        <v>239</v>
      </c>
      <c r="FI53">
        <v>3</v>
      </c>
      <c r="FJ53">
        <v>3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1</v>
      </c>
      <c r="FT53">
        <v>0</v>
      </c>
      <c r="FU53">
        <v>0</v>
      </c>
      <c r="FV53">
        <v>2</v>
      </c>
      <c r="FW53">
        <v>0</v>
      </c>
      <c r="FX53">
        <v>0</v>
      </c>
      <c r="FY53">
        <f t="shared" si="16"/>
        <v>4</v>
      </c>
      <c r="FZ53">
        <f t="shared" si="16"/>
        <v>5</v>
      </c>
      <c r="GA53">
        <f t="shared" si="26"/>
        <v>9</v>
      </c>
    </row>
    <row r="54" spans="1:183" x14ac:dyDescent="0.25">
      <c r="A54" t="s">
        <v>179</v>
      </c>
      <c r="B54" t="s">
        <v>185</v>
      </c>
      <c r="C54" t="s">
        <v>286</v>
      </c>
      <c r="D54">
        <v>129414</v>
      </c>
      <c r="E54" t="s">
        <v>301</v>
      </c>
      <c r="F54" t="s">
        <v>302</v>
      </c>
      <c r="G54" t="s">
        <v>189</v>
      </c>
      <c r="H54" t="s">
        <v>190</v>
      </c>
      <c r="I54" t="s">
        <v>180</v>
      </c>
      <c r="J54" t="s">
        <v>303</v>
      </c>
      <c r="K54" t="s">
        <v>181</v>
      </c>
      <c r="L54" s="13" t="s">
        <v>182</v>
      </c>
      <c r="M54">
        <v>26</v>
      </c>
      <c r="N54">
        <v>16</v>
      </c>
      <c r="O54">
        <v>31</v>
      </c>
      <c r="P54">
        <v>19</v>
      </c>
      <c r="Q54">
        <v>35</v>
      </c>
      <c r="R54">
        <v>23</v>
      </c>
      <c r="S54">
        <v>22</v>
      </c>
      <c r="T54">
        <v>26</v>
      </c>
      <c r="U54">
        <v>31</v>
      </c>
      <c r="V54">
        <v>25</v>
      </c>
      <c r="W54">
        <v>24</v>
      </c>
      <c r="X54">
        <v>24</v>
      </c>
      <c r="Y54">
        <v>23</v>
      </c>
      <c r="Z54">
        <v>27</v>
      </c>
      <c r="AA54">
        <v>0</v>
      </c>
      <c r="AB54">
        <v>0</v>
      </c>
      <c r="AC54">
        <f t="shared" si="0"/>
        <v>192</v>
      </c>
      <c r="AD54">
        <f t="shared" si="0"/>
        <v>160</v>
      </c>
      <c r="AE54">
        <f t="shared" si="18"/>
        <v>352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f t="shared" si="2"/>
        <v>0</v>
      </c>
      <c r="AW54">
        <f t="shared" si="2"/>
        <v>0</v>
      </c>
      <c r="AX54">
        <f t="shared" si="19"/>
        <v>0</v>
      </c>
      <c r="AY54">
        <v>0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2</v>
      </c>
      <c r="BH54">
        <v>0</v>
      </c>
      <c r="BI54">
        <v>0</v>
      </c>
      <c r="BJ54">
        <v>0</v>
      </c>
      <c r="BK54">
        <v>2</v>
      </c>
      <c r="BL54">
        <v>1</v>
      </c>
      <c r="BM54">
        <v>0</v>
      </c>
      <c r="BN54">
        <v>0</v>
      </c>
      <c r="BO54">
        <f t="shared" si="4"/>
        <v>6</v>
      </c>
      <c r="BP54">
        <f t="shared" si="4"/>
        <v>1</v>
      </c>
      <c r="BQ54">
        <f t="shared" si="20"/>
        <v>7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3</v>
      </c>
      <c r="CE54">
        <v>0</v>
      </c>
      <c r="CF54">
        <v>0</v>
      </c>
      <c r="CG54">
        <v>0</v>
      </c>
      <c r="CH54">
        <f t="shared" si="6"/>
        <v>4</v>
      </c>
      <c r="CI54">
        <f t="shared" si="6"/>
        <v>0</v>
      </c>
      <c r="CJ54">
        <f t="shared" si="21"/>
        <v>4</v>
      </c>
      <c r="CK54">
        <v>3</v>
      </c>
      <c r="CL54">
        <v>3</v>
      </c>
      <c r="CM54">
        <v>2</v>
      </c>
      <c r="CN54">
        <v>1</v>
      </c>
      <c r="CO54">
        <v>1</v>
      </c>
      <c r="CP54">
        <v>0</v>
      </c>
      <c r="CQ54">
        <v>0</v>
      </c>
      <c r="CR54">
        <v>3</v>
      </c>
      <c r="CS54">
        <v>0</v>
      </c>
      <c r="CT54">
        <v>0</v>
      </c>
      <c r="CU54">
        <v>0</v>
      </c>
      <c r="CV54">
        <v>1</v>
      </c>
      <c r="CW54">
        <v>0</v>
      </c>
      <c r="CX54">
        <v>4</v>
      </c>
      <c r="CY54">
        <v>0</v>
      </c>
      <c r="CZ54">
        <v>0</v>
      </c>
      <c r="DA54">
        <f t="shared" si="8"/>
        <v>6</v>
      </c>
      <c r="DB54">
        <f t="shared" si="8"/>
        <v>12</v>
      </c>
      <c r="DC54">
        <f t="shared" si="22"/>
        <v>18</v>
      </c>
      <c r="DD54">
        <v>0</v>
      </c>
      <c r="DE54">
        <v>1</v>
      </c>
      <c r="DF54">
        <v>1</v>
      </c>
      <c r="DG54">
        <v>0</v>
      </c>
      <c r="DH54">
        <v>13</v>
      </c>
      <c r="DI54">
        <v>2</v>
      </c>
      <c r="DJ54">
        <v>1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2</v>
      </c>
      <c r="DQ54">
        <v>2</v>
      </c>
      <c r="DR54">
        <v>0</v>
      </c>
      <c r="DS54">
        <v>0</v>
      </c>
      <c r="DT54">
        <f t="shared" si="10"/>
        <v>17</v>
      </c>
      <c r="DU54">
        <f t="shared" si="10"/>
        <v>6</v>
      </c>
      <c r="DV54">
        <f t="shared" si="23"/>
        <v>23</v>
      </c>
      <c r="DW54">
        <v>5</v>
      </c>
      <c r="DX54">
        <v>3</v>
      </c>
      <c r="DY54">
        <v>7</v>
      </c>
      <c r="DZ54">
        <v>3</v>
      </c>
      <c r="EA54">
        <v>9</v>
      </c>
      <c r="EB54">
        <v>4</v>
      </c>
      <c r="EC54">
        <v>6</v>
      </c>
      <c r="ED54">
        <v>2</v>
      </c>
      <c r="EE54">
        <v>9</v>
      </c>
      <c r="EF54">
        <v>2</v>
      </c>
      <c r="EG54">
        <v>4</v>
      </c>
      <c r="EH54">
        <v>6</v>
      </c>
      <c r="EI54">
        <v>6</v>
      </c>
      <c r="EJ54">
        <v>8</v>
      </c>
      <c r="EK54">
        <v>0</v>
      </c>
      <c r="EL54">
        <v>0</v>
      </c>
      <c r="EM54">
        <f t="shared" si="12"/>
        <v>46</v>
      </c>
      <c r="EN54">
        <f t="shared" si="12"/>
        <v>28</v>
      </c>
      <c r="EO54">
        <f t="shared" si="24"/>
        <v>74</v>
      </c>
      <c r="EP54">
        <v>24</v>
      </c>
      <c r="EQ54">
        <v>15</v>
      </c>
      <c r="ER54">
        <v>26</v>
      </c>
      <c r="ES54">
        <v>17</v>
      </c>
      <c r="ET54">
        <v>16</v>
      </c>
      <c r="EU54">
        <v>17</v>
      </c>
      <c r="EV54">
        <v>15</v>
      </c>
      <c r="EW54">
        <v>27</v>
      </c>
      <c r="EX54">
        <v>24</v>
      </c>
      <c r="EY54">
        <v>22</v>
      </c>
      <c r="EZ54">
        <v>20</v>
      </c>
      <c r="FA54">
        <v>19</v>
      </c>
      <c r="FB54">
        <v>19</v>
      </c>
      <c r="FC54">
        <v>22</v>
      </c>
      <c r="FD54">
        <v>0</v>
      </c>
      <c r="FE54">
        <v>0</v>
      </c>
      <c r="FF54">
        <f t="shared" si="14"/>
        <v>144</v>
      </c>
      <c r="FG54">
        <f t="shared" si="14"/>
        <v>139</v>
      </c>
      <c r="FH54">
        <f t="shared" si="25"/>
        <v>283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0</v>
      </c>
      <c r="FY54">
        <f t="shared" si="16"/>
        <v>1</v>
      </c>
      <c r="FZ54">
        <f t="shared" si="16"/>
        <v>0</v>
      </c>
      <c r="GA54">
        <f t="shared" si="26"/>
        <v>1</v>
      </c>
    </row>
    <row r="55" spans="1:183" x14ac:dyDescent="0.25">
      <c r="A55" t="s">
        <v>179</v>
      </c>
      <c r="B55" t="s">
        <v>185</v>
      </c>
      <c r="C55" t="s">
        <v>286</v>
      </c>
      <c r="D55">
        <v>129417</v>
      </c>
      <c r="E55" t="s">
        <v>304</v>
      </c>
      <c r="F55" t="s">
        <v>305</v>
      </c>
      <c r="G55" t="s">
        <v>189</v>
      </c>
      <c r="H55" t="s">
        <v>190</v>
      </c>
      <c r="I55" t="s">
        <v>180</v>
      </c>
      <c r="J55" t="s">
        <v>289</v>
      </c>
      <c r="K55" t="s">
        <v>181</v>
      </c>
      <c r="L55" s="13" t="s">
        <v>182</v>
      </c>
      <c r="M55">
        <v>31</v>
      </c>
      <c r="N55">
        <v>13</v>
      </c>
      <c r="O55">
        <v>52</v>
      </c>
      <c r="P55">
        <v>38</v>
      </c>
      <c r="Q55">
        <v>43</v>
      </c>
      <c r="R55">
        <v>41</v>
      </c>
      <c r="S55">
        <v>41</v>
      </c>
      <c r="T55">
        <v>29</v>
      </c>
      <c r="U55">
        <v>35</v>
      </c>
      <c r="V55">
        <v>32</v>
      </c>
      <c r="W55">
        <v>22</v>
      </c>
      <c r="X55">
        <v>39</v>
      </c>
      <c r="Y55">
        <v>23</v>
      </c>
      <c r="Z55">
        <v>29</v>
      </c>
      <c r="AA55">
        <v>0</v>
      </c>
      <c r="AB55">
        <v>0</v>
      </c>
      <c r="AC55">
        <f t="shared" si="0"/>
        <v>247</v>
      </c>
      <c r="AD55">
        <f t="shared" si="0"/>
        <v>221</v>
      </c>
      <c r="AE55">
        <f t="shared" si="18"/>
        <v>468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f t="shared" si="2"/>
        <v>0</v>
      </c>
      <c r="AW55">
        <f t="shared" si="2"/>
        <v>0</v>
      </c>
      <c r="AX55">
        <f t="shared" si="19"/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1</v>
      </c>
      <c r="BF55">
        <v>0</v>
      </c>
      <c r="BG55">
        <v>2</v>
      </c>
      <c r="BH55">
        <v>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f t="shared" si="4"/>
        <v>3</v>
      </c>
      <c r="BP55">
        <f t="shared" si="4"/>
        <v>3</v>
      </c>
      <c r="BQ55">
        <f t="shared" si="20"/>
        <v>6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1</v>
      </c>
      <c r="BX55">
        <v>0</v>
      </c>
      <c r="BY55">
        <v>2</v>
      </c>
      <c r="BZ55">
        <v>0</v>
      </c>
      <c r="CA55">
        <v>0</v>
      </c>
      <c r="CB55">
        <v>0</v>
      </c>
      <c r="CC55">
        <v>1</v>
      </c>
      <c r="CD55">
        <v>1</v>
      </c>
      <c r="CE55">
        <v>0</v>
      </c>
      <c r="CF55">
        <v>0</v>
      </c>
      <c r="CG55">
        <v>0</v>
      </c>
      <c r="CH55">
        <f t="shared" si="6"/>
        <v>3</v>
      </c>
      <c r="CI55">
        <f t="shared" si="6"/>
        <v>4</v>
      </c>
      <c r="CJ55">
        <f t="shared" si="21"/>
        <v>7</v>
      </c>
      <c r="CK55">
        <v>6</v>
      </c>
      <c r="CL55">
        <v>2</v>
      </c>
      <c r="CM55">
        <v>0</v>
      </c>
      <c r="CN55">
        <v>0</v>
      </c>
      <c r="CO55">
        <v>1</v>
      </c>
      <c r="CP55">
        <v>2</v>
      </c>
      <c r="CQ55">
        <v>0</v>
      </c>
      <c r="CR55">
        <v>1</v>
      </c>
      <c r="CS55">
        <v>3</v>
      </c>
      <c r="CT55">
        <v>4</v>
      </c>
      <c r="CU55">
        <v>2</v>
      </c>
      <c r="CV55">
        <v>1</v>
      </c>
      <c r="CW55">
        <v>1</v>
      </c>
      <c r="CX55">
        <v>0</v>
      </c>
      <c r="CY55">
        <v>0</v>
      </c>
      <c r="CZ55">
        <v>0</v>
      </c>
      <c r="DA55">
        <f t="shared" si="8"/>
        <v>13</v>
      </c>
      <c r="DB55">
        <f t="shared" si="8"/>
        <v>10</v>
      </c>
      <c r="DC55">
        <f t="shared" si="22"/>
        <v>23</v>
      </c>
      <c r="DD55">
        <v>6</v>
      </c>
      <c r="DE55">
        <v>0</v>
      </c>
      <c r="DF55">
        <v>4</v>
      </c>
      <c r="DG55">
        <v>3</v>
      </c>
      <c r="DH55">
        <v>2</v>
      </c>
      <c r="DI55">
        <v>0</v>
      </c>
      <c r="DJ55">
        <v>1</v>
      </c>
      <c r="DK55">
        <v>1</v>
      </c>
      <c r="DL55">
        <v>0</v>
      </c>
      <c r="DM55">
        <v>0</v>
      </c>
      <c r="DN55">
        <v>3</v>
      </c>
      <c r="DO55">
        <v>1</v>
      </c>
      <c r="DP55">
        <v>0</v>
      </c>
      <c r="DQ55">
        <v>0</v>
      </c>
      <c r="DR55">
        <v>0</v>
      </c>
      <c r="DS55">
        <v>0</v>
      </c>
      <c r="DT55">
        <f t="shared" si="10"/>
        <v>16</v>
      </c>
      <c r="DU55">
        <f t="shared" si="10"/>
        <v>5</v>
      </c>
      <c r="DV55">
        <f t="shared" si="23"/>
        <v>21</v>
      </c>
      <c r="DW55">
        <v>7</v>
      </c>
      <c r="DX55">
        <v>3</v>
      </c>
      <c r="DY55">
        <v>20</v>
      </c>
      <c r="DZ55">
        <v>13</v>
      </c>
      <c r="EA55">
        <v>10</v>
      </c>
      <c r="EB55">
        <v>4</v>
      </c>
      <c r="EC55">
        <v>17</v>
      </c>
      <c r="ED55">
        <v>10</v>
      </c>
      <c r="EE55">
        <v>7</v>
      </c>
      <c r="EF55">
        <v>5</v>
      </c>
      <c r="EG55">
        <v>8</v>
      </c>
      <c r="EH55">
        <v>6</v>
      </c>
      <c r="EI55">
        <v>7</v>
      </c>
      <c r="EJ55">
        <v>2</v>
      </c>
      <c r="EK55">
        <v>0</v>
      </c>
      <c r="EL55">
        <v>0</v>
      </c>
      <c r="EM55">
        <f t="shared" si="12"/>
        <v>76</v>
      </c>
      <c r="EN55">
        <f t="shared" si="12"/>
        <v>43</v>
      </c>
      <c r="EO55">
        <f t="shared" si="24"/>
        <v>119</v>
      </c>
      <c r="EP55">
        <v>24</v>
      </c>
      <c r="EQ55">
        <v>12</v>
      </c>
      <c r="ER55">
        <v>28</v>
      </c>
      <c r="ES55">
        <v>23</v>
      </c>
      <c r="ET55">
        <v>33</v>
      </c>
      <c r="EU55">
        <v>40</v>
      </c>
      <c r="EV55">
        <v>24</v>
      </c>
      <c r="EW55">
        <v>21</v>
      </c>
      <c r="EX55">
        <v>33</v>
      </c>
      <c r="EY55">
        <v>33</v>
      </c>
      <c r="EZ55">
        <v>12</v>
      </c>
      <c r="FA55">
        <v>33</v>
      </c>
      <c r="FB55">
        <v>18</v>
      </c>
      <c r="FC55">
        <v>27</v>
      </c>
      <c r="FD55">
        <v>0</v>
      </c>
      <c r="FE55">
        <v>0</v>
      </c>
      <c r="FF55">
        <f t="shared" si="14"/>
        <v>172</v>
      </c>
      <c r="FG55">
        <f t="shared" si="14"/>
        <v>189</v>
      </c>
      <c r="FH55">
        <f t="shared" si="25"/>
        <v>361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1</v>
      </c>
      <c r="FT55">
        <v>1</v>
      </c>
      <c r="FU55">
        <v>0</v>
      </c>
      <c r="FV55">
        <v>0</v>
      </c>
      <c r="FW55">
        <v>0</v>
      </c>
      <c r="FX55">
        <v>0</v>
      </c>
      <c r="FY55">
        <f t="shared" si="16"/>
        <v>2</v>
      </c>
      <c r="FZ55">
        <f t="shared" si="16"/>
        <v>1</v>
      </c>
      <c r="GA55">
        <f t="shared" si="26"/>
        <v>3</v>
      </c>
    </row>
    <row r="56" spans="1:183" x14ac:dyDescent="0.25">
      <c r="A56" t="s">
        <v>179</v>
      </c>
      <c r="B56" t="s">
        <v>185</v>
      </c>
      <c r="C56" t="s">
        <v>286</v>
      </c>
      <c r="D56">
        <v>129418</v>
      </c>
      <c r="E56" t="s">
        <v>306</v>
      </c>
      <c r="F56" t="s">
        <v>307</v>
      </c>
      <c r="G56" t="s">
        <v>189</v>
      </c>
      <c r="H56" t="s">
        <v>190</v>
      </c>
      <c r="I56" t="s">
        <v>180</v>
      </c>
      <c r="J56" t="s">
        <v>289</v>
      </c>
      <c r="K56" t="s">
        <v>181</v>
      </c>
      <c r="L56" s="13" t="s">
        <v>182</v>
      </c>
      <c r="M56">
        <v>3</v>
      </c>
      <c r="N56">
        <v>1</v>
      </c>
      <c r="O56">
        <v>15</v>
      </c>
      <c r="P56">
        <v>13</v>
      </c>
      <c r="Q56">
        <v>6</v>
      </c>
      <c r="R56">
        <v>11</v>
      </c>
      <c r="S56">
        <v>5</v>
      </c>
      <c r="T56">
        <v>5</v>
      </c>
      <c r="U56">
        <v>6</v>
      </c>
      <c r="V56">
        <v>2</v>
      </c>
      <c r="W56">
        <v>9</v>
      </c>
      <c r="X56">
        <v>7</v>
      </c>
      <c r="Y56">
        <v>7</v>
      </c>
      <c r="Z56">
        <v>3</v>
      </c>
      <c r="AA56">
        <v>1</v>
      </c>
      <c r="AB56">
        <v>0</v>
      </c>
      <c r="AC56">
        <f t="shared" si="0"/>
        <v>52</v>
      </c>
      <c r="AD56">
        <f t="shared" si="0"/>
        <v>42</v>
      </c>
      <c r="AE56">
        <f t="shared" si="18"/>
        <v>94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f t="shared" si="2"/>
        <v>0</v>
      </c>
      <c r="AW56">
        <f t="shared" si="2"/>
        <v>0</v>
      </c>
      <c r="AX56">
        <f t="shared" si="19"/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f t="shared" si="4"/>
        <v>1</v>
      </c>
      <c r="BP56">
        <f t="shared" si="4"/>
        <v>0</v>
      </c>
      <c r="BQ56">
        <f t="shared" si="20"/>
        <v>1</v>
      </c>
      <c r="BR56">
        <v>3</v>
      </c>
      <c r="BS56">
        <v>1</v>
      </c>
      <c r="BT56">
        <v>0</v>
      </c>
      <c r="BU56">
        <v>1</v>
      </c>
      <c r="BV56">
        <v>3</v>
      </c>
      <c r="BW56">
        <v>1</v>
      </c>
      <c r="BX56">
        <v>0</v>
      </c>
      <c r="BY56">
        <v>0</v>
      </c>
      <c r="BZ56">
        <v>0</v>
      </c>
      <c r="CA56">
        <v>3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f t="shared" si="6"/>
        <v>6</v>
      </c>
      <c r="CI56">
        <f t="shared" si="6"/>
        <v>7</v>
      </c>
      <c r="CJ56">
        <f t="shared" si="21"/>
        <v>13</v>
      </c>
      <c r="CK56">
        <v>1</v>
      </c>
      <c r="CL56">
        <v>0</v>
      </c>
      <c r="CM56">
        <v>3</v>
      </c>
      <c r="CN56">
        <v>1</v>
      </c>
      <c r="CO56">
        <v>2</v>
      </c>
      <c r="CP56">
        <v>3</v>
      </c>
      <c r="CQ56">
        <v>0</v>
      </c>
      <c r="CR56">
        <v>0</v>
      </c>
      <c r="CS56">
        <v>3</v>
      </c>
      <c r="CT56">
        <v>4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f t="shared" si="8"/>
        <v>9</v>
      </c>
      <c r="DB56">
        <f t="shared" si="8"/>
        <v>9</v>
      </c>
      <c r="DC56">
        <f t="shared" si="22"/>
        <v>18</v>
      </c>
      <c r="DD56">
        <v>0</v>
      </c>
      <c r="DE56">
        <v>0</v>
      </c>
      <c r="DF56">
        <v>2</v>
      </c>
      <c r="DG56">
        <v>2</v>
      </c>
      <c r="DH56">
        <v>0</v>
      </c>
      <c r="DI56">
        <v>3</v>
      </c>
      <c r="DJ56">
        <v>0</v>
      </c>
      <c r="DK56">
        <v>0</v>
      </c>
      <c r="DL56">
        <v>0</v>
      </c>
      <c r="DM56">
        <v>7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</v>
      </c>
      <c r="DT56">
        <f t="shared" si="10"/>
        <v>4</v>
      </c>
      <c r="DU56">
        <f t="shared" si="10"/>
        <v>14</v>
      </c>
      <c r="DV56">
        <f t="shared" si="23"/>
        <v>18</v>
      </c>
      <c r="DW56">
        <v>3</v>
      </c>
      <c r="DX56">
        <v>1</v>
      </c>
      <c r="DY56">
        <v>5</v>
      </c>
      <c r="DZ56">
        <v>2</v>
      </c>
      <c r="EA56">
        <v>6</v>
      </c>
      <c r="EB56">
        <v>1</v>
      </c>
      <c r="EC56">
        <v>2</v>
      </c>
      <c r="ED56">
        <v>1</v>
      </c>
      <c r="EE56">
        <v>3</v>
      </c>
      <c r="EF56">
        <v>1</v>
      </c>
      <c r="EG56">
        <v>7</v>
      </c>
      <c r="EH56">
        <v>4</v>
      </c>
      <c r="EI56">
        <v>3</v>
      </c>
      <c r="EJ56">
        <v>0</v>
      </c>
      <c r="EK56">
        <v>0</v>
      </c>
      <c r="EL56">
        <v>0</v>
      </c>
      <c r="EM56">
        <f t="shared" si="12"/>
        <v>29</v>
      </c>
      <c r="EN56">
        <f t="shared" si="12"/>
        <v>10</v>
      </c>
      <c r="EO56">
        <f t="shared" si="24"/>
        <v>39</v>
      </c>
      <c r="EP56">
        <v>4</v>
      </c>
      <c r="EQ56">
        <v>1</v>
      </c>
      <c r="ER56">
        <v>11</v>
      </c>
      <c r="ES56">
        <v>11</v>
      </c>
      <c r="ET56">
        <v>5</v>
      </c>
      <c r="EU56">
        <v>10</v>
      </c>
      <c r="EV56">
        <v>3</v>
      </c>
      <c r="EW56">
        <v>5</v>
      </c>
      <c r="EX56">
        <v>7</v>
      </c>
      <c r="EY56">
        <v>1</v>
      </c>
      <c r="EZ56">
        <v>1</v>
      </c>
      <c r="FA56">
        <v>4</v>
      </c>
      <c r="FB56">
        <v>3</v>
      </c>
      <c r="FC56">
        <v>2</v>
      </c>
      <c r="FD56">
        <v>1</v>
      </c>
      <c r="FE56">
        <v>0</v>
      </c>
      <c r="FF56">
        <f t="shared" si="14"/>
        <v>35</v>
      </c>
      <c r="FG56">
        <f t="shared" si="14"/>
        <v>34</v>
      </c>
      <c r="FH56">
        <f t="shared" si="25"/>
        <v>69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f t="shared" si="16"/>
        <v>0</v>
      </c>
      <c r="FZ56">
        <f t="shared" si="16"/>
        <v>0</v>
      </c>
      <c r="GA56">
        <f t="shared" si="26"/>
        <v>0</v>
      </c>
    </row>
    <row r="57" spans="1:183" x14ac:dyDescent="0.25">
      <c r="A57" t="s">
        <v>179</v>
      </c>
      <c r="B57" t="s">
        <v>185</v>
      </c>
      <c r="C57" t="s">
        <v>286</v>
      </c>
      <c r="D57">
        <v>129419</v>
      </c>
      <c r="E57" t="s">
        <v>308</v>
      </c>
      <c r="F57" t="s">
        <v>309</v>
      </c>
      <c r="G57" t="s">
        <v>189</v>
      </c>
      <c r="H57" t="s">
        <v>190</v>
      </c>
      <c r="I57" t="s">
        <v>180</v>
      </c>
      <c r="J57" t="s">
        <v>310</v>
      </c>
      <c r="K57" t="s">
        <v>181</v>
      </c>
      <c r="L57" s="13" t="s">
        <v>182</v>
      </c>
      <c r="M57">
        <v>25</v>
      </c>
      <c r="N57">
        <v>15</v>
      </c>
      <c r="O57">
        <v>30</v>
      </c>
      <c r="P57">
        <v>24</v>
      </c>
      <c r="Q57">
        <v>35</v>
      </c>
      <c r="R57">
        <v>28</v>
      </c>
      <c r="S57">
        <v>17</v>
      </c>
      <c r="T57">
        <v>26</v>
      </c>
      <c r="U57">
        <v>30</v>
      </c>
      <c r="V57">
        <v>19</v>
      </c>
      <c r="W57">
        <v>23</v>
      </c>
      <c r="X57">
        <v>24</v>
      </c>
      <c r="Y57">
        <v>40</v>
      </c>
      <c r="Z57">
        <v>25</v>
      </c>
      <c r="AA57">
        <v>0</v>
      </c>
      <c r="AB57">
        <v>0</v>
      </c>
      <c r="AC57">
        <f t="shared" si="0"/>
        <v>200</v>
      </c>
      <c r="AD57">
        <f t="shared" si="0"/>
        <v>161</v>
      </c>
      <c r="AE57">
        <f t="shared" si="18"/>
        <v>361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f t="shared" si="2"/>
        <v>2</v>
      </c>
      <c r="AW57">
        <f t="shared" si="2"/>
        <v>0</v>
      </c>
      <c r="AX57">
        <f t="shared" si="19"/>
        <v>2</v>
      </c>
      <c r="AY57">
        <v>1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2</v>
      </c>
      <c r="BF57">
        <v>0</v>
      </c>
      <c r="BG57">
        <v>0</v>
      </c>
      <c r="BH57">
        <v>0</v>
      </c>
      <c r="BI57">
        <v>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f t="shared" si="4"/>
        <v>7</v>
      </c>
      <c r="BP57">
        <f t="shared" si="4"/>
        <v>1</v>
      </c>
      <c r="BQ57">
        <f t="shared" si="20"/>
        <v>8</v>
      </c>
      <c r="BR57">
        <v>0</v>
      </c>
      <c r="BS57">
        <v>0</v>
      </c>
      <c r="BT57">
        <v>0</v>
      </c>
      <c r="BU57">
        <v>0</v>
      </c>
      <c r="BV57">
        <v>2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1</v>
      </c>
      <c r="CC57">
        <v>2</v>
      </c>
      <c r="CD57">
        <v>0</v>
      </c>
      <c r="CE57">
        <v>0</v>
      </c>
      <c r="CF57">
        <v>0</v>
      </c>
      <c r="CG57">
        <v>0</v>
      </c>
      <c r="CH57">
        <f t="shared" si="6"/>
        <v>4</v>
      </c>
      <c r="CI57">
        <f t="shared" si="6"/>
        <v>2</v>
      </c>
      <c r="CJ57">
        <f t="shared" si="21"/>
        <v>6</v>
      </c>
      <c r="CK57">
        <v>2</v>
      </c>
      <c r="CL57">
        <v>2</v>
      </c>
      <c r="CM57">
        <v>1</v>
      </c>
      <c r="CN57">
        <v>3</v>
      </c>
      <c r="CO57">
        <v>1</v>
      </c>
      <c r="CP57">
        <v>0</v>
      </c>
      <c r="CQ57">
        <v>0</v>
      </c>
      <c r="CR57">
        <v>1</v>
      </c>
      <c r="CS57">
        <v>1</v>
      </c>
      <c r="CT57">
        <v>1</v>
      </c>
      <c r="CU57">
        <v>2</v>
      </c>
      <c r="CV57">
        <v>2</v>
      </c>
      <c r="CW57">
        <v>2</v>
      </c>
      <c r="CX57">
        <v>0</v>
      </c>
      <c r="CY57">
        <v>0</v>
      </c>
      <c r="CZ57">
        <v>0</v>
      </c>
      <c r="DA57">
        <f t="shared" si="8"/>
        <v>9</v>
      </c>
      <c r="DB57">
        <f t="shared" si="8"/>
        <v>9</v>
      </c>
      <c r="DC57">
        <f t="shared" si="22"/>
        <v>18</v>
      </c>
      <c r="DD57">
        <v>1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2</v>
      </c>
      <c r="DK57">
        <v>1</v>
      </c>
      <c r="DL57">
        <v>3</v>
      </c>
      <c r="DM57">
        <v>1</v>
      </c>
      <c r="DN57">
        <v>3</v>
      </c>
      <c r="DO57">
        <v>5</v>
      </c>
      <c r="DP57">
        <v>3</v>
      </c>
      <c r="DQ57">
        <v>0</v>
      </c>
      <c r="DR57">
        <v>0</v>
      </c>
      <c r="DS57">
        <v>0</v>
      </c>
      <c r="DT57">
        <f t="shared" si="10"/>
        <v>13</v>
      </c>
      <c r="DU57">
        <f t="shared" si="10"/>
        <v>7</v>
      </c>
      <c r="DV57">
        <f t="shared" si="23"/>
        <v>20</v>
      </c>
      <c r="DW57">
        <v>6</v>
      </c>
      <c r="DX57">
        <v>3</v>
      </c>
      <c r="DY57">
        <v>5</v>
      </c>
      <c r="DZ57">
        <v>1</v>
      </c>
      <c r="EA57">
        <v>6</v>
      </c>
      <c r="EB57">
        <v>4</v>
      </c>
      <c r="EC57">
        <v>3</v>
      </c>
      <c r="ED57">
        <v>3</v>
      </c>
      <c r="EE57">
        <v>14</v>
      </c>
      <c r="EF57">
        <v>8</v>
      </c>
      <c r="EG57">
        <v>2</v>
      </c>
      <c r="EH57">
        <v>8</v>
      </c>
      <c r="EI57">
        <v>11</v>
      </c>
      <c r="EJ57">
        <v>5</v>
      </c>
      <c r="EK57">
        <v>0</v>
      </c>
      <c r="EL57">
        <v>0</v>
      </c>
      <c r="EM57">
        <f t="shared" si="12"/>
        <v>47</v>
      </c>
      <c r="EN57">
        <f t="shared" si="12"/>
        <v>32</v>
      </c>
      <c r="EO57">
        <f t="shared" si="24"/>
        <v>79</v>
      </c>
      <c r="EP57">
        <v>20</v>
      </c>
      <c r="EQ57">
        <v>15</v>
      </c>
      <c r="ER57">
        <v>26</v>
      </c>
      <c r="ES57">
        <v>26</v>
      </c>
      <c r="ET57">
        <v>34</v>
      </c>
      <c r="EU57">
        <v>24</v>
      </c>
      <c r="EV57">
        <v>15</v>
      </c>
      <c r="EW57">
        <v>23</v>
      </c>
      <c r="EX57">
        <v>15</v>
      </c>
      <c r="EY57">
        <v>11</v>
      </c>
      <c r="EZ57">
        <v>23</v>
      </c>
      <c r="FA57">
        <v>15</v>
      </c>
      <c r="FB57">
        <v>28</v>
      </c>
      <c r="FC57">
        <v>20</v>
      </c>
      <c r="FD57">
        <v>0</v>
      </c>
      <c r="FE57">
        <v>0</v>
      </c>
      <c r="FF57">
        <f t="shared" si="14"/>
        <v>161</v>
      </c>
      <c r="FG57">
        <f t="shared" si="14"/>
        <v>134</v>
      </c>
      <c r="FH57">
        <f t="shared" si="25"/>
        <v>295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f t="shared" si="16"/>
        <v>1</v>
      </c>
      <c r="FZ57">
        <f t="shared" si="16"/>
        <v>0</v>
      </c>
      <c r="GA57">
        <f t="shared" si="26"/>
        <v>1</v>
      </c>
    </row>
    <row r="58" spans="1:183" x14ac:dyDescent="0.25">
      <c r="A58" t="s">
        <v>179</v>
      </c>
      <c r="B58" t="s">
        <v>185</v>
      </c>
      <c r="C58" t="s">
        <v>286</v>
      </c>
      <c r="D58">
        <v>129420</v>
      </c>
      <c r="E58" t="s">
        <v>311</v>
      </c>
      <c r="F58" t="s">
        <v>312</v>
      </c>
      <c r="G58" t="s">
        <v>189</v>
      </c>
      <c r="H58" t="s">
        <v>190</v>
      </c>
      <c r="I58" t="s">
        <v>180</v>
      </c>
      <c r="J58" t="s">
        <v>312</v>
      </c>
      <c r="K58" t="s">
        <v>181</v>
      </c>
      <c r="L58" s="13" t="s">
        <v>182</v>
      </c>
      <c r="M58">
        <v>12</v>
      </c>
      <c r="N58">
        <v>15</v>
      </c>
      <c r="O58">
        <v>19</v>
      </c>
      <c r="P58">
        <v>19</v>
      </c>
      <c r="Q58">
        <v>14</v>
      </c>
      <c r="R58">
        <v>14</v>
      </c>
      <c r="S58">
        <v>14</v>
      </c>
      <c r="T58">
        <v>8</v>
      </c>
      <c r="U58">
        <v>18</v>
      </c>
      <c r="V58">
        <v>11</v>
      </c>
      <c r="W58">
        <v>9</v>
      </c>
      <c r="X58">
        <v>13</v>
      </c>
      <c r="Y58">
        <v>12</v>
      </c>
      <c r="Z58">
        <v>11</v>
      </c>
      <c r="AA58">
        <v>0</v>
      </c>
      <c r="AB58">
        <v>0</v>
      </c>
      <c r="AC58">
        <f t="shared" si="0"/>
        <v>98</v>
      </c>
      <c r="AD58">
        <f t="shared" si="0"/>
        <v>91</v>
      </c>
      <c r="AE58">
        <f t="shared" si="18"/>
        <v>189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f t="shared" si="2"/>
        <v>1</v>
      </c>
      <c r="AW58">
        <f t="shared" si="2"/>
        <v>0</v>
      </c>
      <c r="AX58">
        <f t="shared" si="19"/>
        <v>1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f t="shared" si="4"/>
        <v>0</v>
      </c>
      <c r="BP58">
        <f t="shared" si="4"/>
        <v>1</v>
      </c>
      <c r="BQ58">
        <f t="shared" si="20"/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f t="shared" si="6"/>
        <v>0</v>
      </c>
      <c r="CI58">
        <f t="shared" si="6"/>
        <v>0</v>
      </c>
      <c r="CJ58">
        <f t="shared" si="21"/>
        <v>0</v>
      </c>
      <c r="CK58">
        <v>1</v>
      </c>
      <c r="CL58">
        <v>4</v>
      </c>
      <c r="CM58">
        <v>4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f t="shared" si="8"/>
        <v>6</v>
      </c>
      <c r="DB58">
        <f t="shared" si="8"/>
        <v>5</v>
      </c>
      <c r="DC58">
        <f t="shared" si="22"/>
        <v>11</v>
      </c>
      <c r="DD58">
        <v>3</v>
      </c>
      <c r="DE58">
        <v>1</v>
      </c>
      <c r="DF58">
        <v>4</v>
      </c>
      <c r="DG58">
        <v>1</v>
      </c>
      <c r="DH58">
        <v>0</v>
      </c>
      <c r="DI58">
        <v>0</v>
      </c>
      <c r="DJ58">
        <v>2</v>
      </c>
      <c r="DK58">
        <v>0</v>
      </c>
      <c r="DL58">
        <v>3</v>
      </c>
      <c r="DM58">
        <v>0</v>
      </c>
      <c r="DN58">
        <v>0</v>
      </c>
      <c r="DO58">
        <v>0</v>
      </c>
      <c r="DP58">
        <v>0</v>
      </c>
      <c r="DQ58">
        <v>2</v>
      </c>
      <c r="DR58">
        <v>0</v>
      </c>
      <c r="DS58">
        <v>0</v>
      </c>
      <c r="DT58">
        <f t="shared" si="10"/>
        <v>12</v>
      </c>
      <c r="DU58">
        <f t="shared" si="10"/>
        <v>4</v>
      </c>
      <c r="DV58">
        <f t="shared" si="23"/>
        <v>16</v>
      </c>
      <c r="DW58">
        <v>3</v>
      </c>
      <c r="DX58">
        <v>9</v>
      </c>
      <c r="DY58">
        <v>4</v>
      </c>
      <c r="DZ58">
        <v>4</v>
      </c>
      <c r="EA58">
        <v>2</v>
      </c>
      <c r="EB58">
        <v>3</v>
      </c>
      <c r="EC58">
        <v>4</v>
      </c>
      <c r="ED58">
        <v>1</v>
      </c>
      <c r="EE58">
        <v>3</v>
      </c>
      <c r="EF58">
        <v>5</v>
      </c>
      <c r="EG58">
        <v>2</v>
      </c>
      <c r="EH58">
        <v>0</v>
      </c>
      <c r="EI58">
        <v>6</v>
      </c>
      <c r="EJ58">
        <v>3</v>
      </c>
      <c r="EK58">
        <v>0</v>
      </c>
      <c r="EL58">
        <v>0</v>
      </c>
      <c r="EM58">
        <f t="shared" si="12"/>
        <v>24</v>
      </c>
      <c r="EN58">
        <f t="shared" si="12"/>
        <v>25</v>
      </c>
      <c r="EO58">
        <f t="shared" si="24"/>
        <v>49</v>
      </c>
      <c r="EP58">
        <v>7</v>
      </c>
      <c r="EQ58">
        <v>9</v>
      </c>
      <c r="ER58">
        <v>15</v>
      </c>
      <c r="ES58">
        <v>15</v>
      </c>
      <c r="ET58">
        <v>13</v>
      </c>
      <c r="EU58">
        <v>12</v>
      </c>
      <c r="EV58">
        <v>8</v>
      </c>
      <c r="EW58">
        <v>7</v>
      </c>
      <c r="EX58">
        <v>12</v>
      </c>
      <c r="EY58">
        <v>6</v>
      </c>
      <c r="EZ58">
        <v>8</v>
      </c>
      <c r="FA58">
        <v>13</v>
      </c>
      <c r="FB58">
        <v>6</v>
      </c>
      <c r="FC58">
        <v>6</v>
      </c>
      <c r="FD58">
        <v>0</v>
      </c>
      <c r="FE58">
        <v>0</v>
      </c>
      <c r="FF58">
        <f t="shared" si="14"/>
        <v>69</v>
      </c>
      <c r="FG58">
        <f t="shared" si="14"/>
        <v>68</v>
      </c>
      <c r="FH58">
        <f t="shared" si="25"/>
        <v>137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f t="shared" si="16"/>
        <v>0</v>
      </c>
      <c r="FZ58">
        <f t="shared" si="16"/>
        <v>0</v>
      </c>
      <c r="GA58">
        <f t="shared" si="26"/>
        <v>0</v>
      </c>
    </row>
    <row r="59" spans="1:183" x14ac:dyDescent="0.25">
      <c r="A59" t="s">
        <v>179</v>
      </c>
      <c r="B59" t="s">
        <v>185</v>
      </c>
      <c r="C59" t="s">
        <v>286</v>
      </c>
      <c r="D59">
        <v>129421</v>
      </c>
      <c r="E59" t="s">
        <v>313</v>
      </c>
      <c r="F59" t="s">
        <v>314</v>
      </c>
      <c r="G59" t="s">
        <v>189</v>
      </c>
      <c r="H59" t="s">
        <v>190</v>
      </c>
      <c r="I59" t="s">
        <v>180</v>
      </c>
      <c r="J59" t="s">
        <v>295</v>
      </c>
      <c r="K59" t="s">
        <v>181</v>
      </c>
      <c r="L59" s="13" t="s">
        <v>182</v>
      </c>
      <c r="M59">
        <v>3</v>
      </c>
      <c r="N59">
        <v>7</v>
      </c>
      <c r="O59">
        <v>10</v>
      </c>
      <c r="P59">
        <v>8</v>
      </c>
      <c r="Q59">
        <v>9</v>
      </c>
      <c r="R59">
        <v>6</v>
      </c>
      <c r="S59">
        <v>8</v>
      </c>
      <c r="T59">
        <v>7</v>
      </c>
      <c r="U59">
        <v>13</v>
      </c>
      <c r="V59">
        <v>3</v>
      </c>
      <c r="W59">
        <v>4</v>
      </c>
      <c r="X59">
        <v>3</v>
      </c>
      <c r="Y59">
        <v>5</v>
      </c>
      <c r="Z59">
        <v>5</v>
      </c>
      <c r="AA59">
        <v>0</v>
      </c>
      <c r="AB59">
        <v>0</v>
      </c>
      <c r="AC59">
        <f t="shared" si="0"/>
        <v>52</v>
      </c>
      <c r="AD59">
        <f t="shared" si="0"/>
        <v>39</v>
      </c>
      <c r="AE59">
        <f t="shared" si="18"/>
        <v>91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f t="shared" si="2"/>
        <v>0</v>
      </c>
      <c r="AW59">
        <f t="shared" si="2"/>
        <v>0</v>
      </c>
      <c r="AX59">
        <f t="shared" si="19"/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f t="shared" si="4"/>
        <v>0</v>
      </c>
      <c r="BP59">
        <f t="shared" si="4"/>
        <v>2</v>
      </c>
      <c r="BQ59">
        <f t="shared" si="20"/>
        <v>2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2</v>
      </c>
      <c r="BX59">
        <v>0</v>
      </c>
      <c r="BY59">
        <v>0</v>
      </c>
      <c r="BZ59">
        <v>1</v>
      </c>
      <c r="CA59">
        <v>0</v>
      </c>
      <c r="CB59">
        <v>2</v>
      </c>
      <c r="CC59">
        <v>0</v>
      </c>
      <c r="CD59">
        <v>0</v>
      </c>
      <c r="CE59">
        <v>0</v>
      </c>
      <c r="CF59">
        <v>0</v>
      </c>
      <c r="CG59">
        <v>0</v>
      </c>
      <c r="CH59">
        <f t="shared" si="6"/>
        <v>4</v>
      </c>
      <c r="CI59">
        <f t="shared" si="6"/>
        <v>2</v>
      </c>
      <c r="CJ59">
        <f t="shared" si="21"/>
        <v>6</v>
      </c>
      <c r="CK59">
        <v>1</v>
      </c>
      <c r="CL59">
        <v>1</v>
      </c>
      <c r="CM59">
        <v>2</v>
      </c>
      <c r="CN59">
        <v>3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f t="shared" si="8"/>
        <v>3</v>
      </c>
      <c r="DB59">
        <f t="shared" si="8"/>
        <v>5</v>
      </c>
      <c r="DC59">
        <f t="shared" si="22"/>
        <v>8</v>
      </c>
      <c r="DD59">
        <v>0</v>
      </c>
      <c r="DE59">
        <v>0</v>
      </c>
      <c r="DF59">
        <v>0</v>
      </c>
      <c r="DG59">
        <v>0</v>
      </c>
      <c r="DH59">
        <v>1</v>
      </c>
      <c r="DI59">
        <v>1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f t="shared" si="10"/>
        <v>1</v>
      </c>
      <c r="DU59">
        <f t="shared" si="10"/>
        <v>2</v>
      </c>
      <c r="DV59">
        <f t="shared" si="23"/>
        <v>3</v>
      </c>
      <c r="DW59">
        <v>1</v>
      </c>
      <c r="DX59">
        <v>3</v>
      </c>
      <c r="DY59">
        <v>1</v>
      </c>
      <c r="DZ59">
        <v>1</v>
      </c>
      <c r="EA59">
        <v>1</v>
      </c>
      <c r="EB59">
        <v>0</v>
      </c>
      <c r="EC59">
        <v>1</v>
      </c>
      <c r="ED59">
        <v>2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f t="shared" si="12"/>
        <v>5</v>
      </c>
      <c r="EN59">
        <f t="shared" si="12"/>
        <v>7</v>
      </c>
      <c r="EO59">
        <f t="shared" si="24"/>
        <v>12</v>
      </c>
      <c r="EP59">
        <v>3</v>
      </c>
      <c r="EQ59">
        <v>5</v>
      </c>
      <c r="ER59">
        <v>12</v>
      </c>
      <c r="ES59">
        <v>10</v>
      </c>
      <c r="ET59">
        <v>7</v>
      </c>
      <c r="EU59">
        <v>10</v>
      </c>
      <c r="EV59">
        <v>6</v>
      </c>
      <c r="EW59">
        <v>4</v>
      </c>
      <c r="EX59">
        <v>13</v>
      </c>
      <c r="EY59">
        <v>2</v>
      </c>
      <c r="EZ59">
        <v>6</v>
      </c>
      <c r="FA59">
        <v>3</v>
      </c>
      <c r="FB59">
        <v>5</v>
      </c>
      <c r="FC59">
        <v>4</v>
      </c>
      <c r="FD59">
        <v>0</v>
      </c>
      <c r="FE59">
        <v>0</v>
      </c>
      <c r="FF59">
        <f t="shared" si="14"/>
        <v>52</v>
      </c>
      <c r="FG59">
        <f t="shared" si="14"/>
        <v>38</v>
      </c>
      <c r="FH59">
        <f t="shared" si="25"/>
        <v>90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1</v>
      </c>
      <c r="FP59">
        <v>0</v>
      </c>
      <c r="FQ59">
        <v>0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f t="shared" si="16"/>
        <v>1</v>
      </c>
      <c r="FZ59">
        <f t="shared" si="16"/>
        <v>1</v>
      </c>
      <c r="GA59">
        <f t="shared" si="26"/>
        <v>2</v>
      </c>
    </row>
    <row r="60" spans="1:183" x14ac:dyDescent="0.25">
      <c r="A60" t="s">
        <v>179</v>
      </c>
      <c r="B60" t="s">
        <v>185</v>
      </c>
      <c r="C60" t="s">
        <v>286</v>
      </c>
      <c r="D60">
        <v>129422</v>
      </c>
      <c r="E60" t="s">
        <v>315</v>
      </c>
      <c r="F60" t="s">
        <v>316</v>
      </c>
      <c r="G60" t="s">
        <v>189</v>
      </c>
      <c r="H60" t="s">
        <v>190</v>
      </c>
      <c r="I60" t="s">
        <v>180</v>
      </c>
      <c r="J60" t="s">
        <v>289</v>
      </c>
      <c r="K60" t="s">
        <v>181</v>
      </c>
      <c r="L60" s="13" t="s">
        <v>182</v>
      </c>
      <c r="M60">
        <v>5</v>
      </c>
      <c r="N60">
        <v>2</v>
      </c>
      <c r="O60">
        <v>19</v>
      </c>
      <c r="P60">
        <v>11</v>
      </c>
      <c r="Q60">
        <v>12</v>
      </c>
      <c r="R60">
        <v>10</v>
      </c>
      <c r="S60">
        <v>6</v>
      </c>
      <c r="T60">
        <v>7</v>
      </c>
      <c r="U60">
        <v>7</v>
      </c>
      <c r="V60">
        <v>11</v>
      </c>
      <c r="W60">
        <v>9</v>
      </c>
      <c r="X60">
        <v>12</v>
      </c>
      <c r="Y60">
        <v>11</v>
      </c>
      <c r="Z60">
        <v>7</v>
      </c>
      <c r="AA60">
        <v>0</v>
      </c>
      <c r="AB60">
        <v>0</v>
      </c>
      <c r="AC60">
        <f t="shared" si="0"/>
        <v>69</v>
      </c>
      <c r="AD60">
        <f t="shared" si="0"/>
        <v>60</v>
      </c>
      <c r="AE60">
        <f t="shared" si="18"/>
        <v>129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f t="shared" si="2"/>
        <v>0</v>
      </c>
      <c r="AW60">
        <f t="shared" si="2"/>
        <v>0</v>
      </c>
      <c r="AX60">
        <f t="shared" si="19"/>
        <v>0</v>
      </c>
      <c r="AY60">
        <v>0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0</v>
      </c>
      <c r="BO60">
        <f t="shared" si="4"/>
        <v>2</v>
      </c>
      <c r="BP60">
        <f t="shared" si="4"/>
        <v>2</v>
      </c>
      <c r="BQ60">
        <f t="shared" si="20"/>
        <v>4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1</v>
      </c>
      <c r="CC60">
        <v>0</v>
      </c>
      <c r="CD60">
        <v>1</v>
      </c>
      <c r="CE60">
        <v>0</v>
      </c>
      <c r="CF60">
        <v>0</v>
      </c>
      <c r="CG60">
        <v>0</v>
      </c>
      <c r="CH60">
        <f t="shared" si="6"/>
        <v>3</v>
      </c>
      <c r="CI60">
        <f t="shared" si="6"/>
        <v>0</v>
      </c>
      <c r="CJ60">
        <f t="shared" si="21"/>
        <v>3</v>
      </c>
      <c r="CK60">
        <v>2</v>
      </c>
      <c r="CL60">
        <v>1</v>
      </c>
      <c r="CM60">
        <v>2</v>
      </c>
      <c r="CN60">
        <v>4</v>
      </c>
      <c r="CO60">
        <v>2</v>
      </c>
      <c r="CP60">
        <v>2</v>
      </c>
      <c r="CQ60">
        <v>1</v>
      </c>
      <c r="CR60">
        <v>1</v>
      </c>
      <c r="CS60">
        <v>2</v>
      </c>
      <c r="CT60">
        <v>0</v>
      </c>
      <c r="CU60">
        <v>1</v>
      </c>
      <c r="CV60">
        <v>1</v>
      </c>
      <c r="CW60">
        <v>0</v>
      </c>
      <c r="CX60">
        <v>0</v>
      </c>
      <c r="CY60">
        <v>0</v>
      </c>
      <c r="CZ60">
        <v>0</v>
      </c>
      <c r="DA60">
        <f t="shared" si="8"/>
        <v>10</v>
      </c>
      <c r="DB60">
        <f t="shared" si="8"/>
        <v>9</v>
      </c>
      <c r="DC60">
        <f t="shared" si="22"/>
        <v>19</v>
      </c>
      <c r="DD60">
        <v>0</v>
      </c>
      <c r="DE60">
        <v>0</v>
      </c>
      <c r="DF60">
        <v>1</v>
      </c>
      <c r="DG60">
        <v>2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f t="shared" si="10"/>
        <v>1</v>
      </c>
      <c r="DU60">
        <f t="shared" si="10"/>
        <v>2</v>
      </c>
      <c r="DV60">
        <f t="shared" si="23"/>
        <v>3</v>
      </c>
      <c r="DW60">
        <v>2</v>
      </c>
      <c r="DX60">
        <v>0</v>
      </c>
      <c r="DY60">
        <v>4</v>
      </c>
      <c r="DZ60">
        <v>4</v>
      </c>
      <c r="EA60">
        <v>4</v>
      </c>
      <c r="EB60">
        <v>1</v>
      </c>
      <c r="EC60">
        <v>1</v>
      </c>
      <c r="ED60">
        <v>2</v>
      </c>
      <c r="EE60">
        <v>2</v>
      </c>
      <c r="EF60">
        <v>2</v>
      </c>
      <c r="EG60">
        <v>2</v>
      </c>
      <c r="EH60">
        <v>5</v>
      </c>
      <c r="EI60">
        <v>9</v>
      </c>
      <c r="EJ60">
        <v>3</v>
      </c>
      <c r="EK60">
        <v>0</v>
      </c>
      <c r="EL60">
        <v>0</v>
      </c>
      <c r="EM60">
        <f t="shared" si="12"/>
        <v>24</v>
      </c>
      <c r="EN60">
        <f t="shared" si="12"/>
        <v>17</v>
      </c>
      <c r="EO60">
        <f t="shared" si="24"/>
        <v>41</v>
      </c>
      <c r="EP60">
        <v>4</v>
      </c>
      <c r="EQ60">
        <v>3</v>
      </c>
      <c r="ER60">
        <v>16</v>
      </c>
      <c r="ES60">
        <v>9</v>
      </c>
      <c r="ET60">
        <v>10</v>
      </c>
      <c r="EU60">
        <v>11</v>
      </c>
      <c r="EV60">
        <v>9</v>
      </c>
      <c r="EW60">
        <v>6</v>
      </c>
      <c r="EX60">
        <v>7</v>
      </c>
      <c r="EY60">
        <v>9</v>
      </c>
      <c r="EZ60">
        <v>8</v>
      </c>
      <c r="FA60">
        <v>8</v>
      </c>
      <c r="FB60">
        <v>3</v>
      </c>
      <c r="FC60">
        <v>5</v>
      </c>
      <c r="FD60">
        <v>0</v>
      </c>
      <c r="FE60">
        <v>0</v>
      </c>
      <c r="FF60">
        <f t="shared" si="14"/>
        <v>57</v>
      </c>
      <c r="FG60">
        <f t="shared" si="14"/>
        <v>51</v>
      </c>
      <c r="FH60">
        <f t="shared" si="25"/>
        <v>108</v>
      </c>
      <c r="FI60">
        <v>1</v>
      </c>
      <c r="FJ60">
        <v>1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f t="shared" si="16"/>
        <v>2</v>
      </c>
      <c r="FZ60">
        <f t="shared" si="16"/>
        <v>1</v>
      </c>
      <c r="GA60">
        <f t="shared" si="26"/>
        <v>3</v>
      </c>
    </row>
    <row r="61" spans="1:183" x14ac:dyDescent="0.25">
      <c r="A61" t="s">
        <v>179</v>
      </c>
      <c r="B61" t="s">
        <v>185</v>
      </c>
      <c r="C61" t="s">
        <v>286</v>
      </c>
      <c r="D61">
        <v>501085</v>
      </c>
      <c r="E61" t="s">
        <v>317</v>
      </c>
      <c r="F61" t="s">
        <v>318</v>
      </c>
      <c r="G61" t="s">
        <v>189</v>
      </c>
      <c r="H61" t="s">
        <v>190</v>
      </c>
      <c r="I61" t="s">
        <v>180</v>
      </c>
      <c r="J61" t="s">
        <v>319</v>
      </c>
      <c r="K61" t="s">
        <v>183</v>
      </c>
      <c r="L61" s="13" t="s">
        <v>184</v>
      </c>
      <c r="M61">
        <v>16</v>
      </c>
      <c r="N61">
        <v>20</v>
      </c>
      <c r="O61">
        <v>36</v>
      </c>
      <c r="P61">
        <v>30</v>
      </c>
      <c r="Q61">
        <v>23</v>
      </c>
      <c r="R61">
        <v>28</v>
      </c>
      <c r="S61">
        <v>29</v>
      </c>
      <c r="T61">
        <v>22</v>
      </c>
      <c r="U61">
        <v>22</v>
      </c>
      <c r="V61">
        <v>20</v>
      </c>
      <c r="W61">
        <v>27</v>
      </c>
      <c r="X61">
        <v>24</v>
      </c>
      <c r="Y61">
        <v>26</v>
      </c>
      <c r="Z61">
        <v>35</v>
      </c>
      <c r="AA61">
        <v>0</v>
      </c>
      <c r="AB61">
        <v>0</v>
      </c>
      <c r="AC61">
        <f t="shared" si="0"/>
        <v>179</v>
      </c>
      <c r="AD61">
        <f t="shared" si="0"/>
        <v>179</v>
      </c>
      <c r="AE61">
        <f t="shared" si="18"/>
        <v>358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f t="shared" si="2"/>
        <v>1</v>
      </c>
      <c r="AW61">
        <f t="shared" si="2"/>
        <v>0</v>
      </c>
      <c r="AX61">
        <f t="shared" si="19"/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f t="shared" si="4"/>
        <v>0</v>
      </c>
      <c r="BP61">
        <f t="shared" si="4"/>
        <v>1</v>
      </c>
      <c r="BQ61">
        <f t="shared" si="20"/>
        <v>1</v>
      </c>
      <c r="BR61">
        <v>4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f t="shared" si="6"/>
        <v>4</v>
      </c>
      <c r="CI61">
        <f t="shared" si="6"/>
        <v>2</v>
      </c>
      <c r="CJ61">
        <f t="shared" si="21"/>
        <v>6</v>
      </c>
      <c r="CK61">
        <v>3</v>
      </c>
      <c r="CL61">
        <v>3</v>
      </c>
      <c r="CM61">
        <v>1</v>
      </c>
      <c r="CN61">
        <v>0</v>
      </c>
      <c r="CO61">
        <v>2</v>
      </c>
      <c r="CP61">
        <v>2</v>
      </c>
      <c r="CQ61">
        <v>3</v>
      </c>
      <c r="CR61">
        <v>1</v>
      </c>
      <c r="CS61">
        <v>1</v>
      </c>
      <c r="CT61">
        <v>3</v>
      </c>
      <c r="CU61">
        <v>0</v>
      </c>
      <c r="CV61">
        <v>4</v>
      </c>
      <c r="CW61">
        <v>3</v>
      </c>
      <c r="CX61">
        <v>3</v>
      </c>
      <c r="CY61">
        <v>0</v>
      </c>
      <c r="CZ61">
        <v>0</v>
      </c>
      <c r="DA61">
        <f t="shared" si="8"/>
        <v>13</v>
      </c>
      <c r="DB61">
        <f t="shared" si="8"/>
        <v>16</v>
      </c>
      <c r="DC61">
        <f t="shared" si="22"/>
        <v>29</v>
      </c>
      <c r="DD61">
        <v>0</v>
      </c>
      <c r="DE61">
        <v>2</v>
      </c>
      <c r="DF61">
        <v>4</v>
      </c>
      <c r="DG61">
        <v>2</v>
      </c>
      <c r="DH61">
        <v>1</v>
      </c>
      <c r="DI61">
        <v>0</v>
      </c>
      <c r="DJ61">
        <v>3</v>
      </c>
      <c r="DK61">
        <v>0</v>
      </c>
      <c r="DL61">
        <v>0</v>
      </c>
      <c r="DM61">
        <v>1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f t="shared" si="10"/>
        <v>8</v>
      </c>
      <c r="DU61">
        <f t="shared" si="10"/>
        <v>6</v>
      </c>
      <c r="DV61">
        <f t="shared" si="23"/>
        <v>14</v>
      </c>
      <c r="DW61">
        <v>4</v>
      </c>
      <c r="DX61">
        <v>6</v>
      </c>
      <c r="DY61">
        <v>11</v>
      </c>
      <c r="DZ61">
        <v>4</v>
      </c>
      <c r="EA61">
        <v>4</v>
      </c>
      <c r="EB61">
        <v>6</v>
      </c>
      <c r="EC61">
        <v>1</v>
      </c>
      <c r="ED61">
        <v>5</v>
      </c>
      <c r="EE61">
        <v>4</v>
      </c>
      <c r="EF61">
        <v>3</v>
      </c>
      <c r="EG61">
        <v>7</v>
      </c>
      <c r="EH61">
        <v>6</v>
      </c>
      <c r="EI61">
        <v>0</v>
      </c>
      <c r="EJ61">
        <v>0</v>
      </c>
      <c r="EK61">
        <v>0</v>
      </c>
      <c r="EL61">
        <v>0</v>
      </c>
      <c r="EM61">
        <f t="shared" si="12"/>
        <v>31</v>
      </c>
      <c r="EN61">
        <f t="shared" si="12"/>
        <v>30</v>
      </c>
      <c r="EO61">
        <f t="shared" si="24"/>
        <v>61</v>
      </c>
      <c r="EP61">
        <v>20</v>
      </c>
      <c r="EQ61">
        <v>16</v>
      </c>
      <c r="ER61">
        <v>22</v>
      </c>
      <c r="ES61">
        <v>24</v>
      </c>
      <c r="ET61">
        <v>20</v>
      </c>
      <c r="EU61">
        <v>24</v>
      </c>
      <c r="EV61">
        <v>28</v>
      </c>
      <c r="EW61">
        <v>18</v>
      </c>
      <c r="EX61">
        <v>19</v>
      </c>
      <c r="EY61">
        <v>20</v>
      </c>
      <c r="EZ61">
        <v>20</v>
      </c>
      <c r="FA61">
        <v>22</v>
      </c>
      <c r="FB61">
        <v>29</v>
      </c>
      <c r="FC61">
        <v>38</v>
      </c>
      <c r="FD61">
        <v>0</v>
      </c>
      <c r="FE61">
        <v>0</v>
      </c>
      <c r="FF61">
        <f t="shared" si="14"/>
        <v>158</v>
      </c>
      <c r="FG61">
        <f t="shared" si="14"/>
        <v>162</v>
      </c>
      <c r="FH61">
        <f t="shared" si="25"/>
        <v>320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f t="shared" si="16"/>
        <v>0</v>
      </c>
      <c r="FZ61">
        <f t="shared" si="16"/>
        <v>0</v>
      </c>
      <c r="GA61">
        <f t="shared" si="26"/>
        <v>0</v>
      </c>
    </row>
    <row r="62" spans="1:183" x14ac:dyDescent="0.25">
      <c r="A62" t="s">
        <v>179</v>
      </c>
      <c r="B62" t="s">
        <v>185</v>
      </c>
      <c r="C62" t="s">
        <v>286</v>
      </c>
      <c r="D62">
        <v>501086</v>
      </c>
      <c r="E62" t="s">
        <v>320</v>
      </c>
      <c r="F62" t="s">
        <v>321</v>
      </c>
      <c r="G62" t="s">
        <v>189</v>
      </c>
      <c r="H62" t="s">
        <v>190</v>
      </c>
      <c r="I62" t="s">
        <v>180</v>
      </c>
      <c r="J62" t="s">
        <v>322</v>
      </c>
      <c r="K62" t="s">
        <v>183</v>
      </c>
      <c r="L62" s="13" t="s">
        <v>184</v>
      </c>
      <c r="M62">
        <v>11</v>
      </c>
      <c r="N62">
        <v>9</v>
      </c>
      <c r="O62">
        <v>21</v>
      </c>
      <c r="P62">
        <v>31</v>
      </c>
      <c r="Q62">
        <v>11</v>
      </c>
      <c r="R62">
        <v>11</v>
      </c>
      <c r="S62">
        <v>16</v>
      </c>
      <c r="T62">
        <v>12</v>
      </c>
      <c r="U62">
        <v>14</v>
      </c>
      <c r="V62">
        <v>16</v>
      </c>
      <c r="W62">
        <v>19</v>
      </c>
      <c r="X62">
        <v>15</v>
      </c>
      <c r="Y62">
        <v>11</v>
      </c>
      <c r="Z62">
        <v>9</v>
      </c>
      <c r="AA62">
        <v>0</v>
      </c>
      <c r="AB62">
        <v>0</v>
      </c>
      <c r="AC62">
        <f t="shared" si="0"/>
        <v>103</v>
      </c>
      <c r="AD62">
        <f t="shared" si="0"/>
        <v>103</v>
      </c>
      <c r="AE62">
        <f t="shared" si="18"/>
        <v>206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f t="shared" si="2"/>
        <v>0</v>
      </c>
      <c r="AW62">
        <f t="shared" si="2"/>
        <v>0</v>
      </c>
      <c r="AX62">
        <f t="shared" si="19"/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f t="shared" si="4"/>
        <v>0</v>
      </c>
      <c r="BP62">
        <f t="shared" si="4"/>
        <v>0</v>
      </c>
      <c r="BQ62">
        <f t="shared" si="20"/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f t="shared" si="6"/>
        <v>0</v>
      </c>
      <c r="CI62">
        <f t="shared" si="6"/>
        <v>0</v>
      </c>
      <c r="CJ62">
        <f t="shared" si="21"/>
        <v>0</v>
      </c>
      <c r="CK62">
        <v>0</v>
      </c>
      <c r="CL62">
        <v>2</v>
      </c>
      <c r="CM62">
        <v>1</v>
      </c>
      <c r="CN62">
        <v>0</v>
      </c>
      <c r="CO62">
        <v>5</v>
      </c>
      <c r="CP62">
        <v>0</v>
      </c>
      <c r="CQ62">
        <v>0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2</v>
      </c>
      <c r="CX62">
        <v>1</v>
      </c>
      <c r="CY62">
        <v>0</v>
      </c>
      <c r="CZ62">
        <v>0</v>
      </c>
      <c r="DA62">
        <f t="shared" si="8"/>
        <v>10</v>
      </c>
      <c r="DB62">
        <f t="shared" si="8"/>
        <v>6</v>
      </c>
      <c r="DC62">
        <f t="shared" si="22"/>
        <v>16</v>
      </c>
      <c r="DD62">
        <v>1</v>
      </c>
      <c r="DE62">
        <v>0</v>
      </c>
      <c r="DF62">
        <v>1</v>
      </c>
      <c r="DG62">
        <v>0</v>
      </c>
      <c r="DH62">
        <v>1</v>
      </c>
      <c r="DI62">
        <v>0</v>
      </c>
      <c r="DJ62">
        <v>2</v>
      </c>
      <c r="DK62">
        <v>1</v>
      </c>
      <c r="DL62">
        <v>1</v>
      </c>
      <c r="DM62">
        <v>1</v>
      </c>
      <c r="DN62">
        <v>4</v>
      </c>
      <c r="DO62">
        <v>2</v>
      </c>
      <c r="DP62">
        <v>0</v>
      </c>
      <c r="DQ62">
        <v>0</v>
      </c>
      <c r="DR62">
        <v>0</v>
      </c>
      <c r="DS62">
        <v>0</v>
      </c>
      <c r="DT62">
        <f t="shared" si="10"/>
        <v>10</v>
      </c>
      <c r="DU62">
        <f t="shared" si="10"/>
        <v>4</v>
      </c>
      <c r="DV62">
        <f t="shared" si="23"/>
        <v>14</v>
      </c>
      <c r="DW62">
        <v>1</v>
      </c>
      <c r="DX62">
        <v>2</v>
      </c>
      <c r="DY62">
        <v>7</v>
      </c>
      <c r="DZ62">
        <v>1</v>
      </c>
      <c r="EA62">
        <v>3</v>
      </c>
      <c r="EB62">
        <v>3</v>
      </c>
      <c r="EC62">
        <v>5</v>
      </c>
      <c r="ED62">
        <v>0</v>
      </c>
      <c r="EE62">
        <v>8</v>
      </c>
      <c r="EF62">
        <v>4</v>
      </c>
      <c r="EG62">
        <v>3</v>
      </c>
      <c r="EH62">
        <v>4</v>
      </c>
      <c r="EI62">
        <v>3</v>
      </c>
      <c r="EJ62">
        <v>3</v>
      </c>
      <c r="EK62">
        <v>0</v>
      </c>
      <c r="EL62">
        <v>0</v>
      </c>
      <c r="EM62">
        <f t="shared" si="12"/>
        <v>30</v>
      </c>
      <c r="EN62">
        <f t="shared" si="12"/>
        <v>17</v>
      </c>
      <c r="EO62">
        <f t="shared" si="24"/>
        <v>47</v>
      </c>
      <c r="EP62">
        <v>9</v>
      </c>
      <c r="EQ62">
        <v>9</v>
      </c>
      <c r="ER62">
        <v>14</v>
      </c>
      <c r="ES62">
        <v>14</v>
      </c>
      <c r="ET62">
        <v>12</v>
      </c>
      <c r="EU62">
        <v>8</v>
      </c>
      <c r="EV62">
        <v>9</v>
      </c>
      <c r="EW62">
        <v>12</v>
      </c>
      <c r="EX62">
        <v>6</v>
      </c>
      <c r="EY62">
        <v>13</v>
      </c>
      <c r="EZ62">
        <v>13</v>
      </c>
      <c r="FA62">
        <v>10</v>
      </c>
      <c r="FB62">
        <v>10</v>
      </c>
      <c r="FC62">
        <v>7</v>
      </c>
      <c r="FD62">
        <v>0</v>
      </c>
      <c r="FE62">
        <v>0</v>
      </c>
      <c r="FF62">
        <f t="shared" si="14"/>
        <v>73</v>
      </c>
      <c r="FG62">
        <f t="shared" si="14"/>
        <v>73</v>
      </c>
      <c r="FH62">
        <f t="shared" si="25"/>
        <v>146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f t="shared" si="16"/>
        <v>0</v>
      </c>
      <c r="FZ62">
        <f t="shared" si="16"/>
        <v>0</v>
      </c>
      <c r="GA62">
        <f t="shared" si="26"/>
        <v>0</v>
      </c>
    </row>
    <row r="63" spans="1:183" x14ac:dyDescent="0.25">
      <c r="A63" t="s">
        <v>179</v>
      </c>
      <c r="B63" t="s">
        <v>185</v>
      </c>
      <c r="C63" t="s">
        <v>286</v>
      </c>
      <c r="D63">
        <v>501087</v>
      </c>
      <c r="E63" t="s">
        <v>323</v>
      </c>
      <c r="F63" t="s">
        <v>324</v>
      </c>
      <c r="G63" t="s">
        <v>189</v>
      </c>
      <c r="H63" t="s">
        <v>190</v>
      </c>
      <c r="I63" t="s">
        <v>180</v>
      </c>
      <c r="J63" t="s">
        <v>292</v>
      </c>
      <c r="K63" t="s">
        <v>183</v>
      </c>
      <c r="L63" s="13" t="s">
        <v>184</v>
      </c>
      <c r="M63">
        <v>11</v>
      </c>
      <c r="N63">
        <v>8</v>
      </c>
      <c r="O63">
        <v>18</v>
      </c>
      <c r="P63">
        <v>18</v>
      </c>
      <c r="Q63">
        <v>18</v>
      </c>
      <c r="R63">
        <v>15</v>
      </c>
      <c r="S63">
        <v>17</v>
      </c>
      <c r="T63">
        <v>13</v>
      </c>
      <c r="U63">
        <v>11</v>
      </c>
      <c r="V63">
        <v>13</v>
      </c>
      <c r="W63">
        <v>10</v>
      </c>
      <c r="X63">
        <v>11</v>
      </c>
      <c r="Y63">
        <v>8</v>
      </c>
      <c r="Z63">
        <v>16</v>
      </c>
      <c r="AA63">
        <v>0</v>
      </c>
      <c r="AB63">
        <v>0</v>
      </c>
      <c r="AC63">
        <f t="shared" si="0"/>
        <v>93</v>
      </c>
      <c r="AD63">
        <f t="shared" si="0"/>
        <v>94</v>
      </c>
      <c r="AE63">
        <f t="shared" si="18"/>
        <v>187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f t="shared" si="2"/>
        <v>0</v>
      </c>
      <c r="AW63">
        <f t="shared" si="2"/>
        <v>0</v>
      </c>
      <c r="AX63">
        <f t="shared" si="19"/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f t="shared" si="4"/>
        <v>0</v>
      </c>
      <c r="BP63">
        <f t="shared" si="4"/>
        <v>0</v>
      </c>
      <c r="BQ63">
        <f t="shared" si="20"/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f t="shared" si="6"/>
        <v>0</v>
      </c>
      <c r="CI63">
        <f t="shared" si="6"/>
        <v>0</v>
      </c>
      <c r="CJ63">
        <f t="shared" si="21"/>
        <v>0</v>
      </c>
      <c r="CK63">
        <v>0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f t="shared" si="8"/>
        <v>2</v>
      </c>
      <c r="DB63">
        <f t="shared" si="8"/>
        <v>4</v>
      </c>
      <c r="DC63">
        <f t="shared" si="22"/>
        <v>6</v>
      </c>
      <c r="DD63">
        <v>0</v>
      </c>
      <c r="DE63">
        <v>1</v>
      </c>
      <c r="DF63">
        <v>0</v>
      </c>
      <c r="DG63">
        <v>1</v>
      </c>
      <c r="DH63">
        <v>0</v>
      </c>
      <c r="DI63">
        <v>1</v>
      </c>
      <c r="DJ63">
        <v>3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2</v>
      </c>
      <c r="DQ63">
        <v>0</v>
      </c>
      <c r="DR63">
        <v>0</v>
      </c>
      <c r="DS63">
        <v>0</v>
      </c>
      <c r="DT63">
        <f t="shared" si="10"/>
        <v>6</v>
      </c>
      <c r="DU63">
        <f t="shared" si="10"/>
        <v>3</v>
      </c>
      <c r="DV63">
        <f t="shared" si="23"/>
        <v>9</v>
      </c>
      <c r="DW63">
        <v>4</v>
      </c>
      <c r="DX63">
        <v>4</v>
      </c>
      <c r="DY63">
        <v>2</v>
      </c>
      <c r="DZ63">
        <v>5</v>
      </c>
      <c r="EA63">
        <v>5</v>
      </c>
      <c r="EB63">
        <v>7</v>
      </c>
      <c r="EC63">
        <v>4</v>
      </c>
      <c r="ED63">
        <v>4</v>
      </c>
      <c r="EE63">
        <v>4</v>
      </c>
      <c r="EF63">
        <v>4</v>
      </c>
      <c r="EG63">
        <v>2</v>
      </c>
      <c r="EH63">
        <v>4</v>
      </c>
      <c r="EI63">
        <v>0</v>
      </c>
      <c r="EJ63">
        <v>0</v>
      </c>
      <c r="EK63">
        <v>0</v>
      </c>
      <c r="EL63">
        <v>0</v>
      </c>
      <c r="EM63">
        <f t="shared" si="12"/>
        <v>21</v>
      </c>
      <c r="EN63">
        <f t="shared" si="12"/>
        <v>28</v>
      </c>
      <c r="EO63">
        <f t="shared" si="24"/>
        <v>49</v>
      </c>
      <c r="EP63">
        <v>7</v>
      </c>
      <c r="EQ63">
        <v>4</v>
      </c>
      <c r="ER63">
        <v>17</v>
      </c>
      <c r="ES63">
        <v>12</v>
      </c>
      <c r="ET63">
        <v>14</v>
      </c>
      <c r="EU63">
        <v>8</v>
      </c>
      <c r="EV63">
        <v>10</v>
      </c>
      <c r="EW63">
        <v>9</v>
      </c>
      <c r="EX63">
        <v>6</v>
      </c>
      <c r="EY63">
        <v>10</v>
      </c>
      <c r="EZ63">
        <v>8</v>
      </c>
      <c r="FA63">
        <v>7</v>
      </c>
      <c r="FB63">
        <v>6</v>
      </c>
      <c r="FC63">
        <v>16</v>
      </c>
      <c r="FD63">
        <v>0</v>
      </c>
      <c r="FE63">
        <v>0</v>
      </c>
      <c r="FF63">
        <f t="shared" si="14"/>
        <v>68</v>
      </c>
      <c r="FG63">
        <f t="shared" si="14"/>
        <v>66</v>
      </c>
      <c r="FH63">
        <f t="shared" si="25"/>
        <v>134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f t="shared" si="16"/>
        <v>0</v>
      </c>
      <c r="FZ63">
        <f t="shared" si="16"/>
        <v>1</v>
      </c>
      <c r="GA63">
        <f t="shared" si="26"/>
        <v>1</v>
      </c>
    </row>
  </sheetData>
  <autoFilter ref="A9:FX63" xr:uid="{00000000-0009-0000-0000-000000000000}"/>
  <mergeCells count="90">
    <mergeCell ref="FW6:FX6"/>
    <mergeCell ref="FY6:GA6"/>
    <mergeCell ref="FK6:FL6"/>
    <mergeCell ref="FM6:FN6"/>
    <mergeCell ref="FO6:FP6"/>
    <mergeCell ref="FQ6:FR6"/>
    <mergeCell ref="FS6:FT6"/>
    <mergeCell ref="FU6:FV6"/>
    <mergeCell ref="EX6:EY6"/>
    <mergeCell ref="EZ6:FA6"/>
    <mergeCell ref="FB6:FC6"/>
    <mergeCell ref="FD6:FE6"/>
    <mergeCell ref="FF6:FH6"/>
    <mergeCell ref="FI6:FJ6"/>
    <mergeCell ref="EK6:EL6"/>
    <mergeCell ref="EM6:EO6"/>
    <mergeCell ref="EP6:EQ6"/>
    <mergeCell ref="ER6:ES6"/>
    <mergeCell ref="ET6:EU6"/>
    <mergeCell ref="EV6:EW6"/>
    <mergeCell ref="DY6:DZ6"/>
    <mergeCell ref="EA6:EB6"/>
    <mergeCell ref="EC6:ED6"/>
    <mergeCell ref="EE6:EF6"/>
    <mergeCell ref="EG6:EH6"/>
    <mergeCell ref="EI6:EJ6"/>
    <mergeCell ref="DL6:DM6"/>
    <mergeCell ref="DN6:DO6"/>
    <mergeCell ref="DP6:DQ6"/>
    <mergeCell ref="DR6:DS6"/>
    <mergeCell ref="DT6:DV6"/>
    <mergeCell ref="DW6:DX6"/>
    <mergeCell ref="CY6:CZ6"/>
    <mergeCell ref="DA6:DC6"/>
    <mergeCell ref="DD6:DE6"/>
    <mergeCell ref="DF6:DG6"/>
    <mergeCell ref="DH6:DI6"/>
    <mergeCell ref="DJ6:DK6"/>
    <mergeCell ref="CM6:CN6"/>
    <mergeCell ref="CO6:CP6"/>
    <mergeCell ref="CQ6:CR6"/>
    <mergeCell ref="CS6:CT6"/>
    <mergeCell ref="CU6:CV6"/>
    <mergeCell ref="CW6:CX6"/>
    <mergeCell ref="BZ6:CA6"/>
    <mergeCell ref="CB6:CC6"/>
    <mergeCell ref="CD6:CE6"/>
    <mergeCell ref="CF6:CG6"/>
    <mergeCell ref="CH6:CJ6"/>
    <mergeCell ref="CK6:CL6"/>
    <mergeCell ref="BM6:BN6"/>
    <mergeCell ref="BO6:BQ6"/>
    <mergeCell ref="BR6:BS6"/>
    <mergeCell ref="BT6:BU6"/>
    <mergeCell ref="BV6:BW6"/>
    <mergeCell ref="BX6:BY6"/>
    <mergeCell ref="BA6:BB6"/>
    <mergeCell ref="BC6:BD6"/>
    <mergeCell ref="BE6:BF6"/>
    <mergeCell ref="BG6:BH6"/>
    <mergeCell ref="BI6:BJ6"/>
    <mergeCell ref="BK6:BL6"/>
    <mergeCell ref="AN6:AO6"/>
    <mergeCell ref="AP6:AQ6"/>
    <mergeCell ref="AR6:AS6"/>
    <mergeCell ref="AT6:AU6"/>
    <mergeCell ref="AV6:AX6"/>
    <mergeCell ref="AY6:AZ6"/>
    <mergeCell ref="AA6:AB6"/>
    <mergeCell ref="AC6:AE6"/>
    <mergeCell ref="AF6:AG6"/>
    <mergeCell ref="AH6:AI6"/>
    <mergeCell ref="AJ6:AK6"/>
    <mergeCell ref="AL6:AM6"/>
    <mergeCell ref="DW5:EO5"/>
    <mergeCell ref="EP5:FH5"/>
    <mergeCell ref="FI5:GA5"/>
    <mergeCell ref="M6:N6"/>
    <mergeCell ref="O6:P6"/>
    <mergeCell ref="Q6:R6"/>
    <mergeCell ref="S6:T6"/>
    <mergeCell ref="U6:V6"/>
    <mergeCell ref="W6:X6"/>
    <mergeCell ref="Y6:Z6"/>
    <mergeCell ref="M5:AE5"/>
    <mergeCell ref="AF5:AX5"/>
    <mergeCell ref="AY5:BQ5"/>
    <mergeCell ref="BR5:CJ5"/>
    <mergeCell ref="CK5:DC5"/>
    <mergeCell ref="DD5:D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734D-0D86-4724-A8D9-F3358239B7F3}">
  <dimension ref="A1:DG30"/>
  <sheetViews>
    <sheetView zoomScale="85" zoomScaleNormal="85" workbookViewId="0">
      <pane xSplit="4" ySplit="8" topLeftCell="E10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1" sqref="A31:XFD76"/>
    </sheetView>
  </sheetViews>
  <sheetFormatPr defaultRowHeight="15" x14ac:dyDescent="0.25"/>
  <cols>
    <col min="2" max="2" width="27.140625" bestFit="1" customWidth="1"/>
  </cols>
  <sheetData>
    <row r="1" spans="1:111" x14ac:dyDescent="0.25">
      <c r="A1" s="1" t="s">
        <v>326</v>
      </c>
    </row>
    <row r="2" spans="1:111" x14ac:dyDescent="0.25">
      <c r="A2" s="1" t="s">
        <v>1</v>
      </c>
      <c r="L2" s="2"/>
    </row>
    <row r="3" spans="1:111" x14ac:dyDescent="0.25">
      <c r="A3" s="1" t="s">
        <v>327</v>
      </c>
      <c r="L3" s="2"/>
    </row>
    <row r="4" spans="1:111" x14ac:dyDescent="0.25">
      <c r="M4" s="4" t="s">
        <v>328</v>
      </c>
      <c r="N4" s="5"/>
      <c r="O4" s="5"/>
      <c r="P4" s="5"/>
      <c r="Q4" s="5"/>
      <c r="R4" s="5"/>
      <c r="S4" s="5"/>
      <c r="T4" s="5"/>
      <c r="U4" s="5"/>
      <c r="V4" s="5"/>
      <c r="W4" s="6"/>
      <c r="X4" s="4" t="s">
        <v>329</v>
      </c>
      <c r="Y4" s="5"/>
      <c r="Z4" s="5"/>
      <c r="AA4" s="5"/>
      <c r="AB4" s="5"/>
      <c r="AC4" s="5"/>
      <c r="AD4" s="5"/>
      <c r="AE4" s="5"/>
      <c r="AF4" s="5"/>
      <c r="AG4" s="5"/>
      <c r="AH4" s="6"/>
      <c r="AI4" s="4" t="s">
        <v>330</v>
      </c>
      <c r="AJ4" s="5"/>
      <c r="AK4" s="5"/>
      <c r="AL4" s="5"/>
      <c r="AM4" s="5"/>
      <c r="AN4" s="5"/>
      <c r="AO4" s="5"/>
      <c r="AP4" s="5"/>
      <c r="AQ4" s="5"/>
      <c r="AR4" s="5"/>
      <c r="AS4" s="6"/>
      <c r="AT4" s="4" t="s">
        <v>331</v>
      </c>
      <c r="AU4" s="5"/>
      <c r="AV4" s="5"/>
      <c r="AW4" s="5"/>
      <c r="AX4" s="5"/>
      <c r="AY4" s="5"/>
      <c r="AZ4" s="5"/>
      <c r="BA4" s="5"/>
      <c r="BB4" s="5"/>
      <c r="BC4" s="5"/>
      <c r="BD4" s="6"/>
      <c r="BE4" s="4" t="s">
        <v>332</v>
      </c>
      <c r="BF4" s="5"/>
      <c r="BG4" s="5"/>
      <c r="BH4" s="5"/>
      <c r="BI4" s="5"/>
      <c r="BJ4" s="5"/>
      <c r="BK4" s="5"/>
      <c r="BL4" s="5"/>
      <c r="BM4" s="5"/>
      <c r="BN4" s="5"/>
      <c r="BO4" s="6"/>
      <c r="BP4" s="4" t="s">
        <v>333</v>
      </c>
      <c r="BQ4" s="5"/>
      <c r="BR4" s="5"/>
      <c r="BS4" s="5"/>
      <c r="BT4" s="5"/>
      <c r="BU4" s="5"/>
      <c r="BV4" s="5"/>
      <c r="BW4" s="5"/>
      <c r="BX4" s="5"/>
      <c r="BY4" s="5"/>
      <c r="BZ4" s="6"/>
      <c r="CA4" s="4" t="s">
        <v>334</v>
      </c>
      <c r="CB4" s="5"/>
      <c r="CC4" s="5"/>
      <c r="CD4" s="5"/>
      <c r="CE4" s="5"/>
      <c r="CF4" s="5"/>
      <c r="CG4" s="5"/>
      <c r="CH4" s="5"/>
      <c r="CI4" s="5"/>
      <c r="CJ4" s="5"/>
      <c r="CK4" s="6"/>
      <c r="CL4" s="4" t="s">
        <v>335</v>
      </c>
      <c r="CM4" s="5"/>
      <c r="CN4" s="5"/>
      <c r="CO4" s="5"/>
      <c r="CP4" s="5"/>
      <c r="CQ4" s="5"/>
      <c r="CR4" s="5"/>
      <c r="CS4" s="5"/>
      <c r="CT4" s="5"/>
      <c r="CU4" s="5"/>
      <c r="CV4" s="6"/>
      <c r="CW4" s="7" t="s">
        <v>336</v>
      </c>
      <c r="CX4" s="7"/>
      <c r="CY4" s="7"/>
      <c r="CZ4" s="7"/>
      <c r="DA4" s="7"/>
      <c r="DB4" s="7"/>
      <c r="DC4" s="7"/>
      <c r="DD4" s="7"/>
      <c r="DE4" s="7"/>
      <c r="DF4" s="7"/>
      <c r="DG4" s="7"/>
    </row>
    <row r="5" spans="1:111" x14ac:dyDescent="0.25">
      <c r="M5" s="7" t="s">
        <v>337</v>
      </c>
      <c r="N5" s="7"/>
      <c r="O5" s="7" t="s">
        <v>338</v>
      </c>
      <c r="P5" s="7"/>
      <c r="Q5" s="7" t="s">
        <v>339</v>
      </c>
      <c r="R5" s="7"/>
      <c r="S5" s="7" t="s">
        <v>340</v>
      </c>
      <c r="T5" s="7"/>
      <c r="U5" s="4" t="s">
        <v>20</v>
      </c>
      <c r="V5" s="5"/>
      <c r="W5" s="6"/>
      <c r="X5" s="7" t="s">
        <v>337</v>
      </c>
      <c r="Y5" s="7"/>
      <c r="Z5" s="7" t="s">
        <v>338</v>
      </c>
      <c r="AA5" s="7"/>
      <c r="AB5" s="7" t="s">
        <v>339</v>
      </c>
      <c r="AC5" s="7"/>
      <c r="AD5" s="7" t="s">
        <v>340</v>
      </c>
      <c r="AE5" s="7"/>
      <c r="AF5" s="4" t="s">
        <v>20</v>
      </c>
      <c r="AG5" s="5"/>
      <c r="AH5" s="6"/>
      <c r="AI5" s="7" t="s">
        <v>337</v>
      </c>
      <c r="AJ5" s="7"/>
      <c r="AK5" s="7" t="s">
        <v>338</v>
      </c>
      <c r="AL5" s="7"/>
      <c r="AM5" s="7" t="s">
        <v>339</v>
      </c>
      <c r="AN5" s="7"/>
      <c r="AO5" s="7" t="s">
        <v>340</v>
      </c>
      <c r="AP5" s="7"/>
      <c r="AQ5" s="4" t="s">
        <v>20</v>
      </c>
      <c r="AR5" s="5"/>
      <c r="AS5" s="6"/>
      <c r="AT5" s="7" t="s">
        <v>337</v>
      </c>
      <c r="AU5" s="7"/>
      <c r="AV5" s="7" t="s">
        <v>338</v>
      </c>
      <c r="AW5" s="7"/>
      <c r="AX5" s="7" t="s">
        <v>339</v>
      </c>
      <c r="AY5" s="7"/>
      <c r="AZ5" s="7" t="s">
        <v>340</v>
      </c>
      <c r="BA5" s="7"/>
      <c r="BB5" s="4" t="s">
        <v>20</v>
      </c>
      <c r="BC5" s="5"/>
      <c r="BD5" s="6"/>
      <c r="BE5" s="7" t="s">
        <v>337</v>
      </c>
      <c r="BF5" s="7"/>
      <c r="BG5" s="7" t="s">
        <v>338</v>
      </c>
      <c r="BH5" s="7"/>
      <c r="BI5" s="7" t="s">
        <v>339</v>
      </c>
      <c r="BJ5" s="7"/>
      <c r="BK5" s="7" t="s">
        <v>340</v>
      </c>
      <c r="BL5" s="7"/>
      <c r="BM5" s="4" t="s">
        <v>20</v>
      </c>
      <c r="BN5" s="5"/>
      <c r="BO5" s="6"/>
      <c r="BP5" s="7" t="s">
        <v>337</v>
      </c>
      <c r="BQ5" s="7"/>
      <c r="BR5" s="7" t="s">
        <v>338</v>
      </c>
      <c r="BS5" s="7"/>
      <c r="BT5" s="7" t="s">
        <v>339</v>
      </c>
      <c r="BU5" s="7"/>
      <c r="BV5" s="7" t="s">
        <v>340</v>
      </c>
      <c r="BW5" s="7"/>
      <c r="BX5" s="4" t="s">
        <v>20</v>
      </c>
      <c r="BY5" s="5"/>
      <c r="BZ5" s="6"/>
      <c r="CA5" s="7" t="s">
        <v>337</v>
      </c>
      <c r="CB5" s="7"/>
      <c r="CC5" s="7" t="s">
        <v>338</v>
      </c>
      <c r="CD5" s="7"/>
      <c r="CE5" s="7" t="s">
        <v>339</v>
      </c>
      <c r="CF5" s="7"/>
      <c r="CG5" s="7" t="s">
        <v>340</v>
      </c>
      <c r="CH5" s="7"/>
      <c r="CI5" s="4" t="s">
        <v>20</v>
      </c>
      <c r="CJ5" s="5"/>
      <c r="CK5" s="6"/>
      <c r="CL5" s="7" t="s">
        <v>337</v>
      </c>
      <c r="CM5" s="7"/>
      <c r="CN5" s="7" t="s">
        <v>338</v>
      </c>
      <c r="CO5" s="7"/>
      <c r="CP5" s="7" t="s">
        <v>339</v>
      </c>
      <c r="CQ5" s="7"/>
      <c r="CR5" s="7" t="s">
        <v>340</v>
      </c>
      <c r="CS5" s="7"/>
      <c r="CT5" s="4" t="s">
        <v>20</v>
      </c>
      <c r="CU5" s="5"/>
      <c r="CV5" s="6"/>
      <c r="CW5" s="8" t="s">
        <v>337</v>
      </c>
      <c r="CX5" s="8"/>
      <c r="CY5" s="8" t="s">
        <v>338</v>
      </c>
      <c r="CZ5" s="8"/>
      <c r="DA5" s="8" t="s">
        <v>339</v>
      </c>
      <c r="DB5" s="8"/>
      <c r="DC5" s="8" t="s">
        <v>340</v>
      </c>
      <c r="DD5" s="8"/>
      <c r="DE5" s="4" t="s">
        <v>20</v>
      </c>
      <c r="DF5" s="5"/>
      <c r="DG5" s="6"/>
    </row>
    <row r="6" spans="1:111" ht="15.75" thickBot="1" x14ac:dyDescent="0.3">
      <c r="M6" s="9" t="s">
        <v>21</v>
      </c>
      <c r="N6" s="9" t="s">
        <v>22</v>
      </c>
      <c r="O6" s="9" t="s">
        <v>21</v>
      </c>
      <c r="P6" s="9" t="s">
        <v>22</v>
      </c>
      <c r="Q6" s="9" t="s">
        <v>21</v>
      </c>
      <c r="R6" s="9" t="s">
        <v>22</v>
      </c>
      <c r="S6" s="9" t="s">
        <v>21</v>
      </c>
      <c r="T6" s="9" t="s">
        <v>22</v>
      </c>
      <c r="U6" s="9" t="s">
        <v>21</v>
      </c>
      <c r="V6" s="9" t="s">
        <v>22</v>
      </c>
      <c r="W6" s="9" t="s">
        <v>20</v>
      </c>
      <c r="X6" s="9" t="s">
        <v>21</v>
      </c>
      <c r="Y6" s="9" t="s">
        <v>22</v>
      </c>
      <c r="Z6" s="9" t="s">
        <v>21</v>
      </c>
      <c r="AA6" s="9" t="s">
        <v>22</v>
      </c>
      <c r="AB6" s="9" t="s">
        <v>21</v>
      </c>
      <c r="AC6" s="9" t="s">
        <v>22</v>
      </c>
      <c r="AD6" s="9" t="s">
        <v>21</v>
      </c>
      <c r="AE6" s="9" t="s">
        <v>22</v>
      </c>
      <c r="AF6" s="9" t="s">
        <v>21</v>
      </c>
      <c r="AG6" s="9" t="s">
        <v>22</v>
      </c>
      <c r="AH6" s="9" t="s">
        <v>20</v>
      </c>
      <c r="AI6" s="9" t="s">
        <v>21</v>
      </c>
      <c r="AJ6" s="9" t="s">
        <v>22</v>
      </c>
      <c r="AK6" s="9" t="s">
        <v>21</v>
      </c>
      <c r="AL6" s="9" t="s">
        <v>22</v>
      </c>
      <c r="AM6" s="9" t="s">
        <v>21</v>
      </c>
      <c r="AN6" s="9" t="s">
        <v>22</v>
      </c>
      <c r="AO6" s="9" t="s">
        <v>21</v>
      </c>
      <c r="AP6" s="9" t="s">
        <v>22</v>
      </c>
      <c r="AQ6" s="9" t="s">
        <v>21</v>
      </c>
      <c r="AR6" s="9" t="s">
        <v>22</v>
      </c>
      <c r="AS6" s="9" t="s">
        <v>20</v>
      </c>
      <c r="AT6" s="9" t="s">
        <v>21</v>
      </c>
      <c r="AU6" s="9" t="s">
        <v>22</v>
      </c>
      <c r="AV6" s="9" t="s">
        <v>21</v>
      </c>
      <c r="AW6" s="9" t="s">
        <v>22</v>
      </c>
      <c r="AX6" s="9" t="s">
        <v>21</v>
      </c>
      <c r="AY6" s="9" t="s">
        <v>22</v>
      </c>
      <c r="AZ6" s="9" t="s">
        <v>21</v>
      </c>
      <c r="BA6" s="9" t="s">
        <v>22</v>
      </c>
      <c r="BB6" s="9" t="s">
        <v>21</v>
      </c>
      <c r="BC6" s="9" t="s">
        <v>22</v>
      </c>
      <c r="BD6" s="9" t="s">
        <v>20</v>
      </c>
      <c r="BE6" s="9" t="s">
        <v>21</v>
      </c>
      <c r="BF6" s="9" t="s">
        <v>22</v>
      </c>
      <c r="BG6" s="9" t="s">
        <v>21</v>
      </c>
      <c r="BH6" s="9" t="s">
        <v>22</v>
      </c>
      <c r="BI6" s="9" t="s">
        <v>21</v>
      </c>
      <c r="BJ6" s="9" t="s">
        <v>22</v>
      </c>
      <c r="BK6" s="9" t="s">
        <v>21</v>
      </c>
      <c r="BL6" s="9" t="s">
        <v>22</v>
      </c>
      <c r="BM6" s="9" t="s">
        <v>21</v>
      </c>
      <c r="BN6" s="9" t="s">
        <v>22</v>
      </c>
      <c r="BO6" s="9" t="s">
        <v>20</v>
      </c>
      <c r="BP6" s="9" t="s">
        <v>21</v>
      </c>
      <c r="BQ6" s="9" t="s">
        <v>22</v>
      </c>
      <c r="BR6" s="9" t="s">
        <v>21</v>
      </c>
      <c r="BS6" s="9" t="s">
        <v>22</v>
      </c>
      <c r="BT6" s="9" t="s">
        <v>21</v>
      </c>
      <c r="BU6" s="9" t="s">
        <v>22</v>
      </c>
      <c r="BV6" s="9" t="s">
        <v>21</v>
      </c>
      <c r="BW6" s="9" t="s">
        <v>22</v>
      </c>
      <c r="BX6" s="9" t="s">
        <v>21</v>
      </c>
      <c r="BY6" s="9" t="s">
        <v>22</v>
      </c>
      <c r="BZ6" s="9" t="s">
        <v>20</v>
      </c>
      <c r="CA6" s="9" t="s">
        <v>21</v>
      </c>
      <c r="CB6" s="9" t="s">
        <v>22</v>
      </c>
      <c r="CC6" s="9" t="s">
        <v>21</v>
      </c>
      <c r="CD6" s="9" t="s">
        <v>22</v>
      </c>
      <c r="CE6" s="9" t="s">
        <v>21</v>
      </c>
      <c r="CF6" s="9" t="s">
        <v>22</v>
      </c>
      <c r="CG6" s="9" t="s">
        <v>21</v>
      </c>
      <c r="CH6" s="9" t="s">
        <v>22</v>
      </c>
      <c r="CI6" s="9" t="s">
        <v>21</v>
      </c>
      <c r="CJ6" s="9" t="s">
        <v>22</v>
      </c>
      <c r="CK6" s="9" t="s">
        <v>20</v>
      </c>
      <c r="CL6" s="9" t="s">
        <v>21</v>
      </c>
      <c r="CM6" s="9" t="s">
        <v>22</v>
      </c>
      <c r="CN6" s="9" t="s">
        <v>21</v>
      </c>
      <c r="CO6" s="9" t="s">
        <v>22</v>
      </c>
      <c r="CP6" s="9" t="s">
        <v>21</v>
      </c>
      <c r="CQ6" s="9" t="s">
        <v>22</v>
      </c>
      <c r="CR6" s="9" t="s">
        <v>21</v>
      </c>
      <c r="CS6" s="9" t="s">
        <v>22</v>
      </c>
      <c r="CT6" s="9" t="s">
        <v>21</v>
      </c>
      <c r="CU6" s="9" t="s">
        <v>22</v>
      </c>
      <c r="CV6" s="9" t="s">
        <v>20</v>
      </c>
      <c r="CW6" s="9" t="s">
        <v>21</v>
      </c>
      <c r="CX6" s="9" t="s">
        <v>22</v>
      </c>
      <c r="CY6" s="9" t="s">
        <v>21</v>
      </c>
      <c r="CZ6" s="9" t="s">
        <v>22</v>
      </c>
      <c r="DA6" s="9" t="s">
        <v>21</v>
      </c>
      <c r="DB6" s="9" t="s">
        <v>22</v>
      </c>
      <c r="DC6" s="9" t="s">
        <v>21</v>
      </c>
      <c r="DD6" s="9" t="s">
        <v>22</v>
      </c>
      <c r="DE6" s="9" t="s">
        <v>21</v>
      </c>
      <c r="DF6" s="9" t="s">
        <v>22</v>
      </c>
      <c r="DG6" s="9" t="s">
        <v>20</v>
      </c>
    </row>
    <row r="7" spans="1:111" ht="15.75" thickTop="1" x14ac:dyDescent="0.25">
      <c r="M7" s="12">
        <f>SUM(M9:M30)</f>
        <v>1514</v>
      </c>
      <c r="N7" s="12">
        <f>SUM(N9:N30)</f>
        <v>1470</v>
      </c>
      <c r="O7" s="12">
        <f>SUM(O9:O30)</f>
        <v>1387</v>
      </c>
      <c r="P7" s="12">
        <f>SUM(P9:P30)</f>
        <v>1631</v>
      </c>
      <c r="Q7" s="12">
        <f>SUM(Q9:Q30)</f>
        <v>973</v>
      </c>
      <c r="R7" s="12">
        <f>SUM(R9:R30)</f>
        <v>1293</v>
      </c>
      <c r="S7" s="12">
        <f>SUM(S9:S30)</f>
        <v>820</v>
      </c>
      <c r="T7" s="12">
        <f>SUM(T9:T30)</f>
        <v>1219</v>
      </c>
      <c r="U7" s="12">
        <f>SUM(U9:U30)</f>
        <v>4694</v>
      </c>
      <c r="V7" s="12">
        <f>SUM(V9:V30)</f>
        <v>5613</v>
      </c>
      <c r="W7" s="12">
        <f>SUM(W9:W30)</f>
        <v>10307</v>
      </c>
      <c r="X7" s="12">
        <f>SUM(X9:X30)</f>
        <v>15</v>
      </c>
      <c r="Y7" s="12">
        <f>SUM(Y9:Y30)</f>
        <v>5</v>
      </c>
      <c r="Z7" s="12">
        <f>SUM(Z9:Z30)</f>
        <v>6</v>
      </c>
      <c r="AA7" s="12">
        <f>SUM(AA9:AA30)</f>
        <v>5</v>
      </c>
      <c r="AB7" s="12">
        <f>SUM(AB9:AB30)</f>
        <v>3</v>
      </c>
      <c r="AC7" s="12">
        <f>SUM(AC9:AC30)</f>
        <v>5</v>
      </c>
      <c r="AD7" s="12">
        <f>SUM(AD9:AD30)</f>
        <v>3</v>
      </c>
      <c r="AE7" s="12">
        <f>SUM(AE9:AE30)</f>
        <v>3</v>
      </c>
      <c r="AF7" s="12">
        <f>SUM(AF9:AF30)</f>
        <v>27</v>
      </c>
      <c r="AG7" s="12">
        <f>SUM(AG9:AG30)</f>
        <v>18</v>
      </c>
      <c r="AH7" s="12">
        <f>SUM(AH9:AH30)</f>
        <v>45</v>
      </c>
      <c r="AI7" s="12">
        <f>SUM(AI9:AI30)</f>
        <v>44</v>
      </c>
      <c r="AJ7" s="12">
        <f>SUM(AJ9:AJ30)</f>
        <v>41</v>
      </c>
      <c r="AK7" s="12">
        <f>SUM(AK9:AK30)</f>
        <v>25</v>
      </c>
      <c r="AL7" s="12">
        <f>SUM(AL9:AL30)</f>
        <v>29</v>
      </c>
      <c r="AM7" s="12">
        <f>SUM(AM9:AM30)</f>
        <v>29</v>
      </c>
      <c r="AN7" s="12">
        <f>SUM(AN9:AN30)</f>
        <v>27</v>
      </c>
      <c r="AO7" s="12">
        <f>SUM(AO9:AO30)</f>
        <v>16</v>
      </c>
      <c r="AP7" s="12">
        <f>SUM(AP9:AP30)</f>
        <v>14</v>
      </c>
      <c r="AQ7" s="12">
        <f>SUM(AQ9:AQ30)</f>
        <v>114</v>
      </c>
      <c r="AR7" s="12">
        <f>SUM(AR9:AR30)</f>
        <v>111</v>
      </c>
      <c r="AS7" s="12">
        <f>SUM(AS9:AS30)</f>
        <v>225</v>
      </c>
      <c r="AT7" s="12">
        <f>SUM(AT9:AT30)</f>
        <v>44</v>
      </c>
      <c r="AU7" s="12">
        <f>SUM(AU9:AU30)</f>
        <v>21</v>
      </c>
      <c r="AV7" s="12">
        <f>SUM(AV9:AV30)</f>
        <v>44</v>
      </c>
      <c r="AW7" s="12">
        <f>SUM(AW9:AW30)</f>
        <v>13</v>
      </c>
      <c r="AX7" s="12">
        <f>SUM(AX9:AX30)</f>
        <v>21</v>
      </c>
      <c r="AY7" s="12">
        <f>SUM(AY9:AY30)</f>
        <v>8</v>
      </c>
      <c r="AZ7" s="12">
        <f>SUM(AZ9:AZ30)</f>
        <v>12</v>
      </c>
      <c r="BA7" s="12">
        <f>SUM(BA9:BA30)</f>
        <v>3</v>
      </c>
      <c r="BB7" s="12">
        <f>SUM(BB9:BB30)</f>
        <v>121</v>
      </c>
      <c r="BC7" s="12">
        <f>SUM(BC9:BC30)</f>
        <v>45</v>
      </c>
      <c r="BD7" s="12">
        <f>SUM(BD9:BD30)</f>
        <v>166</v>
      </c>
      <c r="BE7" s="12">
        <f>SUM(BE9:BE30)</f>
        <v>134</v>
      </c>
      <c r="BF7" s="12">
        <f>SUM(BF9:BF30)</f>
        <v>94</v>
      </c>
      <c r="BG7" s="12">
        <f>SUM(BG9:BG30)</f>
        <v>102</v>
      </c>
      <c r="BH7" s="12">
        <f>SUM(BH9:BH30)</f>
        <v>67</v>
      </c>
      <c r="BI7" s="12">
        <f>SUM(BI9:BI30)</f>
        <v>66</v>
      </c>
      <c r="BJ7" s="12">
        <f>SUM(BJ9:BJ30)</f>
        <v>46</v>
      </c>
      <c r="BK7" s="12">
        <f>SUM(BK9:BK30)</f>
        <v>57</v>
      </c>
      <c r="BL7" s="12">
        <f>SUM(BL9:BL30)</f>
        <v>35</v>
      </c>
      <c r="BM7" s="12">
        <f>SUM(BM9:BM30)</f>
        <v>359</v>
      </c>
      <c r="BN7" s="12">
        <f>SUM(BN9:BN30)</f>
        <v>242</v>
      </c>
      <c r="BO7" s="12">
        <f>SUM(BO9:BO30)</f>
        <v>601</v>
      </c>
      <c r="BP7" s="12">
        <f>SUM(BP9:BP30)</f>
        <v>119</v>
      </c>
      <c r="BQ7" s="12">
        <f>SUM(BQ9:BQ30)</f>
        <v>77</v>
      </c>
      <c r="BR7" s="12">
        <f>SUM(BR9:BR30)</f>
        <v>69</v>
      </c>
      <c r="BS7" s="12">
        <f>SUM(BS9:BS30)</f>
        <v>73</v>
      </c>
      <c r="BT7" s="12">
        <f>SUM(BT9:BT30)</f>
        <v>48</v>
      </c>
      <c r="BU7" s="12">
        <f>SUM(BU9:BU30)</f>
        <v>41</v>
      </c>
      <c r="BV7" s="12">
        <f>SUM(BV9:BV30)</f>
        <v>22</v>
      </c>
      <c r="BW7" s="12">
        <f>SUM(BW9:BW30)</f>
        <v>35</v>
      </c>
      <c r="BX7" s="12">
        <f>SUM(BX9:BX30)</f>
        <v>258</v>
      </c>
      <c r="BY7" s="12">
        <f>SUM(BY9:BY30)</f>
        <v>226</v>
      </c>
      <c r="BZ7" s="12">
        <f>SUM(BZ9:BZ30)</f>
        <v>484</v>
      </c>
      <c r="CA7" s="12">
        <f>SUM(CA9:CA30)</f>
        <v>320</v>
      </c>
      <c r="CB7" s="12">
        <f>SUM(CB9:CB30)</f>
        <v>291</v>
      </c>
      <c r="CC7" s="12">
        <f>SUM(CC9:CC30)</f>
        <v>260</v>
      </c>
      <c r="CD7" s="12">
        <f>SUM(CD9:CD30)</f>
        <v>278</v>
      </c>
      <c r="CE7" s="12">
        <f>SUM(CE9:CE30)</f>
        <v>182</v>
      </c>
      <c r="CF7" s="12">
        <f>SUM(CF9:CF30)</f>
        <v>254</v>
      </c>
      <c r="CG7" s="12">
        <f>SUM(CG9:CG30)</f>
        <v>114</v>
      </c>
      <c r="CH7" s="12">
        <f>SUM(CH9:CH30)</f>
        <v>213</v>
      </c>
      <c r="CI7" s="12">
        <f>SUM(CI9:CI30)</f>
        <v>876</v>
      </c>
      <c r="CJ7" s="12">
        <f>SUM(CJ9:CJ30)</f>
        <v>1036</v>
      </c>
      <c r="CK7" s="12">
        <f>SUM(CK9:CK30)</f>
        <v>1912</v>
      </c>
      <c r="CL7" s="12">
        <f>SUM(CL9:CL30)</f>
        <v>1289</v>
      </c>
      <c r="CM7" s="12">
        <f>SUM(CM9:CM30)</f>
        <v>1203</v>
      </c>
      <c r="CN7" s="12">
        <f>SUM(CN9:CN30)</f>
        <v>1222</v>
      </c>
      <c r="CO7" s="12">
        <f>SUM(CO9:CO30)</f>
        <v>1390</v>
      </c>
      <c r="CP7" s="12">
        <f>SUM(CP9:CP30)</f>
        <v>828</v>
      </c>
      <c r="CQ7" s="12">
        <f>SUM(CQ9:CQ30)</f>
        <v>1073</v>
      </c>
      <c r="CR7" s="12">
        <f>SUM(CR9:CR30)</f>
        <v>725</v>
      </c>
      <c r="CS7" s="12">
        <f>SUM(CS9:CS30)</f>
        <v>1006</v>
      </c>
      <c r="CT7" s="12">
        <f>SUM(CT9:CT30)</f>
        <v>4064</v>
      </c>
      <c r="CU7" s="12">
        <f>SUM(CU9:CU30)</f>
        <v>4672</v>
      </c>
      <c r="CV7" s="12">
        <f>SUM(CV9:CV30)</f>
        <v>8736</v>
      </c>
      <c r="CW7" s="12">
        <f>SUM(CW9:CW30)</f>
        <v>17</v>
      </c>
      <c r="CX7" s="12">
        <f>SUM(CX9:CX30)</f>
        <v>3</v>
      </c>
      <c r="CY7" s="12">
        <f>SUM(CY9:CY30)</f>
        <v>7</v>
      </c>
      <c r="CZ7" s="12">
        <f>SUM(CZ9:CZ30)</f>
        <v>2</v>
      </c>
      <c r="DA7" s="12">
        <f>SUM(DA9:DA30)</f>
        <v>7</v>
      </c>
      <c r="DB7" s="12">
        <f>SUM(DB9:DB30)</f>
        <v>6</v>
      </c>
      <c r="DC7" s="12">
        <f>SUM(DC9:DC30)</f>
        <v>5</v>
      </c>
      <c r="DD7" s="12">
        <f>SUM(DD9:DD30)</f>
        <v>62</v>
      </c>
      <c r="DE7" s="12">
        <f>SUM(DE9:DE30)</f>
        <v>36</v>
      </c>
      <c r="DF7" s="12">
        <f>SUM(DF9:DF30)</f>
        <v>73</v>
      </c>
      <c r="DG7" s="12">
        <f>SUM(DG9:DG30)</f>
        <v>109</v>
      </c>
    </row>
    <row r="8" spans="1:111" x14ac:dyDescent="0.25">
      <c r="A8" s="10" t="s">
        <v>23</v>
      </c>
      <c r="B8" s="10" t="s">
        <v>24</v>
      </c>
      <c r="C8" s="10" t="s">
        <v>25</v>
      </c>
      <c r="D8" s="10" t="s">
        <v>26</v>
      </c>
      <c r="E8" s="10" t="s">
        <v>27</v>
      </c>
      <c r="F8" s="10" t="s">
        <v>28</v>
      </c>
      <c r="G8" s="10" t="s">
        <v>29</v>
      </c>
      <c r="H8" s="10" t="s">
        <v>30</v>
      </c>
      <c r="I8" s="10" t="s">
        <v>31</v>
      </c>
      <c r="J8" s="10" t="s">
        <v>32</v>
      </c>
      <c r="K8" s="10" t="s">
        <v>33</v>
      </c>
      <c r="L8" s="11" t="s">
        <v>34</v>
      </c>
      <c r="M8" s="12" t="s">
        <v>341</v>
      </c>
      <c r="N8" s="12" t="s">
        <v>342</v>
      </c>
      <c r="O8" s="12" t="s">
        <v>343</v>
      </c>
      <c r="P8" s="12" t="s">
        <v>344</v>
      </c>
      <c r="Q8" s="12" t="s">
        <v>345</v>
      </c>
      <c r="R8" s="12" t="s">
        <v>346</v>
      </c>
      <c r="S8" s="12" t="s">
        <v>347</v>
      </c>
      <c r="T8" s="12" t="s">
        <v>348</v>
      </c>
      <c r="U8" s="12" t="s">
        <v>21</v>
      </c>
      <c r="V8" s="12" t="s">
        <v>22</v>
      </c>
      <c r="W8" s="12" t="s">
        <v>20</v>
      </c>
      <c r="X8" s="12" t="s">
        <v>349</v>
      </c>
      <c r="Y8" s="12" t="s">
        <v>350</v>
      </c>
      <c r="Z8" s="12" t="s">
        <v>351</v>
      </c>
      <c r="AA8" s="12" t="s">
        <v>352</v>
      </c>
      <c r="AB8" s="12" t="s">
        <v>353</v>
      </c>
      <c r="AC8" s="12" t="s">
        <v>354</v>
      </c>
      <c r="AD8" s="12" t="s">
        <v>355</v>
      </c>
      <c r="AE8" s="12" t="s">
        <v>356</v>
      </c>
      <c r="AF8" s="12" t="s">
        <v>21</v>
      </c>
      <c r="AG8" s="12" t="s">
        <v>22</v>
      </c>
      <c r="AH8" s="12" t="s">
        <v>20</v>
      </c>
      <c r="AI8" s="12" t="s">
        <v>357</v>
      </c>
      <c r="AJ8" s="12" t="s">
        <v>358</v>
      </c>
      <c r="AK8" s="12" t="s">
        <v>359</v>
      </c>
      <c r="AL8" s="12" t="s">
        <v>360</v>
      </c>
      <c r="AM8" s="12" t="s">
        <v>361</v>
      </c>
      <c r="AN8" s="12" t="s">
        <v>362</v>
      </c>
      <c r="AO8" s="12" t="s">
        <v>363</v>
      </c>
      <c r="AP8" s="12" t="s">
        <v>364</v>
      </c>
      <c r="AQ8" s="12" t="s">
        <v>21</v>
      </c>
      <c r="AR8" s="12" t="s">
        <v>22</v>
      </c>
      <c r="AS8" s="12" t="s">
        <v>20</v>
      </c>
      <c r="AT8" s="12" t="s">
        <v>365</v>
      </c>
      <c r="AU8" s="12" t="s">
        <v>366</v>
      </c>
      <c r="AV8" s="12" t="s">
        <v>367</v>
      </c>
      <c r="AW8" s="12" t="s">
        <v>368</v>
      </c>
      <c r="AX8" s="12" t="s">
        <v>369</v>
      </c>
      <c r="AY8" s="12" t="s">
        <v>370</v>
      </c>
      <c r="AZ8" s="12" t="s">
        <v>371</v>
      </c>
      <c r="BA8" s="12" t="s">
        <v>372</v>
      </c>
      <c r="BB8" s="12" t="s">
        <v>21</v>
      </c>
      <c r="BC8" s="12" t="s">
        <v>22</v>
      </c>
      <c r="BD8" s="12" t="s">
        <v>20</v>
      </c>
      <c r="BE8" s="12" t="s">
        <v>373</v>
      </c>
      <c r="BF8" s="12" t="s">
        <v>374</v>
      </c>
      <c r="BG8" s="12" t="s">
        <v>375</v>
      </c>
      <c r="BH8" s="12" t="s">
        <v>376</v>
      </c>
      <c r="BI8" s="12" t="s">
        <v>377</v>
      </c>
      <c r="BJ8" s="12" t="s">
        <v>378</v>
      </c>
      <c r="BK8" s="12" t="s">
        <v>379</v>
      </c>
      <c r="BL8" s="12" t="s">
        <v>380</v>
      </c>
      <c r="BM8" s="12" t="s">
        <v>21</v>
      </c>
      <c r="BN8" s="12" t="s">
        <v>22</v>
      </c>
      <c r="BO8" s="12" t="s">
        <v>20</v>
      </c>
      <c r="BP8" s="12" t="s">
        <v>381</v>
      </c>
      <c r="BQ8" s="12" t="s">
        <v>382</v>
      </c>
      <c r="BR8" s="12" t="s">
        <v>383</v>
      </c>
      <c r="BS8" s="12" t="s">
        <v>384</v>
      </c>
      <c r="BT8" s="12" t="s">
        <v>385</v>
      </c>
      <c r="BU8" s="12" t="s">
        <v>386</v>
      </c>
      <c r="BV8" s="12" t="s">
        <v>387</v>
      </c>
      <c r="BW8" s="12" t="s">
        <v>388</v>
      </c>
      <c r="BX8" s="12" t="s">
        <v>21</v>
      </c>
      <c r="BY8" s="12" t="s">
        <v>22</v>
      </c>
      <c r="BZ8" s="12" t="s">
        <v>20</v>
      </c>
      <c r="CA8" s="12" t="s">
        <v>389</v>
      </c>
      <c r="CB8" s="12" t="s">
        <v>390</v>
      </c>
      <c r="CC8" s="12" t="s">
        <v>391</v>
      </c>
      <c r="CD8" s="12" t="s">
        <v>392</v>
      </c>
      <c r="CE8" s="12" t="s">
        <v>393</v>
      </c>
      <c r="CF8" s="12" t="s">
        <v>394</v>
      </c>
      <c r="CG8" s="12" t="s">
        <v>395</v>
      </c>
      <c r="CH8" s="12" t="s">
        <v>396</v>
      </c>
      <c r="CI8" s="12" t="s">
        <v>21</v>
      </c>
      <c r="CJ8" s="12" t="s">
        <v>22</v>
      </c>
      <c r="CK8" s="12" t="s">
        <v>20</v>
      </c>
      <c r="CL8" s="12" t="s">
        <v>397</v>
      </c>
      <c r="CM8" s="12" t="s">
        <v>398</v>
      </c>
      <c r="CN8" s="12" t="s">
        <v>399</v>
      </c>
      <c r="CO8" s="12" t="s">
        <v>400</v>
      </c>
      <c r="CP8" s="12" t="s">
        <v>401</v>
      </c>
      <c r="CQ8" s="12" t="s">
        <v>402</v>
      </c>
      <c r="CR8" s="12" t="s">
        <v>403</v>
      </c>
      <c r="CS8" s="12" t="s">
        <v>404</v>
      </c>
      <c r="CT8" s="12" t="s">
        <v>21</v>
      </c>
      <c r="CU8" s="12" t="s">
        <v>22</v>
      </c>
      <c r="CV8" s="12" t="s">
        <v>20</v>
      </c>
      <c r="CW8" s="12" t="s">
        <v>405</v>
      </c>
      <c r="CX8" s="12" t="s">
        <v>406</v>
      </c>
      <c r="CY8" s="12" t="s">
        <v>407</v>
      </c>
      <c r="CZ8" s="12" t="s">
        <v>408</v>
      </c>
      <c r="DA8" s="12" t="s">
        <v>409</v>
      </c>
      <c r="DB8" s="12" t="s">
        <v>410</v>
      </c>
      <c r="DC8" s="12" t="s">
        <v>411</v>
      </c>
      <c r="DD8" s="12" t="s">
        <v>412</v>
      </c>
      <c r="DE8" s="12" t="s">
        <v>21</v>
      </c>
      <c r="DF8" s="12" t="s">
        <v>22</v>
      </c>
      <c r="DG8" s="12" t="s">
        <v>20</v>
      </c>
    </row>
    <row r="9" spans="1:111" x14ac:dyDescent="0.25">
      <c r="A9" t="s">
        <v>179</v>
      </c>
      <c r="B9" t="s">
        <v>185</v>
      </c>
      <c r="C9" t="s">
        <v>186</v>
      </c>
      <c r="D9">
        <v>304325</v>
      </c>
      <c r="E9" t="s">
        <v>417</v>
      </c>
      <c r="F9" t="s">
        <v>418</v>
      </c>
      <c r="G9" t="s">
        <v>189</v>
      </c>
      <c r="H9" t="s">
        <v>190</v>
      </c>
      <c r="I9" t="s">
        <v>180</v>
      </c>
      <c r="J9" t="s">
        <v>199</v>
      </c>
      <c r="K9" t="s">
        <v>413</v>
      </c>
      <c r="L9" s="13" t="s">
        <v>414</v>
      </c>
      <c r="M9">
        <v>477</v>
      </c>
      <c r="N9">
        <v>467</v>
      </c>
      <c r="O9">
        <v>401</v>
      </c>
      <c r="P9">
        <v>478</v>
      </c>
      <c r="Q9">
        <v>310</v>
      </c>
      <c r="R9">
        <v>441</v>
      </c>
      <c r="S9">
        <v>262</v>
      </c>
      <c r="T9">
        <v>439</v>
      </c>
      <c r="U9">
        <f t="shared" ref="U9:V30" si="0">M9+O9+Q9+S9</f>
        <v>1450</v>
      </c>
      <c r="V9">
        <f t="shared" si="0"/>
        <v>1825</v>
      </c>
      <c r="W9">
        <f t="shared" ref="W9:W30" si="1">SUM(U9:V9)</f>
        <v>3275</v>
      </c>
      <c r="X9">
        <v>1</v>
      </c>
      <c r="Y9">
        <v>2</v>
      </c>
      <c r="Z9">
        <v>1</v>
      </c>
      <c r="AA9">
        <v>0</v>
      </c>
      <c r="AB9">
        <v>0</v>
      </c>
      <c r="AC9">
        <v>3</v>
      </c>
      <c r="AD9">
        <v>0</v>
      </c>
      <c r="AE9">
        <v>0</v>
      </c>
      <c r="AF9">
        <f t="shared" ref="AF9:AG30" si="2">X9+Z9+AB9+AD9</f>
        <v>2</v>
      </c>
      <c r="AG9">
        <f t="shared" si="2"/>
        <v>5</v>
      </c>
      <c r="AH9">
        <f t="shared" ref="AH9:AH30" si="3">SUM(AF9:AG9)</f>
        <v>7</v>
      </c>
      <c r="AI9">
        <v>16</v>
      </c>
      <c r="AJ9">
        <v>13</v>
      </c>
      <c r="AK9">
        <v>5</v>
      </c>
      <c r="AL9">
        <v>4</v>
      </c>
      <c r="AM9">
        <v>7</v>
      </c>
      <c r="AN9">
        <v>4</v>
      </c>
      <c r="AO9">
        <v>1</v>
      </c>
      <c r="AP9">
        <v>5</v>
      </c>
      <c r="AQ9">
        <f t="shared" ref="AQ9:AR30" si="4">AI9+AK9+AM9+AO9</f>
        <v>29</v>
      </c>
      <c r="AR9">
        <f t="shared" si="4"/>
        <v>26</v>
      </c>
      <c r="AS9">
        <f t="shared" ref="AS9:AS30" si="5">SUM(AQ9:AR9)</f>
        <v>55</v>
      </c>
      <c r="AT9">
        <v>20</v>
      </c>
      <c r="AU9">
        <v>7</v>
      </c>
      <c r="AV9">
        <v>11</v>
      </c>
      <c r="AW9">
        <v>4</v>
      </c>
      <c r="AX9">
        <v>6</v>
      </c>
      <c r="AY9">
        <v>2</v>
      </c>
      <c r="AZ9">
        <v>5</v>
      </c>
      <c r="BA9">
        <v>1</v>
      </c>
      <c r="BB9">
        <f t="shared" ref="BB9:BC30" si="6">AT9+AV9+AX9+AZ9</f>
        <v>42</v>
      </c>
      <c r="BC9">
        <f t="shared" si="6"/>
        <v>14</v>
      </c>
      <c r="BD9">
        <f t="shared" ref="BD9:BD30" si="7">SUM(BB9:BC9)</f>
        <v>56</v>
      </c>
      <c r="BE9">
        <v>48</v>
      </c>
      <c r="BF9">
        <v>33</v>
      </c>
      <c r="BG9">
        <v>32</v>
      </c>
      <c r="BH9">
        <v>24</v>
      </c>
      <c r="BI9">
        <v>28</v>
      </c>
      <c r="BJ9">
        <v>14</v>
      </c>
      <c r="BK9">
        <v>22</v>
      </c>
      <c r="BL9">
        <v>15</v>
      </c>
      <c r="BM9">
        <f t="shared" ref="BM9:BN30" si="8">BE9+BG9+BI9+BK9</f>
        <v>130</v>
      </c>
      <c r="BN9">
        <f t="shared" si="8"/>
        <v>86</v>
      </c>
      <c r="BO9">
        <f t="shared" ref="BO9:BO30" si="9">SUM(BM9:BN9)</f>
        <v>216</v>
      </c>
      <c r="BP9">
        <v>40</v>
      </c>
      <c r="BQ9">
        <v>25</v>
      </c>
      <c r="BR9">
        <v>18</v>
      </c>
      <c r="BS9">
        <v>13</v>
      </c>
      <c r="BT9">
        <v>16</v>
      </c>
      <c r="BU9">
        <v>9</v>
      </c>
      <c r="BV9">
        <v>3</v>
      </c>
      <c r="BW9">
        <v>12</v>
      </c>
      <c r="BX9">
        <f t="shared" ref="BX9:BY30" si="10">BP9+BR9+BT9+BV9</f>
        <v>77</v>
      </c>
      <c r="BY9">
        <f t="shared" si="10"/>
        <v>59</v>
      </c>
      <c r="BZ9">
        <f t="shared" ref="BZ9:BZ30" si="11">SUM(BX9:BY9)</f>
        <v>136</v>
      </c>
      <c r="CA9">
        <v>67</v>
      </c>
      <c r="CB9">
        <v>91</v>
      </c>
      <c r="CC9">
        <v>48</v>
      </c>
      <c r="CD9">
        <v>66</v>
      </c>
      <c r="CE9">
        <v>48</v>
      </c>
      <c r="CF9">
        <v>74</v>
      </c>
      <c r="CG9">
        <v>30</v>
      </c>
      <c r="CH9">
        <v>64</v>
      </c>
      <c r="CI9">
        <f t="shared" ref="CI9:CJ30" si="12">CA9+CC9+CE9+CG9</f>
        <v>193</v>
      </c>
      <c r="CJ9">
        <f t="shared" si="12"/>
        <v>295</v>
      </c>
      <c r="CK9">
        <f t="shared" ref="CK9:CK30" si="13">SUM(CI9:CJ9)</f>
        <v>488</v>
      </c>
      <c r="CL9">
        <v>451</v>
      </c>
      <c r="CM9">
        <v>405</v>
      </c>
      <c r="CN9">
        <v>380</v>
      </c>
      <c r="CO9">
        <v>430</v>
      </c>
      <c r="CP9">
        <v>275</v>
      </c>
      <c r="CQ9">
        <v>374</v>
      </c>
      <c r="CR9">
        <v>245</v>
      </c>
      <c r="CS9">
        <v>374</v>
      </c>
      <c r="CT9">
        <f t="shared" ref="CT9:CU30" si="14">CL9+CN9+CP9+CR9</f>
        <v>1351</v>
      </c>
      <c r="CU9">
        <f t="shared" si="14"/>
        <v>1583</v>
      </c>
      <c r="CV9">
        <f t="shared" ref="CV9:CV30" si="15">SUM(CT9:CU9)</f>
        <v>2934</v>
      </c>
      <c r="CW9">
        <v>2</v>
      </c>
      <c r="CX9">
        <v>0</v>
      </c>
      <c r="CY9">
        <v>1</v>
      </c>
      <c r="CZ9">
        <v>0</v>
      </c>
      <c r="DA9">
        <v>1</v>
      </c>
      <c r="DB9">
        <v>1</v>
      </c>
      <c r="DC9">
        <v>0</v>
      </c>
      <c r="DD9">
        <v>0</v>
      </c>
      <c r="DE9">
        <f t="shared" ref="DE9:DF30" si="16">CW9+CY9+DA9+DC9</f>
        <v>4</v>
      </c>
      <c r="DF9">
        <f t="shared" si="16"/>
        <v>1</v>
      </c>
      <c r="DG9">
        <f t="shared" ref="DG9:DG30" si="17">SUM(DE9:DF9)</f>
        <v>5</v>
      </c>
    </row>
    <row r="10" spans="1:111" x14ac:dyDescent="0.25">
      <c r="A10" t="s">
        <v>179</v>
      </c>
      <c r="B10" t="s">
        <v>185</v>
      </c>
      <c r="C10" t="s">
        <v>186</v>
      </c>
      <c r="D10">
        <v>304326</v>
      </c>
      <c r="E10" t="s">
        <v>419</v>
      </c>
      <c r="F10" t="s">
        <v>420</v>
      </c>
      <c r="G10" t="s">
        <v>189</v>
      </c>
      <c r="H10" t="s">
        <v>190</v>
      </c>
      <c r="I10" t="s">
        <v>180</v>
      </c>
      <c r="J10" t="s">
        <v>199</v>
      </c>
      <c r="K10" t="s">
        <v>413</v>
      </c>
      <c r="L10" s="13" t="s">
        <v>414</v>
      </c>
      <c r="M10">
        <v>139</v>
      </c>
      <c r="N10">
        <v>124</v>
      </c>
      <c r="O10">
        <v>82</v>
      </c>
      <c r="P10">
        <v>89</v>
      </c>
      <c r="Q10">
        <v>77</v>
      </c>
      <c r="R10">
        <v>83</v>
      </c>
      <c r="S10">
        <v>57</v>
      </c>
      <c r="T10">
        <v>73</v>
      </c>
      <c r="U10">
        <f t="shared" si="0"/>
        <v>355</v>
      </c>
      <c r="V10">
        <f t="shared" si="0"/>
        <v>369</v>
      </c>
      <c r="W10">
        <f t="shared" si="1"/>
        <v>724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f t="shared" si="2"/>
        <v>0</v>
      </c>
      <c r="AG10">
        <f t="shared" si="2"/>
        <v>0</v>
      </c>
      <c r="AH10">
        <f t="shared" si="3"/>
        <v>0</v>
      </c>
      <c r="AI10">
        <v>5</v>
      </c>
      <c r="AJ10">
        <v>1</v>
      </c>
      <c r="AK10">
        <v>1</v>
      </c>
      <c r="AL10">
        <v>0</v>
      </c>
      <c r="AM10">
        <v>3</v>
      </c>
      <c r="AN10">
        <v>3</v>
      </c>
      <c r="AO10">
        <v>1</v>
      </c>
      <c r="AP10">
        <v>1</v>
      </c>
      <c r="AQ10">
        <f t="shared" si="4"/>
        <v>10</v>
      </c>
      <c r="AR10">
        <f t="shared" si="4"/>
        <v>5</v>
      </c>
      <c r="AS10">
        <f t="shared" si="5"/>
        <v>15</v>
      </c>
      <c r="AT10">
        <v>0</v>
      </c>
      <c r="AU10">
        <v>1</v>
      </c>
      <c r="AV10">
        <v>4</v>
      </c>
      <c r="AW10">
        <v>1</v>
      </c>
      <c r="AX10">
        <v>1</v>
      </c>
      <c r="AY10">
        <v>0</v>
      </c>
      <c r="AZ10">
        <v>0</v>
      </c>
      <c r="BA10">
        <v>0</v>
      </c>
      <c r="BB10">
        <f t="shared" si="6"/>
        <v>5</v>
      </c>
      <c r="BC10">
        <f t="shared" si="6"/>
        <v>2</v>
      </c>
      <c r="BD10">
        <f t="shared" si="7"/>
        <v>7</v>
      </c>
      <c r="BE10">
        <v>18</v>
      </c>
      <c r="BF10">
        <v>9</v>
      </c>
      <c r="BG10">
        <v>15</v>
      </c>
      <c r="BH10">
        <v>4</v>
      </c>
      <c r="BI10">
        <v>9</v>
      </c>
      <c r="BJ10">
        <v>3</v>
      </c>
      <c r="BK10">
        <v>3</v>
      </c>
      <c r="BL10">
        <v>5</v>
      </c>
      <c r="BM10">
        <f t="shared" si="8"/>
        <v>45</v>
      </c>
      <c r="BN10">
        <f t="shared" si="8"/>
        <v>21</v>
      </c>
      <c r="BO10">
        <f t="shared" si="9"/>
        <v>66</v>
      </c>
      <c r="BP10">
        <v>11</v>
      </c>
      <c r="BQ10">
        <v>5</v>
      </c>
      <c r="BR10">
        <v>4</v>
      </c>
      <c r="BS10">
        <v>4</v>
      </c>
      <c r="BT10">
        <v>7</v>
      </c>
      <c r="BU10">
        <v>3</v>
      </c>
      <c r="BV10">
        <v>0</v>
      </c>
      <c r="BW10">
        <v>1</v>
      </c>
      <c r="BX10">
        <f t="shared" si="10"/>
        <v>22</v>
      </c>
      <c r="BY10">
        <f t="shared" si="10"/>
        <v>13</v>
      </c>
      <c r="BZ10">
        <f t="shared" si="11"/>
        <v>35</v>
      </c>
      <c r="CA10">
        <v>47</v>
      </c>
      <c r="CB10">
        <v>22</v>
      </c>
      <c r="CC10">
        <v>22</v>
      </c>
      <c r="CD10">
        <v>19</v>
      </c>
      <c r="CE10">
        <v>21</v>
      </c>
      <c r="CF10">
        <v>26</v>
      </c>
      <c r="CG10">
        <v>13</v>
      </c>
      <c r="CH10">
        <v>21</v>
      </c>
      <c r="CI10">
        <f t="shared" si="12"/>
        <v>103</v>
      </c>
      <c r="CJ10">
        <f t="shared" si="12"/>
        <v>88</v>
      </c>
      <c r="CK10">
        <f t="shared" si="13"/>
        <v>191</v>
      </c>
      <c r="CL10">
        <v>102</v>
      </c>
      <c r="CM10">
        <v>108</v>
      </c>
      <c r="CN10">
        <v>74</v>
      </c>
      <c r="CO10">
        <v>71</v>
      </c>
      <c r="CP10">
        <v>56</v>
      </c>
      <c r="CQ10">
        <v>60</v>
      </c>
      <c r="CR10">
        <v>42</v>
      </c>
      <c r="CS10">
        <v>56</v>
      </c>
      <c r="CT10">
        <f t="shared" si="14"/>
        <v>274</v>
      </c>
      <c r="CU10">
        <f t="shared" si="14"/>
        <v>295</v>
      </c>
      <c r="CV10">
        <f t="shared" si="15"/>
        <v>569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f t="shared" si="16"/>
        <v>0</v>
      </c>
      <c r="DF10">
        <f t="shared" si="16"/>
        <v>0</v>
      </c>
      <c r="DG10">
        <f t="shared" si="17"/>
        <v>0</v>
      </c>
    </row>
    <row r="11" spans="1:111" x14ac:dyDescent="0.25">
      <c r="A11" t="s">
        <v>179</v>
      </c>
      <c r="B11" t="s">
        <v>185</v>
      </c>
      <c r="C11" t="s">
        <v>186</v>
      </c>
      <c r="D11">
        <v>305680</v>
      </c>
      <c r="E11" t="s">
        <v>421</v>
      </c>
      <c r="F11" t="s">
        <v>422</v>
      </c>
      <c r="G11" t="s">
        <v>189</v>
      </c>
      <c r="H11" t="s">
        <v>190</v>
      </c>
      <c r="I11" t="s">
        <v>180</v>
      </c>
      <c r="J11" t="s">
        <v>234</v>
      </c>
      <c r="K11" t="s">
        <v>415</v>
      </c>
      <c r="L11" s="13" t="s">
        <v>416</v>
      </c>
      <c r="M11">
        <v>29</v>
      </c>
      <c r="N11">
        <v>37</v>
      </c>
      <c r="O11">
        <v>26</v>
      </c>
      <c r="P11">
        <v>27</v>
      </c>
      <c r="Q11">
        <v>14</v>
      </c>
      <c r="R11">
        <v>16</v>
      </c>
      <c r="S11">
        <v>12</v>
      </c>
      <c r="T11">
        <v>22</v>
      </c>
      <c r="U11">
        <f t="shared" si="0"/>
        <v>81</v>
      </c>
      <c r="V11">
        <f t="shared" si="0"/>
        <v>102</v>
      </c>
      <c r="W11">
        <f t="shared" si="1"/>
        <v>183</v>
      </c>
      <c r="X11">
        <v>4</v>
      </c>
      <c r="Y11">
        <v>2</v>
      </c>
      <c r="Z11">
        <v>3</v>
      </c>
      <c r="AA11">
        <v>3</v>
      </c>
      <c r="AB11">
        <v>2</v>
      </c>
      <c r="AC11">
        <v>2</v>
      </c>
      <c r="AD11">
        <v>3</v>
      </c>
      <c r="AE11">
        <v>2</v>
      </c>
      <c r="AF11">
        <f t="shared" si="2"/>
        <v>12</v>
      </c>
      <c r="AG11">
        <f t="shared" si="2"/>
        <v>9</v>
      </c>
      <c r="AH11">
        <f t="shared" si="3"/>
        <v>21</v>
      </c>
      <c r="AI11">
        <v>5</v>
      </c>
      <c r="AJ11">
        <v>7</v>
      </c>
      <c r="AK11">
        <v>4</v>
      </c>
      <c r="AL11">
        <v>7</v>
      </c>
      <c r="AM11">
        <v>3</v>
      </c>
      <c r="AN11">
        <v>3</v>
      </c>
      <c r="AO11">
        <v>1</v>
      </c>
      <c r="AP11">
        <v>1</v>
      </c>
      <c r="AQ11">
        <f t="shared" si="4"/>
        <v>13</v>
      </c>
      <c r="AR11">
        <f t="shared" si="4"/>
        <v>18</v>
      </c>
      <c r="AS11">
        <f t="shared" si="5"/>
        <v>31</v>
      </c>
      <c r="AT11">
        <v>0</v>
      </c>
      <c r="AU11">
        <v>0</v>
      </c>
      <c r="AV11">
        <v>3</v>
      </c>
      <c r="AW11">
        <v>2</v>
      </c>
      <c r="AX11">
        <v>1</v>
      </c>
      <c r="AY11">
        <v>3</v>
      </c>
      <c r="AZ11">
        <v>0</v>
      </c>
      <c r="BA11">
        <v>0</v>
      </c>
      <c r="BB11">
        <f t="shared" si="6"/>
        <v>4</v>
      </c>
      <c r="BC11">
        <f t="shared" si="6"/>
        <v>5</v>
      </c>
      <c r="BD11">
        <f t="shared" si="7"/>
        <v>9</v>
      </c>
      <c r="BE11">
        <v>0</v>
      </c>
      <c r="BF11">
        <v>3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f t="shared" si="8"/>
        <v>0</v>
      </c>
      <c r="BN11">
        <f t="shared" si="8"/>
        <v>4</v>
      </c>
      <c r="BO11">
        <f t="shared" si="9"/>
        <v>4</v>
      </c>
      <c r="BP11">
        <v>2</v>
      </c>
      <c r="BQ11">
        <v>2</v>
      </c>
      <c r="BR11">
        <v>1</v>
      </c>
      <c r="BS11">
        <v>2</v>
      </c>
      <c r="BT11">
        <v>0</v>
      </c>
      <c r="BU11">
        <v>0</v>
      </c>
      <c r="BV11">
        <v>0</v>
      </c>
      <c r="BW11">
        <v>0</v>
      </c>
      <c r="BX11">
        <f t="shared" si="10"/>
        <v>3</v>
      </c>
      <c r="BY11">
        <f t="shared" si="10"/>
        <v>4</v>
      </c>
      <c r="BZ11">
        <f t="shared" si="11"/>
        <v>7</v>
      </c>
      <c r="CA11">
        <v>4</v>
      </c>
      <c r="CB11">
        <v>7</v>
      </c>
      <c r="CC11">
        <v>2</v>
      </c>
      <c r="CD11">
        <v>2</v>
      </c>
      <c r="CE11">
        <v>1</v>
      </c>
      <c r="CF11">
        <v>3</v>
      </c>
      <c r="CG11">
        <v>3</v>
      </c>
      <c r="CH11">
        <v>3</v>
      </c>
      <c r="CI11">
        <f t="shared" si="12"/>
        <v>10</v>
      </c>
      <c r="CJ11">
        <f t="shared" si="12"/>
        <v>15</v>
      </c>
      <c r="CK11">
        <f t="shared" si="13"/>
        <v>25</v>
      </c>
      <c r="CL11">
        <v>28</v>
      </c>
      <c r="CM11">
        <v>38</v>
      </c>
      <c r="CN11">
        <v>32</v>
      </c>
      <c r="CO11">
        <v>34</v>
      </c>
      <c r="CP11">
        <v>16</v>
      </c>
      <c r="CQ11">
        <v>18</v>
      </c>
      <c r="CR11">
        <v>10</v>
      </c>
      <c r="CS11">
        <v>22</v>
      </c>
      <c r="CT11">
        <f t="shared" si="14"/>
        <v>86</v>
      </c>
      <c r="CU11">
        <f t="shared" si="14"/>
        <v>112</v>
      </c>
      <c r="CV11">
        <f t="shared" si="15"/>
        <v>198</v>
      </c>
      <c r="CW11">
        <v>4</v>
      </c>
      <c r="CX11">
        <v>2</v>
      </c>
      <c r="CY11">
        <v>1</v>
      </c>
      <c r="CZ11">
        <v>1</v>
      </c>
      <c r="DA11">
        <v>3</v>
      </c>
      <c r="DB11">
        <v>4</v>
      </c>
      <c r="DC11">
        <v>3</v>
      </c>
      <c r="DD11">
        <v>0</v>
      </c>
      <c r="DE11">
        <f t="shared" si="16"/>
        <v>11</v>
      </c>
      <c r="DF11">
        <f t="shared" si="16"/>
        <v>7</v>
      </c>
      <c r="DG11">
        <f t="shared" si="17"/>
        <v>18</v>
      </c>
    </row>
    <row r="12" spans="1:111" x14ac:dyDescent="0.25">
      <c r="A12" t="s">
        <v>179</v>
      </c>
      <c r="B12" t="s">
        <v>185</v>
      </c>
      <c r="C12" t="s">
        <v>186</v>
      </c>
      <c r="D12">
        <v>325104</v>
      </c>
      <c r="E12" t="s">
        <v>423</v>
      </c>
      <c r="F12" t="s">
        <v>424</v>
      </c>
      <c r="G12" t="s">
        <v>189</v>
      </c>
      <c r="H12" t="s">
        <v>190</v>
      </c>
      <c r="I12" t="s">
        <v>180</v>
      </c>
      <c r="J12" t="s">
        <v>191</v>
      </c>
      <c r="K12" t="s">
        <v>413</v>
      </c>
      <c r="L12" s="13" t="s">
        <v>414</v>
      </c>
      <c r="M12">
        <v>54</v>
      </c>
      <c r="N12">
        <v>84</v>
      </c>
      <c r="O12">
        <v>88</v>
      </c>
      <c r="P12">
        <v>103</v>
      </c>
      <c r="Q12">
        <v>55</v>
      </c>
      <c r="R12">
        <v>66</v>
      </c>
      <c r="S12">
        <v>33</v>
      </c>
      <c r="T12">
        <v>62</v>
      </c>
      <c r="U12">
        <f t="shared" si="0"/>
        <v>230</v>
      </c>
      <c r="V12">
        <f t="shared" si="0"/>
        <v>315</v>
      </c>
      <c r="W12">
        <f t="shared" si="1"/>
        <v>545</v>
      </c>
      <c r="X12">
        <v>0</v>
      </c>
      <c r="Y12">
        <v>0</v>
      </c>
      <c r="Z12">
        <v>0</v>
      </c>
      <c r="AA12">
        <v>2</v>
      </c>
      <c r="AB12">
        <v>1</v>
      </c>
      <c r="AC12">
        <v>0</v>
      </c>
      <c r="AD12">
        <v>0</v>
      </c>
      <c r="AE12">
        <v>0</v>
      </c>
      <c r="AF12">
        <f t="shared" si="2"/>
        <v>1</v>
      </c>
      <c r="AG12">
        <f t="shared" si="2"/>
        <v>2</v>
      </c>
      <c r="AH12">
        <f t="shared" si="3"/>
        <v>3</v>
      </c>
      <c r="AI12">
        <v>0</v>
      </c>
      <c r="AJ12">
        <v>3</v>
      </c>
      <c r="AK12">
        <v>1</v>
      </c>
      <c r="AL12">
        <v>2</v>
      </c>
      <c r="AM12">
        <v>1</v>
      </c>
      <c r="AN12">
        <v>1</v>
      </c>
      <c r="AO12">
        <v>3</v>
      </c>
      <c r="AP12">
        <v>0</v>
      </c>
      <c r="AQ12">
        <f t="shared" si="4"/>
        <v>5</v>
      </c>
      <c r="AR12">
        <f t="shared" si="4"/>
        <v>6</v>
      </c>
      <c r="AS12">
        <f t="shared" si="5"/>
        <v>11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f t="shared" si="6"/>
        <v>1</v>
      </c>
      <c r="BC12">
        <f t="shared" si="6"/>
        <v>0</v>
      </c>
      <c r="BD12">
        <f t="shared" si="7"/>
        <v>1</v>
      </c>
      <c r="BE12">
        <v>10</v>
      </c>
      <c r="BF12">
        <v>15</v>
      </c>
      <c r="BG12">
        <v>3</v>
      </c>
      <c r="BH12">
        <v>2</v>
      </c>
      <c r="BI12">
        <v>3</v>
      </c>
      <c r="BJ12">
        <v>2</v>
      </c>
      <c r="BK12">
        <v>4</v>
      </c>
      <c r="BL12">
        <v>1</v>
      </c>
      <c r="BM12">
        <f t="shared" si="8"/>
        <v>20</v>
      </c>
      <c r="BN12">
        <f t="shared" si="8"/>
        <v>20</v>
      </c>
      <c r="BO12">
        <f t="shared" si="9"/>
        <v>40</v>
      </c>
      <c r="BP12">
        <v>11</v>
      </c>
      <c r="BQ12">
        <v>7</v>
      </c>
      <c r="BR12">
        <v>9</v>
      </c>
      <c r="BS12">
        <v>12</v>
      </c>
      <c r="BT12">
        <v>7</v>
      </c>
      <c r="BU12">
        <v>2</v>
      </c>
      <c r="BV12">
        <v>3</v>
      </c>
      <c r="BW12">
        <v>6</v>
      </c>
      <c r="BX12">
        <f t="shared" si="10"/>
        <v>30</v>
      </c>
      <c r="BY12">
        <f t="shared" si="10"/>
        <v>27</v>
      </c>
      <c r="BZ12">
        <f t="shared" si="11"/>
        <v>57</v>
      </c>
      <c r="CA12">
        <v>26</v>
      </c>
      <c r="CB12">
        <v>32</v>
      </c>
      <c r="CC12">
        <v>35</v>
      </c>
      <c r="CD12">
        <v>30</v>
      </c>
      <c r="CE12">
        <v>21</v>
      </c>
      <c r="CF12">
        <v>23</v>
      </c>
      <c r="CG12">
        <v>15</v>
      </c>
      <c r="CH12">
        <v>29</v>
      </c>
      <c r="CI12">
        <f t="shared" si="12"/>
        <v>97</v>
      </c>
      <c r="CJ12">
        <f t="shared" si="12"/>
        <v>114</v>
      </c>
      <c r="CK12">
        <f t="shared" si="13"/>
        <v>211</v>
      </c>
      <c r="CL12">
        <v>27</v>
      </c>
      <c r="CM12">
        <v>5</v>
      </c>
      <c r="CN12">
        <v>48</v>
      </c>
      <c r="CO12">
        <v>65</v>
      </c>
      <c r="CP12">
        <v>31</v>
      </c>
      <c r="CQ12">
        <v>44</v>
      </c>
      <c r="CR12">
        <v>18</v>
      </c>
      <c r="CS12">
        <v>26</v>
      </c>
      <c r="CT12">
        <f t="shared" si="14"/>
        <v>124</v>
      </c>
      <c r="CU12">
        <f t="shared" si="14"/>
        <v>140</v>
      </c>
      <c r="CV12">
        <f t="shared" si="15"/>
        <v>264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61</v>
      </c>
      <c r="DE12">
        <f t="shared" si="16"/>
        <v>0</v>
      </c>
      <c r="DF12">
        <f t="shared" si="16"/>
        <v>61</v>
      </c>
      <c r="DG12">
        <f t="shared" si="17"/>
        <v>61</v>
      </c>
    </row>
    <row r="13" spans="1:111" x14ac:dyDescent="0.25">
      <c r="A13" t="s">
        <v>179</v>
      </c>
      <c r="B13" t="s">
        <v>185</v>
      </c>
      <c r="C13" t="s">
        <v>186</v>
      </c>
      <c r="D13">
        <v>500454</v>
      </c>
      <c r="E13" t="s">
        <v>215</v>
      </c>
      <c r="F13" t="s">
        <v>216</v>
      </c>
      <c r="G13" t="s">
        <v>189</v>
      </c>
      <c r="H13" t="s">
        <v>190</v>
      </c>
      <c r="I13" t="s">
        <v>180</v>
      </c>
      <c r="J13" t="s">
        <v>199</v>
      </c>
      <c r="K13" t="s">
        <v>217</v>
      </c>
      <c r="L13" s="13" t="s">
        <v>218</v>
      </c>
      <c r="M13">
        <v>5</v>
      </c>
      <c r="N13">
        <v>6</v>
      </c>
      <c r="O13">
        <v>17</v>
      </c>
      <c r="P13">
        <v>18</v>
      </c>
      <c r="Q13">
        <v>9</v>
      </c>
      <c r="R13">
        <v>10</v>
      </c>
      <c r="S13">
        <v>8</v>
      </c>
      <c r="T13">
        <v>7</v>
      </c>
      <c r="U13">
        <f t="shared" si="0"/>
        <v>39</v>
      </c>
      <c r="V13">
        <f t="shared" si="0"/>
        <v>41</v>
      </c>
      <c r="W13">
        <f t="shared" si="1"/>
        <v>80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f t="shared" si="2"/>
        <v>0</v>
      </c>
      <c r="AG13">
        <f t="shared" si="2"/>
        <v>0</v>
      </c>
      <c r="AH13">
        <f t="shared" si="3"/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f t="shared" si="4"/>
        <v>0</v>
      </c>
      <c r="AR13">
        <f t="shared" si="4"/>
        <v>0</v>
      </c>
      <c r="AS13">
        <f t="shared" si="5"/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f t="shared" si="6"/>
        <v>0</v>
      </c>
      <c r="BC13">
        <f t="shared" si="6"/>
        <v>0</v>
      </c>
      <c r="BD13">
        <f t="shared" si="7"/>
        <v>0</v>
      </c>
      <c r="BE13">
        <v>2</v>
      </c>
      <c r="BF13">
        <v>1</v>
      </c>
      <c r="BG13">
        <v>2</v>
      </c>
      <c r="BH13">
        <v>1</v>
      </c>
      <c r="BI13">
        <v>1</v>
      </c>
      <c r="BJ13">
        <v>2</v>
      </c>
      <c r="BK13">
        <v>1</v>
      </c>
      <c r="BL13">
        <v>0</v>
      </c>
      <c r="BM13">
        <f t="shared" si="8"/>
        <v>6</v>
      </c>
      <c r="BN13">
        <f t="shared" si="8"/>
        <v>4</v>
      </c>
      <c r="BO13">
        <f t="shared" si="9"/>
        <v>10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f t="shared" si="10"/>
        <v>0</v>
      </c>
      <c r="BY13">
        <f t="shared" si="10"/>
        <v>0</v>
      </c>
      <c r="BZ13">
        <f t="shared" si="11"/>
        <v>0</v>
      </c>
      <c r="CA13">
        <v>1</v>
      </c>
      <c r="CB13">
        <v>2</v>
      </c>
      <c r="CC13">
        <v>5</v>
      </c>
      <c r="CD13">
        <v>6</v>
      </c>
      <c r="CE13">
        <v>2</v>
      </c>
      <c r="CF13">
        <v>3</v>
      </c>
      <c r="CG13">
        <v>1</v>
      </c>
      <c r="CH13">
        <v>2</v>
      </c>
      <c r="CI13">
        <f t="shared" si="12"/>
        <v>9</v>
      </c>
      <c r="CJ13">
        <f t="shared" si="12"/>
        <v>13</v>
      </c>
      <c r="CK13">
        <f t="shared" si="13"/>
        <v>22</v>
      </c>
      <c r="CL13">
        <v>6</v>
      </c>
      <c r="CM13">
        <v>5</v>
      </c>
      <c r="CN13">
        <v>14</v>
      </c>
      <c r="CO13">
        <v>13</v>
      </c>
      <c r="CP13">
        <v>8</v>
      </c>
      <c r="CQ13">
        <v>9</v>
      </c>
      <c r="CR13">
        <v>8</v>
      </c>
      <c r="CS13">
        <v>5</v>
      </c>
      <c r="CT13">
        <f t="shared" si="14"/>
        <v>36</v>
      </c>
      <c r="CU13">
        <f t="shared" si="14"/>
        <v>32</v>
      </c>
      <c r="CV13">
        <f t="shared" si="15"/>
        <v>68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f t="shared" si="16"/>
        <v>0</v>
      </c>
      <c r="DF13">
        <f t="shared" si="16"/>
        <v>0</v>
      </c>
      <c r="DG13">
        <f t="shared" si="17"/>
        <v>0</v>
      </c>
    </row>
    <row r="14" spans="1:111" x14ac:dyDescent="0.25">
      <c r="A14" t="s">
        <v>179</v>
      </c>
      <c r="B14" t="s">
        <v>185</v>
      </c>
      <c r="C14" t="s">
        <v>186</v>
      </c>
      <c r="D14">
        <v>501424</v>
      </c>
      <c r="E14" t="s">
        <v>219</v>
      </c>
      <c r="F14" t="s">
        <v>220</v>
      </c>
      <c r="G14" t="s">
        <v>189</v>
      </c>
      <c r="H14" t="s">
        <v>190</v>
      </c>
      <c r="I14" t="s">
        <v>180</v>
      </c>
      <c r="J14" t="s">
        <v>221</v>
      </c>
      <c r="K14" t="s">
        <v>183</v>
      </c>
      <c r="L14" s="13" t="s">
        <v>184</v>
      </c>
      <c r="M14">
        <v>14</v>
      </c>
      <c r="N14">
        <v>10</v>
      </c>
      <c r="O14">
        <v>3</v>
      </c>
      <c r="P14">
        <v>9</v>
      </c>
      <c r="Q14">
        <v>0</v>
      </c>
      <c r="R14">
        <v>0</v>
      </c>
      <c r="S14">
        <v>0</v>
      </c>
      <c r="T14">
        <v>0</v>
      </c>
      <c r="U14">
        <f t="shared" si="0"/>
        <v>17</v>
      </c>
      <c r="V14">
        <f t="shared" si="0"/>
        <v>19</v>
      </c>
      <c r="W14">
        <f t="shared" si="1"/>
        <v>36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f t="shared" si="2"/>
        <v>1</v>
      </c>
      <c r="AG14">
        <f t="shared" si="2"/>
        <v>0</v>
      </c>
      <c r="AH14">
        <f t="shared" si="3"/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f t="shared" si="4"/>
        <v>1</v>
      </c>
      <c r="AR14">
        <f t="shared" si="4"/>
        <v>0</v>
      </c>
      <c r="AS14">
        <f t="shared" si="5"/>
        <v>1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f t="shared" si="6"/>
        <v>2</v>
      </c>
      <c r="BC14">
        <f t="shared" si="6"/>
        <v>0</v>
      </c>
      <c r="BD14">
        <f t="shared" si="7"/>
        <v>2</v>
      </c>
      <c r="BE14">
        <v>0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f t="shared" si="8"/>
        <v>1</v>
      </c>
      <c r="BN14">
        <f t="shared" si="8"/>
        <v>2</v>
      </c>
      <c r="BO14">
        <f t="shared" si="9"/>
        <v>3</v>
      </c>
      <c r="BP14">
        <v>1</v>
      </c>
      <c r="BQ14">
        <v>2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f t="shared" si="10"/>
        <v>2</v>
      </c>
      <c r="BY14">
        <f t="shared" si="10"/>
        <v>3</v>
      </c>
      <c r="BZ14">
        <f t="shared" si="11"/>
        <v>5</v>
      </c>
      <c r="CA14">
        <v>6</v>
      </c>
      <c r="CB14">
        <v>1</v>
      </c>
      <c r="CC14">
        <v>2</v>
      </c>
      <c r="CD14">
        <v>2</v>
      </c>
      <c r="CE14">
        <v>0</v>
      </c>
      <c r="CF14">
        <v>0</v>
      </c>
      <c r="CG14">
        <v>0</v>
      </c>
      <c r="CH14">
        <v>0</v>
      </c>
      <c r="CI14">
        <f t="shared" si="12"/>
        <v>8</v>
      </c>
      <c r="CJ14">
        <f t="shared" si="12"/>
        <v>3</v>
      </c>
      <c r="CK14">
        <f t="shared" si="13"/>
        <v>11</v>
      </c>
      <c r="CL14">
        <v>10</v>
      </c>
      <c r="CM14">
        <v>8</v>
      </c>
      <c r="CN14">
        <v>2</v>
      </c>
      <c r="CO14">
        <v>7</v>
      </c>
      <c r="CP14">
        <v>0</v>
      </c>
      <c r="CQ14">
        <v>0</v>
      </c>
      <c r="CR14">
        <v>0</v>
      </c>
      <c r="CS14">
        <v>0</v>
      </c>
      <c r="CT14">
        <f t="shared" si="14"/>
        <v>12</v>
      </c>
      <c r="CU14">
        <f t="shared" si="14"/>
        <v>15</v>
      </c>
      <c r="CV14">
        <f t="shared" si="15"/>
        <v>27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f t="shared" si="16"/>
        <v>0</v>
      </c>
      <c r="DF14">
        <f t="shared" si="16"/>
        <v>0</v>
      </c>
      <c r="DG14">
        <f t="shared" si="17"/>
        <v>0</v>
      </c>
    </row>
    <row r="15" spans="1:111" x14ac:dyDescent="0.25">
      <c r="A15" t="s">
        <v>179</v>
      </c>
      <c r="B15" t="s">
        <v>185</v>
      </c>
      <c r="C15" t="s">
        <v>222</v>
      </c>
      <c r="D15">
        <v>304303</v>
      </c>
      <c r="E15" t="s">
        <v>425</v>
      </c>
      <c r="F15" t="s">
        <v>426</v>
      </c>
      <c r="G15" t="s">
        <v>189</v>
      </c>
      <c r="H15" t="s">
        <v>190</v>
      </c>
      <c r="I15" t="s">
        <v>180</v>
      </c>
      <c r="J15" t="s">
        <v>228</v>
      </c>
      <c r="K15" t="s">
        <v>413</v>
      </c>
      <c r="L15" s="13" t="s">
        <v>414</v>
      </c>
      <c r="M15">
        <v>83</v>
      </c>
      <c r="N15">
        <v>90</v>
      </c>
      <c r="O15">
        <v>83</v>
      </c>
      <c r="P15">
        <v>82</v>
      </c>
      <c r="Q15">
        <v>54</v>
      </c>
      <c r="R15">
        <v>59</v>
      </c>
      <c r="S15">
        <v>46</v>
      </c>
      <c r="T15">
        <v>67</v>
      </c>
      <c r="U15">
        <f t="shared" si="0"/>
        <v>266</v>
      </c>
      <c r="V15">
        <f t="shared" si="0"/>
        <v>298</v>
      </c>
      <c r="W15">
        <f t="shared" si="1"/>
        <v>564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f t="shared" si="2"/>
        <v>0</v>
      </c>
      <c r="AG15">
        <f t="shared" si="2"/>
        <v>0</v>
      </c>
      <c r="AH15">
        <f t="shared" si="3"/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f t="shared" si="4"/>
        <v>0</v>
      </c>
      <c r="AR15">
        <f t="shared" si="4"/>
        <v>0</v>
      </c>
      <c r="AS15">
        <f t="shared" si="5"/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f t="shared" si="6"/>
        <v>0</v>
      </c>
      <c r="BC15">
        <f t="shared" si="6"/>
        <v>0</v>
      </c>
      <c r="BD15">
        <f t="shared" si="7"/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f t="shared" si="8"/>
        <v>0</v>
      </c>
      <c r="BN15">
        <f t="shared" si="8"/>
        <v>0</v>
      </c>
      <c r="BO15">
        <f t="shared" si="9"/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f t="shared" si="10"/>
        <v>0</v>
      </c>
      <c r="BY15">
        <f t="shared" si="10"/>
        <v>0</v>
      </c>
      <c r="BZ15">
        <f t="shared" si="11"/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f t="shared" si="12"/>
        <v>0</v>
      </c>
      <c r="CJ15">
        <f t="shared" si="12"/>
        <v>0</v>
      </c>
      <c r="CK15">
        <f t="shared" si="13"/>
        <v>0</v>
      </c>
      <c r="CL15">
        <v>83</v>
      </c>
      <c r="CM15">
        <v>90</v>
      </c>
      <c r="CN15">
        <v>83</v>
      </c>
      <c r="CO15">
        <v>82</v>
      </c>
      <c r="CP15">
        <v>54</v>
      </c>
      <c r="CQ15">
        <v>59</v>
      </c>
      <c r="CR15">
        <v>46</v>
      </c>
      <c r="CS15">
        <v>67</v>
      </c>
      <c r="CT15">
        <f t="shared" si="14"/>
        <v>266</v>
      </c>
      <c r="CU15">
        <f t="shared" si="14"/>
        <v>298</v>
      </c>
      <c r="CV15">
        <f t="shared" si="15"/>
        <v>564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f t="shared" si="16"/>
        <v>0</v>
      </c>
      <c r="DF15">
        <f t="shared" si="16"/>
        <v>0</v>
      </c>
      <c r="DG15">
        <f t="shared" si="17"/>
        <v>0</v>
      </c>
    </row>
    <row r="16" spans="1:111" x14ac:dyDescent="0.25">
      <c r="A16" t="s">
        <v>179</v>
      </c>
      <c r="B16" t="s">
        <v>185</v>
      </c>
      <c r="C16" t="s">
        <v>222</v>
      </c>
      <c r="D16">
        <v>304305</v>
      </c>
      <c r="E16" t="s">
        <v>427</v>
      </c>
      <c r="F16" t="s">
        <v>428</v>
      </c>
      <c r="G16" t="s">
        <v>189</v>
      </c>
      <c r="H16" t="s">
        <v>190</v>
      </c>
      <c r="I16" t="s">
        <v>180</v>
      </c>
      <c r="J16" t="s">
        <v>239</v>
      </c>
      <c r="K16" t="s">
        <v>413</v>
      </c>
      <c r="L16" s="13" t="s">
        <v>414</v>
      </c>
      <c r="M16">
        <v>65</v>
      </c>
      <c r="N16">
        <v>59</v>
      </c>
      <c r="O16">
        <v>68</v>
      </c>
      <c r="P16">
        <v>61</v>
      </c>
      <c r="Q16">
        <v>52</v>
      </c>
      <c r="R16">
        <v>57</v>
      </c>
      <c r="S16">
        <v>37</v>
      </c>
      <c r="T16">
        <v>40</v>
      </c>
      <c r="U16">
        <f t="shared" si="0"/>
        <v>222</v>
      </c>
      <c r="V16">
        <f t="shared" si="0"/>
        <v>217</v>
      </c>
      <c r="W16">
        <f t="shared" si="1"/>
        <v>439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f t="shared" si="2"/>
        <v>0</v>
      </c>
      <c r="AG16">
        <f t="shared" si="2"/>
        <v>0</v>
      </c>
      <c r="AH16">
        <f t="shared" si="3"/>
        <v>0</v>
      </c>
      <c r="AI16">
        <v>5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2</v>
      </c>
      <c r="AP16">
        <v>0</v>
      </c>
      <c r="AQ16">
        <f t="shared" si="4"/>
        <v>7</v>
      </c>
      <c r="AR16">
        <f t="shared" si="4"/>
        <v>1</v>
      </c>
      <c r="AS16">
        <f t="shared" si="5"/>
        <v>8</v>
      </c>
      <c r="AT16">
        <v>2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f t="shared" si="6"/>
        <v>2</v>
      </c>
      <c r="BC16">
        <f t="shared" si="6"/>
        <v>1</v>
      </c>
      <c r="BD16">
        <f t="shared" si="7"/>
        <v>3</v>
      </c>
      <c r="BE16">
        <v>3</v>
      </c>
      <c r="BF16">
        <v>4</v>
      </c>
      <c r="BG16">
        <v>1</v>
      </c>
      <c r="BH16">
        <v>3</v>
      </c>
      <c r="BI16">
        <v>0</v>
      </c>
      <c r="BJ16">
        <v>1</v>
      </c>
      <c r="BK16">
        <v>3</v>
      </c>
      <c r="BL16">
        <v>0</v>
      </c>
      <c r="BM16">
        <f t="shared" si="8"/>
        <v>7</v>
      </c>
      <c r="BN16">
        <f t="shared" si="8"/>
        <v>8</v>
      </c>
      <c r="BO16">
        <f t="shared" si="9"/>
        <v>15</v>
      </c>
      <c r="BP16">
        <v>10</v>
      </c>
      <c r="BQ16">
        <v>4</v>
      </c>
      <c r="BR16">
        <v>5</v>
      </c>
      <c r="BS16">
        <v>8</v>
      </c>
      <c r="BT16">
        <v>0</v>
      </c>
      <c r="BU16">
        <v>4</v>
      </c>
      <c r="BV16">
        <v>2</v>
      </c>
      <c r="BW16">
        <v>0</v>
      </c>
      <c r="BX16">
        <f t="shared" si="10"/>
        <v>17</v>
      </c>
      <c r="BY16">
        <f t="shared" si="10"/>
        <v>16</v>
      </c>
      <c r="BZ16">
        <f t="shared" si="11"/>
        <v>33</v>
      </c>
      <c r="CA16">
        <v>16</v>
      </c>
      <c r="CB16">
        <v>13</v>
      </c>
      <c r="CC16">
        <v>24</v>
      </c>
      <c r="CD16">
        <v>17</v>
      </c>
      <c r="CE16">
        <v>14</v>
      </c>
      <c r="CF16">
        <v>12</v>
      </c>
      <c r="CG16">
        <v>6</v>
      </c>
      <c r="CH16">
        <v>12</v>
      </c>
      <c r="CI16">
        <f t="shared" si="12"/>
        <v>60</v>
      </c>
      <c r="CJ16">
        <f t="shared" si="12"/>
        <v>54</v>
      </c>
      <c r="CK16">
        <f t="shared" si="13"/>
        <v>114</v>
      </c>
      <c r="CL16">
        <v>49</v>
      </c>
      <c r="CM16">
        <v>46</v>
      </c>
      <c r="CN16">
        <v>40</v>
      </c>
      <c r="CO16">
        <v>43</v>
      </c>
      <c r="CP16">
        <v>33</v>
      </c>
      <c r="CQ16">
        <v>42</v>
      </c>
      <c r="CR16">
        <v>30</v>
      </c>
      <c r="CS16">
        <v>29</v>
      </c>
      <c r="CT16">
        <f t="shared" si="14"/>
        <v>152</v>
      </c>
      <c r="CU16">
        <f t="shared" si="14"/>
        <v>160</v>
      </c>
      <c r="CV16">
        <f t="shared" si="15"/>
        <v>312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f t="shared" si="16"/>
        <v>0</v>
      </c>
      <c r="DF16">
        <f t="shared" si="16"/>
        <v>0</v>
      </c>
      <c r="DG16">
        <f t="shared" si="17"/>
        <v>0</v>
      </c>
    </row>
    <row r="17" spans="1:111" x14ac:dyDescent="0.25">
      <c r="A17" t="s">
        <v>179</v>
      </c>
      <c r="B17" t="s">
        <v>185</v>
      </c>
      <c r="C17" t="s">
        <v>222</v>
      </c>
      <c r="D17">
        <v>304314</v>
      </c>
      <c r="E17" t="s">
        <v>429</v>
      </c>
      <c r="F17" t="s">
        <v>259</v>
      </c>
      <c r="G17" t="s">
        <v>189</v>
      </c>
      <c r="H17" t="s">
        <v>190</v>
      </c>
      <c r="I17" t="s">
        <v>180</v>
      </c>
      <c r="J17" t="s">
        <v>260</v>
      </c>
      <c r="K17" t="s">
        <v>413</v>
      </c>
      <c r="L17" s="13" t="s">
        <v>414</v>
      </c>
      <c r="M17">
        <v>49</v>
      </c>
      <c r="N17">
        <v>25</v>
      </c>
      <c r="O17">
        <v>39</v>
      </c>
      <c r="P17">
        <v>45</v>
      </c>
      <c r="Q17">
        <v>31</v>
      </c>
      <c r="R17">
        <v>30</v>
      </c>
      <c r="S17">
        <v>15</v>
      </c>
      <c r="T17">
        <v>22</v>
      </c>
      <c r="U17">
        <f t="shared" si="0"/>
        <v>134</v>
      </c>
      <c r="V17">
        <f t="shared" si="0"/>
        <v>122</v>
      </c>
      <c r="W17">
        <f t="shared" si="1"/>
        <v>256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f t="shared" si="2"/>
        <v>0</v>
      </c>
      <c r="AG17">
        <f t="shared" si="2"/>
        <v>0</v>
      </c>
      <c r="AH17">
        <f t="shared" si="3"/>
        <v>0</v>
      </c>
      <c r="AI17">
        <v>0</v>
      </c>
      <c r="AJ17">
        <v>2</v>
      </c>
      <c r="AK17">
        <v>0</v>
      </c>
      <c r="AL17">
        <v>2</v>
      </c>
      <c r="AM17">
        <v>0</v>
      </c>
      <c r="AN17">
        <v>0</v>
      </c>
      <c r="AO17">
        <v>1</v>
      </c>
      <c r="AP17">
        <v>1</v>
      </c>
      <c r="AQ17">
        <f t="shared" si="4"/>
        <v>1</v>
      </c>
      <c r="AR17">
        <f t="shared" si="4"/>
        <v>5</v>
      </c>
      <c r="AS17">
        <f t="shared" si="5"/>
        <v>6</v>
      </c>
      <c r="AT17">
        <v>1</v>
      </c>
      <c r="AU17">
        <v>3</v>
      </c>
      <c r="AV17">
        <v>0</v>
      </c>
      <c r="AW17">
        <v>0</v>
      </c>
      <c r="AX17">
        <v>2</v>
      </c>
      <c r="AY17">
        <v>0</v>
      </c>
      <c r="AZ17">
        <v>0</v>
      </c>
      <c r="BA17">
        <v>0</v>
      </c>
      <c r="BB17">
        <f t="shared" si="6"/>
        <v>3</v>
      </c>
      <c r="BC17">
        <f t="shared" si="6"/>
        <v>3</v>
      </c>
      <c r="BD17">
        <f t="shared" si="7"/>
        <v>6</v>
      </c>
      <c r="BE17">
        <v>6</v>
      </c>
      <c r="BF17">
        <v>2</v>
      </c>
      <c r="BG17">
        <v>4</v>
      </c>
      <c r="BH17">
        <v>1</v>
      </c>
      <c r="BI17">
        <v>1</v>
      </c>
      <c r="BJ17">
        <v>1</v>
      </c>
      <c r="BK17">
        <v>1</v>
      </c>
      <c r="BL17">
        <v>1</v>
      </c>
      <c r="BM17">
        <f t="shared" si="8"/>
        <v>12</v>
      </c>
      <c r="BN17">
        <f t="shared" si="8"/>
        <v>5</v>
      </c>
      <c r="BO17">
        <f t="shared" si="9"/>
        <v>17</v>
      </c>
      <c r="BP17">
        <v>2</v>
      </c>
      <c r="BQ17">
        <v>1</v>
      </c>
      <c r="BR17">
        <v>2</v>
      </c>
      <c r="BS17">
        <v>0</v>
      </c>
      <c r="BT17">
        <v>2</v>
      </c>
      <c r="BU17">
        <v>1</v>
      </c>
      <c r="BV17">
        <v>3</v>
      </c>
      <c r="BW17">
        <v>0</v>
      </c>
      <c r="BX17">
        <f t="shared" si="10"/>
        <v>9</v>
      </c>
      <c r="BY17">
        <f t="shared" si="10"/>
        <v>2</v>
      </c>
      <c r="BZ17">
        <f t="shared" si="11"/>
        <v>11</v>
      </c>
      <c r="CA17">
        <v>14</v>
      </c>
      <c r="CB17">
        <v>6</v>
      </c>
      <c r="CC17">
        <v>10</v>
      </c>
      <c r="CD17">
        <v>13</v>
      </c>
      <c r="CE17">
        <v>9</v>
      </c>
      <c r="CF17">
        <v>1</v>
      </c>
      <c r="CG17">
        <v>3</v>
      </c>
      <c r="CH17">
        <v>4</v>
      </c>
      <c r="CI17">
        <f t="shared" si="12"/>
        <v>36</v>
      </c>
      <c r="CJ17">
        <f t="shared" si="12"/>
        <v>24</v>
      </c>
      <c r="CK17">
        <f t="shared" si="13"/>
        <v>60</v>
      </c>
      <c r="CL17">
        <v>39</v>
      </c>
      <c r="CM17">
        <v>25</v>
      </c>
      <c r="CN17">
        <v>31</v>
      </c>
      <c r="CO17">
        <v>35</v>
      </c>
      <c r="CP17">
        <v>23</v>
      </c>
      <c r="CQ17">
        <v>29</v>
      </c>
      <c r="CR17">
        <v>11</v>
      </c>
      <c r="CS17">
        <v>20</v>
      </c>
      <c r="CT17">
        <f t="shared" si="14"/>
        <v>104</v>
      </c>
      <c r="CU17">
        <f t="shared" si="14"/>
        <v>109</v>
      </c>
      <c r="CV17">
        <f t="shared" si="15"/>
        <v>213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f t="shared" si="16"/>
        <v>1</v>
      </c>
      <c r="DF17">
        <f t="shared" si="16"/>
        <v>0</v>
      </c>
      <c r="DG17">
        <f t="shared" si="17"/>
        <v>1</v>
      </c>
    </row>
    <row r="18" spans="1:111" x14ac:dyDescent="0.25">
      <c r="A18" t="s">
        <v>179</v>
      </c>
      <c r="B18" t="s">
        <v>185</v>
      </c>
      <c r="C18" t="s">
        <v>222</v>
      </c>
      <c r="D18">
        <v>304327</v>
      </c>
      <c r="E18" t="s">
        <v>430</v>
      </c>
      <c r="F18" t="s">
        <v>431</v>
      </c>
      <c r="G18" t="s">
        <v>189</v>
      </c>
      <c r="H18" t="s">
        <v>190</v>
      </c>
      <c r="I18" t="s">
        <v>180</v>
      </c>
      <c r="J18" t="s">
        <v>257</v>
      </c>
      <c r="K18" t="s">
        <v>413</v>
      </c>
      <c r="L18" s="13" t="s">
        <v>414</v>
      </c>
      <c r="M18">
        <v>97</v>
      </c>
      <c r="N18">
        <v>99</v>
      </c>
      <c r="O18">
        <v>121</v>
      </c>
      <c r="P18">
        <v>191</v>
      </c>
      <c r="Q18">
        <v>54</v>
      </c>
      <c r="R18">
        <v>97</v>
      </c>
      <c r="S18">
        <v>80</v>
      </c>
      <c r="T18">
        <v>120</v>
      </c>
      <c r="U18">
        <f t="shared" si="0"/>
        <v>352</v>
      </c>
      <c r="V18">
        <f t="shared" si="0"/>
        <v>507</v>
      </c>
      <c r="W18">
        <f t="shared" si="1"/>
        <v>859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 t="shared" si="2"/>
        <v>1</v>
      </c>
      <c r="AG18">
        <f t="shared" si="2"/>
        <v>0</v>
      </c>
      <c r="AH18">
        <f t="shared" si="3"/>
        <v>1</v>
      </c>
      <c r="AI18">
        <v>2</v>
      </c>
      <c r="AJ18">
        <v>5</v>
      </c>
      <c r="AK18">
        <v>6</v>
      </c>
      <c r="AL18">
        <v>2</v>
      </c>
      <c r="AM18">
        <v>2</v>
      </c>
      <c r="AN18">
        <v>3</v>
      </c>
      <c r="AO18">
        <v>3</v>
      </c>
      <c r="AP18">
        <v>2</v>
      </c>
      <c r="AQ18">
        <f t="shared" si="4"/>
        <v>13</v>
      </c>
      <c r="AR18">
        <f t="shared" si="4"/>
        <v>12</v>
      </c>
      <c r="AS18">
        <f t="shared" si="5"/>
        <v>25</v>
      </c>
      <c r="AT18">
        <v>6</v>
      </c>
      <c r="AU18">
        <v>2</v>
      </c>
      <c r="AV18">
        <v>9</v>
      </c>
      <c r="AW18">
        <v>2</v>
      </c>
      <c r="AX18">
        <v>5</v>
      </c>
      <c r="AY18">
        <v>0</v>
      </c>
      <c r="AZ18">
        <v>2</v>
      </c>
      <c r="BA18">
        <v>0</v>
      </c>
      <c r="BB18">
        <f t="shared" si="6"/>
        <v>22</v>
      </c>
      <c r="BC18">
        <f t="shared" si="6"/>
        <v>4</v>
      </c>
      <c r="BD18">
        <f t="shared" si="7"/>
        <v>26</v>
      </c>
      <c r="BE18">
        <v>10</v>
      </c>
      <c r="BF18">
        <v>5</v>
      </c>
      <c r="BG18">
        <v>5</v>
      </c>
      <c r="BH18">
        <v>7</v>
      </c>
      <c r="BI18">
        <v>8</v>
      </c>
      <c r="BJ18">
        <v>7</v>
      </c>
      <c r="BK18">
        <v>4</v>
      </c>
      <c r="BL18">
        <v>5</v>
      </c>
      <c r="BM18">
        <f t="shared" si="8"/>
        <v>27</v>
      </c>
      <c r="BN18">
        <f t="shared" si="8"/>
        <v>24</v>
      </c>
      <c r="BO18">
        <f t="shared" si="9"/>
        <v>51</v>
      </c>
      <c r="BP18">
        <v>7</v>
      </c>
      <c r="BQ18">
        <v>6</v>
      </c>
      <c r="BR18">
        <v>3</v>
      </c>
      <c r="BS18">
        <v>4</v>
      </c>
      <c r="BT18">
        <v>6</v>
      </c>
      <c r="BU18">
        <v>3</v>
      </c>
      <c r="BV18">
        <v>4</v>
      </c>
      <c r="BW18">
        <v>3</v>
      </c>
      <c r="BX18">
        <f t="shared" si="10"/>
        <v>20</v>
      </c>
      <c r="BY18">
        <f t="shared" si="10"/>
        <v>16</v>
      </c>
      <c r="BZ18">
        <f t="shared" si="11"/>
        <v>36</v>
      </c>
      <c r="CA18">
        <v>25</v>
      </c>
      <c r="CB18">
        <v>17</v>
      </c>
      <c r="CC18">
        <v>26</v>
      </c>
      <c r="CD18">
        <v>37</v>
      </c>
      <c r="CE18">
        <v>10</v>
      </c>
      <c r="CF18">
        <v>28</v>
      </c>
      <c r="CG18">
        <v>13</v>
      </c>
      <c r="CH18">
        <v>14</v>
      </c>
      <c r="CI18">
        <f t="shared" si="12"/>
        <v>74</v>
      </c>
      <c r="CJ18">
        <f t="shared" si="12"/>
        <v>96</v>
      </c>
      <c r="CK18">
        <f t="shared" si="13"/>
        <v>170</v>
      </c>
      <c r="CL18">
        <v>81</v>
      </c>
      <c r="CM18">
        <v>88</v>
      </c>
      <c r="CN18">
        <v>111</v>
      </c>
      <c r="CO18">
        <v>159</v>
      </c>
      <c r="CP18">
        <v>53</v>
      </c>
      <c r="CQ18">
        <v>75</v>
      </c>
      <c r="CR18">
        <v>70</v>
      </c>
      <c r="CS18">
        <v>104</v>
      </c>
      <c r="CT18">
        <f t="shared" si="14"/>
        <v>315</v>
      </c>
      <c r="CU18">
        <f t="shared" si="14"/>
        <v>426</v>
      </c>
      <c r="CV18">
        <f t="shared" si="15"/>
        <v>741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1</v>
      </c>
      <c r="DC18">
        <v>1</v>
      </c>
      <c r="DD18">
        <v>1</v>
      </c>
      <c r="DE18">
        <f t="shared" si="16"/>
        <v>1</v>
      </c>
      <c r="DF18">
        <f t="shared" si="16"/>
        <v>3</v>
      </c>
      <c r="DG18">
        <f t="shared" si="17"/>
        <v>4</v>
      </c>
    </row>
    <row r="19" spans="1:111" x14ac:dyDescent="0.25">
      <c r="A19" t="s">
        <v>179</v>
      </c>
      <c r="B19" t="s">
        <v>185</v>
      </c>
      <c r="C19" t="s">
        <v>222</v>
      </c>
      <c r="D19">
        <v>304328</v>
      </c>
      <c r="E19" t="s">
        <v>432</v>
      </c>
      <c r="F19" t="s">
        <v>433</v>
      </c>
      <c r="G19" t="s">
        <v>189</v>
      </c>
      <c r="H19" t="s">
        <v>190</v>
      </c>
      <c r="I19" t="s">
        <v>180</v>
      </c>
      <c r="J19" t="s">
        <v>234</v>
      </c>
      <c r="K19" t="s">
        <v>413</v>
      </c>
      <c r="L19" s="13" t="s">
        <v>414</v>
      </c>
      <c r="M19">
        <v>37</v>
      </c>
      <c r="N19">
        <v>61</v>
      </c>
      <c r="O19">
        <v>31</v>
      </c>
      <c r="P19">
        <v>60</v>
      </c>
      <c r="Q19">
        <v>46</v>
      </c>
      <c r="R19">
        <v>57</v>
      </c>
      <c r="S19">
        <v>33</v>
      </c>
      <c r="T19">
        <v>55</v>
      </c>
      <c r="U19">
        <f t="shared" si="0"/>
        <v>147</v>
      </c>
      <c r="V19">
        <f t="shared" si="0"/>
        <v>233</v>
      </c>
      <c r="W19">
        <f t="shared" si="1"/>
        <v>380</v>
      </c>
      <c r="X19">
        <v>9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 t="shared" si="2"/>
        <v>9</v>
      </c>
      <c r="AG19">
        <f t="shared" si="2"/>
        <v>0</v>
      </c>
      <c r="AH19">
        <f t="shared" si="3"/>
        <v>9</v>
      </c>
      <c r="AI19">
        <v>3</v>
      </c>
      <c r="AJ19">
        <v>5</v>
      </c>
      <c r="AK19">
        <v>2</v>
      </c>
      <c r="AL19">
        <v>2</v>
      </c>
      <c r="AM19">
        <v>4</v>
      </c>
      <c r="AN19">
        <v>6</v>
      </c>
      <c r="AO19">
        <v>0</v>
      </c>
      <c r="AP19">
        <v>2</v>
      </c>
      <c r="AQ19">
        <f t="shared" si="4"/>
        <v>9</v>
      </c>
      <c r="AR19">
        <f t="shared" si="4"/>
        <v>15</v>
      </c>
      <c r="AS19">
        <f t="shared" si="5"/>
        <v>24</v>
      </c>
      <c r="AT19">
        <v>0</v>
      </c>
      <c r="AU19">
        <v>0</v>
      </c>
      <c r="AV19">
        <v>1</v>
      </c>
      <c r="AW19">
        <v>0</v>
      </c>
      <c r="AX19">
        <v>2</v>
      </c>
      <c r="AY19">
        <v>0</v>
      </c>
      <c r="AZ19">
        <v>1</v>
      </c>
      <c r="BA19">
        <v>0</v>
      </c>
      <c r="BB19">
        <f t="shared" si="6"/>
        <v>4</v>
      </c>
      <c r="BC19">
        <f t="shared" si="6"/>
        <v>0</v>
      </c>
      <c r="BD19">
        <f t="shared" si="7"/>
        <v>4</v>
      </c>
      <c r="BE19">
        <v>1</v>
      </c>
      <c r="BF19">
        <v>1</v>
      </c>
      <c r="BG19">
        <v>3</v>
      </c>
      <c r="BH19">
        <v>3</v>
      </c>
      <c r="BI19">
        <v>3</v>
      </c>
      <c r="BJ19">
        <v>4</v>
      </c>
      <c r="BK19">
        <v>4</v>
      </c>
      <c r="BL19">
        <v>0</v>
      </c>
      <c r="BM19">
        <f t="shared" si="8"/>
        <v>11</v>
      </c>
      <c r="BN19">
        <f t="shared" si="8"/>
        <v>8</v>
      </c>
      <c r="BO19">
        <f t="shared" si="9"/>
        <v>19</v>
      </c>
      <c r="BP19">
        <v>0</v>
      </c>
      <c r="BQ19">
        <v>1</v>
      </c>
      <c r="BR19">
        <v>0</v>
      </c>
      <c r="BS19">
        <v>0</v>
      </c>
      <c r="BT19">
        <v>1</v>
      </c>
      <c r="BU19">
        <v>0</v>
      </c>
      <c r="BV19">
        <v>1</v>
      </c>
      <c r="BW19">
        <v>1</v>
      </c>
      <c r="BX19">
        <f t="shared" si="10"/>
        <v>2</v>
      </c>
      <c r="BY19">
        <f t="shared" si="10"/>
        <v>2</v>
      </c>
      <c r="BZ19">
        <f t="shared" si="11"/>
        <v>4</v>
      </c>
      <c r="CA19">
        <v>5</v>
      </c>
      <c r="CB19">
        <v>7</v>
      </c>
      <c r="CC19">
        <v>3</v>
      </c>
      <c r="CD19">
        <v>7</v>
      </c>
      <c r="CE19">
        <v>6</v>
      </c>
      <c r="CF19">
        <v>8</v>
      </c>
      <c r="CG19">
        <v>2</v>
      </c>
      <c r="CH19">
        <v>12</v>
      </c>
      <c r="CI19">
        <f t="shared" si="12"/>
        <v>16</v>
      </c>
      <c r="CJ19">
        <f t="shared" si="12"/>
        <v>34</v>
      </c>
      <c r="CK19">
        <f t="shared" si="13"/>
        <v>50</v>
      </c>
      <c r="CL19">
        <v>36</v>
      </c>
      <c r="CM19">
        <v>59</v>
      </c>
      <c r="CN19">
        <v>33</v>
      </c>
      <c r="CO19">
        <v>58</v>
      </c>
      <c r="CP19">
        <v>48</v>
      </c>
      <c r="CQ19">
        <v>59</v>
      </c>
      <c r="CR19">
        <v>35</v>
      </c>
      <c r="CS19">
        <v>44</v>
      </c>
      <c r="CT19">
        <f t="shared" si="14"/>
        <v>152</v>
      </c>
      <c r="CU19">
        <f t="shared" si="14"/>
        <v>220</v>
      </c>
      <c r="CV19">
        <f t="shared" si="15"/>
        <v>372</v>
      </c>
      <c r="CW19">
        <v>1</v>
      </c>
      <c r="CX19">
        <v>0</v>
      </c>
      <c r="CY19">
        <v>3</v>
      </c>
      <c r="CZ19">
        <v>0</v>
      </c>
      <c r="DA19">
        <v>0</v>
      </c>
      <c r="DB19">
        <v>0</v>
      </c>
      <c r="DC19">
        <v>0</v>
      </c>
      <c r="DD19">
        <v>0</v>
      </c>
      <c r="DE19">
        <f t="shared" si="16"/>
        <v>4</v>
      </c>
      <c r="DF19">
        <f t="shared" si="16"/>
        <v>0</v>
      </c>
      <c r="DG19">
        <f t="shared" si="17"/>
        <v>4</v>
      </c>
    </row>
    <row r="20" spans="1:111" x14ac:dyDescent="0.25">
      <c r="A20" t="s">
        <v>179</v>
      </c>
      <c r="B20" t="s">
        <v>185</v>
      </c>
      <c r="C20" t="s">
        <v>222</v>
      </c>
      <c r="D20">
        <v>304338</v>
      </c>
      <c r="E20" t="s">
        <v>434</v>
      </c>
      <c r="F20" t="s">
        <v>435</v>
      </c>
      <c r="G20" t="s">
        <v>189</v>
      </c>
      <c r="H20" t="s">
        <v>190</v>
      </c>
      <c r="I20" t="s">
        <v>180</v>
      </c>
      <c r="J20" t="s">
        <v>274</v>
      </c>
      <c r="K20" t="s">
        <v>413</v>
      </c>
      <c r="L20" s="13" t="s">
        <v>414</v>
      </c>
      <c r="M20">
        <v>19</v>
      </c>
      <c r="N20">
        <v>18</v>
      </c>
      <c r="O20">
        <v>31</v>
      </c>
      <c r="P20">
        <v>21</v>
      </c>
      <c r="Q20">
        <v>21</v>
      </c>
      <c r="R20">
        <v>26</v>
      </c>
      <c r="S20">
        <v>21</v>
      </c>
      <c r="T20">
        <v>24</v>
      </c>
      <c r="U20">
        <f t="shared" si="0"/>
        <v>92</v>
      </c>
      <c r="V20">
        <f t="shared" si="0"/>
        <v>89</v>
      </c>
      <c r="W20">
        <f t="shared" si="1"/>
        <v>181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f t="shared" si="2"/>
        <v>1</v>
      </c>
      <c r="AG20">
        <f t="shared" si="2"/>
        <v>0</v>
      </c>
      <c r="AH20">
        <f t="shared" si="3"/>
        <v>1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f t="shared" si="4"/>
        <v>2</v>
      </c>
      <c r="AR20">
        <f t="shared" si="4"/>
        <v>3</v>
      </c>
      <c r="AS20">
        <f t="shared" si="5"/>
        <v>5</v>
      </c>
      <c r="AT20">
        <v>2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f t="shared" si="6"/>
        <v>3</v>
      </c>
      <c r="BC20">
        <f t="shared" si="6"/>
        <v>0</v>
      </c>
      <c r="BD20">
        <f t="shared" si="7"/>
        <v>3</v>
      </c>
      <c r="BE20">
        <v>3</v>
      </c>
      <c r="BF20">
        <v>1</v>
      </c>
      <c r="BG20">
        <v>3</v>
      </c>
      <c r="BH20">
        <v>2</v>
      </c>
      <c r="BI20">
        <v>0</v>
      </c>
      <c r="BJ20">
        <v>0</v>
      </c>
      <c r="BK20">
        <v>1</v>
      </c>
      <c r="BL20">
        <v>0</v>
      </c>
      <c r="BM20">
        <f t="shared" si="8"/>
        <v>7</v>
      </c>
      <c r="BN20">
        <f t="shared" si="8"/>
        <v>3</v>
      </c>
      <c r="BO20">
        <f t="shared" si="9"/>
        <v>10</v>
      </c>
      <c r="BP20">
        <v>3</v>
      </c>
      <c r="BQ20">
        <v>1</v>
      </c>
      <c r="BR20">
        <v>10</v>
      </c>
      <c r="BS20">
        <v>13</v>
      </c>
      <c r="BT20">
        <v>0</v>
      </c>
      <c r="BU20">
        <v>4</v>
      </c>
      <c r="BV20">
        <v>0</v>
      </c>
      <c r="BW20">
        <v>2</v>
      </c>
      <c r="BX20">
        <f t="shared" si="10"/>
        <v>13</v>
      </c>
      <c r="BY20">
        <f t="shared" si="10"/>
        <v>20</v>
      </c>
      <c r="BZ20">
        <f t="shared" si="11"/>
        <v>33</v>
      </c>
      <c r="CA20">
        <v>6</v>
      </c>
      <c r="CB20">
        <v>4</v>
      </c>
      <c r="CC20">
        <v>13</v>
      </c>
      <c r="CD20">
        <v>3</v>
      </c>
      <c r="CE20">
        <v>4</v>
      </c>
      <c r="CF20">
        <v>6</v>
      </c>
      <c r="CG20">
        <v>4</v>
      </c>
      <c r="CH20">
        <v>9</v>
      </c>
      <c r="CI20">
        <f t="shared" si="12"/>
        <v>27</v>
      </c>
      <c r="CJ20">
        <f t="shared" si="12"/>
        <v>22</v>
      </c>
      <c r="CK20">
        <f t="shared" si="13"/>
        <v>49</v>
      </c>
      <c r="CL20">
        <v>15</v>
      </c>
      <c r="CM20">
        <v>15</v>
      </c>
      <c r="CN20">
        <v>13</v>
      </c>
      <c r="CO20">
        <v>8</v>
      </c>
      <c r="CP20">
        <v>17</v>
      </c>
      <c r="CQ20">
        <v>16</v>
      </c>
      <c r="CR20">
        <v>15</v>
      </c>
      <c r="CS20">
        <v>13</v>
      </c>
      <c r="CT20">
        <f t="shared" si="14"/>
        <v>60</v>
      </c>
      <c r="CU20">
        <f t="shared" si="14"/>
        <v>52</v>
      </c>
      <c r="CV20">
        <f t="shared" si="15"/>
        <v>112</v>
      </c>
      <c r="CW20">
        <v>0</v>
      </c>
      <c r="CX20">
        <v>0</v>
      </c>
      <c r="CY20">
        <v>0</v>
      </c>
      <c r="CZ20">
        <v>0</v>
      </c>
      <c r="DA20">
        <v>2</v>
      </c>
      <c r="DB20">
        <v>0</v>
      </c>
      <c r="DC20">
        <v>0</v>
      </c>
      <c r="DD20">
        <v>0</v>
      </c>
      <c r="DE20">
        <f t="shared" si="16"/>
        <v>2</v>
      </c>
      <c r="DF20">
        <f t="shared" si="16"/>
        <v>0</v>
      </c>
      <c r="DG20">
        <f t="shared" si="17"/>
        <v>2</v>
      </c>
    </row>
    <row r="21" spans="1:111" x14ac:dyDescent="0.25">
      <c r="A21" t="s">
        <v>179</v>
      </c>
      <c r="B21" t="s">
        <v>185</v>
      </c>
      <c r="C21" t="s">
        <v>222</v>
      </c>
      <c r="D21">
        <v>316104</v>
      </c>
      <c r="E21" t="s">
        <v>436</v>
      </c>
      <c r="F21" t="s">
        <v>325</v>
      </c>
      <c r="G21" t="s">
        <v>189</v>
      </c>
      <c r="H21" t="s">
        <v>190</v>
      </c>
      <c r="I21" t="s">
        <v>180</v>
      </c>
      <c r="J21" t="s">
        <v>245</v>
      </c>
      <c r="K21" t="s">
        <v>413</v>
      </c>
      <c r="L21" s="13" t="s">
        <v>414</v>
      </c>
      <c r="M21">
        <v>67</v>
      </c>
      <c r="N21">
        <v>64</v>
      </c>
      <c r="O21">
        <v>43</v>
      </c>
      <c r="P21">
        <v>49</v>
      </c>
      <c r="Q21">
        <v>24</v>
      </c>
      <c r="R21">
        <v>33</v>
      </c>
      <c r="S21">
        <v>30</v>
      </c>
      <c r="T21">
        <v>44</v>
      </c>
      <c r="U21">
        <f t="shared" si="0"/>
        <v>164</v>
      </c>
      <c r="V21">
        <f t="shared" si="0"/>
        <v>190</v>
      </c>
      <c r="W21">
        <f t="shared" si="1"/>
        <v>354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 t="shared" si="2"/>
        <v>0</v>
      </c>
      <c r="AG21">
        <f t="shared" si="2"/>
        <v>0</v>
      </c>
      <c r="AH21">
        <f t="shared" si="3"/>
        <v>0</v>
      </c>
      <c r="AI21">
        <v>0</v>
      </c>
      <c r="AJ21">
        <v>1</v>
      </c>
      <c r="AK21">
        <v>3</v>
      </c>
      <c r="AL21">
        <v>4</v>
      </c>
      <c r="AM21">
        <v>2</v>
      </c>
      <c r="AN21">
        <v>1</v>
      </c>
      <c r="AO21">
        <v>0</v>
      </c>
      <c r="AP21">
        <v>0</v>
      </c>
      <c r="AQ21">
        <f t="shared" si="4"/>
        <v>5</v>
      </c>
      <c r="AR21">
        <f t="shared" si="4"/>
        <v>6</v>
      </c>
      <c r="AS21">
        <f t="shared" si="5"/>
        <v>11</v>
      </c>
      <c r="AT21">
        <v>3</v>
      </c>
      <c r="AU21">
        <v>0</v>
      </c>
      <c r="AV21">
        <v>3</v>
      </c>
      <c r="AW21">
        <v>1</v>
      </c>
      <c r="AX21">
        <v>0</v>
      </c>
      <c r="AY21">
        <v>0</v>
      </c>
      <c r="AZ21">
        <v>0</v>
      </c>
      <c r="BA21">
        <v>0</v>
      </c>
      <c r="BB21">
        <f t="shared" si="6"/>
        <v>6</v>
      </c>
      <c r="BC21">
        <f t="shared" si="6"/>
        <v>1</v>
      </c>
      <c r="BD21">
        <f t="shared" si="7"/>
        <v>7</v>
      </c>
      <c r="BE21">
        <v>9</v>
      </c>
      <c r="BF21">
        <v>4</v>
      </c>
      <c r="BG21">
        <v>9</v>
      </c>
      <c r="BH21">
        <v>4</v>
      </c>
      <c r="BI21">
        <v>1</v>
      </c>
      <c r="BJ21">
        <v>2</v>
      </c>
      <c r="BK21">
        <v>1</v>
      </c>
      <c r="BL21">
        <v>0</v>
      </c>
      <c r="BM21">
        <f t="shared" si="8"/>
        <v>20</v>
      </c>
      <c r="BN21">
        <f t="shared" si="8"/>
        <v>10</v>
      </c>
      <c r="BO21">
        <f t="shared" si="9"/>
        <v>30</v>
      </c>
      <c r="BP21">
        <v>13</v>
      </c>
      <c r="BQ21">
        <v>3</v>
      </c>
      <c r="BR21">
        <v>6</v>
      </c>
      <c r="BS21">
        <v>4</v>
      </c>
      <c r="BT21">
        <v>0</v>
      </c>
      <c r="BU21">
        <v>5</v>
      </c>
      <c r="BV21">
        <v>1</v>
      </c>
      <c r="BW21">
        <v>0</v>
      </c>
      <c r="BX21">
        <f t="shared" si="10"/>
        <v>20</v>
      </c>
      <c r="BY21">
        <f t="shared" si="10"/>
        <v>12</v>
      </c>
      <c r="BZ21">
        <f t="shared" si="11"/>
        <v>32</v>
      </c>
      <c r="CA21">
        <v>30</v>
      </c>
      <c r="CB21">
        <v>12</v>
      </c>
      <c r="CC21">
        <v>13</v>
      </c>
      <c r="CD21">
        <v>14</v>
      </c>
      <c r="CE21">
        <v>6</v>
      </c>
      <c r="CF21">
        <v>8</v>
      </c>
      <c r="CG21">
        <v>5</v>
      </c>
      <c r="CH21">
        <v>10</v>
      </c>
      <c r="CI21">
        <f t="shared" si="12"/>
        <v>54</v>
      </c>
      <c r="CJ21">
        <f t="shared" si="12"/>
        <v>44</v>
      </c>
      <c r="CK21">
        <f t="shared" si="13"/>
        <v>98</v>
      </c>
      <c r="CL21">
        <v>36</v>
      </c>
      <c r="CM21">
        <v>53</v>
      </c>
      <c r="CN21">
        <v>39</v>
      </c>
      <c r="CO21">
        <v>40</v>
      </c>
      <c r="CP21">
        <v>21</v>
      </c>
      <c r="CQ21">
        <v>25</v>
      </c>
      <c r="CR21">
        <v>21</v>
      </c>
      <c r="CS21">
        <v>34</v>
      </c>
      <c r="CT21">
        <f t="shared" si="14"/>
        <v>117</v>
      </c>
      <c r="CU21">
        <f t="shared" si="14"/>
        <v>152</v>
      </c>
      <c r="CV21">
        <f t="shared" si="15"/>
        <v>269</v>
      </c>
      <c r="CW21">
        <v>9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f t="shared" si="16"/>
        <v>9</v>
      </c>
      <c r="DF21">
        <f t="shared" si="16"/>
        <v>1</v>
      </c>
      <c r="DG21">
        <f t="shared" si="17"/>
        <v>10</v>
      </c>
    </row>
    <row r="22" spans="1:111" x14ac:dyDescent="0.25">
      <c r="A22" t="s">
        <v>179</v>
      </c>
      <c r="B22" t="s">
        <v>185</v>
      </c>
      <c r="C22" t="s">
        <v>222</v>
      </c>
      <c r="D22">
        <v>325101</v>
      </c>
      <c r="E22" t="s">
        <v>437</v>
      </c>
      <c r="F22" t="s">
        <v>438</v>
      </c>
      <c r="G22" t="s">
        <v>189</v>
      </c>
      <c r="H22" t="s">
        <v>190</v>
      </c>
      <c r="I22" t="s">
        <v>180</v>
      </c>
      <c r="J22" t="s">
        <v>234</v>
      </c>
      <c r="K22" t="s">
        <v>415</v>
      </c>
      <c r="L22" s="13" t="s">
        <v>416</v>
      </c>
      <c r="M22">
        <v>22</v>
      </c>
      <c r="N22">
        <v>34</v>
      </c>
      <c r="O22">
        <v>61</v>
      </c>
      <c r="P22">
        <v>54</v>
      </c>
      <c r="Q22">
        <v>27</v>
      </c>
      <c r="R22">
        <v>49</v>
      </c>
      <c r="S22">
        <v>28</v>
      </c>
      <c r="T22">
        <v>35</v>
      </c>
      <c r="U22">
        <f t="shared" si="0"/>
        <v>138</v>
      </c>
      <c r="V22">
        <f t="shared" si="0"/>
        <v>172</v>
      </c>
      <c r="W22">
        <f t="shared" si="1"/>
        <v>310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2"/>
        <v>0</v>
      </c>
      <c r="AG22">
        <f t="shared" si="2"/>
        <v>0</v>
      </c>
      <c r="AH22">
        <f t="shared" si="3"/>
        <v>0</v>
      </c>
      <c r="AI22">
        <v>0</v>
      </c>
      <c r="AJ22">
        <v>0</v>
      </c>
      <c r="AK22">
        <v>0</v>
      </c>
      <c r="AL22">
        <v>0</v>
      </c>
      <c r="AM22">
        <v>2</v>
      </c>
      <c r="AN22">
        <v>0</v>
      </c>
      <c r="AO22">
        <v>1</v>
      </c>
      <c r="AP22">
        <v>0</v>
      </c>
      <c r="AQ22">
        <f t="shared" si="4"/>
        <v>3</v>
      </c>
      <c r="AR22">
        <f t="shared" si="4"/>
        <v>0</v>
      </c>
      <c r="AS22">
        <f t="shared" si="5"/>
        <v>3</v>
      </c>
      <c r="AT22">
        <v>1</v>
      </c>
      <c r="AU22">
        <v>2</v>
      </c>
      <c r="AV22">
        <v>6</v>
      </c>
      <c r="AW22">
        <v>0</v>
      </c>
      <c r="AX22">
        <v>0</v>
      </c>
      <c r="AY22">
        <v>1</v>
      </c>
      <c r="AZ22">
        <v>0</v>
      </c>
      <c r="BA22">
        <v>0</v>
      </c>
      <c r="BB22">
        <f t="shared" si="6"/>
        <v>7</v>
      </c>
      <c r="BC22">
        <f t="shared" si="6"/>
        <v>3</v>
      </c>
      <c r="BD22">
        <f t="shared" si="7"/>
        <v>10</v>
      </c>
      <c r="BE22">
        <v>4</v>
      </c>
      <c r="BF22">
        <v>0</v>
      </c>
      <c r="BG22">
        <v>4</v>
      </c>
      <c r="BH22">
        <v>3</v>
      </c>
      <c r="BI22">
        <v>0</v>
      </c>
      <c r="BJ22">
        <v>3</v>
      </c>
      <c r="BK22">
        <v>3</v>
      </c>
      <c r="BL22">
        <v>1</v>
      </c>
      <c r="BM22">
        <f t="shared" si="8"/>
        <v>11</v>
      </c>
      <c r="BN22">
        <f t="shared" si="8"/>
        <v>7</v>
      </c>
      <c r="BO22">
        <f t="shared" si="9"/>
        <v>18</v>
      </c>
      <c r="BP22">
        <v>1</v>
      </c>
      <c r="BQ22">
        <v>2</v>
      </c>
      <c r="BR22">
        <v>2</v>
      </c>
      <c r="BS22">
        <v>1</v>
      </c>
      <c r="BT22">
        <v>0</v>
      </c>
      <c r="BU22">
        <v>2</v>
      </c>
      <c r="BV22">
        <v>2</v>
      </c>
      <c r="BW22">
        <v>2</v>
      </c>
      <c r="BX22">
        <f t="shared" si="10"/>
        <v>5</v>
      </c>
      <c r="BY22">
        <f t="shared" si="10"/>
        <v>7</v>
      </c>
      <c r="BZ22">
        <f t="shared" si="11"/>
        <v>12</v>
      </c>
      <c r="CA22">
        <v>11</v>
      </c>
      <c r="CB22">
        <v>10</v>
      </c>
      <c r="CC22">
        <v>16</v>
      </c>
      <c r="CD22">
        <v>11</v>
      </c>
      <c r="CE22">
        <v>7</v>
      </c>
      <c r="CF22">
        <v>13</v>
      </c>
      <c r="CG22">
        <v>2</v>
      </c>
      <c r="CH22">
        <v>4</v>
      </c>
      <c r="CI22">
        <f t="shared" si="12"/>
        <v>36</v>
      </c>
      <c r="CJ22">
        <f t="shared" si="12"/>
        <v>38</v>
      </c>
      <c r="CK22">
        <f t="shared" si="13"/>
        <v>74</v>
      </c>
      <c r="CL22">
        <v>15</v>
      </c>
      <c r="CM22">
        <v>26</v>
      </c>
      <c r="CN22">
        <v>53</v>
      </c>
      <c r="CO22">
        <v>45</v>
      </c>
      <c r="CP22">
        <v>22</v>
      </c>
      <c r="CQ22">
        <v>38</v>
      </c>
      <c r="CR22">
        <v>27</v>
      </c>
      <c r="CS22">
        <v>30</v>
      </c>
      <c r="CT22">
        <f t="shared" si="14"/>
        <v>117</v>
      </c>
      <c r="CU22">
        <f t="shared" si="14"/>
        <v>139</v>
      </c>
      <c r="CV22">
        <f t="shared" si="15"/>
        <v>256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0</v>
      </c>
      <c r="DE22">
        <f t="shared" si="16"/>
        <v>1</v>
      </c>
      <c r="DF22">
        <f t="shared" si="16"/>
        <v>0</v>
      </c>
      <c r="DG22">
        <f t="shared" si="17"/>
        <v>1</v>
      </c>
    </row>
    <row r="23" spans="1:111" x14ac:dyDescent="0.25">
      <c r="A23" t="s">
        <v>179</v>
      </c>
      <c r="B23" t="s">
        <v>185</v>
      </c>
      <c r="C23" t="s">
        <v>222</v>
      </c>
      <c r="D23">
        <v>325102</v>
      </c>
      <c r="E23" t="s">
        <v>439</v>
      </c>
      <c r="F23" t="s">
        <v>440</v>
      </c>
      <c r="G23" t="s">
        <v>189</v>
      </c>
      <c r="H23" t="s">
        <v>190</v>
      </c>
      <c r="I23" t="s">
        <v>180</v>
      </c>
      <c r="J23" t="s">
        <v>231</v>
      </c>
      <c r="K23" t="s">
        <v>413</v>
      </c>
      <c r="L23" s="13" t="s">
        <v>414</v>
      </c>
      <c r="M23">
        <v>75</v>
      </c>
      <c r="N23">
        <v>65</v>
      </c>
      <c r="O23">
        <v>47</v>
      </c>
      <c r="P23">
        <v>50</v>
      </c>
      <c r="Q23">
        <v>23</v>
      </c>
      <c r="R23">
        <v>38</v>
      </c>
      <c r="S23">
        <v>21</v>
      </c>
      <c r="T23">
        <v>37</v>
      </c>
      <c r="U23">
        <f t="shared" si="0"/>
        <v>166</v>
      </c>
      <c r="V23">
        <f t="shared" si="0"/>
        <v>190</v>
      </c>
      <c r="W23">
        <f t="shared" si="1"/>
        <v>356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f t="shared" si="2"/>
        <v>0</v>
      </c>
      <c r="AG23">
        <f t="shared" si="2"/>
        <v>0</v>
      </c>
      <c r="AH23">
        <f t="shared" si="3"/>
        <v>0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f t="shared" si="4"/>
        <v>2</v>
      </c>
      <c r="AR23">
        <f t="shared" si="4"/>
        <v>2</v>
      </c>
      <c r="AS23">
        <f t="shared" si="5"/>
        <v>4</v>
      </c>
      <c r="AT23">
        <v>3</v>
      </c>
      <c r="AU23">
        <v>1</v>
      </c>
      <c r="AV23">
        <v>1</v>
      </c>
      <c r="AW23">
        <v>1</v>
      </c>
      <c r="AX23">
        <v>1</v>
      </c>
      <c r="AY23">
        <v>0</v>
      </c>
      <c r="AZ23">
        <v>0</v>
      </c>
      <c r="BA23">
        <v>1</v>
      </c>
      <c r="BB23">
        <f t="shared" si="6"/>
        <v>5</v>
      </c>
      <c r="BC23">
        <f t="shared" si="6"/>
        <v>3</v>
      </c>
      <c r="BD23">
        <f t="shared" si="7"/>
        <v>8</v>
      </c>
      <c r="BE23">
        <v>2</v>
      </c>
      <c r="BF23">
        <v>2</v>
      </c>
      <c r="BG23">
        <v>2</v>
      </c>
      <c r="BH23">
        <v>3</v>
      </c>
      <c r="BI23">
        <v>1</v>
      </c>
      <c r="BJ23">
        <v>1</v>
      </c>
      <c r="BK23">
        <v>0</v>
      </c>
      <c r="BL23">
        <v>0</v>
      </c>
      <c r="BM23">
        <f t="shared" si="8"/>
        <v>5</v>
      </c>
      <c r="BN23">
        <f t="shared" si="8"/>
        <v>6</v>
      </c>
      <c r="BO23">
        <f t="shared" si="9"/>
        <v>11</v>
      </c>
      <c r="BP23">
        <v>7</v>
      </c>
      <c r="BQ23">
        <v>6</v>
      </c>
      <c r="BR23">
        <v>3</v>
      </c>
      <c r="BS23">
        <v>1</v>
      </c>
      <c r="BT23">
        <v>0</v>
      </c>
      <c r="BU23">
        <v>1</v>
      </c>
      <c r="BV23">
        <v>0</v>
      </c>
      <c r="BW23">
        <v>0</v>
      </c>
      <c r="BX23">
        <f t="shared" si="10"/>
        <v>10</v>
      </c>
      <c r="BY23">
        <f t="shared" si="10"/>
        <v>8</v>
      </c>
      <c r="BZ23">
        <f t="shared" si="11"/>
        <v>18</v>
      </c>
      <c r="CA23">
        <v>27</v>
      </c>
      <c r="CB23">
        <v>23</v>
      </c>
      <c r="CC23">
        <v>9</v>
      </c>
      <c r="CD23">
        <v>8</v>
      </c>
      <c r="CE23">
        <v>6</v>
      </c>
      <c r="CF23">
        <v>11</v>
      </c>
      <c r="CG23">
        <v>0</v>
      </c>
      <c r="CH23">
        <v>0</v>
      </c>
      <c r="CI23">
        <f t="shared" si="12"/>
        <v>42</v>
      </c>
      <c r="CJ23">
        <f t="shared" si="12"/>
        <v>42</v>
      </c>
      <c r="CK23">
        <f t="shared" si="13"/>
        <v>84</v>
      </c>
      <c r="CL23">
        <v>47</v>
      </c>
      <c r="CM23">
        <v>40</v>
      </c>
      <c r="CN23">
        <v>38</v>
      </c>
      <c r="CO23">
        <v>46</v>
      </c>
      <c r="CP23">
        <v>20</v>
      </c>
      <c r="CQ23">
        <v>27</v>
      </c>
      <c r="CR23">
        <v>21</v>
      </c>
      <c r="CS23">
        <v>38</v>
      </c>
      <c r="CT23">
        <f t="shared" si="14"/>
        <v>126</v>
      </c>
      <c r="CU23">
        <f t="shared" si="14"/>
        <v>151</v>
      </c>
      <c r="CV23">
        <f t="shared" si="15"/>
        <v>277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f t="shared" si="16"/>
        <v>0</v>
      </c>
      <c r="DF23">
        <f t="shared" si="16"/>
        <v>0</v>
      </c>
      <c r="DG23">
        <f t="shared" si="17"/>
        <v>0</v>
      </c>
    </row>
    <row r="24" spans="1:111" x14ac:dyDescent="0.25">
      <c r="A24" t="s">
        <v>179</v>
      </c>
      <c r="B24" t="s">
        <v>185</v>
      </c>
      <c r="C24" t="s">
        <v>222</v>
      </c>
      <c r="D24">
        <v>325106</v>
      </c>
      <c r="E24" t="s">
        <v>441</v>
      </c>
      <c r="F24" t="s">
        <v>309</v>
      </c>
      <c r="G24" t="s">
        <v>189</v>
      </c>
      <c r="H24" t="s">
        <v>190</v>
      </c>
      <c r="I24" t="s">
        <v>180</v>
      </c>
      <c r="J24" t="s">
        <v>283</v>
      </c>
      <c r="K24" t="s">
        <v>413</v>
      </c>
      <c r="L24" s="13" t="s">
        <v>414</v>
      </c>
      <c r="M24">
        <v>54</v>
      </c>
      <c r="N24">
        <v>57</v>
      </c>
      <c r="O24">
        <v>48</v>
      </c>
      <c r="P24">
        <v>69</v>
      </c>
      <c r="Q24">
        <v>25</v>
      </c>
      <c r="R24">
        <v>48</v>
      </c>
      <c r="S24">
        <v>19</v>
      </c>
      <c r="T24">
        <v>38</v>
      </c>
      <c r="U24">
        <f t="shared" si="0"/>
        <v>146</v>
      </c>
      <c r="V24">
        <f t="shared" si="0"/>
        <v>212</v>
      </c>
      <c r="W24">
        <f t="shared" si="1"/>
        <v>358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f t="shared" si="2"/>
        <v>0</v>
      </c>
      <c r="AG24">
        <f t="shared" si="2"/>
        <v>2</v>
      </c>
      <c r="AH24">
        <f t="shared" si="3"/>
        <v>2</v>
      </c>
      <c r="AI24">
        <v>3</v>
      </c>
      <c r="AJ24">
        <v>0</v>
      </c>
      <c r="AK24">
        <v>1</v>
      </c>
      <c r="AL24">
        <v>1</v>
      </c>
      <c r="AM24">
        <v>0</v>
      </c>
      <c r="AN24">
        <v>3</v>
      </c>
      <c r="AO24">
        <v>1</v>
      </c>
      <c r="AP24">
        <v>0</v>
      </c>
      <c r="AQ24">
        <f t="shared" si="4"/>
        <v>5</v>
      </c>
      <c r="AR24">
        <f t="shared" si="4"/>
        <v>4</v>
      </c>
      <c r="AS24">
        <f t="shared" si="5"/>
        <v>9</v>
      </c>
      <c r="AT24">
        <v>0</v>
      </c>
      <c r="AU24">
        <v>1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1</v>
      </c>
      <c r="BB24">
        <f t="shared" si="6"/>
        <v>1</v>
      </c>
      <c r="BC24">
        <f t="shared" si="6"/>
        <v>3</v>
      </c>
      <c r="BD24">
        <f t="shared" si="7"/>
        <v>4</v>
      </c>
      <c r="BE24">
        <v>5</v>
      </c>
      <c r="BF24">
        <v>1</v>
      </c>
      <c r="BG24">
        <v>3</v>
      </c>
      <c r="BH24">
        <v>1</v>
      </c>
      <c r="BI24">
        <v>0</v>
      </c>
      <c r="BJ24">
        <v>1</v>
      </c>
      <c r="BK24">
        <v>1</v>
      </c>
      <c r="BL24">
        <v>1</v>
      </c>
      <c r="BM24">
        <f t="shared" si="8"/>
        <v>9</v>
      </c>
      <c r="BN24">
        <f t="shared" si="8"/>
        <v>4</v>
      </c>
      <c r="BO24">
        <f t="shared" si="9"/>
        <v>13</v>
      </c>
      <c r="BP24">
        <v>4</v>
      </c>
      <c r="BQ24">
        <v>4</v>
      </c>
      <c r="BR24">
        <v>1</v>
      </c>
      <c r="BS24">
        <v>6</v>
      </c>
      <c r="BT24">
        <v>2</v>
      </c>
      <c r="BU24">
        <v>3</v>
      </c>
      <c r="BV24">
        <v>1</v>
      </c>
      <c r="BW24">
        <v>5</v>
      </c>
      <c r="BX24">
        <f t="shared" si="10"/>
        <v>8</v>
      </c>
      <c r="BY24">
        <f t="shared" si="10"/>
        <v>18</v>
      </c>
      <c r="BZ24">
        <f t="shared" si="11"/>
        <v>26</v>
      </c>
      <c r="CA24">
        <v>13</v>
      </c>
      <c r="CB24">
        <v>16</v>
      </c>
      <c r="CC24">
        <v>8</v>
      </c>
      <c r="CD24">
        <v>14</v>
      </c>
      <c r="CE24">
        <v>6</v>
      </c>
      <c r="CF24">
        <v>13</v>
      </c>
      <c r="CG24">
        <v>3</v>
      </c>
      <c r="CH24">
        <v>12</v>
      </c>
      <c r="CI24">
        <f t="shared" si="12"/>
        <v>30</v>
      </c>
      <c r="CJ24">
        <f t="shared" si="12"/>
        <v>55</v>
      </c>
      <c r="CK24">
        <f t="shared" si="13"/>
        <v>85</v>
      </c>
      <c r="CL24">
        <v>45</v>
      </c>
      <c r="CM24">
        <v>40</v>
      </c>
      <c r="CN24">
        <v>42</v>
      </c>
      <c r="CO24">
        <v>51</v>
      </c>
      <c r="CP24">
        <v>16</v>
      </c>
      <c r="CQ24">
        <v>37</v>
      </c>
      <c r="CR24">
        <v>17</v>
      </c>
      <c r="CS24">
        <v>24</v>
      </c>
      <c r="CT24">
        <f t="shared" si="14"/>
        <v>120</v>
      </c>
      <c r="CU24">
        <f t="shared" si="14"/>
        <v>152</v>
      </c>
      <c r="CV24">
        <f t="shared" si="15"/>
        <v>272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f t="shared" si="16"/>
        <v>1</v>
      </c>
      <c r="DF24">
        <f t="shared" si="16"/>
        <v>0</v>
      </c>
      <c r="DG24">
        <f t="shared" si="17"/>
        <v>1</v>
      </c>
    </row>
    <row r="25" spans="1:111" x14ac:dyDescent="0.25">
      <c r="A25" t="s">
        <v>179</v>
      </c>
      <c r="B25" t="s">
        <v>185</v>
      </c>
      <c r="C25" t="s">
        <v>286</v>
      </c>
      <c r="D25">
        <v>304313</v>
      </c>
      <c r="E25" t="s">
        <v>442</v>
      </c>
      <c r="F25" t="s">
        <v>443</v>
      </c>
      <c r="G25" t="s">
        <v>189</v>
      </c>
      <c r="H25" t="s">
        <v>190</v>
      </c>
      <c r="I25" t="s">
        <v>180</v>
      </c>
      <c r="J25" t="s">
        <v>295</v>
      </c>
      <c r="K25" t="s">
        <v>413</v>
      </c>
      <c r="L25" s="13" t="s">
        <v>414</v>
      </c>
      <c r="M25">
        <v>63</v>
      </c>
      <c r="N25">
        <v>53</v>
      </c>
      <c r="O25">
        <v>55</v>
      </c>
      <c r="P25">
        <v>45</v>
      </c>
      <c r="Q25">
        <v>37</v>
      </c>
      <c r="R25">
        <v>39</v>
      </c>
      <c r="S25">
        <v>46</v>
      </c>
      <c r="T25">
        <v>51</v>
      </c>
      <c r="U25">
        <f t="shared" si="0"/>
        <v>201</v>
      </c>
      <c r="V25">
        <f t="shared" si="0"/>
        <v>188</v>
      </c>
      <c r="W25">
        <f t="shared" si="1"/>
        <v>389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f t="shared" si="2"/>
        <v>0</v>
      </c>
      <c r="AG25">
        <f t="shared" si="2"/>
        <v>0</v>
      </c>
      <c r="AH25">
        <f t="shared" si="3"/>
        <v>0</v>
      </c>
      <c r="AI25">
        <v>1</v>
      </c>
      <c r="AJ25">
        <v>1</v>
      </c>
      <c r="AK25">
        <v>0</v>
      </c>
      <c r="AL25">
        <v>1</v>
      </c>
      <c r="AM25">
        <v>1</v>
      </c>
      <c r="AN25">
        <v>0</v>
      </c>
      <c r="AO25">
        <v>2</v>
      </c>
      <c r="AP25">
        <v>1</v>
      </c>
      <c r="AQ25">
        <f t="shared" si="4"/>
        <v>4</v>
      </c>
      <c r="AR25">
        <f t="shared" si="4"/>
        <v>3</v>
      </c>
      <c r="AS25">
        <f t="shared" si="5"/>
        <v>7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0</v>
      </c>
      <c r="BB25">
        <f t="shared" si="6"/>
        <v>3</v>
      </c>
      <c r="BC25">
        <f t="shared" si="6"/>
        <v>0</v>
      </c>
      <c r="BD25">
        <f t="shared" si="7"/>
        <v>3</v>
      </c>
      <c r="BE25">
        <v>3</v>
      </c>
      <c r="BF25">
        <v>2</v>
      </c>
      <c r="BG25">
        <v>1</v>
      </c>
      <c r="BH25">
        <v>1</v>
      </c>
      <c r="BI25">
        <v>2</v>
      </c>
      <c r="BJ25">
        <v>1</v>
      </c>
      <c r="BK25">
        <v>1</v>
      </c>
      <c r="BL25">
        <v>1</v>
      </c>
      <c r="BM25">
        <f t="shared" si="8"/>
        <v>7</v>
      </c>
      <c r="BN25">
        <f t="shared" si="8"/>
        <v>5</v>
      </c>
      <c r="BO25">
        <f t="shared" si="9"/>
        <v>12</v>
      </c>
      <c r="BP25">
        <v>2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f t="shared" si="10"/>
        <v>3</v>
      </c>
      <c r="BY25">
        <f t="shared" si="10"/>
        <v>1</v>
      </c>
      <c r="BZ25">
        <f t="shared" si="11"/>
        <v>4</v>
      </c>
      <c r="CA25">
        <v>3</v>
      </c>
      <c r="CB25">
        <v>3</v>
      </c>
      <c r="CC25">
        <v>3</v>
      </c>
      <c r="CD25">
        <v>5</v>
      </c>
      <c r="CE25">
        <v>5</v>
      </c>
      <c r="CF25">
        <v>3</v>
      </c>
      <c r="CG25">
        <v>4</v>
      </c>
      <c r="CH25">
        <v>10</v>
      </c>
      <c r="CI25">
        <f t="shared" si="12"/>
        <v>15</v>
      </c>
      <c r="CJ25">
        <f t="shared" si="12"/>
        <v>21</v>
      </c>
      <c r="CK25">
        <f t="shared" si="13"/>
        <v>36</v>
      </c>
      <c r="CL25">
        <v>63</v>
      </c>
      <c r="CM25">
        <v>52</v>
      </c>
      <c r="CN25">
        <v>53</v>
      </c>
      <c r="CO25">
        <v>42</v>
      </c>
      <c r="CP25">
        <v>34</v>
      </c>
      <c r="CQ25">
        <v>37</v>
      </c>
      <c r="CR25">
        <v>44</v>
      </c>
      <c r="CS25">
        <v>43</v>
      </c>
      <c r="CT25">
        <f t="shared" si="14"/>
        <v>194</v>
      </c>
      <c r="CU25">
        <f t="shared" si="14"/>
        <v>174</v>
      </c>
      <c r="CV25">
        <f t="shared" si="15"/>
        <v>368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f t="shared" si="16"/>
        <v>1</v>
      </c>
      <c r="DF25">
        <f t="shared" si="16"/>
        <v>0</v>
      </c>
      <c r="DG25">
        <f t="shared" si="17"/>
        <v>1</v>
      </c>
    </row>
    <row r="26" spans="1:111" x14ac:dyDescent="0.25">
      <c r="A26" t="s">
        <v>179</v>
      </c>
      <c r="B26" t="s">
        <v>185</v>
      </c>
      <c r="C26" t="s">
        <v>286</v>
      </c>
      <c r="D26">
        <v>304318</v>
      </c>
      <c r="E26" t="s">
        <v>444</v>
      </c>
      <c r="F26" t="s">
        <v>445</v>
      </c>
      <c r="G26" t="s">
        <v>189</v>
      </c>
      <c r="H26" t="s">
        <v>190</v>
      </c>
      <c r="I26" t="s">
        <v>180</v>
      </c>
      <c r="J26" t="s">
        <v>303</v>
      </c>
      <c r="K26" t="s">
        <v>413</v>
      </c>
      <c r="L26" s="13" t="s">
        <v>414</v>
      </c>
      <c r="M26">
        <v>54</v>
      </c>
      <c r="N26">
        <v>31</v>
      </c>
      <c r="O26">
        <v>41</v>
      </c>
      <c r="P26">
        <v>59</v>
      </c>
      <c r="Q26">
        <v>34</v>
      </c>
      <c r="R26">
        <v>63</v>
      </c>
      <c r="S26">
        <v>34</v>
      </c>
      <c r="T26">
        <v>41</v>
      </c>
      <c r="U26">
        <f t="shared" si="0"/>
        <v>163</v>
      </c>
      <c r="V26">
        <f t="shared" si="0"/>
        <v>194</v>
      </c>
      <c r="W26">
        <f t="shared" si="1"/>
        <v>357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f t="shared" si="2"/>
        <v>0</v>
      </c>
      <c r="AG26">
        <f t="shared" si="2"/>
        <v>0</v>
      </c>
      <c r="AH26">
        <f t="shared" si="3"/>
        <v>0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f t="shared" si="4"/>
        <v>2</v>
      </c>
      <c r="AR26">
        <f t="shared" si="4"/>
        <v>1</v>
      </c>
      <c r="AS26">
        <f t="shared" si="5"/>
        <v>3</v>
      </c>
      <c r="AT26">
        <v>4</v>
      </c>
      <c r="AU26">
        <v>2</v>
      </c>
      <c r="AV26">
        <v>2</v>
      </c>
      <c r="AW26">
        <v>1</v>
      </c>
      <c r="AX26">
        <v>1</v>
      </c>
      <c r="AY26">
        <v>0</v>
      </c>
      <c r="AZ26">
        <v>1</v>
      </c>
      <c r="BA26">
        <v>0</v>
      </c>
      <c r="BB26">
        <f t="shared" si="6"/>
        <v>8</v>
      </c>
      <c r="BC26">
        <f t="shared" si="6"/>
        <v>3</v>
      </c>
      <c r="BD26">
        <f t="shared" si="7"/>
        <v>11</v>
      </c>
      <c r="BE26">
        <v>3</v>
      </c>
      <c r="BF26">
        <v>4</v>
      </c>
      <c r="BG26">
        <v>3</v>
      </c>
      <c r="BH26">
        <v>2</v>
      </c>
      <c r="BI26">
        <v>2</v>
      </c>
      <c r="BJ26">
        <v>2</v>
      </c>
      <c r="BK26">
        <v>4</v>
      </c>
      <c r="BL26">
        <v>5</v>
      </c>
      <c r="BM26">
        <f t="shared" si="8"/>
        <v>12</v>
      </c>
      <c r="BN26">
        <f t="shared" si="8"/>
        <v>13</v>
      </c>
      <c r="BO26">
        <f t="shared" si="9"/>
        <v>25</v>
      </c>
      <c r="BP26">
        <v>3</v>
      </c>
      <c r="BQ26">
        <v>5</v>
      </c>
      <c r="BR26">
        <v>2</v>
      </c>
      <c r="BS26">
        <v>2</v>
      </c>
      <c r="BT26">
        <v>1</v>
      </c>
      <c r="BU26">
        <v>3</v>
      </c>
      <c r="BV26">
        <v>1</v>
      </c>
      <c r="BW26">
        <v>2</v>
      </c>
      <c r="BX26">
        <f t="shared" si="10"/>
        <v>7</v>
      </c>
      <c r="BY26">
        <f t="shared" si="10"/>
        <v>12</v>
      </c>
      <c r="BZ26">
        <f t="shared" si="11"/>
        <v>19</v>
      </c>
      <c r="CA26">
        <v>5</v>
      </c>
      <c r="CB26">
        <v>4</v>
      </c>
      <c r="CC26">
        <v>6</v>
      </c>
      <c r="CD26">
        <v>11</v>
      </c>
      <c r="CE26">
        <v>2</v>
      </c>
      <c r="CF26">
        <v>5</v>
      </c>
      <c r="CG26">
        <v>5</v>
      </c>
      <c r="CH26">
        <v>2</v>
      </c>
      <c r="CI26">
        <f t="shared" si="12"/>
        <v>18</v>
      </c>
      <c r="CJ26">
        <f t="shared" si="12"/>
        <v>22</v>
      </c>
      <c r="CK26">
        <f t="shared" si="13"/>
        <v>40</v>
      </c>
      <c r="CL26">
        <v>54</v>
      </c>
      <c r="CM26">
        <v>29</v>
      </c>
      <c r="CN26">
        <v>38</v>
      </c>
      <c r="CO26">
        <v>49</v>
      </c>
      <c r="CP26">
        <v>35</v>
      </c>
      <c r="CQ26">
        <v>57</v>
      </c>
      <c r="CR26">
        <v>33</v>
      </c>
      <c r="CS26">
        <v>42</v>
      </c>
      <c r="CT26">
        <f t="shared" si="14"/>
        <v>160</v>
      </c>
      <c r="CU26">
        <f t="shared" si="14"/>
        <v>177</v>
      </c>
      <c r="CV26">
        <f t="shared" si="15"/>
        <v>337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f t="shared" si="16"/>
        <v>0</v>
      </c>
      <c r="DF26">
        <f t="shared" si="16"/>
        <v>0</v>
      </c>
      <c r="DG26">
        <f t="shared" si="17"/>
        <v>0</v>
      </c>
    </row>
    <row r="27" spans="1:111" x14ac:dyDescent="0.25">
      <c r="A27" t="s">
        <v>179</v>
      </c>
      <c r="B27" t="s">
        <v>185</v>
      </c>
      <c r="C27" t="s">
        <v>286</v>
      </c>
      <c r="D27">
        <v>325105</v>
      </c>
      <c r="E27" t="s">
        <v>446</v>
      </c>
      <c r="F27" t="s">
        <v>305</v>
      </c>
      <c r="G27" t="s">
        <v>189</v>
      </c>
      <c r="H27" t="s">
        <v>190</v>
      </c>
      <c r="I27" t="s">
        <v>180</v>
      </c>
      <c r="J27" t="s">
        <v>289</v>
      </c>
      <c r="K27" t="s">
        <v>413</v>
      </c>
      <c r="L27" s="13" t="s">
        <v>414</v>
      </c>
      <c r="M27">
        <v>53</v>
      </c>
      <c r="N27">
        <v>44</v>
      </c>
      <c r="O27">
        <v>28</v>
      </c>
      <c r="P27">
        <v>40</v>
      </c>
      <c r="Q27">
        <v>36</v>
      </c>
      <c r="R27">
        <v>35</v>
      </c>
      <c r="S27">
        <v>28</v>
      </c>
      <c r="T27">
        <v>26</v>
      </c>
      <c r="U27">
        <f t="shared" si="0"/>
        <v>145</v>
      </c>
      <c r="V27">
        <f t="shared" si="0"/>
        <v>145</v>
      </c>
      <c r="W27">
        <f t="shared" si="1"/>
        <v>290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f t="shared" si="2"/>
        <v>0</v>
      </c>
      <c r="AG27">
        <f t="shared" si="2"/>
        <v>0</v>
      </c>
      <c r="AH27">
        <f t="shared" si="3"/>
        <v>0</v>
      </c>
      <c r="AI27">
        <v>1</v>
      </c>
      <c r="AJ27">
        <v>0</v>
      </c>
      <c r="AK27">
        <v>0</v>
      </c>
      <c r="AL27">
        <v>1</v>
      </c>
      <c r="AM27">
        <v>1</v>
      </c>
      <c r="AN27">
        <v>3</v>
      </c>
      <c r="AO27">
        <v>0</v>
      </c>
      <c r="AP27">
        <v>0</v>
      </c>
      <c r="AQ27">
        <f t="shared" si="4"/>
        <v>2</v>
      </c>
      <c r="AR27">
        <f t="shared" si="4"/>
        <v>4</v>
      </c>
      <c r="AS27">
        <f t="shared" si="5"/>
        <v>6</v>
      </c>
      <c r="AT27">
        <v>0</v>
      </c>
      <c r="AU27">
        <v>1</v>
      </c>
      <c r="AV27">
        <v>2</v>
      </c>
      <c r="AW27">
        <v>0</v>
      </c>
      <c r="AX27">
        <v>0</v>
      </c>
      <c r="AY27">
        <v>1</v>
      </c>
      <c r="AZ27">
        <v>1</v>
      </c>
      <c r="BA27">
        <v>0</v>
      </c>
      <c r="BB27">
        <f t="shared" si="6"/>
        <v>3</v>
      </c>
      <c r="BC27">
        <f t="shared" si="6"/>
        <v>2</v>
      </c>
      <c r="BD27">
        <f t="shared" si="7"/>
        <v>5</v>
      </c>
      <c r="BE27">
        <v>6</v>
      </c>
      <c r="BF27">
        <v>3</v>
      </c>
      <c r="BG27">
        <v>6</v>
      </c>
      <c r="BH27">
        <v>4</v>
      </c>
      <c r="BI27">
        <v>7</v>
      </c>
      <c r="BJ27">
        <v>0</v>
      </c>
      <c r="BK27">
        <v>4</v>
      </c>
      <c r="BL27">
        <v>0</v>
      </c>
      <c r="BM27">
        <f t="shared" si="8"/>
        <v>23</v>
      </c>
      <c r="BN27">
        <f t="shared" si="8"/>
        <v>7</v>
      </c>
      <c r="BO27">
        <f t="shared" si="9"/>
        <v>30</v>
      </c>
      <c r="BP27">
        <v>1</v>
      </c>
      <c r="BQ27">
        <v>0</v>
      </c>
      <c r="BR27">
        <v>1</v>
      </c>
      <c r="BS27">
        <v>1</v>
      </c>
      <c r="BT27">
        <v>2</v>
      </c>
      <c r="BU27">
        <v>1</v>
      </c>
      <c r="BV27">
        <v>0</v>
      </c>
      <c r="BW27">
        <v>1</v>
      </c>
      <c r="BX27">
        <f t="shared" si="10"/>
        <v>4</v>
      </c>
      <c r="BY27">
        <f t="shared" si="10"/>
        <v>3</v>
      </c>
      <c r="BZ27">
        <f t="shared" si="11"/>
        <v>7</v>
      </c>
      <c r="CA27">
        <v>10</v>
      </c>
      <c r="CB27">
        <v>10</v>
      </c>
      <c r="CC27">
        <v>7</v>
      </c>
      <c r="CD27">
        <v>7</v>
      </c>
      <c r="CE27">
        <v>9</v>
      </c>
      <c r="CF27">
        <v>7</v>
      </c>
      <c r="CG27">
        <v>5</v>
      </c>
      <c r="CH27">
        <v>5</v>
      </c>
      <c r="CI27">
        <f t="shared" si="12"/>
        <v>31</v>
      </c>
      <c r="CJ27">
        <f t="shared" si="12"/>
        <v>29</v>
      </c>
      <c r="CK27">
        <f t="shared" si="13"/>
        <v>60</v>
      </c>
      <c r="CL27">
        <v>48</v>
      </c>
      <c r="CM27">
        <v>38</v>
      </c>
      <c r="CN27">
        <v>28</v>
      </c>
      <c r="CO27">
        <v>37</v>
      </c>
      <c r="CP27">
        <v>31</v>
      </c>
      <c r="CQ27">
        <v>30</v>
      </c>
      <c r="CR27">
        <v>22</v>
      </c>
      <c r="CS27">
        <v>19</v>
      </c>
      <c r="CT27">
        <f t="shared" si="14"/>
        <v>129</v>
      </c>
      <c r="CU27">
        <f t="shared" si="14"/>
        <v>124</v>
      </c>
      <c r="CV27">
        <f t="shared" si="15"/>
        <v>253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f t="shared" si="16"/>
        <v>0</v>
      </c>
      <c r="DF27">
        <f t="shared" si="16"/>
        <v>0</v>
      </c>
      <c r="DG27">
        <f t="shared" si="17"/>
        <v>0</v>
      </c>
    </row>
    <row r="28" spans="1:111" x14ac:dyDescent="0.25">
      <c r="A28" t="s">
        <v>179</v>
      </c>
      <c r="B28" t="s">
        <v>185</v>
      </c>
      <c r="C28" t="s">
        <v>286</v>
      </c>
      <c r="D28">
        <v>501085</v>
      </c>
      <c r="E28" t="s">
        <v>317</v>
      </c>
      <c r="F28" t="s">
        <v>318</v>
      </c>
      <c r="G28" t="s">
        <v>189</v>
      </c>
      <c r="H28" t="s">
        <v>190</v>
      </c>
      <c r="I28" t="s">
        <v>180</v>
      </c>
      <c r="J28" t="s">
        <v>319</v>
      </c>
      <c r="K28" t="s">
        <v>183</v>
      </c>
      <c r="L28" s="13" t="s">
        <v>184</v>
      </c>
      <c r="M28">
        <v>30</v>
      </c>
      <c r="N28">
        <v>18</v>
      </c>
      <c r="O28">
        <v>45</v>
      </c>
      <c r="P28">
        <v>43</v>
      </c>
      <c r="Q28">
        <v>19</v>
      </c>
      <c r="R28">
        <v>24</v>
      </c>
      <c r="S28">
        <v>10</v>
      </c>
      <c r="T28">
        <v>16</v>
      </c>
      <c r="U28">
        <f t="shared" si="0"/>
        <v>104</v>
      </c>
      <c r="V28">
        <f t="shared" si="0"/>
        <v>101</v>
      </c>
      <c r="W28">
        <f t="shared" si="1"/>
        <v>205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f t="shared" si="2"/>
        <v>0</v>
      </c>
      <c r="AG28">
        <f t="shared" si="2"/>
        <v>0</v>
      </c>
      <c r="AH28">
        <f t="shared" si="3"/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f t="shared" si="4"/>
        <v>0</v>
      </c>
      <c r="AR28">
        <f t="shared" si="4"/>
        <v>0</v>
      </c>
      <c r="AS28">
        <f t="shared" si="5"/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f t="shared" si="6"/>
        <v>0</v>
      </c>
      <c r="BC28">
        <f t="shared" si="6"/>
        <v>0</v>
      </c>
      <c r="BD28">
        <f t="shared" si="7"/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f t="shared" si="8"/>
        <v>0</v>
      </c>
      <c r="BN28">
        <f t="shared" si="8"/>
        <v>0</v>
      </c>
      <c r="BO28">
        <f t="shared" si="9"/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f t="shared" si="10"/>
        <v>0</v>
      </c>
      <c r="BY28">
        <f t="shared" si="10"/>
        <v>0</v>
      </c>
      <c r="BZ28">
        <f t="shared" si="11"/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f t="shared" si="12"/>
        <v>1</v>
      </c>
      <c r="CJ28">
        <f t="shared" si="12"/>
        <v>1</v>
      </c>
      <c r="CK28">
        <f t="shared" si="13"/>
        <v>2</v>
      </c>
      <c r="CL28">
        <v>29</v>
      </c>
      <c r="CM28">
        <v>17</v>
      </c>
      <c r="CN28">
        <v>44</v>
      </c>
      <c r="CO28">
        <v>43</v>
      </c>
      <c r="CP28">
        <v>19</v>
      </c>
      <c r="CQ28">
        <v>24</v>
      </c>
      <c r="CR28">
        <v>10</v>
      </c>
      <c r="CS28">
        <v>16</v>
      </c>
      <c r="CT28">
        <f t="shared" si="14"/>
        <v>102</v>
      </c>
      <c r="CU28">
        <f t="shared" si="14"/>
        <v>100</v>
      </c>
      <c r="CV28">
        <f t="shared" si="15"/>
        <v>202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f t="shared" si="16"/>
        <v>1</v>
      </c>
      <c r="DF28">
        <f t="shared" si="16"/>
        <v>0</v>
      </c>
      <c r="DG28">
        <f t="shared" si="17"/>
        <v>1</v>
      </c>
    </row>
    <row r="29" spans="1:111" x14ac:dyDescent="0.25">
      <c r="A29" t="s">
        <v>179</v>
      </c>
      <c r="B29" t="s">
        <v>185</v>
      </c>
      <c r="C29" t="s">
        <v>286</v>
      </c>
      <c r="D29">
        <v>501086</v>
      </c>
      <c r="E29" t="s">
        <v>320</v>
      </c>
      <c r="F29" t="s">
        <v>321</v>
      </c>
      <c r="G29" t="s">
        <v>189</v>
      </c>
      <c r="H29" t="s">
        <v>190</v>
      </c>
      <c r="I29" t="s">
        <v>180</v>
      </c>
      <c r="J29" t="s">
        <v>322</v>
      </c>
      <c r="K29" t="s">
        <v>183</v>
      </c>
      <c r="L29" s="13" t="s">
        <v>184</v>
      </c>
      <c r="M29">
        <v>14</v>
      </c>
      <c r="N29">
        <v>5</v>
      </c>
      <c r="O29">
        <v>12</v>
      </c>
      <c r="P29">
        <v>19</v>
      </c>
      <c r="Q29">
        <v>9</v>
      </c>
      <c r="R29">
        <v>8</v>
      </c>
      <c r="S29">
        <v>0</v>
      </c>
      <c r="T29">
        <v>0</v>
      </c>
      <c r="U29">
        <f t="shared" si="0"/>
        <v>35</v>
      </c>
      <c r="V29">
        <f t="shared" si="0"/>
        <v>32</v>
      </c>
      <c r="W29">
        <f t="shared" si="1"/>
        <v>67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f t="shared" si="2"/>
        <v>0</v>
      </c>
      <c r="AG29">
        <f t="shared" si="2"/>
        <v>0</v>
      </c>
      <c r="AH29">
        <f t="shared" si="3"/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f t="shared" si="4"/>
        <v>0</v>
      </c>
      <c r="AR29">
        <f t="shared" si="4"/>
        <v>0</v>
      </c>
      <c r="AS29">
        <f t="shared" si="5"/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f t="shared" si="6"/>
        <v>0</v>
      </c>
      <c r="BC29">
        <f t="shared" si="6"/>
        <v>1</v>
      </c>
      <c r="BD29">
        <f t="shared" si="7"/>
        <v>1</v>
      </c>
      <c r="BE29">
        <v>1</v>
      </c>
      <c r="BF29">
        <v>2</v>
      </c>
      <c r="BG29">
        <v>4</v>
      </c>
      <c r="BH29">
        <v>1</v>
      </c>
      <c r="BI29">
        <v>0</v>
      </c>
      <c r="BJ29">
        <v>1</v>
      </c>
      <c r="BK29">
        <v>0</v>
      </c>
      <c r="BL29">
        <v>0</v>
      </c>
      <c r="BM29">
        <f t="shared" si="8"/>
        <v>5</v>
      </c>
      <c r="BN29">
        <f t="shared" si="8"/>
        <v>4</v>
      </c>
      <c r="BO29">
        <f t="shared" si="9"/>
        <v>9</v>
      </c>
      <c r="BP29">
        <v>1</v>
      </c>
      <c r="BQ29">
        <v>1</v>
      </c>
      <c r="BR29">
        <v>1</v>
      </c>
      <c r="BS29">
        <v>1</v>
      </c>
      <c r="BT29">
        <v>2</v>
      </c>
      <c r="BU29">
        <v>0</v>
      </c>
      <c r="BV29">
        <v>0</v>
      </c>
      <c r="BW29">
        <v>0</v>
      </c>
      <c r="BX29">
        <f t="shared" si="10"/>
        <v>4</v>
      </c>
      <c r="BY29">
        <f t="shared" si="10"/>
        <v>2</v>
      </c>
      <c r="BZ29">
        <f t="shared" si="11"/>
        <v>6</v>
      </c>
      <c r="CA29">
        <v>2</v>
      </c>
      <c r="CB29">
        <v>2</v>
      </c>
      <c r="CC29">
        <v>1</v>
      </c>
      <c r="CD29">
        <v>4</v>
      </c>
      <c r="CE29">
        <v>2</v>
      </c>
      <c r="CF29">
        <v>6</v>
      </c>
      <c r="CG29">
        <v>0</v>
      </c>
      <c r="CH29">
        <v>0</v>
      </c>
      <c r="CI29">
        <f t="shared" si="12"/>
        <v>5</v>
      </c>
      <c r="CJ29">
        <f t="shared" si="12"/>
        <v>12</v>
      </c>
      <c r="CK29">
        <f t="shared" si="13"/>
        <v>17</v>
      </c>
      <c r="CL29">
        <v>12</v>
      </c>
      <c r="CM29">
        <v>5</v>
      </c>
      <c r="CN29">
        <v>14</v>
      </c>
      <c r="CO29">
        <v>15</v>
      </c>
      <c r="CP29">
        <v>5</v>
      </c>
      <c r="CQ29">
        <v>3</v>
      </c>
      <c r="CR29">
        <v>0</v>
      </c>
      <c r="CS29">
        <v>0</v>
      </c>
      <c r="CT29">
        <f t="shared" si="14"/>
        <v>31</v>
      </c>
      <c r="CU29">
        <f t="shared" si="14"/>
        <v>23</v>
      </c>
      <c r="CV29">
        <f t="shared" si="15"/>
        <v>54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f t="shared" si="16"/>
        <v>0</v>
      </c>
      <c r="DF29">
        <f t="shared" si="16"/>
        <v>0</v>
      </c>
      <c r="DG29">
        <f t="shared" si="17"/>
        <v>0</v>
      </c>
    </row>
    <row r="30" spans="1:111" x14ac:dyDescent="0.25">
      <c r="A30" t="s">
        <v>179</v>
      </c>
      <c r="B30" t="s">
        <v>185</v>
      </c>
      <c r="C30" t="s">
        <v>286</v>
      </c>
      <c r="D30">
        <v>501087</v>
      </c>
      <c r="E30" t="s">
        <v>323</v>
      </c>
      <c r="F30" t="s">
        <v>324</v>
      </c>
      <c r="G30" t="s">
        <v>189</v>
      </c>
      <c r="H30" t="s">
        <v>190</v>
      </c>
      <c r="I30" t="s">
        <v>180</v>
      </c>
      <c r="J30" t="s">
        <v>292</v>
      </c>
      <c r="K30" t="s">
        <v>183</v>
      </c>
      <c r="L30" s="13" t="s">
        <v>184</v>
      </c>
      <c r="M30">
        <v>14</v>
      </c>
      <c r="N30">
        <v>19</v>
      </c>
      <c r="O30">
        <v>17</v>
      </c>
      <c r="P30">
        <v>19</v>
      </c>
      <c r="Q30">
        <v>16</v>
      </c>
      <c r="R30">
        <v>14</v>
      </c>
      <c r="S30">
        <v>0</v>
      </c>
      <c r="T30">
        <v>0</v>
      </c>
      <c r="U30">
        <f t="shared" si="0"/>
        <v>47</v>
      </c>
      <c r="V30">
        <f t="shared" si="0"/>
        <v>52</v>
      </c>
      <c r="W30">
        <f t="shared" si="1"/>
        <v>99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f t="shared" si="2"/>
        <v>0</v>
      </c>
      <c r="AG30">
        <f t="shared" si="2"/>
        <v>0</v>
      </c>
      <c r="AH30">
        <f t="shared" si="3"/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f t="shared" si="4"/>
        <v>1</v>
      </c>
      <c r="AR30">
        <f t="shared" si="4"/>
        <v>0</v>
      </c>
      <c r="AS30">
        <f t="shared" si="5"/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f t="shared" si="6"/>
        <v>0</v>
      </c>
      <c r="BC30">
        <f t="shared" si="6"/>
        <v>0</v>
      </c>
      <c r="BD30">
        <f t="shared" si="7"/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f t="shared" si="8"/>
        <v>1</v>
      </c>
      <c r="BN30">
        <f t="shared" si="8"/>
        <v>1</v>
      </c>
      <c r="BO30">
        <f t="shared" si="9"/>
        <v>2</v>
      </c>
      <c r="BP30">
        <v>0</v>
      </c>
      <c r="BQ30">
        <v>1</v>
      </c>
      <c r="BR30">
        <v>0</v>
      </c>
      <c r="BS30">
        <v>0</v>
      </c>
      <c r="BT30">
        <v>2</v>
      </c>
      <c r="BU30">
        <v>0</v>
      </c>
      <c r="BV30">
        <v>0</v>
      </c>
      <c r="BW30">
        <v>0</v>
      </c>
      <c r="BX30">
        <f t="shared" si="10"/>
        <v>2</v>
      </c>
      <c r="BY30">
        <f t="shared" si="10"/>
        <v>1</v>
      </c>
      <c r="BZ30">
        <f t="shared" si="11"/>
        <v>3</v>
      </c>
      <c r="CA30">
        <v>1</v>
      </c>
      <c r="CB30">
        <v>8</v>
      </c>
      <c r="CC30">
        <v>7</v>
      </c>
      <c r="CD30">
        <v>2</v>
      </c>
      <c r="CE30">
        <v>3</v>
      </c>
      <c r="CF30">
        <v>4</v>
      </c>
      <c r="CG30">
        <v>0</v>
      </c>
      <c r="CH30">
        <v>0</v>
      </c>
      <c r="CI30">
        <f t="shared" si="12"/>
        <v>11</v>
      </c>
      <c r="CJ30">
        <f t="shared" si="12"/>
        <v>14</v>
      </c>
      <c r="CK30">
        <f t="shared" si="13"/>
        <v>25</v>
      </c>
      <c r="CL30">
        <v>13</v>
      </c>
      <c r="CM30">
        <v>11</v>
      </c>
      <c r="CN30">
        <v>12</v>
      </c>
      <c r="CO30">
        <v>17</v>
      </c>
      <c r="CP30">
        <v>11</v>
      </c>
      <c r="CQ30">
        <v>10</v>
      </c>
      <c r="CR30">
        <v>0</v>
      </c>
      <c r="CS30">
        <v>0</v>
      </c>
      <c r="CT30">
        <f t="shared" si="14"/>
        <v>36</v>
      </c>
      <c r="CU30">
        <f t="shared" si="14"/>
        <v>38</v>
      </c>
      <c r="CV30">
        <f t="shared" si="15"/>
        <v>74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f t="shared" si="16"/>
        <v>0</v>
      </c>
      <c r="DF30">
        <f t="shared" si="16"/>
        <v>0</v>
      </c>
      <c r="DG30">
        <f t="shared" si="17"/>
        <v>0</v>
      </c>
    </row>
  </sheetData>
  <autoFilter ref="A8:DD30" xr:uid="{00000000-0009-0000-0000-000001000000}"/>
  <mergeCells count="54">
    <mergeCell ref="DC5:DD5"/>
    <mergeCell ref="DE5:DG5"/>
    <mergeCell ref="CP5:CQ5"/>
    <mergeCell ref="CR5:CS5"/>
    <mergeCell ref="CT5:CV5"/>
    <mergeCell ref="CW5:CX5"/>
    <mergeCell ref="CY5:CZ5"/>
    <mergeCell ref="DA5:DB5"/>
    <mergeCell ref="CC5:CD5"/>
    <mergeCell ref="CE5:CF5"/>
    <mergeCell ref="CG5:CH5"/>
    <mergeCell ref="CI5:CK5"/>
    <mergeCell ref="CL5:CM5"/>
    <mergeCell ref="CN5:CO5"/>
    <mergeCell ref="BP5:BQ5"/>
    <mergeCell ref="BR5:BS5"/>
    <mergeCell ref="BT5:BU5"/>
    <mergeCell ref="BV5:BW5"/>
    <mergeCell ref="BX5:BZ5"/>
    <mergeCell ref="CA5:CB5"/>
    <mergeCell ref="BB5:BD5"/>
    <mergeCell ref="BE5:BF5"/>
    <mergeCell ref="BG5:BH5"/>
    <mergeCell ref="BI5:BJ5"/>
    <mergeCell ref="BK5:BL5"/>
    <mergeCell ref="BM5:BO5"/>
    <mergeCell ref="AO5:AP5"/>
    <mergeCell ref="AQ5:AS5"/>
    <mergeCell ref="AT5:AU5"/>
    <mergeCell ref="AV5:AW5"/>
    <mergeCell ref="AX5:AY5"/>
    <mergeCell ref="AZ5:BA5"/>
    <mergeCell ref="AB5:AC5"/>
    <mergeCell ref="AD5:AE5"/>
    <mergeCell ref="AF5:AH5"/>
    <mergeCell ref="AI5:AJ5"/>
    <mergeCell ref="AK5:AL5"/>
    <mergeCell ref="AM5:AN5"/>
    <mergeCell ref="CA4:CK4"/>
    <mergeCell ref="CL4:CV4"/>
    <mergeCell ref="CW4:DG4"/>
    <mergeCell ref="M5:N5"/>
    <mergeCell ref="O5:P5"/>
    <mergeCell ref="Q5:R5"/>
    <mergeCell ref="S5:T5"/>
    <mergeCell ref="U5:W5"/>
    <mergeCell ref="X5:Y5"/>
    <mergeCell ref="Z5:AA5"/>
    <mergeCell ref="M4:W4"/>
    <mergeCell ref="X4:AH4"/>
    <mergeCell ref="AI4:AS4"/>
    <mergeCell ref="AT4:BD4"/>
    <mergeCell ref="BE4:BO4"/>
    <mergeCell ref="BP4:BZ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B592-7B02-4E5B-9612-C6411D396310}">
  <dimension ref="A1:BW24"/>
  <sheetViews>
    <sheetView tabSelected="1" zoomScale="85" zoomScaleNormal="85" workbookViewId="0">
      <pane xSplit="4" ySplit="8" topLeftCell="E9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4" sqref="B34"/>
    </sheetView>
  </sheetViews>
  <sheetFormatPr defaultRowHeight="15" x14ac:dyDescent="0.25"/>
  <cols>
    <col min="2" max="2" width="27.140625" bestFit="1" customWidth="1"/>
  </cols>
  <sheetData>
    <row r="1" spans="1:75" x14ac:dyDescent="0.25">
      <c r="A1" s="1" t="s">
        <v>447</v>
      </c>
    </row>
    <row r="2" spans="1:75" x14ac:dyDescent="0.25">
      <c r="A2" s="1" t="s">
        <v>1</v>
      </c>
      <c r="L2" s="2"/>
    </row>
    <row r="3" spans="1:75" x14ac:dyDescent="0.25">
      <c r="A3" s="1" t="s">
        <v>2</v>
      </c>
      <c r="L3" s="2"/>
    </row>
    <row r="4" spans="1:75" x14ac:dyDescent="0.25">
      <c r="M4" s="4" t="s">
        <v>328</v>
      </c>
      <c r="N4" s="5"/>
      <c r="O4" s="5"/>
      <c r="P4" s="5"/>
      <c r="Q4" s="5"/>
      <c r="R4" s="5"/>
      <c r="S4" s="6"/>
      <c r="T4" s="4" t="s">
        <v>329</v>
      </c>
      <c r="U4" s="5"/>
      <c r="V4" s="5"/>
      <c r="W4" s="5"/>
      <c r="X4" s="5"/>
      <c r="Y4" s="5"/>
      <c r="Z4" s="6"/>
      <c r="AA4" s="4" t="s">
        <v>448</v>
      </c>
      <c r="AB4" s="5"/>
      <c r="AC4" s="5"/>
      <c r="AD4" s="5"/>
      <c r="AE4" s="5"/>
      <c r="AF4" s="5"/>
      <c r="AG4" s="6"/>
      <c r="AH4" s="4" t="s">
        <v>331</v>
      </c>
      <c r="AI4" s="5"/>
      <c r="AJ4" s="5"/>
      <c r="AK4" s="5"/>
      <c r="AL4" s="5"/>
      <c r="AM4" s="5"/>
      <c r="AN4" s="6"/>
      <c r="AO4" s="4" t="s">
        <v>332</v>
      </c>
      <c r="AP4" s="5"/>
      <c r="AQ4" s="5"/>
      <c r="AR4" s="5"/>
      <c r="AS4" s="5"/>
      <c r="AT4" s="5"/>
      <c r="AU4" s="6"/>
      <c r="AV4" s="4" t="s">
        <v>333</v>
      </c>
      <c r="AW4" s="5"/>
      <c r="AX4" s="5"/>
      <c r="AY4" s="5"/>
      <c r="AZ4" s="5"/>
      <c r="BA4" s="5"/>
      <c r="BB4" s="6"/>
      <c r="BC4" s="4" t="s">
        <v>334</v>
      </c>
      <c r="BD4" s="5"/>
      <c r="BE4" s="5"/>
      <c r="BF4" s="5"/>
      <c r="BG4" s="5"/>
      <c r="BH4" s="5"/>
      <c r="BI4" s="6"/>
      <c r="BJ4" s="4" t="s">
        <v>335</v>
      </c>
      <c r="BK4" s="5"/>
      <c r="BL4" s="5"/>
      <c r="BM4" s="5"/>
      <c r="BN4" s="5"/>
      <c r="BO4" s="5"/>
      <c r="BP4" s="6"/>
      <c r="BQ4" s="7" t="s">
        <v>336</v>
      </c>
      <c r="BR4" s="7"/>
      <c r="BS4" s="7"/>
      <c r="BT4" s="7"/>
      <c r="BU4" s="7"/>
      <c r="BV4" s="7"/>
      <c r="BW4" s="7"/>
    </row>
    <row r="5" spans="1:75" x14ac:dyDescent="0.25">
      <c r="M5" s="7" t="s">
        <v>449</v>
      </c>
      <c r="N5" s="7"/>
      <c r="O5" s="7" t="s">
        <v>450</v>
      </c>
      <c r="P5" s="7"/>
      <c r="Q5" s="4" t="s">
        <v>20</v>
      </c>
      <c r="R5" s="5"/>
      <c r="S5" s="6"/>
      <c r="T5" s="7" t="s">
        <v>449</v>
      </c>
      <c r="U5" s="7"/>
      <c r="V5" s="7" t="s">
        <v>450</v>
      </c>
      <c r="W5" s="7"/>
      <c r="X5" s="4" t="s">
        <v>20</v>
      </c>
      <c r="Y5" s="5"/>
      <c r="Z5" s="6"/>
      <c r="AA5" s="7" t="s">
        <v>449</v>
      </c>
      <c r="AB5" s="7"/>
      <c r="AC5" s="7" t="s">
        <v>450</v>
      </c>
      <c r="AD5" s="7"/>
      <c r="AE5" s="4" t="s">
        <v>20</v>
      </c>
      <c r="AF5" s="5"/>
      <c r="AG5" s="6"/>
      <c r="AH5" s="7" t="s">
        <v>449</v>
      </c>
      <c r="AI5" s="7"/>
      <c r="AJ5" s="7" t="s">
        <v>450</v>
      </c>
      <c r="AK5" s="7"/>
      <c r="AL5" s="4" t="s">
        <v>20</v>
      </c>
      <c r="AM5" s="5"/>
      <c r="AN5" s="6"/>
      <c r="AO5" s="7" t="s">
        <v>449</v>
      </c>
      <c r="AP5" s="7"/>
      <c r="AQ5" s="7" t="s">
        <v>450</v>
      </c>
      <c r="AR5" s="7"/>
      <c r="AS5" s="4" t="s">
        <v>20</v>
      </c>
      <c r="AT5" s="5"/>
      <c r="AU5" s="6"/>
      <c r="AV5" s="7" t="s">
        <v>449</v>
      </c>
      <c r="AW5" s="7"/>
      <c r="AX5" s="7" t="s">
        <v>450</v>
      </c>
      <c r="AY5" s="7"/>
      <c r="AZ5" s="4" t="s">
        <v>20</v>
      </c>
      <c r="BA5" s="5"/>
      <c r="BB5" s="6"/>
      <c r="BC5" s="7" t="s">
        <v>449</v>
      </c>
      <c r="BD5" s="7"/>
      <c r="BE5" s="7" t="s">
        <v>450</v>
      </c>
      <c r="BF5" s="7"/>
      <c r="BG5" s="4" t="s">
        <v>20</v>
      </c>
      <c r="BH5" s="5"/>
      <c r="BI5" s="6"/>
      <c r="BJ5" s="7" t="s">
        <v>449</v>
      </c>
      <c r="BK5" s="7"/>
      <c r="BL5" s="7" t="s">
        <v>450</v>
      </c>
      <c r="BM5" s="7"/>
      <c r="BN5" s="4" t="s">
        <v>20</v>
      </c>
      <c r="BO5" s="5"/>
      <c r="BP5" s="6"/>
      <c r="BQ5" s="7" t="s">
        <v>449</v>
      </c>
      <c r="BR5" s="7"/>
      <c r="BS5" s="7" t="s">
        <v>450</v>
      </c>
      <c r="BT5" s="7"/>
      <c r="BU5" s="7" t="s">
        <v>20</v>
      </c>
      <c r="BV5" s="7"/>
      <c r="BW5" s="7"/>
    </row>
    <row r="6" spans="1:75" ht="15.75" thickBot="1" x14ac:dyDescent="0.3">
      <c r="M6" s="9" t="s">
        <v>21</v>
      </c>
      <c r="N6" s="9" t="s">
        <v>22</v>
      </c>
      <c r="O6" s="9" t="s">
        <v>21</v>
      </c>
      <c r="P6" s="9" t="s">
        <v>22</v>
      </c>
      <c r="Q6" s="9" t="s">
        <v>21</v>
      </c>
      <c r="R6" s="9" t="s">
        <v>22</v>
      </c>
      <c r="S6" s="9" t="s">
        <v>20</v>
      </c>
      <c r="T6" s="9" t="s">
        <v>21</v>
      </c>
      <c r="U6" s="9" t="s">
        <v>22</v>
      </c>
      <c r="V6" s="9" t="s">
        <v>21</v>
      </c>
      <c r="W6" s="9" t="s">
        <v>22</v>
      </c>
      <c r="X6" s="9" t="s">
        <v>21</v>
      </c>
      <c r="Y6" s="9" t="s">
        <v>22</v>
      </c>
      <c r="Z6" s="9" t="s">
        <v>20</v>
      </c>
      <c r="AA6" s="9" t="s">
        <v>21</v>
      </c>
      <c r="AB6" s="9" t="s">
        <v>22</v>
      </c>
      <c r="AC6" s="9" t="s">
        <v>21</v>
      </c>
      <c r="AD6" s="9" t="s">
        <v>22</v>
      </c>
      <c r="AE6" s="9" t="s">
        <v>21</v>
      </c>
      <c r="AF6" s="9" t="s">
        <v>22</v>
      </c>
      <c r="AG6" s="9" t="s">
        <v>20</v>
      </c>
      <c r="AH6" s="9" t="s">
        <v>21</v>
      </c>
      <c r="AI6" s="9" t="s">
        <v>22</v>
      </c>
      <c r="AJ6" s="9" t="s">
        <v>21</v>
      </c>
      <c r="AK6" s="9" t="s">
        <v>22</v>
      </c>
      <c r="AL6" s="9" t="s">
        <v>21</v>
      </c>
      <c r="AM6" s="9" t="s">
        <v>22</v>
      </c>
      <c r="AN6" s="9" t="s">
        <v>20</v>
      </c>
      <c r="AO6" s="9" t="s">
        <v>21</v>
      </c>
      <c r="AP6" s="9" t="s">
        <v>22</v>
      </c>
      <c r="AQ6" s="9" t="s">
        <v>21</v>
      </c>
      <c r="AR6" s="9" t="s">
        <v>22</v>
      </c>
      <c r="AS6" s="9" t="s">
        <v>21</v>
      </c>
      <c r="AT6" s="9" t="s">
        <v>22</v>
      </c>
      <c r="AU6" s="9" t="s">
        <v>20</v>
      </c>
      <c r="AV6" s="9" t="s">
        <v>21</v>
      </c>
      <c r="AW6" s="9" t="s">
        <v>22</v>
      </c>
      <c r="AX6" s="9" t="s">
        <v>21</v>
      </c>
      <c r="AY6" s="9" t="s">
        <v>22</v>
      </c>
      <c r="AZ6" s="9" t="s">
        <v>21</v>
      </c>
      <c r="BA6" s="9" t="s">
        <v>22</v>
      </c>
      <c r="BB6" s="9" t="s">
        <v>20</v>
      </c>
      <c r="BC6" s="9" t="s">
        <v>21</v>
      </c>
      <c r="BD6" s="9" t="s">
        <v>22</v>
      </c>
      <c r="BE6" s="9" t="s">
        <v>21</v>
      </c>
      <c r="BF6" s="9" t="s">
        <v>22</v>
      </c>
      <c r="BG6" s="9" t="s">
        <v>21</v>
      </c>
      <c r="BH6" s="9" t="s">
        <v>22</v>
      </c>
      <c r="BI6" s="9" t="s">
        <v>20</v>
      </c>
      <c r="BJ6" s="9" t="s">
        <v>21</v>
      </c>
      <c r="BK6" s="9" t="s">
        <v>22</v>
      </c>
      <c r="BL6" s="9" t="s">
        <v>21</v>
      </c>
      <c r="BM6" s="9" t="s">
        <v>22</v>
      </c>
      <c r="BN6" s="9" t="s">
        <v>21</v>
      </c>
      <c r="BO6" s="9" t="s">
        <v>22</v>
      </c>
      <c r="BP6" s="9" t="s">
        <v>20</v>
      </c>
      <c r="BQ6" s="14" t="s">
        <v>21</v>
      </c>
      <c r="BR6" s="14" t="s">
        <v>22</v>
      </c>
      <c r="BS6" s="14" t="s">
        <v>21</v>
      </c>
      <c r="BT6" s="14" t="s">
        <v>22</v>
      </c>
      <c r="BU6" s="14" t="s">
        <v>21</v>
      </c>
      <c r="BV6" s="14" t="s">
        <v>22</v>
      </c>
      <c r="BW6" s="14" t="s">
        <v>20</v>
      </c>
    </row>
    <row r="7" spans="1:75" ht="15.75" thickTop="1" x14ac:dyDescent="0.25">
      <c r="M7">
        <f>SUM(M9:M24)</f>
        <v>480</v>
      </c>
      <c r="N7">
        <f>SUM(N9:N24)</f>
        <v>786</v>
      </c>
      <c r="O7">
        <f>SUM(O9:O24)</f>
        <v>526</v>
      </c>
      <c r="P7">
        <f>SUM(P9:P24)</f>
        <v>669</v>
      </c>
      <c r="Q7">
        <f>SUM(Q9:Q24)</f>
        <v>1006</v>
      </c>
      <c r="R7">
        <f>SUM(R9:R24)</f>
        <v>1455</v>
      </c>
      <c r="S7">
        <f>SUM(S9:S24)</f>
        <v>2461</v>
      </c>
      <c r="T7">
        <f>SUM(T9:T24)</f>
        <v>4</v>
      </c>
      <c r="U7">
        <f>SUM(U9:U24)</f>
        <v>2</v>
      </c>
      <c r="V7">
        <f>SUM(V9:V24)</f>
        <v>5</v>
      </c>
      <c r="W7">
        <f>SUM(W9:W24)</f>
        <v>3</v>
      </c>
      <c r="X7">
        <f>SUM(X9:X24)</f>
        <v>9</v>
      </c>
      <c r="Y7">
        <f>SUM(Y9:Y24)</f>
        <v>5</v>
      </c>
      <c r="Z7">
        <f>SUM(Z9:Z24)</f>
        <v>14</v>
      </c>
      <c r="AA7">
        <f>SUM(AA9:AA24)</f>
        <v>23</v>
      </c>
      <c r="AB7">
        <f>SUM(AB9:AB24)</f>
        <v>18</v>
      </c>
      <c r="AC7">
        <f>SUM(AC9:AC24)</f>
        <v>20</v>
      </c>
      <c r="AD7">
        <f>SUM(AD9:AD24)</f>
        <v>14</v>
      </c>
      <c r="AE7">
        <f>SUM(AE9:AE24)</f>
        <v>43</v>
      </c>
      <c r="AF7">
        <f>SUM(AF9:AF24)</f>
        <v>32</v>
      </c>
      <c r="AG7">
        <f>SUM(AG9:AG24)</f>
        <v>75</v>
      </c>
      <c r="AH7">
        <f>SUM(AH9:AH24)</f>
        <v>4</v>
      </c>
      <c r="AI7">
        <f>SUM(AI9:AI24)</f>
        <v>2</v>
      </c>
      <c r="AJ7">
        <f>SUM(AJ9:AJ24)</f>
        <v>6</v>
      </c>
      <c r="AK7">
        <f>SUM(AK9:AK24)</f>
        <v>0</v>
      </c>
      <c r="AL7">
        <f>SUM(AL9:AL24)</f>
        <v>10</v>
      </c>
      <c r="AM7">
        <f>SUM(AM9:AM24)</f>
        <v>2</v>
      </c>
      <c r="AN7">
        <f>SUM(AN9:AN24)</f>
        <v>12</v>
      </c>
      <c r="AO7">
        <f>SUM(AO9:AO24)</f>
        <v>50</v>
      </c>
      <c r="AP7">
        <f>SUM(AP9:AP24)</f>
        <v>40</v>
      </c>
      <c r="AQ7">
        <f>SUM(AQ9:AQ24)</f>
        <v>49</v>
      </c>
      <c r="AR7">
        <f>SUM(AR9:AR24)</f>
        <v>33</v>
      </c>
      <c r="AS7">
        <f>SUM(AS9:AS24)</f>
        <v>99</v>
      </c>
      <c r="AT7">
        <f>SUM(AT9:AT24)</f>
        <v>73</v>
      </c>
      <c r="AU7">
        <f>SUM(AU9:AU24)</f>
        <v>172</v>
      </c>
      <c r="AV7">
        <f>SUM(AV9:AV24)</f>
        <v>39</v>
      </c>
      <c r="AW7">
        <f>SUM(AW9:AW24)</f>
        <v>53</v>
      </c>
      <c r="AX7">
        <f>SUM(AX9:AX24)</f>
        <v>22</v>
      </c>
      <c r="AY7">
        <f>SUM(AY9:AY24)</f>
        <v>18</v>
      </c>
      <c r="AZ7">
        <f>SUM(AZ9:AZ24)</f>
        <v>61</v>
      </c>
      <c r="BA7">
        <f>SUM(BA9:BA24)</f>
        <v>71</v>
      </c>
      <c r="BB7">
        <f>SUM(BB9:BB24)</f>
        <v>132</v>
      </c>
      <c r="BC7">
        <f>SUM(BC9:BC24)</f>
        <v>105</v>
      </c>
      <c r="BD7">
        <f>SUM(BD9:BD24)</f>
        <v>142</v>
      </c>
      <c r="BE7">
        <f>SUM(BE9:BE24)</f>
        <v>87</v>
      </c>
      <c r="BF7">
        <f>SUM(BF9:BF24)</f>
        <v>129</v>
      </c>
      <c r="BG7">
        <f>SUM(BG9:BG24)</f>
        <v>192</v>
      </c>
      <c r="BH7">
        <f>SUM(BH9:BH24)</f>
        <v>271</v>
      </c>
      <c r="BI7">
        <f>SUM(BI9:BI24)</f>
        <v>463</v>
      </c>
      <c r="BJ7">
        <f>SUM(BJ9:BJ24)</f>
        <v>328</v>
      </c>
      <c r="BK7">
        <f>SUM(BK9:BK24)</f>
        <v>517</v>
      </c>
      <c r="BL7">
        <f>SUM(BL9:BL24)</f>
        <v>366</v>
      </c>
      <c r="BM7">
        <f>SUM(BM9:BM24)</f>
        <v>463</v>
      </c>
      <c r="BN7">
        <f>SUM(BN9:BN24)</f>
        <v>694</v>
      </c>
      <c r="BO7">
        <f>SUM(BO9:BO24)</f>
        <v>980</v>
      </c>
      <c r="BP7">
        <f>SUM(BP9:BP24)</f>
        <v>1674</v>
      </c>
      <c r="BQ7">
        <f>SUM(BQ9:BQ24)</f>
        <v>4</v>
      </c>
      <c r="BR7">
        <f>SUM(BR9:BR24)</f>
        <v>0</v>
      </c>
      <c r="BS7">
        <f>SUM(BS9:BS24)</f>
        <v>4</v>
      </c>
      <c r="BT7">
        <f>SUM(BT9:BT24)</f>
        <v>0</v>
      </c>
      <c r="BU7">
        <f>SUM(BU9:BU24)</f>
        <v>8</v>
      </c>
      <c r="BV7">
        <f>SUM(BV9:BV24)</f>
        <v>0</v>
      </c>
      <c r="BW7">
        <f>SUM(BW9:BW24)</f>
        <v>8</v>
      </c>
    </row>
    <row r="8" spans="1:75" x14ac:dyDescent="0.25">
      <c r="A8" s="10" t="s">
        <v>23</v>
      </c>
      <c r="B8" s="10" t="s">
        <v>24</v>
      </c>
      <c r="C8" s="10" t="s">
        <v>25</v>
      </c>
      <c r="D8" s="10" t="s">
        <v>26</v>
      </c>
      <c r="E8" s="10" t="s">
        <v>27</v>
      </c>
      <c r="F8" s="10" t="s">
        <v>28</v>
      </c>
      <c r="G8" s="10" t="s">
        <v>29</v>
      </c>
      <c r="H8" s="10" t="s">
        <v>30</v>
      </c>
      <c r="I8" s="10" t="s">
        <v>31</v>
      </c>
      <c r="J8" s="10" t="s">
        <v>32</v>
      </c>
      <c r="K8" s="10" t="s">
        <v>33</v>
      </c>
      <c r="L8" s="11" t="s">
        <v>34</v>
      </c>
      <c r="M8" s="12" t="s">
        <v>451</v>
      </c>
      <c r="N8" s="12" t="s">
        <v>452</v>
      </c>
      <c r="O8" s="12" t="s">
        <v>453</v>
      </c>
      <c r="P8" s="12" t="s">
        <v>454</v>
      </c>
      <c r="Q8" s="12" t="s">
        <v>21</v>
      </c>
      <c r="R8" s="12" t="s">
        <v>22</v>
      </c>
      <c r="S8" s="12" t="s">
        <v>20</v>
      </c>
      <c r="T8" s="12" t="s">
        <v>455</v>
      </c>
      <c r="U8" s="12" t="s">
        <v>456</v>
      </c>
      <c r="V8" s="12" t="s">
        <v>457</v>
      </c>
      <c r="W8" s="12" t="s">
        <v>458</v>
      </c>
      <c r="X8" s="12" t="s">
        <v>21</v>
      </c>
      <c r="Y8" s="12" t="s">
        <v>22</v>
      </c>
      <c r="Z8" s="12" t="s">
        <v>20</v>
      </c>
      <c r="AA8" s="12" t="s">
        <v>459</v>
      </c>
      <c r="AB8" s="12" t="s">
        <v>460</v>
      </c>
      <c r="AC8" s="12" t="s">
        <v>461</v>
      </c>
      <c r="AD8" s="12" t="s">
        <v>462</v>
      </c>
      <c r="AE8" s="12" t="s">
        <v>21</v>
      </c>
      <c r="AF8" s="12" t="s">
        <v>22</v>
      </c>
      <c r="AG8" s="12" t="s">
        <v>20</v>
      </c>
      <c r="AH8" s="12" t="s">
        <v>463</v>
      </c>
      <c r="AI8" s="12" t="s">
        <v>464</v>
      </c>
      <c r="AJ8" s="12" t="s">
        <v>465</v>
      </c>
      <c r="AK8" s="12" t="s">
        <v>466</v>
      </c>
      <c r="AL8" s="12" t="s">
        <v>21</v>
      </c>
      <c r="AM8" s="12" t="s">
        <v>22</v>
      </c>
      <c r="AN8" s="12" t="s">
        <v>20</v>
      </c>
      <c r="AO8" s="12" t="s">
        <v>467</v>
      </c>
      <c r="AP8" s="12" t="s">
        <v>468</v>
      </c>
      <c r="AQ8" s="12" t="s">
        <v>469</v>
      </c>
      <c r="AR8" s="12" t="s">
        <v>470</v>
      </c>
      <c r="AS8" s="12" t="s">
        <v>21</v>
      </c>
      <c r="AT8" s="12" t="s">
        <v>22</v>
      </c>
      <c r="AU8" s="12" t="s">
        <v>20</v>
      </c>
      <c r="AV8" s="12" t="s">
        <v>471</v>
      </c>
      <c r="AW8" s="12" t="s">
        <v>472</v>
      </c>
      <c r="AX8" s="12" t="s">
        <v>473</v>
      </c>
      <c r="AY8" s="12" t="s">
        <v>474</v>
      </c>
      <c r="AZ8" s="12" t="s">
        <v>21</v>
      </c>
      <c r="BA8" s="12" t="s">
        <v>22</v>
      </c>
      <c r="BB8" s="12" t="s">
        <v>20</v>
      </c>
      <c r="BC8" s="12" t="s">
        <v>475</v>
      </c>
      <c r="BD8" s="12" t="s">
        <v>476</v>
      </c>
      <c r="BE8" s="12" t="s">
        <v>477</v>
      </c>
      <c r="BF8" s="12" t="s">
        <v>478</v>
      </c>
      <c r="BG8" s="12" t="s">
        <v>21</v>
      </c>
      <c r="BH8" s="12" t="s">
        <v>22</v>
      </c>
      <c r="BI8" s="12" t="s">
        <v>20</v>
      </c>
      <c r="BJ8" s="12" t="s">
        <v>479</v>
      </c>
      <c r="BK8" s="12" t="s">
        <v>480</v>
      </c>
      <c r="BL8" s="12" t="s">
        <v>481</v>
      </c>
      <c r="BM8" s="12" t="s">
        <v>482</v>
      </c>
      <c r="BN8" s="12" t="s">
        <v>21</v>
      </c>
      <c r="BO8" s="12" t="s">
        <v>22</v>
      </c>
      <c r="BP8" s="12" t="s">
        <v>20</v>
      </c>
      <c r="BQ8" s="12" t="s">
        <v>483</v>
      </c>
      <c r="BR8" s="12" t="s">
        <v>484</v>
      </c>
      <c r="BS8" s="12" t="s">
        <v>485</v>
      </c>
      <c r="BT8" s="12" t="s">
        <v>486</v>
      </c>
      <c r="BU8" s="12" t="s">
        <v>21</v>
      </c>
      <c r="BV8" s="12" t="s">
        <v>22</v>
      </c>
      <c r="BW8" s="12" t="s">
        <v>20</v>
      </c>
    </row>
    <row r="9" spans="1:75" x14ac:dyDescent="0.25">
      <c r="A9" t="s">
        <v>179</v>
      </c>
      <c r="B9" t="s">
        <v>185</v>
      </c>
      <c r="C9" t="s">
        <v>186</v>
      </c>
      <c r="D9">
        <v>304325</v>
      </c>
      <c r="E9" t="s">
        <v>417</v>
      </c>
      <c r="F9" t="s">
        <v>418</v>
      </c>
      <c r="G9" t="s">
        <v>189</v>
      </c>
      <c r="H9" t="s">
        <v>190</v>
      </c>
      <c r="I9" t="s">
        <v>180</v>
      </c>
      <c r="J9" t="s">
        <v>199</v>
      </c>
      <c r="K9" t="s">
        <v>413</v>
      </c>
      <c r="L9" s="13" t="s">
        <v>414</v>
      </c>
      <c r="M9">
        <v>232</v>
      </c>
      <c r="N9">
        <v>386</v>
      </c>
      <c r="O9">
        <v>243</v>
      </c>
      <c r="P9">
        <v>332</v>
      </c>
      <c r="Q9">
        <f t="shared" ref="Q9:R24" si="0">M9+O9</f>
        <v>475</v>
      </c>
      <c r="R9">
        <f t="shared" si="0"/>
        <v>718</v>
      </c>
      <c r="S9">
        <f t="shared" ref="S9:S24" si="1">SUM(Q9:R9)</f>
        <v>1193</v>
      </c>
      <c r="T9">
        <v>0</v>
      </c>
      <c r="U9">
        <v>1</v>
      </c>
      <c r="V9">
        <v>2</v>
      </c>
      <c r="W9">
        <v>1</v>
      </c>
      <c r="X9">
        <f t="shared" ref="X9:Y24" si="2">T9+V9</f>
        <v>2</v>
      </c>
      <c r="Y9">
        <f t="shared" si="2"/>
        <v>2</v>
      </c>
      <c r="Z9">
        <f t="shared" ref="Z9:Z24" si="3">SUM(X9:Y9)</f>
        <v>4</v>
      </c>
      <c r="AA9">
        <v>10</v>
      </c>
      <c r="AB9">
        <v>7</v>
      </c>
      <c r="AC9">
        <v>5</v>
      </c>
      <c r="AD9">
        <v>7</v>
      </c>
      <c r="AE9">
        <f t="shared" ref="AE9:AF24" si="4">AA9+AC9</f>
        <v>15</v>
      </c>
      <c r="AF9">
        <f t="shared" si="4"/>
        <v>14</v>
      </c>
      <c r="AG9">
        <f t="shared" ref="AG9:AG24" si="5">SUM(AE9:AF9)</f>
        <v>29</v>
      </c>
      <c r="AH9">
        <v>1</v>
      </c>
      <c r="AI9">
        <v>2</v>
      </c>
      <c r="AJ9">
        <v>3</v>
      </c>
      <c r="AK9">
        <v>0</v>
      </c>
      <c r="AL9">
        <f t="shared" ref="AL9:AM24" si="6">AH9+AJ9</f>
        <v>4</v>
      </c>
      <c r="AM9">
        <f t="shared" si="6"/>
        <v>2</v>
      </c>
      <c r="AN9">
        <f t="shared" ref="AN9:AN24" si="7">SUM(AL9:AM9)</f>
        <v>6</v>
      </c>
      <c r="AO9">
        <v>30</v>
      </c>
      <c r="AP9">
        <v>24</v>
      </c>
      <c r="AQ9">
        <v>25</v>
      </c>
      <c r="AR9">
        <v>19</v>
      </c>
      <c r="AS9">
        <f t="shared" ref="AS9:AT24" si="8">AO9+AQ9</f>
        <v>55</v>
      </c>
      <c r="AT9">
        <f t="shared" si="8"/>
        <v>43</v>
      </c>
      <c r="AU9">
        <f t="shared" ref="AU9:AU24" si="9">SUM(AS9:AT9)</f>
        <v>98</v>
      </c>
      <c r="AV9">
        <v>10</v>
      </c>
      <c r="AW9">
        <v>14</v>
      </c>
      <c r="AX9">
        <v>4</v>
      </c>
      <c r="AY9">
        <v>5</v>
      </c>
      <c r="AZ9">
        <f t="shared" ref="AZ9:BA24" si="10">AV9+AX9</f>
        <v>14</v>
      </c>
      <c r="BA9">
        <f t="shared" si="10"/>
        <v>19</v>
      </c>
      <c r="BB9">
        <f t="shared" ref="BB9:BB24" si="11">SUM(AZ9:BA9)</f>
        <v>33</v>
      </c>
      <c r="BC9">
        <v>56</v>
      </c>
      <c r="BD9">
        <v>75</v>
      </c>
      <c r="BE9">
        <v>33</v>
      </c>
      <c r="BF9">
        <v>71</v>
      </c>
      <c r="BG9">
        <f t="shared" ref="BG9:BH24" si="12">BC9+BE9</f>
        <v>89</v>
      </c>
      <c r="BH9">
        <f t="shared" si="12"/>
        <v>146</v>
      </c>
      <c r="BI9">
        <f t="shared" ref="BI9:BI24" si="13">SUM(BG9:BH9)</f>
        <v>235</v>
      </c>
      <c r="BJ9">
        <v>178</v>
      </c>
      <c r="BK9">
        <v>271</v>
      </c>
      <c r="BL9">
        <v>204</v>
      </c>
      <c r="BM9">
        <v>249</v>
      </c>
      <c r="BN9">
        <f t="shared" ref="BN9:BO24" si="14">BJ9+BL9</f>
        <v>382</v>
      </c>
      <c r="BO9">
        <f t="shared" si="14"/>
        <v>520</v>
      </c>
      <c r="BP9">
        <f t="shared" ref="BP9:BP24" si="15">SUM(BN9:BO9)</f>
        <v>902</v>
      </c>
      <c r="BQ9">
        <v>0</v>
      </c>
      <c r="BR9">
        <v>0</v>
      </c>
      <c r="BS9">
        <v>0</v>
      </c>
      <c r="BT9">
        <v>0</v>
      </c>
      <c r="BU9">
        <f t="shared" ref="BU9:BV24" si="16">BQ9+BS9</f>
        <v>0</v>
      </c>
      <c r="BV9">
        <f t="shared" si="16"/>
        <v>0</v>
      </c>
      <c r="BW9">
        <f t="shared" ref="BW9:BW24" si="17">SUM(BU9:BV9)</f>
        <v>0</v>
      </c>
    </row>
    <row r="10" spans="1:75" x14ac:dyDescent="0.25">
      <c r="A10" t="s">
        <v>179</v>
      </c>
      <c r="B10" t="s">
        <v>185</v>
      </c>
      <c r="C10" t="s">
        <v>186</v>
      </c>
      <c r="D10">
        <v>304326</v>
      </c>
      <c r="E10" t="s">
        <v>419</v>
      </c>
      <c r="F10" t="s">
        <v>420</v>
      </c>
      <c r="G10" t="s">
        <v>189</v>
      </c>
      <c r="H10" t="s">
        <v>190</v>
      </c>
      <c r="I10" t="s">
        <v>180</v>
      </c>
      <c r="J10" t="s">
        <v>199</v>
      </c>
      <c r="K10" t="s">
        <v>413</v>
      </c>
      <c r="L10" s="13" t="s">
        <v>414</v>
      </c>
      <c r="M10">
        <v>62</v>
      </c>
      <c r="N10">
        <v>68</v>
      </c>
      <c r="O10">
        <v>79</v>
      </c>
      <c r="P10">
        <v>74</v>
      </c>
      <c r="Q10">
        <f t="shared" si="0"/>
        <v>141</v>
      </c>
      <c r="R10">
        <f t="shared" si="0"/>
        <v>142</v>
      </c>
      <c r="S10">
        <f t="shared" si="1"/>
        <v>283</v>
      </c>
      <c r="T10">
        <v>0</v>
      </c>
      <c r="U10">
        <v>0</v>
      </c>
      <c r="V10">
        <v>1</v>
      </c>
      <c r="W10">
        <v>0</v>
      </c>
      <c r="X10">
        <f t="shared" si="2"/>
        <v>1</v>
      </c>
      <c r="Y10">
        <f t="shared" si="2"/>
        <v>0</v>
      </c>
      <c r="Z10">
        <f t="shared" si="3"/>
        <v>1</v>
      </c>
      <c r="AA10">
        <v>2</v>
      </c>
      <c r="AB10">
        <v>0</v>
      </c>
      <c r="AC10">
        <v>4</v>
      </c>
      <c r="AD10">
        <v>0</v>
      </c>
      <c r="AE10">
        <f t="shared" si="4"/>
        <v>6</v>
      </c>
      <c r="AF10">
        <f t="shared" si="4"/>
        <v>0</v>
      </c>
      <c r="AG10">
        <f t="shared" si="5"/>
        <v>6</v>
      </c>
      <c r="AH10">
        <v>2</v>
      </c>
      <c r="AI10">
        <v>0</v>
      </c>
      <c r="AJ10">
        <v>1</v>
      </c>
      <c r="AK10">
        <v>0</v>
      </c>
      <c r="AL10">
        <f t="shared" si="6"/>
        <v>3</v>
      </c>
      <c r="AM10">
        <f t="shared" si="6"/>
        <v>0</v>
      </c>
      <c r="AN10">
        <f t="shared" si="7"/>
        <v>3</v>
      </c>
      <c r="AO10">
        <v>8</v>
      </c>
      <c r="AP10">
        <v>7</v>
      </c>
      <c r="AQ10">
        <v>22</v>
      </c>
      <c r="AR10">
        <v>8</v>
      </c>
      <c r="AS10">
        <f t="shared" si="8"/>
        <v>30</v>
      </c>
      <c r="AT10">
        <f t="shared" si="8"/>
        <v>15</v>
      </c>
      <c r="AU10">
        <f t="shared" si="9"/>
        <v>45</v>
      </c>
      <c r="AV10">
        <v>3</v>
      </c>
      <c r="AW10">
        <v>2</v>
      </c>
      <c r="AX10">
        <v>2</v>
      </c>
      <c r="AY10">
        <v>4</v>
      </c>
      <c r="AZ10">
        <f t="shared" si="10"/>
        <v>5</v>
      </c>
      <c r="BA10">
        <f t="shared" si="10"/>
        <v>6</v>
      </c>
      <c r="BB10">
        <f t="shared" si="11"/>
        <v>11</v>
      </c>
      <c r="BC10">
        <v>15</v>
      </c>
      <c r="BD10">
        <v>14</v>
      </c>
      <c r="BE10">
        <v>19</v>
      </c>
      <c r="BF10">
        <v>17</v>
      </c>
      <c r="BG10">
        <f t="shared" si="12"/>
        <v>34</v>
      </c>
      <c r="BH10">
        <f t="shared" si="12"/>
        <v>31</v>
      </c>
      <c r="BI10">
        <f t="shared" si="13"/>
        <v>65</v>
      </c>
      <c r="BJ10">
        <v>40</v>
      </c>
      <c r="BK10">
        <v>49</v>
      </c>
      <c r="BL10">
        <v>41</v>
      </c>
      <c r="BM10">
        <v>46</v>
      </c>
      <c r="BN10">
        <f t="shared" si="14"/>
        <v>81</v>
      </c>
      <c r="BO10">
        <f t="shared" si="14"/>
        <v>95</v>
      </c>
      <c r="BP10">
        <f t="shared" si="15"/>
        <v>176</v>
      </c>
      <c r="BQ10">
        <v>0</v>
      </c>
      <c r="BR10">
        <v>0</v>
      </c>
      <c r="BS10">
        <v>0</v>
      </c>
      <c r="BT10">
        <v>0</v>
      </c>
      <c r="BU10">
        <f t="shared" si="16"/>
        <v>0</v>
      </c>
      <c r="BV10">
        <f t="shared" si="16"/>
        <v>0</v>
      </c>
      <c r="BW10">
        <f t="shared" si="17"/>
        <v>0</v>
      </c>
    </row>
    <row r="11" spans="1:75" x14ac:dyDescent="0.25">
      <c r="A11" t="s">
        <v>179</v>
      </c>
      <c r="B11" t="s">
        <v>185</v>
      </c>
      <c r="C11" t="s">
        <v>186</v>
      </c>
      <c r="D11">
        <v>325104</v>
      </c>
      <c r="E11" t="s">
        <v>423</v>
      </c>
      <c r="F11" t="s">
        <v>424</v>
      </c>
      <c r="G11" t="s">
        <v>189</v>
      </c>
      <c r="H11" t="s">
        <v>190</v>
      </c>
      <c r="I11" t="s">
        <v>180</v>
      </c>
      <c r="J11" t="s">
        <v>191</v>
      </c>
      <c r="K11" t="s">
        <v>413</v>
      </c>
      <c r="L11" s="13" t="s">
        <v>414</v>
      </c>
      <c r="M11">
        <v>22</v>
      </c>
      <c r="N11">
        <v>37</v>
      </c>
      <c r="O11">
        <v>34</v>
      </c>
      <c r="P11">
        <v>39</v>
      </c>
      <c r="Q11">
        <f t="shared" si="0"/>
        <v>56</v>
      </c>
      <c r="R11">
        <f t="shared" si="0"/>
        <v>76</v>
      </c>
      <c r="S11">
        <f t="shared" si="1"/>
        <v>132</v>
      </c>
      <c r="T11">
        <v>0</v>
      </c>
      <c r="U11">
        <v>0</v>
      </c>
      <c r="V11">
        <v>0</v>
      </c>
      <c r="W11">
        <v>2</v>
      </c>
      <c r="X11">
        <f t="shared" si="2"/>
        <v>0</v>
      </c>
      <c r="Y11">
        <f t="shared" si="2"/>
        <v>2</v>
      </c>
      <c r="Z11">
        <f t="shared" si="3"/>
        <v>2</v>
      </c>
      <c r="AA11">
        <v>2</v>
      </c>
      <c r="AB11">
        <v>0</v>
      </c>
      <c r="AC11">
        <v>3</v>
      </c>
      <c r="AD11">
        <v>1</v>
      </c>
      <c r="AE11">
        <f t="shared" si="4"/>
        <v>5</v>
      </c>
      <c r="AF11">
        <f t="shared" si="4"/>
        <v>1</v>
      </c>
      <c r="AG11">
        <f t="shared" si="5"/>
        <v>6</v>
      </c>
      <c r="AH11">
        <v>0</v>
      </c>
      <c r="AI11">
        <v>0</v>
      </c>
      <c r="AJ11">
        <v>0</v>
      </c>
      <c r="AK11">
        <v>0</v>
      </c>
      <c r="AL11">
        <f t="shared" si="6"/>
        <v>0</v>
      </c>
      <c r="AM11">
        <f t="shared" si="6"/>
        <v>0</v>
      </c>
      <c r="AN11">
        <f t="shared" si="7"/>
        <v>0</v>
      </c>
      <c r="AO11">
        <v>1</v>
      </c>
      <c r="AP11">
        <v>0</v>
      </c>
      <c r="AQ11">
        <v>2</v>
      </c>
      <c r="AR11">
        <v>1</v>
      </c>
      <c r="AS11">
        <f t="shared" si="8"/>
        <v>3</v>
      </c>
      <c r="AT11">
        <f t="shared" si="8"/>
        <v>1</v>
      </c>
      <c r="AU11">
        <f t="shared" si="9"/>
        <v>4</v>
      </c>
      <c r="AV11">
        <v>1</v>
      </c>
      <c r="AW11">
        <v>4</v>
      </c>
      <c r="AX11">
        <v>2</v>
      </c>
      <c r="AY11">
        <v>1</v>
      </c>
      <c r="AZ11">
        <f t="shared" si="10"/>
        <v>3</v>
      </c>
      <c r="BA11">
        <f t="shared" si="10"/>
        <v>5</v>
      </c>
      <c r="BB11">
        <f t="shared" si="11"/>
        <v>8</v>
      </c>
      <c r="BC11">
        <v>9</v>
      </c>
      <c r="BD11">
        <v>17</v>
      </c>
      <c r="BE11">
        <v>16</v>
      </c>
      <c r="BF11">
        <v>15</v>
      </c>
      <c r="BG11">
        <f t="shared" si="12"/>
        <v>25</v>
      </c>
      <c r="BH11">
        <f t="shared" si="12"/>
        <v>32</v>
      </c>
      <c r="BI11">
        <f t="shared" si="13"/>
        <v>57</v>
      </c>
      <c r="BJ11">
        <v>9</v>
      </c>
      <c r="BK11">
        <v>15</v>
      </c>
      <c r="BL11">
        <v>11</v>
      </c>
      <c r="BM11">
        <v>25</v>
      </c>
      <c r="BN11">
        <f t="shared" si="14"/>
        <v>20</v>
      </c>
      <c r="BO11">
        <f t="shared" si="14"/>
        <v>40</v>
      </c>
      <c r="BP11">
        <f t="shared" si="15"/>
        <v>60</v>
      </c>
      <c r="BQ11">
        <v>0</v>
      </c>
      <c r="BR11">
        <v>0</v>
      </c>
      <c r="BS11">
        <v>0</v>
      </c>
      <c r="BT11">
        <v>0</v>
      </c>
      <c r="BU11">
        <f t="shared" si="16"/>
        <v>0</v>
      </c>
      <c r="BV11">
        <f t="shared" si="16"/>
        <v>0</v>
      </c>
      <c r="BW11">
        <f t="shared" si="17"/>
        <v>0</v>
      </c>
    </row>
    <row r="12" spans="1:75" x14ac:dyDescent="0.25">
      <c r="A12" t="s">
        <v>179</v>
      </c>
      <c r="B12" t="s">
        <v>185</v>
      </c>
      <c r="C12" t="s">
        <v>186</v>
      </c>
      <c r="D12">
        <v>500454</v>
      </c>
      <c r="E12" t="s">
        <v>215</v>
      </c>
      <c r="F12" t="s">
        <v>216</v>
      </c>
      <c r="G12" t="s">
        <v>189</v>
      </c>
      <c r="H12" t="s">
        <v>190</v>
      </c>
      <c r="I12" t="s">
        <v>180</v>
      </c>
      <c r="J12" t="s">
        <v>199</v>
      </c>
      <c r="K12" t="s">
        <v>217</v>
      </c>
      <c r="L12" s="13" t="s">
        <v>218</v>
      </c>
      <c r="M12">
        <v>8</v>
      </c>
      <c r="N12">
        <v>6</v>
      </c>
      <c r="O12">
        <v>4</v>
      </c>
      <c r="P12">
        <v>4</v>
      </c>
      <c r="Q12">
        <f t="shared" si="0"/>
        <v>12</v>
      </c>
      <c r="R12">
        <f t="shared" si="0"/>
        <v>10</v>
      </c>
      <c r="S12">
        <f t="shared" si="1"/>
        <v>22</v>
      </c>
      <c r="T12">
        <v>0</v>
      </c>
      <c r="U12">
        <v>0</v>
      </c>
      <c r="V12">
        <v>0</v>
      </c>
      <c r="W12">
        <v>0</v>
      </c>
      <c r="X12">
        <f t="shared" si="2"/>
        <v>0</v>
      </c>
      <c r="Y12">
        <f t="shared" si="2"/>
        <v>0</v>
      </c>
      <c r="Z12">
        <f t="shared" si="3"/>
        <v>0</v>
      </c>
      <c r="AA12">
        <v>0</v>
      </c>
      <c r="AB12">
        <v>0</v>
      </c>
      <c r="AC12">
        <v>0</v>
      </c>
      <c r="AD12">
        <v>0</v>
      </c>
      <c r="AE12">
        <f t="shared" si="4"/>
        <v>0</v>
      </c>
      <c r="AF12">
        <f t="shared" si="4"/>
        <v>0</v>
      </c>
      <c r="AG12">
        <f t="shared" si="5"/>
        <v>0</v>
      </c>
      <c r="AH12">
        <v>0</v>
      </c>
      <c r="AI12">
        <v>0</v>
      </c>
      <c r="AJ12">
        <v>0</v>
      </c>
      <c r="AK12">
        <v>0</v>
      </c>
      <c r="AL12">
        <f t="shared" si="6"/>
        <v>0</v>
      </c>
      <c r="AM12">
        <f t="shared" si="6"/>
        <v>0</v>
      </c>
      <c r="AN12">
        <f t="shared" si="7"/>
        <v>0</v>
      </c>
      <c r="AO12">
        <v>1</v>
      </c>
      <c r="AP12">
        <v>1</v>
      </c>
      <c r="AQ12">
        <v>0</v>
      </c>
      <c r="AR12">
        <v>0</v>
      </c>
      <c r="AS12">
        <f t="shared" si="8"/>
        <v>1</v>
      </c>
      <c r="AT12">
        <f t="shared" si="8"/>
        <v>1</v>
      </c>
      <c r="AU12">
        <f t="shared" si="9"/>
        <v>2</v>
      </c>
      <c r="AV12">
        <v>0</v>
      </c>
      <c r="AW12">
        <v>0</v>
      </c>
      <c r="AX12">
        <v>0</v>
      </c>
      <c r="AY12">
        <v>0</v>
      </c>
      <c r="AZ12">
        <f t="shared" si="10"/>
        <v>0</v>
      </c>
      <c r="BA12">
        <f t="shared" si="10"/>
        <v>0</v>
      </c>
      <c r="BB12">
        <f t="shared" si="11"/>
        <v>0</v>
      </c>
      <c r="BC12">
        <v>0</v>
      </c>
      <c r="BD12">
        <v>1</v>
      </c>
      <c r="BE12">
        <v>0</v>
      </c>
      <c r="BF12">
        <v>0</v>
      </c>
      <c r="BG12">
        <f t="shared" si="12"/>
        <v>0</v>
      </c>
      <c r="BH12">
        <f t="shared" si="12"/>
        <v>1</v>
      </c>
      <c r="BI12">
        <f t="shared" si="13"/>
        <v>1</v>
      </c>
      <c r="BJ12">
        <v>8</v>
      </c>
      <c r="BK12">
        <v>6</v>
      </c>
      <c r="BL12">
        <v>4</v>
      </c>
      <c r="BM12">
        <v>4</v>
      </c>
      <c r="BN12">
        <f t="shared" si="14"/>
        <v>12</v>
      </c>
      <c r="BO12">
        <f t="shared" si="14"/>
        <v>10</v>
      </c>
      <c r="BP12">
        <f t="shared" si="15"/>
        <v>22</v>
      </c>
      <c r="BQ12">
        <v>1</v>
      </c>
      <c r="BR12">
        <v>0</v>
      </c>
      <c r="BS12">
        <v>0</v>
      </c>
      <c r="BT12">
        <v>0</v>
      </c>
      <c r="BU12">
        <f t="shared" si="16"/>
        <v>1</v>
      </c>
      <c r="BV12">
        <f t="shared" si="16"/>
        <v>0</v>
      </c>
      <c r="BW12">
        <f t="shared" si="17"/>
        <v>1</v>
      </c>
    </row>
    <row r="13" spans="1:75" x14ac:dyDescent="0.25">
      <c r="A13" t="s">
        <v>179</v>
      </c>
      <c r="B13" t="s">
        <v>185</v>
      </c>
      <c r="C13" t="s">
        <v>222</v>
      </c>
      <c r="D13">
        <v>304303</v>
      </c>
      <c r="E13" t="s">
        <v>425</v>
      </c>
      <c r="F13" t="s">
        <v>426</v>
      </c>
      <c r="G13" t="s">
        <v>189</v>
      </c>
      <c r="H13" t="s">
        <v>190</v>
      </c>
      <c r="I13" t="s">
        <v>180</v>
      </c>
      <c r="J13" t="s">
        <v>228</v>
      </c>
      <c r="K13" t="s">
        <v>413</v>
      </c>
      <c r="L13" s="13" t="s">
        <v>414</v>
      </c>
      <c r="M13">
        <v>16</v>
      </c>
      <c r="N13">
        <v>28</v>
      </c>
      <c r="O13">
        <v>16</v>
      </c>
      <c r="P13">
        <v>20</v>
      </c>
      <c r="Q13">
        <f t="shared" si="0"/>
        <v>32</v>
      </c>
      <c r="R13">
        <f t="shared" si="0"/>
        <v>48</v>
      </c>
      <c r="S13">
        <f t="shared" si="1"/>
        <v>80</v>
      </c>
      <c r="T13">
        <v>0</v>
      </c>
      <c r="U13">
        <v>0</v>
      </c>
      <c r="V13">
        <v>0</v>
      </c>
      <c r="W13">
        <v>0</v>
      </c>
      <c r="X13">
        <f t="shared" si="2"/>
        <v>0</v>
      </c>
      <c r="Y13">
        <f t="shared" si="2"/>
        <v>0</v>
      </c>
      <c r="Z13">
        <f t="shared" si="3"/>
        <v>0</v>
      </c>
      <c r="AA13">
        <v>0</v>
      </c>
      <c r="AB13">
        <v>0</v>
      </c>
      <c r="AC13">
        <v>0</v>
      </c>
      <c r="AD13">
        <v>0</v>
      </c>
      <c r="AE13">
        <f t="shared" si="4"/>
        <v>0</v>
      </c>
      <c r="AF13">
        <f t="shared" si="4"/>
        <v>0</v>
      </c>
      <c r="AG13">
        <f t="shared" si="5"/>
        <v>0</v>
      </c>
      <c r="AH13">
        <v>0</v>
      </c>
      <c r="AI13">
        <v>0</v>
      </c>
      <c r="AJ13">
        <v>0</v>
      </c>
      <c r="AK13">
        <v>0</v>
      </c>
      <c r="AL13">
        <f t="shared" si="6"/>
        <v>0</v>
      </c>
      <c r="AM13">
        <f t="shared" si="6"/>
        <v>0</v>
      </c>
      <c r="AN13">
        <f t="shared" si="7"/>
        <v>0</v>
      </c>
      <c r="AO13">
        <v>0</v>
      </c>
      <c r="AP13">
        <v>0</v>
      </c>
      <c r="AQ13">
        <v>0</v>
      </c>
      <c r="AR13">
        <v>0</v>
      </c>
      <c r="AS13">
        <f t="shared" si="8"/>
        <v>0</v>
      </c>
      <c r="AT13">
        <f t="shared" si="8"/>
        <v>0</v>
      </c>
      <c r="AU13">
        <f t="shared" si="9"/>
        <v>0</v>
      </c>
      <c r="AV13">
        <v>0</v>
      </c>
      <c r="AW13">
        <v>0</v>
      </c>
      <c r="AX13">
        <v>0</v>
      </c>
      <c r="AY13">
        <v>0</v>
      </c>
      <c r="AZ13">
        <f t="shared" si="10"/>
        <v>0</v>
      </c>
      <c r="BA13">
        <f t="shared" si="10"/>
        <v>0</v>
      </c>
      <c r="BB13">
        <f t="shared" si="11"/>
        <v>0</v>
      </c>
      <c r="BC13">
        <v>0</v>
      </c>
      <c r="BD13">
        <v>0</v>
      </c>
      <c r="BE13">
        <v>0</v>
      </c>
      <c r="BF13">
        <v>0</v>
      </c>
      <c r="BG13">
        <f t="shared" si="12"/>
        <v>0</v>
      </c>
      <c r="BH13">
        <f t="shared" si="12"/>
        <v>0</v>
      </c>
      <c r="BI13">
        <f t="shared" si="13"/>
        <v>0</v>
      </c>
      <c r="BJ13">
        <v>0</v>
      </c>
      <c r="BK13">
        <v>0</v>
      </c>
      <c r="BL13">
        <v>0</v>
      </c>
      <c r="BM13">
        <v>0</v>
      </c>
      <c r="BN13">
        <f t="shared" si="14"/>
        <v>0</v>
      </c>
      <c r="BO13">
        <f t="shared" si="14"/>
        <v>0</v>
      </c>
      <c r="BP13">
        <f t="shared" si="15"/>
        <v>0</v>
      </c>
      <c r="BQ13">
        <v>0</v>
      </c>
      <c r="BR13">
        <v>0</v>
      </c>
      <c r="BS13">
        <v>0</v>
      </c>
      <c r="BT13">
        <v>0</v>
      </c>
      <c r="BU13">
        <f t="shared" si="16"/>
        <v>0</v>
      </c>
      <c r="BV13">
        <f t="shared" si="16"/>
        <v>0</v>
      </c>
      <c r="BW13">
        <f t="shared" si="17"/>
        <v>0</v>
      </c>
    </row>
    <row r="14" spans="1:75" x14ac:dyDescent="0.25">
      <c r="A14" t="s">
        <v>179</v>
      </c>
      <c r="B14" t="s">
        <v>185</v>
      </c>
      <c r="C14" t="s">
        <v>222</v>
      </c>
      <c r="D14">
        <v>304305</v>
      </c>
      <c r="E14" t="s">
        <v>427</v>
      </c>
      <c r="F14" t="s">
        <v>428</v>
      </c>
      <c r="G14" t="s">
        <v>189</v>
      </c>
      <c r="H14" t="s">
        <v>190</v>
      </c>
      <c r="I14" t="s">
        <v>180</v>
      </c>
      <c r="J14" t="s">
        <v>239</v>
      </c>
      <c r="K14" t="s">
        <v>413</v>
      </c>
      <c r="L14" s="13" t="s">
        <v>414</v>
      </c>
      <c r="M14">
        <v>12</v>
      </c>
      <c r="N14">
        <v>17</v>
      </c>
      <c r="O14">
        <v>8</v>
      </c>
      <c r="P14">
        <v>26</v>
      </c>
      <c r="Q14">
        <f t="shared" si="0"/>
        <v>20</v>
      </c>
      <c r="R14">
        <f t="shared" si="0"/>
        <v>43</v>
      </c>
      <c r="S14">
        <f t="shared" si="1"/>
        <v>63</v>
      </c>
      <c r="T14">
        <v>0</v>
      </c>
      <c r="U14">
        <v>0</v>
      </c>
      <c r="V14">
        <v>0</v>
      </c>
      <c r="W14">
        <v>0</v>
      </c>
      <c r="X14">
        <f t="shared" si="2"/>
        <v>0</v>
      </c>
      <c r="Y14">
        <f t="shared" si="2"/>
        <v>0</v>
      </c>
      <c r="Z14">
        <f t="shared" si="3"/>
        <v>0</v>
      </c>
      <c r="AA14">
        <v>0</v>
      </c>
      <c r="AB14">
        <v>0</v>
      </c>
      <c r="AC14">
        <v>0</v>
      </c>
      <c r="AD14">
        <v>0</v>
      </c>
      <c r="AE14">
        <f t="shared" si="4"/>
        <v>0</v>
      </c>
      <c r="AF14">
        <f t="shared" si="4"/>
        <v>0</v>
      </c>
      <c r="AG14">
        <f t="shared" si="5"/>
        <v>0</v>
      </c>
      <c r="AH14">
        <v>0</v>
      </c>
      <c r="AI14">
        <v>0</v>
      </c>
      <c r="AJ14">
        <v>0</v>
      </c>
      <c r="AK14">
        <v>0</v>
      </c>
      <c r="AL14">
        <f t="shared" si="6"/>
        <v>0</v>
      </c>
      <c r="AM14">
        <f t="shared" si="6"/>
        <v>0</v>
      </c>
      <c r="AN14">
        <f t="shared" si="7"/>
        <v>0</v>
      </c>
      <c r="AO14">
        <v>0</v>
      </c>
      <c r="AP14">
        <v>0</v>
      </c>
      <c r="AQ14">
        <v>0</v>
      </c>
      <c r="AR14">
        <v>0</v>
      </c>
      <c r="AS14">
        <f t="shared" si="8"/>
        <v>0</v>
      </c>
      <c r="AT14">
        <f t="shared" si="8"/>
        <v>0</v>
      </c>
      <c r="AU14">
        <f t="shared" si="9"/>
        <v>0</v>
      </c>
      <c r="AV14">
        <v>0</v>
      </c>
      <c r="AW14">
        <v>0</v>
      </c>
      <c r="AX14">
        <v>0</v>
      </c>
      <c r="AY14">
        <v>0</v>
      </c>
      <c r="AZ14">
        <f t="shared" si="10"/>
        <v>0</v>
      </c>
      <c r="BA14">
        <f t="shared" si="10"/>
        <v>0</v>
      </c>
      <c r="BB14">
        <f t="shared" si="11"/>
        <v>0</v>
      </c>
      <c r="BC14">
        <v>0</v>
      </c>
      <c r="BD14">
        <v>0</v>
      </c>
      <c r="BE14">
        <v>0</v>
      </c>
      <c r="BF14">
        <v>0</v>
      </c>
      <c r="BG14">
        <f t="shared" si="12"/>
        <v>0</v>
      </c>
      <c r="BH14">
        <f t="shared" si="12"/>
        <v>0</v>
      </c>
      <c r="BI14">
        <f t="shared" si="13"/>
        <v>0</v>
      </c>
      <c r="BJ14">
        <v>0</v>
      </c>
      <c r="BK14">
        <v>0</v>
      </c>
      <c r="BL14">
        <v>0</v>
      </c>
      <c r="BM14">
        <v>0</v>
      </c>
      <c r="BN14">
        <f t="shared" si="14"/>
        <v>0</v>
      </c>
      <c r="BO14">
        <f t="shared" si="14"/>
        <v>0</v>
      </c>
      <c r="BP14">
        <f t="shared" si="15"/>
        <v>0</v>
      </c>
      <c r="BQ14">
        <v>0</v>
      </c>
      <c r="BR14">
        <v>0</v>
      </c>
      <c r="BS14">
        <v>0</v>
      </c>
      <c r="BT14">
        <v>0</v>
      </c>
      <c r="BU14">
        <f t="shared" si="16"/>
        <v>0</v>
      </c>
      <c r="BV14">
        <f t="shared" si="16"/>
        <v>0</v>
      </c>
      <c r="BW14">
        <f t="shared" si="17"/>
        <v>0</v>
      </c>
    </row>
    <row r="15" spans="1:75" x14ac:dyDescent="0.25">
      <c r="A15" t="s">
        <v>179</v>
      </c>
      <c r="B15" t="s">
        <v>185</v>
      </c>
      <c r="C15" t="s">
        <v>222</v>
      </c>
      <c r="D15">
        <v>304314</v>
      </c>
      <c r="E15" t="s">
        <v>429</v>
      </c>
      <c r="F15" t="s">
        <v>259</v>
      </c>
      <c r="G15" t="s">
        <v>189</v>
      </c>
      <c r="H15" t="s">
        <v>190</v>
      </c>
      <c r="I15" t="s">
        <v>180</v>
      </c>
      <c r="J15" t="s">
        <v>260</v>
      </c>
      <c r="K15" t="s">
        <v>413</v>
      </c>
      <c r="L15" s="13" t="s">
        <v>414</v>
      </c>
      <c r="M15">
        <v>19</v>
      </c>
      <c r="N15">
        <v>20</v>
      </c>
      <c r="O15">
        <v>8</v>
      </c>
      <c r="P15">
        <v>12</v>
      </c>
      <c r="Q15">
        <f t="shared" si="0"/>
        <v>27</v>
      </c>
      <c r="R15">
        <f t="shared" si="0"/>
        <v>32</v>
      </c>
      <c r="S15">
        <f t="shared" si="1"/>
        <v>59</v>
      </c>
      <c r="T15">
        <v>0</v>
      </c>
      <c r="U15">
        <v>0</v>
      </c>
      <c r="V15">
        <v>0</v>
      </c>
      <c r="W15">
        <v>0</v>
      </c>
      <c r="X15">
        <f t="shared" si="2"/>
        <v>0</v>
      </c>
      <c r="Y15">
        <f t="shared" si="2"/>
        <v>0</v>
      </c>
      <c r="Z15">
        <f t="shared" si="3"/>
        <v>0</v>
      </c>
      <c r="AA15">
        <v>0</v>
      </c>
      <c r="AB15">
        <v>1</v>
      </c>
      <c r="AC15">
        <v>0</v>
      </c>
      <c r="AD15">
        <v>1</v>
      </c>
      <c r="AE15">
        <f t="shared" si="4"/>
        <v>0</v>
      </c>
      <c r="AF15">
        <f t="shared" si="4"/>
        <v>2</v>
      </c>
      <c r="AG15">
        <f t="shared" si="5"/>
        <v>2</v>
      </c>
      <c r="AH15">
        <v>0</v>
      </c>
      <c r="AI15">
        <v>0</v>
      </c>
      <c r="AJ15">
        <v>1</v>
      </c>
      <c r="AK15">
        <v>0</v>
      </c>
      <c r="AL15">
        <f t="shared" si="6"/>
        <v>1</v>
      </c>
      <c r="AM15">
        <f t="shared" si="6"/>
        <v>0</v>
      </c>
      <c r="AN15">
        <f t="shared" si="7"/>
        <v>1</v>
      </c>
      <c r="AO15">
        <v>3</v>
      </c>
      <c r="AP15">
        <v>0</v>
      </c>
      <c r="AQ15">
        <v>0</v>
      </c>
      <c r="AR15">
        <v>1</v>
      </c>
      <c r="AS15">
        <f t="shared" si="8"/>
        <v>3</v>
      </c>
      <c r="AT15">
        <f t="shared" si="8"/>
        <v>1</v>
      </c>
      <c r="AU15">
        <f t="shared" si="9"/>
        <v>4</v>
      </c>
      <c r="AV15">
        <v>0</v>
      </c>
      <c r="AW15">
        <v>0</v>
      </c>
      <c r="AX15">
        <v>1</v>
      </c>
      <c r="AY15">
        <v>1</v>
      </c>
      <c r="AZ15">
        <f t="shared" si="10"/>
        <v>1</v>
      </c>
      <c r="BA15">
        <f t="shared" si="10"/>
        <v>1</v>
      </c>
      <c r="BB15">
        <f t="shared" si="11"/>
        <v>2</v>
      </c>
      <c r="BC15">
        <v>3</v>
      </c>
      <c r="BD15">
        <v>6</v>
      </c>
      <c r="BE15">
        <v>2</v>
      </c>
      <c r="BF15">
        <v>5</v>
      </c>
      <c r="BG15">
        <f t="shared" si="12"/>
        <v>5</v>
      </c>
      <c r="BH15">
        <f t="shared" si="12"/>
        <v>11</v>
      </c>
      <c r="BI15">
        <f t="shared" si="13"/>
        <v>16</v>
      </c>
      <c r="BJ15">
        <v>19</v>
      </c>
      <c r="BK15">
        <v>15</v>
      </c>
      <c r="BL15">
        <v>6</v>
      </c>
      <c r="BM15">
        <v>8</v>
      </c>
      <c r="BN15">
        <f t="shared" si="14"/>
        <v>25</v>
      </c>
      <c r="BO15">
        <f t="shared" si="14"/>
        <v>23</v>
      </c>
      <c r="BP15">
        <f t="shared" si="15"/>
        <v>48</v>
      </c>
      <c r="BQ15">
        <v>0</v>
      </c>
      <c r="BR15">
        <v>0</v>
      </c>
      <c r="BS15">
        <v>0</v>
      </c>
      <c r="BT15">
        <v>0</v>
      </c>
      <c r="BU15">
        <f t="shared" si="16"/>
        <v>0</v>
      </c>
      <c r="BV15">
        <f t="shared" si="16"/>
        <v>0</v>
      </c>
      <c r="BW15">
        <f t="shared" si="17"/>
        <v>0</v>
      </c>
    </row>
    <row r="16" spans="1:75" x14ac:dyDescent="0.25">
      <c r="A16" t="s">
        <v>179</v>
      </c>
      <c r="B16" t="s">
        <v>185</v>
      </c>
      <c r="C16" t="s">
        <v>222</v>
      </c>
      <c r="D16">
        <v>304327</v>
      </c>
      <c r="E16" t="s">
        <v>430</v>
      </c>
      <c r="F16" t="s">
        <v>431</v>
      </c>
      <c r="G16" t="s">
        <v>189</v>
      </c>
      <c r="H16" t="s">
        <v>190</v>
      </c>
      <c r="I16" t="s">
        <v>180</v>
      </c>
      <c r="J16" t="s">
        <v>257</v>
      </c>
      <c r="K16" t="s">
        <v>413</v>
      </c>
      <c r="L16" s="13" t="s">
        <v>414</v>
      </c>
      <c r="M16">
        <v>0</v>
      </c>
      <c r="N16">
        <v>0</v>
      </c>
      <c r="O16">
        <v>0</v>
      </c>
      <c r="P16">
        <v>0</v>
      </c>
      <c r="Q16">
        <f t="shared" si="0"/>
        <v>0</v>
      </c>
      <c r="R16">
        <f t="shared" si="0"/>
        <v>0</v>
      </c>
      <c r="S16">
        <f t="shared" si="1"/>
        <v>0</v>
      </c>
      <c r="T16">
        <v>0</v>
      </c>
      <c r="U16">
        <v>0</v>
      </c>
      <c r="V16">
        <v>0</v>
      </c>
      <c r="W16">
        <v>0</v>
      </c>
      <c r="X16">
        <f t="shared" si="2"/>
        <v>0</v>
      </c>
      <c r="Y16">
        <f t="shared" si="2"/>
        <v>0</v>
      </c>
      <c r="Z16">
        <f t="shared" si="3"/>
        <v>0</v>
      </c>
      <c r="AA16">
        <v>0</v>
      </c>
      <c r="AB16">
        <v>0</v>
      </c>
      <c r="AC16">
        <v>0</v>
      </c>
      <c r="AD16">
        <v>0</v>
      </c>
      <c r="AE16">
        <f t="shared" si="4"/>
        <v>0</v>
      </c>
      <c r="AF16">
        <f t="shared" si="4"/>
        <v>0</v>
      </c>
      <c r="AG16">
        <f t="shared" si="5"/>
        <v>0</v>
      </c>
      <c r="AH16">
        <v>0</v>
      </c>
      <c r="AI16">
        <v>0</v>
      </c>
      <c r="AJ16">
        <v>0</v>
      </c>
      <c r="AK16">
        <v>0</v>
      </c>
      <c r="AL16">
        <f t="shared" si="6"/>
        <v>0</v>
      </c>
      <c r="AM16">
        <f t="shared" si="6"/>
        <v>0</v>
      </c>
      <c r="AN16">
        <f t="shared" si="7"/>
        <v>0</v>
      </c>
      <c r="AO16">
        <v>0</v>
      </c>
      <c r="AP16">
        <v>0</v>
      </c>
      <c r="AQ16">
        <v>0</v>
      </c>
      <c r="AR16">
        <v>0</v>
      </c>
      <c r="AS16">
        <f t="shared" si="8"/>
        <v>0</v>
      </c>
      <c r="AT16">
        <f t="shared" si="8"/>
        <v>0</v>
      </c>
      <c r="AU16">
        <f t="shared" si="9"/>
        <v>0</v>
      </c>
      <c r="AV16">
        <v>0</v>
      </c>
      <c r="AW16">
        <v>0</v>
      </c>
      <c r="AX16">
        <v>0</v>
      </c>
      <c r="AY16">
        <v>0</v>
      </c>
      <c r="AZ16">
        <f t="shared" si="10"/>
        <v>0</v>
      </c>
      <c r="BA16">
        <f t="shared" si="10"/>
        <v>0</v>
      </c>
      <c r="BB16">
        <f t="shared" si="11"/>
        <v>0</v>
      </c>
      <c r="BC16">
        <v>0</v>
      </c>
      <c r="BD16">
        <v>0</v>
      </c>
      <c r="BE16">
        <v>0</v>
      </c>
      <c r="BF16">
        <v>0</v>
      </c>
      <c r="BG16">
        <f t="shared" si="12"/>
        <v>0</v>
      </c>
      <c r="BH16">
        <f t="shared" si="12"/>
        <v>0</v>
      </c>
      <c r="BI16">
        <f t="shared" si="13"/>
        <v>0</v>
      </c>
      <c r="BJ16">
        <v>0</v>
      </c>
      <c r="BK16">
        <v>0</v>
      </c>
      <c r="BL16">
        <v>0</v>
      </c>
      <c r="BM16">
        <v>0</v>
      </c>
      <c r="BN16">
        <f t="shared" si="14"/>
        <v>0</v>
      </c>
      <c r="BO16">
        <f t="shared" si="14"/>
        <v>0</v>
      </c>
      <c r="BP16">
        <f t="shared" si="15"/>
        <v>0</v>
      </c>
      <c r="BQ16">
        <v>0</v>
      </c>
      <c r="BR16">
        <v>0</v>
      </c>
      <c r="BS16">
        <v>0</v>
      </c>
      <c r="BT16">
        <v>0</v>
      </c>
      <c r="BU16">
        <f t="shared" si="16"/>
        <v>0</v>
      </c>
      <c r="BV16">
        <f t="shared" si="16"/>
        <v>0</v>
      </c>
      <c r="BW16">
        <f t="shared" si="17"/>
        <v>0</v>
      </c>
    </row>
    <row r="17" spans="1:75" x14ac:dyDescent="0.25">
      <c r="A17" t="s">
        <v>179</v>
      </c>
      <c r="B17" t="s">
        <v>185</v>
      </c>
      <c r="C17" t="s">
        <v>222</v>
      </c>
      <c r="D17">
        <v>304328</v>
      </c>
      <c r="E17" t="s">
        <v>432</v>
      </c>
      <c r="F17" t="s">
        <v>433</v>
      </c>
      <c r="G17" t="s">
        <v>189</v>
      </c>
      <c r="H17" t="s">
        <v>190</v>
      </c>
      <c r="I17" t="s">
        <v>180</v>
      </c>
      <c r="J17" t="s">
        <v>234</v>
      </c>
      <c r="K17" t="s">
        <v>413</v>
      </c>
      <c r="L17" s="13" t="s">
        <v>414</v>
      </c>
      <c r="M17">
        <v>28</v>
      </c>
      <c r="N17">
        <v>80</v>
      </c>
      <c r="O17">
        <v>50</v>
      </c>
      <c r="P17">
        <v>54</v>
      </c>
      <c r="Q17">
        <f t="shared" si="0"/>
        <v>78</v>
      </c>
      <c r="R17">
        <f t="shared" si="0"/>
        <v>134</v>
      </c>
      <c r="S17">
        <f t="shared" si="1"/>
        <v>212</v>
      </c>
      <c r="T17">
        <v>4</v>
      </c>
      <c r="U17">
        <v>1</v>
      </c>
      <c r="V17">
        <v>2</v>
      </c>
      <c r="W17">
        <v>0</v>
      </c>
      <c r="X17">
        <f t="shared" si="2"/>
        <v>6</v>
      </c>
      <c r="Y17">
        <f t="shared" si="2"/>
        <v>1</v>
      </c>
      <c r="Z17">
        <f t="shared" si="3"/>
        <v>7</v>
      </c>
      <c r="AA17">
        <v>3</v>
      </c>
      <c r="AB17">
        <v>2</v>
      </c>
      <c r="AC17">
        <v>3</v>
      </c>
      <c r="AD17">
        <v>2</v>
      </c>
      <c r="AE17">
        <f t="shared" si="4"/>
        <v>6</v>
      </c>
      <c r="AF17">
        <f t="shared" si="4"/>
        <v>4</v>
      </c>
      <c r="AG17">
        <f t="shared" si="5"/>
        <v>10</v>
      </c>
      <c r="AH17">
        <v>0</v>
      </c>
      <c r="AI17">
        <v>0</v>
      </c>
      <c r="AJ17">
        <v>0</v>
      </c>
      <c r="AK17">
        <v>0</v>
      </c>
      <c r="AL17">
        <f t="shared" si="6"/>
        <v>0</v>
      </c>
      <c r="AM17">
        <f t="shared" si="6"/>
        <v>0</v>
      </c>
      <c r="AN17">
        <f t="shared" si="7"/>
        <v>0</v>
      </c>
      <c r="AO17">
        <v>0</v>
      </c>
      <c r="AP17">
        <v>0</v>
      </c>
      <c r="AQ17">
        <v>0</v>
      </c>
      <c r="AR17">
        <v>1</v>
      </c>
      <c r="AS17">
        <f t="shared" si="8"/>
        <v>0</v>
      </c>
      <c r="AT17">
        <f t="shared" si="8"/>
        <v>1</v>
      </c>
      <c r="AU17">
        <f t="shared" si="9"/>
        <v>1</v>
      </c>
      <c r="AV17">
        <v>0</v>
      </c>
      <c r="AW17">
        <v>0</v>
      </c>
      <c r="AX17">
        <v>0</v>
      </c>
      <c r="AY17">
        <v>0</v>
      </c>
      <c r="AZ17">
        <f t="shared" si="10"/>
        <v>0</v>
      </c>
      <c r="BA17">
        <f t="shared" si="10"/>
        <v>0</v>
      </c>
      <c r="BB17">
        <f t="shared" si="11"/>
        <v>0</v>
      </c>
      <c r="BC17">
        <v>3</v>
      </c>
      <c r="BD17">
        <v>8</v>
      </c>
      <c r="BE17">
        <v>2</v>
      </c>
      <c r="BF17">
        <v>3</v>
      </c>
      <c r="BG17">
        <f t="shared" si="12"/>
        <v>5</v>
      </c>
      <c r="BH17">
        <f t="shared" si="12"/>
        <v>11</v>
      </c>
      <c r="BI17">
        <f t="shared" si="13"/>
        <v>16</v>
      </c>
      <c r="BJ17">
        <v>30</v>
      </c>
      <c r="BK17">
        <v>73</v>
      </c>
      <c r="BL17">
        <v>51</v>
      </c>
      <c r="BM17">
        <v>53</v>
      </c>
      <c r="BN17">
        <f t="shared" si="14"/>
        <v>81</v>
      </c>
      <c r="BO17">
        <f t="shared" si="14"/>
        <v>126</v>
      </c>
      <c r="BP17">
        <f t="shared" si="15"/>
        <v>207</v>
      </c>
      <c r="BQ17">
        <v>0</v>
      </c>
      <c r="BR17">
        <v>0</v>
      </c>
      <c r="BS17">
        <v>0</v>
      </c>
      <c r="BT17">
        <v>0</v>
      </c>
      <c r="BU17">
        <f t="shared" si="16"/>
        <v>0</v>
      </c>
      <c r="BV17">
        <f t="shared" si="16"/>
        <v>0</v>
      </c>
      <c r="BW17">
        <f t="shared" si="17"/>
        <v>0</v>
      </c>
    </row>
    <row r="18" spans="1:75" x14ac:dyDescent="0.25">
      <c r="A18" t="s">
        <v>179</v>
      </c>
      <c r="B18" t="s">
        <v>185</v>
      </c>
      <c r="C18" t="s">
        <v>222</v>
      </c>
      <c r="D18">
        <v>304338</v>
      </c>
      <c r="E18" t="s">
        <v>434</v>
      </c>
      <c r="F18" t="s">
        <v>435</v>
      </c>
      <c r="G18" t="s">
        <v>189</v>
      </c>
      <c r="H18" t="s">
        <v>190</v>
      </c>
      <c r="I18" t="s">
        <v>180</v>
      </c>
      <c r="J18" t="s">
        <v>274</v>
      </c>
      <c r="K18" t="s">
        <v>413</v>
      </c>
      <c r="L18" s="13" t="s">
        <v>414</v>
      </c>
      <c r="M18">
        <v>17</v>
      </c>
      <c r="N18">
        <v>17</v>
      </c>
      <c r="O18">
        <v>13</v>
      </c>
      <c r="P18">
        <v>6</v>
      </c>
      <c r="Q18">
        <f t="shared" si="0"/>
        <v>30</v>
      </c>
      <c r="R18">
        <f t="shared" si="0"/>
        <v>23</v>
      </c>
      <c r="S18">
        <f t="shared" si="1"/>
        <v>53</v>
      </c>
      <c r="T18">
        <v>0</v>
      </c>
      <c r="U18">
        <v>0</v>
      </c>
      <c r="V18">
        <v>0</v>
      </c>
      <c r="W18">
        <v>0</v>
      </c>
      <c r="X18">
        <f t="shared" si="2"/>
        <v>0</v>
      </c>
      <c r="Y18">
        <f t="shared" si="2"/>
        <v>0</v>
      </c>
      <c r="Z18">
        <f t="shared" si="3"/>
        <v>0</v>
      </c>
      <c r="AA18">
        <v>0</v>
      </c>
      <c r="AB18">
        <v>0</v>
      </c>
      <c r="AC18">
        <v>0</v>
      </c>
      <c r="AD18">
        <v>0</v>
      </c>
      <c r="AE18">
        <f t="shared" si="4"/>
        <v>0</v>
      </c>
      <c r="AF18">
        <f t="shared" si="4"/>
        <v>0</v>
      </c>
      <c r="AG18">
        <f t="shared" si="5"/>
        <v>0</v>
      </c>
      <c r="AH18">
        <v>0</v>
      </c>
      <c r="AI18">
        <v>0</v>
      </c>
      <c r="AJ18">
        <v>0</v>
      </c>
      <c r="AK18">
        <v>0</v>
      </c>
      <c r="AL18">
        <f t="shared" si="6"/>
        <v>0</v>
      </c>
      <c r="AM18">
        <f t="shared" si="6"/>
        <v>0</v>
      </c>
      <c r="AN18">
        <f t="shared" si="7"/>
        <v>0</v>
      </c>
      <c r="AO18">
        <v>0</v>
      </c>
      <c r="AP18">
        <v>0</v>
      </c>
      <c r="AQ18">
        <v>0</v>
      </c>
      <c r="AR18">
        <v>0</v>
      </c>
      <c r="AS18">
        <f t="shared" si="8"/>
        <v>0</v>
      </c>
      <c r="AT18">
        <f t="shared" si="8"/>
        <v>0</v>
      </c>
      <c r="AU18">
        <f t="shared" si="9"/>
        <v>0</v>
      </c>
      <c r="AV18">
        <v>17</v>
      </c>
      <c r="AW18">
        <v>17</v>
      </c>
      <c r="AX18">
        <v>13</v>
      </c>
      <c r="AY18">
        <v>6</v>
      </c>
      <c r="AZ18">
        <f t="shared" si="10"/>
        <v>30</v>
      </c>
      <c r="BA18">
        <f t="shared" si="10"/>
        <v>23</v>
      </c>
      <c r="BB18">
        <f t="shared" si="11"/>
        <v>53</v>
      </c>
      <c r="BC18">
        <v>0</v>
      </c>
      <c r="BD18">
        <v>0</v>
      </c>
      <c r="BE18">
        <v>0</v>
      </c>
      <c r="BF18">
        <v>0</v>
      </c>
      <c r="BG18">
        <f t="shared" si="12"/>
        <v>0</v>
      </c>
      <c r="BH18">
        <f t="shared" si="12"/>
        <v>0</v>
      </c>
      <c r="BI18">
        <f t="shared" si="13"/>
        <v>0</v>
      </c>
      <c r="BJ18">
        <v>0</v>
      </c>
      <c r="BK18">
        <v>0</v>
      </c>
      <c r="BL18">
        <v>0</v>
      </c>
      <c r="BM18">
        <v>0</v>
      </c>
      <c r="BN18">
        <f t="shared" si="14"/>
        <v>0</v>
      </c>
      <c r="BO18">
        <f t="shared" si="14"/>
        <v>0</v>
      </c>
      <c r="BP18">
        <f t="shared" si="15"/>
        <v>0</v>
      </c>
      <c r="BQ18">
        <v>0</v>
      </c>
      <c r="BR18">
        <v>0</v>
      </c>
      <c r="BS18">
        <v>0</v>
      </c>
      <c r="BT18">
        <v>0</v>
      </c>
      <c r="BU18">
        <f t="shared" si="16"/>
        <v>0</v>
      </c>
      <c r="BV18">
        <f t="shared" si="16"/>
        <v>0</v>
      </c>
      <c r="BW18">
        <f t="shared" si="17"/>
        <v>0</v>
      </c>
    </row>
    <row r="19" spans="1:75" x14ac:dyDescent="0.25">
      <c r="A19" t="s">
        <v>179</v>
      </c>
      <c r="B19" t="s">
        <v>185</v>
      </c>
      <c r="C19" t="s">
        <v>222</v>
      </c>
      <c r="D19">
        <v>316104</v>
      </c>
      <c r="E19" t="s">
        <v>436</v>
      </c>
      <c r="F19" t="s">
        <v>325</v>
      </c>
      <c r="G19" t="s">
        <v>189</v>
      </c>
      <c r="H19" t="s">
        <v>190</v>
      </c>
      <c r="I19" t="s">
        <v>180</v>
      </c>
      <c r="J19" t="s">
        <v>245</v>
      </c>
      <c r="K19" t="s">
        <v>413</v>
      </c>
      <c r="L19" s="13" t="s">
        <v>414</v>
      </c>
      <c r="M19">
        <v>5</v>
      </c>
      <c r="N19">
        <v>20</v>
      </c>
      <c r="O19">
        <v>5</v>
      </c>
      <c r="P19">
        <v>18</v>
      </c>
      <c r="Q19">
        <f t="shared" si="0"/>
        <v>10</v>
      </c>
      <c r="R19">
        <f t="shared" si="0"/>
        <v>38</v>
      </c>
      <c r="S19">
        <f t="shared" si="1"/>
        <v>48</v>
      </c>
      <c r="T19">
        <v>0</v>
      </c>
      <c r="U19">
        <v>0</v>
      </c>
      <c r="V19">
        <v>0</v>
      </c>
      <c r="W19">
        <v>0</v>
      </c>
      <c r="X19">
        <f t="shared" si="2"/>
        <v>0</v>
      </c>
      <c r="Y19">
        <f t="shared" si="2"/>
        <v>0</v>
      </c>
      <c r="Z19">
        <f t="shared" si="3"/>
        <v>0</v>
      </c>
      <c r="AA19">
        <v>0</v>
      </c>
      <c r="AB19">
        <v>1</v>
      </c>
      <c r="AC19">
        <v>0</v>
      </c>
      <c r="AD19">
        <v>0</v>
      </c>
      <c r="AE19">
        <f t="shared" si="4"/>
        <v>0</v>
      </c>
      <c r="AF19">
        <f t="shared" si="4"/>
        <v>1</v>
      </c>
      <c r="AG19">
        <f t="shared" si="5"/>
        <v>1</v>
      </c>
      <c r="AH19">
        <v>0</v>
      </c>
      <c r="AI19">
        <v>0</v>
      </c>
      <c r="AJ19">
        <v>0</v>
      </c>
      <c r="AK19">
        <v>0</v>
      </c>
      <c r="AL19">
        <f t="shared" si="6"/>
        <v>0</v>
      </c>
      <c r="AM19">
        <f t="shared" si="6"/>
        <v>0</v>
      </c>
      <c r="AN19">
        <f t="shared" si="7"/>
        <v>0</v>
      </c>
      <c r="AO19">
        <v>1</v>
      </c>
      <c r="AP19">
        <v>1</v>
      </c>
      <c r="AQ19">
        <v>0</v>
      </c>
      <c r="AR19">
        <v>1</v>
      </c>
      <c r="AS19">
        <f t="shared" si="8"/>
        <v>1</v>
      </c>
      <c r="AT19">
        <f t="shared" si="8"/>
        <v>2</v>
      </c>
      <c r="AU19">
        <f t="shared" si="9"/>
        <v>3</v>
      </c>
      <c r="AV19">
        <v>1</v>
      </c>
      <c r="AW19">
        <v>1</v>
      </c>
      <c r="AX19">
        <v>0</v>
      </c>
      <c r="AY19">
        <v>0</v>
      </c>
      <c r="AZ19">
        <f t="shared" si="10"/>
        <v>1</v>
      </c>
      <c r="BA19">
        <f t="shared" si="10"/>
        <v>1</v>
      </c>
      <c r="BB19">
        <f t="shared" si="11"/>
        <v>2</v>
      </c>
      <c r="BC19">
        <v>2</v>
      </c>
      <c r="BD19">
        <v>5</v>
      </c>
      <c r="BE19">
        <v>2</v>
      </c>
      <c r="BF19">
        <v>4</v>
      </c>
      <c r="BG19">
        <f t="shared" si="12"/>
        <v>4</v>
      </c>
      <c r="BH19">
        <f t="shared" si="12"/>
        <v>9</v>
      </c>
      <c r="BI19">
        <f t="shared" si="13"/>
        <v>13</v>
      </c>
      <c r="BJ19">
        <v>3</v>
      </c>
      <c r="BK19">
        <v>5</v>
      </c>
      <c r="BL19">
        <v>1</v>
      </c>
      <c r="BM19">
        <v>13</v>
      </c>
      <c r="BN19">
        <f t="shared" si="14"/>
        <v>4</v>
      </c>
      <c r="BO19">
        <f t="shared" si="14"/>
        <v>18</v>
      </c>
      <c r="BP19">
        <f t="shared" si="15"/>
        <v>22</v>
      </c>
      <c r="BQ19">
        <v>0</v>
      </c>
      <c r="BR19">
        <v>0</v>
      </c>
      <c r="BS19">
        <v>0</v>
      </c>
      <c r="BT19">
        <v>0</v>
      </c>
      <c r="BU19">
        <f t="shared" si="16"/>
        <v>0</v>
      </c>
      <c r="BV19">
        <f t="shared" si="16"/>
        <v>0</v>
      </c>
      <c r="BW19">
        <f t="shared" si="17"/>
        <v>0</v>
      </c>
    </row>
    <row r="20" spans="1:75" x14ac:dyDescent="0.25">
      <c r="A20" t="s">
        <v>179</v>
      </c>
      <c r="B20" t="s">
        <v>185</v>
      </c>
      <c r="C20" t="s">
        <v>222</v>
      </c>
      <c r="D20">
        <v>325102</v>
      </c>
      <c r="E20" t="s">
        <v>439</v>
      </c>
      <c r="F20" t="s">
        <v>440</v>
      </c>
      <c r="G20" t="s">
        <v>189</v>
      </c>
      <c r="H20" t="s">
        <v>190</v>
      </c>
      <c r="I20" t="s">
        <v>180</v>
      </c>
      <c r="J20" t="s">
        <v>231</v>
      </c>
      <c r="K20" t="s">
        <v>413</v>
      </c>
      <c r="L20" s="13" t="s">
        <v>414</v>
      </c>
      <c r="M20">
        <v>5</v>
      </c>
      <c r="N20">
        <v>17</v>
      </c>
      <c r="O20">
        <v>2</v>
      </c>
      <c r="P20">
        <v>6</v>
      </c>
      <c r="Q20">
        <f t="shared" si="0"/>
        <v>7</v>
      </c>
      <c r="R20">
        <f t="shared" si="0"/>
        <v>23</v>
      </c>
      <c r="S20">
        <f t="shared" si="1"/>
        <v>30</v>
      </c>
      <c r="T20">
        <v>0</v>
      </c>
      <c r="U20">
        <v>0</v>
      </c>
      <c r="V20">
        <v>0</v>
      </c>
      <c r="W20">
        <v>0</v>
      </c>
      <c r="X20">
        <f t="shared" si="2"/>
        <v>0</v>
      </c>
      <c r="Y20">
        <f t="shared" si="2"/>
        <v>0</v>
      </c>
      <c r="Z20">
        <f t="shared" si="3"/>
        <v>0</v>
      </c>
      <c r="AA20">
        <v>1</v>
      </c>
      <c r="AB20">
        <v>2</v>
      </c>
      <c r="AC20">
        <v>0</v>
      </c>
      <c r="AD20">
        <v>0</v>
      </c>
      <c r="AE20">
        <f t="shared" si="4"/>
        <v>1</v>
      </c>
      <c r="AF20">
        <f t="shared" si="4"/>
        <v>2</v>
      </c>
      <c r="AG20">
        <f t="shared" si="5"/>
        <v>3</v>
      </c>
      <c r="AH20">
        <v>1</v>
      </c>
      <c r="AI20">
        <v>0</v>
      </c>
      <c r="AJ20">
        <v>1</v>
      </c>
      <c r="AK20">
        <v>0</v>
      </c>
      <c r="AL20">
        <f t="shared" si="6"/>
        <v>2</v>
      </c>
      <c r="AM20">
        <f t="shared" si="6"/>
        <v>0</v>
      </c>
      <c r="AN20">
        <f t="shared" si="7"/>
        <v>2</v>
      </c>
      <c r="AO20">
        <v>0</v>
      </c>
      <c r="AP20">
        <v>0</v>
      </c>
      <c r="AQ20">
        <v>0</v>
      </c>
      <c r="AR20">
        <v>0</v>
      </c>
      <c r="AS20">
        <f t="shared" si="8"/>
        <v>0</v>
      </c>
      <c r="AT20">
        <f t="shared" si="8"/>
        <v>0</v>
      </c>
      <c r="AU20">
        <f t="shared" si="9"/>
        <v>0</v>
      </c>
      <c r="AV20">
        <v>0</v>
      </c>
      <c r="AW20">
        <v>1</v>
      </c>
      <c r="AX20">
        <v>0</v>
      </c>
      <c r="AY20">
        <v>0</v>
      </c>
      <c r="AZ20">
        <f t="shared" si="10"/>
        <v>0</v>
      </c>
      <c r="BA20">
        <f t="shared" si="10"/>
        <v>1</v>
      </c>
      <c r="BB20">
        <f t="shared" si="11"/>
        <v>1</v>
      </c>
      <c r="BC20">
        <v>4</v>
      </c>
      <c r="BD20">
        <v>4</v>
      </c>
      <c r="BE20">
        <v>1</v>
      </c>
      <c r="BF20">
        <v>0</v>
      </c>
      <c r="BG20">
        <f t="shared" si="12"/>
        <v>5</v>
      </c>
      <c r="BH20">
        <f t="shared" si="12"/>
        <v>4</v>
      </c>
      <c r="BI20">
        <f t="shared" si="13"/>
        <v>9</v>
      </c>
      <c r="BJ20">
        <v>3</v>
      </c>
      <c r="BK20">
        <v>14</v>
      </c>
      <c r="BL20">
        <v>2</v>
      </c>
      <c r="BM20">
        <v>6</v>
      </c>
      <c r="BN20">
        <f t="shared" si="14"/>
        <v>5</v>
      </c>
      <c r="BO20">
        <f t="shared" si="14"/>
        <v>20</v>
      </c>
      <c r="BP20">
        <f t="shared" si="15"/>
        <v>25</v>
      </c>
      <c r="BQ20">
        <v>0</v>
      </c>
      <c r="BR20">
        <v>0</v>
      </c>
      <c r="BS20">
        <v>0</v>
      </c>
      <c r="BT20">
        <v>0</v>
      </c>
      <c r="BU20">
        <f t="shared" si="16"/>
        <v>0</v>
      </c>
      <c r="BV20">
        <f t="shared" si="16"/>
        <v>0</v>
      </c>
      <c r="BW20">
        <f t="shared" si="17"/>
        <v>0</v>
      </c>
    </row>
    <row r="21" spans="1:75" x14ac:dyDescent="0.25">
      <c r="A21" t="s">
        <v>179</v>
      </c>
      <c r="B21" t="s">
        <v>185</v>
      </c>
      <c r="C21" t="s">
        <v>222</v>
      </c>
      <c r="D21">
        <v>325106</v>
      </c>
      <c r="E21" t="s">
        <v>441</v>
      </c>
      <c r="F21" t="s">
        <v>309</v>
      </c>
      <c r="G21" t="s">
        <v>189</v>
      </c>
      <c r="H21" t="s">
        <v>190</v>
      </c>
      <c r="I21" t="s">
        <v>180</v>
      </c>
      <c r="J21" t="s">
        <v>283</v>
      </c>
      <c r="K21" t="s">
        <v>413</v>
      </c>
      <c r="L21" s="13" t="s">
        <v>414</v>
      </c>
      <c r="M21">
        <v>20</v>
      </c>
      <c r="N21">
        <v>21</v>
      </c>
      <c r="O21">
        <v>5</v>
      </c>
      <c r="P21">
        <v>15</v>
      </c>
      <c r="Q21">
        <f t="shared" si="0"/>
        <v>25</v>
      </c>
      <c r="R21">
        <f t="shared" si="0"/>
        <v>36</v>
      </c>
      <c r="S21">
        <f t="shared" si="1"/>
        <v>61</v>
      </c>
      <c r="T21">
        <v>0</v>
      </c>
      <c r="U21">
        <v>0</v>
      </c>
      <c r="V21">
        <v>0</v>
      </c>
      <c r="W21">
        <v>0</v>
      </c>
      <c r="X21">
        <f t="shared" si="2"/>
        <v>0</v>
      </c>
      <c r="Y21">
        <f t="shared" si="2"/>
        <v>0</v>
      </c>
      <c r="Z21">
        <f t="shared" si="3"/>
        <v>0</v>
      </c>
      <c r="AA21">
        <v>2</v>
      </c>
      <c r="AB21">
        <v>4</v>
      </c>
      <c r="AC21">
        <v>2</v>
      </c>
      <c r="AD21">
        <v>2</v>
      </c>
      <c r="AE21">
        <f t="shared" si="4"/>
        <v>4</v>
      </c>
      <c r="AF21">
        <f t="shared" si="4"/>
        <v>6</v>
      </c>
      <c r="AG21">
        <f t="shared" si="5"/>
        <v>10</v>
      </c>
      <c r="AH21">
        <v>0</v>
      </c>
      <c r="AI21">
        <v>0</v>
      </c>
      <c r="AJ21">
        <v>0</v>
      </c>
      <c r="AK21">
        <v>0</v>
      </c>
      <c r="AL21">
        <f t="shared" si="6"/>
        <v>0</v>
      </c>
      <c r="AM21">
        <f t="shared" si="6"/>
        <v>0</v>
      </c>
      <c r="AN21">
        <f t="shared" si="7"/>
        <v>0</v>
      </c>
      <c r="AO21">
        <v>1</v>
      </c>
      <c r="AP21">
        <v>0</v>
      </c>
      <c r="AQ21">
        <v>0</v>
      </c>
      <c r="AR21">
        <v>1</v>
      </c>
      <c r="AS21">
        <f t="shared" si="8"/>
        <v>1</v>
      </c>
      <c r="AT21">
        <f t="shared" si="8"/>
        <v>1</v>
      </c>
      <c r="AU21">
        <f t="shared" si="9"/>
        <v>2</v>
      </c>
      <c r="AV21">
        <v>6</v>
      </c>
      <c r="AW21">
        <v>12</v>
      </c>
      <c r="AX21">
        <v>0</v>
      </c>
      <c r="AY21">
        <v>0</v>
      </c>
      <c r="AZ21">
        <f t="shared" si="10"/>
        <v>6</v>
      </c>
      <c r="BA21">
        <f t="shared" si="10"/>
        <v>12</v>
      </c>
      <c r="BB21">
        <f t="shared" si="11"/>
        <v>18</v>
      </c>
      <c r="BC21">
        <v>10</v>
      </c>
      <c r="BD21">
        <v>1</v>
      </c>
      <c r="BE21">
        <v>3</v>
      </c>
      <c r="BF21">
        <v>5</v>
      </c>
      <c r="BG21">
        <f t="shared" si="12"/>
        <v>13</v>
      </c>
      <c r="BH21">
        <f t="shared" si="12"/>
        <v>6</v>
      </c>
      <c r="BI21">
        <f t="shared" si="13"/>
        <v>19</v>
      </c>
      <c r="BJ21">
        <v>3</v>
      </c>
      <c r="BK21">
        <v>11</v>
      </c>
      <c r="BL21">
        <v>1</v>
      </c>
      <c r="BM21">
        <v>8</v>
      </c>
      <c r="BN21">
        <f t="shared" si="14"/>
        <v>4</v>
      </c>
      <c r="BO21">
        <f t="shared" si="14"/>
        <v>19</v>
      </c>
      <c r="BP21">
        <f t="shared" si="15"/>
        <v>23</v>
      </c>
      <c r="BQ21">
        <v>0</v>
      </c>
      <c r="BR21">
        <v>0</v>
      </c>
      <c r="BS21">
        <v>0</v>
      </c>
      <c r="BT21">
        <v>0</v>
      </c>
      <c r="BU21">
        <f t="shared" si="16"/>
        <v>0</v>
      </c>
      <c r="BV21">
        <f t="shared" si="16"/>
        <v>0</v>
      </c>
      <c r="BW21">
        <f t="shared" si="17"/>
        <v>0</v>
      </c>
    </row>
    <row r="22" spans="1:75" x14ac:dyDescent="0.25">
      <c r="A22" t="s">
        <v>179</v>
      </c>
      <c r="B22" t="s">
        <v>185</v>
      </c>
      <c r="C22" t="s">
        <v>286</v>
      </c>
      <c r="D22">
        <v>304313</v>
      </c>
      <c r="E22" t="s">
        <v>442</v>
      </c>
      <c r="F22" t="s">
        <v>443</v>
      </c>
      <c r="G22" t="s">
        <v>189</v>
      </c>
      <c r="H22" t="s">
        <v>190</v>
      </c>
      <c r="I22" t="s">
        <v>180</v>
      </c>
      <c r="J22" t="s">
        <v>295</v>
      </c>
      <c r="K22" t="s">
        <v>413</v>
      </c>
      <c r="L22" s="13" t="s">
        <v>414</v>
      </c>
      <c r="M22">
        <v>6</v>
      </c>
      <c r="N22">
        <v>36</v>
      </c>
      <c r="O22">
        <v>33</v>
      </c>
      <c r="P22">
        <v>32</v>
      </c>
      <c r="Q22">
        <f t="shared" si="0"/>
        <v>39</v>
      </c>
      <c r="R22">
        <f t="shared" si="0"/>
        <v>68</v>
      </c>
      <c r="S22">
        <f t="shared" si="1"/>
        <v>107</v>
      </c>
      <c r="T22">
        <v>0</v>
      </c>
      <c r="U22">
        <v>0</v>
      </c>
      <c r="V22">
        <v>0</v>
      </c>
      <c r="W22">
        <v>0</v>
      </c>
      <c r="X22">
        <f t="shared" si="2"/>
        <v>0</v>
      </c>
      <c r="Y22">
        <f t="shared" si="2"/>
        <v>0</v>
      </c>
      <c r="Z22">
        <f t="shared" si="3"/>
        <v>0</v>
      </c>
      <c r="AA22">
        <v>1</v>
      </c>
      <c r="AB22">
        <v>0</v>
      </c>
      <c r="AC22">
        <v>2</v>
      </c>
      <c r="AD22">
        <v>1</v>
      </c>
      <c r="AE22">
        <f t="shared" si="4"/>
        <v>3</v>
      </c>
      <c r="AF22">
        <f t="shared" si="4"/>
        <v>1</v>
      </c>
      <c r="AG22">
        <f t="shared" si="5"/>
        <v>4</v>
      </c>
      <c r="AH22">
        <v>0</v>
      </c>
      <c r="AI22">
        <v>0</v>
      </c>
      <c r="AJ22">
        <v>0</v>
      </c>
      <c r="AK22">
        <v>0</v>
      </c>
      <c r="AL22">
        <f t="shared" si="6"/>
        <v>0</v>
      </c>
      <c r="AM22">
        <f t="shared" si="6"/>
        <v>0</v>
      </c>
      <c r="AN22">
        <f t="shared" si="7"/>
        <v>0</v>
      </c>
      <c r="AO22">
        <v>0</v>
      </c>
      <c r="AP22">
        <v>1</v>
      </c>
      <c r="AQ22">
        <v>0</v>
      </c>
      <c r="AR22">
        <v>1</v>
      </c>
      <c r="AS22">
        <f t="shared" si="8"/>
        <v>0</v>
      </c>
      <c r="AT22">
        <f t="shared" si="8"/>
        <v>2</v>
      </c>
      <c r="AU22">
        <f t="shared" si="9"/>
        <v>2</v>
      </c>
      <c r="AV22">
        <v>0</v>
      </c>
      <c r="AW22">
        <v>0</v>
      </c>
      <c r="AX22">
        <v>0</v>
      </c>
      <c r="AY22">
        <v>0</v>
      </c>
      <c r="AZ22">
        <f t="shared" si="10"/>
        <v>0</v>
      </c>
      <c r="BA22">
        <f t="shared" si="10"/>
        <v>0</v>
      </c>
      <c r="BB22">
        <f t="shared" si="11"/>
        <v>0</v>
      </c>
      <c r="BC22">
        <v>0</v>
      </c>
      <c r="BD22">
        <v>6</v>
      </c>
      <c r="BE22">
        <v>2</v>
      </c>
      <c r="BF22">
        <v>5</v>
      </c>
      <c r="BG22">
        <f t="shared" si="12"/>
        <v>2</v>
      </c>
      <c r="BH22">
        <f t="shared" si="12"/>
        <v>11</v>
      </c>
      <c r="BI22">
        <f t="shared" si="13"/>
        <v>13</v>
      </c>
      <c r="BJ22">
        <v>7</v>
      </c>
      <c r="BK22">
        <v>25</v>
      </c>
      <c r="BL22">
        <v>25</v>
      </c>
      <c r="BM22">
        <v>25</v>
      </c>
      <c r="BN22">
        <f t="shared" si="14"/>
        <v>32</v>
      </c>
      <c r="BO22">
        <f t="shared" si="14"/>
        <v>50</v>
      </c>
      <c r="BP22">
        <f t="shared" si="15"/>
        <v>82</v>
      </c>
      <c r="BQ22">
        <v>0</v>
      </c>
      <c r="BR22">
        <v>0</v>
      </c>
      <c r="BS22">
        <v>4</v>
      </c>
      <c r="BT22">
        <v>0</v>
      </c>
      <c r="BU22">
        <f t="shared" si="16"/>
        <v>4</v>
      </c>
      <c r="BV22">
        <f t="shared" si="16"/>
        <v>0</v>
      </c>
      <c r="BW22">
        <f t="shared" si="17"/>
        <v>4</v>
      </c>
    </row>
    <row r="23" spans="1:75" x14ac:dyDescent="0.25">
      <c r="A23" t="s">
        <v>179</v>
      </c>
      <c r="B23" t="s">
        <v>185</v>
      </c>
      <c r="C23" t="s">
        <v>286</v>
      </c>
      <c r="D23">
        <v>304318</v>
      </c>
      <c r="E23" t="s">
        <v>444</v>
      </c>
      <c r="F23" t="s">
        <v>445</v>
      </c>
      <c r="G23" t="s">
        <v>189</v>
      </c>
      <c r="H23" t="s">
        <v>190</v>
      </c>
      <c r="I23" t="s">
        <v>180</v>
      </c>
      <c r="J23" t="s">
        <v>303</v>
      </c>
      <c r="K23" t="s">
        <v>413</v>
      </c>
      <c r="L23" s="13" t="s">
        <v>414</v>
      </c>
      <c r="M23">
        <v>18</v>
      </c>
      <c r="N23">
        <v>24</v>
      </c>
      <c r="O23">
        <v>26</v>
      </c>
      <c r="P23">
        <v>31</v>
      </c>
      <c r="Q23">
        <f t="shared" si="0"/>
        <v>44</v>
      </c>
      <c r="R23">
        <f t="shared" si="0"/>
        <v>55</v>
      </c>
      <c r="S23">
        <f t="shared" si="1"/>
        <v>99</v>
      </c>
      <c r="T23">
        <v>0</v>
      </c>
      <c r="U23">
        <v>0</v>
      </c>
      <c r="V23">
        <v>0</v>
      </c>
      <c r="W23">
        <v>0</v>
      </c>
      <c r="X23">
        <f t="shared" si="2"/>
        <v>0</v>
      </c>
      <c r="Y23">
        <f t="shared" si="2"/>
        <v>0</v>
      </c>
      <c r="Z23">
        <f t="shared" si="3"/>
        <v>0</v>
      </c>
      <c r="AA23">
        <v>1</v>
      </c>
      <c r="AB23">
        <v>1</v>
      </c>
      <c r="AC23">
        <v>1</v>
      </c>
      <c r="AD23">
        <v>0</v>
      </c>
      <c r="AE23">
        <f t="shared" si="4"/>
        <v>2</v>
      </c>
      <c r="AF23">
        <f t="shared" si="4"/>
        <v>1</v>
      </c>
      <c r="AG23">
        <f t="shared" si="5"/>
        <v>3</v>
      </c>
      <c r="AH23">
        <v>0</v>
      </c>
      <c r="AI23">
        <v>0</v>
      </c>
      <c r="AJ23">
        <v>0</v>
      </c>
      <c r="AK23">
        <v>0</v>
      </c>
      <c r="AL23">
        <f t="shared" si="6"/>
        <v>0</v>
      </c>
      <c r="AM23">
        <f t="shared" si="6"/>
        <v>0</v>
      </c>
      <c r="AN23">
        <f t="shared" si="7"/>
        <v>0</v>
      </c>
      <c r="AO23">
        <v>3</v>
      </c>
      <c r="AP23">
        <v>5</v>
      </c>
      <c r="AQ23">
        <v>0</v>
      </c>
      <c r="AR23">
        <v>0</v>
      </c>
      <c r="AS23">
        <f t="shared" si="8"/>
        <v>3</v>
      </c>
      <c r="AT23">
        <f t="shared" si="8"/>
        <v>5</v>
      </c>
      <c r="AU23">
        <f t="shared" si="9"/>
        <v>8</v>
      </c>
      <c r="AV23">
        <v>1</v>
      </c>
      <c r="AW23">
        <v>2</v>
      </c>
      <c r="AX23">
        <v>0</v>
      </c>
      <c r="AY23">
        <v>1</v>
      </c>
      <c r="AZ23">
        <f t="shared" si="10"/>
        <v>1</v>
      </c>
      <c r="BA23">
        <f t="shared" si="10"/>
        <v>3</v>
      </c>
      <c r="BB23">
        <f t="shared" si="11"/>
        <v>4</v>
      </c>
      <c r="BC23">
        <v>3</v>
      </c>
      <c r="BD23">
        <v>5</v>
      </c>
      <c r="BE23">
        <v>7</v>
      </c>
      <c r="BF23">
        <v>4</v>
      </c>
      <c r="BG23">
        <f t="shared" si="12"/>
        <v>10</v>
      </c>
      <c r="BH23">
        <f t="shared" si="12"/>
        <v>9</v>
      </c>
      <c r="BI23">
        <f t="shared" si="13"/>
        <v>19</v>
      </c>
      <c r="BJ23">
        <v>18</v>
      </c>
      <c r="BK23">
        <v>23</v>
      </c>
      <c r="BL23">
        <v>20</v>
      </c>
      <c r="BM23">
        <v>26</v>
      </c>
      <c r="BN23">
        <f t="shared" si="14"/>
        <v>38</v>
      </c>
      <c r="BO23">
        <f t="shared" si="14"/>
        <v>49</v>
      </c>
      <c r="BP23">
        <f t="shared" si="15"/>
        <v>87</v>
      </c>
      <c r="BQ23">
        <v>0</v>
      </c>
      <c r="BR23">
        <v>0</v>
      </c>
      <c r="BS23">
        <v>0</v>
      </c>
      <c r="BT23">
        <v>0</v>
      </c>
      <c r="BU23">
        <f t="shared" si="16"/>
        <v>0</v>
      </c>
      <c r="BV23">
        <f t="shared" si="16"/>
        <v>0</v>
      </c>
      <c r="BW23">
        <f t="shared" si="17"/>
        <v>0</v>
      </c>
    </row>
    <row r="24" spans="1:75" x14ac:dyDescent="0.25">
      <c r="A24" t="s">
        <v>179</v>
      </c>
      <c r="B24" t="s">
        <v>185</v>
      </c>
      <c r="C24" t="s">
        <v>286</v>
      </c>
      <c r="D24">
        <v>325105</v>
      </c>
      <c r="E24" t="s">
        <v>446</v>
      </c>
      <c r="F24" t="s">
        <v>305</v>
      </c>
      <c r="G24" t="s">
        <v>189</v>
      </c>
      <c r="H24" t="s">
        <v>190</v>
      </c>
      <c r="I24" t="s">
        <v>180</v>
      </c>
      <c r="J24" t="s">
        <v>289</v>
      </c>
      <c r="K24" t="s">
        <v>413</v>
      </c>
      <c r="L24" s="13" t="s">
        <v>414</v>
      </c>
      <c r="M24">
        <v>10</v>
      </c>
      <c r="N24">
        <v>9</v>
      </c>
      <c r="O24">
        <v>0</v>
      </c>
      <c r="P24">
        <v>0</v>
      </c>
      <c r="Q24">
        <f t="shared" si="0"/>
        <v>10</v>
      </c>
      <c r="R24">
        <f t="shared" si="0"/>
        <v>9</v>
      </c>
      <c r="S24">
        <f t="shared" si="1"/>
        <v>19</v>
      </c>
      <c r="T24">
        <v>0</v>
      </c>
      <c r="U24">
        <v>0</v>
      </c>
      <c r="V24">
        <v>0</v>
      </c>
      <c r="W24">
        <v>0</v>
      </c>
      <c r="X24">
        <f t="shared" si="2"/>
        <v>0</v>
      </c>
      <c r="Y24">
        <f t="shared" si="2"/>
        <v>0</v>
      </c>
      <c r="Z24">
        <f t="shared" si="3"/>
        <v>0</v>
      </c>
      <c r="AA24">
        <v>1</v>
      </c>
      <c r="AB24">
        <v>0</v>
      </c>
      <c r="AC24">
        <v>0</v>
      </c>
      <c r="AD24">
        <v>0</v>
      </c>
      <c r="AE24">
        <f t="shared" si="4"/>
        <v>1</v>
      </c>
      <c r="AF24">
        <f t="shared" si="4"/>
        <v>0</v>
      </c>
      <c r="AG24">
        <f t="shared" si="5"/>
        <v>1</v>
      </c>
      <c r="AH24">
        <v>0</v>
      </c>
      <c r="AI24">
        <v>0</v>
      </c>
      <c r="AJ24">
        <v>0</v>
      </c>
      <c r="AK24">
        <v>0</v>
      </c>
      <c r="AL24">
        <f t="shared" si="6"/>
        <v>0</v>
      </c>
      <c r="AM24">
        <f t="shared" si="6"/>
        <v>0</v>
      </c>
      <c r="AN24">
        <f t="shared" si="7"/>
        <v>0</v>
      </c>
      <c r="AO24">
        <v>2</v>
      </c>
      <c r="AP24">
        <v>1</v>
      </c>
      <c r="AQ24">
        <v>0</v>
      </c>
      <c r="AR24">
        <v>0</v>
      </c>
      <c r="AS24">
        <f t="shared" si="8"/>
        <v>2</v>
      </c>
      <c r="AT24">
        <f t="shared" si="8"/>
        <v>1</v>
      </c>
      <c r="AU24">
        <f t="shared" si="9"/>
        <v>3</v>
      </c>
      <c r="AV24">
        <v>0</v>
      </c>
      <c r="AW24">
        <v>0</v>
      </c>
      <c r="AX24">
        <v>0</v>
      </c>
      <c r="AY24">
        <v>0</v>
      </c>
      <c r="AZ24">
        <f t="shared" si="10"/>
        <v>0</v>
      </c>
      <c r="BA24">
        <f t="shared" si="10"/>
        <v>0</v>
      </c>
      <c r="BB24">
        <f t="shared" si="11"/>
        <v>0</v>
      </c>
      <c r="BC24">
        <v>0</v>
      </c>
      <c r="BD24">
        <v>0</v>
      </c>
      <c r="BE24">
        <v>0</v>
      </c>
      <c r="BF24">
        <v>0</v>
      </c>
      <c r="BG24">
        <f t="shared" si="12"/>
        <v>0</v>
      </c>
      <c r="BH24">
        <f t="shared" si="12"/>
        <v>0</v>
      </c>
      <c r="BI24">
        <f t="shared" si="13"/>
        <v>0</v>
      </c>
      <c r="BJ24">
        <v>10</v>
      </c>
      <c r="BK24">
        <v>10</v>
      </c>
      <c r="BL24">
        <v>0</v>
      </c>
      <c r="BM24">
        <v>0</v>
      </c>
      <c r="BN24">
        <f t="shared" si="14"/>
        <v>10</v>
      </c>
      <c r="BO24">
        <f t="shared" si="14"/>
        <v>10</v>
      </c>
      <c r="BP24">
        <f t="shared" si="15"/>
        <v>20</v>
      </c>
      <c r="BQ24">
        <v>3</v>
      </c>
      <c r="BR24">
        <v>0</v>
      </c>
      <c r="BS24">
        <v>0</v>
      </c>
      <c r="BT24">
        <v>0</v>
      </c>
      <c r="BU24">
        <f t="shared" si="16"/>
        <v>3</v>
      </c>
      <c r="BV24">
        <f t="shared" si="16"/>
        <v>0</v>
      </c>
      <c r="BW24">
        <f t="shared" si="17"/>
        <v>3</v>
      </c>
    </row>
  </sheetData>
  <autoFilter ref="A8:BT24" xr:uid="{00000000-0009-0000-0000-000002000000}"/>
  <mergeCells count="36">
    <mergeCell ref="BS5:BT5"/>
    <mergeCell ref="BU5:BW5"/>
    <mergeCell ref="BE5:BF5"/>
    <mergeCell ref="BG5:BI5"/>
    <mergeCell ref="BJ5:BK5"/>
    <mergeCell ref="BL5:BM5"/>
    <mergeCell ref="BN5:BP5"/>
    <mergeCell ref="BQ5:BR5"/>
    <mergeCell ref="AQ5:AR5"/>
    <mergeCell ref="AS5:AU5"/>
    <mergeCell ref="AV5:AW5"/>
    <mergeCell ref="AX5:AY5"/>
    <mergeCell ref="AZ5:BB5"/>
    <mergeCell ref="BC5:BD5"/>
    <mergeCell ref="AC5:AD5"/>
    <mergeCell ref="AE5:AG5"/>
    <mergeCell ref="AH5:AI5"/>
    <mergeCell ref="AJ5:AK5"/>
    <mergeCell ref="AL5:AN5"/>
    <mergeCell ref="AO5:AP5"/>
    <mergeCell ref="BC4:BI4"/>
    <mergeCell ref="BJ4:BP4"/>
    <mergeCell ref="BQ4:BW4"/>
    <mergeCell ref="M5:N5"/>
    <mergeCell ref="O5:P5"/>
    <mergeCell ref="Q5:S5"/>
    <mergeCell ref="T5:U5"/>
    <mergeCell ref="V5:W5"/>
    <mergeCell ref="X5:Z5"/>
    <mergeCell ref="AA5:AB5"/>
    <mergeCell ref="M4:S4"/>
    <mergeCell ref="T4:Z4"/>
    <mergeCell ref="AA4:AG4"/>
    <mergeCell ref="AH4:AN4"/>
    <mergeCell ref="AO4:AU4"/>
    <mergeCell ref="AV4:B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2023-08-04T03:29:19Z</dcterms:created>
  <dcterms:modified xsi:type="dcterms:W3CDTF">2023-08-04T03:30:38Z</dcterms:modified>
</cp:coreProperties>
</file>