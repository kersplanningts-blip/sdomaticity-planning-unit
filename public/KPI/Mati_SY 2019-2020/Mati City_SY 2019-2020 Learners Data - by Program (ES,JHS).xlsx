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F5CBD58E-6D26-4BDA-A093-E60F4144D5EA}" xr6:coauthVersionLast="47" xr6:coauthVersionMax="47" xr10:uidLastSave="{00000000-0000-0000-0000-000000000000}"/>
  <bookViews>
    <workbookView xWindow="-120" yWindow="-120" windowWidth="29040" windowHeight="15720" xr2:uid="{0330EA5F-E925-4420-A679-DF56CE83EABB}"/>
  </bookViews>
  <sheets>
    <sheet name="ES" sheetId="1" r:id="rId1"/>
    <sheet name="JHS" sheetId="2" r:id="rId2"/>
  </sheets>
  <definedNames>
    <definedName name="_xlnm._FilterDatabase" localSheetId="0" hidden="1">ES!$A$8:$BG$62</definedName>
    <definedName name="_xlnm._FilterDatabase" localSheetId="1" hidden="1">JHS!$A$8:$CM$30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30" i="2" l="1"/>
  <c r="CJ30" i="2"/>
  <c r="BZ30" i="2"/>
  <c r="BY30" i="2"/>
  <c r="CA30" i="2" s="1"/>
  <c r="BO30" i="2"/>
  <c r="BN30" i="2"/>
  <c r="BD30" i="2"/>
  <c r="BC30" i="2"/>
  <c r="AS30" i="2"/>
  <c r="AR30" i="2"/>
  <c r="AT30" i="2" s="1"/>
  <c r="AH30" i="2"/>
  <c r="AG30" i="2"/>
  <c r="W30" i="2"/>
  <c r="V30" i="2"/>
  <c r="CK29" i="2"/>
  <c r="CJ29" i="2"/>
  <c r="CL29" i="2" s="1"/>
  <c r="BZ29" i="2"/>
  <c r="BY29" i="2"/>
  <c r="BO29" i="2"/>
  <c r="BN29" i="2"/>
  <c r="BD29" i="2"/>
  <c r="BC29" i="2"/>
  <c r="BE29" i="2" s="1"/>
  <c r="AS29" i="2"/>
  <c r="AR29" i="2"/>
  <c r="AH29" i="2"/>
  <c r="AG29" i="2"/>
  <c r="W29" i="2"/>
  <c r="V29" i="2"/>
  <c r="X29" i="2" s="1"/>
  <c r="CK28" i="2"/>
  <c r="CJ28" i="2"/>
  <c r="BZ28" i="2"/>
  <c r="BY28" i="2"/>
  <c r="BO28" i="2"/>
  <c r="BN28" i="2"/>
  <c r="BP28" i="2" s="1"/>
  <c r="BD28" i="2"/>
  <c r="BC28" i="2"/>
  <c r="AS28" i="2"/>
  <c r="AR28" i="2"/>
  <c r="AH28" i="2"/>
  <c r="AG28" i="2"/>
  <c r="AI28" i="2" s="1"/>
  <c r="W28" i="2"/>
  <c r="V28" i="2"/>
  <c r="CK27" i="2"/>
  <c r="CJ27" i="2"/>
  <c r="BZ27" i="2"/>
  <c r="BY27" i="2"/>
  <c r="BO27" i="2"/>
  <c r="BN27" i="2"/>
  <c r="BD27" i="2"/>
  <c r="BC27" i="2"/>
  <c r="AS27" i="2"/>
  <c r="AR27" i="2"/>
  <c r="AH27" i="2"/>
  <c r="AG27" i="2"/>
  <c r="AI27" i="2" s="1"/>
  <c r="W27" i="2"/>
  <c r="V27" i="2"/>
  <c r="CK26" i="2"/>
  <c r="CJ26" i="2"/>
  <c r="BZ26" i="2"/>
  <c r="BY26" i="2"/>
  <c r="BO26" i="2"/>
  <c r="BN26" i="2"/>
  <c r="BD26" i="2"/>
  <c r="BC26" i="2"/>
  <c r="AS26" i="2"/>
  <c r="AR26" i="2"/>
  <c r="AH26" i="2"/>
  <c r="AG26" i="2"/>
  <c r="W26" i="2"/>
  <c r="V26" i="2"/>
  <c r="CK25" i="2"/>
  <c r="CJ25" i="2"/>
  <c r="BZ25" i="2"/>
  <c r="BY25" i="2"/>
  <c r="BO25" i="2"/>
  <c r="BN25" i="2"/>
  <c r="BD25" i="2"/>
  <c r="BC25" i="2"/>
  <c r="BE25" i="2" s="1"/>
  <c r="AS25" i="2"/>
  <c r="AR25" i="2"/>
  <c r="AH25" i="2"/>
  <c r="AG25" i="2"/>
  <c r="W25" i="2"/>
  <c r="V25" i="2"/>
  <c r="CK24" i="2"/>
  <c r="CJ24" i="2"/>
  <c r="BZ24" i="2"/>
  <c r="BY24" i="2"/>
  <c r="BO24" i="2"/>
  <c r="BN24" i="2"/>
  <c r="BD24" i="2"/>
  <c r="BC24" i="2"/>
  <c r="AS24" i="2"/>
  <c r="AR24" i="2"/>
  <c r="AH24" i="2"/>
  <c r="AG24" i="2"/>
  <c r="W24" i="2"/>
  <c r="V24" i="2"/>
  <c r="CK23" i="2"/>
  <c r="CJ23" i="2"/>
  <c r="BZ23" i="2"/>
  <c r="BY23" i="2"/>
  <c r="CA23" i="2" s="1"/>
  <c r="BO23" i="2"/>
  <c r="BN23" i="2"/>
  <c r="BD23" i="2"/>
  <c r="BC23" i="2"/>
  <c r="AS23" i="2"/>
  <c r="AR23" i="2"/>
  <c r="AH23" i="2"/>
  <c r="AG23" i="2"/>
  <c r="W23" i="2"/>
  <c r="V23" i="2"/>
  <c r="CK22" i="2"/>
  <c r="CJ22" i="2"/>
  <c r="BZ22" i="2"/>
  <c r="BY22" i="2"/>
  <c r="BO22" i="2"/>
  <c r="BN22" i="2"/>
  <c r="BD22" i="2"/>
  <c r="BC22" i="2"/>
  <c r="AS22" i="2"/>
  <c r="AR22" i="2"/>
  <c r="AH22" i="2"/>
  <c r="AG22" i="2"/>
  <c r="W22" i="2"/>
  <c r="V22" i="2"/>
  <c r="X22" i="2" s="1"/>
  <c r="CK21" i="2"/>
  <c r="CJ21" i="2"/>
  <c r="BZ21" i="2"/>
  <c r="BY21" i="2"/>
  <c r="BO21" i="2"/>
  <c r="BN21" i="2"/>
  <c r="BD21" i="2"/>
  <c r="BC21" i="2"/>
  <c r="AS21" i="2"/>
  <c r="AR21" i="2"/>
  <c r="AH21" i="2"/>
  <c r="AG21" i="2"/>
  <c r="W21" i="2"/>
  <c r="V21" i="2"/>
  <c r="CK20" i="2"/>
  <c r="CJ20" i="2"/>
  <c r="BZ20" i="2"/>
  <c r="BY20" i="2"/>
  <c r="BO20" i="2"/>
  <c r="BN20" i="2"/>
  <c r="BD20" i="2"/>
  <c r="BC20" i="2"/>
  <c r="AS20" i="2"/>
  <c r="AR20" i="2"/>
  <c r="AT20" i="2" s="1"/>
  <c r="AH20" i="2"/>
  <c r="AG20" i="2"/>
  <c r="W20" i="2"/>
  <c r="V20" i="2"/>
  <c r="CK19" i="2"/>
  <c r="CJ19" i="2"/>
  <c r="BZ19" i="2"/>
  <c r="BY19" i="2"/>
  <c r="BO19" i="2"/>
  <c r="BN19" i="2"/>
  <c r="BD19" i="2"/>
  <c r="BC19" i="2"/>
  <c r="AS19" i="2"/>
  <c r="AR19" i="2"/>
  <c r="AH19" i="2"/>
  <c r="AG19" i="2"/>
  <c r="W19" i="2"/>
  <c r="V19" i="2"/>
  <c r="CK18" i="2"/>
  <c r="CJ18" i="2"/>
  <c r="BZ18" i="2"/>
  <c r="BY18" i="2"/>
  <c r="BO18" i="2"/>
  <c r="BN18" i="2"/>
  <c r="BP18" i="2" s="1"/>
  <c r="BD18" i="2"/>
  <c r="BC18" i="2"/>
  <c r="AS18" i="2"/>
  <c r="AR18" i="2"/>
  <c r="AH18" i="2"/>
  <c r="AG18" i="2"/>
  <c r="W18" i="2"/>
  <c r="V18" i="2"/>
  <c r="CK17" i="2"/>
  <c r="CJ17" i="2"/>
  <c r="BZ17" i="2"/>
  <c r="BY17" i="2"/>
  <c r="CA17" i="2" s="1"/>
  <c r="BO17" i="2"/>
  <c r="BN17" i="2"/>
  <c r="BD17" i="2"/>
  <c r="BC17" i="2"/>
  <c r="AS17" i="2"/>
  <c r="AR17" i="2"/>
  <c r="AH17" i="2"/>
  <c r="AG17" i="2"/>
  <c r="W17" i="2"/>
  <c r="V17" i="2"/>
  <c r="CK16" i="2"/>
  <c r="CJ16" i="2"/>
  <c r="CL16" i="2" s="1"/>
  <c r="BZ16" i="2"/>
  <c r="BY16" i="2"/>
  <c r="BO16" i="2"/>
  <c r="BN16" i="2"/>
  <c r="BD16" i="2"/>
  <c r="BC16" i="2"/>
  <c r="AS16" i="2"/>
  <c r="AR16" i="2"/>
  <c r="AH16" i="2"/>
  <c r="AG16" i="2"/>
  <c r="W16" i="2"/>
  <c r="V16" i="2"/>
  <c r="CK15" i="2"/>
  <c r="CJ15" i="2"/>
  <c r="BZ15" i="2"/>
  <c r="BY15" i="2"/>
  <c r="BO15" i="2"/>
  <c r="BN15" i="2"/>
  <c r="BD15" i="2"/>
  <c r="BC15" i="2"/>
  <c r="AS15" i="2"/>
  <c r="AR15" i="2"/>
  <c r="AH15" i="2"/>
  <c r="AG15" i="2"/>
  <c r="W15" i="2"/>
  <c r="V15" i="2"/>
  <c r="CK14" i="2"/>
  <c r="CJ14" i="2"/>
  <c r="BZ14" i="2"/>
  <c r="BY14" i="2"/>
  <c r="BO14" i="2"/>
  <c r="BN14" i="2"/>
  <c r="BD14" i="2"/>
  <c r="BC14" i="2"/>
  <c r="AS14" i="2"/>
  <c r="AR14" i="2"/>
  <c r="AH14" i="2"/>
  <c r="AG14" i="2"/>
  <c r="W14" i="2"/>
  <c r="V14" i="2"/>
  <c r="CK13" i="2"/>
  <c r="CJ13" i="2"/>
  <c r="BZ13" i="2"/>
  <c r="BY13" i="2"/>
  <c r="BO13" i="2"/>
  <c r="BN13" i="2"/>
  <c r="BD13" i="2"/>
  <c r="BC13" i="2"/>
  <c r="AS13" i="2"/>
  <c r="AR13" i="2"/>
  <c r="AH13" i="2"/>
  <c r="AG13" i="2"/>
  <c r="W13" i="2"/>
  <c r="V13" i="2"/>
  <c r="CK12" i="2"/>
  <c r="CJ12" i="2"/>
  <c r="BZ12" i="2"/>
  <c r="BY12" i="2"/>
  <c r="BO12" i="2"/>
  <c r="BN12" i="2"/>
  <c r="BD12" i="2"/>
  <c r="BC12" i="2"/>
  <c r="AS12" i="2"/>
  <c r="AR12" i="2"/>
  <c r="AH12" i="2"/>
  <c r="AG12" i="2"/>
  <c r="W12" i="2"/>
  <c r="V12" i="2"/>
  <c r="CK11" i="2"/>
  <c r="CJ11" i="2"/>
  <c r="BZ11" i="2"/>
  <c r="BY11" i="2"/>
  <c r="BO11" i="2"/>
  <c r="BN11" i="2"/>
  <c r="BD11" i="2"/>
  <c r="BC11" i="2"/>
  <c r="AS11" i="2"/>
  <c r="AR11" i="2"/>
  <c r="AH11" i="2"/>
  <c r="AG11" i="2"/>
  <c r="W11" i="2"/>
  <c r="V11" i="2"/>
  <c r="CK10" i="2"/>
  <c r="CJ10" i="2"/>
  <c r="BZ10" i="2"/>
  <c r="BY10" i="2"/>
  <c r="BO10" i="2"/>
  <c r="BN10" i="2"/>
  <c r="BD10" i="2"/>
  <c r="BC10" i="2"/>
  <c r="AS10" i="2"/>
  <c r="AR10" i="2"/>
  <c r="AH10" i="2"/>
  <c r="AG10" i="2"/>
  <c r="W10" i="2"/>
  <c r="V10" i="2"/>
  <c r="CK9" i="2"/>
  <c r="CJ9" i="2"/>
  <c r="BZ9" i="2"/>
  <c r="BY9" i="2"/>
  <c r="BO9" i="2"/>
  <c r="BN9" i="2"/>
  <c r="BD9" i="2"/>
  <c r="BC9" i="2"/>
  <c r="AS9" i="2"/>
  <c r="AR9" i="2"/>
  <c r="AH9" i="2"/>
  <c r="AG9" i="2"/>
  <c r="W9" i="2"/>
  <c r="V9" i="2"/>
  <c r="CI7" i="2"/>
  <c r="CH7" i="2"/>
  <c r="CG7" i="2"/>
  <c r="CF7" i="2"/>
  <c r="CE7" i="2"/>
  <c r="CD7" i="2"/>
  <c r="CC7" i="2"/>
  <c r="CB7" i="2"/>
  <c r="BX7" i="2"/>
  <c r="BW7" i="2"/>
  <c r="BV7" i="2"/>
  <c r="BU7" i="2"/>
  <c r="BT7" i="2"/>
  <c r="BS7" i="2"/>
  <c r="BR7" i="2"/>
  <c r="BQ7" i="2"/>
  <c r="BM7" i="2"/>
  <c r="BL7" i="2"/>
  <c r="BK7" i="2"/>
  <c r="BJ7" i="2"/>
  <c r="BI7" i="2"/>
  <c r="BH7" i="2"/>
  <c r="BG7" i="2"/>
  <c r="BF7" i="2"/>
  <c r="BB7" i="2"/>
  <c r="BA7" i="2"/>
  <c r="AZ7" i="2"/>
  <c r="AY7" i="2"/>
  <c r="AX7" i="2"/>
  <c r="AW7" i="2"/>
  <c r="AV7" i="2"/>
  <c r="AU7" i="2"/>
  <c r="AQ7" i="2"/>
  <c r="AP7" i="2"/>
  <c r="AO7" i="2"/>
  <c r="AN7" i="2"/>
  <c r="AM7" i="2"/>
  <c r="AL7" i="2"/>
  <c r="AK7" i="2"/>
  <c r="AJ7" i="2"/>
  <c r="AF7" i="2"/>
  <c r="AE7" i="2"/>
  <c r="AD7" i="2"/>
  <c r="AC7" i="2"/>
  <c r="AB7" i="2"/>
  <c r="AA7" i="2"/>
  <c r="Z7" i="2"/>
  <c r="Y7" i="2"/>
  <c r="U7" i="2"/>
  <c r="T7" i="2"/>
  <c r="S7" i="2"/>
  <c r="R7" i="2"/>
  <c r="Q7" i="2"/>
  <c r="P7" i="2"/>
  <c r="O7" i="2"/>
  <c r="N7" i="2"/>
  <c r="BG62" i="1"/>
  <c r="AS62" i="1"/>
  <c r="AR62" i="1"/>
  <c r="AT62" i="1" s="1"/>
  <c r="BH62" i="1" s="1"/>
  <c r="AB62" i="1"/>
  <c r="AA62" i="1"/>
  <c r="AS61" i="1"/>
  <c r="BG61" i="1" s="1"/>
  <c r="AR61" i="1"/>
  <c r="AB61" i="1"/>
  <c r="AA61" i="1"/>
  <c r="AS60" i="1"/>
  <c r="BG60" i="1" s="1"/>
  <c r="AR60" i="1"/>
  <c r="AB60" i="1"/>
  <c r="AA60" i="1"/>
  <c r="AC60" i="1" s="1"/>
  <c r="AS59" i="1"/>
  <c r="BG59" i="1" s="1"/>
  <c r="AR59" i="1"/>
  <c r="AT59" i="1" s="1"/>
  <c r="BH59" i="1" s="1"/>
  <c r="AB59" i="1"/>
  <c r="AA59" i="1"/>
  <c r="BG58" i="1"/>
  <c r="AS58" i="1"/>
  <c r="AR58" i="1"/>
  <c r="AT58" i="1" s="1"/>
  <c r="BH58" i="1" s="1"/>
  <c r="AB58" i="1"/>
  <c r="AA58" i="1"/>
  <c r="AC58" i="1" s="1"/>
  <c r="AS57" i="1"/>
  <c r="BG57" i="1" s="1"/>
  <c r="AR57" i="1"/>
  <c r="AB57" i="1"/>
  <c r="AA57" i="1"/>
  <c r="AS56" i="1"/>
  <c r="BG56" i="1" s="1"/>
  <c r="AR56" i="1"/>
  <c r="AB56" i="1"/>
  <c r="AA56" i="1"/>
  <c r="AS55" i="1"/>
  <c r="BG55" i="1" s="1"/>
  <c r="AR55" i="1"/>
  <c r="AT55" i="1" s="1"/>
  <c r="BH55" i="1" s="1"/>
  <c r="AB55" i="1"/>
  <c r="AA55" i="1"/>
  <c r="AC55" i="1" s="1"/>
  <c r="AS54" i="1"/>
  <c r="BG54" i="1" s="1"/>
  <c r="AR54" i="1"/>
  <c r="AB54" i="1"/>
  <c r="AA54" i="1"/>
  <c r="AC54" i="1" s="1"/>
  <c r="AS53" i="1"/>
  <c r="BG53" i="1" s="1"/>
  <c r="AR53" i="1"/>
  <c r="AB53" i="1"/>
  <c r="AA53" i="1"/>
  <c r="AS52" i="1"/>
  <c r="BG52" i="1" s="1"/>
  <c r="AR52" i="1"/>
  <c r="AT52" i="1" s="1"/>
  <c r="BH52" i="1" s="1"/>
  <c r="AB52" i="1"/>
  <c r="AA52" i="1"/>
  <c r="AS51" i="1"/>
  <c r="BG51" i="1" s="1"/>
  <c r="AR51" i="1"/>
  <c r="AB51" i="1"/>
  <c r="AA51" i="1"/>
  <c r="AC51" i="1" s="1"/>
  <c r="AS50" i="1"/>
  <c r="BG50" i="1" s="1"/>
  <c r="AR50" i="1"/>
  <c r="AT50" i="1" s="1"/>
  <c r="BH50" i="1" s="1"/>
  <c r="AB50" i="1"/>
  <c r="AA50" i="1"/>
  <c r="AS49" i="1"/>
  <c r="BG49" i="1" s="1"/>
  <c r="AR49" i="1"/>
  <c r="AB49" i="1"/>
  <c r="AA49" i="1"/>
  <c r="AC49" i="1" s="1"/>
  <c r="AS48" i="1"/>
  <c r="BG48" i="1" s="1"/>
  <c r="AR48" i="1"/>
  <c r="AB48" i="1"/>
  <c r="AA48" i="1"/>
  <c r="AS47" i="1"/>
  <c r="BG47" i="1" s="1"/>
  <c r="AR47" i="1"/>
  <c r="AB47" i="1"/>
  <c r="AA47" i="1"/>
  <c r="AS46" i="1"/>
  <c r="BG46" i="1" s="1"/>
  <c r="BI46" i="1" s="1"/>
  <c r="AR46" i="1"/>
  <c r="AT46" i="1" s="1"/>
  <c r="BH46" i="1" s="1"/>
  <c r="AB46" i="1"/>
  <c r="AA46" i="1"/>
  <c r="AS45" i="1"/>
  <c r="BG45" i="1" s="1"/>
  <c r="AR45" i="1"/>
  <c r="AT45" i="1" s="1"/>
  <c r="BH45" i="1" s="1"/>
  <c r="AB45" i="1"/>
  <c r="AA45" i="1"/>
  <c r="AS44" i="1"/>
  <c r="BG44" i="1" s="1"/>
  <c r="AR44" i="1"/>
  <c r="AT44" i="1" s="1"/>
  <c r="BH44" i="1" s="1"/>
  <c r="AB44" i="1"/>
  <c r="AA44" i="1"/>
  <c r="AS43" i="1"/>
  <c r="BG43" i="1" s="1"/>
  <c r="AR43" i="1"/>
  <c r="AB43" i="1"/>
  <c r="AA43" i="1"/>
  <c r="AC43" i="1" s="1"/>
  <c r="AS42" i="1"/>
  <c r="BG42" i="1" s="1"/>
  <c r="AR42" i="1"/>
  <c r="AT42" i="1" s="1"/>
  <c r="BH42" i="1" s="1"/>
  <c r="AB42" i="1"/>
  <c r="AA42" i="1"/>
  <c r="AC42" i="1" s="1"/>
  <c r="AS41" i="1"/>
  <c r="BG41" i="1" s="1"/>
  <c r="AR41" i="1"/>
  <c r="AB41" i="1"/>
  <c r="AA41" i="1"/>
  <c r="AC41" i="1" s="1"/>
  <c r="AS40" i="1"/>
  <c r="BG40" i="1" s="1"/>
  <c r="AR40" i="1"/>
  <c r="AB40" i="1"/>
  <c r="AA40" i="1"/>
  <c r="AS39" i="1"/>
  <c r="BG39" i="1" s="1"/>
  <c r="AR39" i="1"/>
  <c r="AT39" i="1" s="1"/>
  <c r="BH39" i="1" s="1"/>
  <c r="AB39" i="1"/>
  <c r="AA39" i="1"/>
  <c r="AC39" i="1" s="1"/>
  <c r="AS38" i="1"/>
  <c r="BG38" i="1" s="1"/>
  <c r="AR38" i="1"/>
  <c r="AB38" i="1"/>
  <c r="AA38" i="1"/>
  <c r="AC38" i="1" s="1"/>
  <c r="AS37" i="1"/>
  <c r="BG37" i="1" s="1"/>
  <c r="AR37" i="1"/>
  <c r="AT37" i="1" s="1"/>
  <c r="BH37" i="1" s="1"/>
  <c r="AB37" i="1"/>
  <c r="AA37" i="1"/>
  <c r="AS36" i="1"/>
  <c r="BG36" i="1" s="1"/>
  <c r="AR36" i="1"/>
  <c r="AB36" i="1"/>
  <c r="AA36" i="1"/>
  <c r="AC36" i="1" s="1"/>
  <c r="AS35" i="1"/>
  <c r="BG35" i="1" s="1"/>
  <c r="AR35" i="1"/>
  <c r="AB35" i="1"/>
  <c r="AA35" i="1"/>
  <c r="AC35" i="1" s="1"/>
  <c r="AS34" i="1"/>
  <c r="BG34" i="1" s="1"/>
  <c r="AR34" i="1"/>
  <c r="AB34" i="1"/>
  <c r="AA34" i="1"/>
  <c r="AC34" i="1" s="1"/>
  <c r="AS33" i="1"/>
  <c r="BG33" i="1" s="1"/>
  <c r="AR33" i="1"/>
  <c r="AT33" i="1" s="1"/>
  <c r="BH33" i="1" s="1"/>
  <c r="AB33" i="1"/>
  <c r="AA33" i="1"/>
  <c r="AC33" i="1" s="1"/>
  <c r="AS32" i="1"/>
  <c r="BG32" i="1" s="1"/>
  <c r="AR32" i="1"/>
  <c r="AB32" i="1"/>
  <c r="AA32" i="1"/>
  <c r="AS31" i="1"/>
  <c r="BG31" i="1" s="1"/>
  <c r="AR31" i="1"/>
  <c r="AB31" i="1"/>
  <c r="AA31" i="1"/>
  <c r="AC31" i="1" s="1"/>
  <c r="AS30" i="1"/>
  <c r="BG30" i="1" s="1"/>
  <c r="AR30" i="1"/>
  <c r="AT30" i="1" s="1"/>
  <c r="BH30" i="1" s="1"/>
  <c r="AB30" i="1"/>
  <c r="AA30" i="1"/>
  <c r="AC30" i="1" s="1"/>
  <c r="AS29" i="1"/>
  <c r="BG29" i="1" s="1"/>
  <c r="AR29" i="1"/>
  <c r="AT29" i="1" s="1"/>
  <c r="BH29" i="1" s="1"/>
  <c r="AB29" i="1"/>
  <c r="AA29" i="1"/>
  <c r="AS28" i="1"/>
  <c r="BG28" i="1" s="1"/>
  <c r="AR28" i="1"/>
  <c r="AB28" i="1"/>
  <c r="AA28" i="1"/>
  <c r="AS27" i="1"/>
  <c r="BG27" i="1" s="1"/>
  <c r="AR27" i="1"/>
  <c r="AB27" i="1"/>
  <c r="AA27" i="1"/>
  <c r="AC27" i="1" s="1"/>
  <c r="AS26" i="1"/>
  <c r="BG26" i="1" s="1"/>
  <c r="AR26" i="1"/>
  <c r="AB26" i="1"/>
  <c r="AA26" i="1"/>
  <c r="AS25" i="1"/>
  <c r="BG25" i="1" s="1"/>
  <c r="AR25" i="1"/>
  <c r="AT25" i="1" s="1"/>
  <c r="BH25" i="1" s="1"/>
  <c r="AB25" i="1"/>
  <c r="AA25" i="1"/>
  <c r="AC25" i="1" s="1"/>
  <c r="AS24" i="1"/>
  <c r="BG24" i="1" s="1"/>
  <c r="AR24" i="1"/>
  <c r="AB24" i="1"/>
  <c r="AA24" i="1"/>
  <c r="AS23" i="1"/>
  <c r="BG23" i="1" s="1"/>
  <c r="AR23" i="1"/>
  <c r="AB23" i="1"/>
  <c r="AA23" i="1"/>
  <c r="AS22" i="1"/>
  <c r="BG22" i="1" s="1"/>
  <c r="AR22" i="1"/>
  <c r="AT22" i="1" s="1"/>
  <c r="BH22" i="1" s="1"/>
  <c r="AB22" i="1"/>
  <c r="AA22" i="1"/>
  <c r="AS21" i="1"/>
  <c r="BG21" i="1" s="1"/>
  <c r="AR21" i="1"/>
  <c r="AB21" i="1"/>
  <c r="AA21" i="1"/>
  <c r="AC21" i="1" s="1"/>
  <c r="AS20" i="1"/>
  <c r="BG20" i="1" s="1"/>
  <c r="AR20" i="1"/>
  <c r="AB20" i="1"/>
  <c r="AA20" i="1"/>
  <c r="AS19" i="1"/>
  <c r="BG19" i="1" s="1"/>
  <c r="AR19" i="1"/>
  <c r="AT19" i="1" s="1"/>
  <c r="BH19" i="1" s="1"/>
  <c r="AB19" i="1"/>
  <c r="AA19" i="1"/>
  <c r="AS18" i="1"/>
  <c r="BG18" i="1" s="1"/>
  <c r="AR18" i="1"/>
  <c r="AB18" i="1"/>
  <c r="AA18" i="1"/>
  <c r="AS17" i="1"/>
  <c r="BG17" i="1" s="1"/>
  <c r="AR17" i="1"/>
  <c r="AT17" i="1" s="1"/>
  <c r="BH17" i="1" s="1"/>
  <c r="AB17" i="1"/>
  <c r="AA17" i="1"/>
  <c r="AS16" i="1"/>
  <c r="BG16" i="1" s="1"/>
  <c r="AR16" i="1"/>
  <c r="AT16" i="1" s="1"/>
  <c r="BH16" i="1" s="1"/>
  <c r="AB16" i="1"/>
  <c r="AA16" i="1"/>
  <c r="AC16" i="1" s="1"/>
  <c r="AS15" i="1"/>
  <c r="BG15" i="1" s="1"/>
  <c r="AR15" i="1"/>
  <c r="AB15" i="1"/>
  <c r="AA15" i="1"/>
  <c r="AS14" i="1"/>
  <c r="BG14" i="1" s="1"/>
  <c r="AR14" i="1"/>
  <c r="AT14" i="1" s="1"/>
  <c r="BH14" i="1" s="1"/>
  <c r="AB14" i="1"/>
  <c r="AA14" i="1"/>
  <c r="AS13" i="1"/>
  <c r="BG13" i="1" s="1"/>
  <c r="AR13" i="1"/>
  <c r="AT13" i="1" s="1"/>
  <c r="BH13" i="1" s="1"/>
  <c r="AB13" i="1"/>
  <c r="AA13" i="1"/>
  <c r="AC13" i="1" s="1"/>
  <c r="AS12" i="1"/>
  <c r="BG12" i="1" s="1"/>
  <c r="AR12" i="1"/>
  <c r="AB12" i="1"/>
  <c r="AA12" i="1"/>
  <c r="AS11" i="1"/>
  <c r="BG11" i="1" s="1"/>
  <c r="AR11" i="1"/>
  <c r="AT11" i="1" s="1"/>
  <c r="BH11" i="1" s="1"/>
  <c r="AB11" i="1"/>
  <c r="AB7" i="1" s="1"/>
  <c r="AA11" i="1"/>
  <c r="AS10" i="1"/>
  <c r="BG10" i="1" s="1"/>
  <c r="AR10" i="1"/>
  <c r="AB10" i="1"/>
  <c r="AA10" i="1"/>
  <c r="AA7" i="1" s="1"/>
  <c r="AS9" i="1"/>
  <c r="BG9" i="1" s="1"/>
  <c r="AR9" i="1"/>
  <c r="AB9" i="1"/>
  <c r="AA9" i="1"/>
  <c r="AC9" i="1" s="1"/>
  <c r="BF7" i="1"/>
  <c r="BE7" i="1"/>
  <c r="BD7" i="1"/>
  <c r="BC7" i="1"/>
  <c r="BB7" i="1"/>
  <c r="BA7" i="1"/>
  <c r="AZ7" i="1"/>
  <c r="AY7" i="1"/>
  <c r="AX7" i="1"/>
  <c r="AW7" i="1"/>
  <c r="AV7" i="1"/>
  <c r="AU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AT27" i="2" l="1"/>
  <c r="X18" i="2"/>
  <c r="CA19" i="2"/>
  <c r="BE21" i="2"/>
  <c r="AI23" i="2"/>
  <c r="CL24" i="2"/>
  <c r="BP26" i="2"/>
  <c r="BE27" i="2"/>
  <c r="AT28" i="2"/>
  <c r="AI29" i="2"/>
  <c r="X30" i="2"/>
  <c r="CL30" i="2"/>
  <c r="BP9" i="2"/>
  <c r="BE10" i="2"/>
  <c r="AT11" i="2"/>
  <c r="AI12" i="2"/>
  <c r="X13" i="2"/>
  <c r="CL13" i="2"/>
  <c r="CA14" i="2"/>
  <c r="BP15" i="2"/>
  <c r="BE16" i="2"/>
  <c r="AT17" i="2"/>
  <c r="CA9" i="2"/>
  <c r="BP10" i="2"/>
  <c r="BE11" i="2"/>
  <c r="AT12" i="2"/>
  <c r="AI13" i="2"/>
  <c r="X14" i="2"/>
  <c r="CL14" i="2"/>
  <c r="CA15" i="2"/>
  <c r="BP16" i="2"/>
  <c r="AT18" i="2"/>
  <c r="X20" i="2"/>
  <c r="CA21" i="2"/>
  <c r="BE23" i="2"/>
  <c r="AI25" i="2"/>
  <c r="BE18" i="2"/>
  <c r="AT19" i="2"/>
  <c r="AI20" i="2"/>
  <c r="X21" i="2"/>
  <c r="CL21" i="2"/>
  <c r="CA22" i="2"/>
  <c r="BP23" i="2"/>
  <c r="BE24" i="2"/>
  <c r="CA28" i="2"/>
  <c r="BP29" i="2"/>
  <c r="BE30" i="2"/>
  <c r="AC17" i="1"/>
  <c r="AC23" i="1"/>
  <c r="AC26" i="1"/>
  <c r="AT43" i="1"/>
  <c r="BH43" i="1" s="1"/>
  <c r="AT51" i="1"/>
  <c r="BH51" i="1" s="1"/>
  <c r="AT54" i="1"/>
  <c r="BH54" i="1" s="1"/>
  <c r="BI54" i="1" s="1"/>
  <c r="AT57" i="1"/>
  <c r="BH57" i="1" s="1"/>
  <c r="BI57" i="1" s="1"/>
  <c r="AS7" i="1"/>
  <c r="AT32" i="1"/>
  <c r="BH32" i="1" s="1"/>
  <c r="BI32" i="1" s="1"/>
  <c r="AT41" i="1"/>
  <c r="BH41" i="1" s="1"/>
  <c r="BI41" i="1" s="1"/>
  <c r="AC44" i="1"/>
  <c r="AT49" i="1"/>
  <c r="BH49" i="1" s="1"/>
  <c r="AC47" i="1"/>
  <c r="AC50" i="1"/>
  <c r="AT21" i="1"/>
  <c r="BH21" i="1" s="1"/>
  <c r="AT24" i="1"/>
  <c r="BH24" i="1" s="1"/>
  <c r="AC56" i="1"/>
  <c r="AT47" i="1"/>
  <c r="BH47" i="1" s="1"/>
  <c r="BI30" i="1"/>
  <c r="X10" i="2"/>
  <c r="CA11" i="2"/>
  <c r="BE13" i="2"/>
  <c r="X16" i="2"/>
  <c r="AI9" i="2"/>
  <c r="CL10" i="2"/>
  <c r="BP12" i="2"/>
  <c r="AT14" i="2"/>
  <c r="AI15" i="2"/>
  <c r="AT9" i="2"/>
  <c r="AI10" i="2"/>
  <c r="X11" i="2"/>
  <c r="CL11" i="2"/>
  <c r="CA12" i="2"/>
  <c r="BP13" i="2"/>
  <c r="BE14" i="2"/>
  <c r="AT15" i="2"/>
  <c r="AI16" i="2"/>
  <c r="X17" i="2"/>
  <c r="BE19" i="2"/>
  <c r="AI21" i="2"/>
  <c r="CL22" i="2"/>
  <c r="BP24" i="2"/>
  <c r="AT26" i="2"/>
  <c r="CL28" i="2"/>
  <c r="CA29" i="2"/>
  <c r="BP30" i="2"/>
  <c r="CL17" i="2"/>
  <c r="CA18" i="2"/>
  <c r="BP19" i="2"/>
  <c r="BE20" i="2"/>
  <c r="AT21" i="2"/>
  <c r="AI22" i="2"/>
  <c r="X23" i="2"/>
  <c r="CL23" i="2"/>
  <c r="CA24" i="2"/>
  <c r="BP25" i="2"/>
  <c r="BE26" i="2"/>
  <c r="AT10" i="2"/>
  <c r="X12" i="2"/>
  <c r="BE15" i="2"/>
  <c r="AI11" i="2"/>
  <c r="CL12" i="2"/>
  <c r="CA13" i="2"/>
  <c r="BP14" i="2"/>
  <c r="AT16" i="2"/>
  <c r="AI17" i="2"/>
  <c r="CL18" i="2"/>
  <c r="BP20" i="2"/>
  <c r="AT22" i="2"/>
  <c r="X24" i="2"/>
  <c r="CA25" i="2"/>
  <c r="BE9" i="2"/>
  <c r="AI18" i="2"/>
  <c r="X19" i="2"/>
  <c r="CL19" i="2"/>
  <c r="CA20" i="2"/>
  <c r="BP21" i="2"/>
  <c r="BE22" i="2"/>
  <c r="AT23" i="2"/>
  <c r="AI24" i="2"/>
  <c r="X25" i="2"/>
  <c r="CL25" i="2"/>
  <c r="CA26" i="2"/>
  <c r="BP27" i="2"/>
  <c r="BE17" i="2"/>
  <c r="BE28" i="2"/>
  <c r="AT29" i="2"/>
  <c r="AI30" i="2"/>
  <c r="AI19" i="2"/>
  <c r="CL20" i="2"/>
  <c r="BP22" i="2"/>
  <c r="AT24" i="2"/>
  <c r="X26" i="2"/>
  <c r="CA27" i="2"/>
  <c r="X9" i="2"/>
  <c r="CL9" i="2"/>
  <c r="CA10" i="2"/>
  <c r="BP11" i="2"/>
  <c r="BE12" i="2"/>
  <c r="AT13" i="2"/>
  <c r="AI14" i="2"/>
  <c r="X15" i="2"/>
  <c r="CL15" i="2"/>
  <c r="CA16" i="2"/>
  <c r="BP17" i="2"/>
  <c r="AT25" i="2"/>
  <c r="AI26" i="2"/>
  <c r="X27" i="2"/>
  <c r="CL27" i="2"/>
  <c r="BI14" i="1"/>
  <c r="AT10" i="1"/>
  <c r="BH10" i="1" s="1"/>
  <c r="BI10" i="1" s="1"/>
  <c r="AT18" i="1"/>
  <c r="BH18" i="1" s="1"/>
  <c r="BI18" i="1" s="1"/>
  <c r="AC24" i="1"/>
  <c r="AC32" i="1"/>
  <c r="AT40" i="1"/>
  <c r="BH40" i="1" s="1"/>
  <c r="AC46" i="1"/>
  <c r="AT48" i="1"/>
  <c r="BH48" i="1" s="1"/>
  <c r="BI48" i="1" s="1"/>
  <c r="AC57" i="1"/>
  <c r="BI13" i="1"/>
  <c r="AR7" i="1"/>
  <c r="AC11" i="1"/>
  <c r="AC14" i="1"/>
  <c r="AC19" i="1"/>
  <c r="AC22" i="1"/>
  <c r="AT27" i="1"/>
  <c r="BH27" i="1" s="1"/>
  <c r="AT35" i="1"/>
  <c r="BH35" i="1" s="1"/>
  <c r="BI35" i="1" s="1"/>
  <c r="AT38" i="1"/>
  <c r="BH38" i="1" s="1"/>
  <c r="BI38" i="1" s="1"/>
  <c r="AC52" i="1"/>
  <c r="AT60" i="1"/>
  <c r="BH60" i="1" s="1"/>
  <c r="BI60" i="1" s="1"/>
  <c r="AT9" i="1"/>
  <c r="BH9" i="1" s="1"/>
  <c r="BI9" i="1" s="1"/>
  <c r="AC12" i="1"/>
  <c r="AC20" i="1"/>
  <c r="AT28" i="1"/>
  <c r="BH28" i="1" s="1"/>
  <c r="BI28" i="1" s="1"/>
  <c r="AT36" i="1"/>
  <c r="BH36" i="1" s="1"/>
  <c r="BI36" i="1" s="1"/>
  <c r="AC45" i="1"/>
  <c r="AC53" i="1"/>
  <c r="BI55" i="1"/>
  <c r="AT61" i="1"/>
  <c r="BH61" i="1" s="1"/>
  <c r="BI11" i="1"/>
  <c r="AC28" i="1"/>
  <c r="AC61" i="1"/>
  <c r="BI22" i="1"/>
  <c r="AT12" i="1"/>
  <c r="BH12" i="1" s="1"/>
  <c r="AC15" i="1"/>
  <c r="BI17" i="1"/>
  <c r="AT20" i="1"/>
  <c r="BH20" i="1" s="1"/>
  <c r="BI20" i="1" s="1"/>
  <c r="AC29" i="1"/>
  <c r="AC37" i="1"/>
  <c r="AT53" i="1"/>
  <c r="BH53" i="1" s="1"/>
  <c r="BI53" i="1" s="1"/>
  <c r="AC59" i="1"/>
  <c r="AC62" i="1"/>
  <c r="BI19" i="1"/>
  <c r="AC10" i="1"/>
  <c r="AC18" i="1"/>
  <c r="AT23" i="1"/>
  <c r="BH23" i="1" s="1"/>
  <c r="BI23" i="1" s="1"/>
  <c r="AT26" i="1"/>
  <c r="BH26" i="1" s="1"/>
  <c r="BI26" i="1" s="1"/>
  <c r="AT31" i="1"/>
  <c r="BH31" i="1" s="1"/>
  <c r="BI31" i="1" s="1"/>
  <c r="AT34" i="1"/>
  <c r="BH34" i="1" s="1"/>
  <c r="BI34" i="1" s="1"/>
  <c r="AC40" i="1"/>
  <c r="AC48" i="1"/>
  <c r="AT56" i="1"/>
  <c r="BH56" i="1" s="1"/>
  <c r="BI42" i="1"/>
  <c r="BI21" i="1"/>
  <c r="BI44" i="1"/>
  <c r="BI51" i="1"/>
  <c r="BI59" i="1"/>
  <c r="BI12" i="1"/>
  <c r="BI39" i="1"/>
  <c r="BI33" i="1"/>
  <c r="BI49" i="1"/>
  <c r="BI56" i="1"/>
  <c r="BI24" i="1"/>
  <c r="BI40" i="1"/>
  <c r="BI29" i="1"/>
  <c r="BI45" i="1"/>
  <c r="BI47" i="1"/>
  <c r="BI52" i="1"/>
  <c r="AG7" i="2"/>
  <c r="BI37" i="1"/>
  <c r="BI25" i="1"/>
  <c r="BI27" i="1"/>
  <c r="BI43" i="1"/>
  <c r="BI50" i="1"/>
  <c r="BI58" i="1"/>
  <c r="V7" i="2"/>
  <c r="BI16" i="1"/>
  <c r="BI61" i="1"/>
  <c r="AR7" i="2"/>
  <c r="BO7" i="2"/>
  <c r="BD7" i="2"/>
  <c r="AS7" i="2"/>
  <c r="AT15" i="1"/>
  <c r="BH15" i="1" s="1"/>
  <c r="BI15" i="1" s="1"/>
  <c r="AH7" i="2"/>
  <c r="BI62" i="1"/>
  <c r="BN7" i="2"/>
  <c r="W7" i="2"/>
  <c r="BY7" i="2"/>
  <c r="BZ7" i="2"/>
  <c r="CK7" i="2"/>
  <c r="BC7" i="2"/>
  <c r="CJ7" i="2"/>
  <c r="X28" i="2"/>
  <c r="CL26" i="2"/>
  <c r="AI7" i="2" l="1"/>
  <c r="AT7" i="2"/>
  <c r="BE7" i="2"/>
  <c r="AC7" i="1"/>
  <c r="BI7" i="1"/>
  <c r="AT7" i="1"/>
  <c r="BH7" i="1"/>
  <c r="CA7" i="2"/>
  <c r="CL7" i="2"/>
  <c r="BG7" i="1"/>
  <c r="BP7" i="2"/>
  <c r="X7" i="2"/>
</calcChain>
</file>

<file path=xl/sharedStrings.xml><?xml version="1.0" encoding="utf-8"?>
<sst xmlns="http://schemas.openxmlformats.org/spreadsheetml/2006/main" count="1210" uniqueCount="318">
  <si>
    <t>School Level Data on Learners Data by Program Elementary Level</t>
  </si>
  <si>
    <t>SY 2019-2020</t>
  </si>
  <si>
    <t>Based on BEIS, generated as of June 8, 2020</t>
  </si>
  <si>
    <t>Muslim</t>
  </si>
  <si>
    <t>Non-Muslim</t>
  </si>
  <si>
    <t>Special Science Elementary School (SSES)</t>
  </si>
  <si>
    <t>Kindergarten</t>
  </si>
  <si>
    <t>Grade 1</t>
  </si>
  <si>
    <t>Grade 2</t>
  </si>
  <si>
    <t>Grade 3</t>
  </si>
  <si>
    <t>Grade 4</t>
  </si>
  <si>
    <t>Grade 5</t>
  </si>
  <si>
    <t>Grade 6</t>
  </si>
  <si>
    <t>Total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</si>
  <si>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</si>
  <si>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</si>
  <si>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</si>
  <si>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</si>
  <si>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</si>
  <si>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</si>
  <si>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</si>
  <si>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</si>
  <si>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</si>
  <si>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</si>
  <si>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</si>
  <si>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</si>
  <si>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</si>
  <si>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</si>
  <si>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MEP: ALIVE Muslim Kinder Male</t>
  </si>
  <si>
    <t>MEP: ALIVE Muslim Kinder Female</t>
  </si>
  <si>
    <t>MEP: ALIVE Muslim Gr1 Male</t>
  </si>
  <si>
    <t>MEP: ALIVE Muslim Gr1 Female</t>
  </si>
  <si>
    <t>MEP: ALIVE Muslim Gr2 Male</t>
  </si>
  <si>
    <t>MEP: ALIVE Muslim Gr2 Female</t>
  </si>
  <si>
    <t>MEP: ALIVE Muslim Gr3 Male</t>
  </si>
  <si>
    <t>MEP: ALIVE Muslim Gr3 Female</t>
  </si>
  <si>
    <t>MEP: ALIVE Muslim Gr4 Male</t>
  </si>
  <si>
    <t>MEP: ALIVE Muslim Gr4 Female</t>
  </si>
  <si>
    <t>MEP: ALIVE Muslim Gr5 Male</t>
  </si>
  <si>
    <t>MEP: ALIVE Muslim Gr5 Female</t>
  </si>
  <si>
    <t>MEP: ALIVE Muslim Gr6 Male</t>
  </si>
  <si>
    <t>MEP: ALIVE Muslim Gr6 Female</t>
  </si>
  <si>
    <t>MEP: ALIVE Non-Muslim Kinder Male</t>
  </si>
  <si>
    <t>MEP: ALIVE Non-Muslim Kinder Female</t>
  </si>
  <si>
    <t>MEP: ALIVE Non-Muslim Gr1 Male</t>
  </si>
  <si>
    <t>MEP: ALIVE Non-Muslim Gr1 Female</t>
  </si>
  <si>
    <t>MEP: ALIVE Non-Muslim Gr2 Male</t>
  </si>
  <si>
    <t>MEP: ALIVE Non-Muslim Gr2 Female</t>
  </si>
  <si>
    <t>MEP: ALIVE Non-Muslim Gr3 Male</t>
  </si>
  <si>
    <t>MEP: ALIVE Non-Muslim Gr3 Female</t>
  </si>
  <si>
    <t>MEP: ALIVE Non-Muslim Gr4 Male</t>
  </si>
  <si>
    <t>MEP: ALIVE Non-Muslim Gr4 Female</t>
  </si>
  <si>
    <t>MEP: ALIVE Non-Muslim Gr5 Male</t>
  </si>
  <si>
    <t>MEP: ALIVE Non-Muslim Gr5 Female</t>
  </si>
  <si>
    <t>MEP: ALIVE Non-Muslim Gr6 Male</t>
  </si>
  <si>
    <t>MEP: ALIVE Non-Muslim Gr6 Female</t>
  </si>
  <si>
    <t>SSES Gr1 Male</t>
  </si>
  <si>
    <t>SSES Gr1 Female</t>
  </si>
  <si>
    <t>SSES Gr2 Male</t>
  </si>
  <si>
    <t>SSES Gr2 Female</t>
  </si>
  <si>
    <t>SSES Gr3 Male</t>
  </si>
  <si>
    <t>SSES Gr3 Female</t>
  </si>
  <si>
    <t>SSES Gr4 Male</t>
  </si>
  <si>
    <t>SSES Gr4 Female</t>
  </si>
  <si>
    <t>SSES Gr5 Male</t>
  </si>
  <si>
    <t>SSES Gr5 Female</t>
  </si>
  <si>
    <t>SSES Gr6 Male</t>
  </si>
  <si>
    <t>SSES Gr6 Female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</si>
  <si>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</si>
  <si>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</si>
  <si>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</si>
  <si>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</si>
  <si>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</si>
  <si>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</si>
  <si>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</si>
  <si>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</si>
  <si>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</si>
  <si>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</si>
  <si>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</si>
  <si>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</si>
  <si>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</si>
  <si>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</si>
  <si>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</si>
  <si>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</si>
  <si>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</si>
  <si>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</si>
  <si>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</si>
  <si>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</si>
  <si>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</si>
  <si>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</si>
  <si>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</si>
  <si>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</si>
  <si>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</si>
  <si>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</si>
  <si>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</si>
  <si>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</si>
  <si>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</si>
  <si>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</si>
  <si>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</si>
  <si>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</si>
  <si>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</si>
  <si>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</si>
  <si>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</si>
  <si>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</si>
  <si>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</si>
  <si>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</si>
  <si>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</si>
  <si>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</si>
  <si>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</si>
  <si>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</si>
  <si>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</si>
  <si>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</si>
  <si>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</si>
  <si>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</si>
  <si>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</si>
  <si>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</si>
  <si>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</si>
  <si>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</si>
  <si>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</si>
  <si>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</si>
  <si>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</si>
  <si>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</si>
  <si>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</si>
  <si>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</si>
  <si>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</si>
  <si>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</si>
  <si>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</si>
  <si>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</si>
  <si>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</si>
  <si>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</si>
  <si>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</si>
  <si>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</si>
  <si>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</si>
  <si>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</si>
  <si>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</si>
  <si>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</si>
  <si>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</si>
  <si>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</si>
  <si>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</si>
  <si>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</si>
  <si>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</si>
  <si>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</si>
  <si>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</si>
  <si>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</si>
  <si>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</si>
  <si>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</si>
  <si>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</si>
  <si>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</si>
  <si>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</si>
  <si>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</si>
  <si>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</si>
  <si>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</si>
  <si>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</si>
  <si>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</si>
  <si>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</si>
  <si>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</si>
  <si>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</si>
  <si>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</si>
  <si>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</si>
  <si>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</si>
  <si>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</si>
  <si>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</si>
  <si>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</si>
  <si>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</si>
  <si>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</si>
  <si>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</si>
  <si>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</si>
  <si>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</si>
  <si>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</si>
  <si>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</si>
  <si>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</si>
  <si>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</si>
  <si>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</si>
  <si>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</si>
  <si>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</si>
  <si>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</si>
  <si>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</si>
  <si>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</si>
  <si>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</si>
  <si>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</si>
  <si>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</si>
  <si>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</si>
  <si>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</si>
  <si>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</si>
  <si>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</si>
  <si>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</si>
  <si>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</si>
  <si>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</si>
  <si>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</si>
  <si>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</si>
  <si>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</si>
  <si>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</si>
  <si>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</si>
  <si>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</si>
  <si>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</si>
  <si>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</si>
  <si>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</si>
  <si>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</si>
  <si>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</si>
  <si>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</si>
  <si>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</si>
  <si>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</si>
  <si>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</si>
  <si>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</si>
  <si>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</si>
  <si>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</si>
  <si>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</si>
  <si>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</si>
  <si>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</si>
  <si>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</si>
  <si>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</si>
  <si>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</si>
  <si>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</si>
  <si>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</si>
  <si>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</si>
  <si>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Learners Data by Program in Junior High School</t>
  </si>
  <si>
    <t>Regional Science High School</t>
  </si>
  <si>
    <t>Special Program in the Arts</t>
  </si>
  <si>
    <t>Special Program in Foreign Language</t>
  </si>
  <si>
    <t>Special Program in Journalism</t>
  </si>
  <si>
    <t>Special Program in Science, Technology and Engineering</t>
  </si>
  <si>
    <t>Special Program in Sports</t>
  </si>
  <si>
    <t>Special Program in Technical Vocational Education</t>
  </si>
  <si>
    <t>Grade 7</t>
  </si>
  <si>
    <t>Grade 8</t>
  </si>
  <si>
    <t>Grade 9</t>
  </si>
  <si>
    <t>Grade 10</t>
  </si>
  <si>
    <t>implementing_unit</t>
  </si>
  <si>
    <t>Regional Science High School Gr7 Male</t>
  </si>
  <si>
    <t>Regional Science High School Gr7 Female</t>
  </si>
  <si>
    <t>Regional Science High School Gr8 Male</t>
  </si>
  <si>
    <t>Regional Science High School Gr8 Female</t>
  </si>
  <si>
    <t>Regional Science High School Gr9 Male</t>
  </si>
  <si>
    <t>Regional Science High School Gr9 Female</t>
  </si>
  <si>
    <t>Regional Science High School Gr10 Male</t>
  </si>
  <si>
    <t>Regional Science High School Gr10 Female</t>
  </si>
  <si>
    <t>Special Arts Program Gr7 Male</t>
  </si>
  <si>
    <t>Special Arts Program Gr7 Female</t>
  </si>
  <si>
    <t>Special Arts Program Gr8 Male</t>
  </si>
  <si>
    <t>Special Arts Program Gr8 Female</t>
  </si>
  <si>
    <t>Special Arts Program Gr9 Male</t>
  </si>
  <si>
    <t>Special Arts Program Gr9 Female</t>
  </si>
  <si>
    <t>Special Arts Program Gr10 Male</t>
  </si>
  <si>
    <t>Special Arts Program Gr10 Female</t>
  </si>
  <si>
    <t>Special Program in Foreign Language Gr7 Male</t>
  </si>
  <si>
    <t>Special Program in Foreign Language Gr7 Female</t>
  </si>
  <si>
    <t>Special Program in Foreign Language Gr8 Male</t>
  </si>
  <si>
    <t>Special Program in Foreign Language Gr8 Female</t>
  </si>
  <si>
    <t>Special Program in Foreign Language Gr9 Male</t>
  </si>
  <si>
    <t>Special Program in Foreign Language Gr9 Female</t>
  </si>
  <si>
    <t>Special Program in Foreign Language Gr10 Male</t>
  </si>
  <si>
    <t>Special Program in Foreign Language Gr10 Female</t>
  </si>
  <si>
    <t>Special Program in Journalism Gr7 Male</t>
  </si>
  <si>
    <t>Special Program in Journalism Gr7 Female</t>
  </si>
  <si>
    <t>Special Program in Journalism Gr8 Male</t>
  </si>
  <si>
    <t>Special Program in Journalism Gr8 Female</t>
  </si>
  <si>
    <t>Special Program in Journalism Gr9 Male</t>
  </si>
  <si>
    <t>Special Program in Journalism Gr9 Female</t>
  </si>
  <si>
    <t>Special Program in Journalism Gr10 Male</t>
  </si>
  <si>
    <t>Special Program in Journalism Gr10 Female</t>
  </si>
  <si>
    <t>Special Program in Sci, Tech and Engr Gr7 Male</t>
  </si>
  <si>
    <t>Special Program in Sci, Tech and Engr Gr7 Female</t>
  </si>
  <si>
    <t>Special Program in Sci, Tech and Engr Gr8 Male</t>
  </si>
  <si>
    <t>Special Program in Sci, Tech and Engr Gr8 Female</t>
  </si>
  <si>
    <t>Special Program in Sci, Tech and Engr Gr9 Male</t>
  </si>
  <si>
    <t>Special Program in Sci, Tech and Engr Gr9 Female</t>
  </si>
  <si>
    <t>Special Program in Sci, Tech and Engr Gr10 Female</t>
  </si>
  <si>
    <t>Special Program in Sports Gr7 Male</t>
  </si>
  <si>
    <t>Special Program in Sports Gr7 Female</t>
  </si>
  <si>
    <t>Special Program in Sports Gr8 Male</t>
  </si>
  <si>
    <t>Special Program in Sports Gr9 Male</t>
  </si>
  <si>
    <t>Special Program in Sports Gr9 Female</t>
  </si>
  <si>
    <t>Special Program in Sports Gr10 Male</t>
  </si>
  <si>
    <t>Special Program in Sports Gr10 Female</t>
  </si>
  <si>
    <t>Special Program in Tech Voc Gr7 Male</t>
  </si>
  <si>
    <t>Special Program in Tech Voc Gr8 Male</t>
  </si>
  <si>
    <t>Special Program in Tech Voc Gr8 Female</t>
  </si>
  <si>
    <t>Special Program in Tech Voc Gr9 Male</t>
  </si>
  <si>
    <t>Special Program in Tech Voc Gr9 Female</t>
  </si>
  <si>
    <t>Special Program in Tech Voc Gr10 Male</t>
  </si>
  <si>
    <t>Special Program in Tech Voc Gr10 Female</t>
  </si>
  <si>
    <t>Remarks</t>
  </si>
  <si>
    <t>Grade 7-10 &amp; Grade 11-12</t>
  </si>
  <si>
    <t>No</t>
  </si>
  <si>
    <t>JHS with SHS</t>
  </si>
  <si>
    <t>Yes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</si>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</sst>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2" fillId="0" borderId="0" xfId="0" applyFont="1"/>
    <xf numFmtId="0" fontId="3" fillId="0" borderId="5" xfId="0" applyFont="1" applyBorder="1" applyAlignment="1">
      <alignment horizontal="center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2392-5404-41E4-A916-03E39166A622}">
  <dimension ref="A1:BI62"/>
  <sheetViews>
    <sheetView tabSelected="1" zoomScaleNormal="100" workbookViewId="0">
      <pane xSplit="4" ySplit="8" topLeftCell="E46" activePane="bottomRight" state="frozen"/>
      <selection activeCell="B31" sqref="A31:XFD76"/>
      <selection pane="topRight" activeCell="B31" sqref="A31:XFD76"/>
      <selection pane="bottomLeft" activeCell="B31" sqref="A31:XFD76"/>
      <selection pane="bottomRight" activeCell="C67" sqref="C67"/>
    </sheetView>
  </sheetViews>
  <sheetFormatPr defaultRowHeight="15"/>
  <cols>
    <col min="2" max="2" width="25.5703125" bestFit="1" customWidth="1"/>
  </cols>
  <sheetData>
    <row r="1" spans="1:61">
      <c r="A1" s="1" t="s">
        <v>0</v>
      </c>
    </row>
    <row r="2" spans="1:61">
      <c r="A2" s="1" t="s">
        <v>1</v>
      </c>
      <c r="L2" s="2"/>
    </row>
    <row r="3" spans="1:61">
      <c r="A3" s="1" t="s">
        <v>2</v>
      </c>
      <c r="L3" s="2"/>
    </row>
    <row r="4" spans="1:61">
      <c r="A4" s="1"/>
      <c r="L4" s="2"/>
      <c r="M4" s="3" t="s">
        <v>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  <c r="AD4" s="3" t="s">
        <v>4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5"/>
      <c r="AU4" s="6" t="s">
        <v>5</v>
      </c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</row>
    <row r="5" spans="1:61">
      <c r="A5" s="1"/>
      <c r="L5" s="2"/>
      <c r="M5" s="6" t="s">
        <v>6</v>
      </c>
      <c r="N5" s="6"/>
      <c r="O5" s="6" t="s">
        <v>7</v>
      </c>
      <c r="P5" s="6"/>
      <c r="Q5" s="6" t="s">
        <v>8</v>
      </c>
      <c r="R5" s="6"/>
      <c r="S5" s="6" t="s">
        <v>9</v>
      </c>
      <c r="T5" s="6"/>
      <c r="U5" s="6" t="s">
        <v>10</v>
      </c>
      <c r="V5" s="6"/>
      <c r="W5" s="6" t="s">
        <v>11</v>
      </c>
      <c r="X5" s="6"/>
      <c r="Y5" s="6" t="s">
        <v>12</v>
      </c>
      <c r="Z5" s="6"/>
      <c r="AA5" s="3" t="s">
        <v>13</v>
      </c>
      <c r="AB5" s="4"/>
      <c r="AC5" s="5"/>
      <c r="AD5" s="6" t="s">
        <v>6</v>
      </c>
      <c r="AE5" s="6"/>
      <c r="AF5" s="6" t="s">
        <v>7</v>
      </c>
      <c r="AG5" s="6"/>
      <c r="AH5" s="6" t="s">
        <v>8</v>
      </c>
      <c r="AI5" s="6"/>
      <c r="AJ5" s="6" t="s">
        <v>9</v>
      </c>
      <c r="AK5" s="6"/>
      <c r="AL5" s="6" t="s">
        <v>10</v>
      </c>
      <c r="AM5" s="6"/>
      <c r="AN5" s="6" t="s">
        <v>11</v>
      </c>
      <c r="AO5" s="6"/>
      <c r="AP5" s="6" t="s">
        <v>12</v>
      </c>
      <c r="AQ5" s="6"/>
      <c r="AR5" s="3" t="s">
        <v>13</v>
      </c>
      <c r="AS5" s="4"/>
      <c r="AT5" s="5"/>
      <c r="AU5" s="6" t="s">
        <v>7</v>
      </c>
      <c r="AV5" s="6"/>
      <c r="AW5" s="6" t="s">
        <v>8</v>
      </c>
      <c r="AX5" s="6"/>
      <c r="AY5" s="6" t="s">
        <v>9</v>
      </c>
      <c r="AZ5" s="6"/>
      <c r="BA5" s="6" t="s">
        <v>10</v>
      </c>
      <c r="BB5" s="6"/>
      <c r="BC5" s="6" t="s">
        <v>11</v>
      </c>
      <c r="BD5" s="6"/>
      <c r="BE5" s="6" t="s">
        <v>12</v>
      </c>
      <c r="BF5" s="6"/>
      <c r="BG5" s="6" t="s">
        <v>13</v>
      </c>
      <c r="BH5" s="6"/>
      <c r="BI5" s="6"/>
    </row>
    <row r="6" spans="1:61">
      <c r="M6" s="7" t="s">
        <v>14</v>
      </c>
      <c r="N6" s="7" t="s">
        <v>15</v>
      </c>
      <c r="O6" s="7" t="s">
        <v>14</v>
      </c>
      <c r="P6" s="7" t="s">
        <v>15</v>
      </c>
      <c r="Q6" s="7" t="s">
        <v>14</v>
      </c>
      <c r="R6" s="7" t="s">
        <v>15</v>
      </c>
      <c r="S6" s="7" t="s">
        <v>14</v>
      </c>
      <c r="T6" s="7" t="s">
        <v>15</v>
      </c>
      <c r="U6" s="7" t="s">
        <v>14</v>
      </c>
      <c r="V6" s="7" t="s">
        <v>15</v>
      </c>
      <c r="W6" s="7" t="s">
        <v>14</v>
      </c>
      <c r="X6" s="7" t="s">
        <v>15</v>
      </c>
      <c r="Y6" s="7" t="s">
        <v>14</v>
      </c>
      <c r="Z6" s="7" t="s">
        <v>15</v>
      </c>
      <c r="AA6" s="7" t="s">
        <v>14</v>
      </c>
      <c r="AB6" s="7" t="s">
        <v>15</v>
      </c>
      <c r="AC6" s="7" t="s">
        <v>13</v>
      </c>
      <c r="AD6" s="7" t="s">
        <v>14</v>
      </c>
      <c r="AE6" s="7" t="s">
        <v>15</v>
      </c>
      <c r="AF6" s="7" t="s">
        <v>14</v>
      </c>
      <c r="AG6" s="7" t="s">
        <v>15</v>
      </c>
      <c r="AH6" s="7" t="s">
        <v>14</v>
      </c>
      <c r="AI6" s="7" t="s">
        <v>15</v>
      </c>
      <c r="AJ6" s="7" t="s">
        <v>14</v>
      </c>
      <c r="AK6" s="7" t="s">
        <v>15</v>
      </c>
      <c r="AL6" s="7" t="s">
        <v>14</v>
      </c>
      <c r="AM6" s="7" t="s">
        <v>15</v>
      </c>
      <c r="AN6" s="7" t="s">
        <v>14</v>
      </c>
      <c r="AO6" s="7" t="s">
        <v>15</v>
      </c>
      <c r="AP6" s="7" t="s">
        <v>14</v>
      </c>
      <c r="AQ6" s="7" t="s">
        <v>15</v>
      </c>
      <c r="AR6" s="7" t="s">
        <v>14</v>
      </c>
      <c r="AS6" s="7" t="s">
        <v>15</v>
      </c>
      <c r="AT6" s="7" t="s">
        <v>13</v>
      </c>
      <c r="AU6" s="7" t="s">
        <v>14</v>
      </c>
      <c r="AV6" s="7" t="s">
        <v>15</v>
      </c>
      <c r="AW6" s="7" t="s">
        <v>14</v>
      </c>
      <c r="AX6" s="7" t="s">
        <v>15</v>
      </c>
      <c r="AY6" s="7" t="s">
        <v>14</v>
      </c>
      <c r="AZ6" s="7" t="s">
        <v>15</v>
      </c>
      <c r="BA6" s="7" t="s">
        <v>14</v>
      </c>
      <c r="BB6" s="7" t="s">
        <v>15</v>
      </c>
      <c r="BC6" s="7" t="s">
        <v>14</v>
      </c>
      <c r="BD6" s="7" t="s">
        <v>15</v>
      </c>
      <c r="BE6" s="7" t="s">
        <v>14</v>
      </c>
      <c r="BF6" s="7" t="s">
        <v>15</v>
      </c>
      <c r="BG6" s="7" t="s">
        <v>14</v>
      </c>
      <c r="BH6" s="7" t="s">
        <v>15</v>
      </c>
      <c r="BI6" s="7" t="s">
        <v>13</v>
      </c>
    </row>
    <row r="7" spans="1:61">
      <c r="M7" s="8">
        <f>SUM(M9:M62)</f>
        <v>113</v>
      </c>
      <c r="N7" s="8">
        <f>SUM(N9:N62)</f>
        <v>97</v>
      </c>
      <c r="O7" s="8">
        <f>SUM(O9:O62)</f>
        <v>183</v>
      </c>
      <c r="P7" s="8">
        <f>SUM(P9:P62)</f>
        <v>165</v>
      </c>
      <c r="Q7" s="8">
        <f>SUM(Q9:Q62)</f>
        <v>151</v>
      </c>
      <c r="R7" s="8">
        <f>SUM(R9:R62)</f>
        <v>141</v>
      </c>
      <c r="S7" s="8">
        <f>SUM(S9:S62)</f>
        <v>170</v>
      </c>
      <c r="T7" s="8">
        <f>SUM(T9:T62)</f>
        <v>144</v>
      </c>
      <c r="U7" s="8">
        <f>SUM(U9:U62)</f>
        <v>152</v>
      </c>
      <c r="V7" s="8">
        <f>SUM(V9:V62)</f>
        <v>159</v>
      </c>
      <c r="W7" s="8">
        <f>SUM(W9:W62)</f>
        <v>157</v>
      </c>
      <c r="X7" s="8">
        <f>SUM(X9:X62)</f>
        <v>171</v>
      </c>
      <c r="Y7" s="8">
        <f>SUM(Y9:Y62)</f>
        <v>202</v>
      </c>
      <c r="Z7" s="8">
        <f>SUM(Z9:Z62)</f>
        <v>193</v>
      </c>
      <c r="AA7" s="8">
        <f>SUM(AA9:AA62)</f>
        <v>1128</v>
      </c>
      <c r="AB7" s="8">
        <f>SUM(AB9:AB62)</f>
        <v>1070</v>
      </c>
      <c r="AC7" s="8">
        <f>SUM(AC9:AC62)</f>
        <v>2198</v>
      </c>
      <c r="AD7" s="8">
        <f>SUM(AD9:AD62)</f>
        <v>935</v>
      </c>
      <c r="AE7" s="8">
        <f>SUM(AE9:AE62)</f>
        <v>915</v>
      </c>
      <c r="AF7" s="8">
        <f>SUM(AF9:AF62)</f>
        <v>1181</v>
      </c>
      <c r="AG7" s="8">
        <f>SUM(AG9:AG62)</f>
        <v>1149</v>
      </c>
      <c r="AH7" s="8">
        <f>SUM(AH9:AH62)</f>
        <v>1192</v>
      </c>
      <c r="AI7" s="8">
        <f>SUM(AI9:AI62)</f>
        <v>1106</v>
      </c>
      <c r="AJ7" s="8">
        <f>SUM(AJ9:AJ62)</f>
        <v>1010</v>
      </c>
      <c r="AK7" s="8">
        <f>SUM(AK9:AK62)</f>
        <v>908</v>
      </c>
      <c r="AL7" s="8">
        <f>SUM(AL9:AL62)</f>
        <v>994</v>
      </c>
      <c r="AM7" s="8">
        <f>SUM(AM9:AM62)</f>
        <v>931</v>
      </c>
      <c r="AN7" s="8">
        <f>SUM(AN9:AN62)</f>
        <v>993</v>
      </c>
      <c r="AO7" s="8">
        <f>SUM(AO9:AO62)</f>
        <v>993</v>
      </c>
      <c r="AP7" s="8">
        <f>SUM(AP9:AP62)</f>
        <v>973</v>
      </c>
      <c r="AQ7" s="8">
        <f>SUM(AQ9:AQ62)</f>
        <v>1041</v>
      </c>
      <c r="AR7" s="8">
        <f>SUM(AR9:AR62)</f>
        <v>7278</v>
      </c>
      <c r="AS7" s="8">
        <f>SUM(AS9:AS62)</f>
        <v>7043</v>
      </c>
      <c r="AT7" s="8">
        <f>SUM(AT9:AT62)</f>
        <v>14321</v>
      </c>
      <c r="AU7" s="8">
        <f>SUM(AU9:AU62)</f>
        <v>28</v>
      </c>
      <c r="AV7" s="8">
        <f>SUM(AV9:AV62)</f>
        <v>28</v>
      </c>
      <c r="AW7" s="8">
        <f>SUM(AW9:AW62)</f>
        <v>37</v>
      </c>
      <c r="AX7" s="8">
        <f>SUM(AX9:AX62)</f>
        <v>26</v>
      </c>
      <c r="AY7" s="8">
        <f>SUM(AY9:AY62)</f>
        <v>20</v>
      </c>
      <c r="AZ7" s="8">
        <f>SUM(AZ9:AZ62)</f>
        <v>26</v>
      </c>
      <c r="BA7" s="8">
        <f>SUM(BA9:BA62)</f>
        <v>31</v>
      </c>
      <c r="BB7" s="8">
        <f>SUM(BB9:BB62)</f>
        <v>20</v>
      </c>
      <c r="BC7" s="8">
        <f>SUM(BC9:BC62)</f>
        <v>29</v>
      </c>
      <c r="BD7" s="8">
        <f>SUM(BD9:BD62)</f>
        <v>28</v>
      </c>
      <c r="BE7" s="8">
        <f>SUM(BE9:BE62)</f>
        <v>41</v>
      </c>
      <c r="BF7" s="8">
        <f>SUM(BF9:BF62)</f>
        <v>24</v>
      </c>
      <c r="BG7" s="8">
        <f>SUM(BG9:BG62)</f>
        <v>7229</v>
      </c>
      <c r="BH7" s="8">
        <f>SUM(BH9:BH62)</f>
        <v>14473</v>
      </c>
      <c r="BI7" s="8">
        <f>SUM(BI9:BI62)</f>
        <v>21702</v>
      </c>
    </row>
    <row r="8" spans="1:61">
      <c r="A8" s="9" t="s">
        <v>16</v>
      </c>
      <c r="B8" s="9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9" t="s">
        <v>22</v>
      </c>
      <c r="H8" s="9" t="s">
        <v>23</v>
      </c>
      <c r="I8" s="9" t="s">
        <v>24</v>
      </c>
      <c r="J8" s="9" t="s">
        <v>25</v>
      </c>
      <c r="K8" s="9" t="s">
        <v>26</v>
      </c>
      <c r="L8" s="10" t="s">
        <v>27</v>
      </c>
      <c r="M8" s="11" t="s">
        <v>28</v>
      </c>
      <c r="N8" s="11" t="s">
        <v>29</v>
      </c>
      <c r="O8" s="11" t="s">
        <v>30</v>
      </c>
      <c r="P8" s="11" t="s">
        <v>31</v>
      </c>
      <c r="Q8" s="11" t="s">
        <v>32</v>
      </c>
      <c r="R8" s="11" t="s">
        <v>33</v>
      </c>
      <c r="S8" s="11" t="s">
        <v>34</v>
      </c>
      <c r="T8" s="11" t="s">
        <v>35</v>
      </c>
      <c r="U8" s="11" t="s">
        <v>36</v>
      </c>
      <c r="V8" s="11" t="s">
        <v>37</v>
      </c>
      <c r="W8" s="11" t="s">
        <v>38</v>
      </c>
      <c r="X8" s="11" t="s">
        <v>39</v>
      </c>
      <c r="Y8" s="11" t="s">
        <v>40</v>
      </c>
      <c r="Z8" s="11" t="s">
        <v>41</v>
      </c>
      <c r="AA8" s="7" t="s">
        <v>14</v>
      </c>
      <c r="AB8" s="7" t="s">
        <v>15</v>
      </c>
      <c r="AC8" s="7" t="s">
        <v>13</v>
      </c>
      <c r="AD8" s="11" t="s">
        <v>42</v>
      </c>
      <c r="AE8" s="11" t="s">
        <v>43</v>
      </c>
      <c r="AF8" s="11" t="s">
        <v>44</v>
      </c>
      <c r="AG8" s="11" t="s">
        <v>45</v>
      </c>
      <c r="AH8" s="11" t="s">
        <v>46</v>
      </c>
      <c r="AI8" s="11" t="s">
        <v>47</v>
      </c>
      <c r="AJ8" s="11" t="s">
        <v>48</v>
      </c>
      <c r="AK8" s="11" t="s">
        <v>49</v>
      </c>
      <c r="AL8" s="11" t="s">
        <v>50</v>
      </c>
      <c r="AM8" s="11" t="s">
        <v>51</v>
      </c>
      <c r="AN8" s="11" t="s">
        <v>52</v>
      </c>
      <c r="AO8" s="11" t="s">
        <v>53</v>
      </c>
      <c r="AP8" s="11" t="s">
        <v>54</v>
      </c>
      <c r="AQ8" s="11" t="s">
        <v>55</v>
      </c>
      <c r="AR8" s="7" t="s">
        <v>14</v>
      </c>
      <c r="AS8" s="7" t="s">
        <v>15</v>
      </c>
      <c r="AT8" s="7" t="s">
        <v>13</v>
      </c>
      <c r="AU8" s="11" t="s">
        <v>56</v>
      </c>
      <c r="AV8" s="11" t="s">
        <v>57</v>
      </c>
      <c r="AW8" s="11" t="s">
        <v>58</v>
      </c>
      <c r="AX8" s="11" t="s">
        <v>59</v>
      </c>
      <c r="AY8" s="11" t="s">
        <v>60</v>
      </c>
      <c r="AZ8" s="11" t="s">
        <v>61</v>
      </c>
      <c r="BA8" s="11" t="s">
        <v>62</v>
      </c>
      <c r="BB8" s="11" t="s">
        <v>63</v>
      </c>
      <c r="BC8" s="11" t="s">
        <v>64</v>
      </c>
      <c r="BD8" s="11" t="s">
        <v>65</v>
      </c>
      <c r="BE8" s="11" t="s">
        <v>66</v>
      </c>
      <c r="BF8" s="11" t="s">
        <v>67</v>
      </c>
      <c r="BG8" s="7" t="s">
        <v>14</v>
      </c>
      <c r="BH8" s="7" t="s">
        <v>15</v>
      </c>
      <c r="BI8" s="7" t="s">
        <v>13</v>
      </c>
    </row>
    <row r="9" spans="1:61">
      <c r="A9" t="s">
        <v>68</v>
      </c>
      <c r="B9" t="s">
        <v>74</v>
      </c>
      <c r="C9" t="s">
        <v>75</v>
      </c>
      <c r="D9">
        <v>129374</v>
      </c>
      <c r="E9" t="s">
        <v>76</v>
      </c>
      <c r="F9" t="s">
        <v>77</v>
      </c>
      <c r="G9" t="s">
        <v>78</v>
      </c>
      <c r="H9" t="s">
        <v>79</v>
      </c>
      <c r="I9" t="s">
        <v>69</v>
      </c>
      <c r="J9" t="s">
        <v>80</v>
      </c>
      <c r="K9" t="s">
        <v>70</v>
      </c>
      <c r="L9" s="12" t="s">
        <v>71</v>
      </c>
      <c r="M9">
        <v>1</v>
      </c>
      <c r="N9">
        <v>0</v>
      </c>
      <c r="O9">
        <v>0</v>
      </c>
      <c r="P9">
        <v>2</v>
      </c>
      <c r="Q9">
        <v>0</v>
      </c>
      <c r="R9">
        <v>0</v>
      </c>
      <c r="S9">
        <v>7</v>
      </c>
      <c r="T9">
        <v>1</v>
      </c>
      <c r="U9">
        <v>0</v>
      </c>
      <c r="V9">
        <v>0</v>
      </c>
      <c r="W9">
        <v>1</v>
      </c>
      <c r="X9">
        <v>1</v>
      </c>
      <c r="Y9">
        <v>0</v>
      </c>
      <c r="Z9">
        <v>1</v>
      </c>
      <c r="AA9">
        <f t="shared" ref="AA9:AB62" si="0">M9+O9+Q9+S9+U9+W9+Y9</f>
        <v>9</v>
      </c>
      <c r="AB9">
        <f t="shared" si="0"/>
        <v>5</v>
      </c>
      <c r="AC9">
        <f t="shared" ref="AC9:AC21" si="1">SUM(AA9:AB9)</f>
        <v>14</v>
      </c>
      <c r="AD9">
        <v>36</v>
      </c>
      <c r="AE9">
        <v>20</v>
      </c>
      <c r="AF9">
        <v>25</v>
      </c>
      <c r="AG9">
        <v>39</v>
      </c>
      <c r="AH9">
        <v>30</v>
      </c>
      <c r="AI9">
        <v>29</v>
      </c>
      <c r="AJ9">
        <v>29</v>
      </c>
      <c r="AK9">
        <v>27</v>
      </c>
      <c r="AL9">
        <v>30</v>
      </c>
      <c r="AM9">
        <v>28</v>
      </c>
      <c r="AN9">
        <v>26</v>
      </c>
      <c r="AO9">
        <v>42</v>
      </c>
      <c r="AP9">
        <v>33</v>
      </c>
      <c r="AQ9">
        <v>21</v>
      </c>
      <c r="AR9">
        <f t="shared" ref="AR9:AS62" si="2">AD9+AF9+AH9+AJ9+AL9+AN9+AP9</f>
        <v>209</v>
      </c>
      <c r="AS9">
        <f t="shared" si="2"/>
        <v>206</v>
      </c>
      <c r="AT9">
        <f t="shared" ref="AT9:AT21" si="3">SUM(AR9:AS9)</f>
        <v>415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f t="shared" ref="BG9:BH62" si="4">AS9+AU9+AW9+AY9+BA9+BC9+BE9</f>
        <v>206</v>
      </c>
      <c r="BH9">
        <f t="shared" si="4"/>
        <v>415</v>
      </c>
      <c r="BI9">
        <f t="shared" ref="BI9:BI21" si="5">SUM(BG9:BH9)</f>
        <v>621</v>
      </c>
    </row>
    <row r="10" spans="1:61">
      <c r="A10" t="s">
        <v>68</v>
      </c>
      <c r="B10" t="s">
        <v>74</v>
      </c>
      <c r="C10" t="s">
        <v>75</v>
      </c>
      <c r="D10">
        <v>129375</v>
      </c>
      <c r="E10" t="s">
        <v>81</v>
      </c>
      <c r="F10" t="s">
        <v>82</v>
      </c>
      <c r="G10" t="s">
        <v>78</v>
      </c>
      <c r="H10" t="s">
        <v>79</v>
      </c>
      <c r="I10" t="s">
        <v>69</v>
      </c>
      <c r="J10" t="s">
        <v>80</v>
      </c>
      <c r="K10" t="s">
        <v>70</v>
      </c>
      <c r="L10" s="12" t="s">
        <v>71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f t="shared" si="0"/>
        <v>1</v>
      </c>
      <c r="AB10">
        <f t="shared" si="0"/>
        <v>1</v>
      </c>
      <c r="AC10">
        <f t="shared" si="1"/>
        <v>2</v>
      </c>
      <c r="AD10">
        <v>12</v>
      </c>
      <c r="AE10">
        <v>12</v>
      </c>
      <c r="AF10">
        <v>9</v>
      </c>
      <c r="AG10">
        <v>21</v>
      </c>
      <c r="AH10">
        <v>16</v>
      </c>
      <c r="AI10">
        <v>15</v>
      </c>
      <c r="AJ10">
        <v>15</v>
      </c>
      <c r="AK10">
        <v>12</v>
      </c>
      <c r="AL10">
        <v>14</v>
      </c>
      <c r="AM10">
        <v>10</v>
      </c>
      <c r="AN10">
        <v>11</v>
      </c>
      <c r="AO10">
        <v>15</v>
      </c>
      <c r="AP10">
        <v>9</v>
      </c>
      <c r="AQ10">
        <v>8</v>
      </c>
      <c r="AR10">
        <f t="shared" si="2"/>
        <v>86</v>
      </c>
      <c r="AS10">
        <f t="shared" si="2"/>
        <v>93</v>
      </c>
      <c r="AT10">
        <f t="shared" si="3"/>
        <v>179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f t="shared" si="4"/>
        <v>93</v>
      </c>
      <c r="BH10">
        <f t="shared" si="4"/>
        <v>179</v>
      </c>
      <c r="BI10">
        <f t="shared" si="5"/>
        <v>272</v>
      </c>
    </row>
    <row r="11" spans="1:61">
      <c r="A11" t="s">
        <v>68</v>
      </c>
      <c r="B11" t="s">
        <v>74</v>
      </c>
      <c r="C11" t="s">
        <v>75</v>
      </c>
      <c r="D11">
        <v>129376</v>
      </c>
      <c r="E11" t="s">
        <v>83</v>
      </c>
      <c r="F11" t="s">
        <v>84</v>
      </c>
      <c r="G11" t="s">
        <v>78</v>
      </c>
      <c r="H11" t="s">
        <v>79</v>
      </c>
      <c r="I11" t="s">
        <v>69</v>
      </c>
      <c r="J11" t="s">
        <v>85</v>
      </c>
      <c r="K11" t="s">
        <v>70</v>
      </c>
      <c r="L11" s="12" t="s">
        <v>71</v>
      </c>
      <c r="M11">
        <v>2</v>
      </c>
      <c r="N11">
        <v>0</v>
      </c>
      <c r="O11">
        <v>3</v>
      </c>
      <c r="P11">
        <v>1</v>
      </c>
      <c r="Q11">
        <v>1</v>
      </c>
      <c r="R11">
        <v>2</v>
      </c>
      <c r="S11">
        <v>0</v>
      </c>
      <c r="T11">
        <v>2</v>
      </c>
      <c r="U11">
        <v>1</v>
      </c>
      <c r="V11">
        <v>0</v>
      </c>
      <c r="W11">
        <v>2</v>
      </c>
      <c r="X11">
        <v>1</v>
      </c>
      <c r="Y11">
        <v>0</v>
      </c>
      <c r="Z11">
        <v>3</v>
      </c>
      <c r="AA11">
        <f t="shared" si="0"/>
        <v>9</v>
      </c>
      <c r="AB11">
        <f t="shared" si="0"/>
        <v>9</v>
      </c>
      <c r="AC11">
        <f t="shared" si="1"/>
        <v>18</v>
      </c>
      <c r="AD11">
        <v>24</v>
      </c>
      <c r="AE11">
        <v>9</v>
      </c>
      <c r="AF11">
        <v>35</v>
      </c>
      <c r="AG11">
        <v>15</v>
      </c>
      <c r="AH11">
        <v>17</v>
      </c>
      <c r="AI11">
        <v>21</v>
      </c>
      <c r="AJ11">
        <v>21</v>
      </c>
      <c r="AK11">
        <v>16</v>
      </c>
      <c r="AL11">
        <v>15</v>
      </c>
      <c r="AM11">
        <v>12</v>
      </c>
      <c r="AN11">
        <v>11</v>
      </c>
      <c r="AO11">
        <v>11</v>
      </c>
      <c r="AP11">
        <v>11</v>
      </c>
      <c r="AQ11">
        <v>14</v>
      </c>
      <c r="AR11">
        <f t="shared" si="2"/>
        <v>134</v>
      </c>
      <c r="AS11">
        <f t="shared" si="2"/>
        <v>98</v>
      </c>
      <c r="AT11">
        <f t="shared" si="3"/>
        <v>232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f t="shared" si="4"/>
        <v>98</v>
      </c>
      <c r="BH11">
        <f t="shared" si="4"/>
        <v>232</v>
      </c>
      <c r="BI11">
        <f t="shared" si="5"/>
        <v>330</v>
      </c>
    </row>
    <row r="12" spans="1:61">
      <c r="A12" t="s">
        <v>68</v>
      </c>
      <c r="B12" t="s">
        <v>74</v>
      </c>
      <c r="C12" t="s">
        <v>75</v>
      </c>
      <c r="D12">
        <v>129377</v>
      </c>
      <c r="E12" t="s">
        <v>86</v>
      </c>
      <c r="F12" t="s">
        <v>87</v>
      </c>
      <c r="G12" t="s">
        <v>78</v>
      </c>
      <c r="H12" t="s">
        <v>79</v>
      </c>
      <c r="I12" t="s">
        <v>69</v>
      </c>
      <c r="J12" t="s">
        <v>88</v>
      </c>
      <c r="K12" t="s">
        <v>70</v>
      </c>
      <c r="L12" s="12" t="s">
        <v>71</v>
      </c>
      <c r="M12">
        <v>1</v>
      </c>
      <c r="N12">
        <v>0</v>
      </c>
      <c r="O12">
        <v>1</v>
      </c>
      <c r="P12">
        <v>1</v>
      </c>
      <c r="Q12">
        <v>0</v>
      </c>
      <c r="R12">
        <v>1</v>
      </c>
      <c r="S12">
        <v>1</v>
      </c>
      <c r="T12">
        <v>0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f t="shared" si="0"/>
        <v>6</v>
      </c>
      <c r="AB12">
        <f t="shared" si="0"/>
        <v>4</v>
      </c>
      <c r="AC12">
        <f t="shared" si="1"/>
        <v>10</v>
      </c>
      <c r="AD12">
        <v>23</v>
      </c>
      <c r="AE12">
        <v>24</v>
      </c>
      <c r="AF12">
        <v>24</v>
      </c>
      <c r="AG12">
        <v>25</v>
      </c>
      <c r="AH12">
        <v>22</v>
      </c>
      <c r="AI12">
        <v>27</v>
      </c>
      <c r="AJ12">
        <v>20</v>
      </c>
      <c r="AK12">
        <v>24</v>
      </c>
      <c r="AL12">
        <v>27</v>
      </c>
      <c r="AM12">
        <v>22</v>
      </c>
      <c r="AN12">
        <v>26</v>
      </c>
      <c r="AO12">
        <v>24</v>
      </c>
      <c r="AP12">
        <v>31</v>
      </c>
      <c r="AQ12">
        <v>30</v>
      </c>
      <c r="AR12">
        <f t="shared" si="2"/>
        <v>173</v>
      </c>
      <c r="AS12">
        <f t="shared" si="2"/>
        <v>176</v>
      </c>
      <c r="AT12">
        <f t="shared" si="3"/>
        <v>349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f t="shared" si="4"/>
        <v>176</v>
      </c>
      <c r="BH12">
        <f t="shared" si="4"/>
        <v>349</v>
      </c>
      <c r="BI12">
        <f t="shared" si="5"/>
        <v>525</v>
      </c>
    </row>
    <row r="13" spans="1:61">
      <c r="A13" t="s">
        <v>68</v>
      </c>
      <c r="B13" t="s">
        <v>74</v>
      </c>
      <c r="C13" t="s">
        <v>75</v>
      </c>
      <c r="D13">
        <v>129380</v>
      </c>
      <c r="E13" t="s">
        <v>89</v>
      </c>
      <c r="F13" t="s">
        <v>90</v>
      </c>
      <c r="G13" t="s">
        <v>78</v>
      </c>
      <c r="H13" t="s">
        <v>79</v>
      </c>
      <c r="I13" t="s">
        <v>69</v>
      </c>
      <c r="J13" t="s">
        <v>85</v>
      </c>
      <c r="K13" t="s">
        <v>70</v>
      </c>
      <c r="L13" s="12" t="s">
        <v>71</v>
      </c>
      <c r="M13">
        <v>12</v>
      </c>
      <c r="N13">
        <v>7</v>
      </c>
      <c r="O13">
        <v>14</v>
      </c>
      <c r="P13">
        <v>16</v>
      </c>
      <c r="Q13">
        <v>7</v>
      </c>
      <c r="R13">
        <v>3</v>
      </c>
      <c r="S13">
        <v>11</v>
      </c>
      <c r="T13">
        <v>4</v>
      </c>
      <c r="U13">
        <v>8</v>
      </c>
      <c r="V13">
        <v>10</v>
      </c>
      <c r="W13">
        <v>9</v>
      </c>
      <c r="X13">
        <v>8</v>
      </c>
      <c r="Y13">
        <v>16</v>
      </c>
      <c r="Z13">
        <v>17</v>
      </c>
      <c r="AA13">
        <f t="shared" si="0"/>
        <v>77</v>
      </c>
      <c r="AB13">
        <f t="shared" si="0"/>
        <v>65</v>
      </c>
      <c r="AC13">
        <f t="shared" si="1"/>
        <v>142</v>
      </c>
      <c r="AD13">
        <v>73</v>
      </c>
      <c r="AE13">
        <v>60</v>
      </c>
      <c r="AF13">
        <v>81</v>
      </c>
      <c r="AG13">
        <v>72</v>
      </c>
      <c r="AH13">
        <v>78</v>
      </c>
      <c r="AI13">
        <v>90</v>
      </c>
      <c r="AJ13">
        <v>74</v>
      </c>
      <c r="AK13">
        <v>89</v>
      </c>
      <c r="AL13">
        <v>72</v>
      </c>
      <c r="AM13">
        <v>82</v>
      </c>
      <c r="AN13">
        <v>92</v>
      </c>
      <c r="AO13">
        <v>77</v>
      </c>
      <c r="AP13">
        <v>81</v>
      </c>
      <c r="AQ13">
        <v>90</v>
      </c>
      <c r="AR13">
        <f t="shared" si="2"/>
        <v>551</v>
      </c>
      <c r="AS13">
        <f t="shared" si="2"/>
        <v>560</v>
      </c>
      <c r="AT13">
        <f t="shared" si="3"/>
        <v>1111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f t="shared" si="4"/>
        <v>560</v>
      </c>
      <c r="BH13">
        <f t="shared" si="4"/>
        <v>1111</v>
      </c>
      <c r="BI13">
        <f t="shared" si="5"/>
        <v>1671</v>
      </c>
    </row>
    <row r="14" spans="1:61">
      <c r="A14" t="s">
        <v>68</v>
      </c>
      <c r="B14" t="s">
        <v>74</v>
      </c>
      <c r="C14" t="s">
        <v>75</v>
      </c>
      <c r="D14">
        <v>129381</v>
      </c>
      <c r="E14" t="s">
        <v>91</v>
      </c>
      <c r="F14" t="s">
        <v>92</v>
      </c>
      <c r="G14" t="s">
        <v>78</v>
      </c>
      <c r="H14" t="s">
        <v>79</v>
      </c>
      <c r="I14" t="s">
        <v>69</v>
      </c>
      <c r="J14" t="s">
        <v>85</v>
      </c>
      <c r="K14" t="s">
        <v>70</v>
      </c>
      <c r="L14" s="12" t="s">
        <v>71</v>
      </c>
      <c r="M14">
        <v>8</v>
      </c>
      <c r="N14">
        <v>5</v>
      </c>
      <c r="O14">
        <v>11</v>
      </c>
      <c r="P14">
        <v>9</v>
      </c>
      <c r="Q14">
        <v>6</v>
      </c>
      <c r="R14">
        <v>8</v>
      </c>
      <c r="S14">
        <v>9</v>
      </c>
      <c r="T14">
        <v>8</v>
      </c>
      <c r="U14">
        <v>9</v>
      </c>
      <c r="V14">
        <v>5</v>
      </c>
      <c r="W14">
        <v>19</v>
      </c>
      <c r="X14">
        <v>17</v>
      </c>
      <c r="Y14">
        <v>22</v>
      </c>
      <c r="Z14">
        <v>18</v>
      </c>
      <c r="AA14">
        <f t="shared" si="0"/>
        <v>84</v>
      </c>
      <c r="AB14">
        <f t="shared" si="0"/>
        <v>70</v>
      </c>
      <c r="AC14">
        <f t="shared" si="1"/>
        <v>154</v>
      </c>
      <c r="AD14">
        <v>55</v>
      </c>
      <c r="AE14">
        <v>65</v>
      </c>
      <c r="AF14">
        <v>83</v>
      </c>
      <c r="AG14">
        <v>83</v>
      </c>
      <c r="AH14">
        <v>98</v>
      </c>
      <c r="AI14">
        <v>85</v>
      </c>
      <c r="AJ14">
        <v>63</v>
      </c>
      <c r="AK14">
        <v>61</v>
      </c>
      <c r="AL14">
        <v>78</v>
      </c>
      <c r="AM14">
        <v>82</v>
      </c>
      <c r="AN14">
        <v>77</v>
      </c>
      <c r="AO14">
        <v>78</v>
      </c>
      <c r="AP14">
        <v>82</v>
      </c>
      <c r="AQ14">
        <v>83</v>
      </c>
      <c r="AR14">
        <f t="shared" si="2"/>
        <v>536</v>
      </c>
      <c r="AS14">
        <f t="shared" si="2"/>
        <v>537</v>
      </c>
      <c r="AT14">
        <f t="shared" si="3"/>
        <v>1073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f t="shared" si="4"/>
        <v>537</v>
      </c>
      <c r="BH14">
        <f t="shared" si="4"/>
        <v>1073</v>
      </c>
      <c r="BI14">
        <f t="shared" si="5"/>
        <v>1610</v>
      </c>
    </row>
    <row r="15" spans="1:61">
      <c r="A15" t="s">
        <v>68</v>
      </c>
      <c r="B15" t="s">
        <v>74</v>
      </c>
      <c r="C15" t="s">
        <v>75</v>
      </c>
      <c r="D15">
        <v>129382</v>
      </c>
      <c r="E15" t="s">
        <v>93</v>
      </c>
      <c r="F15" t="s">
        <v>94</v>
      </c>
      <c r="G15" t="s">
        <v>78</v>
      </c>
      <c r="H15" t="s">
        <v>79</v>
      </c>
      <c r="I15" t="s">
        <v>69</v>
      </c>
      <c r="J15" t="s">
        <v>85</v>
      </c>
      <c r="K15" t="s">
        <v>70</v>
      </c>
      <c r="L15" s="12" t="s">
        <v>71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</v>
      </c>
      <c r="T15">
        <v>6</v>
      </c>
      <c r="U15">
        <v>5</v>
      </c>
      <c r="V15">
        <v>6</v>
      </c>
      <c r="W15">
        <v>6</v>
      </c>
      <c r="X15">
        <v>6</v>
      </c>
      <c r="Y15">
        <v>7</v>
      </c>
      <c r="Z15">
        <v>8</v>
      </c>
      <c r="AA15">
        <f t="shared" si="0"/>
        <v>23</v>
      </c>
      <c r="AB15">
        <f t="shared" si="0"/>
        <v>26</v>
      </c>
      <c r="AC15">
        <f t="shared" si="1"/>
        <v>49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f t="shared" si="2"/>
        <v>0</v>
      </c>
      <c r="AS15">
        <f t="shared" si="2"/>
        <v>0</v>
      </c>
      <c r="AT15">
        <f t="shared" si="3"/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f t="shared" si="4"/>
        <v>0</v>
      </c>
      <c r="BH15">
        <f t="shared" si="4"/>
        <v>0</v>
      </c>
      <c r="BI15">
        <f t="shared" si="5"/>
        <v>0</v>
      </c>
    </row>
    <row r="16" spans="1:61">
      <c r="A16" t="s">
        <v>68</v>
      </c>
      <c r="B16" t="s">
        <v>74</v>
      </c>
      <c r="C16" t="s">
        <v>75</v>
      </c>
      <c r="D16">
        <v>129383</v>
      </c>
      <c r="E16" t="s">
        <v>95</v>
      </c>
      <c r="F16" t="s">
        <v>96</v>
      </c>
      <c r="G16" t="s">
        <v>78</v>
      </c>
      <c r="H16" t="s">
        <v>79</v>
      </c>
      <c r="I16" t="s">
        <v>69</v>
      </c>
      <c r="J16" t="s">
        <v>85</v>
      </c>
      <c r="K16" t="s">
        <v>70</v>
      </c>
      <c r="L16" s="12" t="s">
        <v>71</v>
      </c>
      <c r="M16">
        <v>0</v>
      </c>
      <c r="N16">
        <v>0</v>
      </c>
      <c r="O16">
        <v>19</v>
      </c>
      <c r="P16">
        <v>19</v>
      </c>
      <c r="Q16">
        <v>20</v>
      </c>
      <c r="R16">
        <v>17</v>
      </c>
      <c r="S16">
        <v>10</v>
      </c>
      <c r="T16">
        <v>22</v>
      </c>
      <c r="U16">
        <v>17</v>
      </c>
      <c r="V16">
        <v>23</v>
      </c>
      <c r="W16">
        <v>18</v>
      </c>
      <c r="X16">
        <v>22</v>
      </c>
      <c r="Y16">
        <v>21</v>
      </c>
      <c r="Z16">
        <v>26</v>
      </c>
      <c r="AA16">
        <f t="shared" si="0"/>
        <v>105</v>
      </c>
      <c r="AB16">
        <f t="shared" si="0"/>
        <v>129</v>
      </c>
      <c r="AC16">
        <f t="shared" si="1"/>
        <v>234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f t="shared" si="2"/>
        <v>0</v>
      </c>
      <c r="AS16">
        <f t="shared" si="2"/>
        <v>0</v>
      </c>
      <c r="AT16">
        <f t="shared" si="3"/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f t="shared" si="4"/>
        <v>0</v>
      </c>
      <c r="BH16">
        <f t="shared" si="4"/>
        <v>0</v>
      </c>
      <c r="BI16">
        <f t="shared" si="5"/>
        <v>0</v>
      </c>
    </row>
    <row r="17" spans="1:61">
      <c r="A17" t="s">
        <v>68</v>
      </c>
      <c r="B17" t="s">
        <v>74</v>
      </c>
      <c r="C17" t="s">
        <v>75</v>
      </c>
      <c r="D17">
        <v>129384</v>
      </c>
      <c r="E17" t="s">
        <v>97</v>
      </c>
      <c r="F17" t="s">
        <v>98</v>
      </c>
      <c r="G17" t="s">
        <v>78</v>
      </c>
      <c r="H17" t="s">
        <v>79</v>
      </c>
      <c r="I17" t="s">
        <v>69</v>
      </c>
      <c r="J17" t="s">
        <v>85</v>
      </c>
      <c r="K17" t="s">
        <v>70</v>
      </c>
      <c r="L17" s="12" t="s">
        <v>71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f t="shared" si="0"/>
        <v>0</v>
      </c>
      <c r="AB17">
        <f t="shared" si="0"/>
        <v>0</v>
      </c>
      <c r="AC17">
        <f t="shared" si="1"/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f t="shared" si="2"/>
        <v>0</v>
      </c>
      <c r="AS17">
        <f t="shared" si="2"/>
        <v>0</v>
      </c>
      <c r="AT17">
        <f t="shared" si="3"/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f t="shared" si="4"/>
        <v>0</v>
      </c>
      <c r="BH17">
        <f t="shared" si="4"/>
        <v>0</v>
      </c>
      <c r="BI17">
        <f t="shared" si="5"/>
        <v>0</v>
      </c>
    </row>
    <row r="18" spans="1:61">
      <c r="A18" t="s">
        <v>68</v>
      </c>
      <c r="B18" t="s">
        <v>74</v>
      </c>
      <c r="C18" t="s">
        <v>75</v>
      </c>
      <c r="D18">
        <v>129385</v>
      </c>
      <c r="E18" t="s">
        <v>99</v>
      </c>
      <c r="F18" t="s">
        <v>100</v>
      </c>
      <c r="G18" t="s">
        <v>78</v>
      </c>
      <c r="H18" t="s">
        <v>79</v>
      </c>
      <c r="I18" t="s">
        <v>69</v>
      </c>
      <c r="J18" t="s">
        <v>80</v>
      </c>
      <c r="K18" t="s">
        <v>70</v>
      </c>
      <c r="L18" s="12" t="s">
        <v>71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f t="shared" si="0"/>
        <v>0</v>
      </c>
      <c r="AB18">
        <f t="shared" si="0"/>
        <v>0</v>
      </c>
      <c r="AC18">
        <f t="shared" si="1"/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f t="shared" si="2"/>
        <v>0</v>
      </c>
      <c r="AS18">
        <f t="shared" si="2"/>
        <v>0</v>
      </c>
      <c r="AT18">
        <f t="shared" si="3"/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f t="shared" si="4"/>
        <v>0</v>
      </c>
      <c r="BH18">
        <f t="shared" si="4"/>
        <v>0</v>
      </c>
      <c r="BI18">
        <f t="shared" si="5"/>
        <v>0</v>
      </c>
    </row>
    <row r="19" spans="1:61">
      <c r="A19" t="s">
        <v>68</v>
      </c>
      <c r="B19" t="s">
        <v>74</v>
      </c>
      <c r="C19" t="s">
        <v>75</v>
      </c>
      <c r="D19">
        <v>129386</v>
      </c>
      <c r="E19" t="s">
        <v>101</v>
      </c>
      <c r="F19" t="s">
        <v>102</v>
      </c>
      <c r="G19" t="s">
        <v>78</v>
      </c>
      <c r="H19" t="s">
        <v>79</v>
      </c>
      <c r="I19" t="s">
        <v>69</v>
      </c>
      <c r="J19" t="s">
        <v>88</v>
      </c>
      <c r="K19" t="s">
        <v>70</v>
      </c>
      <c r="L19" s="12" t="s">
        <v>71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f t="shared" si="0"/>
        <v>0</v>
      </c>
      <c r="AB19">
        <f t="shared" si="0"/>
        <v>0</v>
      </c>
      <c r="AC19">
        <f t="shared" si="1"/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f t="shared" si="2"/>
        <v>0</v>
      </c>
      <c r="AS19">
        <f t="shared" si="2"/>
        <v>0</v>
      </c>
      <c r="AT19">
        <f t="shared" si="3"/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f t="shared" si="4"/>
        <v>0</v>
      </c>
      <c r="BH19">
        <f t="shared" si="4"/>
        <v>0</v>
      </c>
      <c r="BI19">
        <f t="shared" si="5"/>
        <v>0</v>
      </c>
    </row>
    <row r="20" spans="1:61">
      <c r="A20" t="s">
        <v>68</v>
      </c>
      <c r="B20" t="s">
        <v>74</v>
      </c>
      <c r="C20" t="s">
        <v>75</v>
      </c>
      <c r="D20">
        <v>205504</v>
      </c>
      <c r="E20" t="s">
        <v>103</v>
      </c>
      <c r="F20" t="s">
        <v>92</v>
      </c>
      <c r="G20" t="s">
        <v>78</v>
      </c>
      <c r="H20" t="s">
        <v>79</v>
      </c>
      <c r="I20" t="s">
        <v>69</v>
      </c>
      <c r="J20" t="s">
        <v>85</v>
      </c>
      <c r="K20" t="s">
        <v>70</v>
      </c>
      <c r="L20" s="12" t="s">
        <v>71</v>
      </c>
      <c r="M20">
        <v>7</v>
      </c>
      <c r="N20">
        <v>9</v>
      </c>
      <c r="O20">
        <v>8</v>
      </c>
      <c r="P20">
        <v>13</v>
      </c>
      <c r="Q20">
        <v>12</v>
      </c>
      <c r="R20">
        <v>15</v>
      </c>
      <c r="S20">
        <v>10</v>
      </c>
      <c r="T20">
        <v>14</v>
      </c>
      <c r="U20">
        <v>11</v>
      </c>
      <c r="V20">
        <v>13</v>
      </c>
      <c r="W20">
        <v>14</v>
      </c>
      <c r="X20">
        <v>10</v>
      </c>
      <c r="Y20">
        <v>12</v>
      </c>
      <c r="Z20">
        <v>14</v>
      </c>
      <c r="AA20">
        <f t="shared" si="0"/>
        <v>74</v>
      </c>
      <c r="AB20">
        <f t="shared" si="0"/>
        <v>88</v>
      </c>
      <c r="AC20">
        <f t="shared" si="1"/>
        <v>162</v>
      </c>
      <c r="AD20">
        <v>43</v>
      </c>
      <c r="AE20">
        <v>59</v>
      </c>
      <c r="AF20">
        <v>47</v>
      </c>
      <c r="AG20">
        <v>67</v>
      </c>
      <c r="AH20">
        <v>64</v>
      </c>
      <c r="AI20">
        <v>53</v>
      </c>
      <c r="AJ20">
        <v>55</v>
      </c>
      <c r="AK20">
        <v>52</v>
      </c>
      <c r="AL20">
        <v>45</v>
      </c>
      <c r="AM20">
        <v>57</v>
      </c>
      <c r="AN20">
        <v>58</v>
      </c>
      <c r="AO20">
        <v>61</v>
      </c>
      <c r="AP20">
        <v>42</v>
      </c>
      <c r="AQ20">
        <v>68</v>
      </c>
      <c r="AR20">
        <f t="shared" si="2"/>
        <v>354</v>
      </c>
      <c r="AS20">
        <f t="shared" si="2"/>
        <v>417</v>
      </c>
      <c r="AT20">
        <f t="shared" si="3"/>
        <v>771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f t="shared" si="4"/>
        <v>417</v>
      </c>
      <c r="BH20">
        <f t="shared" si="4"/>
        <v>771</v>
      </c>
      <c r="BI20">
        <f t="shared" si="5"/>
        <v>1188</v>
      </c>
    </row>
    <row r="21" spans="1:61">
      <c r="A21" t="s">
        <v>68</v>
      </c>
      <c r="B21" t="s">
        <v>74</v>
      </c>
      <c r="C21" t="s">
        <v>75</v>
      </c>
      <c r="D21">
        <v>500454</v>
      </c>
      <c r="E21" t="s">
        <v>104</v>
      </c>
      <c r="F21" t="s">
        <v>105</v>
      </c>
      <c r="G21" t="s">
        <v>78</v>
      </c>
      <c r="H21" t="s">
        <v>79</v>
      </c>
      <c r="I21" t="s">
        <v>69</v>
      </c>
      <c r="J21" t="s">
        <v>88</v>
      </c>
      <c r="K21" t="s">
        <v>106</v>
      </c>
      <c r="L21" s="12" t="s">
        <v>107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f t="shared" si="0"/>
        <v>1</v>
      </c>
      <c r="AB21">
        <f t="shared" si="0"/>
        <v>2</v>
      </c>
      <c r="AC21">
        <f t="shared" si="1"/>
        <v>3</v>
      </c>
      <c r="AD21">
        <v>10</v>
      </c>
      <c r="AE21">
        <v>10</v>
      </c>
      <c r="AF21">
        <v>16</v>
      </c>
      <c r="AG21">
        <v>18</v>
      </c>
      <c r="AH21">
        <v>23</v>
      </c>
      <c r="AI21">
        <v>21</v>
      </c>
      <c r="AJ21">
        <v>10</v>
      </c>
      <c r="AK21">
        <v>16</v>
      </c>
      <c r="AL21">
        <v>11</v>
      </c>
      <c r="AM21">
        <v>13</v>
      </c>
      <c r="AN21">
        <v>8</v>
      </c>
      <c r="AO21">
        <v>15</v>
      </c>
      <c r="AP21">
        <v>13</v>
      </c>
      <c r="AQ21">
        <v>19</v>
      </c>
      <c r="AR21">
        <f t="shared" si="2"/>
        <v>91</v>
      </c>
      <c r="AS21">
        <f t="shared" si="2"/>
        <v>112</v>
      </c>
      <c r="AT21">
        <f t="shared" si="3"/>
        <v>203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f t="shared" si="4"/>
        <v>112</v>
      </c>
      <c r="BH21">
        <f t="shared" si="4"/>
        <v>203</v>
      </c>
      <c r="BI21">
        <f t="shared" si="5"/>
        <v>315</v>
      </c>
    </row>
    <row r="22" spans="1:61">
      <c r="A22" t="s">
        <v>68</v>
      </c>
      <c r="B22" t="s">
        <v>74</v>
      </c>
      <c r="C22" t="s">
        <v>75</v>
      </c>
      <c r="D22">
        <v>501424</v>
      </c>
      <c r="E22" t="s">
        <v>108</v>
      </c>
      <c r="F22" t="s">
        <v>109</v>
      </c>
      <c r="G22" t="s">
        <v>78</v>
      </c>
      <c r="H22" t="s">
        <v>79</v>
      </c>
      <c r="I22" t="s">
        <v>69</v>
      </c>
      <c r="J22" t="s">
        <v>110</v>
      </c>
      <c r="K22" t="s">
        <v>72</v>
      </c>
      <c r="L22" s="12" t="s">
        <v>73</v>
      </c>
      <c r="M22">
        <v>1</v>
      </c>
      <c r="N22">
        <v>2</v>
      </c>
      <c r="O22">
        <v>0</v>
      </c>
      <c r="P22">
        <v>1</v>
      </c>
      <c r="Q22">
        <v>1</v>
      </c>
      <c r="R22">
        <v>0</v>
      </c>
      <c r="S22">
        <v>2</v>
      </c>
      <c r="T22">
        <v>0</v>
      </c>
      <c r="U22">
        <v>3</v>
      </c>
      <c r="V22">
        <v>1</v>
      </c>
      <c r="W22">
        <v>2</v>
      </c>
      <c r="X22">
        <v>1</v>
      </c>
      <c r="Y22">
        <v>0</v>
      </c>
      <c r="Z22">
        <v>3</v>
      </c>
      <c r="AA22">
        <f t="shared" si="0"/>
        <v>9</v>
      </c>
      <c r="AB22">
        <f t="shared" si="0"/>
        <v>8</v>
      </c>
      <c r="AC22">
        <f t="shared" ref="AC22:AC62" si="6">SUM(AA22:AB22)</f>
        <v>17</v>
      </c>
      <c r="AD22">
        <v>20</v>
      </c>
      <c r="AE22">
        <v>25</v>
      </c>
      <c r="AF22">
        <v>17</v>
      </c>
      <c r="AG22">
        <v>14</v>
      </c>
      <c r="AH22">
        <v>23</v>
      </c>
      <c r="AI22">
        <v>18</v>
      </c>
      <c r="AJ22">
        <v>10</v>
      </c>
      <c r="AK22">
        <v>12</v>
      </c>
      <c r="AL22">
        <v>22</v>
      </c>
      <c r="AM22">
        <v>21</v>
      </c>
      <c r="AN22">
        <v>15</v>
      </c>
      <c r="AO22">
        <v>17</v>
      </c>
      <c r="AP22">
        <v>17</v>
      </c>
      <c r="AQ22">
        <v>23</v>
      </c>
      <c r="AR22">
        <f t="shared" si="2"/>
        <v>124</v>
      </c>
      <c r="AS22">
        <f t="shared" si="2"/>
        <v>130</v>
      </c>
      <c r="AT22">
        <f t="shared" ref="AT22:AT62" si="7">SUM(AR22:AS22)</f>
        <v>254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f t="shared" si="4"/>
        <v>130</v>
      </c>
      <c r="BH22">
        <f t="shared" si="4"/>
        <v>254</v>
      </c>
      <c r="BI22">
        <f t="shared" ref="BI22:BI62" si="8">SUM(BG22:BH22)</f>
        <v>384</v>
      </c>
    </row>
    <row r="23" spans="1:61">
      <c r="A23" t="s">
        <v>68</v>
      </c>
      <c r="B23" t="s">
        <v>74</v>
      </c>
      <c r="C23" t="s">
        <v>111</v>
      </c>
      <c r="D23">
        <v>101813</v>
      </c>
      <c r="E23" t="s">
        <v>112</v>
      </c>
      <c r="F23" t="s">
        <v>113</v>
      </c>
      <c r="G23" t="s">
        <v>78</v>
      </c>
      <c r="H23" t="s">
        <v>79</v>
      </c>
      <c r="I23" t="s">
        <v>69</v>
      </c>
      <c r="J23" t="s">
        <v>114</v>
      </c>
      <c r="K23" t="s">
        <v>70</v>
      </c>
      <c r="L23" s="12" t="s">
        <v>71</v>
      </c>
      <c r="M23">
        <v>5</v>
      </c>
      <c r="N23">
        <v>4</v>
      </c>
      <c r="O23">
        <v>11</v>
      </c>
      <c r="P23">
        <v>11</v>
      </c>
      <c r="Q23">
        <v>5</v>
      </c>
      <c r="R23">
        <v>4</v>
      </c>
      <c r="S23">
        <v>6</v>
      </c>
      <c r="T23">
        <v>7</v>
      </c>
      <c r="U23">
        <v>4</v>
      </c>
      <c r="V23">
        <v>8</v>
      </c>
      <c r="W23">
        <v>3</v>
      </c>
      <c r="X23">
        <v>8</v>
      </c>
      <c r="Y23">
        <v>9</v>
      </c>
      <c r="Z23">
        <v>5</v>
      </c>
      <c r="AA23">
        <f t="shared" si="0"/>
        <v>43</v>
      </c>
      <c r="AB23">
        <f t="shared" si="0"/>
        <v>47</v>
      </c>
      <c r="AC23">
        <f t="shared" si="6"/>
        <v>90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1</v>
      </c>
      <c r="AR23">
        <f t="shared" si="2"/>
        <v>2</v>
      </c>
      <c r="AS23">
        <f t="shared" si="2"/>
        <v>1</v>
      </c>
      <c r="AT23">
        <f t="shared" si="7"/>
        <v>3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f t="shared" si="4"/>
        <v>1</v>
      </c>
      <c r="BH23">
        <f t="shared" si="4"/>
        <v>3</v>
      </c>
      <c r="BI23">
        <f t="shared" si="8"/>
        <v>4</v>
      </c>
    </row>
    <row r="24" spans="1:61">
      <c r="A24" t="s">
        <v>68</v>
      </c>
      <c r="B24" t="s">
        <v>74</v>
      </c>
      <c r="C24" t="s">
        <v>111</v>
      </c>
      <c r="D24">
        <v>129387</v>
      </c>
      <c r="E24" t="s">
        <v>115</v>
      </c>
      <c r="F24" t="s">
        <v>116</v>
      </c>
      <c r="G24" t="s">
        <v>78</v>
      </c>
      <c r="H24" t="s">
        <v>79</v>
      </c>
      <c r="I24" t="s">
        <v>69</v>
      </c>
      <c r="J24" t="s">
        <v>117</v>
      </c>
      <c r="K24" t="s">
        <v>70</v>
      </c>
      <c r="L24" s="12" t="s">
        <v>71</v>
      </c>
      <c r="M24">
        <v>0</v>
      </c>
      <c r="N24">
        <v>1</v>
      </c>
      <c r="O24">
        <v>0</v>
      </c>
      <c r="P24">
        <v>0</v>
      </c>
      <c r="Q24">
        <v>2</v>
      </c>
      <c r="R24">
        <v>0</v>
      </c>
      <c r="S24">
        <v>1</v>
      </c>
      <c r="T24">
        <v>1</v>
      </c>
      <c r="U24">
        <v>0</v>
      </c>
      <c r="V24">
        <v>1</v>
      </c>
      <c r="W24">
        <v>0</v>
      </c>
      <c r="X24">
        <v>0</v>
      </c>
      <c r="Y24">
        <v>2</v>
      </c>
      <c r="Z24">
        <v>1</v>
      </c>
      <c r="AA24">
        <f t="shared" si="0"/>
        <v>5</v>
      </c>
      <c r="AB24">
        <f t="shared" si="0"/>
        <v>4</v>
      </c>
      <c r="AC24">
        <f t="shared" si="6"/>
        <v>9</v>
      </c>
      <c r="AD24">
        <v>14</v>
      </c>
      <c r="AE24">
        <v>17</v>
      </c>
      <c r="AF24">
        <v>20</v>
      </c>
      <c r="AG24">
        <v>23</v>
      </c>
      <c r="AH24">
        <v>14</v>
      </c>
      <c r="AI24">
        <v>15</v>
      </c>
      <c r="AJ24">
        <v>14</v>
      </c>
      <c r="AK24">
        <v>11</v>
      </c>
      <c r="AL24">
        <v>11</v>
      </c>
      <c r="AM24">
        <v>14</v>
      </c>
      <c r="AN24">
        <v>12</v>
      </c>
      <c r="AO24">
        <v>15</v>
      </c>
      <c r="AP24">
        <v>11</v>
      </c>
      <c r="AQ24">
        <v>11</v>
      </c>
      <c r="AR24">
        <f t="shared" si="2"/>
        <v>96</v>
      </c>
      <c r="AS24">
        <f t="shared" si="2"/>
        <v>106</v>
      </c>
      <c r="AT24">
        <f t="shared" si="7"/>
        <v>202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f t="shared" si="4"/>
        <v>106</v>
      </c>
      <c r="BH24">
        <f t="shared" si="4"/>
        <v>202</v>
      </c>
      <c r="BI24">
        <f t="shared" si="8"/>
        <v>308</v>
      </c>
    </row>
    <row r="25" spans="1:61">
      <c r="A25" t="s">
        <v>68</v>
      </c>
      <c r="B25" t="s">
        <v>74</v>
      </c>
      <c r="C25" t="s">
        <v>111</v>
      </c>
      <c r="D25">
        <v>129388</v>
      </c>
      <c r="E25" t="s">
        <v>118</v>
      </c>
      <c r="F25" t="s">
        <v>119</v>
      </c>
      <c r="G25" t="s">
        <v>78</v>
      </c>
      <c r="H25" t="s">
        <v>79</v>
      </c>
      <c r="I25" t="s">
        <v>69</v>
      </c>
      <c r="J25" t="s">
        <v>120</v>
      </c>
      <c r="K25" t="s">
        <v>70</v>
      </c>
      <c r="L25" s="12" t="s">
        <v>71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f t="shared" si="0"/>
        <v>0</v>
      </c>
      <c r="AB25">
        <f t="shared" si="0"/>
        <v>0</v>
      </c>
      <c r="AC25">
        <f t="shared" si="6"/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f t="shared" si="2"/>
        <v>0</v>
      </c>
      <c r="AS25">
        <f t="shared" si="2"/>
        <v>0</v>
      </c>
      <c r="AT25">
        <f t="shared" si="7"/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f t="shared" si="4"/>
        <v>0</v>
      </c>
      <c r="BH25">
        <f t="shared" si="4"/>
        <v>0</v>
      </c>
      <c r="BI25">
        <f t="shared" si="8"/>
        <v>0</v>
      </c>
    </row>
    <row r="26" spans="1:61">
      <c r="A26" t="s">
        <v>68</v>
      </c>
      <c r="B26" t="s">
        <v>74</v>
      </c>
      <c r="C26" t="s">
        <v>111</v>
      </c>
      <c r="D26">
        <v>129389</v>
      </c>
      <c r="E26" t="s">
        <v>121</v>
      </c>
      <c r="F26" t="s">
        <v>122</v>
      </c>
      <c r="G26" t="s">
        <v>78</v>
      </c>
      <c r="H26" t="s">
        <v>79</v>
      </c>
      <c r="I26" t="s">
        <v>69</v>
      </c>
      <c r="J26" t="s">
        <v>123</v>
      </c>
      <c r="K26" t="s">
        <v>70</v>
      </c>
      <c r="L26" s="12" t="s">
        <v>71</v>
      </c>
      <c r="M26">
        <v>24</v>
      </c>
      <c r="N26">
        <v>6</v>
      </c>
      <c r="O26">
        <v>7</v>
      </c>
      <c r="P26">
        <v>4</v>
      </c>
      <c r="Q26">
        <v>7</v>
      </c>
      <c r="R26">
        <v>6</v>
      </c>
      <c r="S26">
        <v>5</v>
      </c>
      <c r="T26">
        <v>4</v>
      </c>
      <c r="U26">
        <v>4</v>
      </c>
      <c r="V26">
        <v>4</v>
      </c>
      <c r="W26">
        <v>7</v>
      </c>
      <c r="X26">
        <v>5</v>
      </c>
      <c r="Y26">
        <v>4</v>
      </c>
      <c r="Z26">
        <v>5</v>
      </c>
      <c r="AA26">
        <f t="shared" si="0"/>
        <v>58</v>
      </c>
      <c r="AB26">
        <f t="shared" si="0"/>
        <v>34</v>
      </c>
      <c r="AC26">
        <f t="shared" si="6"/>
        <v>92</v>
      </c>
      <c r="AD26">
        <v>39</v>
      </c>
      <c r="AE26">
        <v>33</v>
      </c>
      <c r="AF26">
        <v>48</v>
      </c>
      <c r="AG26">
        <v>44</v>
      </c>
      <c r="AH26">
        <v>43</v>
      </c>
      <c r="AI26">
        <v>42</v>
      </c>
      <c r="AJ26">
        <v>38</v>
      </c>
      <c r="AK26">
        <v>39</v>
      </c>
      <c r="AL26">
        <v>48</v>
      </c>
      <c r="AM26">
        <v>38</v>
      </c>
      <c r="AN26">
        <v>40</v>
      </c>
      <c r="AO26">
        <v>40</v>
      </c>
      <c r="AP26">
        <v>34</v>
      </c>
      <c r="AQ26">
        <v>47</v>
      </c>
      <c r="AR26">
        <f t="shared" si="2"/>
        <v>290</v>
      </c>
      <c r="AS26">
        <f t="shared" si="2"/>
        <v>283</v>
      </c>
      <c r="AT26">
        <f t="shared" si="7"/>
        <v>573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f t="shared" si="4"/>
        <v>283</v>
      </c>
      <c r="BH26">
        <f t="shared" si="4"/>
        <v>573</v>
      </c>
      <c r="BI26">
        <f t="shared" si="8"/>
        <v>856</v>
      </c>
    </row>
    <row r="27" spans="1:61">
      <c r="A27" t="s">
        <v>68</v>
      </c>
      <c r="B27" t="s">
        <v>74</v>
      </c>
      <c r="C27" t="s">
        <v>111</v>
      </c>
      <c r="D27">
        <v>129390</v>
      </c>
      <c r="E27" t="s">
        <v>124</v>
      </c>
      <c r="F27" t="s">
        <v>125</v>
      </c>
      <c r="G27" t="s">
        <v>78</v>
      </c>
      <c r="H27" t="s">
        <v>79</v>
      </c>
      <c r="I27" t="s">
        <v>69</v>
      </c>
      <c r="J27" t="s">
        <v>117</v>
      </c>
      <c r="K27" t="s">
        <v>70</v>
      </c>
      <c r="L27" s="12" t="s">
        <v>71</v>
      </c>
      <c r="M27">
        <v>10</v>
      </c>
      <c r="N27">
        <v>20</v>
      </c>
      <c r="O27">
        <v>40</v>
      </c>
      <c r="P27">
        <v>31</v>
      </c>
      <c r="Q27">
        <v>23</v>
      </c>
      <c r="R27">
        <v>18</v>
      </c>
      <c r="S27">
        <v>30</v>
      </c>
      <c r="T27">
        <v>23</v>
      </c>
      <c r="U27">
        <v>19</v>
      </c>
      <c r="V27">
        <v>18</v>
      </c>
      <c r="W27">
        <v>21</v>
      </c>
      <c r="X27">
        <v>20</v>
      </c>
      <c r="Y27">
        <v>26</v>
      </c>
      <c r="Z27">
        <v>34</v>
      </c>
      <c r="AA27">
        <f t="shared" si="0"/>
        <v>169</v>
      </c>
      <c r="AB27">
        <f t="shared" si="0"/>
        <v>164</v>
      </c>
      <c r="AC27">
        <f t="shared" si="6"/>
        <v>333</v>
      </c>
      <c r="AD27">
        <v>11</v>
      </c>
      <c r="AE27">
        <v>14</v>
      </c>
      <c r="AF27">
        <v>32</v>
      </c>
      <c r="AG27">
        <v>33</v>
      </c>
      <c r="AH27">
        <v>24</v>
      </c>
      <c r="AI27">
        <v>23</v>
      </c>
      <c r="AJ27">
        <v>26</v>
      </c>
      <c r="AK27">
        <v>18</v>
      </c>
      <c r="AL27">
        <v>17</v>
      </c>
      <c r="AM27">
        <v>28</v>
      </c>
      <c r="AN27">
        <v>21</v>
      </c>
      <c r="AO27">
        <v>25</v>
      </c>
      <c r="AP27">
        <v>21</v>
      </c>
      <c r="AQ27">
        <v>21</v>
      </c>
      <c r="AR27">
        <f t="shared" si="2"/>
        <v>152</v>
      </c>
      <c r="AS27">
        <f t="shared" si="2"/>
        <v>162</v>
      </c>
      <c r="AT27">
        <f t="shared" si="7"/>
        <v>314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f t="shared" si="4"/>
        <v>162</v>
      </c>
      <c r="BH27">
        <f t="shared" si="4"/>
        <v>314</v>
      </c>
      <c r="BI27">
        <f t="shared" si="8"/>
        <v>476</v>
      </c>
    </row>
    <row r="28" spans="1:61">
      <c r="A28" t="s">
        <v>68</v>
      </c>
      <c r="B28" t="s">
        <v>74</v>
      </c>
      <c r="C28" t="s">
        <v>111</v>
      </c>
      <c r="D28">
        <v>129391</v>
      </c>
      <c r="E28" t="s">
        <v>126</v>
      </c>
      <c r="F28" t="s">
        <v>127</v>
      </c>
      <c r="G28" t="s">
        <v>78</v>
      </c>
      <c r="H28" t="s">
        <v>79</v>
      </c>
      <c r="I28" t="s">
        <v>69</v>
      </c>
      <c r="J28" t="s">
        <v>128</v>
      </c>
      <c r="K28" t="s">
        <v>70</v>
      </c>
      <c r="L28" s="12" t="s">
        <v>71</v>
      </c>
      <c r="M28">
        <v>0</v>
      </c>
      <c r="N28">
        <v>0</v>
      </c>
      <c r="O28">
        <v>6</v>
      </c>
      <c r="P28">
        <v>7</v>
      </c>
      <c r="Q28">
        <v>0</v>
      </c>
      <c r="R28">
        <v>0</v>
      </c>
      <c r="S28">
        <v>0</v>
      </c>
      <c r="T28">
        <v>0</v>
      </c>
      <c r="U28">
        <v>5</v>
      </c>
      <c r="V28">
        <v>7</v>
      </c>
      <c r="W28">
        <v>0</v>
      </c>
      <c r="X28">
        <v>0</v>
      </c>
      <c r="Y28">
        <v>0</v>
      </c>
      <c r="Z28">
        <v>0</v>
      </c>
      <c r="AA28">
        <f t="shared" si="0"/>
        <v>11</v>
      </c>
      <c r="AB28">
        <f t="shared" si="0"/>
        <v>14</v>
      </c>
      <c r="AC28">
        <f t="shared" si="6"/>
        <v>25</v>
      </c>
      <c r="AD28">
        <v>12</v>
      </c>
      <c r="AE28">
        <v>19</v>
      </c>
      <c r="AF28">
        <v>19</v>
      </c>
      <c r="AG28">
        <v>18</v>
      </c>
      <c r="AH28">
        <v>25</v>
      </c>
      <c r="AI28">
        <v>20</v>
      </c>
      <c r="AJ28">
        <v>20</v>
      </c>
      <c r="AK28">
        <v>10</v>
      </c>
      <c r="AL28">
        <v>18</v>
      </c>
      <c r="AM28">
        <v>28</v>
      </c>
      <c r="AN28">
        <v>11</v>
      </c>
      <c r="AO28">
        <v>15</v>
      </c>
      <c r="AP28">
        <v>20</v>
      </c>
      <c r="AQ28">
        <v>30</v>
      </c>
      <c r="AR28">
        <f t="shared" si="2"/>
        <v>125</v>
      </c>
      <c r="AS28">
        <f t="shared" si="2"/>
        <v>140</v>
      </c>
      <c r="AT28">
        <f t="shared" si="7"/>
        <v>265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f t="shared" si="4"/>
        <v>140</v>
      </c>
      <c r="BH28">
        <f t="shared" si="4"/>
        <v>265</v>
      </c>
      <c r="BI28">
        <f t="shared" si="8"/>
        <v>405</v>
      </c>
    </row>
    <row r="29" spans="1:61">
      <c r="A29" t="s">
        <v>68</v>
      </c>
      <c r="B29" t="s">
        <v>74</v>
      </c>
      <c r="C29" t="s">
        <v>111</v>
      </c>
      <c r="D29">
        <v>129392</v>
      </c>
      <c r="E29" t="s">
        <v>129</v>
      </c>
      <c r="F29" t="s">
        <v>130</v>
      </c>
      <c r="G29" t="s">
        <v>78</v>
      </c>
      <c r="H29" t="s">
        <v>79</v>
      </c>
      <c r="I29" t="s">
        <v>69</v>
      </c>
      <c r="J29" t="s">
        <v>131</v>
      </c>
      <c r="K29" t="s">
        <v>70</v>
      </c>
      <c r="L29" s="12" t="s">
        <v>71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f t="shared" si="0"/>
        <v>0</v>
      </c>
      <c r="AB29">
        <f t="shared" si="0"/>
        <v>0</v>
      </c>
      <c r="AC29">
        <f t="shared" si="6"/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f t="shared" si="2"/>
        <v>0</v>
      </c>
      <c r="AS29">
        <f t="shared" si="2"/>
        <v>0</v>
      </c>
      <c r="AT29">
        <f t="shared" si="7"/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f t="shared" si="4"/>
        <v>0</v>
      </c>
      <c r="BH29">
        <f t="shared" si="4"/>
        <v>0</v>
      </c>
      <c r="BI29">
        <f t="shared" si="8"/>
        <v>0</v>
      </c>
    </row>
    <row r="30" spans="1:61">
      <c r="A30" t="s">
        <v>68</v>
      </c>
      <c r="B30" t="s">
        <v>74</v>
      </c>
      <c r="C30" t="s">
        <v>111</v>
      </c>
      <c r="D30">
        <v>129393</v>
      </c>
      <c r="E30" t="s">
        <v>132</v>
      </c>
      <c r="F30" t="s">
        <v>133</v>
      </c>
      <c r="G30" t="s">
        <v>78</v>
      </c>
      <c r="H30" t="s">
        <v>79</v>
      </c>
      <c r="I30" t="s">
        <v>69</v>
      </c>
      <c r="J30" t="s">
        <v>134</v>
      </c>
      <c r="K30" t="s">
        <v>70</v>
      </c>
      <c r="L30" s="12" t="s">
        <v>71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f t="shared" si="0"/>
        <v>0</v>
      </c>
      <c r="AB30">
        <f t="shared" si="0"/>
        <v>0</v>
      </c>
      <c r="AC30">
        <f t="shared" si="6"/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f t="shared" si="2"/>
        <v>0</v>
      </c>
      <c r="AS30">
        <f t="shared" si="2"/>
        <v>0</v>
      </c>
      <c r="AT30">
        <f t="shared" si="7"/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f t="shared" si="4"/>
        <v>0</v>
      </c>
      <c r="BH30">
        <f t="shared" si="4"/>
        <v>0</v>
      </c>
      <c r="BI30">
        <f t="shared" si="8"/>
        <v>0</v>
      </c>
    </row>
    <row r="31" spans="1:61">
      <c r="A31" t="s">
        <v>68</v>
      </c>
      <c r="B31" t="s">
        <v>74</v>
      </c>
      <c r="C31" t="s">
        <v>111</v>
      </c>
      <c r="D31">
        <v>129394</v>
      </c>
      <c r="E31" t="s">
        <v>135</v>
      </c>
      <c r="F31" t="s">
        <v>136</v>
      </c>
      <c r="G31" t="s">
        <v>78</v>
      </c>
      <c r="H31" t="s">
        <v>79</v>
      </c>
      <c r="I31" t="s">
        <v>69</v>
      </c>
      <c r="J31" t="s">
        <v>128</v>
      </c>
      <c r="K31" t="s">
        <v>70</v>
      </c>
      <c r="L31" s="12" t="s">
        <v>71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f t="shared" si="0"/>
        <v>0</v>
      </c>
      <c r="AB31">
        <f t="shared" si="0"/>
        <v>0</v>
      </c>
      <c r="AC31">
        <f t="shared" si="6"/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f t="shared" si="2"/>
        <v>0</v>
      </c>
      <c r="AS31">
        <f t="shared" si="2"/>
        <v>0</v>
      </c>
      <c r="AT31">
        <f t="shared" si="7"/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f t="shared" si="4"/>
        <v>0</v>
      </c>
      <c r="BH31">
        <f t="shared" si="4"/>
        <v>0</v>
      </c>
      <c r="BI31">
        <f t="shared" si="8"/>
        <v>0</v>
      </c>
    </row>
    <row r="32" spans="1:61">
      <c r="A32" t="s">
        <v>68</v>
      </c>
      <c r="B32" t="s">
        <v>74</v>
      </c>
      <c r="C32" t="s">
        <v>111</v>
      </c>
      <c r="D32">
        <v>129395</v>
      </c>
      <c r="E32" t="s">
        <v>137</v>
      </c>
      <c r="F32" t="s">
        <v>138</v>
      </c>
      <c r="G32" t="s">
        <v>78</v>
      </c>
      <c r="H32" t="s">
        <v>79</v>
      </c>
      <c r="I32" t="s">
        <v>69</v>
      </c>
      <c r="J32" t="s">
        <v>123</v>
      </c>
      <c r="K32" t="s">
        <v>70</v>
      </c>
      <c r="L32" s="12" t="s">
        <v>71</v>
      </c>
      <c r="M32">
        <v>0</v>
      </c>
      <c r="N32">
        <v>0</v>
      </c>
      <c r="O32">
        <v>0</v>
      </c>
      <c r="P32">
        <v>0</v>
      </c>
      <c r="Q32">
        <v>13</v>
      </c>
      <c r="R32">
        <v>12</v>
      </c>
      <c r="S32">
        <v>14</v>
      </c>
      <c r="T32">
        <v>20</v>
      </c>
      <c r="U32">
        <v>15</v>
      </c>
      <c r="V32">
        <v>14</v>
      </c>
      <c r="W32">
        <v>17</v>
      </c>
      <c r="X32">
        <v>21</v>
      </c>
      <c r="Y32">
        <v>21</v>
      </c>
      <c r="Z32">
        <v>19</v>
      </c>
      <c r="AA32">
        <f t="shared" si="0"/>
        <v>80</v>
      </c>
      <c r="AB32">
        <f t="shared" si="0"/>
        <v>86</v>
      </c>
      <c r="AC32">
        <f t="shared" si="6"/>
        <v>166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f t="shared" si="2"/>
        <v>0</v>
      </c>
      <c r="AS32">
        <f t="shared" si="2"/>
        <v>0</v>
      </c>
      <c r="AT32">
        <f t="shared" si="7"/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f t="shared" si="4"/>
        <v>0</v>
      </c>
      <c r="BH32">
        <f t="shared" si="4"/>
        <v>0</v>
      </c>
      <c r="BI32">
        <f t="shared" si="8"/>
        <v>0</v>
      </c>
    </row>
    <row r="33" spans="1:61">
      <c r="A33" t="s">
        <v>68</v>
      </c>
      <c r="B33" t="s">
        <v>74</v>
      </c>
      <c r="C33" t="s">
        <v>111</v>
      </c>
      <c r="D33">
        <v>129396</v>
      </c>
      <c r="E33" t="s">
        <v>139</v>
      </c>
      <c r="F33" t="s">
        <v>140</v>
      </c>
      <c r="G33" t="s">
        <v>78</v>
      </c>
      <c r="H33" t="s">
        <v>79</v>
      </c>
      <c r="I33" t="s">
        <v>69</v>
      </c>
      <c r="J33" t="s">
        <v>134</v>
      </c>
      <c r="K33" t="s">
        <v>70</v>
      </c>
      <c r="L33" s="12" t="s">
        <v>71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f t="shared" si="0"/>
        <v>0</v>
      </c>
      <c r="AB33">
        <f t="shared" si="0"/>
        <v>1</v>
      </c>
      <c r="AC33">
        <f t="shared" si="6"/>
        <v>1</v>
      </c>
      <c r="AD33">
        <v>49</v>
      </c>
      <c r="AE33">
        <v>45</v>
      </c>
      <c r="AF33">
        <v>33</v>
      </c>
      <c r="AG33">
        <v>24</v>
      </c>
      <c r="AH33">
        <v>46</v>
      </c>
      <c r="AI33">
        <v>41</v>
      </c>
      <c r="AJ33">
        <v>43</v>
      </c>
      <c r="AK33">
        <v>26</v>
      </c>
      <c r="AL33">
        <v>40</v>
      </c>
      <c r="AM33">
        <v>33</v>
      </c>
      <c r="AN33">
        <v>38</v>
      </c>
      <c r="AO33">
        <v>33</v>
      </c>
      <c r="AP33">
        <v>32</v>
      </c>
      <c r="AQ33">
        <v>28</v>
      </c>
      <c r="AR33">
        <f t="shared" si="2"/>
        <v>281</v>
      </c>
      <c r="AS33">
        <f t="shared" si="2"/>
        <v>230</v>
      </c>
      <c r="AT33">
        <f t="shared" si="7"/>
        <v>511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f t="shared" si="4"/>
        <v>230</v>
      </c>
      <c r="BH33">
        <f t="shared" si="4"/>
        <v>511</v>
      </c>
      <c r="BI33">
        <f t="shared" si="8"/>
        <v>741</v>
      </c>
    </row>
    <row r="34" spans="1:61">
      <c r="A34" t="s">
        <v>68</v>
      </c>
      <c r="B34" t="s">
        <v>74</v>
      </c>
      <c r="C34" t="s">
        <v>111</v>
      </c>
      <c r="D34">
        <v>129397</v>
      </c>
      <c r="E34" t="s">
        <v>141</v>
      </c>
      <c r="F34" t="s">
        <v>142</v>
      </c>
      <c r="G34" t="s">
        <v>78</v>
      </c>
      <c r="H34" t="s">
        <v>79</v>
      </c>
      <c r="I34" t="s">
        <v>69</v>
      </c>
      <c r="J34" t="s">
        <v>143</v>
      </c>
      <c r="K34" t="s">
        <v>70</v>
      </c>
      <c r="L34" s="12" t="s">
        <v>71</v>
      </c>
      <c r="M34">
        <v>4</v>
      </c>
      <c r="N34">
        <v>9</v>
      </c>
      <c r="O34">
        <v>11</v>
      </c>
      <c r="P34">
        <v>10</v>
      </c>
      <c r="Q34">
        <v>9</v>
      </c>
      <c r="R34">
        <v>7</v>
      </c>
      <c r="S34">
        <v>8</v>
      </c>
      <c r="T34">
        <v>2</v>
      </c>
      <c r="U34">
        <v>7</v>
      </c>
      <c r="V34">
        <v>4</v>
      </c>
      <c r="W34">
        <v>8</v>
      </c>
      <c r="X34">
        <v>8</v>
      </c>
      <c r="Y34">
        <v>6</v>
      </c>
      <c r="Z34">
        <v>7</v>
      </c>
      <c r="AA34">
        <f t="shared" si="0"/>
        <v>53</v>
      </c>
      <c r="AB34">
        <f t="shared" si="0"/>
        <v>47</v>
      </c>
      <c r="AC34">
        <f t="shared" si="6"/>
        <v>100</v>
      </c>
      <c r="AD34">
        <v>6</v>
      </c>
      <c r="AE34">
        <v>8</v>
      </c>
      <c r="AF34">
        <v>6</v>
      </c>
      <c r="AG34">
        <v>2</v>
      </c>
      <c r="AH34">
        <v>10</v>
      </c>
      <c r="AI34">
        <v>7</v>
      </c>
      <c r="AJ34">
        <v>6</v>
      </c>
      <c r="AK34">
        <v>1</v>
      </c>
      <c r="AL34">
        <v>6</v>
      </c>
      <c r="AM34">
        <v>4</v>
      </c>
      <c r="AN34">
        <v>12</v>
      </c>
      <c r="AO34">
        <v>3</v>
      </c>
      <c r="AP34">
        <v>8</v>
      </c>
      <c r="AQ34">
        <v>9</v>
      </c>
      <c r="AR34">
        <f t="shared" si="2"/>
        <v>54</v>
      </c>
      <c r="AS34">
        <f t="shared" si="2"/>
        <v>34</v>
      </c>
      <c r="AT34">
        <f t="shared" si="7"/>
        <v>88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f t="shared" si="4"/>
        <v>34</v>
      </c>
      <c r="BH34">
        <f t="shared" si="4"/>
        <v>88</v>
      </c>
      <c r="BI34">
        <f t="shared" si="8"/>
        <v>122</v>
      </c>
    </row>
    <row r="35" spans="1:61">
      <c r="A35" t="s">
        <v>68</v>
      </c>
      <c r="B35" t="s">
        <v>74</v>
      </c>
      <c r="C35" t="s">
        <v>111</v>
      </c>
      <c r="D35">
        <v>129398</v>
      </c>
      <c r="E35" t="s">
        <v>144</v>
      </c>
      <c r="F35" t="s">
        <v>145</v>
      </c>
      <c r="G35" t="s">
        <v>78</v>
      </c>
      <c r="H35" t="s">
        <v>79</v>
      </c>
      <c r="I35" t="s">
        <v>69</v>
      </c>
      <c r="J35" t="s">
        <v>146</v>
      </c>
      <c r="K35" t="s">
        <v>70</v>
      </c>
      <c r="L35" s="12" t="s">
        <v>71</v>
      </c>
      <c r="M35">
        <v>6</v>
      </c>
      <c r="N35">
        <v>5</v>
      </c>
      <c r="O35">
        <v>5</v>
      </c>
      <c r="P35">
        <v>7</v>
      </c>
      <c r="Q35">
        <v>6</v>
      </c>
      <c r="R35">
        <v>6</v>
      </c>
      <c r="S35">
        <v>4</v>
      </c>
      <c r="T35">
        <v>4</v>
      </c>
      <c r="U35">
        <v>6</v>
      </c>
      <c r="V35">
        <v>8</v>
      </c>
      <c r="W35">
        <v>8</v>
      </c>
      <c r="X35">
        <v>5</v>
      </c>
      <c r="Y35">
        <v>8</v>
      </c>
      <c r="Z35">
        <v>4</v>
      </c>
      <c r="AA35">
        <f t="shared" si="0"/>
        <v>43</v>
      </c>
      <c r="AB35">
        <f t="shared" si="0"/>
        <v>39</v>
      </c>
      <c r="AC35">
        <f t="shared" si="6"/>
        <v>82</v>
      </c>
      <c r="AD35">
        <v>20</v>
      </c>
      <c r="AE35">
        <v>28</v>
      </c>
      <c r="AF35">
        <v>41</v>
      </c>
      <c r="AG35">
        <v>54</v>
      </c>
      <c r="AH35">
        <v>55</v>
      </c>
      <c r="AI35">
        <v>37</v>
      </c>
      <c r="AJ35">
        <v>29</v>
      </c>
      <c r="AK35">
        <v>25</v>
      </c>
      <c r="AL35">
        <v>33</v>
      </c>
      <c r="AM35">
        <v>30</v>
      </c>
      <c r="AN35">
        <v>38</v>
      </c>
      <c r="AO35">
        <v>22</v>
      </c>
      <c r="AP35">
        <v>19</v>
      </c>
      <c r="AQ35">
        <v>20</v>
      </c>
      <c r="AR35">
        <f t="shared" si="2"/>
        <v>235</v>
      </c>
      <c r="AS35">
        <f t="shared" si="2"/>
        <v>216</v>
      </c>
      <c r="AT35">
        <f t="shared" si="7"/>
        <v>451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f t="shared" si="4"/>
        <v>216</v>
      </c>
      <c r="BH35">
        <f t="shared" si="4"/>
        <v>451</v>
      </c>
      <c r="BI35">
        <f t="shared" si="8"/>
        <v>667</v>
      </c>
    </row>
    <row r="36" spans="1:61">
      <c r="A36" t="s">
        <v>68</v>
      </c>
      <c r="B36" t="s">
        <v>74</v>
      </c>
      <c r="C36" t="s">
        <v>111</v>
      </c>
      <c r="D36">
        <v>129399</v>
      </c>
      <c r="E36" t="s">
        <v>147</v>
      </c>
      <c r="F36" t="s">
        <v>148</v>
      </c>
      <c r="G36" t="s">
        <v>78</v>
      </c>
      <c r="H36" t="s">
        <v>79</v>
      </c>
      <c r="I36" t="s">
        <v>69</v>
      </c>
      <c r="J36" t="s">
        <v>149</v>
      </c>
      <c r="K36" t="s">
        <v>70</v>
      </c>
      <c r="L36" s="12" t="s">
        <v>71</v>
      </c>
      <c r="M36">
        <v>4</v>
      </c>
      <c r="N36">
        <v>7</v>
      </c>
      <c r="O36">
        <v>6</v>
      </c>
      <c r="P36">
        <v>4</v>
      </c>
      <c r="Q36">
        <v>5</v>
      </c>
      <c r="R36">
        <v>11</v>
      </c>
      <c r="S36">
        <v>8</v>
      </c>
      <c r="T36">
        <v>3</v>
      </c>
      <c r="U36">
        <v>4</v>
      </c>
      <c r="V36">
        <v>6</v>
      </c>
      <c r="W36">
        <v>1</v>
      </c>
      <c r="X36">
        <v>4</v>
      </c>
      <c r="Y36">
        <v>9</v>
      </c>
      <c r="Z36">
        <v>7</v>
      </c>
      <c r="AA36">
        <f t="shared" si="0"/>
        <v>37</v>
      </c>
      <c r="AB36">
        <f t="shared" si="0"/>
        <v>42</v>
      </c>
      <c r="AC36">
        <f t="shared" si="6"/>
        <v>79</v>
      </c>
      <c r="AD36">
        <v>36</v>
      </c>
      <c r="AE36">
        <v>43</v>
      </c>
      <c r="AF36">
        <v>44</v>
      </c>
      <c r="AG36">
        <v>35</v>
      </c>
      <c r="AH36">
        <v>53</v>
      </c>
      <c r="AI36">
        <v>46</v>
      </c>
      <c r="AJ36">
        <v>44</v>
      </c>
      <c r="AK36">
        <v>32</v>
      </c>
      <c r="AL36">
        <v>36</v>
      </c>
      <c r="AM36">
        <v>34</v>
      </c>
      <c r="AN36">
        <v>39</v>
      </c>
      <c r="AO36">
        <v>37</v>
      </c>
      <c r="AP36">
        <v>41</v>
      </c>
      <c r="AQ36">
        <v>36</v>
      </c>
      <c r="AR36">
        <f t="shared" si="2"/>
        <v>293</v>
      </c>
      <c r="AS36">
        <f t="shared" si="2"/>
        <v>263</v>
      </c>
      <c r="AT36">
        <f t="shared" si="7"/>
        <v>556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f t="shared" si="4"/>
        <v>263</v>
      </c>
      <c r="BH36">
        <f t="shared" si="4"/>
        <v>556</v>
      </c>
      <c r="BI36">
        <f t="shared" si="8"/>
        <v>819</v>
      </c>
    </row>
    <row r="37" spans="1:61">
      <c r="A37" t="s">
        <v>68</v>
      </c>
      <c r="B37" t="s">
        <v>74</v>
      </c>
      <c r="C37" t="s">
        <v>111</v>
      </c>
      <c r="D37">
        <v>129400</v>
      </c>
      <c r="E37" t="s">
        <v>150</v>
      </c>
      <c r="F37" t="s">
        <v>151</v>
      </c>
      <c r="G37" t="s">
        <v>78</v>
      </c>
      <c r="H37" t="s">
        <v>79</v>
      </c>
      <c r="I37" t="s">
        <v>69</v>
      </c>
      <c r="J37" t="s">
        <v>146</v>
      </c>
      <c r="K37" t="s">
        <v>70</v>
      </c>
      <c r="L37" s="12" t="s">
        <v>71</v>
      </c>
      <c r="M37">
        <v>3</v>
      </c>
      <c r="N37">
        <v>2</v>
      </c>
      <c r="O37">
        <v>5</v>
      </c>
      <c r="P37">
        <v>4</v>
      </c>
      <c r="Q37">
        <v>5</v>
      </c>
      <c r="R37">
        <v>4</v>
      </c>
      <c r="S37">
        <v>2</v>
      </c>
      <c r="T37">
        <v>5</v>
      </c>
      <c r="U37">
        <v>1</v>
      </c>
      <c r="V37">
        <v>3</v>
      </c>
      <c r="W37">
        <v>3</v>
      </c>
      <c r="X37">
        <v>6</v>
      </c>
      <c r="Y37">
        <v>4</v>
      </c>
      <c r="Z37">
        <v>3</v>
      </c>
      <c r="AA37">
        <f t="shared" si="0"/>
        <v>23</v>
      </c>
      <c r="AB37">
        <f t="shared" si="0"/>
        <v>27</v>
      </c>
      <c r="AC37">
        <f t="shared" si="6"/>
        <v>50</v>
      </c>
      <c r="AD37">
        <v>75</v>
      </c>
      <c r="AE37">
        <v>75</v>
      </c>
      <c r="AF37">
        <v>113</v>
      </c>
      <c r="AG37">
        <v>97</v>
      </c>
      <c r="AH37">
        <v>100</v>
      </c>
      <c r="AI37">
        <v>106</v>
      </c>
      <c r="AJ37">
        <v>107</v>
      </c>
      <c r="AK37">
        <v>89</v>
      </c>
      <c r="AL37">
        <v>86</v>
      </c>
      <c r="AM37">
        <v>59</v>
      </c>
      <c r="AN37">
        <v>94</v>
      </c>
      <c r="AO37">
        <v>92</v>
      </c>
      <c r="AP37">
        <v>104</v>
      </c>
      <c r="AQ37">
        <v>106</v>
      </c>
      <c r="AR37">
        <f t="shared" si="2"/>
        <v>679</v>
      </c>
      <c r="AS37">
        <f t="shared" si="2"/>
        <v>624</v>
      </c>
      <c r="AT37">
        <f t="shared" si="7"/>
        <v>1303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f t="shared" si="4"/>
        <v>624</v>
      </c>
      <c r="BH37">
        <f t="shared" si="4"/>
        <v>1303</v>
      </c>
      <c r="BI37">
        <f t="shared" si="8"/>
        <v>1927</v>
      </c>
    </row>
    <row r="38" spans="1:61">
      <c r="A38" t="s">
        <v>68</v>
      </c>
      <c r="B38" t="s">
        <v>74</v>
      </c>
      <c r="C38" t="s">
        <v>111</v>
      </c>
      <c r="D38">
        <v>129401</v>
      </c>
      <c r="E38" t="s">
        <v>152</v>
      </c>
      <c r="F38" t="s">
        <v>153</v>
      </c>
      <c r="G38" t="s">
        <v>78</v>
      </c>
      <c r="H38" t="s">
        <v>79</v>
      </c>
      <c r="I38" t="s">
        <v>69</v>
      </c>
      <c r="J38" t="s">
        <v>120</v>
      </c>
      <c r="K38" t="s">
        <v>70</v>
      </c>
      <c r="L38" s="12" t="s">
        <v>71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f t="shared" si="0"/>
        <v>0</v>
      </c>
      <c r="AB38">
        <f t="shared" si="0"/>
        <v>0</v>
      </c>
      <c r="AC38">
        <f t="shared" si="6"/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f t="shared" si="2"/>
        <v>0</v>
      </c>
      <c r="AS38">
        <f t="shared" si="2"/>
        <v>0</v>
      </c>
      <c r="AT38">
        <f t="shared" si="7"/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f t="shared" si="4"/>
        <v>0</v>
      </c>
      <c r="BH38">
        <f t="shared" si="4"/>
        <v>0</v>
      </c>
      <c r="BI38">
        <f t="shared" si="8"/>
        <v>0</v>
      </c>
    </row>
    <row r="39" spans="1:61">
      <c r="A39" t="s">
        <v>68</v>
      </c>
      <c r="B39" t="s">
        <v>74</v>
      </c>
      <c r="C39" t="s">
        <v>111</v>
      </c>
      <c r="D39">
        <v>129402</v>
      </c>
      <c r="E39" t="s">
        <v>154</v>
      </c>
      <c r="F39" t="s">
        <v>155</v>
      </c>
      <c r="G39" t="s">
        <v>78</v>
      </c>
      <c r="H39" t="s">
        <v>79</v>
      </c>
      <c r="I39" t="s">
        <v>69</v>
      </c>
      <c r="J39" t="s">
        <v>134</v>
      </c>
      <c r="K39" t="s">
        <v>70</v>
      </c>
      <c r="L39" s="12" t="s">
        <v>71</v>
      </c>
      <c r="M39">
        <v>0</v>
      </c>
      <c r="N39">
        <v>0</v>
      </c>
      <c r="O39">
        <v>1</v>
      </c>
      <c r="P39">
        <v>0</v>
      </c>
      <c r="Q39">
        <v>0</v>
      </c>
      <c r="R39">
        <v>1</v>
      </c>
      <c r="S39">
        <v>2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f t="shared" si="0"/>
        <v>4</v>
      </c>
      <c r="AB39">
        <f t="shared" si="0"/>
        <v>2</v>
      </c>
      <c r="AC39">
        <f t="shared" si="6"/>
        <v>6</v>
      </c>
      <c r="AD39">
        <v>7</v>
      </c>
      <c r="AE39">
        <v>7</v>
      </c>
      <c r="AF39">
        <v>10</v>
      </c>
      <c r="AG39">
        <v>7</v>
      </c>
      <c r="AH39">
        <v>7</v>
      </c>
      <c r="AI39">
        <v>5</v>
      </c>
      <c r="AJ39">
        <v>13</v>
      </c>
      <c r="AK39">
        <v>8</v>
      </c>
      <c r="AL39">
        <v>6</v>
      </c>
      <c r="AM39">
        <v>8</v>
      </c>
      <c r="AN39">
        <v>4</v>
      </c>
      <c r="AO39">
        <v>2</v>
      </c>
      <c r="AP39">
        <v>6</v>
      </c>
      <c r="AQ39">
        <v>10</v>
      </c>
      <c r="AR39">
        <f t="shared" si="2"/>
        <v>53</v>
      </c>
      <c r="AS39">
        <f t="shared" si="2"/>
        <v>47</v>
      </c>
      <c r="AT39">
        <f t="shared" si="7"/>
        <v>100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f t="shared" si="4"/>
        <v>47</v>
      </c>
      <c r="BH39">
        <f t="shared" si="4"/>
        <v>100</v>
      </c>
      <c r="BI39">
        <f t="shared" si="8"/>
        <v>147</v>
      </c>
    </row>
    <row r="40" spans="1:61">
      <c r="A40" t="s">
        <v>68</v>
      </c>
      <c r="B40" t="s">
        <v>74</v>
      </c>
      <c r="C40" t="s">
        <v>111</v>
      </c>
      <c r="D40">
        <v>129403</v>
      </c>
      <c r="E40" t="s">
        <v>156</v>
      </c>
      <c r="F40" t="s">
        <v>157</v>
      </c>
      <c r="G40" t="s">
        <v>78</v>
      </c>
      <c r="H40" t="s">
        <v>79</v>
      </c>
      <c r="I40" t="s">
        <v>69</v>
      </c>
      <c r="J40" t="s">
        <v>114</v>
      </c>
      <c r="K40" t="s">
        <v>70</v>
      </c>
      <c r="L40" s="12" t="s">
        <v>71</v>
      </c>
      <c r="M40">
        <v>11</v>
      </c>
      <c r="N40">
        <v>8</v>
      </c>
      <c r="O40">
        <v>17</v>
      </c>
      <c r="P40">
        <v>9</v>
      </c>
      <c r="Q40">
        <v>13</v>
      </c>
      <c r="R40">
        <v>9</v>
      </c>
      <c r="S40">
        <v>12</v>
      </c>
      <c r="T40">
        <v>6</v>
      </c>
      <c r="U40">
        <v>12</v>
      </c>
      <c r="V40">
        <v>11</v>
      </c>
      <c r="W40">
        <v>6</v>
      </c>
      <c r="X40">
        <v>11</v>
      </c>
      <c r="Y40">
        <v>8</v>
      </c>
      <c r="Z40">
        <v>5</v>
      </c>
      <c r="AA40">
        <f t="shared" si="0"/>
        <v>79</v>
      </c>
      <c r="AB40">
        <f t="shared" si="0"/>
        <v>59</v>
      </c>
      <c r="AC40">
        <f t="shared" si="6"/>
        <v>138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2</v>
      </c>
      <c r="AJ40">
        <v>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f t="shared" si="2"/>
        <v>3</v>
      </c>
      <c r="AS40">
        <f t="shared" si="2"/>
        <v>3</v>
      </c>
      <c r="AT40">
        <f t="shared" si="7"/>
        <v>6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f t="shared" si="4"/>
        <v>3</v>
      </c>
      <c r="BH40">
        <f t="shared" si="4"/>
        <v>6</v>
      </c>
      <c r="BI40">
        <f t="shared" si="8"/>
        <v>9</v>
      </c>
    </row>
    <row r="41" spans="1:61">
      <c r="A41" t="s">
        <v>68</v>
      </c>
      <c r="B41" t="s">
        <v>74</v>
      </c>
      <c r="C41" t="s">
        <v>111</v>
      </c>
      <c r="D41">
        <v>129404</v>
      </c>
      <c r="E41" t="s">
        <v>158</v>
      </c>
      <c r="F41" t="s">
        <v>159</v>
      </c>
      <c r="G41" t="s">
        <v>78</v>
      </c>
      <c r="H41" t="s">
        <v>79</v>
      </c>
      <c r="I41" t="s">
        <v>69</v>
      </c>
      <c r="J41" t="s">
        <v>160</v>
      </c>
      <c r="K41" t="s">
        <v>70</v>
      </c>
      <c r="L41" s="12" t="s">
        <v>71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f t="shared" si="0"/>
        <v>0</v>
      </c>
      <c r="AB41">
        <f t="shared" si="0"/>
        <v>0</v>
      </c>
      <c r="AC41">
        <f t="shared" si="6"/>
        <v>0</v>
      </c>
      <c r="AD41">
        <v>11</v>
      </c>
      <c r="AE41">
        <v>19</v>
      </c>
      <c r="AF41">
        <v>18</v>
      </c>
      <c r="AG41">
        <v>17</v>
      </c>
      <c r="AH41">
        <v>16</v>
      </c>
      <c r="AI41">
        <v>15</v>
      </c>
      <c r="AJ41">
        <v>16</v>
      </c>
      <c r="AK41">
        <v>12</v>
      </c>
      <c r="AL41">
        <v>15</v>
      </c>
      <c r="AM41">
        <v>13</v>
      </c>
      <c r="AN41">
        <v>18</v>
      </c>
      <c r="AO41">
        <v>15</v>
      </c>
      <c r="AP41">
        <v>15</v>
      </c>
      <c r="AQ41">
        <v>15</v>
      </c>
      <c r="AR41">
        <f t="shared" si="2"/>
        <v>109</v>
      </c>
      <c r="AS41">
        <f t="shared" si="2"/>
        <v>106</v>
      </c>
      <c r="AT41">
        <f t="shared" si="7"/>
        <v>215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f t="shared" si="4"/>
        <v>106</v>
      </c>
      <c r="BH41">
        <f t="shared" si="4"/>
        <v>215</v>
      </c>
      <c r="BI41">
        <f t="shared" si="8"/>
        <v>321</v>
      </c>
    </row>
    <row r="42" spans="1:61">
      <c r="A42" t="s">
        <v>68</v>
      </c>
      <c r="B42" t="s">
        <v>74</v>
      </c>
      <c r="C42" t="s">
        <v>111</v>
      </c>
      <c r="D42">
        <v>129405</v>
      </c>
      <c r="E42" t="s">
        <v>161</v>
      </c>
      <c r="F42" t="s">
        <v>162</v>
      </c>
      <c r="G42" t="s">
        <v>78</v>
      </c>
      <c r="H42" t="s">
        <v>79</v>
      </c>
      <c r="I42" t="s">
        <v>69</v>
      </c>
      <c r="J42" t="s">
        <v>163</v>
      </c>
      <c r="K42" t="s">
        <v>70</v>
      </c>
      <c r="L42" s="12" t="s">
        <v>71</v>
      </c>
      <c r="M42">
        <v>0</v>
      </c>
      <c r="N42">
        <v>1</v>
      </c>
      <c r="O42">
        <v>1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1</v>
      </c>
      <c r="AA42">
        <f t="shared" si="0"/>
        <v>4</v>
      </c>
      <c r="AB42">
        <f t="shared" si="0"/>
        <v>3</v>
      </c>
      <c r="AC42">
        <f t="shared" si="6"/>
        <v>7</v>
      </c>
      <c r="AD42">
        <v>22</v>
      </c>
      <c r="AE42">
        <v>22</v>
      </c>
      <c r="AF42">
        <v>37</v>
      </c>
      <c r="AG42">
        <v>32</v>
      </c>
      <c r="AH42">
        <v>27</v>
      </c>
      <c r="AI42">
        <v>28</v>
      </c>
      <c r="AJ42">
        <v>25</v>
      </c>
      <c r="AK42">
        <v>20</v>
      </c>
      <c r="AL42">
        <v>19</v>
      </c>
      <c r="AM42">
        <v>14</v>
      </c>
      <c r="AN42">
        <v>22</v>
      </c>
      <c r="AO42">
        <v>23</v>
      </c>
      <c r="AP42">
        <v>23</v>
      </c>
      <c r="AQ42">
        <v>27</v>
      </c>
      <c r="AR42">
        <f t="shared" si="2"/>
        <v>175</v>
      </c>
      <c r="AS42">
        <f t="shared" si="2"/>
        <v>166</v>
      </c>
      <c r="AT42">
        <f t="shared" si="7"/>
        <v>341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f t="shared" si="4"/>
        <v>166</v>
      </c>
      <c r="BH42">
        <f t="shared" si="4"/>
        <v>341</v>
      </c>
      <c r="BI42">
        <f t="shared" si="8"/>
        <v>507</v>
      </c>
    </row>
    <row r="43" spans="1:61">
      <c r="A43" t="s">
        <v>68</v>
      </c>
      <c r="B43" t="s">
        <v>74</v>
      </c>
      <c r="C43" t="s">
        <v>111</v>
      </c>
      <c r="D43">
        <v>129406</v>
      </c>
      <c r="E43" t="s">
        <v>164</v>
      </c>
      <c r="F43" t="s">
        <v>165</v>
      </c>
      <c r="G43" t="s">
        <v>78</v>
      </c>
      <c r="H43" t="s">
        <v>79</v>
      </c>
      <c r="I43" t="s">
        <v>69</v>
      </c>
      <c r="J43" t="s">
        <v>131</v>
      </c>
      <c r="K43" t="s">
        <v>70</v>
      </c>
      <c r="L43" s="12" t="s">
        <v>71</v>
      </c>
      <c r="M43">
        <v>3</v>
      </c>
      <c r="N43">
        <v>2</v>
      </c>
      <c r="O43">
        <v>2</v>
      </c>
      <c r="P43">
        <v>1</v>
      </c>
      <c r="Q43">
        <v>4</v>
      </c>
      <c r="R43">
        <v>6</v>
      </c>
      <c r="S43">
        <v>4</v>
      </c>
      <c r="T43">
        <v>3</v>
      </c>
      <c r="U43">
        <v>3</v>
      </c>
      <c r="V43">
        <v>2</v>
      </c>
      <c r="W43">
        <v>2</v>
      </c>
      <c r="X43">
        <v>3</v>
      </c>
      <c r="Y43">
        <v>5</v>
      </c>
      <c r="Z43">
        <v>4</v>
      </c>
      <c r="AA43">
        <f t="shared" si="0"/>
        <v>23</v>
      </c>
      <c r="AB43">
        <f t="shared" si="0"/>
        <v>21</v>
      </c>
      <c r="AC43">
        <f t="shared" si="6"/>
        <v>44</v>
      </c>
      <c r="AD43">
        <v>10</v>
      </c>
      <c r="AE43">
        <v>19</v>
      </c>
      <c r="AF43">
        <v>9</v>
      </c>
      <c r="AG43">
        <v>3</v>
      </c>
      <c r="AH43">
        <v>10</v>
      </c>
      <c r="AI43">
        <v>14</v>
      </c>
      <c r="AJ43">
        <v>7</v>
      </c>
      <c r="AK43">
        <v>10</v>
      </c>
      <c r="AL43">
        <v>12</v>
      </c>
      <c r="AM43">
        <v>5</v>
      </c>
      <c r="AN43">
        <v>11</v>
      </c>
      <c r="AO43">
        <v>9</v>
      </c>
      <c r="AP43">
        <v>23</v>
      </c>
      <c r="AQ43">
        <v>10</v>
      </c>
      <c r="AR43">
        <f t="shared" si="2"/>
        <v>82</v>
      </c>
      <c r="AS43">
        <f t="shared" si="2"/>
        <v>70</v>
      </c>
      <c r="AT43">
        <f t="shared" si="7"/>
        <v>152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f t="shared" si="4"/>
        <v>70</v>
      </c>
      <c r="BH43">
        <f t="shared" si="4"/>
        <v>152</v>
      </c>
      <c r="BI43">
        <f t="shared" si="8"/>
        <v>222</v>
      </c>
    </row>
    <row r="44" spans="1:61">
      <c r="A44" t="s">
        <v>68</v>
      </c>
      <c r="B44" t="s">
        <v>74</v>
      </c>
      <c r="C44" t="s">
        <v>111</v>
      </c>
      <c r="D44">
        <v>129407</v>
      </c>
      <c r="E44" t="s">
        <v>166</v>
      </c>
      <c r="F44" t="s">
        <v>167</v>
      </c>
      <c r="G44" t="s">
        <v>78</v>
      </c>
      <c r="H44" t="s">
        <v>79</v>
      </c>
      <c r="I44" t="s">
        <v>69</v>
      </c>
      <c r="J44" t="s">
        <v>143</v>
      </c>
      <c r="K44" t="s">
        <v>70</v>
      </c>
      <c r="L44" s="12" t="s">
        <v>71</v>
      </c>
      <c r="M44">
        <v>0</v>
      </c>
      <c r="N44">
        <v>1</v>
      </c>
      <c r="O44">
        <v>1</v>
      </c>
      <c r="P44">
        <v>0</v>
      </c>
      <c r="Q44">
        <v>1</v>
      </c>
      <c r="R44">
        <v>0</v>
      </c>
      <c r="S44">
        <v>1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f t="shared" si="0"/>
        <v>3</v>
      </c>
      <c r="AB44">
        <f t="shared" si="0"/>
        <v>3</v>
      </c>
      <c r="AC44">
        <f t="shared" si="6"/>
        <v>6</v>
      </c>
      <c r="AD44">
        <v>12</v>
      </c>
      <c r="AE44">
        <v>12</v>
      </c>
      <c r="AF44">
        <v>14</v>
      </c>
      <c r="AG44">
        <v>29</v>
      </c>
      <c r="AH44">
        <v>15</v>
      </c>
      <c r="AI44">
        <v>20</v>
      </c>
      <c r="AJ44">
        <v>12</v>
      </c>
      <c r="AK44">
        <v>9</v>
      </c>
      <c r="AL44">
        <v>25</v>
      </c>
      <c r="AM44">
        <v>16</v>
      </c>
      <c r="AN44">
        <v>19</v>
      </c>
      <c r="AO44">
        <v>18</v>
      </c>
      <c r="AP44">
        <v>22</v>
      </c>
      <c r="AQ44">
        <v>27</v>
      </c>
      <c r="AR44">
        <f t="shared" si="2"/>
        <v>119</v>
      </c>
      <c r="AS44">
        <f t="shared" si="2"/>
        <v>131</v>
      </c>
      <c r="AT44">
        <f t="shared" si="7"/>
        <v>250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f t="shared" si="4"/>
        <v>131</v>
      </c>
      <c r="BH44">
        <f t="shared" si="4"/>
        <v>250</v>
      </c>
      <c r="BI44">
        <f t="shared" si="8"/>
        <v>381</v>
      </c>
    </row>
    <row r="45" spans="1:61">
      <c r="A45" t="s">
        <v>68</v>
      </c>
      <c r="B45" t="s">
        <v>74</v>
      </c>
      <c r="C45" t="s">
        <v>111</v>
      </c>
      <c r="D45">
        <v>129408</v>
      </c>
      <c r="E45" t="s">
        <v>168</v>
      </c>
      <c r="F45" t="s">
        <v>169</v>
      </c>
      <c r="G45" t="s">
        <v>78</v>
      </c>
      <c r="H45" t="s">
        <v>79</v>
      </c>
      <c r="I45" t="s">
        <v>69</v>
      </c>
      <c r="J45" t="s">
        <v>146</v>
      </c>
      <c r="K45" t="s">
        <v>70</v>
      </c>
      <c r="L45" s="12" t="s">
        <v>71</v>
      </c>
      <c r="M45">
        <v>0</v>
      </c>
      <c r="N45">
        <v>1</v>
      </c>
      <c r="O45">
        <v>0</v>
      </c>
      <c r="P45">
        <v>1</v>
      </c>
      <c r="Q45">
        <v>1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f t="shared" si="0"/>
        <v>3</v>
      </c>
      <c r="AB45">
        <f t="shared" si="0"/>
        <v>2</v>
      </c>
      <c r="AC45">
        <f t="shared" si="6"/>
        <v>5</v>
      </c>
      <c r="AD45">
        <v>7</v>
      </c>
      <c r="AE45">
        <v>6</v>
      </c>
      <c r="AF45">
        <v>12</v>
      </c>
      <c r="AG45">
        <v>18</v>
      </c>
      <c r="AH45">
        <v>9</v>
      </c>
      <c r="AI45">
        <v>11</v>
      </c>
      <c r="AJ45">
        <v>13</v>
      </c>
      <c r="AK45">
        <v>16</v>
      </c>
      <c r="AL45">
        <v>11</v>
      </c>
      <c r="AM45">
        <v>11</v>
      </c>
      <c r="AN45">
        <v>10</v>
      </c>
      <c r="AO45">
        <v>8</v>
      </c>
      <c r="AP45">
        <v>12</v>
      </c>
      <c r="AQ45">
        <v>4</v>
      </c>
      <c r="AR45">
        <f t="shared" si="2"/>
        <v>74</v>
      </c>
      <c r="AS45">
        <f t="shared" si="2"/>
        <v>74</v>
      </c>
      <c r="AT45">
        <f t="shared" si="7"/>
        <v>148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f t="shared" si="4"/>
        <v>74</v>
      </c>
      <c r="BH45">
        <f t="shared" si="4"/>
        <v>148</v>
      </c>
      <c r="BI45">
        <f t="shared" si="8"/>
        <v>222</v>
      </c>
    </row>
    <row r="46" spans="1:61">
      <c r="A46" t="s">
        <v>68</v>
      </c>
      <c r="B46" t="s">
        <v>74</v>
      </c>
      <c r="C46" t="s">
        <v>111</v>
      </c>
      <c r="D46">
        <v>129409</v>
      </c>
      <c r="E46" t="s">
        <v>170</v>
      </c>
      <c r="F46" t="s">
        <v>171</v>
      </c>
      <c r="G46" t="s">
        <v>78</v>
      </c>
      <c r="H46" t="s">
        <v>79</v>
      </c>
      <c r="I46" t="s">
        <v>69</v>
      </c>
      <c r="J46" t="s">
        <v>172</v>
      </c>
      <c r="K46" t="s">
        <v>70</v>
      </c>
      <c r="L46" s="12" t="s">
        <v>71</v>
      </c>
      <c r="M46">
        <v>2</v>
      </c>
      <c r="N46">
        <v>0</v>
      </c>
      <c r="O46">
        <v>3</v>
      </c>
      <c r="P46">
        <v>2</v>
      </c>
      <c r="Q46">
        <v>1</v>
      </c>
      <c r="R46">
        <v>0</v>
      </c>
      <c r="S46">
        <v>2</v>
      </c>
      <c r="T46">
        <v>2</v>
      </c>
      <c r="U46">
        <v>3</v>
      </c>
      <c r="V46">
        <v>2</v>
      </c>
      <c r="W46">
        <v>1</v>
      </c>
      <c r="X46">
        <v>0</v>
      </c>
      <c r="Y46">
        <v>3</v>
      </c>
      <c r="Z46">
        <v>0</v>
      </c>
      <c r="AA46">
        <f t="shared" si="0"/>
        <v>15</v>
      </c>
      <c r="AB46">
        <f t="shared" si="0"/>
        <v>6</v>
      </c>
      <c r="AC46">
        <f t="shared" si="6"/>
        <v>21</v>
      </c>
      <c r="AD46">
        <v>54</v>
      </c>
      <c r="AE46">
        <v>52</v>
      </c>
      <c r="AF46">
        <v>43</v>
      </c>
      <c r="AG46">
        <v>55</v>
      </c>
      <c r="AH46">
        <v>57</v>
      </c>
      <c r="AI46">
        <v>48</v>
      </c>
      <c r="AJ46">
        <v>40</v>
      </c>
      <c r="AK46">
        <v>40</v>
      </c>
      <c r="AL46">
        <v>41</v>
      </c>
      <c r="AM46">
        <v>30</v>
      </c>
      <c r="AN46">
        <v>44</v>
      </c>
      <c r="AO46">
        <v>50</v>
      </c>
      <c r="AP46">
        <v>45</v>
      </c>
      <c r="AQ46">
        <v>40</v>
      </c>
      <c r="AR46">
        <f t="shared" si="2"/>
        <v>324</v>
      </c>
      <c r="AS46">
        <f t="shared" si="2"/>
        <v>315</v>
      </c>
      <c r="AT46">
        <f t="shared" si="7"/>
        <v>639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f t="shared" si="4"/>
        <v>315</v>
      </c>
      <c r="BH46">
        <f t="shared" si="4"/>
        <v>639</v>
      </c>
      <c r="BI46">
        <f t="shared" si="8"/>
        <v>954</v>
      </c>
    </row>
    <row r="47" spans="1:61">
      <c r="A47" t="s">
        <v>68</v>
      </c>
      <c r="B47" t="s">
        <v>74</v>
      </c>
      <c r="C47" t="s">
        <v>111</v>
      </c>
      <c r="D47">
        <v>257001</v>
      </c>
      <c r="E47" t="s">
        <v>173</v>
      </c>
      <c r="F47" t="s">
        <v>174</v>
      </c>
      <c r="G47" t="s">
        <v>78</v>
      </c>
      <c r="H47" t="s">
        <v>79</v>
      </c>
      <c r="I47" t="s">
        <v>69</v>
      </c>
      <c r="J47" t="s">
        <v>123</v>
      </c>
      <c r="K47" t="s">
        <v>70</v>
      </c>
      <c r="L47" s="12" t="s">
        <v>71</v>
      </c>
      <c r="M47">
        <v>0</v>
      </c>
      <c r="N47">
        <v>0</v>
      </c>
      <c r="O47">
        <v>0</v>
      </c>
      <c r="P47">
        <v>0</v>
      </c>
      <c r="Q47">
        <v>3</v>
      </c>
      <c r="R47">
        <v>1</v>
      </c>
      <c r="S47">
        <v>2</v>
      </c>
      <c r="T47">
        <v>0</v>
      </c>
      <c r="U47">
        <v>2</v>
      </c>
      <c r="V47">
        <v>2</v>
      </c>
      <c r="W47">
        <v>3</v>
      </c>
      <c r="X47">
        <v>2</v>
      </c>
      <c r="Y47">
        <v>1</v>
      </c>
      <c r="Z47">
        <v>1</v>
      </c>
      <c r="AA47">
        <f t="shared" si="0"/>
        <v>11</v>
      </c>
      <c r="AB47">
        <f t="shared" si="0"/>
        <v>6</v>
      </c>
      <c r="AC47">
        <f t="shared" si="6"/>
        <v>17</v>
      </c>
      <c r="AD47">
        <v>32</v>
      </c>
      <c r="AE47">
        <v>31</v>
      </c>
      <c r="AF47">
        <v>44</v>
      </c>
      <c r="AG47">
        <v>40</v>
      </c>
      <c r="AH47">
        <v>38</v>
      </c>
      <c r="AI47">
        <v>34</v>
      </c>
      <c r="AJ47">
        <v>23</v>
      </c>
      <c r="AK47">
        <v>32</v>
      </c>
      <c r="AL47">
        <v>31</v>
      </c>
      <c r="AM47">
        <v>31</v>
      </c>
      <c r="AN47">
        <v>24</v>
      </c>
      <c r="AO47">
        <v>23</v>
      </c>
      <c r="AP47">
        <v>27</v>
      </c>
      <c r="AQ47">
        <v>27</v>
      </c>
      <c r="AR47">
        <f t="shared" si="2"/>
        <v>219</v>
      </c>
      <c r="AS47">
        <f t="shared" si="2"/>
        <v>218</v>
      </c>
      <c r="AT47">
        <f t="shared" si="7"/>
        <v>437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f t="shared" si="4"/>
        <v>218</v>
      </c>
      <c r="BH47">
        <f t="shared" si="4"/>
        <v>437</v>
      </c>
      <c r="BI47">
        <f t="shared" si="8"/>
        <v>655</v>
      </c>
    </row>
    <row r="48" spans="1:61">
      <c r="A48" t="s">
        <v>68</v>
      </c>
      <c r="B48" t="s">
        <v>74</v>
      </c>
      <c r="C48" t="s">
        <v>175</v>
      </c>
      <c r="D48">
        <v>102157</v>
      </c>
      <c r="E48" t="s">
        <v>176</v>
      </c>
      <c r="F48" t="s">
        <v>177</v>
      </c>
      <c r="G48" t="s">
        <v>78</v>
      </c>
      <c r="H48" t="s">
        <v>79</v>
      </c>
      <c r="I48" t="s">
        <v>69</v>
      </c>
      <c r="J48" t="s">
        <v>178</v>
      </c>
      <c r="K48" t="s">
        <v>70</v>
      </c>
      <c r="L48" s="12" t="s">
        <v>71</v>
      </c>
      <c r="M48">
        <v>2</v>
      </c>
      <c r="N48">
        <v>1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2</v>
      </c>
      <c r="V48">
        <v>0</v>
      </c>
      <c r="W48">
        <v>0</v>
      </c>
      <c r="X48">
        <v>1</v>
      </c>
      <c r="Y48">
        <v>0</v>
      </c>
      <c r="Z48">
        <v>0</v>
      </c>
      <c r="AA48">
        <f t="shared" si="0"/>
        <v>5</v>
      </c>
      <c r="AB48">
        <f t="shared" si="0"/>
        <v>3</v>
      </c>
      <c r="AC48">
        <f t="shared" si="6"/>
        <v>8</v>
      </c>
      <c r="AD48">
        <v>24</v>
      </c>
      <c r="AE48">
        <v>22</v>
      </c>
      <c r="AF48">
        <v>17</v>
      </c>
      <c r="AG48">
        <v>26</v>
      </c>
      <c r="AH48">
        <v>28</v>
      </c>
      <c r="AI48">
        <v>22</v>
      </c>
      <c r="AJ48">
        <v>25</v>
      </c>
      <c r="AK48">
        <v>20</v>
      </c>
      <c r="AL48">
        <v>14</v>
      </c>
      <c r="AM48">
        <v>18</v>
      </c>
      <c r="AN48">
        <v>21</v>
      </c>
      <c r="AO48">
        <v>22</v>
      </c>
      <c r="AP48">
        <v>18</v>
      </c>
      <c r="AQ48">
        <v>23</v>
      </c>
      <c r="AR48">
        <f t="shared" si="2"/>
        <v>147</v>
      </c>
      <c r="AS48">
        <f t="shared" si="2"/>
        <v>153</v>
      </c>
      <c r="AT48">
        <f t="shared" si="7"/>
        <v>300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f t="shared" si="4"/>
        <v>153</v>
      </c>
      <c r="BH48">
        <f t="shared" si="4"/>
        <v>300</v>
      </c>
      <c r="BI48">
        <f t="shared" si="8"/>
        <v>453</v>
      </c>
    </row>
    <row r="49" spans="1:61">
      <c r="A49" t="s">
        <v>68</v>
      </c>
      <c r="B49" t="s">
        <v>74</v>
      </c>
      <c r="C49" t="s">
        <v>175</v>
      </c>
      <c r="D49">
        <v>102164</v>
      </c>
      <c r="E49" t="s">
        <v>179</v>
      </c>
      <c r="F49" t="s">
        <v>180</v>
      </c>
      <c r="G49" t="s">
        <v>78</v>
      </c>
      <c r="H49" t="s">
        <v>79</v>
      </c>
      <c r="I49" t="s">
        <v>69</v>
      </c>
      <c r="J49" t="s">
        <v>181</v>
      </c>
      <c r="K49" t="s">
        <v>70</v>
      </c>
      <c r="L49" s="12" t="s">
        <v>71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1</v>
      </c>
      <c r="X49">
        <v>0</v>
      </c>
      <c r="Y49">
        <v>1</v>
      </c>
      <c r="Z49">
        <v>0</v>
      </c>
      <c r="AA49">
        <f t="shared" si="0"/>
        <v>3</v>
      </c>
      <c r="AB49">
        <f t="shared" si="0"/>
        <v>1</v>
      </c>
      <c r="AC49">
        <f t="shared" si="6"/>
        <v>4</v>
      </c>
      <c r="AD49">
        <v>9</v>
      </c>
      <c r="AE49">
        <v>6</v>
      </c>
      <c r="AF49">
        <v>8</v>
      </c>
      <c r="AG49">
        <v>7</v>
      </c>
      <c r="AH49">
        <v>5</v>
      </c>
      <c r="AI49">
        <v>5</v>
      </c>
      <c r="AJ49">
        <v>6</v>
      </c>
      <c r="AK49">
        <v>8</v>
      </c>
      <c r="AL49">
        <v>4</v>
      </c>
      <c r="AM49">
        <v>4</v>
      </c>
      <c r="AN49">
        <v>9</v>
      </c>
      <c r="AO49">
        <v>2</v>
      </c>
      <c r="AP49">
        <v>6</v>
      </c>
      <c r="AQ49">
        <v>5</v>
      </c>
      <c r="AR49">
        <f t="shared" si="2"/>
        <v>47</v>
      </c>
      <c r="AS49">
        <f t="shared" si="2"/>
        <v>37</v>
      </c>
      <c r="AT49">
        <f t="shared" si="7"/>
        <v>84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f t="shared" si="4"/>
        <v>37</v>
      </c>
      <c r="BH49">
        <f t="shared" si="4"/>
        <v>84</v>
      </c>
      <c r="BI49">
        <f t="shared" si="8"/>
        <v>121</v>
      </c>
    </row>
    <row r="50" spans="1:61">
      <c r="A50" t="s">
        <v>68</v>
      </c>
      <c r="B50" t="s">
        <v>74</v>
      </c>
      <c r="C50" t="s">
        <v>175</v>
      </c>
      <c r="D50">
        <v>129410</v>
      </c>
      <c r="E50" t="s">
        <v>182</v>
      </c>
      <c r="F50" t="s">
        <v>183</v>
      </c>
      <c r="G50" t="s">
        <v>78</v>
      </c>
      <c r="H50" t="s">
        <v>79</v>
      </c>
      <c r="I50" t="s">
        <v>69</v>
      </c>
      <c r="J50" t="s">
        <v>184</v>
      </c>
      <c r="K50" t="s">
        <v>70</v>
      </c>
      <c r="L50" s="12" t="s">
        <v>71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f t="shared" si="0"/>
        <v>1</v>
      </c>
      <c r="AB50">
        <f t="shared" si="0"/>
        <v>1</v>
      </c>
      <c r="AC50">
        <f t="shared" si="6"/>
        <v>2</v>
      </c>
      <c r="AD50">
        <v>11</v>
      </c>
      <c r="AE50">
        <v>14</v>
      </c>
      <c r="AF50">
        <v>16</v>
      </c>
      <c r="AG50">
        <v>14</v>
      </c>
      <c r="AH50">
        <v>12</v>
      </c>
      <c r="AI50">
        <v>15</v>
      </c>
      <c r="AJ50">
        <v>12</v>
      </c>
      <c r="AK50">
        <v>9</v>
      </c>
      <c r="AL50">
        <v>17</v>
      </c>
      <c r="AM50">
        <v>10</v>
      </c>
      <c r="AN50">
        <v>14</v>
      </c>
      <c r="AO50">
        <v>14</v>
      </c>
      <c r="AP50">
        <v>13</v>
      </c>
      <c r="AQ50">
        <v>13</v>
      </c>
      <c r="AR50">
        <f t="shared" si="2"/>
        <v>95</v>
      </c>
      <c r="AS50">
        <f t="shared" si="2"/>
        <v>89</v>
      </c>
      <c r="AT50">
        <f t="shared" si="7"/>
        <v>184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f t="shared" si="4"/>
        <v>89</v>
      </c>
      <c r="BH50">
        <f t="shared" si="4"/>
        <v>184</v>
      </c>
      <c r="BI50">
        <f t="shared" si="8"/>
        <v>273</v>
      </c>
    </row>
    <row r="51" spans="1:61">
      <c r="A51" t="s">
        <v>68</v>
      </c>
      <c r="B51" t="s">
        <v>74</v>
      </c>
      <c r="C51" t="s">
        <v>175</v>
      </c>
      <c r="D51">
        <v>129412</v>
      </c>
      <c r="E51" t="s">
        <v>185</v>
      </c>
      <c r="F51" t="s">
        <v>186</v>
      </c>
      <c r="G51" t="s">
        <v>78</v>
      </c>
      <c r="H51" t="s">
        <v>79</v>
      </c>
      <c r="I51" t="s">
        <v>69</v>
      </c>
      <c r="J51" t="s">
        <v>187</v>
      </c>
      <c r="K51" t="s">
        <v>70</v>
      </c>
      <c r="L51" s="12" t="s">
        <v>71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1</v>
      </c>
      <c r="T51">
        <v>0</v>
      </c>
      <c r="U51">
        <v>1</v>
      </c>
      <c r="V51">
        <v>0</v>
      </c>
      <c r="W51">
        <v>1</v>
      </c>
      <c r="X51">
        <v>1</v>
      </c>
      <c r="Y51">
        <v>0</v>
      </c>
      <c r="Z51">
        <v>0</v>
      </c>
      <c r="AA51">
        <f t="shared" si="0"/>
        <v>4</v>
      </c>
      <c r="AB51">
        <f t="shared" si="0"/>
        <v>2</v>
      </c>
      <c r="AC51">
        <f t="shared" si="6"/>
        <v>6</v>
      </c>
      <c r="AD51">
        <v>9</v>
      </c>
      <c r="AE51">
        <v>4</v>
      </c>
      <c r="AF51">
        <v>9</v>
      </c>
      <c r="AG51">
        <v>10</v>
      </c>
      <c r="AH51">
        <v>6</v>
      </c>
      <c r="AI51">
        <v>5</v>
      </c>
      <c r="AJ51">
        <v>7</v>
      </c>
      <c r="AK51">
        <v>6</v>
      </c>
      <c r="AL51">
        <v>8</v>
      </c>
      <c r="AM51">
        <v>4</v>
      </c>
      <c r="AN51">
        <v>9</v>
      </c>
      <c r="AO51">
        <v>7</v>
      </c>
      <c r="AP51">
        <v>5</v>
      </c>
      <c r="AQ51">
        <v>5</v>
      </c>
      <c r="AR51">
        <f t="shared" si="2"/>
        <v>53</v>
      </c>
      <c r="AS51">
        <f t="shared" si="2"/>
        <v>41</v>
      </c>
      <c r="AT51">
        <f t="shared" si="7"/>
        <v>94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f t="shared" si="4"/>
        <v>41</v>
      </c>
      <c r="BH51">
        <f t="shared" si="4"/>
        <v>94</v>
      </c>
      <c r="BI51">
        <f t="shared" si="8"/>
        <v>135</v>
      </c>
    </row>
    <row r="52" spans="1:61">
      <c r="A52" t="s">
        <v>68</v>
      </c>
      <c r="B52" t="s">
        <v>74</v>
      </c>
      <c r="C52" t="s">
        <v>175</v>
      </c>
      <c r="D52">
        <v>129413</v>
      </c>
      <c r="E52" t="s">
        <v>188</v>
      </c>
      <c r="F52" t="s">
        <v>189</v>
      </c>
      <c r="G52" t="s">
        <v>78</v>
      </c>
      <c r="H52" t="s">
        <v>79</v>
      </c>
      <c r="I52" t="s">
        <v>69</v>
      </c>
      <c r="J52" t="s">
        <v>184</v>
      </c>
      <c r="K52" t="s">
        <v>70</v>
      </c>
      <c r="L52" s="12" t="s">
        <v>71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1</v>
      </c>
      <c r="Z52">
        <v>1</v>
      </c>
      <c r="AA52">
        <f t="shared" si="0"/>
        <v>1</v>
      </c>
      <c r="AB52">
        <f t="shared" si="0"/>
        <v>5</v>
      </c>
      <c r="AC52">
        <f t="shared" si="6"/>
        <v>6</v>
      </c>
      <c r="AD52">
        <v>26</v>
      </c>
      <c r="AE52">
        <v>23</v>
      </c>
      <c r="AF52">
        <v>17</v>
      </c>
      <c r="AG52">
        <v>27</v>
      </c>
      <c r="AH52">
        <v>28</v>
      </c>
      <c r="AI52">
        <v>22</v>
      </c>
      <c r="AJ52">
        <v>26</v>
      </c>
      <c r="AK52">
        <v>20</v>
      </c>
      <c r="AL52">
        <v>16</v>
      </c>
      <c r="AM52">
        <v>18</v>
      </c>
      <c r="AN52">
        <v>21</v>
      </c>
      <c r="AO52">
        <v>23</v>
      </c>
      <c r="AP52">
        <v>18</v>
      </c>
      <c r="AQ52">
        <v>23</v>
      </c>
      <c r="AR52">
        <f t="shared" si="2"/>
        <v>152</v>
      </c>
      <c r="AS52">
        <f t="shared" si="2"/>
        <v>156</v>
      </c>
      <c r="AT52">
        <f t="shared" si="7"/>
        <v>308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f t="shared" si="4"/>
        <v>156</v>
      </c>
      <c r="BH52">
        <f t="shared" si="4"/>
        <v>308</v>
      </c>
      <c r="BI52">
        <f t="shared" si="8"/>
        <v>464</v>
      </c>
    </row>
    <row r="53" spans="1:61">
      <c r="A53" t="s">
        <v>68</v>
      </c>
      <c r="B53" t="s">
        <v>74</v>
      </c>
      <c r="C53" t="s">
        <v>175</v>
      </c>
      <c r="D53">
        <v>129414</v>
      </c>
      <c r="E53" t="s">
        <v>190</v>
      </c>
      <c r="F53" t="s">
        <v>191</v>
      </c>
      <c r="G53" t="s">
        <v>78</v>
      </c>
      <c r="H53" t="s">
        <v>79</v>
      </c>
      <c r="I53" t="s">
        <v>69</v>
      </c>
      <c r="J53" t="s">
        <v>192</v>
      </c>
      <c r="K53" t="s">
        <v>70</v>
      </c>
      <c r="L53" s="12" t="s">
        <v>71</v>
      </c>
      <c r="M53">
        <v>1</v>
      </c>
      <c r="N53">
        <v>0</v>
      </c>
      <c r="O53">
        <v>0</v>
      </c>
      <c r="P53">
        <v>1</v>
      </c>
      <c r="Q53">
        <v>1</v>
      </c>
      <c r="R53">
        <v>0</v>
      </c>
      <c r="S53">
        <v>1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1</v>
      </c>
      <c r="AA53">
        <f t="shared" si="0"/>
        <v>4</v>
      </c>
      <c r="AB53">
        <f t="shared" si="0"/>
        <v>3</v>
      </c>
      <c r="AC53">
        <f t="shared" si="6"/>
        <v>7</v>
      </c>
      <c r="AD53">
        <v>30</v>
      </c>
      <c r="AE53">
        <v>21</v>
      </c>
      <c r="AF53">
        <v>35</v>
      </c>
      <c r="AG53">
        <v>20</v>
      </c>
      <c r="AH53">
        <v>37</v>
      </c>
      <c r="AI53">
        <v>23</v>
      </c>
      <c r="AJ53">
        <v>21</v>
      </c>
      <c r="AK53">
        <v>29</v>
      </c>
      <c r="AL53">
        <v>33</v>
      </c>
      <c r="AM53">
        <v>24</v>
      </c>
      <c r="AN53">
        <v>24</v>
      </c>
      <c r="AO53">
        <v>25</v>
      </c>
      <c r="AP53">
        <v>29</v>
      </c>
      <c r="AQ53">
        <v>31</v>
      </c>
      <c r="AR53">
        <f t="shared" si="2"/>
        <v>209</v>
      </c>
      <c r="AS53">
        <f t="shared" si="2"/>
        <v>173</v>
      </c>
      <c r="AT53">
        <f t="shared" si="7"/>
        <v>382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f t="shared" si="4"/>
        <v>173</v>
      </c>
      <c r="BH53">
        <f t="shared" si="4"/>
        <v>382</v>
      </c>
      <c r="BI53">
        <f t="shared" si="8"/>
        <v>555</v>
      </c>
    </row>
    <row r="54" spans="1:61">
      <c r="A54" t="s">
        <v>68</v>
      </c>
      <c r="B54" t="s">
        <v>74</v>
      </c>
      <c r="C54" t="s">
        <v>175</v>
      </c>
      <c r="D54">
        <v>129417</v>
      </c>
      <c r="E54" t="s">
        <v>193</v>
      </c>
      <c r="F54" t="s">
        <v>194</v>
      </c>
      <c r="G54" t="s">
        <v>78</v>
      </c>
      <c r="H54" t="s">
        <v>79</v>
      </c>
      <c r="I54" t="s">
        <v>69</v>
      </c>
      <c r="J54" t="s">
        <v>178</v>
      </c>
      <c r="K54" t="s">
        <v>70</v>
      </c>
      <c r="L54" s="12" t="s">
        <v>71</v>
      </c>
      <c r="M54">
        <v>3</v>
      </c>
      <c r="N54">
        <v>2</v>
      </c>
      <c r="O54">
        <v>2</v>
      </c>
      <c r="P54">
        <v>1</v>
      </c>
      <c r="Q54">
        <v>0</v>
      </c>
      <c r="R54">
        <v>3</v>
      </c>
      <c r="S54">
        <v>2</v>
      </c>
      <c r="T54">
        <v>0</v>
      </c>
      <c r="U54">
        <v>1</v>
      </c>
      <c r="V54">
        <v>2</v>
      </c>
      <c r="W54">
        <v>0</v>
      </c>
      <c r="X54">
        <v>3</v>
      </c>
      <c r="Y54">
        <v>4</v>
      </c>
      <c r="Z54">
        <v>1</v>
      </c>
      <c r="AA54">
        <f t="shared" si="0"/>
        <v>12</v>
      </c>
      <c r="AB54">
        <f t="shared" si="0"/>
        <v>12</v>
      </c>
      <c r="AC54">
        <f t="shared" si="6"/>
        <v>24</v>
      </c>
      <c r="AD54">
        <v>35</v>
      </c>
      <c r="AE54">
        <v>13</v>
      </c>
      <c r="AF54">
        <v>50</v>
      </c>
      <c r="AG54">
        <v>38</v>
      </c>
      <c r="AH54">
        <v>46</v>
      </c>
      <c r="AI54">
        <v>41</v>
      </c>
      <c r="AJ54">
        <v>40</v>
      </c>
      <c r="AK54">
        <v>32</v>
      </c>
      <c r="AL54">
        <v>39</v>
      </c>
      <c r="AM54">
        <v>37</v>
      </c>
      <c r="AN54">
        <v>24</v>
      </c>
      <c r="AO54">
        <v>38</v>
      </c>
      <c r="AP54">
        <v>21</v>
      </c>
      <c r="AQ54">
        <v>28</v>
      </c>
      <c r="AR54">
        <f t="shared" si="2"/>
        <v>255</v>
      </c>
      <c r="AS54">
        <f t="shared" si="2"/>
        <v>227</v>
      </c>
      <c r="AT54">
        <f t="shared" si="7"/>
        <v>482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f t="shared" si="4"/>
        <v>227</v>
      </c>
      <c r="BH54">
        <f t="shared" si="4"/>
        <v>482</v>
      </c>
      <c r="BI54">
        <f t="shared" si="8"/>
        <v>709</v>
      </c>
    </row>
    <row r="55" spans="1:61">
      <c r="A55" t="s">
        <v>68</v>
      </c>
      <c r="B55" t="s">
        <v>74</v>
      </c>
      <c r="C55" t="s">
        <v>175</v>
      </c>
      <c r="D55">
        <v>129418</v>
      </c>
      <c r="E55" t="s">
        <v>195</v>
      </c>
      <c r="F55" t="s">
        <v>196</v>
      </c>
      <c r="G55" t="s">
        <v>78</v>
      </c>
      <c r="H55" t="s">
        <v>79</v>
      </c>
      <c r="I55" t="s">
        <v>69</v>
      </c>
      <c r="J55" t="s">
        <v>178</v>
      </c>
      <c r="K55" t="s">
        <v>70</v>
      </c>
      <c r="L55" s="12" t="s">
        <v>71</v>
      </c>
      <c r="M55">
        <v>0</v>
      </c>
      <c r="N55">
        <v>0</v>
      </c>
      <c r="O55">
        <v>2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1</v>
      </c>
      <c r="Z55">
        <v>0</v>
      </c>
      <c r="AA55">
        <f t="shared" si="0"/>
        <v>5</v>
      </c>
      <c r="AB55">
        <f t="shared" si="0"/>
        <v>2</v>
      </c>
      <c r="AC55">
        <f t="shared" si="6"/>
        <v>7</v>
      </c>
      <c r="AD55">
        <v>7</v>
      </c>
      <c r="AE55">
        <v>2</v>
      </c>
      <c r="AF55">
        <v>16</v>
      </c>
      <c r="AG55">
        <v>15</v>
      </c>
      <c r="AH55">
        <v>10</v>
      </c>
      <c r="AI55">
        <v>14</v>
      </c>
      <c r="AJ55">
        <v>5</v>
      </c>
      <c r="AK55">
        <v>5</v>
      </c>
      <c r="AL55">
        <v>8</v>
      </c>
      <c r="AM55">
        <v>9</v>
      </c>
      <c r="AN55">
        <v>9</v>
      </c>
      <c r="AO55">
        <v>8</v>
      </c>
      <c r="AP55">
        <v>6</v>
      </c>
      <c r="AQ55">
        <v>3</v>
      </c>
      <c r="AR55">
        <f t="shared" si="2"/>
        <v>61</v>
      </c>
      <c r="AS55">
        <f t="shared" si="2"/>
        <v>56</v>
      </c>
      <c r="AT55">
        <f t="shared" si="7"/>
        <v>117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f t="shared" si="4"/>
        <v>56</v>
      </c>
      <c r="BH55">
        <f t="shared" si="4"/>
        <v>117</v>
      </c>
      <c r="BI55">
        <f t="shared" si="8"/>
        <v>173</v>
      </c>
    </row>
    <row r="56" spans="1:61">
      <c r="A56" t="s">
        <v>68</v>
      </c>
      <c r="B56" t="s">
        <v>74</v>
      </c>
      <c r="C56" t="s">
        <v>175</v>
      </c>
      <c r="D56">
        <v>129419</v>
      </c>
      <c r="E56" t="s">
        <v>197</v>
      </c>
      <c r="F56" t="s">
        <v>198</v>
      </c>
      <c r="G56" t="s">
        <v>78</v>
      </c>
      <c r="H56" t="s">
        <v>79</v>
      </c>
      <c r="I56" t="s">
        <v>69</v>
      </c>
      <c r="J56" t="s">
        <v>199</v>
      </c>
      <c r="K56" t="s">
        <v>70</v>
      </c>
      <c r="L56" s="12" t="s">
        <v>71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f t="shared" si="0"/>
        <v>0</v>
      </c>
      <c r="AB56">
        <f t="shared" si="0"/>
        <v>0</v>
      </c>
      <c r="AC56">
        <f t="shared" si="6"/>
        <v>0</v>
      </c>
      <c r="AD56">
        <v>0</v>
      </c>
      <c r="AE56">
        <v>0</v>
      </c>
      <c r="AF56">
        <v>2</v>
      </c>
      <c r="AG56">
        <v>0</v>
      </c>
      <c r="AH56">
        <v>2</v>
      </c>
      <c r="AI56">
        <v>2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1</v>
      </c>
      <c r="AR56">
        <f t="shared" si="2"/>
        <v>6</v>
      </c>
      <c r="AS56">
        <f t="shared" si="2"/>
        <v>4</v>
      </c>
      <c r="AT56">
        <f t="shared" si="7"/>
        <v>10</v>
      </c>
      <c r="AU56">
        <v>28</v>
      </c>
      <c r="AV56">
        <v>28</v>
      </c>
      <c r="AW56">
        <v>37</v>
      </c>
      <c r="AX56">
        <v>26</v>
      </c>
      <c r="AY56">
        <v>20</v>
      </c>
      <c r="AZ56">
        <v>26</v>
      </c>
      <c r="BA56">
        <v>31</v>
      </c>
      <c r="BB56">
        <v>20</v>
      </c>
      <c r="BC56">
        <v>29</v>
      </c>
      <c r="BD56">
        <v>28</v>
      </c>
      <c r="BE56">
        <v>41</v>
      </c>
      <c r="BF56">
        <v>24</v>
      </c>
      <c r="BG56">
        <f t="shared" si="4"/>
        <v>190</v>
      </c>
      <c r="BH56">
        <f t="shared" si="4"/>
        <v>162</v>
      </c>
      <c r="BI56">
        <f t="shared" si="8"/>
        <v>352</v>
      </c>
    </row>
    <row r="57" spans="1:61">
      <c r="A57" t="s">
        <v>68</v>
      </c>
      <c r="B57" t="s">
        <v>74</v>
      </c>
      <c r="C57" t="s">
        <v>175</v>
      </c>
      <c r="D57">
        <v>129420</v>
      </c>
      <c r="E57" t="s">
        <v>200</v>
      </c>
      <c r="F57" t="s">
        <v>201</v>
      </c>
      <c r="G57" t="s">
        <v>78</v>
      </c>
      <c r="H57" t="s">
        <v>79</v>
      </c>
      <c r="I57" t="s">
        <v>69</v>
      </c>
      <c r="J57" t="s">
        <v>201</v>
      </c>
      <c r="K57" t="s">
        <v>70</v>
      </c>
      <c r="L57" s="12" t="s">
        <v>71</v>
      </c>
      <c r="M57">
        <v>2</v>
      </c>
      <c r="N57">
        <v>1</v>
      </c>
      <c r="O57">
        <v>2</v>
      </c>
      <c r="P57">
        <v>2</v>
      </c>
      <c r="Q57">
        <v>1</v>
      </c>
      <c r="R57">
        <v>2</v>
      </c>
      <c r="S57">
        <v>2</v>
      </c>
      <c r="T57">
        <v>1</v>
      </c>
      <c r="U57">
        <v>1</v>
      </c>
      <c r="V57">
        <v>2</v>
      </c>
      <c r="W57">
        <v>0</v>
      </c>
      <c r="X57">
        <v>2</v>
      </c>
      <c r="Y57">
        <v>2</v>
      </c>
      <c r="Z57">
        <v>0</v>
      </c>
      <c r="AA57">
        <f t="shared" si="0"/>
        <v>10</v>
      </c>
      <c r="AB57">
        <f t="shared" si="0"/>
        <v>10</v>
      </c>
      <c r="AC57">
        <f t="shared" si="6"/>
        <v>20</v>
      </c>
      <c r="AD57">
        <v>11</v>
      </c>
      <c r="AE57">
        <v>18</v>
      </c>
      <c r="AF57">
        <v>20</v>
      </c>
      <c r="AG57">
        <v>20</v>
      </c>
      <c r="AH57">
        <v>14</v>
      </c>
      <c r="AI57">
        <v>13</v>
      </c>
      <c r="AJ57">
        <v>11</v>
      </c>
      <c r="AK57">
        <v>8</v>
      </c>
      <c r="AL57">
        <v>18</v>
      </c>
      <c r="AM57">
        <v>8</v>
      </c>
      <c r="AN57">
        <v>9</v>
      </c>
      <c r="AO57">
        <v>12</v>
      </c>
      <c r="AP57">
        <v>9</v>
      </c>
      <c r="AQ57">
        <v>11</v>
      </c>
      <c r="AR57">
        <f t="shared" si="2"/>
        <v>92</v>
      </c>
      <c r="AS57">
        <f t="shared" si="2"/>
        <v>90</v>
      </c>
      <c r="AT57">
        <f t="shared" si="7"/>
        <v>182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f t="shared" si="4"/>
        <v>90</v>
      </c>
      <c r="BH57">
        <f t="shared" si="4"/>
        <v>182</v>
      </c>
      <c r="BI57">
        <f t="shared" si="8"/>
        <v>272</v>
      </c>
    </row>
    <row r="58" spans="1:61">
      <c r="A58" t="s">
        <v>68</v>
      </c>
      <c r="B58" t="s">
        <v>74</v>
      </c>
      <c r="C58" t="s">
        <v>175</v>
      </c>
      <c r="D58">
        <v>129421</v>
      </c>
      <c r="E58" t="s">
        <v>202</v>
      </c>
      <c r="F58" t="s">
        <v>203</v>
      </c>
      <c r="G58" t="s">
        <v>78</v>
      </c>
      <c r="H58" t="s">
        <v>79</v>
      </c>
      <c r="I58" t="s">
        <v>69</v>
      </c>
      <c r="J58" t="s">
        <v>184</v>
      </c>
      <c r="K58" t="s">
        <v>70</v>
      </c>
      <c r="L58" s="12" t="s">
        <v>71</v>
      </c>
      <c r="M58">
        <v>0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2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f t="shared" si="0"/>
        <v>2</v>
      </c>
      <c r="AB58">
        <f t="shared" si="0"/>
        <v>4</v>
      </c>
      <c r="AC58">
        <f t="shared" si="6"/>
        <v>6</v>
      </c>
      <c r="AD58">
        <v>4</v>
      </c>
      <c r="AE58">
        <v>8</v>
      </c>
      <c r="AF58">
        <v>12</v>
      </c>
      <c r="AG58">
        <v>10</v>
      </c>
      <c r="AH58">
        <v>9</v>
      </c>
      <c r="AI58">
        <v>9</v>
      </c>
      <c r="AJ58">
        <v>8</v>
      </c>
      <c r="AK58">
        <v>5</v>
      </c>
      <c r="AL58">
        <v>13</v>
      </c>
      <c r="AM58">
        <v>2</v>
      </c>
      <c r="AN58">
        <v>6</v>
      </c>
      <c r="AO58">
        <v>3</v>
      </c>
      <c r="AP58">
        <v>4</v>
      </c>
      <c r="AQ58">
        <v>5</v>
      </c>
      <c r="AR58">
        <f t="shared" si="2"/>
        <v>56</v>
      </c>
      <c r="AS58">
        <f t="shared" si="2"/>
        <v>42</v>
      </c>
      <c r="AT58">
        <f t="shared" si="7"/>
        <v>98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f t="shared" si="4"/>
        <v>42</v>
      </c>
      <c r="BH58">
        <f t="shared" si="4"/>
        <v>98</v>
      </c>
      <c r="BI58">
        <f t="shared" si="8"/>
        <v>140</v>
      </c>
    </row>
    <row r="59" spans="1:61">
      <c r="A59" t="s">
        <v>68</v>
      </c>
      <c r="B59" t="s">
        <v>74</v>
      </c>
      <c r="C59" t="s">
        <v>175</v>
      </c>
      <c r="D59">
        <v>129422</v>
      </c>
      <c r="E59" t="s">
        <v>204</v>
      </c>
      <c r="F59" t="s">
        <v>205</v>
      </c>
      <c r="G59" t="s">
        <v>78</v>
      </c>
      <c r="H59" t="s">
        <v>79</v>
      </c>
      <c r="I59" t="s">
        <v>69</v>
      </c>
      <c r="J59" t="s">
        <v>178</v>
      </c>
      <c r="K59" t="s">
        <v>70</v>
      </c>
      <c r="L59" s="12" t="s">
        <v>71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f t="shared" si="0"/>
        <v>2</v>
      </c>
      <c r="AB59">
        <f t="shared" si="0"/>
        <v>0</v>
      </c>
      <c r="AC59">
        <f t="shared" si="6"/>
        <v>2</v>
      </c>
      <c r="AD59">
        <v>8</v>
      </c>
      <c r="AE59">
        <v>4</v>
      </c>
      <c r="AF59">
        <v>22</v>
      </c>
      <c r="AG59">
        <v>15</v>
      </c>
      <c r="AH59">
        <v>14</v>
      </c>
      <c r="AI59">
        <v>12</v>
      </c>
      <c r="AJ59">
        <v>10</v>
      </c>
      <c r="AK59">
        <v>8</v>
      </c>
      <c r="AL59">
        <v>9</v>
      </c>
      <c r="AM59">
        <v>11</v>
      </c>
      <c r="AN59">
        <v>10</v>
      </c>
      <c r="AO59">
        <v>13</v>
      </c>
      <c r="AP59">
        <v>10</v>
      </c>
      <c r="AQ59">
        <v>9</v>
      </c>
      <c r="AR59">
        <f t="shared" si="2"/>
        <v>83</v>
      </c>
      <c r="AS59">
        <f t="shared" si="2"/>
        <v>72</v>
      </c>
      <c r="AT59">
        <f t="shared" si="7"/>
        <v>155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f t="shared" si="4"/>
        <v>72</v>
      </c>
      <c r="BH59">
        <f t="shared" si="4"/>
        <v>155</v>
      </c>
      <c r="BI59">
        <f t="shared" si="8"/>
        <v>227</v>
      </c>
    </row>
    <row r="60" spans="1:61">
      <c r="A60" t="s">
        <v>68</v>
      </c>
      <c r="B60" t="s">
        <v>74</v>
      </c>
      <c r="C60" t="s">
        <v>175</v>
      </c>
      <c r="D60">
        <v>501085</v>
      </c>
      <c r="E60" t="s">
        <v>206</v>
      </c>
      <c r="F60" t="s">
        <v>207</v>
      </c>
      <c r="G60" t="s">
        <v>78</v>
      </c>
      <c r="H60" t="s">
        <v>79</v>
      </c>
      <c r="I60" t="s">
        <v>69</v>
      </c>
      <c r="J60" t="s">
        <v>208</v>
      </c>
      <c r="K60" t="s">
        <v>72</v>
      </c>
      <c r="L60" s="12" t="s">
        <v>73</v>
      </c>
      <c r="M60">
        <v>0</v>
      </c>
      <c r="N60">
        <v>0</v>
      </c>
      <c r="O60">
        <v>1</v>
      </c>
      <c r="P60">
        <v>3</v>
      </c>
      <c r="Q60">
        <v>0</v>
      </c>
      <c r="R60">
        <v>1</v>
      </c>
      <c r="S60">
        <v>2</v>
      </c>
      <c r="T60">
        <v>0</v>
      </c>
      <c r="U60">
        <v>0</v>
      </c>
      <c r="V60">
        <v>1</v>
      </c>
      <c r="W60">
        <v>0</v>
      </c>
      <c r="X60">
        <v>0</v>
      </c>
      <c r="Y60">
        <v>1</v>
      </c>
      <c r="Z60">
        <v>1</v>
      </c>
      <c r="AA60">
        <f t="shared" si="0"/>
        <v>4</v>
      </c>
      <c r="AB60">
        <f t="shared" si="0"/>
        <v>6</v>
      </c>
      <c r="AC60">
        <f t="shared" si="6"/>
        <v>10</v>
      </c>
      <c r="AD60">
        <v>24</v>
      </c>
      <c r="AE60">
        <v>24</v>
      </c>
      <c r="AF60">
        <v>37</v>
      </c>
      <c r="AG60">
        <v>30</v>
      </c>
      <c r="AH60">
        <v>25</v>
      </c>
      <c r="AI60">
        <v>24</v>
      </c>
      <c r="AJ60">
        <v>32</v>
      </c>
      <c r="AK60">
        <v>23</v>
      </c>
      <c r="AL60">
        <v>22</v>
      </c>
      <c r="AM60">
        <v>34</v>
      </c>
      <c r="AN60">
        <v>27</v>
      </c>
      <c r="AO60">
        <v>30</v>
      </c>
      <c r="AP60">
        <v>29</v>
      </c>
      <c r="AQ60">
        <v>35</v>
      </c>
      <c r="AR60">
        <f t="shared" si="2"/>
        <v>196</v>
      </c>
      <c r="AS60">
        <f t="shared" si="2"/>
        <v>200</v>
      </c>
      <c r="AT60">
        <f t="shared" si="7"/>
        <v>396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f t="shared" si="4"/>
        <v>200</v>
      </c>
      <c r="BH60">
        <f t="shared" si="4"/>
        <v>396</v>
      </c>
      <c r="BI60">
        <f t="shared" si="8"/>
        <v>596</v>
      </c>
    </row>
    <row r="61" spans="1:61">
      <c r="A61" t="s">
        <v>68</v>
      </c>
      <c r="B61" t="s">
        <v>74</v>
      </c>
      <c r="C61" t="s">
        <v>175</v>
      </c>
      <c r="D61">
        <v>501086</v>
      </c>
      <c r="E61" t="s">
        <v>209</v>
      </c>
      <c r="F61" t="s">
        <v>210</v>
      </c>
      <c r="G61" t="s">
        <v>78</v>
      </c>
      <c r="H61" t="s">
        <v>79</v>
      </c>
      <c r="I61" t="s">
        <v>69</v>
      </c>
      <c r="J61" t="s">
        <v>211</v>
      </c>
      <c r="K61" t="s">
        <v>72</v>
      </c>
      <c r="L61" s="12" t="s">
        <v>73</v>
      </c>
      <c r="M61">
        <v>0</v>
      </c>
      <c r="N61">
        <v>2</v>
      </c>
      <c r="O61">
        <v>1</v>
      </c>
      <c r="P61">
        <v>1</v>
      </c>
      <c r="Q61">
        <v>2</v>
      </c>
      <c r="R61">
        <v>0</v>
      </c>
      <c r="S61">
        <v>3</v>
      </c>
      <c r="T61">
        <v>1</v>
      </c>
      <c r="U61">
        <v>3</v>
      </c>
      <c r="V61">
        <v>0</v>
      </c>
      <c r="W61">
        <v>2</v>
      </c>
      <c r="X61">
        <v>0</v>
      </c>
      <c r="Y61">
        <v>0</v>
      </c>
      <c r="Z61">
        <v>2</v>
      </c>
      <c r="AA61">
        <f t="shared" si="0"/>
        <v>11</v>
      </c>
      <c r="AB61">
        <f t="shared" si="0"/>
        <v>6</v>
      </c>
      <c r="AC61">
        <f t="shared" si="6"/>
        <v>17</v>
      </c>
      <c r="AD61">
        <v>14</v>
      </c>
      <c r="AE61">
        <v>13</v>
      </c>
      <c r="AF61">
        <v>22</v>
      </c>
      <c r="AG61">
        <v>13</v>
      </c>
      <c r="AH61">
        <v>15</v>
      </c>
      <c r="AI61">
        <v>11</v>
      </c>
      <c r="AJ61">
        <v>13</v>
      </c>
      <c r="AK61">
        <v>14</v>
      </c>
      <c r="AL61">
        <v>11</v>
      </c>
      <c r="AM61">
        <v>17</v>
      </c>
      <c r="AN61">
        <v>18</v>
      </c>
      <c r="AO61">
        <v>15</v>
      </c>
      <c r="AP61">
        <v>13</v>
      </c>
      <c r="AQ61">
        <v>7</v>
      </c>
      <c r="AR61">
        <f t="shared" si="2"/>
        <v>106</v>
      </c>
      <c r="AS61">
        <f t="shared" si="2"/>
        <v>90</v>
      </c>
      <c r="AT61">
        <f t="shared" si="7"/>
        <v>196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f t="shared" si="4"/>
        <v>90</v>
      </c>
      <c r="BH61">
        <f t="shared" si="4"/>
        <v>196</v>
      </c>
      <c r="BI61">
        <f t="shared" si="8"/>
        <v>286</v>
      </c>
    </row>
    <row r="62" spans="1:61">
      <c r="A62" t="s">
        <v>68</v>
      </c>
      <c r="B62" t="s">
        <v>74</v>
      </c>
      <c r="C62" t="s">
        <v>175</v>
      </c>
      <c r="D62">
        <v>501087</v>
      </c>
      <c r="E62" t="s">
        <v>212</v>
      </c>
      <c r="F62" t="s">
        <v>213</v>
      </c>
      <c r="G62" t="s">
        <v>78</v>
      </c>
      <c r="H62" t="s">
        <v>79</v>
      </c>
      <c r="I62" t="s">
        <v>69</v>
      </c>
      <c r="J62" t="s">
        <v>181</v>
      </c>
      <c r="K62" t="s">
        <v>72</v>
      </c>
      <c r="L62" s="12" t="s">
        <v>73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1</v>
      </c>
      <c r="Z62">
        <v>0</v>
      </c>
      <c r="AA62">
        <f t="shared" si="0"/>
        <v>2</v>
      </c>
      <c r="AB62">
        <f t="shared" si="0"/>
        <v>1</v>
      </c>
      <c r="AC62">
        <f t="shared" si="6"/>
        <v>3</v>
      </c>
      <c r="AD62">
        <v>10</v>
      </c>
      <c r="AE62">
        <v>9</v>
      </c>
      <c r="AF62">
        <v>18</v>
      </c>
      <c r="AG62">
        <v>19</v>
      </c>
      <c r="AH62">
        <v>20</v>
      </c>
      <c r="AI62">
        <v>15</v>
      </c>
      <c r="AJ62">
        <v>18</v>
      </c>
      <c r="AK62">
        <v>13</v>
      </c>
      <c r="AL62">
        <v>12</v>
      </c>
      <c r="AM62">
        <v>12</v>
      </c>
      <c r="AN62">
        <v>11</v>
      </c>
      <c r="AO62">
        <v>11</v>
      </c>
      <c r="AP62">
        <v>8</v>
      </c>
      <c r="AQ62">
        <v>16</v>
      </c>
      <c r="AR62">
        <f t="shared" si="2"/>
        <v>97</v>
      </c>
      <c r="AS62">
        <f t="shared" si="2"/>
        <v>95</v>
      </c>
      <c r="AT62">
        <f t="shared" si="7"/>
        <v>192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f t="shared" si="4"/>
        <v>95</v>
      </c>
      <c r="BH62">
        <f t="shared" si="4"/>
        <v>192</v>
      </c>
      <c r="BI62">
        <f t="shared" si="8"/>
        <v>287</v>
      </c>
    </row>
  </sheetData>
  <autoFilter ref="A8:BG62" xr:uid="{00000000-0009-0000-0000-000000000000}"/>
  <mergeCells count="26">
    <mergeCell ref="BA5:BB5"/>
    <mergeCell ref="BC5:BD5"/>
    <mergeCell ref="BE5:BF5"/>
    <mergeCell ref="BG5:BI5"/>
    <mergeCell ref="AN5:AO5"/>
    <mergeCell ref="AP5:AQ5"/>
    <mergeCell ref="AR5:AT5"/>
    <mergeCell ref="AU5:AV5"/>
    <mergeCell ref="AW5:AX5"/>
    <mergeCell ref="AY5:AZ5"/>
    <mergeCell ref="AA5:AC5"/>
    <mergeCell ref="AD5:AE5"/>
    <mergeCell ref="AF5:AG5"/>
    <mergeCell ref="AH5:AI5"/>
    <mergeCell ref="AJ5:AK5"/>
    <mergeCell ref="AL5:AM5"/>
    <mergeCell ref="M4:AC4"/>
    <mergeCell ref="AD4:AT4"/>
    <mergeCell ref="AU4:BI4"/>
    <mergeCell ref="M5:N5"/>
    <mergeCell ref="O5:P5"/>
    <mergeCell ref="Q5:R5"/>
    <mergeCell ref="S5:T5"/>
    <mergeCell ref="U5:V5"/>
    <mergeCell ref="W5:X5"/>
    <mergeCell ref="Y5:Z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0F77-6381-44A2-A27B-1DC20D86CFBA}">
  <dimension ref="A1:CM30"/>
  <sheetViews>
    <sheetView tabSelected="1" zoomScale="85" zoomScaleNormal="85" workbookViewId="0">
      <pane xSplit="4" ySplit="8" topLeftCell="E10" activePane="bottomRight" state="frozen"/>
      <selection activeCell="C67" sqref="C67"/>
      <selection pane="topRight" activeCell="C67" sqref="C67"/>
      <selection pane="bottomLeft" activeCell="C67" sqref="C67"/>
      <selection pane="bottomRight" activeCell="C67" sqref="C67"/>
    </sheetView>
  </sheetViews>
  <sheetFormatPr defaultRowHeight="15"/>
  <cols>
    <col min="2" max="2" width="27.140625" bestFit="1" customWidth="1"/>
  </cols>
  <sheetData>
    <row r="1" spans="1:91">
      <c r="A1" s="1" t="s">
        <v>215</v>
      </c>
    </row>
    <row r="2" spans="1:91">
      <c r="A2" s="1" t="s">
        <v>1</v>
      </c>
      <c r="L2" s="2"/>
      <c r="M2" s="2"/>
    </row>
    <row r="3" spans="1:91">
      <c r="A3" s="1" t="s">
        <v>2</v>
      </c>
      <c r="L3" s="2"/>
      <c r="M3" s="2"/>
    </row>
    <row r="4" spans="1:91">
      <c r="N4" s="3" t="s">
        <v>216</v>
      </c>
      <c r="O4" s="4"/>
      <c r="P4" s="4"/>
      <c r="Q4" s="4"/>
      <c r="R4" s="4"/>
      <c r="S4" s="4"/>
      <c r="T4" s="4"/>
      <c r="U4" s="4"/>
      <c r="V4" s="4"/>
      <c r="W4" s="4"/>
      <c r="X4" s="5"/>
      <c r="Y4" s="3" t="s">
        <v>217</v>
      </c>
      <c r="Z4" s="4"/>
      <c r="AA4" s="4"/>
      <c r="AB4" s="4"/>
      <c r="AC4" s="4"/>
      <c r="AD4" s="4"/>
      <c r="AE4" s="4"/>
      <c r="AF4" s="4"/>
      <c r="AG4" s="4"/>
      <c r="AH4" s="4"/>
      <c r="AI4" s="5"/>
      <c r="AJ4" s="3" t="s">
        <v>218</v>
      </c>
      <c r="AK4" s="4"/>
      <c r="AL4" s="4"/>
      <c r="AM4" s="4"/>
      <c r="AN4" s="4"/>
      <c r="AO4" s="4"/>
      <c r="AP4" s="4"/>
      <c r="AQ4" s="4"/>
      <c r="AR4" s="4"/>
      <c r="AS4" s="4"/>
      <c r="AT4" s="5"/>
      <c r="AU4" s="3" t="s">
        <v>219</v>
      </c>
      <c r="AV4" s="4"/>
      <c r="AW4" s="4"/>
      <c r="AX4" s="4"/>
      <c r="AY4" s="4"/>
      <c r="AZ4" s="4"/>
      <c r="BA4" s="4"/>
      <c r="BB4" s="4"/>
      <c r="BC4" s="4"/>
      <c r="BD4" s="4"/>
      <c r="BE4" s="5"/>
      <c r="BF4" s="3" t="s">
        <v>220</v>
      </c>
      <c r="BG4" s="4"/>
      <c r="BH4" s="4"/>
      <c r="BI4" s="4"/>
      <c r="BJ4" s="4"/>
      <c r="BK4" s="4"/>
      <c r="BL4" s="4"/>
      <c r="BM4" s="4"/>
      <c r="BN4" s="4"/>
      <c r="BO4" s="4"/>
      <c r="BP4" s="5"/>
      <c r="BQ4" s="3" t="s">
        <v>221</v>
      </c>
      <c r="BR4" s="4"/>
      <c r="BS4" s="4"/>
      <c r="BT4" s="4"/>
      <c r="BU4" s="4"/>
      <c r="BV4" s="4"/>
      <c r="BW4" s="4"/>
      <c r="BX4" s="4"/>
      <c r="BY4" s="4"/>
      <c r="BZ4" s="4"/>
      <c r="CA4" s="5"/>
      <c r="CB4" s="6" t="s">
        <v>222</v>
      </c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1">
      <c r="N5" s="6" t="s">
        <v>223</v>
      </c>
      <c r="O5" s="6"/>
      <c r="P5" s="6" t="s">
        <v>224</v>
      </c>
      <c r="Q5" s="6"/>
      <c r="R5" s="6" t="s">
        <v>225</v>
      </c>
      <c r="S5" s="6"/>
      <c r="T5" s="6" t="s">
        <v>226</v>
      </c>
      <c r="U5" s="6"/>
      <c r="V5" s="3" t="s">
        <v>13</v>
      </c>
      <c r="W5" s="4"/>
      <c r="X5" s="5"/>
      <c r="Y5" s="6" t="s">
        <v>223</v>
      </c>
      <c r="Z5" s="6"/>
      <c r="AA5" s="6" t="s">
        <v>224</v>
      </c>
      <c r="AB5" s="6"/>
      <c r="AC5" s="6" t="s">
        <v>225</v>
      </c>
      <c r="AD5" s="6"/>
      <c r="AE5" s="6" t="s">
        <v>226</v>
      </c>
      <c r="AF5" s="6"/>
      <c r="AG5" s="3" t="s">
        <v>13</v>
      </c>
      <c r="AH5" s="4"/>
      <c r="AI5" s="5"/>
      <c r="AJ5" s="6" t="s">
        <v>223</v>
      </c>
      <c r="AK5" s="6"/>
      <c r="AL5" s="6" t="s">
        <v>224</v>
      </c>
      <c r="AM5" s="6"/>
      <c r="AN5" s="6" t="s">
        <v>225</v>
      </c>
      <c r="AO5" s="6"/>
      <c r="AP5" s="6" t="s">
        <v>226</v>
      </c>
      <c r="AQ5" s="6"/>
      <c r="AR5" s="3" t="s">
        <v>13</v>
      </c>
      <c r="AS5" s="4"/>
      <c r="AT5" s="5"/>
      <c r="AU5" s="6" t="s">
        <v>223</v>
      </c>
      <c r="AV5" s="6"/>
      <c r="AW5" s="6" t="s">
        <v>224</v>
      </c>
      <c r="AX5" s="6"/>
      <c r="AY5" s="6" t="s">
        <v>225</v>
      </c>
      <c r="AZ5" s="6"/>
      <c r="BA5" s="6" t="s">
        <v>226</v>
      </c>
      <c r="BB5" s="6"/>
      <c r="BC5" s="3" t="s">
        <v>13</v>
      </c>
      <c r="BD5" s="4"/>
      <c r="BE5" s="5"/>
      <c r="BF5" s="6" t="s">
        <v>223</v>
      </c>
      <c r="BG5" s="6"/>
      <c r="BH5" s="6" t="s">
        <v>224</v>
      </c>
      <c r="BI5" s="6"/>
      <c r="BJ5" s="6" t="s">
        <v>225</v>
      </c>
      <c r="BK5" s="6"/>
      <c r="BL5" s="6" t="s">
        <v>226</v>
      </c>
      <c r="BM5" s="6"/>
      <c r="BN5" s="3" t="s">
        <v>13</v>
      </c>
      <c r="BO5" s="4"/>
      <c r="BP5" s="5"/>
      <c r="BQ5" s="6" t="s">
        <v>223</v>
      </c>
      <c r="BR5" s="6"/>
      <c r="BS5" s="6" t="s">
        <v>224</v>
      </c>
      <c r="BT5" s="6"/>
      <c r="BU5" s="6" t="s">
        <v>225</v>
      </c>
      <c r="BV5" s="6"/>
      <c r="BW5" s="6" t="s">
        <v>226</v>
      </c>
      <c r="BX5" s="6"/>
      <c r="BY5" s="3" t="s">
        <v>13</v>
      </c>
      <c r="BZ5" s="4"/>
      <c r="CA5" s="5"/>
      <c r="CB5" s="6" t="s">
        <v>223</v>
      </c>
      <c r="CC5" s="6"/>
      <c r="CD5" s="6" t="s">
        <v>224</v>
      </c>
      <c r="CE5" s="6"/>
      <c r="CF5" s="6" t="s">
        <v>225</v>
      </c>
      <c r="CG5" s="6"/>
      <c r="CH5" s="6" t="s">
        <v>226</v>
      </c>
      <c r="CI5" s="6"/>
      <c r="CJ5" s="3" t="s">
        <v>13</v>
      </c>
      <c r="CK5" s="4"/>
      <c r="CL5" s="5"/>
    </row>
    <row r="6" spans="1:91">
      <c r="N6" s="7" t="s">
        <v>14</v>
      </c>
      <c r="O6" s="7" t="s">
        <v>15</v>
      </c>
      <c r="P6" s="7" t="s">
        <v>14</v>
      </c>
      <c r="Q6" s="7" t="s">
        <v>15</v>
      </c>
      <c r="R6" s="7" t="s">
        <v>14</v>
      </c>
      <c r="S6" s="7" t="s">
        <v>15</v>
      </c>
      <c r="T6" s="7" t="s">
        <v>14</v>
      </c>
      <c r="U6" s="7" t="s">
        <v>15</v>
      </c>
      <c r="V6" s="7" t="s">
        <v>14</v>
      </c>
      <c r="W6" s="7" t="s">
        <v>15</v>
      </c>
      <c r="X6" s="7" t="s">
        <v>13</v>
      </c>
      <c r="Y6" s="7" t="s">
        <v>14</v>
      </c>
      <c r="Z6" s="7" t="s">
        <v>15</v>
      </c>
      <c r="AA6" s="7" t="s">
        <v>14</v>
      </c>
      <c r="AB6" s="7" t="s">
        <v>15</v>
      </c>
      <c r="AC6" s="7" t="s">
        <v>14</v>
      </c>
      <c r="AD6" s="7" t="s">
        <v>15</v>
      </c>
      <c r="AE6" s="7" t="s">
        <v>14</v>
      </c>
      <c r="AF6" s="7" t="s">
        <v>15</v>
      </c>
      <c r="AG6" s="7" t="s">
        <v>14</v>
      </c>
      <c r="AH6" s="7" t="s">
        <v>15</v>
      </c>
      <c r="AI6" s="7" t="s">
        <v>13</v>
      </c>
      <c r="AJ6" s="7" t="s">
        <v>14</v>
      </c>
      <c r="AK6" s="7" t="s">
        <v>15</v>
      </c>
      <c r="AL6" s="7" t="s">
        <v>14</v>
      </c>
      <c r="AM6" s="7" t="s">
        <v>15</v>
      </c>
      <c r="AN6" s="7" t="s">
        <v>14</v>
      </c>
      <c r="AO6" s="7" t="s">
        <v>15</v>
      </c>
      <c r="AP6" s="7" t="s">
        <v>14</v>
      </c>
      <c r="AQ6" s="7" t="s">
        <v>15</v>
      </c>
      <c r="AR6" s="7" t="s">
        <v>14</v>
      </c>
      <c r="AS6" s="7" t="s">
        <v>15</v>
      </c>
      <c r="AT6" s="7" t="s">
        <v>13</v>
      </c>
      <c r="AU6" s="7" t="s">
        <v>14</v>
      </c>
      <c r="AV6" s="7" t="s">
        <v>15</v>
      </c>
      <c r="AW6" s="7" t="s">
        <v>14</v>
      </c>
      <c r="AX6" s="7" t="s">
        <v>15</v>
      </c>
      <c r="AY6" s="7" t="s">
        <v>14</v>
      </c>
      <c r="AZ6" s="7" t="s">
        <v>15</v>
      </c>
      <c r="BA6" s="7" t="s">
        <v>14</v>
      </c>
      <c r="BB6" s="7" t="s">
        <v>15</v>
      </c>
      <c r="BC6" s="7" t="s">
        <v>14</v>
      </c>
      <c r="BD6" s="7" t="s">
        <v>15</v>
      </c>
      <c r="BE6" s="7" t="s">
        <v>13</v>
      </c>
      <c r="BF6" s="7" t="s">
        <v>14</v>
      </c>
      <c r="BG6" s="7" t="s">
        <v>15</v>
      </c>
      <c r="BH6" s="7" t="s">
        <v>14</v>
      </c>
      <c r="BI6" s="7" t="s">
        <v>15</v>
      </c>
      <c r="BJ6" s="7" t="s">
        <v>14</v>
      </c>
      <c r="BK6" s="7" t="s">
        <v>15</v>
      </c>
      <c r="BL6" s="7" t="s">
        <v>14</v>
      </c>
      <c r="BM6" s="7" t="s">
        <v>15</v>
      </c>
      <c r="BN6" s="7" t="s">
        <v>14</v>
      </c>
      <c r="BO6" s="7" t="s">
        <v>15</v>
      </c>
      <c r="BP6" s="7" t="s">
        <v>13</v>
      </c>
      <c r="BQ6" s="7" t="s">
        <v>14</v>
      </c>
      <c r="BR6" s="7" t="s">
        <v>15</v>
      </c>
      <c r="BS6" s="7" t="s">
        <v>14</v>
      </c>
      <c r="BT6" s="7" t="s">
        <v>15</v>
      </c>
      <c r="BU6" s="7" t="s">
        <v>14</v>
      </c>
      <c r="BV6" s="7" t="s">
        <v>15</v>
      </c>
      <c r="BW6" s="7" t="s">
        <v>14</v>
      </c>
      <c r="BX6" s="7" t="s">
        <v>15</v>
      </c>
      <c r="BY6" s="7" t="s">
        <v>14</v>
      </c>
      <c r="BZ6" s="7" t="s">
        <v>15</v>
      </c>
      <c r="CA6" s="7" t="s">
        <v>13</v>
      </c>
      <c r="CB6" s="13" t="s">
        <v>14</v>
      </c>
      <c r="CC6" s="13" t="s">
        <v>15</v>
      </c>
      <c r="CD6" s="13" t="s">
        <v>14</v>
      </c>
      <c r="CE6" s="13" t="s">
        <v>15</v>
      </c>
      <c r="CF6" s="13" t="s">
        <v>14</v>
      </c>
      <c r="CG6" s="13" t="s">
        <v>15</v>
      </c>
      <c r="CH6" s="13" t="s">
        <v>14</v>
      </c>
      <c r="CI6" s="13" t="s">
        <v>15</v>
      </c>
      <c r="CJ6" s="7" t="s">
        <v>14</v>
      </c>
      <c r="CK6" s="7" t="s">
        <v>15</v>
      </c>
      <c r="CL6" s="7" t="s">
        <v>13</v>
      </c>
    </row>
    <row r="7" spans="1:91">
      <c r="N7" s="7">
        <f>SUM(N9:N30)</f>
        <v>42</v>
      </c>
      <c r="O7" s="7">
        <f>SUM(O9:O30)</f>
        <v>69</v>
      </c>
      <c r="P7" s="7">
        <f>SUM(P9:P30)</f>
        <v>40</v>
      </c>
      <c r="Q7" s="7">
        <f>SUM(Q9:Q30)</f>
        <v>66</v>
      </c>
      <c r="R7" s="7">
        <f>SUM(R9:R30)</f>
        <v>56</v>
      </c>
      <c r="S7" s="7">
        <f>SUM(S9:S30)</f>
        <v>67</v>
      </c>
      <c r="T7" s="7">
        <f>SUM(T9:T30)</f>
        <v>42</v>
      </c>
      <c r="U7" s="7">
        <f>SUM(U9:U30)</f>
        <v>59</v>
      </c>
      <c r="V7" s="7">
        <f>SUM(V9:V30)</f>
        <v>180</v>
      </c>
      <c r="W7" s="7">
        <f>SUM(W9:W30)</f>
        <v>261</v>
      </c>
      <c r="X7" s="7">
        <f>SUM(X9:X30)</f>
        <v>441</v>
      </c>
      <c r="Y7" s="7">
        <f>SUM(Y9:Y30)</f>
        <v>13</v>
      </c>
      <c r="Z7" s="7">
        <f>SUM(Z9:Z30)</f>
        <v>31</v>
      </c>
      <c r="AA7" s="7">
        <f>SUM(AA9:AA30)</f>
        <v>36</v>
      </c>
      <c r="AB7" s="7">
        <f>SUM(AB9:AB30)</f>
        <v>39</v>
      </c>
      <c r="AC7" s="7">
        <f>SUM(AC9:AC30)</f>
        <v>21</v>
      </c>
      <c r="AD7" s="7">
        <f>SUM(AD9:AD30)</f>
        <v>26</v>
      </c>
      <c r="AE7" s="7">
        <f>SUM(AE9:AE30)</f>
        <v>16</v>
      </c>
      <c r="AF7" s="7">
        <f>SUM(AF9:AF30)</f>
        <v>25</v>
      </c>
      <c r="AG7" s="7">
        <f>SUM(AG9:AG30)</f>
        <v>86</v>
      </c>
      <c r="AH7" s="7">
        <f>SUM(AH9:AH30)</f>
        <v>121</v>
      </c>
      <c r="AI7" s="7">
        <f>SUM(AI9:AI30)</f>
        <v>207</v>
      </c>
      <c r="AJ7" s="7">
        <f>SUM(AJ9:AJ30)</f>
        <v>0</v>
      </c>
      <c r="AK7" s="7">
        <f>SUM(AK9:AK30)</f>
        <v>0</v>
      </c>
      <c r="AL7" s="7">
        <f>SUM(AL9:AL30)</f>
        <v>0</v>
      </c>
      <c r="AM7" s="7">
        <f>SUM(AM9:AM30)</f>
        <v>0</v>
      </c>
      <c r="AN7" s="7">
        <f>SUM(AN9:AN30)</f>
        <v>0</v>
      </c>
      <c r="AO7" s="7">
        <f>SUM(AO9:AO30)</f>
        <v>0</v>
      </c>
      <c r="AP7" s="7">
        <f>SUM(AP9:AP30)</f>
        <v>0</v>
      </c>
      <c r="AQ7" s="7">
        <f>SUM(AQ9:AQ30)</f>
        <v>0</v>
      </c>
      <c r="AR7" s="7">
        <f>SUM(AR9:AR30)</f>
        <v>0</v>
      </c>
      <c r="AS7" s="7">
        <f>SUM(AS9:AS30)</f>
        <v>0</v>
      </c>
      <c r="AT7" s="7">
        <f>SUM(AT9:AT30)</f>
        <v>0</v>
      </c>
      <c r="AU7" s="7">
        <f>SUM(AU9:AU30)</f>
        <v>0</v>
      </c>
      <c r="AV7" s="7">
        <f>SUM(AV9:AV30)</f>
        <v>0</v>
      </c>
      <c r="AW7" s="7">
        <f>SUM(AW9:AW30)</f>
        <v>0</v>
      </c>
      <c r="AX7" s="7">
        <f>SUM(AX9:AX30)</f>
        <v>0</v>
      </c>
      <c r="AY7" s="7">
        <f>SUM(AY9:AY30)</f>
        <v>0</v>
      </c>
      <c r="AZ7" s="7">
        <f>SUM(AZ9:AZ30)</f>
        <v>0</v>
      </c>
      <c r="BA7" s="7">
        <f>SUM(BA9:BA30)</f>
        <v>0</v>
      </c>
      <c r="BB7" s="7">
        <f>SUM(BB9:BB30)</f>
        <v>0</v>
      </c>
      <c r="BC7" s="7">
        <f>SUM(BC9:BC30)</f>
        <v>0</v>
      </c>
      <c r="BD7" s="7">
        <f>SUM(BD9:BD30)</f>
        <v>0</v>
      </c>
      <c r="BE7" s="7">
        <f>SUM(BE9:BE30)</f>
        <v>0</v>
      </c>
      <c r="BF7" s="7">
        <f>SUM(BF9:BF30)</f>
        <v>0</v>
      </c>
      <c r="BG7" s="7">
        <f>SUM(BG9:BG30)</f>
        <v>0</v>
      </c>
      <c r="BH7" s="7">
        <f>SUM(BH9:BH30)</f>
        <v>0</v>
      </c>
      <c r="BI7" s="7">
        <f>SUM(BI9:BI30)</f>
        <v>0</v>
      </c>
      <c r="BJ7" s="7">
        <f>SUM(BJ9:BJ30)</f>
        <v>0</v>
      </c>
      <c r="BK7" s="7">
        <f>SUM(BK9:BK30)</f>
        <v>0</v>
      </c>
      <c r="BL7" s="7">
        <f>SUM(BL9:BL30)</f>
        <v>0</v>
      </c>
      <c r="BM7" s="7">
        <f>SUM(BM9:BM30)</f>
        <v>0</v>
      </c>
      <c r="BN7" s="7">
        <f>SUM(BN9:BN30)</f>
        <v>0</v>
      </c>
      <c r="BO7" s="7">
        <f>SUM(BO9:BO30)</f>
        <v>0</v>
      </c>
      <c r="BP7" s="7">
        <f>SUM(BP9:BP30)</f>
        <v>0</v>
      </c>
      <c r="BQ7" s="7">
        <f>SUM(BQ9:BQ30)</f>
        <v>0</v>
      </c>
      <c r="BR7" s="7">
        <f>SUM(BR9:BR30)</f>
        <v>0</v>
      </c>
      <c r="BS7" s="7">
        <f>SUM(BS9:BS30)</f>
        <v>0</v>
      </c>
      <c r="BT7" s="7">
        <f>SUM(BT9:BT30)</f>
        <v>0</v>
      </c>
      <c r="BU7" s="7">
        <f>SUM(BU9:BU30)</f>
        <v>0</v>
      </c>
      <c r="BV7" s="7">
        <f>SUM(BV9:BV30)</f>
        <v>0</v>
      </c>
      <c r="BW7" s="7">
        <f>SUM(BW9:BW30)</f>
        <v>0</v>
      </c>
      <c r="BX7" s="7">
        <f>SUM(BX9:BX30)</f>
        <v>0</v>
      </c>
      <c r="BY7" s="7">
        <f>SUM(BY9:BY30)</f>
        <v>0</v>
      </c>
      <c r="BZ7" s="7">
        <f>SUM(BZ9:BZ30)</f>
        <v>0</v>
      </c>
      <c r="CA7" s="7">
        <f>SUM(CA9:CA30)</f>
        <v>0</v>
      </c>
      <c r="CB7" s="7">
        <f>SUM(CB9:CB30)</f>
        <v>292</v>
      </c>
      <c r="CC7" s="7">
        <f>SUM(CC9:CC30)</f>
        <v>184</v>
      </c>
      <c r="CD7" s="7">
        <f>SUM(CD9:CD30)</f>
        <v>258</v>
      </c>
      <c r="CE7" s="7">
        <f>SUM(CE9:CE30)</f>
        <v>261</v>
      </c>
      <c r="CF7" s="7">
        <f>SUM(CF9:CF30)</f>
        <v>195</v>
      </c>
      <c r="CG7" s="7">
        <f>SUM(CG9:CG30)</f>
        <v>193</v>
      </c>
      <c r="CH7" s="7">
        <f>SUM(CH9:CH30)</f>
        <v>155</v>
      </c>
      <c r="CI7" s="7">
        <f>SUM(CI9:CI30)</f>
        <v>154</v>
      </c>
      <c r="CJ7" s="7">
        <f>SUM(CJ9:CJ30)</f>
        <v>900</v>
      </c>
      <c r="CK7" s="7">
        <f>SUM(CK9:CK30)</f>
        <v>792</v>
      </c>
      <c r="CL7" s="7">
        <f>SUM(CL9:CL30)</f>
        <v>1692</v>
      </c>
    </row>
    <row r="8" spans="1:91">
      <c r="A8" s="9" t="s">
        <v>16</v>
      </c>
      <c r="B8" s="9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9" t="s">
        <v>22</v>
      </c>
      <c r="H8" s="9" t="s">
        <v>23</v>
      </c>
      <c r="I8" s="9" t="s">
        <v>24</v>
      </c>
      <c r="J8" s="9" t="s">
        <v>25</v>
      </c>
      <c r="K8" s="9" t="s">
        <v>26</v>
      </c>
      <c r="L8" s="9" t="s">
        <v>227</v>
      </c>
      <c r="M8" s="10" t="s">
        <v>27</v>
      </c>
      <c r="N8" s="14" t="s">
        <v>228</v>
      </c>
      <c r="O8" s="14" t="s">
        <v>229</v>
      </c>
      <c r="P8" s="14" t="s">
        <v>230</v>
      </c>
      <c r="Q8" s="14" t="s">
        <v>231</v>
      </c>
      <c r="R8" s="14" t="s">
        <v>232</v>
      </c>
      <c r="S8" s="14" t="s">
        <v>233</v>
      </c>
      <c r="T8" s="14" t="s">
        <v>234</v>
      </c>
      <c r="U8" s="14" t="s">
        <v>235</v>
      </c>
      <c r="V8" s="7" t="s">
        <v>14</v>
      </c>
      <c r="W8" s="7" t="s">
        <v>15</v>
      </c>
      <c r="X8" s="7" t="s">
        <v>13</v>
      </c>
      <c r="Y8" s="14" t="s">
        <v>236</v>
      </c>
      <c r="Z8" s="14" t="s">
        <v>237</v>
      </c>
      <c r="AA8" s="14" t="s">
        <v>238</v>
      </c>
      <c r="AB8" s="14" t="s">
        <v>239</v>
      </c>
      <c r="AC8" s="14" t="s">
        <v>240</v>
      </c>
      <c r="AD8" s="14" t="s">
        <v>241</v>
      </c>
      <c r="AE8" s="14" t="s">
        <v>242</v>
      </c>
      <c r="AF8" s="14" t="s">
        <v>243</v>
      </c>
      <c r="AG8" s="7" t="s">
        <v>14</v>
      </c>
      <c r="AH8" s="7" t="s">
        <v>15</v>
      </c>
      <c r="AI8" s="7" t="s">
        <v>13</v>
      </c>
      <c r="AJ8" s="14" t="s">
        <v>244</v>
      </c>
      <c r="AK8" s="14" t="s">
        <v>245</v>
      </c>
      <c r="AL8" s="14" t="s">
        <v>246</v>
      </c>
      <c r="AM8" s="14" t="s">
        <v>247</v>
      </c>
      <c r="AN8" s="14" t="s">
        <v>248</v>
      </c>
      <c r="AO8" s="14" t="s">
        <v>249</v>
      </c>
      <c r="AP8" s="14" t="s">
        <v>250</v>
      </c>
      <c r="AQ8" s="14" t="s">
        <v>251</v>
      </c>
      <c r="AR8" s="7" t="s">
        <v>14</v>
      </c>
      <c r="AS8" s="7" t="s">
        <v>15</v>
      </c>
      <c r="AT8" s="7" t="s">
        <v>13</v>
      </c>
      <c r="AU8" s="14" t="s">
        <v>252</v>
      </c>
      <c r="AV8" s="14" t="s">
        <v>253</v>
      </c>
      <c r="AW8" s="14" t="s">
        <v>254</v>
      </c>
      <c r="AX8" s="14" t="s">
        <v>255</v>
      </c>
      <c r="AY8" s="14" t="s">
        <v>256</v>
      </c>
      <c r="AZ8" s="14" t="s">
        <v>257</v>
      </c>
      <c r="BA8" s="14" t="s">
        <v>258</v>
      </c>
      <c r="BB8" s="14" t="s">
        <v>259</v>
      </c>
      <c r="BC8" s="7" t="s">
        <v>14</v>
      </c>
      <c r="BD8" s="7" t="s">
        <v>15</v>
      </c>
      <c r="BE8" s="7" t="s">
        <v>13</v>
      </c>
      <c r="BF8" s="14" t="s">
        <v>260</v>
      </c>
      <c r="BG8" s="14" t="s">
        <v>261</v>
      </c>
      <c r="BH8" s="14" t="s">
        <v>262</v>
      </c>
      <c r="BI8" s="14" t="s">
        <v>263</v>
      </c>
      <c r="BJ8" s="14" t="s">
        <v>264</v>
      </c>
      <c r="BK8" s="14" t="s">
        <v>265</v>
      </c>
      <c r="BL8" s="14" t="s">
        <v>264</v>
      </c>
      <c r="BM8" s="14" t="s">
        <v>266</v>
      </c>
      <c r="BN8" s="7" t="s">
        <v>14</v>
      </c>
      <c r="BO8" s="7" t="s">
        <v>15</v>
      </c>
      <c r="BP8" s="7" t="s">
        <v>13</v>
      </c>
      <c r="BQ8" s="14" t="s">
        <v>267</v>
      </c>
      <c r="BR8" s="14" t="s">
        <v>268</v>
      </c>
      <c r="BS8" s="14" t="s">
        <v>269</v>
      </c>
      <c r="BT8" s="14" t="s">
        <v>255</v>
      </c>
      <c r="BU8" s="14" t="s">
        <v>270</v>
      </c>
      <c r="BV8" s="14" t="s">
        <v>271</v>
      </c>
      <c r="BW8" s="14" t="s">
        <v>272</v>
      </c>
      <c r="BX8" s="14" t="s">
        <v>273</v>
      </c>
      <c r="BY8" s="7" t="s">
        <v>14</v>
      </c>
      <c r="BZ8" s="7" t="s">
        <v>15</v>
      </c>
      <c r="CA8" s="7" t="s">
        <v>13</v>
      </c>
      <c r="CB8" s="14" t="s">
        <v>274</v>
      </c>
      <c r="CC8" s="14" t="s">
        <v>261</v>
      </c>
      <c r="CD8" s="14" t="s">
        <v>275</v>
      </c>
      <c r="CE8" s="14" t="s">
        <v>276</v>
      </c>
      <c r="CF8" s="14" t="s">
        <v>277</v>
      </c>
      <c r="CG8" s="14" t="s">
        <v>278</v>
      </c>
      <c r="CH8" s="14" t="s">
        <v>279</v>
      </c>
      <c r="CI8" s="14" t="s">
        <v>280</v>
      </c>
      <c r="CJ8" s="7" t="s">
        <v>14</v>
      </c>
      <c r="CK8" s="7" t="s">
        <v>15</v>
      </c>
      <c r="CL8" s="7" t="s">
        <v>13</v>
      </c>
      <c r="CM8" s="14" t="s">
        <v>281</v>
      </c>
    </row>
    <row r="9" spans="1:91">
      <c r="A9" t="s">
        <v>68</v>
      </c>
      <c r="B9" t="s">
        <v>74</v>
      </c>
      <c r="C9" t="s">
        <v>75</v>
      </c>
      <c r="D9">
        <v>304325</v>
      </c>
      <c r="E9" t="s">
        <v>288</v>
      </c>
      <c r="F9" t="s">
        <v>289</v>
      </c>
      <c r="G9" t="s">
        <v>78</v>
      </c>
      <c r="H9" t="s">
        <v>79</v>
      </c>
      <c r="I9" t="s">
        <v>69</v>
      </c>
      <c r="J9" t="s">
        <v>88</v>
      </c>
      <c r="K9" t="s">
        <v>282</v>
      </c>
      <c r="L9" t="s">
        <v>283</v>
      </c>
      <c r="M9" s="12" t="s">
        <v>284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f t="shared" ref="V9:W30" si="0">N9+P9+R9+T9</f>
        <v>0</v>
      </c>
      <c r="W9">
        <f t="shared" si="0"/>
        <v>0</v>
      </c>
      <c r="X9">
        <f t="shared" ref="X9:X30" si="1">SUM(V9:W9)</f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f t="shared" ref="AG9:AH30" si="2">Y9+AA9+AC9+AE9</f>
        <v>0</v>
      </c>
      <c r="AH9">
        <f t="shared" si="2"/>
        <v>0</v>
      </c>
      <c r="AI9">
        <f t="shared" ref="AI9:AI30" si="3">SUM(AG9:AH9)</f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f t="shared" ref="AR9:AS30" si="4">AJ9+AL9+AN9+AP9</f>
        <v>0</v>
      </c>
      <c r="AS9">
        <f t="shared" si="4"/>
        <v>0</v>
      </c>
      <c r="AT9">
        <f t="shared" ref="AT9:AT30" si="5">SUM(AR9:AS9)</f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f t="shared" ref="BC9:BD30" si="6">AU9+AW9+AY9+BA9</f>
        <v>0</v>
      </c>
      <c r="BD9">
        <f t="shared" si="6"/>
        <v>0</v>
      </c>
      <c r="BE9">
        <f t="shared" ref="BE9:BE30" si="7">SUM(BC9:BD9)</f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f t="shared" ref="BN9:BO30" si="8">BF9+BH9+BJ9+BL9</f>
        <v>0</v>
      </c>
      <c r="BO9">
        <f t="shared" si="8"/>
        <v>0</v>
      </c>
      <c r="BP9">
        <f t="shared" ref="BP9:BP30" si="9">SUM(BN9:BO9)</f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f t="shared" ref="BY9:BZ30" si="10">BQ9+BS9+BU9+BW9</f>
        <v>0</v>
      </c>
      <c r="BZ9">
        <f t="shared" si="10"/>
        <v>0</v>
      </c>
      <c r="CA9">
        <f t="shared" ref="CA9:CA30" si="11">SUM(BY9:BZ9)</f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f t="shared" ref="CJ9:CK30" si="12">CB9+CD9+CF9+CH9</f>
        <v>0</v>
      </c>
      <c r="CK9">
        <f t="shared" si="12"/>
        <v>0</v>
      </c>
      <c r="CL9">
        <f t="shared" ref="CL9:CL30" si="13">SUM(CJ9:CK9)</f>
        <v>0</v>
      </c>
    </row>
    <row r="10" spans="1:91">
      <c r="A10" t="s">
        <v>68</v>
      </c>
      <c r="B10" t="s">
        <v>74</v>
      </c>
      <c r="C10" t="s">
        <v>75</v>
      </c>
      <c r="D10">
        <v>304326</v>
      </c>
      <c r="E10" t="s">
        <v>290</v>
      </c>
      <c r="F10" t="s">
        <v>291</v>
      </c>
      <c r="G10" t="s">
        <v>78</v>
      </c>
      <c r="H10" t="s">
        <v>79</v>
      </c>
      <c r="I10" t="s">
        <v>69</v>
      </c>
      <c r="J10" t="s">
        <v>88</v>
      </c>
      <c r="K10" t="s">
        <v>282</v>
      </c>
      <c r="L10" t="s">
        <v>285</v>
      </c>
      <c r="M10" s="12" t="s">
        <v>284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f t="shared" si="0"/>
        <v>0</v>
      </c>
      <c r="W10">
        <f t="shared" si="0"/>
        <v>0</v>
      </c>
      <c r="X10">
        <f t="shared" si="1"/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f t="shared" si="2"/>
        <v>0</v>
      </c>
      <c r="AH10">
        <f t="shared" si="2"/>
        <v>0</v>
      </c>
      <c r="AI10">
        <f t="shared" si="3"/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f t="shared" si="4"/>
        <v>0</v>
      </c>
      <c r="AS10">
        <f t="shared" si="4"/>
        <v>0</v>
      </c>
      <c r="AT10">
        <f t="shared" si="5"/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f t="shared" si="6"/>
        <v>0</v>
      </c>
      <c r="BD10">
        <f t="shared" si="6"/>
        <v>0</v>
      </c>
      <c r="BE10">
        <f t="shared" si="7"/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f t="shared" si="8"/>
        <v>0</v>
      </c>
      <c r="BO10">
        <f t="shared" si="8"/>
        <v>0</v>
      </c>
      <c r="BP10">
        <f t="shared" si="9"/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f t="shared" si="10"/>
        <v>0</v>
      </c>
      <c r="BZ10">
        <f t="shared" si="10"/>
        <v>0</v>
      </c>
      <c r="CA10">
        <f t="shared" si="11"/>
        <v>0</v>
      </c>
      <c r="CB10">
        <v>165</v>
      </c>
      <c r="CC10">
        <v>104</v>
      </c>
      <c r="CD10">
        <v>144</v>
      </c>
      <c r="CE10">
        <v>149</v>
      </c>
      <c r="CF10">
        <v>126</v>
      </c>
      <c r="CG10">
        <v>101</v>
      </c>
      <c r="CH10">
        <v>89</v>
      </c>
      <c r="CI10">
        <v>83</v>
      </c>
      <c r="CJ10">
        <f t="shared" si="12"/>
        <v>524</v>
      </c>
      <c r="CK10">
        <f t="shared" si="12"/>
        <v>437</v>
      </c>
      <c r="CL10">
        <f t="shared" si="13"/>
        <v>961</v>
      </c>
    </row>
    <row r="11" spans="1:91">
      <c r="A11" t="s">
        <v>68</v>
      </c>
      <c r="B11" t="s">
        <v>74</v>
      </c>
      <c r="C11" t="s">
        <v>75</v>
      </c>
      <c r="D11">
        <v>305680</v>
      </c>
      <c r="E11" t="s">
        <v>292</v>
      </c>
      <c r="F11" t="s">
        <v>293</v>
      </c>
      <c r="G11" t="s">
        <v>78</v>
      </c>
      <c r="H11" t="s">
        <v>79</v>
      </c>
      <c r="I11" t="s">
        <v>69</v>
      </c>
      <c r="J11" t="s">
        <v>123</v>
      </c>
      <c r="K11" t="s">
        <v>286</v>
      </c>
      <c r="L11" t="s">
        <v>283</v>
      </c>
      <c r="M11" s="12" t="s">
        <v>287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f t="shared" si="0"/>
        <v>0</v>
      </c>
      <c r="W11">
        <f t="shared" si="0"/>
        <v>0</v>
      </c>
      <c r="X11">
        <f t="shared" si="1"/>
        <v>0</v>
      </c>
      <c r="Y11">
        <v>13</v>
      </c>
      <c r="Z11">
        <v>31</v>
      </c>
      <c r="AA11">
        <v>36</v>
      </c>
      <c r="AB11">
        <v>39</v>
      </c>
      <c r="AC11">
        <v>21</v>
      </c>
      <c r="AD11">
        <v>26</v>
      </c>
      <c r="AE11">
        <v>16</v>
      </c>
      <c r="AF11">
        <v>25</v>
      </c>
      <c r="AG11">
        <f t="shared" si="2"/>
        <v>86</v>
      </c>
      <c r="AH11">
        <f t="shared" si="2"/>
        <v>121</v>
      </c>
      <c r="AI11">
        <f t="shared" si="3"/>
        <v>207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f t="shared" si="4"/>
        <v>0</v>
      </c>
      <c r="AS11">
        <f t="shared" si="4"/>
        <v>0</v>
      </c>
      <c r="AT11">
        <f t="shared" si="5"/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f t="shared" si="6"/>
        <v>0</v>
      </c>
      <c r="BD11">
        <f t="shared" si="6"/>
        <v>0</v>
      </c>
      <c r="BE11">
        <f t="shared" si="7"/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f t="shared" si="8"/>
        <v>0</v>
      </c>
      <c r="BO11">
        <f t="shared" si="8"/>
        <v>0</v>
      </c>
      <c r="BP11">
        <f t="shared" si="9"/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f t="shared" si="10"/>
        <v>0</v>
      </c>
      <c r="BZ11">
        <f t="shared" si="10"/>
        <v>0</v>
      </c>
      <c r="CA11">
        <f t="shared" si="11"/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f t="shared" si="12"/>
        <v>0</v>
      </c>
      <c r="CK11">
        <f t="shared" si="12"/>
        <v>0</v>
      </c>
      <c r="CL11">
        <f t="shared" si="13"/>
        <v>0</v>
      </c>
    </row>
    <row r="12" spans="1:91">
      <c r="A12" t="s">
        <v>68</v>
      </c>
      <c r="B12" t="s">
        <v>74</v>
      </c>
      <c r="C12" t="s">
        <v>75</v>
      </c>
      <c r="D12">
        <v>325104</v>
      </c>
      <c r="E12" t="s">
        <v>294</v>
      </c>
      <c r="F12" t="s">
        <v>295</v>
      </c>
      <c r="G12" t="s">
        <v>78</v>
      </c>
      <c r="H12" t="s">
        <v>79</v>
      </c>
      <c r="I12" t="s">
        <v>69</v>
      </c>
      <c r="J12" t="s">
        <v>80</v>
      </c>
      <c r="K12" t="s">
        <v>282</v>
      </c>
      <c r="L12" t="s">
        <v>283</v>
      </c>
      <c r="M12" s="12" t="s">
        <v>284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f t="shared" si="0"/>
        <v>0</v>
      </c>
      <c r="W12">
        <f t="shared" si="0"/>
        <v>0</v>
      </c>
      <c r="X12">
        <f t="shared" si="1"/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f t="shared" si="2"/>
        <v>0</v>
      </c>
      <c r="AH12">
        <f t="shared" si="2"/>
        <v>0</v>
      </c>
      <c r="AI12">
        <f t="shared" si="3"/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f t="shared" si="4"/>
        <v>0</v>
      </c>
      <c r="AS12">
        <f t="shared" si="4"/>
        <v>0</v>
      </c>
      <c r="AT12">
        <f t="shared" si="5"/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f t="shared" si="6"/>
        <v>0</v>
      </c>
      <c r="BD12">
        <f t="shared" si="6"/>
        <v>0</v>
      </c>
      <c r="BE12">
        <f t="shared" si="7"/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f t="shared" si="8"/>
        <v>0</v>
      </c>
      <c r="BO12">
        <f t="shared" si="8"/>
        <v>0</v>
      </c>
      <c r="BP12">
        <f t="shared" si="9"/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f t="shared" si="10"/>
        <v>0</v>
      </c>
      <c r="BZ12">
        <f t="shared" si="10"/>
        <v>0</v>
      </c>
      <c r="CA12">
        <f t="shared" si="11"/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f t="shared" si="12"/>
        <v>0</v>
      </c>
      <c r="CK12">
        <f t="shared" si="12"/>
        <v>0</v>
      </c>
      <c r="CL12">
        <f t="shared" si="13"/>
        <v>0</v>
      </c>
    </row>
    <row r="13" spans="1:91">
      <c r="A13" t="s">
        <v>68</v>
      </c>
      <c r="B13" t="s">
        <v>74</v>
      </c>
      <c r="C13" t="s">
        <v>75</v>
      </c>
      <c r="D13">
        <v>500454</v>
      </c>
      <c r="E13" t="s">
        <v>104</v>
      </c>
      <c r="F13" t="s">
        <v>105</v>
      </c>
      <c r="G13" t="s">
        <v>78</v>
      </c>
      <c r="H13" t="s">
        <v>79</v>
      </c>
      <c r="I13" t="s">
        <v>69</v>
      </c>
      <c r="J13" t="s">
        <v>88</v>
      </c>
      <c r="K13" t="s">
        <v>106</v>
      </c>
      <c r="L13" t="s">
        <v>283</v>
      </c>
      <c r="M13" s="12" t="s">
        <v>107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f t="shared" si="0"/>
        <v>0</v>
      </c>
      <c r="W13">
        <f t="shared" si="0"/>
        <v>0</v>
      </c>
      <c r="X13">
        <f t="shared" si="1"/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f t="shared" si="2"/>
        <v>0</v>
      </c>
      <c r="AH13">
        <f t="shared" si="2"/>
        <v>0</v>
      </c>
      <c r="AI13">
        <f t="shared" si="3"/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f t="shared" si="4"/>
        <v>0</v>
      </c>
      <c r="AS13">
        <f t="shared" si="4"/>
        <v>0</v>
      </c>
      <c r="AT13">
        <f t="shared" si="5"/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f t="shared" si="6"/>
        <v>0</v>
      </c>
      <c r="BD13">
        <f t="shared" si="6"/>
        <v>0</v>
      </c>
      <c r="BE13">
        <f t="shared" si="7"/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f t="shared" si="8"/>
        <v>0</v>
      </c>
      <c r="BO13">
        <f t="shared" si="8"/>
        <v>0</v>
      </c>
      <c r="BP13">
        <f t="shared" si="9"/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f t="shared" si="10"/>
        <v>0</v>
      </c>
      <c r="BZ13">
        <f t="shared" si="10"/>
        <v>0</v>
      </c>
      <c r="CA13">
        <f t="shared" si="11"/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f t="shared" si="12"/>
        <v>0</v>
      </c>
      <c r="CK13">
        <f t="shared" si="12"/>
        <v>0</v>
      </c>
      <c r="CL13">
        <f t="shared" si="13"/>
        <v>0</v>
      </c>
    </row>
    <row r="14" spans="1:91">
      <c r="A14" t="s">
        <v>68</v>
      </c>
      <c r="B14" t="s">
        <v>74</v>
      </c>
      <c r="C14" t="s">
        <v>75</v>
      </c>
      <c r="D14">
        <v>501424</v>
      </c>
      <c r="E14" t="s">
        <v>108</v>
      </c>
      <c r="F14" t="s">
        <v>109</v>
      </c>
      <c r="G14" t="s">
        <v>78</v>
      </c>
      <c r="H14" t="s">
        <v>79</v>
      </c>
      <c r="I14" t="s">
        <v>69</v>
      </c>
      <c r="J14" t="s">
        <v>110</v>
      </c>
      <c r="K14" t="s">
        <v>72</v>
      </c>
      <c r="L14" t="s">
        <v>283</v>
      </c>
      <c r="M14" s="12" t="s">
        <v>73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f t="shared" si="0"/>
        <v>0</v>
      </c>
      <c r="W14">
        <f t="shared" si="0"/>
        <v>0</v>
      </c>
      <c r="X14">
        <f t="shared" si="1"/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f t="shared" si="2"/>
        <v>0</v>
      </c>
      <c r="AH14">
        <f t="shared" si="2"/>
        <v>0</v>
      </c>
      <c r="AI14">
        <f t="shared" si="3"/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f t="shared" si="4"/>
        <v>0</v>
      </c>
      <c r="AS14">
        <f t="shared" si="4"/>
        <v>0</v>
      </c>
      <c r="AT14">
        <f t="shared" si="5"/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f t="shared" si="6"/>
        <v>0</v>
      </c>
      <c r="BD14">
        <f t="shared" si="6"/>
        <v>0</v>
      </c>
      <c r="BE14">
        <f t="shared" si="7"/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f t="shared" si="8"/>
        <v>0</v>
      </c>
      <c r="BO14">
        <f t="shared" si="8"/>
        <v>0</v>
      </c>
      <c r="BP14">
        <f t="shared" si="9"/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f t="shared" si="10"/>
        <v>0</v>
      </c>
      <c r="BZ14">
        <f t="shared" si="10"/>
        <v>0</v>
      </c>
      <c r="CA14">
        <f t="shared" si="11"/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f t="shared" si="12"/>
        <v>0</v>
      </c>
      <c r="CK14">
        <f t="shared" si="12"/>
        <v>0</v>
      </c>
      <c r="CL14">
        <f t="shared" si="13"/>
        <v>0</v>
      </c>
    </row>
    <row r="15" spans="1:91">
      <c r="A15" t="s">
        <v>68</v>
      </c>
      <c r="B15" t="s">
        <v>74</v>
      </c>
      <c r="C15" t="s">
        <v>111</v>
      </c>
      <c r="D15">
        <v>304303</v>
      </c>
      <c r="E15" t="s">
        <v>296</v>
      </c>
      <c r="F15" t="s">
        <v>297</v>
      </c>
      <c r="G15" t="s">
        <v>78</v>
      </c>
      <c r="H15" t="s">
        <v>79</v>
      </c>
      <c r="I15" t="s">
        <v>69</v>
      </c>
      <c r="J15" t="s">
        <v>117</v>
      </c>
      <c r="K15" t="s">
        <v>282</v>
      </c>
      <c r="L15" t="s">
        <v>283</v>
      </c>
      <c r="M15" s="12" t="s">
        <v>284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f t="shared" si="0"/>
        <v>0</v>
      </c>
      <c r="W15">
        <f t="shared" si="0"/>
        <v>0</v>
      </c>
      <c r="X15">
        <f t="shared" si="1"/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f t="shared" si="2"/>
        <v>0</v>
      </c>
      <c r="AH15">
        <f t="shared" si="2"/>
        <v>0</v>
      </c>
      <c r="AI15">
        <f t="shared" si="3"/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f t="shared" si="4"/>
        <v>0</v>
      </c>
      <c r="AS15">
        <f t="shared" si="4"/>
        <v>0</v>
      </c>
      <c r="AT15">
        <f t="shared" si="5"/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f t="shared" si="6"/>
        <v>0</v>
      </c>
      <c r="BD15">
        <f t="shared" si="6"/>
        <v>0</v>
      </c>
      <c r="BE15">
        <f t="shared" si="7"/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f t="shared" si="8"/>
        <v>0</v>
      </c>
      <c r="BO15">
        <f t="shared" si="8"/>
        <v>0</v>
      </c>
      <c r="BP15">
        <f t="shared" si="9"/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f t="shared" si="10"/>
        <v>0</v>
      </c>
      <c r="BZ15">
        <f t="shared" si="10"/>
        <v>0</v>
      </c>
      <c r="CA15">
        <f t="shared" si="11"/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f t="shared" si="12"/>
        <v>0</v>
      </c>
      <c r="CK15">
        <f t="shared" si="12"/>
        <v>0</v>
      </c>
      <c r="CL15">
        <f t="shared" si="13"/>
        <v>0</v>
      </c>
    </row>
    <row r="16" spans="1:91">
      <c r="A16" t="s">
        <v>68</v>
      </c>
      <c r="B16" t="s">
        <v>74</v>
      </c>
      <c r="C16" t="s">
        <v>111</v>
      </c>
      <c r="D16">
        <v>304305</v>
      </c>
      <c r="E16" t="s">
        <v>298</v>
      </c>
      <c r="F16" t="s">
        <v>299</v>
      </c>
      <c r="G16" t="s">
        <v>78</v>
      </c>
      <c r="H16" t="s">
        <v>79</v>
      </c>
      <c r="I16" t="s">
        <v>69</v>
      </c>
      <c r="J16" t="s">
        <v>128</v>
      </c>
      <c r="K16" t="s">
        <v>282</v>
      </c>
      <c r="L16" t="s">
        <v>283</v>
      </c>
      <c r="M16" s="12" t="s">
        <v>284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f t="shared" si="0"/>
        <v>0</v>
      </c>
      <c r="W16">
        <f t="shared" si="0"/>
        <v>0</v>
      </c>
      <c r="X16">
        <f t="shared" si="1"/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f t="shared" si="2"/>
        <v>0</v>
      </c>
      <c r="AH16">
        <f t="shared" si="2"/>
        <v>0</v>
      </c>
      <c r="AI16">
        <f t="shared" si="3"/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f t="shared" si="4"/>
        <v>0</v>
      </c>
      <c r="AS16">
        <f t="shared" si="4"/>
        <v>0</v>
      </c>
      <c r="AT16">
        <f t="shared" si="5"/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f t="shared" si="6"/>
        <v>0</v>
      </c>
      <c r="BD16">
        <f t="shared" si="6"/>
        <v>0</v>
      </c>
      <c r="BE16">
        <f t="shared" si="7"/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f t="shared" si="8"/>
        <v>0</v>
      </c>
      <c r="BO16">
        <f t="shared" si="8"/>
        <v>0</v>
      </c>
      <c r="BP16">
        <f t="shared" si="9"/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f t="shared" si="10"/>
        <v>0</v>
      </c>
      <c r="BZ16">
        <f t="shared" si="10"/>
        <v>0</v>
      </c>
      <c r="CA16">
        <f t="shared" si="11"/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f t="shared" si="12"/>
        <v>0</v>
      </c>
      <c r="CK16">
        <f t="shared" si="12"/>
        <v>0</v>
      </c>
      <c r="CL16">
        <f t="shared" si="13"/>
        <v>0</v>
      </c>
    </row>
    <row r="17" spans="1:90">
      <c r="A17" t="s">
        <v>68</v>
      </c>
      <c r="B17" t="s">
        <v>74</v>
      </c>
      <c r="C17" t="s">
        <v>111</v>
      </c>
      <c r="D17">
        <v>304314</v>
      </c>
      <c r="E17" t="s">
        <v>300</v>
      </c>
      <c r="F17" t="s">
        <v>148</v>
      </c>
      <c r="G17" t="s">
        <v>78</v>
      </c>
      <c r="H17" t="s">
        <v>79</v>
      </c>
      <c r="I17" t="s">
        <v>69</v>
      </c>
      <c r="J17" t="s">
        <v>149</v>
      </c>
      <c r="K17" t="s">
        <v>282</v>
      </c>
      <c r="L17" t="s">
        <v>283</v>
      </c>
      <c r="M17" s="12" t="s">
        <v>284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f t="shared" si="0"/>
        <v>0</v>
      </c>
      <c r="W17">
        <f t="shared" si="0"/>
        <v>0</v>
      </c>
      <c r="X17">
        <f t="shared" si="1"/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f t="shared" si="2"/>
        <v>0</v>
      </c>
      <c r="AH17">
        <f t="shared" si="2"/>
        <v>0</v>
      </c>
      <c r="AI17">
        <f t="shared" si="3"/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f t="shared" si="4"/>
        <v>0</v>
      </c>
      <c r="AS17">
        <f t="shared" si="4"/>
        <v>0</v>
      </c>
      <c r="AT17">
        <f t="shared" si="5"/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f t="shared" si="6"/>
        <v>0</v>
      </c>
      <c r="BD17">
        <f t="shared" si="6"/>
        <v>0</v>
      </c>
      <c r="BE17">
        <f t="shared" si="7"/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f t="shared" si="8"/>
        <v>0</v>
      </c>
      <c r="BO17">
        <f t="shared" si="8"/>
        <v>0</v>
      </c>
      <c r="BP17">
        <f t="shared" si="9"/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f t="shared" si="10"/>
        <v>0</v>
      </c>
      <c r="BZ17">
        <f t="shared" si="10"/>
        <v>0</v>
      </c>
      <c r="CA17">
        <f t="shared" si="11"/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f t="shared" si="12"/>
        <v>0</v>
      </c>
      <c r="CK17">
        <f t="shared" si="12"/>
        <v>0</v>
      </c>
      <c r="CL17">
        <f t="shared" si="13"/>
        <v>0</v>
      </c>
    </row>
    <row r="18" spans="1:90">
      <c r="A18" t="s">
        <v>68</v>
      </c>
      <c r="B18" t="s">
        <v>74</v>
      </c>
      <c r="C18" t="s">
        <v>111</v>
      </c>
      <c r="D18">
        <v>304327</v>
      </c>
      <c r="E18" t="s">
        <v>301</v>
      </c>
      <c r="F18" t="s">
        <v>302</v>
      </c>
      <c r="G18" t="s">
        <v>78</v>
      </c>
      <c r="H18" t="s">
        <v>79</v>
      </c>
      <c r="I18" t="s">
        <v>69</v>
      </c>
      <c r="J18" t="s">
        <v>146</v>
      </c>
      <c r="K18" t="s">
        <v>282</v>
      </c>
      <c r="L18" t="s">
        <v>285</v>
      </c>
      <c r="M18" s="12" t="s">
        <v>284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f t="shared" si="0"/>
        <v>0</v>
      </c>
      <c r="W18">
        <f t="shared" si="0"/>
        <v>0</v>
      </c>
      <c r="X18">
        <f t="shared" si="1"/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f t="shared" si="2"/>
        <v>0</v>
      </c>
      <c r="AH18">
        <f t="shared" si="2"/>
        <v>0</v>
      </c>
      <c r="AI18">
        <f t="shared" si="3"/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f t="shared" si="4"/>
        <v>0</v>
      </c>
      <c r="AS18">
        <f t="shared" si="4"/>
        <v>0</v>
      </c>
      <c r="AT18">
        <f t="shared" si="5"/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f t="shared" si="6"/>
        <v>0</v>
      </c>
      <c r="BD18">
        <f t="shared" si="6"/>
        <v>0</v>
      </c>
      <c r="BE18">
        <f t="shared" si="7"/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f t="shared" si="8"/>
        <v>0</v>
      </c>
      <c r="BO18">
        <f t="shared" si="8"/>
        <v>0</v>
      </c>
      <c r="BP18">
        <f t="shared" si="9"/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f t="shared" si="10"/>
        <v>0</v>
      </c>
      <c r="BZ18">
        <f t="shared" si="10"/>
        <v>0</v>
      </c>
      <c r="CA18">
        <f t="shared" si="11"/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f t="shared" si="12"/>
        <v>0</v>
      </c>
      <c r="CK18">
        <f t="shared" si="12"/>
        <v>0</v>
      </c>
      <c r="CL18">
        <f t="shared" si="13"/>
        <v>0</v>
      </c>
    </row>
    <row r="19" spans="1:90">
      <c r="A19" t="s">
        <v>68</v>
      </c>
      <c r="B19" t="s">
        <v>74</v>
      </c>
      <c r="C19" t="s">
        <v>111</v>
      </c>
      <c r="D19">
        <v>304328</v>
      </c>
      <c r="E19" t="s">
        <v>303</v>
      </c>
      <c r="F19" t="s">
        <v>304</v>
      </c>
      <c r="G19" t="s">
        <v>78</v>
      </c>
      <c r="H19" t="s">
        <v>79</v>
      </c>
      <c r="I19" t="s">
        <v>69</v>
      </c>
      <c r="J19" t="s">
        <v>123</v>
      </c>
      <c r="K19" t="s">
        <v>282</v>
      </c>
      <c r="L19" t="s">
        <v>283</v>
      </c>
      <c r="M19" s="12" t="s">
        <v>284</v>
      </c>
      <c r="N19">
        <v>42</v>
      </c>
      <c r="O19">
        <v>69</v>
      </c>
      <c r="P19">
        <v>40</v>
      </c>
      <c r="Q19">
        <v>66</v>
      </c>
      <c r="R19">
        <v>56</v>
      </c>
      <c r="S19">
        <v>67</v>
      </c>
      <c r="T19">
        <v>42</v>
      </c>
      <c r="U19">
        <v>59</v>
      </c>
      <c r="V19">
        <f t="shared" si="0"/>
        <v>180</v>
      </c>
      <c r="W19">
        <f t="shared" si="0"/>
        <v>261</v>
      </c>
      <c r="X19">
        <f t="shared" si="1"/>
        <v>441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f t="shared" si="2"/>
        <v>0</v>
      </c>
      <c r="AH19">
        <f t="shared" si="2"/>
        <v>0</v>
      </c>
      <c r="AI19">
        <f t="shared" si="3"/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f t="shared" si="4"/>
        <v>0</v>
      </c>
      <c r="AS19">
        <f t="shared" si="4"/>
        <v>0</v>
      </c>
      <c r="AT19">
        <f t="shared" si="5"/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f t="shared" si="6"/>
        <v>0</v>
      </c>
      <c r="BD19">
        <f t="shared" si="6"/>
        <v>0</v>
      </c>
      <c r="BE19">
        <f t="shared" si="7"/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f t="shared" si="8"/>
        <v>0</v>
      </c>
      <c r="BO19">
        <f t="shared" si="8"/>
        <v>0</v>
      </c>
      <c r="BP19">
        <f t="shared" si="9"/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f t="shared" si="10"/>
        <v>0</v>
      </c>
      <c r="BZ19">
        <f t="shared" si="10"/>
        <v>0</v>
      </c>
      <c r="CA19">
        <f t="shared" si="11"/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f t="shared" si="12"/>
        <v>0</v>
      </c>
      <c r="CK19">
        <f t="shared" si="12"/>
        <v>0</v>
      </c>
      <c r="CL19">
        <f t="shared" si="13"/>
        <v>0</v>
      </c>
    </row>
    <row r="20" spans="1:90">
      <c r="A20" t="s">
        <v>68</v>
      </c>
      <c r="B20" t="s">
        <v>74</v>
      </c>
      <c r="C20" t="s">
        <v>111</v>
      </c>
      <c r="D20">
        <v>304338</v>
      </c>
      <c r="E20" t="s">
        <v>305</v>
      </c>
      <c r="F20" t="s">
        <v>306</v>
      </c>
      <c r="G20" t="s">
        <v>78</v>
      </c>
      <c r="H20" t="s">
        <v>79</v>
      </c>
      <c r="I20" t="s">
        <v>69</v>
      </c>
      <c r="J20" t="s">
        <v>163</v>
      </c>
      <c r="K20" t="s">
        <v>282</v>
      </c>
      <c r="L20" t="s">
        <v>283</v>
      </c>
      <c r="M20" s="12" t="s">
        <v>284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f t="shared" si="0"/>
        <v>0</v>
      </c>
      <c r="W20">
        <f t="shared" si="0"/>
        <v>0</v>
      </c>
      <c r="X20">
        <f t="shared" si="1"/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f t="shared" si="2"/>
        <v>0</v>
      </c>
      <c r="AH20">
        <f t="shared" si="2"/>
        <v>0</v>
      </c>
      <c r="AI20">
        <f t="shared" si="3"/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f t="shared" si="4"/>
        <v>0</v>
      </c>
      <c r="AS20">
        <f t="shared" si="4"/>
        <v>0</v>
      </c>
      <c r="AT20">
        <f t="shared" si="5"/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f t="shared" si="6"/>
        <v>0</v>
      </c>
      <c r="BD20">
        <f t="shared" si="6"/>
        <v>0</v>
      </c>
      <c r="BE20">
        <f t="shared" si="7"/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f t="shared" si="8"/>
        <v>0</v>
      </c>
      <c r="BO20">
        <f t="shared" si="8"/>
        <v>0</v>
      </c>
      <c r="BP20">
        <f t="shared" si="9"/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f t="shared" si="10"/>
        <v>0</v>
      </c>
      <c r="BZ20">
        <f t="shared" si="10"/>
        <v>0</v>
      </c>
      <c r="CA20">
        <f t="shared" si="11"/>
        <v>0</v>
      </c>
      <c r="CB20">
        <v>32</v>
      </c>
      <c r="CC20">
        <v>23</v>
      </c>
      <c r="CD20">
        <v>45</v>
      </c>
      <c r="CE20">
        <v>30</v>
      </c>
      <c r="CF20">
        <v>28</v>
      </c>
      <c r="CG20">
        <v>27</v>
      </c>
      <c r="CH20">
        <v>23</v>
      </c>
      <c r="CI20">
        <v>27</v>
      </c>
      <c r="CJ20">
        <f t="shared" si="12"/>
        <v>128</v>
      </c>
      <c r="CK20">
        <f t="shared" si="12"/>
        <v>107</v>
      </c>
      <c r="CL20">
        <f t="shared" si="13"/>
        <v>235</v>
      </c>
    </row>
    <row r="21" spans="1:90">
      <c r="A21" t="s">
        <v>68</v>
      </c>
      <c r="B21" t="s">
        <v>74</v>
      </c>
      <c r="C21" t="s">
        <v>111</v>
      </c>
      <c r="D21">
        <v>316104</v>
      </c>
      <c r="E21" t="s">
        <v>307</v>
      </c>
      <c r="F21" t="s">
        <v>214</v>
      </c>
      <c r="G21" t="s">
        <v>78</v>
      </c>
      <c r="H21" t="s">
        <v>79</v>
      </c>
      <c r="I21" t="s">
        <v>69</v>
      </c>
      <c r="J21" t="s">
        <v>134</v>
      </c>
      <c r="K21" t="s">
        <v>282</v>
      </c>
      <c r="L21" t="s">
        <v>283</v>
      </c>
      <c r="M21" s="12" t="s">
        <v>284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f t="shared" si="0"/>
        <v>0</v>
      </c>
      <c r="W21">
        <f t="shared" si="0"/>
        <v>0</v>
      </c>
      <c r="X21">
        <f t="shared" si="1"/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f t="shared" si="2"/>
        <v>0</v>
      </c>
      <c r="AH21">
        <f t="shared" si="2"/>
        <v>0</v>
      </c>
      <c r="AI21">
        <f t="shared" si="3"/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f t="shared" si="4"/>
        <v>0</v>
      </c>
      <c r="AS21">
        <f t="shared" si="4"/>
        <v>0</v>
      </c>
      <c r="AT21">
        <f t="shared" si="5"/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f t="shared" si="6"/>
        <v>0</v>
      </c>
      <c r="BD21">
        <f t="shared" si="6"/>
        <v>0</v>
      </c>
      <c r="BE21">
        <f t="shared" si="7"/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f t="shared" si="8"/>
        <v>0</v>
      </c>
      <c r="BO21">
        <f t="shared" si="8"/>
        <v>0</v>
      </c>
      <c r="BP21">
        <f t="shared" si="9"/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f t="shared" si="10"/>
        <v>0</v>
      </c>
      <c r="BZ21">
        <f t="shared" si="10"/>
        <v>0</v>
      </c>
      <c r="CA21">
        <f t="shared" si="11"/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f t="shared" si="12"/>
        <v>0</v>
      </c>
      <c r="CK21">
        <f t="shared" si="12"/>
        <v>0</v>
      </c>
      <c r="CL21">
        <f t="shared" si="13"/>
        <v>0</v>
      </c>
    </row>
    <row r="22" spans="1:90">
      <c r="A22" t="s">
        <v>68</v>
      </c>
      <c r="B22" t="s">
        <v>74</v>
      </c>
      <c r="C22" t="s">
        <v>111</v>
      </c>
      <c r="D22">
        <v>325101</v>
      </c>
      <c r="E22" t="s">
        <v>308</v>
      </c>
      <c r="F22" t="s">
        <v>309</v>
      </c>
      <c r="G22" t="s">
        <v>78</v>
      </c>
      <c r="H22" t="s">
        <v>79</v>
      </c>
      <c r="I22" t="s">
        <v>69</v>
      </c>
      <c r="J22" t="s">
        <v>123</v>
      </c>
      <c r="K22" t="s">
        <v>286</v>
      </c>
      <c r="L22" t="s">
        <v>283</v>
      </c>
      <c r="M22" s="12" t="s">
        <v>287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f t="shared" si="0"/>
        <v>0</v>
      </c>
      <c r="W22">
        <f t="shared" si="0"/>
        <v>0</v>
      </c>
      <c r="X22">
        <f t="shared" si="1"/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f t="shared" si="2"/>
        <v>0</v>
      </c>
      <c r="AH22">
        <f t="shared" si="2"/>
        <v>0</v>
      </c>
      <c r="AI22">
        <f t="shared" si="3"/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f t="shared" si="4"/>
        <v>0</v>
      </c>
      <c r="AS22">
        <f t="shared" si="4"/>
        <v>0</v>
      </c>
      <c r="AT22">
        <f t="shared" si="5"/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f t="shared" si="6"/>
        <v>0</v>
      </c>
      <c r="BD22">
        <f t="shared" si="6"/>
        <v>0</v>
      </c>
      <c r="BE22">
        <f t="shared" si="7"/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f t="shared" si="8"/>
        <v>0</v>
      </c>
      <c r="BO22">
        <f t="shared" si="8"/>
        <v>0</v>
      </c>
      <c r="BP22">
        <f t="shared" si="9"/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f t="shared" si="10"/>
        <v>0</v>
      </c>
      <c r="BZ22">
        <f t="shared" si="10"/>
        <v>0</v>
      </c>
      <c r="CA22">
        <f t="shared" si="11"/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f t="shared" si="12"/>
        <v>0</v>
      </c>
      <c r="CK22">
        <f t="shared" si="12"/>
        <v>0</v>
      </c>
      <c r="CL22">
        <f t="shared" si="13"/>
        <v>0</v>
      </c>
    </row>
    <row r="23" spans="1:90">
      <c r="A23" t="s">
        <v>68</v>
      </c>
      <c r="B23" t="s">
        <v>74</v>
      </c>
      <c r="C23" t="s">
        <v>111</v>
      </c>
      <c r="D23">
        <v>325102</v>
      </c>
      <c r="E23" t="s">
        <v>310</v>
      </c>
      <c r="F23" t="s">
        <v>311</v>
      </c>
      <c r="G23" t="s">
        <v>78</v>
      </c>
      <c r="H23" t="s">
        <v>79</v>
      </c>
      <c r="I23" t="s">
        <v>69</v>
      </c>
      <c r="J23" t="s">
        <v>120</v>
      </c>
      <c r="K23" t="s">
        <v>282</v>
      </c>
      <c r="L23" t="s">
        <v>283</v>
      </c>
      <c r="M23" s="12" t="s">
        <v>284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f t="shared" si="0"/>
        <v>0</v>
      </c>
      <c r="W23">
        <f t="shared" si="0"/>
        <v>0</v>
      </c>
      <c r="X23">
        <f t="shared" si="1"/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f t="shared" si="2"/>
        <v>0</v>
      </c>
      <c r="AH23">
        <f t="shared" si="2"/>
        <v>0</v>
      </c>
      <c r="AI23">
        <f t="shared" si="3"/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f t="shared" si="4"/>
        <v>0</v>
      </c>
      <c r="AS23">
        <f t="shared" si="4"/>
        <v>0</v>
      </c>
      <c r="AT23">
        <f t="shared" si="5"/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f t="shared" si="6"/>
        <v>0</v>
      </c>
      <c r="BD23">
        <f t="shared" si="6"/>
        <v>0</v>
      </c>
      <c r="BE23">
        <f t="shared" si="7"/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f t="shared" si="8"/>
        <v>0</v>
      </c>
      <c r="BO23">
        <f t="shared" si="8"/>
        <v>0</v>
      </c>
      <c r="BP23">
        <f t="shared" si="9"/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f t="shared" si="10"/>
        <v>0</v>
      </c>
      <c r="BZ23">
        <f t="shared" si="10"/>
        <v>0</v>
      </c>
      <c r="CA23">
        <f t="shared" si="11"/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f t="shared" si="12"/>
        <v>0</v>
      </c>
      <c r="CK23">
        <f t="shared" si="12"/>
        <v>0</v>
      </c>
      <c r="CL23">
        <f t="shared" si="13"/>
        <v>0</v>
      </c>
    </row>
    <row r="24" spans="1:90">
      <c r="A24" t="s">
        <v>68</v>
      </c>
      <c r="B24" t="s">
        <v>74</v>
      </c>
      <c r="C24" t="s">
        <v>111</v>
      </c>
      <c r="D24">
        <v>325106</v>
      </c>
      <c r="E24" t="s">
        <v>312</v>
      </c>
      <c r="F24" t="s">
        <v>198</v>
      </c>
      <c r="G24" t="s">
        <v>78</v>
      </c>
      <c r="H24" t="s">
        <v>79</v>
      </c>
      <c r="I24" t="s">
        <v>69</v>
      </c>
      <c r="J24" t="s">
        <v>172</v>
      </c>
      <c r="K24" t="s">
        <v>282</v>
      </c>
      <c r="L24" t="s">
        <v>283</v>
      </c>
      <c r="M24" s="12" t="s">
        <v>284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f t="shared" si="0"/>
        <v>0</v>
      </c>
      <c r="W24">
        <f t="shared" si="0"/>
        <v>0</v>
      </c>
      <c r="X24">
        <f t="shared" si="1"/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f t="shared" si="2"/>
        <v>0</v>
      </c>
      <c r="AH24">
        <f t="shared" si="2"/>
        <v>0</v>
      </c>
      <c r="AI24">
        <f t="shared" si="3"/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f t="shared" si="4"/>
        <v>0</v>
      </c>
      <c r="AS24">
        <f t="shared" si="4"/>
        <v>0</v>
      </c>
      <c r="AT24">
        <f t="shared" si="5"/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f t="shared" si="6"/>
        <v>0</v>
      </c>
      <c r="BD24">
        <f t="shared" si="6"/>
        <v>0</v>
      </c>
      <c r="BE24">
        <f t="shared" si="7"/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f t="shared" si="8"/>
        <v>0</v>
      </c>
      <c r="BO24">
        <f t="shared" si="8"/>
        <v>0</v>
      </c>
      <c r="BP24">
        <f t="shared" si="9"/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f t="shared" si="10"/>
        <v>0</v>
      </c>
      <c r="BZ24">
        <f t="shared" si="10"/>
        <v>0</v>
      </c>
      <c r="CA24">
        <f t="shared" si="11"/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f t="shared" si="12"/>
        <v>0</v>
      </c>
      <c r="CK24">
        <f t="shared" si="12"/>
        <v>0</v>
      </c>
      <c r="CL24">
        <f t="shared" si="13"/>
        <v>0</v>
      </c>
    </row>
    <row r="25" spans="1:90">
      <c r="A25" t="s">
        <v>68</v>
      </c>
      <c r="B25" t="s">
        <v>74</v>
      </c>
      <c r="C25" t="s">
        <v>175</v>
      </c>
      <c r="D25">
        <v>304313</v>
      </c>
      <c r="E25" t="s">
        <v>313</v>
      </c>
      <c r="F25" t="s">
        <v>314</v>
      </c>
      <c r="G25" t="s">
        <v>78</v>
      </c>
      <c r="H25" t="s">
        <v>79</v>
      </c>
      <c r="I25" t="s">
        <v>69</v>
      </c>
      <c r="J25" t="s">
        <v>184</v>
      </c>
      <c r="K25" t="s">
        <v>282</v>
      </c>
      <c r="L25" t="s">
        <v>283</v>
      </c>
      <c r="M25" s="12" t="s">
        <v>284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f t="shared" si="0"/>
        <v>0</v>
      </c>
      <c r="W25">
        <f t="shared" si="0"/>
        <v>0</v>
      </c>
      <c r="X25">
        <f t="shared" si="1"/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f t="shared" si="2"/>
        <v>0</v>
      </c>
      <c r="AH25">
        <f t="shared" si="2"/>
        <v>0</v>
      </c>
      <c r="AI25">
        <f t="shared" si="3"/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f t="shared" si="4"/>
        <v>0</v>
      </c>
      <c r="AS25">
        <f t="shared" si="4"/>
        <v>0</v>
      </c>
      <c r="AT25">
        <f t="shared" si="5"/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f t="shared" si="6"/>
        <v>0</v>
      </c>
      <c r="BD25">
        <f t="shared" si="6"/>
        <v>0</v>
      </c>
      <c r="BE25">
        <f t="shared" si="7"/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f t="shared" si="8"/>
        <v>0</v>
      </c>
      <c r="BO25">
        <f t="shared" si="8"/>
        <v>0</v>
      </c>
      <c r="BP25">
        <f t="shared" si="9"/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f t="shared" si="10"/>
        <v>0</v>
      </c>
      <c r="BZ25">
        <f t="shared" si="10"/>
        <v>0</v>
      </c>
      <c r="CA25">
        <f t="shared" si="11"/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f t="shared" si="12"/>
        <v>0</v>
      </c>
      <c r="CK25">
        <f t="shared" si="12"/>
        <v>0</v>
      </c>
      <c r="CL25">
        <f t="shared" si="13"/>
        <v>0</v>
      </c>
    </row>
    <row r="26" spans="1:90">
      <c r="A26" t="s">
        <v>68</v>
      </c>
      <c r="B26" t="s">
        <v>74</v>
      </c>
      <c r="C26" t="s">
        <v>175</v>
      </c>
      <c r="D26">
        <v>304318</v>
      </c>
      <c r="E26" t="s">
        <v>315</v>
      </c>
      <c r="F26" t="s">
        <v>316</v>
      </c>
      <c r="G26" t="s">
        <v>78</v>
      </c>
      <c r="H26" t="s">
        <v>79</v>
      </c>
      <c r="I26" t="s">
        <v>69</v>
      </c>
      <c r="J26" t="s">
        <v>192</v>
      </c>
      <c r="K26" t="s">
        <v>282</v>
      </c>
      <c r="L26" t="s">
        <v>283</v>
      </c>
      <c r="M26" s="12" t="s">
        <v>284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f t="shared" si="0"/>
        <v>0</v>
      </c>
      <c r="W26">
        <f t="shared" si="0"/>
        <v>0</v>
      </c>
      <c r="X26">
        <f t="shared" si="1"/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f t="shared" si="2"/>
        <v>0</v>
      </c>
      <c r="AH26">
        <f t="shared" si="2"/>
        <v>0</v>
      </c>
      <c r="AI26">
        <f t="shared" si="3"/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f t="shared" si="4"/>
        <v>0</v>
      </c>
      <c r="AS26">
        <f t="shared" si="4"/>
        <v>0</v>
      </c>
      <c r="AT26">
        <f t="shared" si="5"/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f t="shared" si="6"/>
        <v>0</v>
      </c>
      <c r="BD26">
        <f t="shared" si="6"/>
        <v>0</v>
      </c>
      <c r="BE26">
        <f t="shared" si="7"/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f t="shared" si="8"/>
        <v>0</v>
      </c>
      <c r="BO26">
        <f t="shared" si="8"/>
        <v>0</v>
      </c>
      <c r="BP26">
        <f t="shared" si="9"/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f t="shared" si="10"/>
        <v>0</v>
      </c>
      <c r="BZ26">
        <f t="shared" si="10"/>
        <v>0</v>
      </c>
      <c r="CA26">
        <f t="shared" si="11"/>
        <v>0</v>
      </c>
      <c r="CB26">
        <v>95</v>
      </c>
      <c r="CC26">
        <v>57</v>
      </c>
      <c r="CD26">
        <v>69</v>
      </c>
      <c r="CE26">
        <v>82</v>
      </c>
      <c r="CF26">
        <v>41</v>
      </c>
      <c r="CG26">
        <v>65</v>
      </c>
      <c r="CH26">
        <v>43</v>
      </c>
      <c r="CI26">
        <v>44</v>
      </c>
      <c r="CJ26">
        <f t="shared" si="12"/>
        <v>248</v>
      </c>
      <c r="CK26">
        <f t="shared" si="12"/>
        <v>248</v>
      </c>
      <c r="CL26">
        <f t="shared" si="13"/>
        <v>496</v>
      </c>
    </row>
    <row r="27" spans="1:90">
      <c r="A27" t="s">
        <v>68</v>
      </c>
      <c r="B27" t="s">
        <v>74</v>
      </c>
      <c r="C27" t="s">
        <v>175</v>
      </c>
      <c r="D27">
        <v>325105</v>
      </c>
      <c r="E27" t="s">
        <v>317</v>
      </c>
      <c r="F27" t="s">
        <v>194</v>
      </c>
      <c r="G27" t="s">
        <v>78</v>
      </c>
      <c r="H27" t="s">
        <v>79</v>
      </c>
      <c r="I27" t="s">
        <v>69</v>
      </c>
      <c r="J27" t="s">
        <v>178</v>
      </c>
      <c r="K27" t="s">
        <v>282</v>
      </c>
      <c r="L27" t="s">
        <v>283</v>
      </c>
      <c r="M27" s="12" t="s">
        <v>284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f t="shared" si="0"/>
        <v>0</v>
      </c>
      <c r="W27">
        <f t="shared" si="0"/>
        <v>0</v>
      </c>
      <c r="X27">
        <f t="shared" si="1"/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f t="shared" si="2"/>
        <v>0</v>
      </c>
      <c r="AH27">
        <f t="shared" si="2"/>
        <v>0</v>
      </c>
      <c r="AI27">
        <f t="shared" si="3"/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f t="shared" si="4"/>
        <v>0</v>
      </c>
      <c r="AS27">
        <f t="shared" si="4"/>
        <v>0</v>
      </c>
      <c r="AT27">
        <f t="shared" si="5"/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f t="shared" si="6"/>
        <v>0</v>
      </c>
      <c r="BD27">
        <f t="shared" si="6"/>
        <v>0</v>
      </c>
      <c r="BE27">
        <f t="shared" si="7"/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f t="shared" si="8"/>
        <v>0</v>
      </c>
      <c r="BO27">
        <f t="shared" si="8"/>
        <v>0</v>
      </c>
      <c r="BP27">
        <f t="shared" si="9"/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f t="shared" si="10"/>
        <v>0</v>
      </c>
      <c r="BZ27">
        <f t="shared" si="10"/>
        <v>0</v>
      </c>
      <c r="CA27">
        <f t="shared" si="11"/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f t="shared" si="12"/>
        <v>0</v>
      </c>
      <c r="CK27">
        <f t="shared" si="12"/>
        <v>0</v>
      </c>
      <c r="CL27">
        <f t="shared" si="13"/>
        <v>0</v>
      </c>
    </row>
    <row r="28" spans="1:90">
      <c r="A28" t="s">
        <v>68</v>
      </c>
      <c r="B28" t="s">
        <v>74</v>
      </c>
      <c r="C28" t="s">
        <v>175</v>
      </c>
      <c r="D28">
        <v>501085</v>
      </c>
      <c r="E28" t="s">
        <v>206</v>
      </c>
      <c r="F28" t="s">
        <v>207</v>
      </c>
      <c r="G28" t="s">
        <v>78</v>
      </c>
      <c r="H28" t="s">
        <v>79</v>
      </c>
      <c r="I28" t="s">
        <v>69</v>
      </c>
      <c r="J28" t="s">
        <v>208</v>
      </c>
      <c r="K28" t="s">
        <v>72</v>
      </c>
      <c r="L28" t="s">
        <v>283</v>
      </c>
      <c r="M28" s="12" t="s">
        <v>73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f t="shared" si="0"/>
        <v>0</v>
      </c>
      <c r="W28">
        <f t="shared" si="0"/>
        <v>0</v>
      </c>
      <c r="X28">
        <f t="shared" si="1"/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f t="shared" si="2"/>
        <v>0</v>
      </c>
      <c r="AH28">
        <f t="shared" si="2"/>
        <v>0</v>
      </c>
      <c r="AI28">
        <f t="shared" si="3"/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f t="shared" si="4"/>
        <v>0</v>
      </c>
      <c r="AS28">
        <f t="shared" si="4"/>
        <v>0</v>
      </c>
      <c r="AT28">
        <f t="shared" si="5"/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f t="shared" si="6"/>
        <v>0</v>
      </c>
      <c r="BD28">
        <f t="shared" si="6"/>
        <v>0</v>
      </c>
      <c r="BE28">
        <f t="shared" si="7"/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f t="shared" si="8"/>
        <v>0</v>
      </c>
      <c r="BO28">
        <f t="shared" si="8"/>
        <v>0</v>
      </c>
      <c r="BP28">
        <f t="shared" si="9"/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f t="shared" si="10"/>
        <v>0</v>
      </c>
      <c r="BZ28">
        <f t="shared" si="10"/>
        <v>0</v>
      </c>
      <c r="CA28">
        <f t="shared" si="11"/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f t="shared" si="12"/>
        <v>0</v>
      </c>
      <c r="CK28">
        <f t="shared" si="12"/>
        <v>0</v>
      </c>
      <c r="CL28">
        <f t="shared" si="13"/>
        <v>0</v>
      </c>
    </row>
    <row r="29" spans="1:90">
      <c r="A29" t="s">
        <v>68</v>
      </c>
      <c r="B29" t="s">
        <v>74</v>
      </c>
      <c r="C29" t="s">
        <v>175</v>
      </c>
      <c r="D29">
        <v>501086</v>
      </c>
      <c r="E29" t="s">
        <v>209</v>
      </c>
      <c r="F29" t="s">
        <v>210</v>
      </c>
      <c r="G29" t="s">
        <v>78</v>
      </c>
      <c r="H29" t="s">
        <v>79</v>
      </c>
      <c r="I29" t="s">
        <v>69</v>
      </c>
      <c r="J29" t="s">
        <v>211</v>
      </c>
      <c r="K29" t="s">
        <v>72</v>
      </c>
      <c r="L29" t="s">
        <v>283</v>
      </c>
      <c r="M29" s="12" t="s">
        <v>73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f t="shared" si="0"/>
        <v>0</v>
      </c>
      <c r="W29">
        <f t="shared" si="0"/>
        <v>0</v>
      </c>
      <c r="X29">
        <f t="shared" si="1"/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f t="shared" si="2"/>
        <v>0</v>
      </c>
      <c r="AH29">
        <f t="shared" si="2"/>
        <v>0</v>
      </c>
      <c r="AI29">
        <f t="shared" si="3"/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f t="shared" si="4"/>
        <v>0</v>
      </c>
      <c r="AS29">
        <f t="shared" si="4"/>
        <v>0</v>
      </c>
      <c r="AT29">
        <f t="shared" si="5"/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f t="shared" si="6"/>
        <v>0</v>
      </c>
      <c r="BD29">
        <f t="shared" si="6"/>
        <v>0</v>
      </c>
      <c r="BE29">
        <f t="shared" si="7"/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f t="shared" si="8"/>
        <v>0</v>
      </c>
      <c r="BO29">
        <f t="shared" si="8"/>
        <v>0</v>
      </c>
      <c r="BP29">
        <f t="shared" si="9"/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f t="shared" si="10"/>
        <v>0</v>
      </c>
      <c r="BZ29">
        <f t="shared" si="10"/>
        <v>0</v>
      </c>
      <c r="CA29">
        <f t="shared" si="11"/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f t="shared" si="12"/>
        <v>0</v>
      </c>
      <c r="CK29">
        <f t="shared" si="12"/>
        <v>0</v>
      </c>
      <c r="CL29">
        <f t="shared" si="13"/>
        <v>0</v>
      </c>
    </row>
    <row r="30" spans="1:90">
      <c r="A30" t="s">
        <v>68</v>
      </c>
      <c r="B30" t="s">
        <v>74</v>
      </c>
      <c r="C30" t="s">
        <v>175</v>
      </c>
      <c r="D30">
        <v>501087</v>
      </c>
      <c r="E30" t="s">
        <v>212</v>
      </c>
      <c r="F30" t="s">
        <v>213</v>
      </c>
      <c r="G30" t="s">
        <v>78</v>
      </c>
      <c r="H30" t="s">
        <v>79</v>
      </c>
      <c r="I30" t="s">
        <v>69</v>
      </c>
      <c r="J30" t="s">
        <v>181</v>
      </c>
      <c r="K30" t="s">
        <v>72</v>
      </c>
      <c r="L30" t="s">
        <v>283</v>
      </c>
      <c r="M30" s="12" t="s">
        <v>73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0"/>
        <v>0</v>
      </c>
      <c r="W30">
        <f t="shared" si="0"/>
        <v>0</v>
      </c>
      <c r="X30">
        <f t="shared" si="1"/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f t="shared" si="2"/>
        <v>0</v>
      </c>
      <c r="AH30">
        <f t="shared" si="2"/>
        <v>0</v>
      </c>
      <c r="AI30">
        <f t="shared" si="3"/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f t="shared" si="4"/>
        <v>0</v>
      </c>
      <c r="AS30">
        <f t="shared" si="4"/>
        <v>0</v>
      </c>
      <c r="AT30">
        <f t="shared" si="5"/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f t="shared" si="6"/>
        <v>0</v>
      </c>
      <c r="BD30">
        <f t="shared" si="6"/>
        <v>0</v>
      </c>
      <c r="BE30">
        <f t="shared" si="7"/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f t="shared" si="8"/>
        <v>0</v>
      </c>
      <c r="BO30">
        <f t="shared" si="8"/>
        <v>0</v>
      </c>
      <c r="BP30">
        <f t="shared" si="9"/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f t="shared" si="10"/>
        <v>0</v>
      </c>
      <c r="BZ30">
        <f t="shared" si="10"/>
        <v>0</v>
      </c>
      <c r="CA30">
        <f t="shared" si="11"/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f t="shared" si="12"/>
        <v>0</v>
      </c>
      <c r="CK30">
        <f t="shared" si="12"/>
        <v>0</v>
      </c>
      <c r="CL30">
        <f t="shared" si="13"/>
        <v>0</v>
      </c>
    </row>
  </sheetData>
  <autoFilter ref="A8:CM30" xr:uid="{00000000-0009-0000-0000-000001000000}"/>
  <mergeCells count="42">
    <mergeCell ref="CH5:CI5"/>
    <mergeCell ref="CJ5:CL5"/>
    <mergeCell ref="BU5:BV5"/>
    <mergeCell ref="BW5:BX5"/>
    <mergeCell ref="BY5:CA5"/>
    <mergeCell ref="CB5:CC5"/>
    <mergeCell ref="CD5:CE5"/>
    <mergeCell ref="CF5:CG5"/>
    <mergeCell ref="BH5:BI5"/>
    <mergeCell ref="BJ5:BK5"/>
    <mergeCell ref="BL5:BM5"/>
    <mergeCell ref="BN5:BP5"/>
    <mergeCell ref="BQ5:BR5"/>
    <mergeCell ref="BS5:BT5"/>
    <mergeCell ref="AU5:AV5"/>
    <mergeCell ref="AW5:AX5"/>
    <mergeCell ref="AY5:AZ5"/>
    <mergeCell ref="BA5:BB5"/>
    <mergeCell ref="BC5:BE5"/>
    <mergeCell ref="BF5:BG5"/>
    <mergeCell ref="AG5:AI5"/>
    <mergeCell ref="AJ5:AK5"/>
    <mergeCell ref="AL5:AM5"/>
    <mergeCell ref="AN5:AO5"/>
    <mergeCell ref="AP5:AQ5"/>
    <mergeCell ref="AR5:AT5"/>
    <mergeCell ref="CB4:CL4"/>
    <mergeCell ref="N5:O5"/>
    <mergeCell ref="P5:Q5"/>
    <mergeCell ref="R5:S5"/>
    <mergeCell ref="T5:U5"/>
    <mergeCell ref="V5:X5"/>
    <mergeCell ref="Y5:Z5"/>
    <mergeCell ref="AA5:AB5"/>
    <mergeCell ref="AC5:AD5"/>
    <mergeCell ref="AE5:AF5"/>
    <mergeCell ref="N4:X4"/>
    <mergeCell ref="Y4:AI4"/>
    <mergeCell ref="AJ4:AT4"/>
    <mergeCell ref="AU4:BE4"/>
    <mergeCell ref="BF4:BP4"/>
    <mergeCell ref="BQ4:C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</vt:lpstr>
      <vt:lpstr>JHS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2023-08-07T04:59:24Z</dcterms:created>
  <dcterms:modified xsi:type="dcterms:W3CDTF">2023-08-07T05:00:28Z</dcterms:modified>
</cp:coreProperties>
</file>