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EOSY LIS-Database/"/>
    </mc:Choice>
  </mc:AlternateContent>
  <xr:revisionPtr revIDLastSave="0" documentId="8_{FAC88EEF-D71B-4EA3-857B-B72DA1E09B02}" xr6:coauthVersionLast="47" xr6:coauthVersionMax="47" xr10:uidLastSave="{00000000-0000-0000-0000-000000000000}"/>
  <bookViews>
    <workbookView xWindow="-105" yWindow="0" windowWidth="20925" windowHeight="15585" xr2:uid="{144D9757-AD88-4B59-B65E-6675EED8591B}"/>
  </bookViews>
  <sheets>
    <sheet name="ES" sheetId="1" r:id="rId1"/>
    <sheet name="JHS" sheetId="2" r:id="rId2"/>
    <sheet name="SHS" sheetId="3" r:id="rId3"/>
    <sheet name="Summary" sheetId="4" r:id="rId4"/>
  </sheets>
  <definedNames>
    <definedName name="_xlnm._FilterDatabase" localSheetId="1" hidden="1">JHS!$A$6:$HN$6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1" i="4" l="1"/>
  <c r="I71" i="4"/>
  <c r="G71" i="4"/>
  <c r="F71" i="4"/>
  <c r="H71" i="4" s="1"/>
  <c r="D71" i="4"/>
  <c r="C71" i="4"/>
  <c r="J70" i="4"/>
  <c r="I70" i="4"/>
  <c r="K70" i="4" s="1"/>
  <c r="G70" i="4"/>
  <c r="F70" i="4"/>
  <c r="D70" i="4"/>
  <c r="C70" i="4"/>
  <c r="J69" i="4"/>
  <c r="I69" i="4"/>
  <c r="G69" i="4"/>
  <c r="F69" i="4"/>
  <c r="H69" i="4" s="1"/>
  <c r="D69" i="4"/>
  <c r="C69" i="4"/>
  <c r="J68" i="4"/>
  <c r="I68" i="4"/>
  <c r="K68" i="4" s="1"/>
  <c r="G68" i="4"/>
  <c r="F68" i="4"/>
  <c r="D68" i="4"/>
  <c r="C68" i="4"/>
  <c r="E68" i="4" s="1"/>
  <c r="J67" i="4"/>
  <c r="I67" i="4"/>
  <c r="G67" i="4"/>
  <c r="F67" i="4"/>
  <c r="H67" i="4" s="1"/>
  <c r="D67" i="4"/>
  <c r="C67" i="4"/>
  <c r="J66" i="4"/>
  <c r="I66" i="4"/>
  <c r="K66" i="4" s="1"/>
  <c r="G66" i="4"/>
  <c r="F66" i="4"/>
  <c r="D66" i="4"/>
  <c r="C66" i="4"/>
  <c r="E66" i="4" s="1"/>
  <c r="J65" i="4"/>
  <c r="I65" i="4"/>
  <c r="G65" i="4"/>
  <c r="F65" i="4"/>
  <c r="H65" i="4" s="1"/>
  <c r="D65" i="4"/>
  <c r="C65" i="4"/>
  <c r="J64" i="4"/>
  <c r="I64" i="4"/>
  <c r="K64" i="4" s="1"/>
  <c r="G64" i="4"/>
  <c r="F64" i="4"/>
  <c r="D64" i="4"/>
  <c r="C64" i="4"/>
  <c r="E64" i="4" s="1"/>
  <c r="J63" i="4"/>
  <c r="I63" i="4"/>
  <c r="G63" i="4"/>
  <c r="F63" i="4"/>
  <c r="H63" i="4" s="1"/>
  <c r="D63" i="4"/>
  <c r="C63" i="4"/>
  <c r="J62" i="4"/>
  <c r="I62" i="4"/>
  <c r="K62" i="4" s="1"/>
  <c r="G62" i="4"/>
  <c r="F62" i="4"/>
  <c r="D62" i="4"/>
  <c r="C62" i="4"/>
  <c r="E62" i="4" s="1"/>
  <c r="J61" i="4"/>
  <c r="I61" i="4"/>
  <c r="G61" i="4"/>
  <c r="F61" i="4"/>
  <c r="H61" i="4" s="1"/>
  <c r="D61" i="4"/>
  <c r="C61" i="4"/>
  <c r="J60" i="4"/>
  <c r="I60" i="4"/>
  <c r="K60" i="4" s="1"/>
  <c r="G60" i="4"/>
  <c r="H60" i="4" s="1"/>
  <c r="F60" i="4"/>
  <c r="D60" i="4"/>
  <c r="C60" i="4"/>
  <c r="E60" i="4" s="1"/>
  <c r="J59" i="4"/>
  <c r="I59" i="4"/>
  <c r="G59" i="4"/>
  <c r="F59" i="4"/>
  <c r="H59" i="4" s="1"/>
  <c r="D59" i="4"/>
  <c r="C59" i="4"/>
  <c r="J58" i="4"/>
  <c r="I58" i="4"/>
  <c r="K58" i="4" s="1"/>
  <c r="G58" i="4"/>
  <c r="F58" i="4"/>
  <c r="D58" i="4"/>
  <c r="C58" i="4"/>
  <c r="E58" i="4" s="1"/>
  <c r="J57" i="4"/>
  <c r="I57" i="4"/>
  <c r="G57" i="4"/>
  <c r="F57" i="4"/>
  <c r="H57" i="4" s="1"/>
  <c r="D57" i="4"/>
  <c r="C57" i="4"/>
  <c r="J56" i="4"/>
  <c r="I56" i="4"/>
  <c r="K56" i="4" s="1"/>
  <c r="G56" i="4"/>
  <c r="F56" i="4"/>
  <c r="D56" i="4"/>
  <c r="C56" i="4"/>
  <c r="E56" i="4" s="1"/>
  <c r="J55" i="4"/>
  <c r="I55" i="4"/>
  <c r="G55" i="4"/>
  <c r="F55" i="4"/>
  <c r="H55" i="4" s="1"/>
  <c r="D55" i="4"/>
  <c r="C55" i="4"/>
  <c r="J54" i="4"/>
  <c r="I54" i="4"/>
  <c r="K54" i="4" s="1"/>
  <c r="G54" i="4"/>
  <c r="F54" i="4"/>
  <c r="D54" i="4"/>
  <c r="C54" i="4"/>
  <c r="E54" i="4" s="1"/>
  <c r="J48" i="4"/>
  <c r="I48" i="4"/>
  <c r="K48" i="4" s="1"/>
  <c r="G48" i="4"/>
  <c r="F48" i="4"/>
  <c r="F25" i="4" s="1"/>
  <c r="D48" i="4"/>
  <c r="C48" i="4"/>
  <c r="J47" i="4"/>
  <c r="J24" i="4" s="1"/>
  <c r="I47" i="4"/>
  <c r="G47" i="4"/>
  <c r="F47" i="4"/>
  <c r="D47" i="4"/>
  <c r="C47" i="4"/>
  <c r="C24" i="4" s="1"/>
  <c r="J46" i="4"/>
  <c r="I46" i="4"/>
  <c r="K46" i="4" s="1"/>
  <c r="G46" i="4"/>
  <c r="G23" i="4" s="1"/>
  <c r="F46" i="4"/>
  <c r="D46" i="4"/>
  <c r="C46" i="4"/>
  <c r="E46" i="4" s="1"/>
  <c r="J45" i="4"/>
  <c r="I45" i="4"/>
  <c r="I22" i="4" s="1"/>
  <c r="G45" i="4"/>
  <c r="F45" i="4"/>
  <c r="H45" i="4" s="1"/>
  <c r="D45" i="4"/>
  <c r="D22" i="4" s="1"/>
  <c r="C45" i="4"/>
  <c r="J44" i="4"/>
  <c r="I44" i="4"/>
  <c r="K44" i="4" s="1"/>
  <c r="G44" i="4"/>
  <c r="F44" i="4"/>
  <c r="F21" i="4" s="1"/>
  <c r="D44" i="4"/>
  <c r="C44" i="4"/>
  <c r="E44" i="4" s="1"/>
  <c r="J43" i="4"/>
  <c r="J20" i="4" s="1"/>
  <c r="I43" i="4"/>
  <c r="G43" i="4"/>
  <c r="F43" i="4"/>
  <c r="H43" i="4" s="1"/>
  <c r="D43" i="4"/>
  <c r="C43" i="4"/>
  <c r="C20" i="4" s="1"/>
  <c r="J42" i="4"/>
  <c r="I42" i="4"/>
  <c r="G42" i="4"/>
  <c r="G19" i="4" s="1"/>
  <c r="F42" i="4"/>
  <c r="F19" i="4" s="1"/>
  <c r="D42" i="4"/>
  <c r="C42" i="4"/>
  <c r="E42" i="4" s="1"/>
  <c r="J41" i="4"/>
  <c r="I41" i="4"/>
  <c r="G41" i="4"/>
  <c r="F41" i="4"/>
  <c r="H41" i="4" s="1"/>
  <c r="D41" i="4"/>
  <c r="D18" i="4" s="1"/>
  <c r="C41" i="4"/>
  <c r="C18" i="4" s="1"/>
  <c r="J40" i="4"/>
  <c r="J17" i="4" s="1"/>
  <c r="I40" i="4"/>
  <c r="G40" i="4"/>
  <c r="F40" i="4"/>
  <c r="F17" i="4" s="1"/>
  <c r="D40" i="4"/>
  <c r="C40" i="4"/>
  <c r="J39" i="4"/>
  <c r="J16" i="4" s="1"/>
  <c r="I39" i="4"/>
  <c r="G39" i="4"/>
  <c r="F39" i="4"/>
  <c r="H39" i="4" s="1"/>
  <c r="D39" i="4"/>
  <c r="C39" i="4"/>
  <c r="J38" i="4"/>
  <c r="I38" i="4"/>
  <c r="I15" i="4" s="1"/>
  <c r="G38" i="4"/>
  <c r="G15" i="4" s="1"/>
  <c r="F38" i="4"/>
  <c r="D38" i="4"/>
  <c r="D15" i="4" s="1"/>
  <c r="C38" i="4"/>
  <c r="E38" i="4" s="1"/>
  <c r="J37" i="4"/>
  <c r="I37" i="4"/>
  <c r="G37" i="4"/>
  <c r="F37" i="4"/>
  <c r="H37" i="4" s="1"/>
  <c r="D37" i="4"/>
  <c r="D14" i="4" s="1"/>
  <c r="C37" i="4"/>
  <c r="J36" i="4"/>
  <c r="I36" i="4"/>
  <c r="K36" i="4" s="1"/>
  <c r="G36" i="4"/>
  <c r="F36" i="4"/>
  <c r="F13" i="4" s="1"/>
  <c r="D36" i="4"/>
  <c r="C36" i="4"/>
  <c r="E36" i="4" s="1"/>
  <c r="J35" i="4"/>
  <c r="I35" i="4"/>
  <c r="G35" i="4"/>
  <c r="F35" i="4"/>
  <c r="H35" i="4" s="1"/>
  <c r="D35" i="4"/>
  <c r="C35" i="4"/>
  <c r="J34" i="4"/>
  <c r="J11" i="4" s="1"/>
  <c r="I34" i="4"/>
  <c r="G34" i="4"/>
  <c r="G11" i="4" s="1"/>
  <c r="F34" i="4"/>
  <c r="D34" i="4"/>
  <c r="C34" i="4"/>
  <c r="E34" i="4" s="1"/>
  <c r="J33" i="4"/>
  <c r="I33" i="4"/>
  <c r="G33" i="4"/>
  <c r="F33" i="4"/>
  <c r="H33" i="4" s="1"/>
  <c r="D33" i="4"/>
  <c r="C33" i="4"/>
  <c r="J32" i="4"/>
  <c r="J9" i="4" s="1"/>
  <c r="I32" i="4"/>
  <c r="K32" i="4" s="1"/>
  <c r="G32" i="4"/>
  <c r="F32" i="4"/>
  <c r="D32" i="4"/>
  <c r="D9" i="4" s="1"/>
  <c r="C32" i="4"/>
  <c r="C9" i="4" s="1"/>
  <c r="J31" i="4"/>
  <c r="I31" i="4"/>
  <c r="G31" i="4"/>
  <c r="F31" i="4"/>
  <c r="H31" i="4" s="1"/>
  <c r="D31" i="4"/>
  <c r="C31" i="4"/>
  <c r="J25" i="4"/>
  <c r="G24" i="4"/>
  <c r="I23" i="4"/>
  <c r="J19" i="4"/>
  <c r="C16" i="4"/>
  <c r="C13" i="4"/>
  <c r="C12" i="4"/>
  <c r="EM29" i="3"/>
  <c r="EL29" i="3"/>
  <c r="EK29" i="3"/>
  <c r="EJ29" i="3"/>
  <c r="EM28" i="3"/>
  <c r="EL28" i="3"/>
  <c r="EK28" i="3"/>
  <c r="EO28" i="3" s="1"/>
  <c r="EJ28" i="3"/>
  <c r="EM27" i="3"/>
  <c r="EL27" i="3"/>
  <c r="EK27" i="3"/>
  <c r="EJ27" i="3"/>
  <c r="EM26" i="3"/>
  <c r="EL26" i="3"/>
  <c r="EK26" i="3"/>
  <c r="EO26" i="3" s="1"/>
  <c r="EJ26" i="3"/>
  <c r="EN26" i="3" s="1"/>
  <c r="EM25" i="3"/>
  <c r="EL25" i="3"/>
  <c r="EK25" i="3"/>
  <c r="EJ25" i="3"/>
  <c r="EM24" i="3"/>
  <c r="EL24" i="3"/>
  <c r="EK24" i="3"/>
  <c r="EJ24" i="3"/>
  <c r="EM23" i="3"/>
  <c r="EL23" i="3"/>
  <c r="EK23" i="3"/>
  <c r="EO23" i="3" s="1"/>
  <c r="EJ23" i="3"/>
  <c r="EN23" i="3" s="1"/>
  <c r="EM22" i="3"/>
  <c r="EL22" i="3"/>
  <c r="EK22" i="3"/>
  <c r="EO22" i="3" s="1"/>
  <c r="EJ22" i="3"/>
  <c r="EN22" i="3" s="1"/>
  <c r="EM21" i="3"/>
  <c r="EL21" i="3"/>
  <c r="EK21" i="3"/>
  <c r="EJ21" i="3"/>
  <c r="EN21" i="3" s="1"/>
  <c r="EM20" i="3"/>
  <c r="EL20" i="3"/>
  <c r="EK20" i="3"/>
  <c r="EJ20" i="3"/>
  <c r="EM19" i="3"/>
  <c r="EL19" i="3"/>
  <c r="EK19" i="3"/>
  <c r="EO19" i="3" s="1"/>
  <c r="EJ19" i="3"/>
  <c r="EM18" i="3"/>
  <c r="EL18" i="3"/>
  <c r="EK18" i="3"/>
  <c r="EJ18" i="3"/>
  <c r="EN18" i="3" s="1"/>
  <c r="EM17" i="3"/>
  <c r="EL17" i="3"/>
  <c r="EK17" i="3"/>
  <c r="EJ17" i="3"/>
  <c r="EN17" i="3" s="1"/>
  <c r="EM16" i="3"/>
  <c r="EL16" i="3"/>
  <c r="EK16" i="3"/>
  <c r="EJ16" i="3"/>
  <c r="EM15" i="3"/>
  <c r="EL15" i="3"/>
  <c r="EK15" i="3"/>
  <c r="EJ15" i="3"/>
  <c r="EM14" i="3"/>
  <c r="EL14" i="3"/>
  <c r="EK14" i="3"/>
  <c r="EO14" i="3" s="1"/>
  <c r="EJ14" i="3"/>
  <c r="EM13" i="3"/>
  <c r="EL13" i="3"/>
  <c r="EK13" i="3"/>
  <c r="EJ13" i="3"/>
  <c r="EN13" i="3" s="1"/>
  <c r="EM12" i="3"/>
  <c r="EO12" i="3" s="1"/>
  <c r="EL12" i="3"/>
  <c r="EK12" i="3"/>
  <c r="EJ12" i="3"/>
  <c r="EN12" i="3" s="1"/>
  <c r="EM11" i="3"/>
  <c r="EL11" i="3"/>
  <c r="EK11" i="3"/>
  <c r="EJ11" i="3"/>
  <c r="EM10" i="3"/>
  <c r="EL10" i="3"/>
  <c r="EK10" i="3"/>
  <c r="EO10" i="3" s="1"/>
  <c r="EJ10" i="3"/>
  <c r="EN10" i="3" s="1"/>
  <c r="EP10" i="3" s="1"/>
  <c r="EM9" i="3"/>
  <c r="EL9" i="3"/>
  <c r="EK9" i="3"/>
  <c r="EJ9" i="3"/>
  <c r="EM8" i="3"/>
  <c r="EL8" i="3"/>
  <c r="EK8" i="3"/>
  <c r="EO8" i="3" s="1"/>
  <c r="EJ8" i="3"/>
  <c r="EM7" i="3"/>
  <c r="EL7" i="3"/>
  <c r="EK7" i="3"/>
  <c r="EJ7" i="3"/>
  <c r="EN7" i="3" s="1"/>
  <c r="EI5" i="3"/>
  <c r="EH5" i="3"/>
  <c r="EG5" i="3"/>
  <c r="EF5" i="3"/>
  <c r="EE5" i="3"/>
  <c r="ED5" i="3"/>
  <c r="EC5" i="3"/>
  <c r="EB5" i="3"/>
  <c r="EA5" i="3"/>
  <c r="DZ5" i="3"/>
  <c r="DY5" i="3"/>
  <c r="DX5" i="3"/>
  <c r="DW5" i="3"/>
  <c r="DV5" i="3"/>
  <c r="DU5" i="3"/>
  <c r="DT5" i="3"/>
  <c r="DS5" i="3"/>
  <c r="DR5" i="3"/>
  <c r="DQ5" i="3"/>
  <c r="DP5" i="3"/>
  <c r="DO5" i="3"/>
  <c r="DN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HK36" i="2"/>
  <c r="HJ36" i="2"/>
  <c r="HI36" i="2"/>
  <c r="HH36" i="2"/>
  <c r="HG36" i="2"/>
  <c r="HF36" i="2"/>
  <c r="HE36" i="2"/>
  <c r="HD36" i="2"/>
  <c r="HK35" i="2"/>
  <c r="HJ35" i="2"/>
  <c r="HI35" i="2"/>
  <c r="HH35" i="2"/>
  <c r="HG35" i="2"/>
  <c r="HF35" i="2"/>
  <c r="HE35" i="2"/>
  <c r="HD35" i="2"/>
  <c r="HK34" i="2"/>
  <c r="HJ34" i="2"/>
  <c r="HI34" i="2"/>
  <c r="HH34" i="2"/>
  <c r="HG34" i="2"/>
  <c r="HF34" i="2"/>
  <c r="HE34" i="2"/>
  <c r="HD34" i="2"/>
  <c r="HK33" i="2"/>
  <c r="HJ33" i="2"/>
  <c r="HI33" i="2"/>
  <c r="HH33" i="2"/>
  <c r="HG33" i="2"/>
  <c r="HF33" i="2"/>
  <c r="HE33" i="2"/>
  <c r="HD33" i="2"/>
  <c r="HK32" i="2"/>
  <c r="HJ32" i="2"/>
  <c r="HI32" i="2"/>
  <c r="HH32" i="2"/>
  <c r="HG32" i="2"/>
  <c r="HF32" i="2"/>
  <c r="HE32" i="2"/>
  <c r="HD32" i="2"/>
  <c r="HK31" i="2"/>
  <c r="HJ31" i="2"/>
  <c r="HI31" i="2"/>
  <c r="HH31" i="2"/>
  <c r="HG31" i="2"/>
  <c r="HM31" i="2" s="1"/>
  <c r="HF31" i="2"/>
  <c r="HE31" i="2"/>
  <c r="HD31" i="2"/>
  <c r="HK30" i="2"/>
  <c r="HJ30" i="2"/>
  <c r="HI30" i="2"/>
  <c r="HH30" i="2"/>
  <c r="HG30" i="2"/>
  <c r="HF30" i="2"/>
  <c r="HE30" i="2"/>
  <c r="HD30" i="2"/>
  <c r="HK29" i="2"/>
  <c r="HJ29" i="2"/>
  <c r="HI29" i="2"/>
  <c r="HH29" i="2"/>
  <c r="HG29" i="2"/>
  <c r="HF29" i="2"/>
  <c r="HE29" i="2"/>
  <c r="HD29" i="2"/>
  <c r="HK28" i="2"/>
  <c r="HJ28" i="2"/>
  <c r="HI28" i="2"/>
  <c r="HH28" i="2"/>
  <c r="HG28" i="2"/>
  <c r="HF28" i="2"/>
  <c r="HE28" i="2"/>
  <c r="HD28" i="2"/>
  <c r="HK27" i="2"/>
  <c r="HJ27" i="2"/>
  <c r="HI27" i="2"/>
  <c r="HH27" i="2"/>
  <c r="HG27" i="2"/>
  <c r="HF27" i="2"/>
  <c r="HE27" i="2"/>
  <c r="HD27" i="2"/>
  <c r="HK26" i="2"/>
  <c r="HJ26" i="2"/>
  <c r="HI26" i="2"/>
  <c r="HH26" i="2"/>
  <c r="HG26" i="2"/>
  <c r="HF26" i="2"/>
  <c r="HE26" i="2"/>
  <c r="HD26" i="2"/>
  <c r="HK25" i="2"/>
  <c r="HJ25" i="2"/>
  <c r="HI25" i="2"/>
  <c r="HH25" i="2"/>
  <c r="HG25" i="2"/>
  <c r="HF25" i="2"/>
  <c r="HE25" i="2"/>
  <c r="HD25" i="2"/>
  <c r="HK24" i="2"/>
  <c r="HJ24" i="2"/>
  <c r="HI24" i="2"/>
  <c r="HH24" i="2"/>
  <c r="HG24" i="2"/>
  <c r="HF24" i="2"/>
  <c r="HE24" i="2"/>
  <c r="HD24" i="2"/>
  <c r="HK23" i="2"/>
  <c r="HJ23" i="2"/>
  <c r="HI23" i="2"/>
  <c r="HH23" i="2"/>
  <c r="HG23" i="2"/>
  <c r="HF23" i="2"/>
  <c r="HE23" i="2"/>
  <c r="HD23" i="2"/>
  <c r="HK22" i="2"/>
  <c r="HJ22" i="2"/>
  <c r="HI22" i="2"/>
  <c r="HH22" i="2"/>
  <c r="HG22" i="2"/>
  <c r="HF22" i="2"/>
  <c r="HE22" i="2"/>
  <c r="HD22" i="2"/>
  <c r="HK21" i="2"/>
  <c r="HJ21" i="2"/>
  <c r="HI21" i="2"/>
  <c r="HH21" i="2"/>
  <c r="HG21" i="2"/>
  <c r="HF21" i="2"/>
  <c r="HE21" i="2"/>
  <c r="HM21" i="2" s="1"/>
  <c r="HD21" i="2"/>
  <c r="HK20" i="2"/>
  <c r="HJ20" i="2"/>
  <c r="HI20" i="2"/>
  <c r="HH20" i="2"/>
  <c r="HG20" i="2"/>
  <c r="HF20" i="2"/>
  <c r="HE20" i="2"/>
  <c r="HD20" i="2"/>
  <c r="HK19" i="2"/>
  <c r="HJ19" i="2"/>
  <c r="HI19" i="2"/>
  <c r="HH19" i="2"/>
  <c r="HG19" i="2"/>
  <c r="HF19" i="2"/>
  <c r="HE19" i="2"/>
  <c r="HD19" i="2"/>
  <c r="HK18" i="2"/>
  <c r="HJ18" i="2"/>
  <c r="HI18" i="2"/>
  <c r="HH18" i="2"/>
  <c r="HG18" i="2"/>
  <c r="HF18" i="2"/>
  <c r="HE18" i="2"/>
  <c r="HD18" i="2"/>
  <c r="HK17" i="2"/>
  <c r="HJ17" i="2"/>
  <c r="HI17" i="2"/>
  <c r="HH17" i="2"/>
  <c r="HG17" i="2"/>
  <c r="HF17" i="2"/>
  <c r="HE17" i="2"/>
  <c r="HD17" i="2"/>
  <c r="HK16" i="2"/>
  <c r="HJ16" i="2"/>
  <c r="HI16" i="2"/>
  <c r="HH16" i="2"/>
  <c r="HG16" i="2"/>
  <c r="HM16" i="2" s="1"/>
  <c r="HF16" i="2"/>
  <c r="HE16" i="2"/>
  <c r="HD16" i="2"/>
  <c r="HK15" i="2"/>
  <c r="HJ15" i="2"/>
  <c r="HI15" i="2"/>
  <c r="HH15" i="2"/>
  <c r="HG15" i="2"/>
  <c r="HF15" i="2"/>
  <c r="HE15" i="2"/>
  <c r="HD15" i="2"/>
  <c r="HK14" i="2"/>
  <c r="HJ14" i="2"/>
  <c r="HI14" i="2"/>
  <c r="HH14" i="2"/>
  <c r="HG14" i="2"/>
  <c r="HF14" i="2"/>
  <c r="HE14" i="2"/>
  <c r="HD14" i="2"/>
  <c r="HK13" i="2"/>
  <c r="HJ13" i="2"/>
  <c r="HI13" i="2"/>
  <c r="HH13" i="2"/>
  <c r="HG13" i="2"/>
  <c r="HF13" i="2"/>
  <c r="HE13" i="2"/>
  <c r="HD13" i="2"/>
  <c r="HK12" i="2"/>
  <c r="HJ12" i="2"/>
  <c r="HI12" i="2"/>
  <c r="HH12" i="2"/>
  <c r="HG12" i="2"/>
  <c r="HF12" i="2"/>
  <c r="HE12" i="2"/>
  <c r="HM12" i="2" s="1"/>
  <c r="HD12" i="2"/>
  <c r="HL12" i="2" s="1"/>
  <c r="HN12" i="2" s="1"/>
  <c r="HK11" i="2"/>
  <c r="HJ11" i="2"/>
  <c r="HI11" i="2"/>
  <c r="HH11" i="2"/>
  <c r="HG11" i="2"/>
  <c r="HF11" i="2"/>
  <c r="HE11" i="2"/>
  <c r="HD11" i="2"/>
  <c r="HK10" i="2"/>
  <c r="HJ10" i="2"/>
  <c r="HI10" i="2"/>
  <c r="HH10" i="2"/>
  <c r="HG10" i="2"/>
  <c r="HF10" i="2"/>
  <c r="HE10" i="2"/>
  <c r="HD10" i="2"/>
  <c r="HK9" i="2"/>
  <c r="HJ9" i="2"/>
  <c r="HI9" i="2"/>
  <c r="HH9" i="2"/>
  <c r="HG9" i="2"/>
  <c r="HF9" i="2"/>
  <c r="HE9" i="2"/>
  <c r="HM9" i="2" s="1"/>
  <c r="HD9" i="2"/>
  <c r="HL9" i="2" s="1"/>
  <c r="HN9" i="2" s="1"/>
  <c r="HK8" i="2"/>
  <c r="HJ8" i="2"/>
  <c r="HI8" i="2"/>
  <c r="HH8" i="2"/>
  <c r="HG8" i="2"/>
  <c r="HF8" i="2"/>
  <c r="HE8" i="2"/>
  <c r="HD8" i="2"/>
  <c r="HK7" i="2"/>
  <c r="HJ7" i="2"/>
  <c r="HI7" i="2"/>
  <c r="HH7" i="2"/>
  <c r="HG7" i="2"/>
  <c r="HF7" i="2"/>
  <c r="HE7" i="2"/>
  <c r="HD7" i="2"/>
  <c r="HC5" i="2"/>
  <c r="HB5" i="2"/>
  <c r="HA5" i="2"/>
  <c r="GZ5" i="2"/>
  <c r="GY5" i="2"/>
  <c r="GX5" i="2"/>
  <c r="GW5" i="2"/>
  <c r="GV5" i="2"/>
  <c r="GU5" i="2"/>
  <c r="GT5" i="2"/>
  <c r="GS5" i="2"/>
  <c r="GR5" i="2"/>
  <c r="GQ5" i="2"/>
  <c r="GP5" i="2"/>
  <c r="GO5" i="2"/>
  <c r="GN5" i="2"/>
  <c r="GM5" i="2"/>
  <c r="GL5" i="2"/>
  <c r="GK5" i="2"/>
  <c r="GJ5" i="2"/>
  <c r="GI5" i="2"/>
  <c r="GH5" i="2"/>
  <c r="GG5" i="2"/>
  <c r="GF5" i="2"/>
  <c r="GE5" i="2"/>
  <c r="GD5" i="2"/>
  <c r="GC5" i="2"/>
  <c r="GB5" i="2"/>
  <c r="GA5" i="2"/>
  <c r="FZ5" i="2"/>
  <c r="FY5" i="2"/>
  <c r="FX5" i="2"/>
  <c r="FW5" i="2"/>
  <c r="FV5" i="2"/>
  <c r="FU5" i="2"/>
  <c r="FT5" i="2"/>
  <c r="FS5" i="2"/>
  <c r="FR5" i="2"/>
  <c r="FQ5" i="2"/>
  <c r="FP5" i="2"/>
  <c r="FO5" i="2"/>
  <c r="FN5" i="2"/>
  <c r="FM5" i="2"/>
  <c r="FL5" i="2"/>
  <c r="FK5" i="2"/>
  <c r="FJ5" i="2"/>
  <c r="FI5" i="2"/>
  <c r="FH5" i="2"/>
  <c r="FG5" i="2"/>
  <c r="FF5" i="2"/>
  <c r="FE5" i="2"/>
  <c r="FD5" i="2"/>
  <c r="FC5" i="2"/>
  <c r="FB5" i="2"/>
  <c r="FA5" i="2"/>
  <c r="EZ5" i="2"/>
  <c r="EY5" i="2"/>
  <c r="EX5" i="2"/>
  <c r="EW5" i="2"/>
  <c r="EV5" i="2"/>
  <c r="EU5" i="2"/>
  <c r="ET5" i="2"/>
  <c r="ES5" i="2"/>
  <c r="ER5" i="2"/>
  <c r="EQ5" i="2"/>
  <c r="EP5" i="2"/>
  <c r="EO5" i="2"/>
  <c r="EN5" i="2"/>
  <c r="EM5" i="2"/>
  <c r="EL5" i="2"/>
  <c r="EK5" i="2"/>
  <c r="EJ5" i="2"/>
  <c r="EI5" i="2"/>
  <c r="EH5" i="2"/>
  <c r="EG5" i="2"/>
  <c r="EF5" i="2"/>
  <c r="EE5" i="2"/>
  <c r="ED5" i="2"/>
  <c r="EC5" i="2"/>
  <c r="EB5" i="2"/>
  <c r="EA5" i="2"/>
  <c r="DZ5" i="2"/>
  <c r="DY5" i="2"/>
  <c r="DX5" i="2"/>
  <c r="DW5" i="2"/>
  <c r="DV5" i="2"/>
  <c r="DU5" i="2"/>
  <c r="DT5" i="2"/>
  <c r="DS5" i="2"/>
  <c r="DR5" i="2"/>
  <c r="DQ5" i="2"/>
  <c r="DP5" i="2"/>
  <c r="DO5" i="2"/>
  <c r="DN5" i="2"/>
  <c r="DM5" i="2"/>
  <c r="DL5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NG74" i="1"/>
  <c r="NF74" i="1"/>
  <c r="NE74" i="1"/>
  <c r="ND74" i="1"/>
  <c r="NC74" i="1"/>
  <c r="NB74" i="1"/>
  <c r="NA74" i="1"/>
  <c r="MZ74" i="1"/>
  <c r="MY74" i="1"/>
  <c r="MX74" i="1"/>
  <c r="MW74" i="1"/>
  <c r="MV74" i="1"/>
  <c r="MU74" i="1"/>
  <c r="MT74" i="1"/>
  <c r="MS74" i="1"/>
  <c r="MR74" i="1"/>
  <c r="NG73" i="1"/>
  <c r="NF73" i="1"/>
  <c r="NE73" i="1"/>
  <c r="ND73" i="1"/>
  <c r="NC73" i="1"/>
  <c r="NB73" i="1"/>
  <c r="NA73" i="1"/>
  <c r="MZ73" i="1"/>
  <c r="MY73" i="1"/>
  <c r="MX73" i="1"/>
  <c r="MW73" i="1"/>
  <c r="MV73" i="1"/>
  <c r="MU73" i="1"/>
  <c r="MT73" i="1"/>
  <c r="MS73" i="1"/>
  <c r="MR73" i="1"/>
  <c r="NG72" i="1"/>
  <c r="NF72" i="1"/>
  <c r="NE72" i="1"/>
  <c r="ND72" i="1"/>
  <c r="NC72" i="1"/>
  <c r="NB72" i="1"/>
  <c r="NA72" i="1"/>
  <c r="MZ72" i="1"/>
  <c r="MY72" i="1"/>
  <c r="MX72" i="1"/>
  <c r="MW72" i="1"/>
  <c r="MV72" i="1"/>
  <c r="MU72" i="1"/>
  <c r="MT72" i="1"/>
  <c r="MS72" i="1"/>
  <c r="MR72" i="1"/>
  <c r="NG71" i="1"/>
  <c r="NF71" i="1"/>
  <c r="NE71" i="1"/>
  <c r="ND71" i="1"/>
  <c r="NC71" i="1"/>
  <c r="NB71" i="1"/>
  <c r="NA71" i="1"/>
  <c r="MZ71" i="1"/>
  <c r="MY71" i="1"/>
  <c r="MX71" i="1"/>
  <c r="MW71" i="1"/>
  <c r="MV71" i="1"/>
  <c r="MU71" i="1"/>
  <c r="MT71" i="1"/>
  <c r="MS71" i="1"/>
  <c r="MR71" i="1"/>
  <c r="NG70" i="1"/>
  <c r="NF70" i="1"/>
  <c r="NE70" i="1"/>
  <c r="ND70" i="1"/>
  <c r="NC70" i="1"/>
  <c r="NB70" i="1"/>
  <c r="NA70" i="1"/>
  <c r="MZ70" i="1"/>
  <c r="MY70" i="1"/>
  <c r="MX70" i="1"/>
  <c r="MW70" i="1"/>
  <c r="MV70" i="1"/>
  <c r="MU70" i="1"/>
  <c r="MT70" i="1"/>
  <c r="MS70" i="1"/>
  <c r="MR70" i="1"/>
  <c r="NG69" i="1"/>
  <c r="NF69" i="1"/>
  <c r="NE69" i="1"/>
  <c r="ND69" i="1"/>
  <c r="NC69" i="1"/>
  <c r="NB69" i="1"/>
  <c r="NA69" i="1"/>
  <c r="MZ69" i="1"/>
  <c r="MY69" i="1"/>
  <c r="MX69" i="1"/>
  <c r="MW69" i="1"/>
  <c r="MV69" i="1"/>
  <c r="MU69" i="1"/>
  <c r="MT69" i="1"/>
  <c r="MS69" i="1"/>
  <c r="MR69" i="1"/>
  <c r="NG68" i="1"/>
  <c r="NF68" i="1"/>
  <c r="NE68" i="1"/>
  <c r="ND68" i="1"/>
  <c r="NC68" i="1"/>
  <c r="NB68" i="1"/>
  <c r="NA68" i="1"/>
  <c r="MZ68" i="1"/>
  <c r="MY68" i="1"/>
  <c r="MX68" i="1"/>
  <c r="MW68" i="1"/>
  <c r="MV68" i="1"/>
  <c r="MU68" i="1"/>
  <c r="MT68" i="1"/>
  <c r="MS68" i="1"/>
  <c r="MR68" i="1"/>
  <c r="NG67" i="1"/>
  <c r="NF67" i="1"/>
  <c r="NE67" i="1"/>
  <c r="ND67" i="1"/>
  <c r="NC67" i="1"/>
  <c r="NB67" i="1"/>
  <c r="NA67" i="1"/>
  <c r="MZ67" i="1"/>
  <c r="MY67" i="1"/>
  <c r="MX67" i="1"/>
  <c r="MW67" i="1"/>
  <c r="MV67" i="1"/>
  <c r="MU67" i="1"/>
  <c r="MT67" i="1"/>
  <c r="MS67" i="1"/>
  <c r="MR67" i="1"/>
  <c r="NG66" i="1"/>
  <c r="NF66" i="1"/>
  <c r="NE66" i="1"/>
  <c r="ND66" i="1"/>
  <c r="NC66" i="1"/>
  <c r="NB66" i="1"/>
  <c r="NA66" i="1"/>
  <c r="MZ66" i="1"/>
  <c r="MY66" i="1"/>
  <c r="MX66" i="1"/>
  <c r="MW66" i="1"/>
  <c r="MV66" i="1"/>
  <c r="MU66" i="1"/>
  <c r="MT66" i="1"/>
  <c r="MS66" i="1"/>
  <c r="MR66" i="1"/>
  <c r="NG65" i="1"/>
  <c r="NF65" i="1"/>
  <c r="NE65" i="1"/>
  <c r="ND65" i="1"/>
  <c r="NC65" i="1"/>
  <c r="NB65" i="1"/>
  <c r="NA65" i="1"/>
  <c r="MZ65" i="1"/>
  <c r="MY65" i="1"/>
  <c r="MX65" i="1"/>
  <c r="MW65" i="1"/>
  <c r="MV65" i="1"/>
  <c r="MU65" i="1"/>
  <c r="MT65" i="1"/>
  <c r="MS65" i="1"/>
  <c r="MR65" i="1"/>
  <c r="NG64" i="1"/>
  <c r="NF64" i="1"/>
  <c r="NE64" i="1"/>
  <c r="ND64" i="1"/>
  <c r="NC64" i="1"/>
  <c r="NB64" i="1"/>
  <c r="NA64" i="1"/>
  <c r="MZ64" i="1"/>
  <c r="MY64" i="1"/>
  <c r="MX64" i="1"/>
  <c r="MW64" i="1"/>
  <c r="MV64" i="1"/>
  <c r="MU64" i="1"/>
  <c r="MT64" i="1"/>
  <c r="MS64" i="1"/>
  <c r="MR64" i="1"/>
  <c r="NG63" i="1"/>
  <c r="NF63" i="1"/>
  <c r="NE63" i="1"/>
  <c r="ND63" i="1"/>
  <c r="NC63" i="1"/>
  <c r="NB63" i="1"/>
  <c r="NA63" i="1"/>
  <c r="MZ63" i="1"/>
  <c r="MY63" i="1"/>
  <c r="MX63" i="1"/>
  <c r="MW63" i="1"/>
  <c r="MV63" i="1"/>
  <c r="MU63" i="1"/>
  <c r="MT63" i="1"/>
  <c r="MS63" i="1"/>
  <c r="MR63" i="1"/>
  <c r="NG62" i="1"/>
  <c r="NF62" i="1"/>
  <c r="NE62" i="1"/>
  <c r="ND62" i="1"/>
  <c r="NC62" i="1"/>
  <c r="NB62" i="1"/>
  <c r="NA62" i="1"/>
  <c r="MZ62" i="1"/>
  <c r="MY62" i="1"/>
  <c r="MX62" i="1"/>
  <c r="MW62" i="1"/>
  <c r="MV62" i="1"/>
  <c r="MU62" i="1"/>
  <c r="MT62" i="1"/>
  <c r="MS62" i="1"/>
  <c r="MR62" i="1"/>
  <c r="NG61" i="1"/>
  <c r="NF61" i="1"/>
  <c r="NE61" i="1"/>
  <c r="ND61" i="1"/>
  <c r="NC61" i="1"/>
  <c r="NB61" i="1"/>
  <c r="NA61" i="1"/>
  <c r="MZ61" i="1"/>
  <c r="MY61" i="1"/>
  <c r="MX61" i="1"/>
  <c r="MW61" i="1"/>
  <c r="MV61" i="1"/>
  <c r="MU61" i="1"/>
  <c r="MT61" i="1"/>
  <c r="MS61" i="1"/>
  <c r="MR61" i="1"/>
  <c r="NG60" i="1"/>
  <c r="NF60" i="1"/>
  <c r="NE60" i="1"/>
  <c r="ND60" i="1"/>
  <c r="NC60" i="1"/>
  <c r="NB60" i="1"/>
  <c r="NA60" i="1"/>
  <c r="MZ60" i="1"/>
  <c r="MY60" i="1"/>
  <c r="MX60" i="1"/>
  <c r="MW60" i="1"/>
  <c r="MV60" i="1"/>
  <c r="MU60" i="1"/>
  <c r="MT60" i="1"/>
  <c r="MS60" i="1"/>
  <c r="MR60" i="1"/>
  <c r="NG59" i="1"/>
  <c r="NF59" i="1"/>
  <c r="NE59" i="1"/>
  <c r="ND59" i="1"/>
  <c r="NC59" i="1"/>
  <c r="NB59" i="1"/>
  <c r="NA59" i="1"/>
  <c r="MZ59" i="1"/>
  <c r="MY59" i="1"/>
  <c r="MX59" i="1"/>
  <c r="MW59" i="1"/>
  <c r="MV59" i="1"/>
  <c r="MU59" i="1"/>
  <c r="MT59" i="1"/>
  <c r="MS59" i="1"/>
  <c r="MR59" i="1"/>
  <c r="NG58" i="1"/>
  <c r="NF58" i="1"/>
  <c r="NE58" i="1"/>
  <c r="ND58" i="1"/>
  <c r="NC58" i="1"/>
  <c r="NB58" i="1"/>
  <c r="NA58" i="1"/>
  <c r="MZ58" i="1"/>
  <c r="MY58" i="1"/>
  <c r="MX58" i="1"/>
  <c r="MW58" i="1"/>
  <c r="MV58" i="1"/>
  <c r="MU58" i="1"/>
  <c r="MT58" i="1"/>
  <c r="MS58" i="1"/>
  <c r="MR58" i="1"/>
  <c r="NG57" i="1"/>
  <c r="NF57" i="1"/>
  <c r="NE57" i="1"/>
  <c r="ND57" i="1"/>
  <c r="NC57" i="1"/>
  <c r="NB57" i="1"/>
  <c r="NA57" i="1"/>
  <c r="MZ57" i="1"/>
  <c r="MY57" i="1"/>
  <c r="MX57" i="1"/>
  <c r="MW57" i="1"/>
  <c r="MV57" i="1"/>
  <c r="MU57" i="1"/>
  <c r="MT57" i="1"/>
  <c r="MS57" i="1"/>
  <c r="MR57" i="1"/>
  <c r="NG56" i="1"/>
  <c r="NF56" i="1"/>
  <c r="NE56" i="1"/>
  <c r="ND56" i="1"/>
  <c r="NC56" i="1"/>
  <c r="NB56" i="1"/>
  <c r="NA56" i="1"/>
  <c r="MZ56" i="1"/>
  <c r="MY56" i="1"/>
  <c r="MX56" i="1"/>
  <c r="MW56" i="1"/>
  <c r="MV56" i="1"/>
  <c r="MU56" i="1"/>
  <c r="MT56" i="1"/>
  <c r="MS56" i="1"/>
  <c r="MR56" i="1"/>
  <c r="NG55" i="1"/>
  <c r="NF55" i="1"/>
  <c r="NE55" i="1"/>
  <c r="ND55" i="1"/>
  <c r="NC55" i="1"/>
  <c r="NB55" i="1"/>
  <c r="NA55" i="1"/>
  <c r="MZ55" i="1"/>
  <c r="MY55" i="1"/>
  <c r="MX55" i="1"/>
  <c r="MW55" i="1"/>
  <c r="MV55" i="1"/>
  <c r="MU55" i="1"/>
  <c r="MT55" i="1"/>
  <c r="MS55" i="1"/>
  <c r="MR55" i="1"/>
  <c r="NG54" i="1"/>
  <c r="NF54" i="1"/>
  <c r="NE54" i="1"/>
  <c r="ND54" i="1"/>
  <c r="NC54" i="1"/>
  <c r="NB54" i="1"/>
  <c r="NA54" i="1"/>
  <c r="MZ54" i="1"/>
  <c r="MY54" i="1"/>
  <c r="MX54" i="1"/>
  <c r="MW54" i="1"/>
  <c r="MV54" i="1"/>
  <c r="MU54" i="1"/>
  <c r="MT54" i="1"/>
  <c r="MS54" i="1"/>
  <c r="MR54" i="1"/>
  <c r="NG53" i="1"/>
  <c r="NF53" i="1"/>
  <c r="NE53" i="1"/>
  <c r="ND53" i="1"/>
  <c r="NC53" i="1"/>
  <c r="NB53" i="1"/>
  <c r="NA53" i="1"/>
  <c r="MZ53" i="1"/>
  <c r="MY53" i="1"/>
  <c r="MX53" i="1"/>
  <c r="MW53" i="1"/>
  <c r="MV53" i="1"/>
  <c r="MU53" i="1"/>
  <c r="MT53" i="1"/>
  <c r="MS53" i="1"/>
  <c r="MR53" i="1"/>
  <c r="NG52" i="1"/>
  <c r="NF52" i="1"/>
  <c r="NE52" i="1"/>
  <c r="ND52" i="1"/>
  <c r="NC52" i="1"/>
  <c r="NB52" i="1"/>
  <c r="NA52" i="1"/>
  <c r="MZ52" i="1"/>
  <c r="MY52" i="1"/>
  <c r="MX52" i="1"/>
  <c r="MW52" i="1"/>
  <c r="MV52" i="1"/>
  <c r="MU52" i="1"/>
  <c r="MT52" i="1"/>
  <c r="MS52" i="1"/>
  <c r="MR52" i="1"/>
  <c r="NG51" i="1"/>
  <c r="NF51" i="1"/>
  <c r="NE51" i="1"/>
  <c r="ND51" i="1"/>
  <c r="NC51" i="1"/>
  <c r="NB51" i="1"/>
  <c r="NA51" i="1"/>
  <c r="MZ51" i="1"/>
  <c r="MY51" i="1"/>
  <c r="MX51" i="1"/>
  <c r="MW51" i="1"/>
  <c r="MV51" i="1"/>
  <c r="MU51" i="1"/>
  <c r="MT51" i="1"/>
  <c r="MS51" i="1"/>
  <c r="MR51" i="1"/>
  <c r="NG50" i="1"/>
  <c r="NF50" i="1"/>
  <c r="NE50" i="1"/>
  <c r="ND50" i="1"/>
  <c r="NC50" i="1"/>
  <c r="NB50" i="1"/>
  <c r="NA50" i="1"/>
  <c r="MZ50" i="1"/>
  <c r="MY50" i="1"/>
  <c r="MX50" i="1"/>
  <c r="MW50" i="1"/>
  <c r="MV50" i="1"/>
  <c r="MU50" i="1"/>
  <c r="MT50" i="1"/>
  <c r="MS50" i="1"/>
  <c r="MR50" i="1"/>
  <c r="NG49" i="1"/>
  <c r="NF49" i="1"/>
  <c r="NE49" i="1"/>
  <c r="ND49" i="1"/>
  <c r="NC49" i="1"/>
  <c r="NB49" i="1"/>
  <c r="NA49" i="1"/>
  <c r="MZ49" i="1"/>
  <c r="MY49" i="1"/>
  <c r="MX49" i="1"/>
  <c r="MW49" i="1"/>
  <c r="MV49" i="1"/>
  <c r="MU49" i="1"/>
  <c r="MT49" i="1"/>
  <c r="MS49" i="1"/>
  <c r="MR49" i="1"/>
  <c r="NG48" i="1"/>
  <c r="NF48" i="1"/>
  <c r="NE48" i="1"/>
  <c r="ND48" i="1"/>
  <c r="NC48" i="1"/>
  <c r="NB48" i="1"/>
  <c r="NA48" i="1"/>
  <c r="MZ48" i="1"/>
  <c r="MY48" i="1"/>
  <c r="MX48" i="1"/>
  <c r="MW48" i="1"/>
  <c r="MV48" i="1"/>
  <c r="MU48" i="1"/>
  <c r="MT48" i="1"/>
  <c r="MS48" i="1"/>
  <c r="MR48" i="1"/>
  <c r="NG47" i="1"/>
  <c r="NF47" i="1"/>
  <c r="NE47" i="1"/>
  <c r="ND47" i="1"/>
  <c r="NC47" i="1"/>
  <c r="NB47" i="1"/>
  <c r="NA47" i="1"/>
  <c r="MZ47" i="1"/>
  <c r="MY47" i="1"/>
  <c r="MX47" i="1"/>
  <c r="MW47" i="1"/>
  <c r="MV47" i="1"/>
  <c r="MU47" i="1"/>
  <c r="MT47" i="1"/>
  <c r="MS47" i="1"/>
  <c r="MR47" i="1"/>
  <c r="NG46" i="1"/>
  <c r="NF46" i="1"/>
  <c r="NE46" i="1"/>
  <c r="ND46" i="1"/>
  <c r="NC46" i="1"/>
  <c r="NB46" i="1"/>
  <c r="NA46" i="1"/>
  <c r="MZ46" i="1"/>
  <c r="MY46" i="1"/>
  <c r="MX46" i="1"/>
  <c r="MW46" i="1"/>
  <c r="MV46" i="1"/>
  <c r="MU46" i="1"/>
  <c r="MT46" i="1"/>
  <c r="MS46" i="1"/>
  <c r="MR46" i="1"/>
  <c r="NG45" i="1"/>
  <c r="NF45" i="1"/>
  <c r="NE45" i="1"/>
  <c r="ND45" i="1"/>
  <c r="NC45" i="1"/>
  <c r="NB45" i="1"/>
  <c r="NA45" i="1"/>
  <c r="MZ45" i="1"/>
  <c r="MY45" i="1"/>
  <c r="MX45" i="1"/>
  <c r="MW45" i="1"/>
  <c r="MV45" i="1"/>
  <c r="MU45" i="1"/>
  <c r="MT45" i="1"/>
  <c r="MS45" i="1"/>
  <c r="MR45" i="1"/>
  <c r="NG44" i="1"/>
  <c r="NF44" i="1"/>
  <c r="NE44" i="1"/>
  <c r="ND44" i="1"/>
  <c r="NC44" i="1"/>
  <c r="NB44" i="1"/>
  <c r="NA44" i="1"/>
  <c r="MZ44" i="1"/>
  <c r="MY44" i="1"/>
  <c r="MX44" i="1"/>
  <c r="MW44" i="1"/>
  <c r="MV44" i="1"/>
  <c r="MU44" i="1"/>
  <c r="MT44" i="1"/>
  <c r="MS44" i="1"/>
  <c r="MR44" i="1"/>
  <c r="NG43" i="1"/>
  <c r="NF43" i="1"/>
  <c r="NE43" i="1"/>
  <c r="ND43" i="1"/>
  <c r="NC43" i="1"/>
  <c r="NB43" i="1"/>
  <c r="NA43" i="1"/>
  <c r="MZ43" i="1"/>
  <c r="MY43" i="1"/>
  <c r="MX43" i="1"/>
  <c r="MW43" i="1"/>
  <c r="MV43" i="1"/>
  <c r="MU43" i="1"/>
  <c r="MT43" i="1"/>
  <c r="MS43" i="1"/>
  <c r="MR43" i="1"/>
  <c r="NG42" i="1"/>
  <c r="NF42" i="1"/>
  <c r="NE42" i="1"/>
  <c r="ND42" i="1"/>
  <c r="NC42" i="1"/>
  <c r="NB42" i="1"/>
  <c r="NA42" i="1"/>
  <c r="MZ42" i="1"/>
  <c r="MY42" i="1"/>
  <c r="MX42" i="1"/>
  <c r="MW42" i="1"/>
  <c r="MV42" i="1"/>
  <c r="MU42" i="1"/>
  <c r="MT42" i="1"/>
  <c r="MS42" i="1"/>
  <c r="MR42" i="1"/>
  <c r="NG41" i="1"/>
  <c r="NF41" i="1"/>
  <c r="NE41" i="1"/>
  <c r="ND41" i="1"/>
  <c r="NC41" i="1"/>
  <c r="NB41" i="1"/>
  <c r="NA41" i="1"/>
  <c r="MZ41" i="1"/>
  <c r="MY41" i="1"/>
  <c r="MX41" i="1"/>
  <c r="MW41" i="1"/>
  <c r="MV41" i="1"/>
  <c r="MU41" i="1"/>
  <c r="MT41" i="1"/>
  <c r="MS41" i="1"/>
  <c r="MR41" i="1"/>
  <c r="NG40" i="1"/>
  <c r="NF40" i="1"/>
  <c r="NE40" i="1"/>
  <c r="ND40" i="1"/>
  <c r="NC40" i="1"/>
  <c r="NB40" i="1"/>
  <c r="NA40" i="1"/>
  <c r="MZ40" i="1"/>
  <c r="MY40" i="1"/>
  <c r="MX40" i="1"/>
  <c r="MW40" i="1"/>
  <c r="MV40" i="1"/>
  <c r="MU40" i="1"/>
  <c r="MT40" i="1"/>
  <c r="MS40" i="1"/>
  <c r="MR40" i="1"/>
  <c r="NG39" i="1"/>
  <c r="NF39" i="1"/>
  <c r="NE39" i="1"/>
  <c r="ND39" i="1"/>
  <c r="NC39" i="1"/>
  <c r="NB39" i="1"/>
  <c r="NA39" i="1"/>
  <c r="MZ39" i="1"/>
  <c r="MY39" i="1"/>
  <c r="MX39" i="1"/>
  <c r="MW39" i="1"/>
  <c r="MV39" i="1"/>
  <c r="MU39" i="1"/>
  <c r="MT39" i="1"/>
  <c r="MS39" i="1"/>
  <c r="MR39" i="1"/>
  <c r="NG38" i="1"/>
  <c r="NF38" i="1"/>
  <c r="NE38" i="1"/>
  <c r="ND38" i="1"/>
  <c r="NC38" i="1"/>
  <c r="NB38" i="1"/>
  <c r="NA38" i="1"/>
  <c r="MZ38" i="1"/>
  <c r="MY38" i="1"/>
  <c r="MX38" i="1"/>
  <c r="MW38" i="1"/>
  <c r="MV38" i="1"/>
  <c r="MU38" i="1"/>
  <c r="MT38" i="1"/>
  <c r="MS38" i="1"/>
  <c r="MR38" i="1"/>
  <c r="NG37" i="1"/>
  <c r="NF37" i="1"/>
  <c r="NE37" i="1"/>
  <c r="ND37" i="1"/>
  <c r="NC37" i="1"/>
  <c r="NB37" i="1"/>
  <c r="NA37" i="1"/>
  <c r="MZ37" i="1"/>
  <c r="MY37" i="1"/>
  <c r="MX37" i="1"/>
  <c r="MW37" i="1"/>
  <c r="MV37" i="1"/>
  <c r="MU37" i="1"/>
  <c r="MT37" i="1"/>
  <c r="MS37" i="1"/>
  <c r="MR37" i="1"/>
  <c r="NG36" i="1"/>
  <c r="NF36" i="1"/>
  <c r="NE36" i="1"/>
  <c r="ND36" i="1"/>
  <c r="NC36" i="1"/>
  <c r="NB36" i="1"/>
  <c r="NA36" i="1"/>
  <c r="MZ36" i="1"/>
  <c r="MY36" i="1"/>
  <c r="MX36" i="1"/>
  <c r="MW36" i="1"/>
  <c r="MV36" i="1"/>
  <c r="MU36" i="1"/>
  <c r="MT36" i="1"/>
  <c r="MS36" i="1"/>
  <c r="MR36" i="1"/>
  <c r="NG35" i="1"/>
  <c r="NF35" i="1"/>
  <c r="NE35" i="1"/>
  <c r="ND35" i="1"/>
  <c r="NC35" i="1"/>
  <c r="NB35" i="1"/>
  <c r="NA35" i="1"/>
  <c r="MZ35" i="1"/>
  <c r="MY35" i="1"/>
  <c r="MX35" i="1"/>
  <c r="MW35" i="1"/>
  <c r="MV35" i="1"/>
  <c r="MU35" i="1"/>
  <c r="MT35" i="1"/>
  <c r="MS35" i="1"/>
  <c r="MR35" i="1"/>
  <c r="NG34" i="1"/>
  <c r="NF34" i="1"/>
  <c r="NE34" i="1"/>
  <c r="ND34" i="1"/>
  <c r="NC34" i="1"/>
  <c r="NB34" i="1"/>
  <c r="NA34" i="1"/>
  <c r="MZ34" i="1"/>
  <c r="MY34" i="1"/>
  <c r="MX34" i="1"/>
  <c r="MW34" i="1"/>
  <c r="MV34" i="1"/>
  <c r="MU34" i="1"/>
  <c r="MT34" i="1"/>
  <c r="MS34" i="1"/>
  <c r="MR34" i="1"/>
  <c r="NG33" i="1"/>
  <c r="NF33" i="1"/>
  <c r="NE33" i="1"/>
  <c r="ND33" i="1"/>
  <c r="NC33" i="1"/>
  <c r="NB33" i="1"/>
  <c r="NA33" i="1"/>
  <c r="MZ33" i="1"/>
  <c r="MY33" i="1"/>
  <c r="MX33" i="1"/>
  <c r="MW33" i="1"/>
  <c r="MV33" i="1"/>
  <c r="MU33" i="1"/>
  <c r="MT33" i="1"/>
  <c r="MS33" i="1"/>
  <c r="MR33" i="1"/>
  <c r="NG32" i="1"/>
  <c r="NF32" i="1"/>
  <c r="NE32" i="1"/>
  <c r="ND32" i="1"/>
  <c r="NC32" i="1"/>
  <c r="NB32" i="1"/>
  <c r="NA32" i="1"/>
  <c r="MZ32" i="1"/>
  <c r="MY32" i="1"/>
  <c r="MX32" i="1"/>
  <c r="MW32" i="1"/>
  <c r="MV32" i="1"/>
  <c r="MU32" i="1"/>
  <c r="MT32" i="1"/>
  <c r="MS32" i="1"/>
  <c r="MR32" i="1"/>
  <c r="NG31" i="1"/>
  <c r="NF31" i="1"/>
  <c r="NE31" i="1"/>
  <c r="ND31" i="1"/>
  <c r="NC31" i="1"/>
  <c r="NB31" i="1"/>
  <c r="NA31" i="1"/>
  <c r="MZ31" i="1"/>
  <c r="MY31" i="1"/>
  <c r="MX31" i="1"/>
  <c r="MW31" i="1"/>
  <c r="MV31" i="1"/>
  <c r="MU31" i="1"/>
  <c r="MT31" i="1"/>
  <c r="MS31" i="1"/>
  <c r="MR31" i="1"/>
  <c r="NG30" i="1"/>
  <c r="NF30" i="1"/>
  <c r="NE30" i="1"/>
  <c r="ND30" i="1"/>
  <c r="NC30" i="1"/>
  <c r="NB30" i="1"/>
  <c r="NA30" i="1"/>
  <c r="MZ30" i="1"/>
  <c r="MY30" i="1"/>
  <c r="MX30" i="1"/>
  <c r="MW30" i="1"/>
  <c r="MV30" i="1"/>
  <c r="MU30" i="1"/>
  <c r="MT30" i="1"/>
  <c r="MS30" i="1"/>
  <c r="MR30" i="1"/>
  <c r="NG29" i="1"/>
  <c r="NF29" i="1"/>
  <c r="NE29" i="1"/>
  <c r="ND29" i="1"/>
  <c r="NC29" i="1"/>
  <c r="NB29" i="1"/>
  <c r="NA29" i="1"/>
  <c r="MZ29" i="1"/>
  <c r="MY29" i="1"/>
  <c r="MX29" i="1"/>
  <c r="MW29" i="1"/>
  <c r="MV29" i="1"/>
  <c r="MU29" i="1"/>
  <c r="MT29" i="1"/>
  <c r="MS29" i="1"/>
  <c r="MR29" i="1"/>
  <c r="NG28" i="1"/>
  <c r="NF28" i="1"/>
  <c r="NE28" i="1"/>
  <c r="ND28" i="1"/>
  <c r="NC28" i="1"/>
  <c r="NB28" i="1"/>
  <c r="NA28" i="1"/>
  <c r="MZ28" i="1"/>
  <c r="MY28" i="1"/>
  <c r="MX28" i="1"/>
  <c r="MW28" i="1"/>
  <c r="MV28" i="1"/>
  <c r="MU28" i="1"/>
  <c r="MT28" i="1"/>
  <c r="MS28" i="1"/>
  <c r="MR28" i="1"/>
  <c r="NG27" i="1"/>
  <c r="NF27" i="1"/>
  <c r="NE27" i="1"/>
  <c r="ND27" i="1"/>
  <c r="NC27" i="1"/>
  <c r="NB27" i="1"/>
  <c r="NA27" i="1"/>
  <c r="MZ27" i="1"/>
  <c r="MY27" i="1"/>
  <c r="MX27" i="1"/>
  <c r="MW27" i="1"/>
  <c r="MV27" i="1"/>
  <c r="MU27" i="1"/>
  <c r="MT27" i="1"/>
  <c r="MS27" i="1"/>
  <c r="MR27" i="1"/>
  <c r="NG26" i="1"/>
  <c r="NF26" i="1"/>
  <c r="NE26" i="1"/>
  <c r="ND26" i="1"/>
  <c r="NC26" i="1"/>
  <c r="NB26" i="1"/>
  <c r="NA26" i="1"/>
  <c r="MZ26" i="1"/>
  <c r="MY26" i="1"/>
  <c r="MX26" i="1"/>
  <c r="MW26" i="1"/>
  <c r="MV26" i="1"/>
  <c r="MU26" i="1"/>
  <c r="MT26" i="1"/>
  <c r="MS26" i="1"/>
  <c r="MR26" i="1"/>
  <c r="NG25" i="1"/>
  <c r="NF25" i="1"/>
  <c r="NE25" i="1"/>
  <c r="ND25" i="1"/>
  <c r="NC25" i="1"/>
  <c r="NB25" i="1"/>
  <c r="NA25" i="1"/>
  <c r="MZ25" i="1"/>
  <c r="MY25" i="1"/>
  <c r="MX25" i="1"/>
  <c r="MW25" i="1"/>
  <c r="MV25" i="1"/>
  <c r="MU25" i="1"/>
  <c r="MT25" i="1"/>
  <c r="MS25" i="1"/>
  <c r="MR25" i="1"/>
  <c r="NG24" i="1"/>
  <c r="NF24" i="1"/>
  <c r="NE24" i="1"/>
  <c r="ND24" i="1"/>
  <c r="NC24" i="1"/>
  <c r="NB24" i="1"/>
  <c r="NA24" i="1"/>
  <c r="MZ24" i="1"/>
  <c r="MY24" i="1"/>
  <c r="MX24" i="1"/>
  <c r="MW24" i="1"/>
  <c r="MV24" i="1"/>
  <c r="MU24" i="1"/>
  <c r="MT24" i="1"/>
  <c r="MS24" i="1"/>
  <c r="MR24" i="1"/>
  <c r="NG23" i="1"/>
  <c r="NF23" i="1"/>
  <c r="NE23" i="1"/>
  <c r="ND23" i="1"/>
  <c r="NC23" i="1"/>
  <c r="NB23" i="1"/>
  <c r="NA23" i="1"/>
  <c r="MZ23" i="1"/>
  <c r="MY23" i="1"/>
  <c r="MX23" i="1"/>
  <c r="MW23" i="1"/>
  <c r="MV23" i="1"/>
  <c r="MU23" i="1"/>
  <c r="MT23" i="1"/>
  <c r="MS23" i="1"/>
  <c r="MR23" i="1"/>
  <c r="NG22" i="1"/>
  <c r="NF22" i="1"/>
  <c r="NE22" i="1"/>
  <c r="ND22" i="1"/>
  <c r="NC22" i="1"/>
  <c r="NB22" i="1"/>
  <c r="NA22" i="1"/>
  <c r="MZ22" i="1"/>
  <c r="MY22" i="1"/>
  <c r="MX22" i="1"/>
  <c r="MW22" i="1"/>
  <c r="MV22" i="1"/>
  <c r="MU22" i="1"/>
  <c r="MT22" i="1"/>
  <c r="MS22" i="1"/>
  <c r="MR22" i="1"/>
  <c r="NG21" i="1"/>
  <c r="NF21" i="1"/>
  <c r="NE21" i="1"/>
  <c r="ND21" i="1"/>
  <c r="NC21" i="1"/>
  <c r="NB21" i="1"/>
  <c r="NA21" i="1"/>
  <c r="MZ21" i="1"/>
  <c r="MY21" i="1"/>
  <c r="MX21" i="1"/>
  <c r="MW21" i="1"/>
  <c r="MV21" i="1"/>
  <c r="MU21" i="1"/>
  <c r="MT21" i="1"/>
  <c r="MS21" i="1"/>
  <c r="MR21" i="1"/>
  <c r="NG20" i="1"/>
  <c r="NF20" i="1"/>
  <c r="NE20" i="1"/>
  <c r="ND20" i="1"/>
  <c r="NC20" i="1"/>
  <c r="NB20" i="1"/>
  <c r="NA20" i="1"/>
  <c r="MZ20" i="1"/>
  <c r="MY20" i="1"/>
  <c r="MX20" i="1"/>
  <c r="MW20" i="1"/>
  <c r="MV20" i="1"/>
  <c r="MU20" i="1"/>
  <c r="MT20" i="1"/>
  <c r="MS20" i="1"/>
  <c r="MR20" i="1"/>
  <c r="NG19" i="1"/>
  <c r="NF19" i="1"/>
  <c r="NE19" i="1"/>
  <c r="ND19" i="1"/>
  <c r="NC19" i="1"/>
  <c r="NB19" i="1"/>
  <c r="NA19" i="1"/>
  <c r="MZ19" i="1"/>
  <c r="MY19" i="1"/>
  <c r="MX19" i="1"/>
  <c r="MW19" i="1"/>
  <c r="MV19" i="1"/>
  <c r="MU19" i="1"/>
  <c r="MT19" i="1"/>
  <c r="MS19" i="1"/>
  <c r="MR19" i="1"/>
  <c r="NG18" i="1"/>
  <c r="NF18" i="1"/>
  <c r="NE18" i="1"/>
  <c r="ND18" i="1"/>
  <c r="NC18" i="1"/>
  <c r="NB18" i="1"/>
  <c r="NA18" i="1"/>
  <c r="MZ18" i="1"/>
  <c r="MY18" i="1"/>
  <c r="MX18" i="1"/>
  <c r="MW18" i="1"/>
  <c r="MV18" i="1"/>
  <c r="MU18" i="1"/>
  <c r="MT18" i="1"/>
  <c r="MS18" i="1"/>
  <c r="MR18" i="1"/>
  <c r="NG17" i="1"/>
  <c r="NF17" i="1"/>
  <c r="NE17" i="1"/>
  <c r="ND17" i="1"/>
  <c r="NC17" i="1"/>
  <c r="NB17" i="1"/>
  <c r="NA17" i="1"/>
  <c r="MZ17" i="1"/>
  <c r="MY17" i="1"/>
  <c r="MX17" i="1"/>
  <c r="MW17" i="1"/>
  <c r="MV17" i="1"/>
  <c r="MU17" i="1"/>
  <c r="MT17" i="1"/>
  <c r="MS17" i="1"/>
  <c r="MR17" i="1"/>
  <c r="NG16" i="1"/>
  <c r="NF16" i="1"/>
  <c r="NE16" i="1"/>
  <c r="ND16" i="1"/>
  <c r="NC16" i="1"/>
  <c r="NB16" i="1"/>
  <c r="NA16" i="1"/>
  <c r="MZ16" i="1"/>
  <c r="MY16" i="1"/>
  <c r="MX16" i="1"/>
  <c r="MW16" i="1"/>
  <c r="MV16" i="1"/>
  <c r="MU16" i="1"/>
  <c r="MT16" i="1"/>
  <c r="MS16" i="1"/>
  <c r="MR16" i="1"/>
  <c r="NG15" i="1"/>
  <c r="NF15" i="1"/>
  <c r="NE15" i="1"/>
  <c r="ND15" i="1"/>
  <c r="NC15" i="1"/>
  <c r="NB15" i="1"/>
  <c r="NA15" i="1"/>
  <c r="MZ15" i="1"/>
  <c r="MY15" i="1"/>
  <c r="MX15" i="1"/>
  <c r="MW15" i="1"/>
  <c r="MV15" i="1"/>
  <c r="MU15" i="1"/>
  <c r="MT15" i="1"/>
  <c r="MS15" i="1"/>
  <c r="MR15" i="1"/>
  <c r="NG14" i="1"/>
  <c r="NF14" i="1"/>
  <c r="NE14" i="1"/>
  <c r="ND14" i="1"/>
  <c r="NC14" i="1"/>
  <c r="NB14" i="1"/>
  <c r="NA14" i="1"/>
  <c r="MZ14" i="1"/>
  <c r="MY14" i="1"/>
  <c r="MX14" i="1"/>
  <c r="MW14" i="1"/>
  <c r="MV14" i="1"/>
  <c r="MU14" i="1"/>
  <c r="MT14" i="1"/>
  <c r="MS14" i="1"/>
  <c r="MR14" i="1"/>
  <c r="NG13" i="1"/>
  <c r="NF13" i="1"/>
  <c r="NE13" i="1"/>
  <c r="ND13" i="1"/>
  <c r="NC13" i="1"/>
  <c r="NB13" i="1"/>
  <c r="NA13" i="1"/>
  <c r="MZ13" i="1"/>
  <c r="MY13" i="1"/>
  <c r="MX13" i="1"/>
  <c r="MW13" i="1"/>
  <c r="MV13" i="1"/>
  <c r="MU13" i="1"/>
  <c r="MT13" i="1"/>
  <c r="MS13" i="1"/>
  <c r="MR13" i="1"/>
  <c r="NG12" i="1"/>
  <c r="NF12" i="1"/>
  <c r="NE12" i="1"/>
  <c r="ND12" i="1"/>
  <c r="NC12" i="1"/>
  <c r="NB12" i="1"/>
  <c r="NA12" i="1"/>
  <c r="MZ12" i="1"/>
  <c r="MY12" i="1"/>
  <c r="MX12" i="1"/>
  <c r="MW12" i="1"/>
  <c r="MV12" i="1"/>
  <c r="MU12" i="1"/>
  <c r="MT12" i="1"/>
  <c r="MS12" i="1"/>
  <c r="MR12" i="1"/>
  <c r="NG11" i="1"/>
  <c r="NF11" i="1"/>
  <c r="NE11" i="1"/>
  <c r="ND11" i="1"/>
  <c r="NC11" i="1"/>
  <c r="NB11" i="1"/>
  <c r="NA11" i="1"/>
  <c r="MZ11" i="1"/>
  <c r="MY11" i="1"/>
  <c r="MX11" i="1"/>
  <c r="MW11" i="1"/>
  <c r="MV11" i="1"/>
  <c r="MU11" i="1"/>
  <c r="MT11" i="1"/>
  <c r="MS11" i="1"/>
  <c r="MR11" i="1"/>
  <c r="NG10" i="1"/>
  <c r="NF10" i="1"/>
  <c r="NE10" i="1"/>
  <c r="ND10" i="1"/>
  <c r="NC10" i="1"/>
  <c r="NB10" i="1"/>
  <c r="NA10" i="1"/>
  <c r="MZ10" i="1"/>
  <c r="MY10" i="1"/>
  <c r="MX10" i="1"/>
  <c r="MW10" i="1"/>
  <c r="MV10" i="1"/>
  <c r="MU10" i="1"/>
  <c r="MT10" i="1"/>
  <c r="MS10" i="1"/>
  <c r="MR10" i="1"/>
  <c r="NG9" i="1"/>
  <c r="NF9" i="1"/>
  <c r="NE9" i="1"/>
  <c r="ND9" i="1"/>
  <c r="NC9" i="1"/>
  <c r="NB9" i="1"/>
  <c r="NA9" i="1"/>
  <c r="MZ9" i="1"/>
  <c r="MY9" i="1"/>
  <c r="MX9" i="1"/>
  <c r="MW9" i="1"/>
  <c r="MV9" i="1"/>
  <c r="MU9" i="1"/>
  <c r="MT9" i="1"/>
  <c r="MS9" i="1"/>
  <c r="MR9" i="1"/>
  <c r="NG8" i="1"/>
  <c r="NF8" i="1"/>
  <c r="NE8" i="1"/>
  <c r="ND8" i="1"/>
  <c r="NC8" i="1"/>
  <c r="NC6" i="1" s="1"/>
  <c r="NB8" i="1"/>
  <c r="NA8" i="1"/>
  <c r="MZ8" i="1"/>
  <c r="MY8" i="1"/>
  <c r="MX8" i="1"/>
  <c r="MW8" i="1"/>
  <c r="MV8" i="1"/>
  <c r="MU8" i="1"/>
  <c r="MT8" i="1"/>
  <c r="MS8" i="1"/>
  <c r="MR8" i="1"/>
  <c r="NH8" i="1" s="1"/>
  <c r="NE6" i="1"/>
  <c r="MQ6" i="1"/>
  <c r="MP6" i="1"/>
  <c r="MO6" i="1"/>
  <c r="MN6" i="1"/>
  <c r="MM6" i="1"/>
  <c r="ML6" i="1"/>
  <c r="MK6" i="1"/>
  <c r="MJ6" i="1"/>
  <c r="MI6" i="1"/>
  <c r="MH6" i="1"/>
  <c r="MG6" i="1"/>
  <c r="MF6" i="1"/>
  <c r="ME6" i="1"/>
  <c r="MD6" i="1"/>
  <c r="MC6" i="1"/>
  <c r="MB6" i="1"/>
  <c r="MA6" i="1"/>
  <c r="LZ6" i="1"/>
  <c r="LY6" i="1"/>
  <c r="LX6" i="1"/>
  <c r="LW6" i="1"/>
  <c r="LV6" i="1"/>
  <c r="LU6" i="1"/>
  <c r="LT6" i="1"/>
  <c r="LS6" i="1"/>
  <c r="LR6" i="1"/>
  <c r="LQ6" i="1"/>
  <c r="LP6" i="1"/>
  <c r="LO6" i="1"/>
  <c r="LN6" i="1"/>
  <c r="LM6" i="1"/>
  <c r="LL6" i="1"/>
  <c r="LK6" i="1"/>
  <c r="LJ6" i="1"/>
  <c r="LI6" i="1"/>
  <c r="LH6" i="1"/>
  <c r="LG6" i="1"/>
  <c r="LF6" i="1"/>
  <c r="LE6" i="1"/>
  <c r="LD6" i="1"/>
  <c r="LC6" i="1"/>
  <c r="LB6" i="1"/>
  <c r="LA6" i="1"/>
  <c r="KZ6" i="1"/>
  <c r="KY6" i="1"/>
  <c r="KX6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NI32" i="1" l="1"/>
  <c r="D19" i="4"/>
  <c r="NI33" i="1"/>
  <c r="NI44" i="1"/>
  <c r="NI54" i="1"/>
  <c r="NI56" i="1"/>
  <c r="NI59" i="1"/>
  <c r="NI69" i="1"/>
  <c r="MY6" i="1"/>
  <c r="E67" i="4"/>
  <c r="MZ6" i="1"/>
  <c r="ND6" i="1"/>
  <c r="C19" i="4"/>
  <c r="C23" i="4"/>
  <c r="E55" i="4"/>
  <c r="E61" i="4"/>
  <c r="D23" i="4"/>
  <c r="NI35" i="1"/>
  <c r="NI39" i="1"/>
  <c r="NI41" i="1"/>
  <c r="NI45" i="1"/>
  <c r="NI47" i="1"/>
  <c r="NJ47" i="1" s="1"/>
  <c r="NI51" i="1"/>
  <c r="NI63" i="1"/>
  <c r="NI68" i="1"/>
  <c r="NI71" i="1"/>
  <c r="NA6" i="1"/>
  <c r="D21" i="4"/>
  <c r="E59" i="4"/>
  <c r="E63" i="4"/>
  <c r="D25" i="4"/>
  <c r="NI36" i="1"/>
  <c r="NI38" i="1"/>
  <c r="NI53" i="1"/>
  <c r="NI57" i="1"/>
  <c r="NI60" i="1"/>
  <c r="NI65" i="1"/>
  <c r="NI74" i="1"/>
  <c r="NB6" i="1"/>
  <c r="HL31" i="2"/>
  <c r="HN31" i="2" s="1"/>
  <c r="HG5" i="2"/>
  <c r="HL8" i="2"/>
  <c r="HH5" i="2"/>
  <c r="HL21" i="2"/>
  <c r="HN21" i="2" s="1"/>
  <c r="HM22" i="2"/>
  <c r="H42" i="4"/>
  <c r="HL7" i="2"/>
  <c r="HM28" i="2"/>
  <c r="HL26" i="2"/>
  <c r="HL22" i="2"/>
  <c r="HL34" i="2"/>
  <c r="HN34" i="2" s="1"/>
  <c r="H47" i="4"/>
  <c r="F16" i="4"/>
  <c r="F22" i="4"/>
  <c r="F24" i="4"/>
  <c r="H24" i="4" s="1"/>
  <c r="HL20" i="2"/>
  <c r="HN20" i="2" s="1"/>
  <c r="HM32" i="2"/>
  <c r="HM34" i="2"/>
  <c r="G12" i="4"/>
  <c r="G16" i="4"/>
  <c r="G20" i="4"/>
  <c r="EO13" i="3"/>
  <c r="EN20" i="3"/>
  <c r="K38" i="4"/>
  <c r="EO29" i="3"/>
  <c r="EN27" i="3"/>
  <c r="EO25" i="3"/>
  <c r="EO11" i="3"/>
  <c r="EO15" i="3"/>
  <c r="EO18" i="3"/>
  <c r="EO21" i="3"/>
  <c r="EP21" i="3" s="1"/>
  <c r="EO27" i="3"/>
  <c r="EP27" i="3" s="1"/>
  <c r="I18" i="4"/>
  <c r="EN11" i="3"/>
  <c r="EN9" i="3"/>
  <c r="EN24" i="3"/>
  <c r="EN29" i="3"/>
  <c r="EO24" i="3"/>
  <c r="EP24" i="3" s="1"/>
  <c r="I10" i="4"/>
  <c r="EN15" i="3"/>
  <c r="EO17" i="3"/>
  <c r="EP17" i="3" s="1"/>
  <c r="EO20" i="3"/>
  <c r="EP20" i="3" s="1"/>
  <c r="EN28" i="3"/>
  <c r="K40" i="4"/>
  <c r="EP29" i="3"/>
  <c r="EP23" i="3"/>
  <c r="EN8" i="3"/>
  <c r="EP8" i="3" s="1"/>
  <c r="I9" i="4"/>
  <c r="K9" i="4" s="1"/>
  <c r="I13" i="4"/>
  <c r="J13" i="4"/>
  <c r="I17" i="4"/>
  <c r="K17" i="4" s="1"/>
  <c r="I21" i="4"/>
  <c r="K21" i="4" s="1"/>
  <c r="EN16" i="3"/>
  <c r="K65" i="4"/>
  <c r="J21" i="4"/>
  <c r="K69" i="4"/>
  <c r="I25" i="4"/>
  <c r="K25" i="4" s="1"/>
  <c r="EN19" i="3"/>
  <c r="EP19" i="3" s="1"/>
  <c r="I14" i="4"/>
  <c r="K57" i="4"/>
  <c r="K61" i="4"/>
  <c r="EO9" i="3"/>
  <c r="EP9" i="3" s="1"/>
  <c r="J8" i="4"/>
  <c r="J12" i="4"/>
  <c r="H34" i="4"/>
  <c r="HM7" i="2"/>
  <c r="HM24" i="2"/>
  <c r="HL27" i="2"/>
  <c r="HM20" i="2"/>
  <c r="HL33" i="2"/>
  <c r="G14" i="4"/>
  <c r="H68" i="4"/>
  <c r="G22" i="4"/>
  <c r="HL30" i="2"/>
  <c r="HM10" i="2"/>
  <c r="HL19" i="2"/>
  <c r="HL23" i="2"/>
  <c r="HL29" i="2"/>
  <c r="F9" i="4"/>
  <c r="HL16" i="2"/>
  <c r="HN16" i="2" s="1"/>
  <c r="HM13" i="2"/>
  <c r="HM17" i="2"/>
  <c r="HM23" i="2"/>
  <c r="F11" i="4"/>
  <c r="HL25" i="2"/>
  <c r="HM30" i="2"/>
  <c r="HM33" i="2"/>
  <c r="G49" i="4"/>
  <c r="HL11" i="2"/>
  <c r="HM15" i="2"/>
  <c r="HM19" i="2"/>
  <c r="HM25" i="2"/>
  <c r="HN25" i="2" s="1"/>
  <c r="HL32" i="2"/>
  <c r="HN32" i="2" s="1"/>
  <c r="HL36" i="2"/>
  <c r="HM11" i="2"/>
  <c r="F14" i="4"/>
  <c r="HM8" i="2"/>
  <c r="HM14" i="2"/>
  <c r="HM18" i="2"/>
  <c r="HM29" i="2"/>
  <c r="HL35" i="2"/>
  <c r="HL10" i="2"/>
  <c r="HN10" i="2" s="1"/>
  <c r="HL14" i="2"/>
  <c r="HL18" i="2"/>
  <c r="HN18" i="2" s="1"/>
  <c r="HL24" i="2"/>
  <c r="HM35" i="2"/>
  <c r="G72" i="4"/>
  <c r="E9" i="4"/>
  <c r="NH14" i="1"/>
  <c r="NJ14" i="1" s="1"/>
  <c r="NH20" i="1"/>
  <c r="NH26" i="1"/>
  <c r="NH32" i="1"/>
  <c r="NJ32" i="1" s="1"/>
  <c r="NI8" i="1"/>
  <c r="NJ8" i="1" s="1"/>
  <c r="NI9" i="1"/>
  <c r="NI11" i="1"/>
  <c r="NI12" i="1"/>
  <c r="NI15" i="1"/>
  <c r="NI17" i="1"/>
  <c r="NI20" i="1"/>
  <c r="NI21" i="1"/>
  <c r="NI23" i="1"/>
  <c r="NI24" i="1"/>
  <c r="NI26" i="1"/>
  <c r="NI27" i="1"/>
  <c r="NI29" i="1"/>
  <c r="D10" i="4"/>
  <c r="C11" i="4"/>
  <c r="E11" i="4" s="1"/>
  <c r="D11" i="4"/>
  <c r="C15" i="4"/>
  <c r="E15" i="4" s="1"/>
  <c r="NH21" i="1"/>
  <c r="NH28" i="1"/>
  <c r="NH25" i="1"/>
  <c r="NH57" i="1"/>
  <c r="NH64" i="1"/>
  <c r="NJ64" i="1" s="1"/>
  <c r="D17" i="4"/>
  <c r="NH13" i="1"/>
  <c r="NH27" i="1"/>
  <c r="NJ27" i="1" s="1"/>
  <c r="NH36" i="1"/>
  <c r="NH42" i="1"/>
  <c r="NH70" i="1"/>
  <c r="C49" i="4"/>
  <c r="NH9" i="1"/>
  <c r="NH31" i="1"/>
  <c r="NI25" i="1"/>
  <c r="NH39" i="1"/>
  <c r="NH61" i="1"/>
  <c r="D13" i="4"/>
  <c r="E13" i="4" s="1"/>
  <c r="E69" i="4"/>
  <c r="NH12" i="1"/>
  <c r="NH19" i="1"/>
  <c r="NI10" i="1"/>
  <c r="NJ10" i="1" s="1"/>
  <c r="NI19" i="1"/>
  <c r="NI31" i="1"/>
  <c r="NH34" i="1"/>
  <c r="NH46" i="1"/>
  <c r="NH48" i="1"/>
  <c r="NH60" i="1"/>
  <c r="NH63" i="1"/>
  <c r="NH67" i="1"/>
  <c r="NJ67" i="1" s="1"/>
  <c r="NI37" i="1"/>
  <c r="NI73" i="1"/>
  <c r="NI16" i="1"/>
  <c r="NJ16" i="1" s="1"/>
  <c r="NI28" i="1"/>
  <c r="NH10" i="1"/>
  <c r="NH18" i="1"/>
  <c r="NH24" i="1"/>
  <c r="NH55" i="1"/>
  <c r="NH69" i="1"/>
  <c r="NI58" i="1"/>
  <c r="NH15" i="1"/>
  <c r="NJ15" i="1" s="1"/>
  <c r="NI13" i="1"/>
  <c r="NH43" i="1"/>
  <c r="NH58" i="1"/>
  <c r="NH73" i="1"/>
  <c r="NJ73" i="1" s="1"/>
  <c r="NI61" i="1"/>
  <c r="NI67" i="1"/>
  <c r="C17" i="4"/>
  <c r="C8" i="4"/>
  <c r="NI72" i="1"/>
  <c r="NH22" i="1"/>
  <c r="NH30" i="1"/>
  <c r="NJ30" i="1" s="1"/>
  <c r="NH52" i="1"/>
  <c r="NH66" i="1"/>
  <c r="NH72" i="1"/>
  <c r="NJ72" i="1" s="1"/>
  <c r="NI43" i="1"/>
  <c r="NI49" i="1"/>
  <c r="NI64" i="1"/>
  <c r="NH35" i="1"/>
  <c r="NH47" i="1"/>
  <c r="C21" i="4"/>
  <c r="NI42" i="1"/>
  <c r="NI48" i="1"/>
  <c r="NH16" i="1"/>
  <c r="MR6" i="1"/>
  <c r="NH40" i="1"/>
  <c r="NH51" i="1"/>
  <c r="NH54" i="1"/>
  <c r="NJ54" i="1" s="1"/>
  <c r="NI55" i="1"/>
  <c r="NJ55" i="1" s="1"/>
  <c r="E71" i="4"/>
  <c r="NH38" i="1"/>
  <c r="NH41" i="1"/>
  <c r="NH44" i="1"/>
  <c r="NH50" i="1"/>
  <c r="NH56" i="1"/>
  <c r="NH62" i="1"/>
  <c r="NH68" i="1"/>
  <c r="NJ68" i="1" s="1"/>
  <c r="NH74" i="1"/>
  <c r="NJ74" i="1" s="1"/>
  <c r="C10" i="4"/>
  <c r="C25" i="4"/>
  <c r="E25" i="4" s="1"/>
  <c r="E70" i="4"/>
  <c r="MS6" i="1"/>
  <c r="MW6" i="1"/>
  <c r="MX6" i="1"/>
  <c r="NI14" i="1"/>
  <c r="NI46" i="1"/>
  <c r="NJ46" i="1" s="1"/>
  <c r="NI62" i="1"/>
  <c r="NI18" i="1"/>
  <c r="NI40" i="1"/>
  <c r="NJ40" i="1" s="1"/>
  <c r="NI66" i="1"/>
  <c r="NJ66" i="1" s="1"/>
  <c r="NJ44" i="1"/>
  <c r="NJ58" i="1"/>
  <c r="NI30" i="1"/>
  <c r="NI52" i="1"/>
  <c r="NH53" i="1"/>
  <c r="NJ56" i="1"/>
  <c r="NJ69" i="1"/>
  <c r="NI22" i="1"/>
  <c r="NJ22" i="1" s="1"/>
  <c r="NI70" i="1"/>
  <c r="K37" i="4"/>
  <c r="J14" i="4"/>
  <c r="I16" i="4"/>
  <c r="K16" i="4" s="1"/>
  <c r="K39" i="4"/>
  <c r="NF6" i="1"/>
  <c r="NH11" i="1"/>
  <c r="NH17" i="1"/>
  <c r="NJ17" i="1" s="1"/>
  <c r="NJ20" i="1"/>
  <c r="NH33" i="1"/>
  <c r="NJ33" i="1" s="1"/>
  <c r="NJ34" i="1"/>
  <c r="NJ36" i="1"/>
  <c r="NH37" i="1"/>
  <c r="NH59" i="1"/>
  <c r="NH65" i="1"/>
  <c r="NJ65" i="1" s="1"/>
  <c r="MT6" i="1"/>
  <c r="MU6" i="1"/>
  <c r="NG6" i="1"/>
  <c r="NI34" i="1"/>
  <c r="NI50" i="1"/>
  <c r="NJ50" i="1" s="1"/>
  <c r="NJ26" i="1"/>
  <c r="EK5" i="3"/>
  <c r="MV6" i="1"/>
  <c r="NH23" i="1"/>
  <c r="NH29" i="1"/>
  <c r="NH45" i="1"/>
  <c r="NJ48" i="1"/>
  <c r="NH49" i="1"/>
  <c r="NH71" i="1"/>
  <c r="NJ71" i="1" s="1"/>
  <c r="HN24" i="2"/>
  <c r="HL28" i="2"/>
  <c r="HN28" i="2" s="1"/>
  <c r="EN14" i="3"/>
  <c r="EP14" i="3" s="1"/>
  <c r="H64" i="4"/>
  <c r="G18" i="4"/>
  <c r="D49" i="4"/>
  <c r="HI5" i="2"/>
  <c r="HD5" i="2"/>
  <c r="EP22" i="3"/>
  <c r="HE5" i="2"/>
  <c r="HL15" i="2"/>
  <c r="HM26" i="2"/>
  <c r="EM5" i="3"/>
  <c r="I11" i="4"/>
  <c r="K11" i="4" s="1"/>
  <c r="K34" i="4"/>
  <c r="K45" i="4"/>
  <c r="J22" i="4"/>
  <c r="K22" i="4" s="1"/>
  <c r="I24" i="4"/>
  <c r="K24" i="4" s="1"/>
  <c r="K47" i="4"/>
  <c r="K59" i="4"/>
  <c r="HN8" i="2"/>
  <c r="E33" i="4"/>
  <c r="H56" i="4"/>
  <c r="G10" i="4"/>
  <c r="F12" i="4"/>
  <c r="H12" i="4" s="1"/>
  <c r="H58" i="4"/>
  <c r="I8" i="4"/>
  <c r="I49" i="4"/>
  <c r="K31" i="4"/>
  <c r="E18" i="4"/>
  <c r="I19" i="4"/>
  <c r="K19" i="4" s="1"/>
  <c r="K42" i="4"/>
  <c r="J72" i="4"/>
  <c r="K67" i="4"/>
  <c r="HJ5" i="2"/>
  <c r="HF5" i="2"/>
  <c r="HM36" i="2"/>
  <c r="EO16" i="3"/>
  <c r="EP16" i="3" s="1"/>
  <c r="HK5" i="2"/>
  <c r="HL13" i="2"/>
  <c r="HL17" i="2"/>
  <c r="E41" i="4"/>
  <c r="F20" i="4"/>
  <c r="H20" i="4" s="1"/>
  <c r="H66" i="4"/>
  <c r="EP18" i="3"/>
  <c r="H36" i="4"/>
  <c r="G13" i="4"/>
  <c r="H13" i="4" s="1"/>
  <c r="H44" i="4"/>
  <c r="G21" i="4"/>
  <c r="H21" i="4" s="1"/>
  <c r="F49" i="4"/>
  <c r="EN25" i="3"/>
  <c r="F15" i="4"/>
  <c r="H15" i="4" s="1"/>
  <c r="F23" i="4"/>
  <c r="H23" i="4" s="1"/>
  <c r="E19" i="4"/>
  <c r="F10" i="4"/>
  <c r="F18" i="4"/>
  <c r="E35" i="4"/>
  <c r="D12" i="4"/>
  <c r="E12" i="4" s="1"/>
  <c r="E43" i="4"/>
  <c r="D20" i="4"/>
  <c r="E20" i="4" s="1"/>
  <c r="J49" i="4"/>
  <c r="EL5" i="3"/>
  <c r="EP12" i="3"/>
  <c r="J15" i="4"/>
  <c r="K15" i="4" s="1"/>
  <c r="J23" i="4"/>
  <c r="K23" i="4" s="1"/>
  <c r="C14" i="4"/>
  <c r="E14" i="4" s="1"/>
  <c r="H38" i="4"/>
  <c r="C22" i="4"/>
  <c r="E22" i="4" s="1"/>
  <c r="H46" i="4"/>
  <c r="E57" i="4"/>
  <c r="E65" i="4"/>
  <c r="EP28" i="3"/>
  <c r="E32" i="4"/>
  <c r="K33" i="4"/>
  <c r="J10" i="4"/>
  <c r="K10" i="4" s="1"/>
  <c r="E40" i="4"/>
  <c r="K41" i="4"/>
  <c r="J18" i="4"/>
  <c r="K18" i="4" s="1"/>
  <c r="E48" i="4"/>
  <c r="D72" i="4"/>
  <c r="EP13" i="3"/>
  <c r="EP26" i="3"/>
  <c r="I12" i="4"/>
  <c r="E37" i="4"/>
  <c r="I20" i="4"/>
  <c r="K20" i="4" s="1"/>
  <c r="E45" i="4"/>
  <c r="F72" i="4"/>
  <c r="F8" i="4"/>
  <c r="K55" i="4"/>
  <c r="H16" i="4"/>
  <c r="K63" i="4"/>
  <c r="K71" i="4"/>
  <c r="EO7" i="3"/>
  <c r="EP7" i="3" s="1"/>
  <c r="H32" i="4"/>
  <c r="G9" i="4"/>
  <c r="H40" i="4"/>
  <c r="G17" i="4"/>
  <c r="H17" i="4" s="1"/>
  <c r="H48" i="4"/>
  <c r="G25" i="4"/>
  <c r="H25" i="4" s="1"/>
  <c r="C72" i="4"/>
  <c r="EJ5" i="3"/>
  <c r="G8" i="4"/>
  <c r="H11" i="4"/>
  <c r="K35" i="4"/>
  <c r="H19" i="4"/>
  <c r="K43" i="4"/>
  <c r="H54" i="4"/>
  <c r="H62" i="4"/>
  <c r="E23" i="4"/>
  <c r="H70" i="4"/>
  <c r="HM27" i="2"/>
  <c r="HN27" i="2" s="1"/>
  <c r="E31" i="4"/>
  <c r="D8" i="4"/>
  <c r="E39" i="4"/>
  <c r="D16" i="4"/>
  <c r="E16" i="4" s="1"/>
  <c r="E47" i="4"/>
  <c r="D24" i="4"/>
  <c r="E24" i="4" s="1"/>
  <c r="I72" i="4"/>
  <c r="E10" i="4" l="1"/>
  <c r="NJ51" i="1"/>
  <c r="NJ43" i="1"/>
  <c r="NI6" i="1"/>
  <c r="NJ39" i="1"/>
  <c r="NJ11" i="1"/>
  <c r="NJ61" i="1"/>
  <c r="NJ57" i="1"/>
  <c r="NJ45" i="1"/>
  <c r="E21" i="4"/>
  <c r="NJ24" i="1"/>
  <c r="NJ28" i="1"/>
  <c r="NJ63" i="1"/>
  <c r="NJ29" i="1"/>
  <c r="NJ59" i="1"/>
  <c r="NJ52" i="1"/>
  <c r="NJ41" i="1"/>
  <c r="NJ18" i="1"/>
  <c r="NJ21" i="1"/>
  <c r="NJ53" i="1"/>
  <c r="NJ60" i="1"/>
  <c r="NJ62" i="1"/>
  <c r="NJ23" i="1"/>
  <c r="NJ37" i="1"/>
  <c r="NJ38" i="1"/>
  <c r="NJ35" i="1"/>
  <c r="NJ19" i="1"/>
  <c r="HN13" i="2"/>
  <c r="HN29" i="2"/>
  <c r="HN7" i="2"/>
  <c r="HN35" i="2"/>
  <c r="HN22" i="2"/>
  <c r="HN30" i="2"/>
  <c r="HN26" i="2"/>
  <c r="H22" i="4"/>
  <c r="HN17" i="2"/>
  <c r="H9" i="4"/>
  <c r="H14" i="4"/>
  <c r="EP15" i="3"/>
  <c r="EP25" i="3"/>
  <c r="EP11" i="3"/>
  <c r="K12" i="4"/>
  <c r="K14" i="4"/>
  <c r="K13" i="4"/>
  <c r="K72" i="4"/>
  <c r="HN11" i="2"/>
  <c r="H49" i="4"/>
  <c r="G26" i="4"/>
  <c r="H18" i="4"/>
  <c r="HN14" i="2"/>
  <c r="HN23" i="2"/>
  <c r="HN33" i="2"/>
  <c r="H72" i="4"/>
  <c r="HN36" i="2"/>
  <c r="HN15" i="2"/>
  <c r="HN19" i="2"/>
  <c r="E72" i="4"/>
  <c r="NJ49" i="1"/>
  <c r="NJ25" i="1"/>
  <c r="NJ42" i="1"/>
  <c r="NJ12" i="1"/>
  <c r="NJ70" i="1"/>
  <c r="NJ31" i="1"/>
  <c r="NJ9" i="1"/>
  <c r="NJ13" i="1"/>
  <c r="E17" i="4"/>
  <c r="HM5" i="2"/>
  <c r="H8" i="4"/>
  <c r="F26" i="4"/>
  <c r="EN5" i="3"/>
  <c r="EP5" i="3"/>
  <c r="J26" i="4"/>
  <c r="HL5" i="2"/>
  <c r="H10" i="4"/>
  <c r="EO5" i="3"/>
  <c r="K49" i="4"/>
  <c r="C26" i="4"/>
  <c r="NH6" i="1"/>
  <c r="D26" i="4"/>
  <c r="E8" i="4"/>
  <c r="K8" i="4"/>
  <c r="I26" i="4"/>
  <c r="E49" i="4"/>
  <c r="H26" i="4" l="1"/>
  <c r="HN5" i="2"/>
  <c r="K26" i="4"/>
  <c r="E26" i="4"/>
  <c r="NJ6" i="1"/>
</calcChain>
</file>

<file path=xl/sharedStrings.xml><?xml version="1.0" encoding="utf-8"?>
<sst xmlns="http://schemas.openxmlformats.org/spreadsheetml/2006/main" count="3384" uniqueCount="799">
  <si>
    <t>EOSY Causes of Dropout in ELEMENTARY LEVEL (ALL SECTOR)</t>
  </si>
  <si>
    <t>SY 2019-2020</t>
  </si>
  <si>
    <t>Based on LIS, as of November 28, 2020</t>
  </si>
  <si>
    <t>Had to Take Care Siblings</t>
  </si>
  <si>
    <t>Early Marriage/Pregnancy</t>
  </si>
  <si>
    <t>Parents Attitude Toward Schooling</t>
  </si>
  <si>
    <t>Family problems/Feuds</t>
  </si>
  <si>
    <t>Illness</t>
  </si>
  <si>
    <t>Overage</t>
  </si>
  <si>
    <t>Death</t>
  </si>
  <si>
    <t>Drug Abuse</t>
  </si>
  <si>
    <t>Poor Academic Performance</t>
  </si>
  <si>
    <t>Lack of interest/Distractions</t>
  </si>
  <si>
    <t>Hunger/Malnutrition</t>
  </si>
  <si>
    <t>Teacher Factors</t>
  </si>
  <si>
    <t>Physical Conditions of Classrooms</t>
  </si>
  <si>
    <t>Peer Influences</t>
  </si>
  <si>
    <t>Distance between Home and School</t>
  </si>
  <si>
    <t>Armed Conflict</t>
  </si>
  <si>
    <t>Calamities/Disasters</t>
  </si>
  <si>
    <t>Child Labor, Work</t>
  </si>
  <si>
    <t>GRAND TOTAL (Dropout ES)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</si>
  <si>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</si>
  <si>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</si>
  <si>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</si>
  <si>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</si>
  <si>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</si>
  <si>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</si>
  <si>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</si>
  <si>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</t>
  </si>
  <si>
    <t>Grand Total</t>
  </si>
  <si>
    <t>Male</t>
  </si>
  <si>
    <t>Female</t>
  </si>
  <si>
    <t>Total</t>
  </si>
  <si>
    <t>region</t>
  </si>
  <si>
    <t>division</t>
  </si>
  <si>
    <t>beis_school_id</t>
  </si>
  <si>
    <t>school_name</t>
  </si>
  <si>
    <t>province</t>
  </si>
  <si>
    <t>municipality</t>
  </si>
  <si>
    <t>legislative_district</t>
  </si>
  <si>
    <t>barangay</t>
  </si>
  <si>
    <t>school_type</t>
  </si>
  <si>
    <t>sector</t>
  </si>
  <si>
    <t>school_subclassification</t>
  </si>
  <si>
    <t>curricular_offering</t>
  </si>
  <si>
    <t>Modified Curricular Offering</t>
  </si>
  <si>
    <t>take_care_siblings_k_male</t>
  </si>
  <si>
    <t>take_care_siblings_k_female</t>
  </si>
  <si>
    <t>take_care_siblings_g1_male</t>
  </si>
  <si>
    <t>take_care_siblings_g1_female</t>
  </si>
  <si>
    <t>take_care_siblings_g2_male</t>
  </si>
  <si>
    <t>take_care_siblings_g2_female</t>
  </si>
  <si>
    <t>take_care_siblings_g3_male</t>
  </si>
  <si>
    <t>take_care_siblings_g3_female</t>
  </si>
  <si>
    <t>take_care_siblings_g4_male</t>
  </si>
  <si>
    <t>take_care_siblings_g4_female</t>
  </si>
  <si>
    <t>take_care_siblings_g5_male</t>
  </si>
  <si>
    <t>take_care_siblings_g5_female</t>
  </si>
  <si>
    <t>take_care_siblings_g6_male</t>
  </si>
  <si>
    <t>take_care_siblings_g6_female</t>
  </si>
  <si>
    <t>take_care_siblings_ng_male</t>
  </si>
  <si>
    <t>take_care_siblings_ng_female</t>
  </si>
  <si>
    <t>take_care_siblings_male</t>
  </si>
  <si>
    <t>take_care_siblings_female</t>
  </si>
  <si>
    <t>take_care_siblings_Total</t>
  </si>
  <si>
    <t>marr_preg_k_male</t>
  </si>
  <si>
    <t>marr_preg_k_female</t>
  </si>
  <si>
    <t>marr_preg_g1_male</t>
  </si>
  <si>
    <t>marr_preg_g1_female</t>
  </si>
  <si>
    <t>marr_preg_g2_male</t>
  </si>
  <si>
    <t>marr_preg_g2_female</t>
  </si>
  <si>
    <t>marr_preg_g3_male</t>
  </si>
  <si>
    <t>marr_preg_g3_female</t>
  </si>
  <si>
    <t>marr_preg_g4_male</t>
  </si>
  <si>
    <t>marr_preg_g4_female</t>
  </si>
  <si>
    <t>marr_preg_g5_male</t>
  </si>
  <si>
    <t>marr_preg_g5_female</t>
  </si>
  <si>
    <t>marr_preg_g6_male</t>
  </si>
  <si>
    <t>marr_preg_g6_female</t>
  </si>
  <si>
    <t>marr_preg_ng_male</t>
  </si>
  <si>
    <t>marr_preg_ng_female</t>
  </si>
  <si>
    <t>marr_preg_male</t>
  </si>
  <si>
    <t>marr_preg_female</t>
  </si>
  <si>
    <t>marr_preg_total</t>
  </si>
  <si>
    <t>parents_toward_school_k_male</t>
  </si>
  <si>
    <t>parents_toward_school_k_female</t>
  </si>
  <si>
    <t>parents_toward_school_g1_male</t>
  </si>
  <si>
    <t>parents_toward_school_g1_female</t>
  </si>
  <si>
    <t>parents_toward_school_g2_male</t>
  </si>
  <si>
    <t>parents_toward_school_g2_female</t>
  </si>
  <si>
    <t>parents_toward_school_g3_male</t>
  </si>
  <si>
    <t>parents_toward_school_g3_female</t>
  </si>
  <si>
    <t>parents_toward_school_g4_male</t>
  </si>
  <si>
    <t>parents_toward_school_g4_female</t>
  </si>
  <si>
    <t>parents_toward_school_g5_male</t>
  </si>
  <si>
    <t>parents_toward_school_g5_female</t>
  </si>
  <si>
    <t>parents_toward_school_g6_male</t>
  </si>
  <si>
    <t>parents_toward_school_g6_female</t>
  </si>
  <si>
    <t>parents_toward_school_ng_male</t>
  </si>
  <si>
    <t>parents_toward_school_ng_female</t>
  </si>
  <si>
    <t>parents_toward_school_male</t>
  </si>
  <si>
    <t>parents_toward_school_female</t>
  </si>
  <si>
    <t>parents_toward_school_total</t>
  </si>
  <si>
    <t>fam_prob_feuds_k_male</t>
  </si>
  <si>
    <t>fam_prob_feuds_k_female</t>
  </si>
  <si>
    <t>fam_prob_feuds_g1_male</t>
  </si>
  <si>
    <t>fam_prob_feuds_g1_female</t>
  </si>
  <si>
    <t>fam_prob_feuds_g2_male</t>
  </si>
  <si>
    <t>fam_prob_feuds_g2_female</t>
  </si>
  <si>
    <t>fam_prob_feuds_g3_male</t>
  </si>
  <si>
    <t>fam_prob_feuds_g3_female</t>
  </si>
  <si>
    <t>fam_prob_feuds_g4_male</t>
  </si>
  <si>
    <t>fam_prob_feuds_g4_female</t>
  </si>
  <si>
    <t>fam_prob_feuds_g5_male</t>
  </si>
  <si>
    <t>fam_prob_feuds_g5_female</t>
  </si>
  <si>
    <t>fam_prob_feuds_g6_male</t>
  </si>
  <si>
    <t>fam_prob_feuds_g6_female</t>
  </si>
  <si>
    <t>fam_prob_feuds_ng_male</t>
  </si>
  <si>
    <t>fam_prob_feuds_ng_female</t>
  </si>
  <si>
    <t>fam_prob_feuds_male</t>
  </si>
  <si>
    <t>fam_prob_feuds_female</t>
  </si>
  <si>
    <t>fam_prob_feuds_total</t>
  </si>
  <si>
    <t>illness_k_male</t>
  </si>
  <si>
    <t>illness_k_female</t>
  </si>
  <si>
    <t>illness_g1_male</t>
  </si>
  <si>
    <t>illness_g1_female</t>
  </si>
  <si>
    <t>illness_g2_male</t>
  </si>
  <si>
    <t>illness_g2_female</t>
  </si>
  <si>
    <t>illness_g3_male</t>
  </si>
  <si>
    <t>illness_g3_female</t>
  </si>
  <si>
    <t>illness_g4_male</t>
  </si>
  <si>
    <t>illness_g4_female</t>
  </si>
  <si>
    <t>illness_g5_male</t>
  </si>
  <si>
    <t>illness_g5_female</t>
  </si>
  <si>
    <t>illness_g6_male</t>
  </si>
  <si>
    <t>illness_g6_female</t>
  </si>
  <si>
    <t>illness_ng_male</t>
  </si>
  <si>
    <t>illness_ng_female</t>
  </si>
  <si>
    <t>illness_male</t>
  </si>
  <si>
    <t>illness_female</t>
  </si>
  <si>
    <t>illness_total</t>
  </si>
  <si>
    <t>overage_k_male</t>
  </si>
  <si>
    <t>overage_k_female</t>
  </si>
  <si>
    <t>overage_g1_male</t>
  </si>
  <si>
    <t>overage_g1_female</t>
  </si>
  <si>
    <t>overage_g2_male</t>
  </si>
  <si>
    <t>overage_g2_female</t>
  </si>
  <si>
    <t>overage_g3_male</t>
  </si>
  <si>
    <t>overage_g3_female</t>
  </si>
  <si>
    <t>overage_g4_male</t>
  </si>
  <si>
    <t>overage_g4_female</t>
  </si>
  <si>
    <t>overage_g5_male</t>
  </si>
  <si>
    <t>overage_g5_female</t>
  </si>
  <si>
    <t>overage_g6_male</t>
  </si>
  <si>
    <t>overage_g6_female</t>
  </si>
  <si>
    <t>overage_ng_male</t>
  </si>
  <si>
    <t>overage_ng_female</t>
  </si>
  <si>
    <t>overage_male</t>
  </si>
  <si>
    <t>overage_female</t>
  </si>
  <si>
    <t>overage_total</t>
  </si>
  <si>
    <t>death_k_male</t>
  </si>
  <si>
    <t>death_k_female</t>
  </si>
  <si>
    <t>death_g1_male</t>
  </si>
  <si>
    <t>death_g1_female</t>
  </si>
  <si>
    <t>death_g2_male</t>
  </si>
  <si>
    <t>death_g2_female</t>
  </si>
  <si>
    <t>death_g3_male</t>
  </si>
  <si>
    <t>death_g3_female</t>
  </si>
  <si>
    <t>death_g4_male</t>
  </si>
  <si>
    <t>death_g4_female</t>
  </si>
  <si>
    <t>death_g5_male</t>
  </si>
  <si>
    <t>death_g5_female</t>
  </si>
  <si>
    <t>death_g6_male</t>
  </si>
  <si>
    <t>death_g6_female</t>
  </si>
  <si>
    <t>death_ng_male</t>
  </si>
  <si>
    <t>death_ng_female</t>
  </si>
  <si>
    <t>death_male</t>
  </si>
  <si>
    <t>death_female</t>
  </si>
  <si>
    <t>death_total</t>
  </si>
  <si>
    <t>drug_abuse_k_male</t>
  </si>
  <si>
    <t>drug_abuse_k_female</t>
  </si>
  <si>
    <t>drug_abuse_g1_male</t>
  </si>
  <si>
    <t>drug_abuse_g1_female</t>
  </si>
  <si>
    <t>drug_abuse_g2_male</t>
  </si>
  <si>
    <t>drug_abuse_g2_female</t>
  </si>
  <si>
    <t>drug_abuse_g3_male</t>
  </si>
  <si>
    <t>drug_abuse_g3_female</t>
  </si>
  <si>
    <t>drug_abuse_g4_male</t>
  </si>
  <si>
    <t>drug_abuse_g4_female</t>
  </si>
  <si>
    <t>drug_abuse_g5_male</t>
  </si>
  <si>
    <t>drug_abuse_g5_female</t>
  </si>
  <si>
    <t>drug_abuse_g6_male</t>
  </si>
  <si>
    <t>drug_abuse_g6_female</t>
  </si>
  <si>
    <t>drug_abuse_ng_male</t>
  </si>
  <si>
    <t>drug_abuse_ng_female</t>
  </si>
  <si>
    <t>drug_abuse_male</t>
  </si>
  <si>
    <t>drug_abuse_female</t>
  </si>
  <si>
    <t>drug_abuse_total</t>
  </si>
  <si>
    <t>poor_acad_perf_k_male</t>
  </si>
  <si>
    <t>poor_acad_perf_k_female</t>
  </si>
  <si>
    <t>poor_acad_perf_g1_male</t>
  </si>
  <si>
    <t>poor_acad_perf_g1_female</t>
  </si>
  <si>
    <t>poor_acad_perf_g2_male</t>
  </si>
  <si>
    <t>poor_acad_perf_g2_female</t>
  </si>
  <si>
    <t>poor_acad_perf_g3_male</t>
  </si>
  <si>
    <t>poor_acad_perf_g3_female</t>
  </si>
  <si>
    <t>poor_acad_perf_g4_male</t>
  </si>
  <si>
    <t>poor_acad_perf_g4_female</t>
  </si>
  <si>
    <t>poor_acad_perf_g5_male</t>
  </si>
  <si>
    <t>poor_acad_perf_g5_female</t>
  </si>
  <si>
    <t>poor_acad_perf_g6_male</t>
  </si>
  <si>
    <t>poor_acad_perf_g6_female</t>
  </si>
  <si>
    <t>poor_acad_perf_ng_male</t>
  </si>
  <si>
    <t>poor_acad_perf_ng_female</t>
  </si>
  <si>
    <t>poor_acad_perf_male</t>
  </si>
  <si>
    <t>poor_acad_perf_female</t>
  </si>
  <si>
    <t>poor_acad_perf_total</t>
  </si>
  <si>
    <t>lack_of_interest_k_male</t>
  </si>
  <si>
    <t>lack_of_interest_k_female</t>
  </si>
  <si>
    <t>lack_of_interest_g1_male</t>
  </si>
  <si>
    <t>lack_of_interest_g1_female</t>
  </si>
  <si>
    <t>lack_of_interest_g2_male</t>
  </si>
  <si>
    <t>lack_of_interest_g2_female</t>
  </si>
  <si>
    <t>lack_of_interest_g3_male</t>
  </si>
  <si>
    <t>lack_of_interest_g3_female</t>
  </si>
  <si>
    <t>lack_of_interest_g4_male</t>
  </si>
  <si>
    <t>lack_of_interest_g4_female</t>
  </si>
  <si>
    <t>lack_of_interest_g5_male</t>
  </si>
  <si>
    <t>lack_of_interest_g5_female</t>
  </si>
  <si>
    <t>lack_of_interest_g6_male</t>
  </si>
  <si>
    <t>lack_of_interest_g6_female</t>
  </si>
  <si>
    <t>lack_of_interest_ng_male</t>
  </si>
  <si>
    <t>lack_of_interest_ng_female</t>
  </si>
  <si>
    <t>lack_of_interest_male</t>
  </si>
  <si>
    <t>lack_of_interest_female</t>
  </si>
  <si>
    <t>lack_of_interest_total</t>
  </si>
  <si>
    <t>hunger_malnu_k_male</t>
  </si>
  <si>
    <t>hunger_malnu_k_female</t>
  </si>
  <si>
    <t>hunger_malnu_g1_male</t>
  </si>
  <si>
    <t>hunger_malnu_g1_female</t>
  </si>
  <si>
    <t>hunger_malnu_g2_male</t>
  </si>
  <si>
    <t>hunger_malnu_g2_female</t>
  </si>
  <si>
    <t>hunger_malnu_g3_male</t>
  </si>
  <si>
    <t>hunger_malnu_g3_female</t>
  </si>
  <si>
    <t>hunger_malnu_g4_male</t>
  </si>
  <si>
    <t>hunger_malnu_g4_female</t>
  </si>
  <si>
    <t>hunger_malnu_g5_male</t>
  </si>
  <si>
    <t>hunger_malnu_g5_female</t>
  </si>
  <si>
    <t>hunger_malnu_g6_male</t>
  </si>
  <si>
    <t>hunger_malnu_g6_female</t>
  </si>
  <si>
    <t>hunger_malnu_ng_male</t>
  </si>
  <si>
    <t>hunger_malnu_ng_female</t>
  </si>
  <si>
    <t>hunger_malnu_male</t>
  </si>
  <si>
    <t>hunger_malnu_female</t>
  </si>
  <si>
    <t>hunger_malnu_total</t>
  </si>
  <si>
    <t>teacher_factor_k_male</t>
  </si>
  <si>
    <t>teacher_factor_k_female</t>
  </si>
  <si>
    <t>teacher_factor_g1_male</t>
  </si>
  <si>
    <t>teacher_factor_g1_female</t>
  </si>
  <si>
    <t>teacher_factor_g2_male</t>
  </si>
  <si>
    <t>teacher_factor_g2_female</t>
  </si>
  <si>
    <t>teacher_factor_g3_male</t>
  </si>
  <si>
    <t>teacher_factor_g3_female</t>
  </si>
  <si>
    <t>teacher_factor_g4_male</t>
  </si>
  <si>
    <t>teacher_factor_g4_female</t>
  </si>
  <si>
    <t>teacher_factor_g5_male</t>
  </si>
  <si>
    <t>teacher_factor_g5_female</t>
  </si>
  <si>
    <t>teacher_factor_g6_male</t>
  </si>
  <si>
    <t>teacher_factor_g6_female</t>
  </si>
  <si>
    <t>teacher_factor_ng_male</t>
  </si>
  <si>
    <t>teacher_factor_ng_female</t>
  </si>
  <si>
    <t>teacher_factor_male</t>
  </si>
  <si>
    <t>teacher_factor_female</t>
  </si>
  <si>
    <t>teacher_factor_total</t>
  </si>
  <si>
    <t>physical_cond_classroom_k_male</t>
  </si>
  <si>
    <t>physical_cond_classroom_k_female</t>
  </si>
  <si>
    <t>physical_cond_classroom_g1_male</t>
  </si>
  <si>
    <t>physical_cond_classroom_g1_female</t>
  </si>
  <si>
    <t>physical_cond_classroom_g2_male</t>
  </si>
  <si>
    <t>physical_cond_classroom_g2_female</t>
  </si>
  <si>
    <t>physical_cond_classroom_g3_male</t>
  </si>
  <si>
    <t>physical_cond_classroom_g3_female</t>
  </si>
  <si>
    <t>physical_cond_classroom_g4_male</t>
  </si>
  <si>
    <t>physical_cond_classroom_g4_female</t>
  </si>
  <si>
    <t>physical_cond_classroom_g5_male</t>
  </si>
  <si>
    <t>physical_cond_classroom_g5_female</t>
  </si>
  <si>
    <t>physical_cond_classroom_g6_male</t>
  </si>
  <si>
    <t>physical_cond_classroom_g6_female</t>
  </si>
  <si>
    <t>physical_cond_classroom_ng_male</t>
  </si>
  <si>
    <t>physical_cond_classroom_ng_female</t>
  </si>
  <si>
    <t>physical_cond_classroom_male</t>
  </si>
  <si>
    <t>physical_cond_classroom_female</t>
  </si>
  <si>
    <t>physical_cond_classroom_total</t>
  </si>
  <si>
    <t>peer_influ_k_male</t>
  </si>
  <si>
    <t>peer_influ_k_female</t>
  </si>
  <si>
    <t>peer_influ_g1_male</t>
  </si>
  <si>
    <t>peer_influ_g1_female</t>
  </si>
  <si>
    <t>peer_influ_g2_male</t>
  </si>
  <si>
    <t>peer_influ_g2_female</t>
  </si>
  <si>
    <t>peer_influ_g3_male</t>
  </si>
  <si>
    <t>peer_influ_g3_female</t>
  </si>
  <si>
    <t>peer_influ_g4_male</t>
  </si>
  <si>
    <t>peer_influ_g4_female</t>
  </si>
  <si>
    <t>peer_influ_g5_male</t>
  </si>
  <si>
    <t>peer_influ_g5_female</t>
  </si>
  <si>
    <t>peer_influ_g6_male</t>
  </si>
  <si>
    <t>peer_influ_g6_female</t>
  </si>
  <si>
    <t>peer_influ_ng_male</t>
  </si>
  <si>
    <t>peer_influ_ng_female</t>
  </si>
  <si>
    <t>peer_influ_male</t>
  </si>
  <si>
    <t>peer_influ_female</t>
  </si>
  <si>
    <t>peer_influ_total</t>
  </si>
  <si>
    <t>distance_home_school_k_male</t>
  </si>
  <si>
    <t>distance_home_school_k_female</t>
  </si>
  <si>
    <t>distance_home_school_g1_male</t>
  </si>
  <si>
    <t>distance_home_school_g1_female</t>
  </si>
  <si>
    <t>distance_home_school_g2_male</t>
  </si>
  <si>
    <t>distance_home_school_g2_female</t>
  </si>
  <si>
    <t>distance_home_school_g3_male</t>
  </si>
  <si>
    <t>distance_home_school_g3_female</t>
  </si>
  <si>
    <t>distance_home_school_g4_male</t>
  </si>
  <si>
    <t>distance_home_school_g4_female</t>
  </si>
  <si>
    <t>distance_home_school_g5_male</t>
  </si>
  <si>
    <t>distance_home_school_g5_female</t>
  </si>
  <si>
    <t>distance_home_school_g6_male</t>
  </si>
  <si>
    <t>distance_home_school_g6_female</t>
  </si>
  <si>
    <t>distance_home_school_ng_male</t>
  </si>
  <si>
    <t>distance_home_school_ng_female</t>
  </si>
  <si>
    <t>distance_home_school_male</t>
  </si>
  <si>
    <t>distance_home_school_female</t>
  </si>
  <si>
    <t>distance_home_school_total</t>
  </si>
  <si>
    <t>armed_conflict_k_male</t>
  </si>
  <si>
    <t>armed_conflict_k_female</t>
  </si>
  <si>
    <t>armed_conflict_g1_male</t>
  </si>
  <si>
    <t>armed_conflict_g1_female</t>
  </si>
  <si>
    <t>armed_conflict_g2_male</t>
  </si>
  <si>
    <t>armed_conflict_g2_female</t>
  </si>
  <si>
    <t>armed_conflict_g3_male</t>
  </si>
  <si>
    <t>armed_conflict_g3_female</t>
  </si>
  <si>
    <t>armed_conflict_g4_male</t>
  </si>
  <si>
    <t>armed_conflict_g4_female</t>
  </si>
  <si>
    <t>armed_conflict_g5_male</t>
  </si>
  <si>
    <t>armed_conflict_g5_female</t>
  </si>
  <si>
    <t>armed_conflict_g6_male</t>
  </si>
  <si>
    <t>armed_conflict_g6_female</t>
  </si>
  <si>
    <t>armed_conflict_ng_male</t>
  </si>
  <si>
    <t>armed_conflict_ng_female</t>
  </si>
  <si>
    <t>armed_conflict_male</t>
  </si>
  <si>
    <t>armed_conflict_female</t>
  </si>
  <si>
    <t>armed_conflict_total</t>
  </si>
  <si>
    <t>calamities_k_male</t>
  </si>
  <si>
    <t>calamities_k_female</t>
  </si>
  <si>
    <t>calamities_g1_male</t>
  </si>
  <si>
    <t>calamities_g1_female</t>
  </si>
  <si>
    <t>calamities_g2_male</t>
  </si>
  <si>
    <t>calamities_g2_female</t>
  </si>
  <si>
    <t>calamities_g3_male</t>
  </si>
  <si>
    <t>calamities_g3_female</t>
  </si>
  <si>
    <t>calamities_g4_male</t>
  </si>
  <si>
    <t>calamities_g4_female</t>
  </si>
  <si>
    <t>calamities_g5_male</t>
  </si>
  <si>
    <t>calamities_g5_female</t>
  </si>
  <si>
    <t>calamities_g6_male</t>
  </si>
  <si>
    <t>calamities_g6_female</t>
  </si>
  <si>
    <t>calamities_ng_male</t>
  </si>
  <si>
    <t>calamities_ng_female</t>
  </si>
  <si>
    <t>calamities_male</t>
  </si>
  <si>
    <t>calamities_female</t>
  </si>
  <si>
    <t>calamities_total</t>
  </si>
  <si>
    <t>child_labor_k_male</t>
  </si>
  <si>
    <t>child_labor_k_female</t>
  </si>
  <si>
    <t>child_labor_g1_male</t>
  </si>
  <si>
    <t>child_labor_g1_female</t>
  </si>
  <si>
    <t>child_labor_g2_male</t>
  </si>
  <si>
    <t>child_labor_g2_female</t>
  </si>
  <si>
    <t>child_labor_g3_male</t>
  </si>
  <si>
    <t>child_labor_g3_female</t>
  </si>
  <si>
    <t>child_labor_g4_male</t>
  </si>
  <si>
    <t>child_labor_g4_female</t>
  </si>
  <si>
    <t>child_labor_g5_male</t>
  </si>
  <si>
    <t>child_labor_g5_female</t>
  </si>
  <si>
    <t>child_labor_g6_male</t>
  </si>
  <si>
    <t>child_labor_g6_female</t>
  </si>
  <si>
    <t>child_labor_ng_male</t>
  </si>
  <si>
    <t>child_labor_ng_female</t>
  </si>
  <si>
    <t>child_labor_male</t>
  </si>
  <si>
    <t>child_labor_female</t>
  </si>
  <si>
    <t>child_labor_total</t>
  </si>
  <si>
    <t>k_male</t>
  </si>
  <si>
    <t>k_female</t>
  </si>
  <si>
    <t>g1_male</t>
  </si>
  <si>
    <t>g1_female</t>
  </si>
  <si>
    <t>g2_male</t>
  </si>
  <si>
    <t>g2_female</t>
  </si>
  <si>
    <t>g3_male</t>
  </si>
  <si>
    <t>g3_female</t>
  </si>
  <si>
    <t>g4_male</t>
  </si>
  <si>
    <t>g4_female</t>
  </si>
  <si>
    <t>g5_male</t>
  </si>
  <si>
    <t>g5_female</t>
  </si>
  <si>
    <t>g6_male</t>
  </si>
  <si>
    <t>g6_female</t>
  </si>
  <si>
    <t>ng_male</t>
  </si>
  <si>
    <t>ng_female</t>
  </si>
  <si>
    <t>Region XI</t>
  </si>
  <si>
    <t>Island Garden City of Samal</t>
  </si>
  <si>
    <t>2nd District</t>
  </si>
  <si>
    <t>School with no Annexes</t>
  </si>
  <si>
    <t>Public</t>
  </si>
  <si>
    <t>DepED Managed</t>
  </si>
  <si>
    <t>Kinder &amp; Grade 1-6</t>
  </si>
  <si>
    <t>Purely ES</t>
  </si>
  <si>
    <t>Private</t>
  </si>
  <si>
    <t xml:space="preserve">Sectarian </t>
  </si>
  <si>
    <t>Kinder, Grade 1-6, Grade 7-10 &amp; Grade 11-12</t>
  </si>
  <si>
    <t>All Offering</t>
  </si>
  <si>
    <t xml:space="preserve">Non-Sectarian </t>
  </si>
  <si>
    <t>Kinder</t>
  </si>
  <si>
    <t>Kinder, Grade 1-6, Grade 7-10</t>
  </si>
  <si>
    <t>ES and JHS</t>
  </si>
  <si>
    <t>Mati City</t>
  </si>
  <si>
    <t>Bugakan Elementary School</t>
  </si>
  <si>
    <t>DAVAO ORIENTAL</t>
  </si>
  <si>
    <t>CITY OF MATI (Capital)</t>
  </si>
  <si>
    <t>TAGABAKID</t>
  </si>
  <si>
    <t>Catmonan Elementary School</t>
  </si>
  <si>
    <t>MACAMBOL</t>
  </si>
  <si>
    <t>Talucanga Elementary School</t>
  </si>
  <si>
    <t>LUBAN</t>
  </si>
  <si>
    <t>Badas ES</t>
  </si>
  <si>
    <t>BADAS</t>
  </si>
  <si>
    <t>Baso ES</t>
  </si>
  <si>
    <t>Belsonda ES</t>
  </si>
  <si>
    <t>CENTRAL (POB.)</t>
  </si>
  <si>
    <t>Bagong Lipunan Improvement Site and Services Elementary School</t>
  </si>
  <si>
    <t>SAINZ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</si>
  <si>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</si>
  <si>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</si>
  <si>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</si>
  <si>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</si>
  <si>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</si>
  <si>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</si>
  <si>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</si>
  <si>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Alberto  V. Ravelo ES</t>
  </si>
  <si>
    <t>BOBON</t>
  </si>
  <si>
    <t>Antonino Vicentino ES</t>
  </si>
  <si>
    <t>LAWIGAN</t>
  </si>
  <si>
    <t>Benito G. Rabat Exec. ES</t>
  </si>
  <si>
    <t>DAHICAN</t>
  </si>
  <si>
    <t>Bobon ES</t>
  </si>
  <si>
    <t>Buso ES</t>
  </si>
  <si>
    <t>BUSO</t>
  </si>
  <si>
    <t>Cabubuanan Elementary School</t>
  </si>
  <si>
    <t>DON MARTIN MARUNDAN</t>
  </si>
  <si>
    <t>Cangusan ES</t>
  </si>
  <si>
    <t>DON SALVADOR LOPEZ, SR.</t>
  </si>
  <si>
    <t>Serafin Vizconde Sr. Elementary School</t>
  </si>
  <si>
    <t>Don Luis Rabat Sr. MS</t>
  </si>
  <si>
    <t>Don Salvador Lopez ES</t>
  </si>
  <si>
    <t>Gavino Dawang ES</t>
  </si>
  <si>
    <t>TAMISAN</t>
  </si>
  <si>
    <t>Gov. Leopoldo Lopez Sr. MS</t>
  </si>
  <si>
    <t>MATIAO</t>
  </si>
  <si>
    <t>Don Enrique Lopez ES</t>
  </si>
  <si>
    <t>DON ENRIQUE LOPEZ</t>
  </si>
  <si>
    <t>Matiao Central ES</t>
  </si>
  <si>
    <t>Pedro Malintad Elementary School</t>
  </si>
  <si>
    <t>Sta. Cruz ES</t>
  </si>
  <si>
    <t>Tagabakid ES</t>
  </si>
  <si>
    <t>Tagbinonga ES</t>
  </si>
  <si>
    <t>TAGBINONGA</t>
  </si>
  <si>
    <t>Taguibo ES</t>
  </si>
  <si>
    <t>TAGUIBO</t>
  </si>
  <si>
    <t>Tamia ES</t>
  </si>
  <si>
    <t>Tamisan Elementary School</t>
  </si>
  <si>
    <t>Fausta Salazar Como MS</t>
  </si>
  <si>
    <t>Vicente Almario Sr. MS</t>
  </si>
  <si>
    <t>MAYO</t>
  </si>
  <si>
    <t>Brigido Rodriguez Sr. ES</t>
  </si>
  <si>
    <t>DAWAN</t>
  </si>
  <si>
    <t>Asuncion Rondina Perez MS</t>
  </si>
  <si>
    <t>DANAO</t>
  </si>
  <si>
    <t>Dawan Central ES</t>
  </si>
  <si>
    <t>Francisco Hinayon ES</t>
  </si>
  <si>
    <t>LIBUDON</t>
  </si>
  <si>
    <t>Macambol ES</t>
  </si>
  <si>
    <t>Magum ES</t>
  </si>
  <si>
    <t>Gelacio  G. Ytac ES</t>
  </si>
  <si>
    <t>MAMALI</t>
  </si>
  <si>
    <t>Sanghay ES</t>
  </si>
  <si>
    <t>SANGHAY</t>
  </si>
  <si>
    <t>Paciano A. Genon EMS</t>
  </si>
  <si>
    <t>Wagon ES</t>
  </si>
  <si>
    <t>Rabat Rocamora Mati Central School SPED Center</t>
  </si>
  <si>
    <t>Jose C. Martinez Jr. Elementary School</t>
  </si>
  <si>
    <t>Immaculate Heart of Mary Academy</t>
  </si>
  <si>
    <t>Santo Niño School of Mati, Inc.</t>
  </si>
  <si>
    <t>Christian Life School of Davao Oriental, Inc.</t>
  </si>
  <si>
    <t>Christian Academy in Davao Oriental Technological Colleges, Inc.</t>
  </si>
  <si>
    <t>Mother school</t>
  </si>
  <si>
    <t>Kalagan Praise School, Inc</t>
  </si>
  <si>
    <t>Jesus is Lord Christian School Foundation, Inc.</t>
  </si>
  <si>
    <t>Sunbeam Christian School of Mati, Inc.</t>
  </si>
  <si>
    <t>Lighthouse Academy of Mati, Inc.</t>
  </si>
  <si>
    <t>Richmond Montessori College of Mati, Inc.</t>
  </si>
  <si>
    <t>Mati Doctors Academy, Inc.</t>
  </si>
  <si>
    <t>Kinder, Grade 1-6, Grade 7-10 &amp; Grade 11-12 attached to Tertiary</t>
  </si>
  <si>
    <t>Agape Partners Academy of Mati, Inc.</t>
  </si>
  <si>
    <t>Davao Oriental State College of Science and Technology - Preschool</t>
  </si>
  <si>
    <t>Colegio San Agustin-Mati, Inc.</t>
  </si>
  <si>
    <t>Licop Integrated School</t>
  </si>
  <si>
    <t>Cabuaya Integrated School</t>
  </si>
  <si>
    <t>CABUAYA</t>
  </si>
  <si>
    <t>Lanca Integrated School</t>
  </si>
  <si>
    <t>LANGKA</t>
  </si>
  <si>
    <t>Luban Integrated School</t>
  </si>
  <si>
    <t>Culian Integrated School</t>
  </si>
  <si>
    <t>CULIAN</t>
  </si>
  <si>
    <t>Panabo City</t>
  </si>
  <si>
    <t>Tagum City</t>
  </si>
  <si>
    <t>EOSY Causes of Dropout in JUNIOR HIGH SCHOOL LEVEL</t>
  </si>
  <si>
    <t>Had to takecare Siblings</t>
  </si>
  <si>
    <t>Grand Total (Dropout JHS)</t>
  </si>
  <si>
    <t>Based on LIS, generated as of November 28, 2020</t>
  </si>
  <si>
    <t>Grade 7</t>
  </si>
  <si>
    <t>Grade 8</t>
  </si>
  <si>
    <t>Grade 9</t>
  </si>
  <si>
    <t>Grade 10</t>
  </si>
  <si>
    <t>take_care_siblings_g7_male</t>
  </si>
  <si>
    <t>take_care_siblings_g7_female</t>
  </si>
  <si>
    <t>take_care_siblings_g8_male</t>
  </si>
  <si>
    <t>take_care_siblings_g8_female</t>
  </si>
  <si>
    <t>take_care_siblings_g9_male</t>
  </si>
  <si>
    <t>take_care_siblings_g9_female</t>
  </si>
  <si>
    <t>take_care_siblings_g10_male</t>
  </si>
  <si>
    <t>take_care_siblings_g10_female</t>
  </si>
  <si>
    <t>marr_preg_g7_male</t>
  </si>
  <si>
    <t>marr_preg_g7_female</t>
  </si>
  <si>
    <t>marr_preg_g8_male</t>
  </si>
  <si>
    <t>marr_preg_g8_female</t>
  </si>
  <si>
    <t>marr_preg_g9_male</t>
  </si>
  <si>
    <t>marr_preg_g9_female</t>
  </si>
  <si>
    <t>marr_preg_g10_male</t>
  </si>
  <si>
    <t>marr_preg_g10_female</t>
  </si>
  <si>
    <t>parents_toward_school_g7_male</t>
  </si>
  <si>
    <t>parents_toward_school_g7_female</t>
  </si>
  <si>
    <t>parents_toward_school_g8_male</t>
  </si>
  <si>
    <t>parents_toward_school_g8_female</t>
  </si>
  <si>
    <t>parents_toward_school_g9_male</t>
  </si>
  <si>
    <t>parents_toward_school_g9_female</t>
  </si>
  <si>
    <t>parents_toward_school_g10_male</t>
  </si>
  <si>
    <t>parents_toward_school_g10_female</t>
  </si>
  <si>
    <t>fam_prob_feuds_g7_male</t>
  </si>
  <si>
    <t>fam_prob_feuds_g7_female</t>
  </si>
  <si>
    <t>fam_prob_feuds_g8_male</t>
  </si>
  <si>
    <t>fam_prob_feuds_g8_female</t>
  </si>
  <si>
    <t>fam_prob_feuds_g9_male</t>
  </si>
  <si>
    <t>fam_prob_feuds_g9_female</t>
  </si>
  <si>
    <t>fam_prob_feuds_g10_male</t>
  </si>
  <si>
    <t>fam_prob_feuds_g10_female</t>
  </si>
  <si>
    <t>illness_g7_male</t>
  </si>
  <si>
    <t>illness_g7_female</t>
  </si>
  <si>
    <t>illness_g8_male</t>
  </si>
  <si>
    <t>illness_g8_female</t>
  </si>
  <si>
    <t>illness_g9_male</t>
  </si>
  <si>
    <t>illness_g9_female</t>
  </si>
  <si>
    <t>illness_g10_male</t>
  </si>
  <si>
    <t>illness_g10_female</t>
  </si>
  <si>
    <t>overage_g7_male</t>
  </si>
  <si>
    <t>overage_g7_female</t>
  </si>
  <si>
    <t>overage_g8_male</t>
  </si>
  <si>
    <t>overage_g8_female</t>
  </si>
  <si>
    <t>overage_g9_male</t>
  </si>
  <si>
    <t>overage_g9_female</t>
  </si>
  <si>
    <t>overage_g10_male</t>
  </si>
  <si>
    <t>overage_g10_female</t>
  </si>
  <si>
    <t>death_g7_male</t>
  </si>
  <si>
    <t>death_g7_female</t>
  </si>
  <si>
    <t>death_g8_male</t>
  </si>
  <si>
    <t>death_g8_female</t>
  </si>
  <si>
    <t>death_g9_male</t>
  </si>
  <si>
    <t>death_g9_female</t>
  </si>
  <si>
    <t>death_g10_male</t>
  </si>
  <si>
    <t>death_g10_female</t>
  </si>
  <si>
    <t>drug_abuse_g7_male</t>
  </si>
  <si>
    <t>drug_abuse_g7_female</t>
  </si>
  <si>
    <t>drug_abuse_g8_male</t>
  </si>
  <si>
    <t>drug_abuse_g8_female</t>
  </si>
  <si>
    <t>drug_abuse_g9_male</t>
  </si>
  <si>
    <t>drug_abuse_g9_female</t>
  </si>
  <si>
    <t>drug_abuse_g10_male</t>
  </si>
  <si>
    <t>drug_abuse_g10_female</t>
  </si>
  <si>
    <t>poor_acad_perf_g7_male</t>
  </si>
  <si>
    <t>poor_acad_perf_g7_female</t>
  </si>
  <si>
    <t>poor_acad_perf_g8_male</t>
  </si>
  <si>
    <t>poor_acad_perf_g8_female</t>
  </si>
  <si>
    <t>poor_acad_perf_g9_male</t>
  </si>
  <si>
    <t>poor_acad_perf_g9_female</t>
  </si>
  <si>
    <t>poor_acad_perf_g10_male</t>
  </si>
  <si>
    <t>poor_acad_perf_g10_female</t>
  </si>
  <si>
    <t>lack_of_interest_g7_male</t>
  </si>
  <si>
    <t>lack_of_interest_g7_female</t>
  </si>
  <si>
    <t>lack_of_interest_g8_male</t>
  </si>
  <si>
    <t>lack_of_interest_g8_female</t>
  </si>
  <si>
    <t>lack_of_interest_g9_male</t>
  </si>
  <si>
    <t>lack_of_interest_g9_female</t>
  </si>
  <si>
    <t>lack_of_interest_g10_male</t>
  </si>
  <si>
    <t>lack_of_interest_g10_female</t>
  </si>
  <si>
    <t>hunger_malnu_g7_male</t>
  </si>
  <si>
    <t>hunger_malnu_g7_female</t>
  </si>
  <si>
    <t>hunger_malnu_g8_male</t>
  </si>
  <si>
    <t>hunger_malnu_g8_female</t>
  </si>
  <si>
    <t>hunger_malnu_g9_male</t>
  </si>
  <si>
    <t>hunger_malnu_g9_female</t>
  </si>
  <si>
    <t>hunger_malnu_g10_male</t>
  </si>
  <si>
    <t>hunger_malnu_g10_female</t>
  </si>
  <si>
    <t>teacher_factor_g7_male</t>
  </si>
  <si>
    <t>teacher_factor_g7_female</t>
  </si>
  <si>
    <t>teacher_factor_g8_male</t>
  </si>
  <si>
    <t>teacher_factor_g8_female</t>
  </si>
  <si>
    <t>teacher_factor_g9_male</t>
  </si>
  <si>
    <t>teacher_factor_g9_female</t>
  </si>
  <si>
    <t>teacher_factor_g10_male</t>
  </si>
  <si>
    <t>teacher_factor_g10_female</t>
  </si>
  <si>
    <t>physical_cond_classroom_g7_male</t>
  </si>
  <si>
    <t>physical_cond_classroom_g7_female</t>
  </si>
  <si>
    <t>physical_cond_classroom_g8_male</t>
  </si>
  <si>
    <t>physical_cond_classroom_g8_female</t>
  </si>
  <si>
    <t>physical_cond_classroom_g9_male</t>
  </si>
  <si>
    <t>physical_cond_classroom_g9_female</t>
  </si>
  <si>
    <t>physical_cond_classroom_g10_male</t>
  </si>
  <si>
    <t>physical_cond_classroom_g10_female</t>
  </si>
  <si>
    <t>peer_influ_g7_male</t>
  </si>
  <si>
    <t>peer_influ_g7_female</t>
  </si>
  <si>
    <t>peer_influ_g8_male</t>
  </si>
  <si>
    <t>peer_influ_g8_female</t>
  </si>
  <si>
    <t>peer_influ_g9_male</t>
  </si>
  <si>
    <t>peer_influ_g9_female</t>
  </si>
  <si>
    <t>peer_influ_g10_male</t>
  </si>
  <si>
    <t>peer_influ_g10_female</t>
  </si>
  <si>
    <t>distance_home_school_g7_male</t>
  </si>
  <si>
    <t>distance_home_school_g7_female</t>
  </si>
  <si>
    <t>distance_home_school_g8_male</t>
  </si>
  <si>
    <t>distance_home_school_g8_female</t>
  </si>
  <si>
    <t>distance_home_school_g9_male</t>
  </si>
  <si>
    <t>distance_home_school_g9_female</t>
  </si>
  <si>
    <t>distance_home_school_g10_male</t>
  </si>
  <si>
    <t>distance_home_school_g10_female</t>
  </si>
  <si>
    <t>armed_conflict_g7_male</t>
  </si>
  <si>
    <t>armed_conflict_g7_female</t>
  </si>
  <si>
    <t>armed_conflict_g8_male</t>
  </si>
  <si>
    <t>armed_conflict_g8_female</t>
  </si>
  <si>
    <t>armed_conflict_g9_male</t>
  </si>
  <si>
    <t>armed_conflict_g9_female</t>
  </si>
  <si>
    <t>armed_conflict_g10_male</t>
  </si>
  <si>
    <t>armed_conflict_g10_female</t>
  </si>
  <si>
    <t>calamities_g7_male</t>
  </si>
  <si>
    <t>calamities_g7_female</t>
  </si>
  <si>
    <t>calamities_g8_male</t>
  </si>
  <si>
    <t>calamities_g8_female</t>
  </si>
  <si>
    <t>calamities_g9_male</t>
  </si>
  <si>
    <t>calamities_g9_female</t>
  </si>
  <si>
    <t>calamities_g10_male</t>
  </si>
  <si>
    <t>calamities_g10_female</t>
  </si>
  <si>
    <t>child_labor_g7_male</t>
  </si>
  <si>
    <t>child_labor_g7_female</t>
  </si>
  <si>
    <t>child_labor_g8_male</t>
  </si>
  <si>
    <t>child_labor_g8_female</t>
  </si>
  <si>
    <t>child_labor_g9_male</t>
  </si>
  <si>
    <t>child_labor_g9_female</t>
  </si>
  <si>
    <t>child_labor_g10_male</t>
  </si>
  <si>
    <t>child_labor_g10_female</t>
  </si>
  <si>
    <t>g7_male</t>
  </si>
  <si>
    <t>g7_female</t>
  </si>
  <si>
    <t>g8_male</t>
  </si>
  <si>
    <t>g8_female</t>
  </si>
  <si>
    <t>g9_male</t>
  </si>
  <si>
    <t>g9_female</t>
  </si>
  <si>
    <t>g10_male</t>
  </si>
  <si>
    <t>g10_female</t>
  </si>
  <si>
    <t>Grade 7-10 &amp; Grade 11-12</t>
  </si>
  <si>
    <t>JHS with SHS</t>
  </si>
  <si>
    <t>Grade 7-10</t>
  </si>
  <si>
    <t>Purely JHS</t>
  </si>
  <si>
    <t>Bobon NHS</t>
  </si>
  <si>
    <t>Buso National High School</t>
  </si>
  <si>
    <t>Dawan NHS</t>
  </si>
  <si>
    <t>Don Enrique Lopez NHS</t>
  </si>
  <si>
    <t>Libudon NHS</t>
  </si>
  <si>
    <t>Mati National Comprehensive High School</t>
  </si>
  <si>
    <t>Mati SAT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</si>
  <si>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</si>
  <si>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</si>
  <si>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</si>
  <si>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</si>
  <si>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</si>
  <si>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</si>
  <si>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</si>
  <si>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Badas NHS</t>
  </si>
  <si>
    <t>Macambol NHS</t>
  </si>
  <si>
    <t>Mayo NHS</t>
  </si>
  <si>
    <t>Mati Polytechnic College</t>
  </si>
  <si>
    <t xml:space="preserve">EOSY Causes of Dropout in SENIOR HIGH SCHOOL LEVEL </t>
  </si>
  <si>
    <t>Grand Total (SHS)</t>
  </si>
  <si>
    <t>Grade 11</t>
  </si>
  <si>
    <t>Grade 12</t>
  </si>
  <si>
    <t>take_care_siblings_g11_male</t>
  </si>
  <si>
    <t>take_care_siblings_g11_female</t>
  </si>
  <si>
    <t>take_care_siblings_g12_male</t>
  </si>
  <si>
    <t>take_care_siblings_g12_female</t>
  </si>
  <si>
    <t>marr_preg_g11_male</t>
  </si>
  <si>
    <t>marr_preg_g11_female</t>
  </si>
  <si>
    <t>marr_preg_g12_male</t>
  </si>
  <si>
    <t>marr_preg_g12_female</t>
  </si>
  <si>
    <t>parents_toward_school_g11_male</t>
  </si>
  <si>
    <t>parents_toward_school_g11_female</t>
  </si>
  <si>
    <t>parents_toward_school_g12_male</t>
  </si>
  <si>
    <t>parents_toward_school_g12_female</t>
  </si>
  <si>
    <t>fam_prob_feuds_g11_male</t>
  </si>
  <si>
    <t>fam_prob_feuds_g11_female</t>
  </si>
  <si>
    <t>fam_prob_feuds_g12_male</t>
  </si>
  <si>
    <t>fam_prob_feuds_g12_female</t>
  </si>
  <si>
    <t>illness_g11_male</t>
  </si>
  <si>
    <t>illness_g11_female</t>
  </si>
  <si>
    <t>illness_g12_male</t>
  </si>
  <si>
    <t>illness_g12_female</t>
  </si>
  <si>
    <t>overage_g11_male</t>
  </si>
  <si>
    <t>overage_g11_female</t>
  </si>
  <si>
    <t>overage_g12_male</t>
  </si>
  <si>
    <t>overage_g12_female</t>
  </si>
  <si>
    <t>death_g11_male</t>
  </si>
  <si>
    <t>death_g11_female</t>
  </si>
  <si>
    <t>death_g12_male</t>
  </si>
  <si>
    <t>death_g12_female</t>
  </si>
  <si>
    <t>drug_abuse_g11_male</t>
  </si>
  <si>
    <t>drug_abuse_g11_female</t>
  </si>
  <si>
    <t>drug_abuse_g12_male</t>
  </si>
  <si>
    <t>drug_abuse_g12_female</t>
  </si>
  <si>
    <t>poor_acad_perf_g11_male</t>
  </si>
  <si>
    <t>poor_acad_perf_g11_female</t>
  </si>
  <si>
    <t>poor_acad_perf_g12_male</t>
  </si>
  <si>
    <t>poor_acad_perf_g12_female</t>
  </si>
  <si>
    <t>lack_of_interest_g11_male</t>
  </si>
  <si>
    <t>lack_of_interest_g11_female</t>
  </si>
  <si>
    <t>lack_of_interest_g12_male</t>
  </si>
  <si>
    <t>lack_of_interest_g12_female</t>
  </si>
  <si>
    <t>hunger_malnu_g11_male</t>
  </si>
  <si>
    <t>hunger_malnu_g11_female</t>
  </si>
  <si>
    <t>hunger_malnu_g12_male</t>
  </si>
  <si>
    <t>hunger_malnu_g12_female</t>
  </si>
  <si>
    <t>teacher_factor_g11_male</t>
  </si>
  <si>
    <t>teacher_factor_g11_female</t>
  </si>
  <si>
    <t>teacher_factor_g12_male</t>
  </si>
  <si>
    <t>teacher_factor_g12_female</t>
  </si>
  <si>
    <t>physical_cond_classroom_g11_male</t>
  </si>
  <si>
    <t>physical_cond_classroom_g11_female</t>
  </si>
  <si>
    <t>physical_cond_classroom_g12_male</t>
  </si>
  <si>
    <t>physical_cond_classroom_g12_female</t>
  </si>
  <si>
    <t>peer_influ_g11_male</t>
  </si>
  <si>
    <t>peer_influ_g11_female</t>
  </si>
  <si>
    <t>peer_influ_g12_male</t>
  </si>
  <si>
    <t>peer_influ_g12_female</t>
  </si>
  <si>
    <t>distance_home_school_g11_male</t>
  </si>
  <si>
    <t>distance_home_school_g11_female</t>
  </si>
  <si>
    <t>distance_home_school_g12_male</t>
  </si>
  <si>
    <t>distance_home_school_g12_female</t>
  </si>
  <si>
    <t>armed_conflict_g11_male</t>
  </si>
  <si>
    <t>armed_conflict_g11_female</t>
  </si>
  <si>
    <t>armed_conflict_g12_male</t>
  </si>
  <si>
    <t>armed_conflict_g12_female</t>
  </si>
  <si>
    <t>calamities_g11_male</t>
  </si>
  <si>
    <t>calamities_g11_female</t>
  </si>
  <si>
    <t>calamities_g12_male</t>
  </si>
  <si>
    <t>calamities_g12_female</t>
  </si>
  <si>
    <t>child_labor_g11_male</t>
  </si>
  <si>
    <t>child_labor_g11_female</t>
  </si>
  <si>
    <t>child_labor_g12_male</t>
  </si>
  <si>
    <t>child_labor_g12_female</t>
  </si>
  <si>
    <t>g11_male</t>
  </si>
  <si>
    <t>g11_female</t>
  </si>
  <si>
    <t>g12_male</t>
  </si>
  <si>
    <t>g12_female</t>
  </si>
  <si>
    <t>Grade 11-12</t>
  </si>
  <si>
    <t>Purely SHS</t>
  </si>
  <si>
    <t>Don Bosco Training Center-Mati, Inc.</t>
  </si>
  <si>
    <t xml:space="preserve">EOSY Number of Dropout, by Causes </t>
  </si>
  <si>
    <t>Overall</t>
  </si>
  <si>
    <t>Davao City</t>
  </si>
  <si>
    <t>REGION XI_ES</t>
  </si>
  <si>
    <t>REGION XI_JHS</t>
  </si>
  <si>
    <t>REGION XI_SHS</t>
  </si>
  <si>
    <t>Davao De Oro</t>
  </si>
  <si>
    <t>Davao del Norte</t>
  </si>
  <si>
    <t>Davao del Sur</t>
  </si>
  <si>
    <t>Davao Occidental</t>
  </si>
  <si>
    <t>Davao Oriental</t>
  </si>
  <si>
    <t>Digos City</t>
  </si>
  <si>
    <t>REGION 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</si>
</sst>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name val="Calibri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2" fillId="0" borderId="0"/>
  </cellStyleXfs>
  <cellXfs count="7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0" fillId="0" borderId="0" xfId="1" applyNumberFormat="1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165" fontId="1" fillId="0" borderId="4" xfId="1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2" applyFont="1"/>
    <xf numFmtId="0" fontId="2" fillId="0" borderId="0" xfId="2"/>
    <xf numFmtId="0" fontId="3" fillId="0" borderId="0" xfId="2" applyFont="1"/>
    <xf numFmtId="0" fontId="4" fillId="0" borderId="0" xfId="2" applyFont="1"/>
    <xf numFmtId="0" fontId="3" fillId="2" borderId="0" xfId="2" applyFont="1" applyFill="1"/>
    <xf numFmtId="0" fontId="2" fillId="2" borderId="0" xfId="2" applyFill="1" applyAlignment="1">
      <alignment horizontal="center"/>
    </xf>
    <xf numFmtId="0" fontId="5" fillId="0" borderId="0" xfId="2" applyFont="1"/>
    <xf numFmtId="0" fontId="2" fillId="0" borderId="5" xfId="2" applyBorder="1" applyAlignment="1">
      <alignment horizontal="center"/>
    </xf>
    <xf numFmtId="0" fontId="3" fillId="3" borderId="6" xfId="2" applyFont="1" applyFill="1" applyBorder="1" applyAlignment="1">
      <alignment horizontal="center"/>
    </xf>
    <xf numFmtId="0" fontId="3" fillId="3" borderId="7" xfId="2" applyFont="1" applyFill="1" applyBorder="1" applyAlignment="1">
      <alignment horizontal="center"/>
    </xf>
    <xf numFmtId="0" fontId="3" fillId="3" borderId="8" xfId="2" applyFont="1" applyFill="1" applyBorder="1" applyAlignment="1">
      <alignment horizontal="center"/>
    </xf>
    <xf numFmtId="0" fontId="3" fillId="4" borderId="9" xfId="2" applyFont="1" applyFill="1" applyBorder="1" applyAlignment="1">
      <alignment horizontal="center"/>
    </xf>
    <xf numFmtId="0" fontId="3" fillId="4" borderId="7" xfId="2" applyFont="1" applyFill="1" applyBorder="1" applyAlignment="1">
      <alignment horizontal="center"/>
    </xf>
    <xf numFmtId="0" fontId="3" fillId="4" borderId="10" xfId="2" applyFont="1" applyFill="1" applyBorder="1" applyAlignment="1">
      <alignment horizontal="center"/>
    </xf>
    <xf numFmtId="0" fontId="3" fillId="5" borderId="6" xfId="2" applyFont="1" applyFill="1" applyBorder="1" applyAlignment="1">
      <alignment horizontal="center"/>
    </xf>
    <xf numFmtId="0" fontId="3" fillId="5" borderId="7" xfId="2" applyFont="1" applyFill="1" applyBorder="1" applyAlignment="1">
      <alignment horizontal="center"/>
    </xf>
    <xf numFmtId="0" fontId="3" fillId="5" borderId="10" xfId="2" applyFont="1" applyFill="1" applyBorder="1" applyAlignment="1">
      <alignment horizontal="center"/>
    </xf>
    <xf numFmtId="0" fontId="2" fillId="0" borderId="11" xfId="2" applyBorder="1" applyAlignment="1">
      <alignment horizontal="center"/>
    </xf>
    <xf numFmtId="0" fontId="3" fillId="0" borderId="12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6" borderId="14" xfId="2" applyFont="1" applyFill="1" applyBorder="1" applyAlignment="1">
      <alignment horizontal="center" vertical="center"/>
    </xf>
    <xf numFmtId="0" fontId="3" fillId="0" borderId="15" xfId="2" applyFont="1" applyBorder="1" applyAlignment="1">
      <alignment horizontal="center" vertical="center"/>
    </xf>
    <xf numFmtId="0" fontId="3" fillId="7" borderId="16" xfId="2" applyFont="1" applyFill="1" applyBorder="1" applyAlignment="1">
      <alignment horizontal="center" vertical="center"/>
    </xf>
    <xf numFmtId="0" fontId="3" fillId="8" borderId="16" xfId="2" applyFont="1" applyFill="1" applyBorder="1" applyAlignment="1">
      <alignment horizontal="center" vertical="center"/>
    </xf>
    <xf numFmtId="0" fontId="2" fillId="0" borderId="17" xfId="2" applyBorder="1"/>
    <xf numFmtId="3" fontId="2" fillId="0" borderId="18" xfId="2" applyNumberFormat="1" applyBorder="1" applyAlignment="1">
      <alignment horizontal="center" vertical="center"/>
    </xf>
    <xf numFmtId="3" fontId="2" fillId="0" borderId="19" xfId="2" applyNumberFormat="1" applyBorder="1" applyAlignment="1">
      <alignment horizontal="center" vertical="center"/>
    </xf>
    <xf numFmtId="3" fontId="2" fillId="6" borderId="20" xfId="2" applyNumberFormat="1" applyFill="1" applyBorder="1" applyAlignment="1">
      <alignment horizontal="center" vertical="center"/>
    </xf>
    <xf numFmtId="3" fontId="2" fillId="0" borderId="21" xfId="2" applyNumberFormat="1" applyBorder="1" applyAlignment="1">
      <alignment horizontal="center" vertical="center"/>
    </xf>
    <xf numFmtId="3" fontId="2" fillId="7" borderId="22" xfId="2" applyNumberFormat="1" applyFill="1" applyBorder="1" applyAlignment="1">
      <alignment horizontal="center" vertical="center"/>
    </xf>
    <xf numFmtId="3" fontId="2" fillId="8" borderId="22" xfId="2" applyNumberFormat="1" applyFill="1" applyBorder="1" applyAlignment="1">
      <alignment horizontal="center" vertical="center"/>
    </xf>
    <xf numFmtId="0" fontId="2" fillId="0" borderId="23" xfId="2" applyBorder="1"/>
    <xf numFmtId="3" fontId="2" fillId="0" borderId="3" xfId="2" applyNumberFormat="1" applyBorder="1" applyAlignment="1">
      <alignment horizontal="center" vertical="center"/>
    </xf>
    <xf numFmtId="3" fontId="2" fillId="0" borderId="4" xfId="2" applyNumberFormat="1" applyBorder="1" applyAlignment="1">
      <alignment horizontal="center" vertical="center"/>
    </xf>
    <xf numFmtId="3" fontId="2" fillId="6" borderId="1" xfId="2" applyNumberFormat="1" applyFill="1" applyBorder="1" applyAlignment="1">
      <alignment horizontal="center" vertical="center"/>
    </xf>
    <xf numFmtId="3" fontId="2" fillId="0" borderId="24" xfId="2" applyNumberFormat="1" applyBorder="1" applyAlignment="1">
      <alignment horizontal="center" vertical="center"/>
    </xf>
    <xf numFmtId="3" fontId="2" fillId="7" borderId="25" xfId="2" applyNumberFormat="1" applyFill="1" applyBorder="1" applyAlignment="1">
      <alignment horizontal="center" vertical="center"/>
    </xf>
    <xf numFmtId="3" fontId="2" fillId="8" borderId="25" xfId="2" applyNumberFormat="1" applyFill="1" applyBorder="1" applyAlignment="1">
      <alignment horizontal="center" vertical="center"/>
    </xf>
    <xf numFmtId="0" fontId="2" fillId="0" borderId="26" xfId="2" applyBorder="1"/>
    <xf numFmtId="0" fontId="3" fillId="0" borderId="27" xfId="2" applyFont="1" applyBorder="1" applyAlignment="1">
      <alignment horizontal="right"/>
    </xf>
    <xf numFmtId="3" fontId="2" fillId="0" borderId="28" xfId="2" applyNumberFormat="1" applyBorder="1" applyAlignment="1">
      <alignment horizontal="center" vertical="center"/>
    </xf>
    <xf numFmtId="3" fontId="2" fillId="0" borderId="29" xfId="2" applyNumberFormat="1" applyBorder="1" applyAlignment="1">
      <alignment horizontal="center" vertical="center"/>
    </xf>
    <xf numFmtId="3" fontId="2" fillId="6" borderId="30" xfId="2" applyNumberFormat="1" applyFill="1" applyBorder="1" applyAlignment="1">
      <alignment horizontal="center" vertical="center"/>
    </xf>
    <xf numFmtId="3" fontId="2" fillId="0" borderId="31" xfId="2" applyNumberFormat="1" applyBorder="1" applyAlignment="1">
      <alignment horizontal="center" vertical="center"/>
    </xf>
    <xf numFmtId="3" fontId="2" fillId="7" borderId="32" xfId="2" applyNumberFormat="1" applyFill="1" applyBorder="1" applyAlignment="1">
      <alignment horizontal="center" vertical="center"/>
    </xf>
    <xf numFmtId="3" fontId="2" fillId="8" borderId="32" xfId="2" applyNumberFormat="1" applyFill="1" applyBorder="1" applyAlignment="1">
      <alignment horizontal="center" vertical="center"/>
    </xf>
    <xf numFmtId="3" fontId="2" fillId="0" borderId="33" xfId="2" applyNumberFormat="1" applyBorder="1" applyAlignment="1">
      <alignment horizontal="center" vertical="center"/>
    </xf>
    <xf numFmtId="3" fontId="2" fillId="0" borderId="34" xfId="2" applyNumberFormat="1" applyBorder="1" applyAlignment="1">
      <alignment horizontal="center" vertical="center"/>
    </xf>
    <xf numFmtId="3" fontId="2" fillId="6" borderId="35" xfId="2" applyNumberFormat="1" applyFill="1" applyBorder="1" applyAlignment="1">
      <alignment horizontal="center" vertical="center"/>
    </xf>
    <xf numFmtId="3" fontId="2" fillId="0" borderId="36" xfId="2" applyNumberFormat="1" applyBorder="1" applyAlignment="1">
      <alignment horizontal="center" vertical="center"/>
    </xf>
    <xf numFmtId="3" fontId="2" fillId="7" borderId="37" xfId="2" applyNumberFormat="1" applyFill="1" applyBorder="1" applyAlignment="1">
      <alignment horizontal="center" vertical="center"/>
    </xf>
    <xf numFmtId="3" fontId="2" fillId="8" borderId="37" xfId="2" applyNumberForma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621FE20F-D40D-456F-82BE-A6B2EBBBEE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610F-5BE4-47FA-98FE-7B2BDAC783A9}">
  <dimension ref="A1:ON74"/>
  <sheetViews>
    <sheetView tabSelected="1" workbookViewId="0">
      <pane xSplit="13" ySplit="7" topLeftCell="N8" activePane="bottomRight" state="frozen"/>
      <selection activeCell="A8" sqref="A8"/>
      <selection pane="topRight" activeCell="A8" sqref="A8"/>
      <selection pane="bottomLeft" activeCell="A8" sqref="A8"/>
      <selection pane="bottomRight" activeCell="B8" sqref="B8"/>
    </sheetView>
  </sheetViews>
  <sheetFormatPr defaultColWidth="0" defaultRowHeight="15" x14ac:dyDescent="0.25"/>
  <cols>
    <col min="1" max="1" width="11" customWidth="1"/>
    <col min="2" max="2" width="25.5703125" bestFit="1" customWidth="1"/>
    <col min="3" max="3" width="11" customWidth="1"/>
    <col min="4" max="4" width="24" customWidth="1"/>
    <col min="5" max="9" width="0" hidden="1" customWidth="1"/>
    <col min="10" max="10" width="12" customWidth="1"/>
    <col min="11" max="12" width="0" hidden="1" customWidth="1"/>
    <col min="13" max="51" width="12" customWidth="1"/>
    <col min="52" max="375" width="9.140625" customWidth="1"/>
    <col min="376" max="400" width="0" hidden="1" customWidth="1"/>
    <col min="405" max="16384" width="9.140625" hidden="1"/>
  </cols>
  <sheetData>
    <row r="1" spans="1:374" x14ac:dyDescent="0.25">
      <c r="A1" s="1" t="s">
        <v>0</v>
      </c>
    </row>
    <row r="2" spans="1:374" x14ac:dyDescent="0.25">
      <c r="A2" s="1" t="s">
        <v>1</v>
      </c>
    </row>
    <row r="3" spans="1:374" x14ac:dyDescent="0.25">
      <c r="A3" s="1" t="s">
        <v>2</v>
      </c>
      <c r="N3" s="2" t="s">
        <v>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4"/>
      <c r="AG3" s="2" t="s">
        <v>4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4"/>
      <c r="AZ3" s="5" t="s">
        <v>5</v>
      </c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7"/>
      <c r="BS3" s="5" t="s">
        <v>6</v>
      </c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7"/>
      <c r="CL3" s="5" t="s">
        <v>7</v>
      </c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7"/>
      <c r="DE3" s="5" t="s">
        <v>8</v>
      </c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7"/>
      <c r="DX3" s="5" t="s">
        <v>9</v>
      </c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7"/>
      <c r="EQ3" s="5" t="s">
        <v>10</v>
      </c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7"/>
      <c r="FJ3" s="5" t="s">
        <v>11</v>
      </c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7"/>
      <c r="GC3" s="5" t="s">
        <v>12</v>
      </c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7"/>
      <c r="GV3" s="5" t="s">
        <v>13</v>
      </c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7"/>
      <c r="HO3" s="5" t="s">
        <v>14</v>
      </c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7"/>
      <c r="IH3" s="5" t="s">
        <v>15</v>
      </c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7"/>
      <c r="JA3" s="5" t="s">
        <v>16</v>
      </c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7"/>
      <c r="JT3" s="5" t="s">
        <v>17</v>
      </c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7"/>
      <c r="KM3" s="5" t="s">
        <v>18</v>
      </c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7"/>
      <c r="LF3" s="5" t="s">
        <v>19</v>
      </c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7"/>
      <c r="LY3" s="5" t="s">
        <v>20</v>
      </c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7"/>
      <c r="MR3" s="5" t="s">
        <v>21</v>
      </c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7"/>
    </row>
    <row r="4" spans="1:374" x14ac:dyDescent="0.25">
      <c r="N4" s="8" t="s">
        <v>22</v>
      </c>
      <c r="O4" s="8"/>
      <c r="P4" s="8" t="s">
        <v>23</v>
      </c>
      <c r="Q4" s="8"/>
      <c r="R4" s="8" t="s">
        <v>24</v>
      </c>
      <c r="S4" s="8"/>
      <c r="T4" s="8" t="s">
        <v>25</v>
      </c>
      <c r="U4" s="8"/>
      <c r="V4" s="8" t="s">
        <v>26</v>
      </c>
      <c r="W4" s="8"/>
      <c r="X4" s="8" t="s">
        <v>27</v>
      </c>
      <c r="Y4" s="8"/>
      <c r="Z4" s="8" t="s">
        <v>28</v>
      </c>
      <c r="AA4" s="8"/>
      <c r="AB4" s="8" t="s">
        <v>29</v>
      </c>
      <c r="AC4" s="8"/>
      <c r="AD4" s="9" t="s">
        <v>30</v>
      </c>
      <c r="AE4" s="10"/>
      <c r="AF4" s="11"/>
      <c r="AG4" s="8" t="s">
        <v>22</v>
      </c>
      <c r="AH4" s="8"/>
      <c r="AI4" s="8" t="s">
        <v>23</v>
      </c>
      <c r="AJ4" s="8"/>
      <c r="AK4" s="8" t="s">
        <v>24</v>
      </c>
      <c r="AL4" s="8"/>
      <c r="AM4" s="8" t="s">
        <v>25</v>
      </c>
      <c r="AN4" s="8"/>
      <c r="AO4" s="8" t="s">
        <v>26</v>
      </c>
      <c r="AP4" s="8"/>
      <c r="AQ4" s="8" t="s">
        <v>27</v>
      </c>
      <c r="AR4" s="8"/>
      <c r="AS4" s="8" t="s">
        <v>28</v>
      </c>
      <c r="AT4" s="8"/>
      <c r="AU4" s="8" t="s">
        <v>29</v>
      </c>
      <c r="AV4" s="8"/>
      <c r="AW4" s="9" t="s">
        <v>30</v>
      </c>
      <c r="AX4" s="10"/>
      <c r="AY4" s="11"/>
      <c r="AZ4" s="12" t="s">
        <v>22</v>
      </c>
      <c r="BA4" s="12"/>
      <c r="BB4" s="12" t="s">
        <v>23</v>
      </c>
      <c r="BC4" s="12"/>
      <c r="BD4" s="12" t="s">
        <v>24</v>
      </c>
      <c r="BE4" s="12"/>
      <c r="BF4" s="12" t="s">
        <v>25</v>
      </c>
      <c r="BG4" s="12"/>
      <c r="BH4" s="12" t="s">
        <v>26</v>
      </c>
      <c r="BI4" s="12"/>
      <c r="BJ4" s="12" t="s">
        <v>27</v>
      </c>
      <c r="BK4" s="12"/>
      <c r="BL4" s="12" t="s">
        <v>28</v>
      </c>
      <c r="BM4" s="12"/>
      <c r="BN4" s="12" t="s">
        <v>29</v>
      </c>
      <c r="BO4" s="12"/>
      <c r="BP4" s="13" t="s">
        <v>30</v>
      </c>
      <c r="BQ4" s="14"/>
      <c r="BR4" s="15"/>
      <c r="BS4" s="12" t="s">
        <v>22</v>
      </c>
      <c r="BT4" s="12"/>
      <c r="BU4" s="12" t="s">
        <v>23</v>
      </c>
      <c r="BV4" s="12"/>
      <c r="BW4" s="12" t="s">
        <v>24</v>
      </c>
      <c r="BX4" s="12"/>
      <c r="BY4" s="12" t="s">
        <v>25</v>
      </c>
      <c r="BZ4" s="12"/>
      <c r="CA4" s="12" t="s">
        <v>26</v>
      </c>
      <c r="CB4" s="12"/>
      <c r="CC4" s="12" t="s">
        <v>27</v>
      </c>
      <c r="CD4" s="12"/>
      <c r="CE4" s="12" t="s">
        <v>28</v>
      </c>
      <c r="CF4" s="12"/>
      <c r="CG4" s="12" t="s">
        <v>29</v>
      </c>
      <c r="CH4" s="12"/>
      <c r="CI4" s="13" t="s">
        <v>30</v>
      </c>
      <c r="CJ4" s="14"/>
      <c r="CK4" s="15"/>
      <c r="CL4" s="12" t="s">
        <v>22</v>
      </c>
      <c r="CM4" s="12"/>
      <c r="CN4" s="12" t="s">
        <v>23</v>
      </c>
      <c r="CO4" s="12"/>
      <c r="CP4" s="12" t="s">
        <v>24</v>
      </c>
      <c r="CQ4" s="12"/>
      <c r="CR4" s="12" t="s">
        <v>25</v>
      </c>
      <c r="CS4" s="12"/>
      <c r="CT4" s="12" t="s">
        <v>26</v>
      </c>
      <c r="CU4" s="12"/>
      <c r="CV4" s="12" t="s">
        <v>27</v>
      </c>
      <c r="CW4" s="12"/>
      <c r="CX4" s="12" t="s">
        <v>28</v>
      </c>
      <c r="CY4" s="12"/>
      <c r="CZ4" s="12" t="s">
        <v>29</v>
      </c>
      <c r="DA4" s="12"/>
      <c r="DB4" s="13" t="s">
        <v>30</v>
      </c>
      <c r="DC4" s="14"/>
      <c r="DD4" s="15"/>
      <c r="DE4" s="12" t="s">
        <v>22</v>
      </c>
      <c r="DF4" s="12"/>
      <c r="DG4" s="12" t="s">
        <v>23</v>
      </c>
      <c r="DH4" s="12"/>
      <c r="DI4" s="12" t="s">
        <v>24</v>
      </c>
      <c r="DJ4" s="12"/>
      <c r="DK4" s="12" t="s">
        <v>25</v>
      </c>
      <c r="DL4" s="12"/>
      <c r="DM4" s="12" t="s">
        <v>26</v>
      </c>
      <c r="DN4" s="12"/>
      <c r="DO4" s="12" t="s">
        <v>27</v>
      </c>
      <c r="DP4" s="12"/>
      <c r="DQ4" s="12" t="s">
        <v>28</v>
      </c>
      <c r="DR4" s="12"/>
      <c r="DS4" s="12" t="s">
        <v>29</v>
      </c>
      <c r="DT4" s="12"/>
      <c r="DU4" s="13" t="s">
        <v>30</v>
      </c>
      <c r="DV4" s="14"/>
      <c r="DW4" s="15"/>
      <c r="DX4" s="12" t="s">
        <v>22</v>
      </c>
      <c r="DY4" s="12"/>
      <c r="DZ4" s="12" t="s">
        <v>23</v>
      </c>
      <c r="EA4" s="12"/>
      <c r="EB4" s="12" t="s">
        <v>24</v>
      </c>
      <c r="EC4" s="12"/>
      <c r="ED4" s="12" t="s">
        <v>25</v>
      </c>
      <c r="EE4" s="12"/>
      <c r="EF4" s="12" t="s">
        <v>26</v>
      </c>
      <c r="EG4" s="12"/>
      <c r="EH4" s="12" t="s">
        <v>27</v>
      </c>
      <c r="EI4" s="12"/>
      <c r="EJ4" s="12" t="s">
        <v>28</v>
      </c>
      <c r="EK4" s="12"/>
      <c r="EL4" s="12" t="s">
        <v>29</v>
      </c>
      <c r="EM4" s="12"/>
      <c r="EN4" s="13" t="s">
        <v>30</v>
      </c>
      <c r="EO4" s="14"/>
      <c r="EP4" s="15"/>
      <c r="EQ4" s="12" t="s">
        <v>22</v>
      </c>
      <c r="ER4" s="12"/>
      <c r="ES4" s="12" t="s">
        <v>23</v>
      </c>
      <c r="ET4" s="12"/>
      <c r="EU4" s="12" t="s">
        <v>24</v>
      </c>
      <c r="EV4" s="12"/>
      <c r="EW4" s="12" t="s">
        <v>25</v>
      </c>
      <c r="EX4" s="12"/>
      <c r="EY4" s="12" t="s">
        <v>26</v>
      </c>
      <c r="EZ4" s="12"/>
      <c r="FA4" s="12" t="s">
        <v>27</v>
      </c>
      <c r="FB4" s="12"/>
      <c r="FC4" s="12" t="s">
        <v>28</v>
      </c>
      <c r="FD4" s="12"/>
      <c r="FE4" s="12" t="s">
        <v>29</v>
      </c>
      <c r="FF4" s="12"/>
      <c r="FG4" s="13" t="s">
        <v>30</v>
      </c>
      <c r="FH4" s="14"/>
      <c r="FI4" s="15"/>
      <c r="FJ4" s="12" t="s">
        <v>22</v>
      </c>
      <c r="FK4" s="12"/>
      <c r="FL4" s="12" t="s">
        <v>23</v>
      </c>
      <c r="FM4" s="12"/>
      <c r="FN4" s="12" t="s">
        <v>24</v>
      </c>
      <c r="FO4" s="12"/>
      <c r="FP4" s="12" t="s">
        <v>25</v>
      </c>
      <c r="FQ4" s="12"/>
      <c r="FR4" s="12" t="s">
        <v>26</v>
      </c>
      <c r="FS4" s="12"/>
      <c r="FT4" s="12" t="s">
        <v>27</v>
      </c>
      <c r="FU4" s="12"/>
      <c r="FV4" s="12" t="s">
        <v>28</v>
      </c>
      <c r="FW4" s="12"/>
      <c r="FX4" s="12" t="s">
        <v>29</v>
      </c>
      <c r="FY4" s="12"/>
      <c r="FZ4" s="13" t="s">
        <v>30</v>
      </c>
      <c r="GA4" s="14"/>
      <c r="GB4" s="15"/>
      <c r="GC4" s="12" t="s">
        <v>22</v>
      </c>
      <c r="GD4" s="12"/>
      <c r="GE4" s="12" t="s">
        <v>23</v>
      </c>
      <c r="GF4" s="12"/>
      <c r="GG4" s="12" t="s">
        <v>24</v>
      </c>
      <c r="GH4" s="12"/>
      <c r="GI4" s="12" t="s">
        <v>25</v>
      </c>
      <c r="GJ4" s="12"/>
      <c r="GK4" s="12" t="s">
        <v>26</v>
      </c>
      <c r="GL4" s="12"/>
      <c r="GM4" s="12" t="s">
        <v>27</v>
      </c>
      <c r="GN4" s="12"/>
      <c r="GO4" s="12" t="s">
        <v>28</v>
      </c>
      <c r="GP4" s="12"/>
      <c r="GQ4" s="12" t="s">
        <v>29</v>
      </c>
      <c r="GR4" s="12"/>
      <c r="GS4" s="13" t="s">
        <v>30</v>
      </c>
      <c r="GT4" s="14"/>
      <c r="GU4" s="15"/>
      <c r="GV4" s="12" t="s">
        <v>22</v>
      </c>
      <c r="GW4" s="12"/>
      <c r="GX4" s="12" t="s">
        <v>23</v>
      </c>
      <c r="GY4" s="12"/>
      <c r="GZ4" s="12" t="s">
        <v>24</v>
      </c>
      <c r="HA4" s="12"/>
      <c r="HB4" s="12" t="s">
        <v>25</v>
      </c>
      <c r="HC4" s="12"/>
      <c r="HD4" s="12" t="s">
        <v>26</v>
      </c>
      <c r="HE4" s="12"/>
      <c r="HF4" s="12" t="s">
        <v>27</v>
      </c>
      <c r="HG4" s="12"/>
      <c r="HH4" s="12" t="s">
        <v>28</v>
      </c>
      <c r="HI4" s="12"/>
      <c r="HJ4" s="12" t="s">
        <v>29</v>
      </c>
      <c r="HK4" s="12"/>
      <c r="HL4" s="13" t="s">
        <v>30</v>
      </c>
      <c r="HM4" s="14"/>
      <c r="HN4" s="15"/>
      <c r="HO4" s="12" t="s">
        <v>22</v>
      </c>
      <c r="HP4" s="12"/>
      <c r="HQ4" s="12" t="s">
        <v>23</v>
      </c>
      <c r="HR4" s="12"/>
      <c r="HS4" s="12" t="s">
        <v>24</v>
      </c>
      <c r="HT4" s="12"/>
      <c r="HU4" s="12" t="s">
        <v>25</v>
      </c>
      <c r="HV4" s="12"/>
      <c r="HW4" s="12" t="s">
        <v>26</v>
      </c>
      <c r="HX4" s="12"/>
      <c r="HY4" s="12" t="s">
        <v>27</v>
      </c>
      <c r="HZ4" s="12"/>
      <c r="IA4" s="12" t="s">
        <v>28</v>
      </c>
      <c r="IB4" s="12"/>
      <c r="IC4" s="12" t="s">
        <v>29</v>
      </c>
      <c r="ID4" s="12"/>
      <c r="IE4" s="13" t="s">
        <v>30</v>
      </c>
      <c r="IF4" s="14"/>
      <c r="IG4" s="15"/>
      <c r="IH4" s="12" t="s">
        <v>22</v>
      </c>
      <c r="II4" s="12"/>
      <c r="IJ4" s="12" t="s">
        <v>23</v>
      </c>
      <c r="IK4" s="12"/>
      <c r="IL4" s="12" t="s">
        <v>24</v>
      </c>
      <c r="IM4" s="12"/>
      <c r="IN4" s="12" t="s">
        <v>25</v>
      </c>
      <c r="IO4" s="12"/>
      <c r="IP4" s="12" t="s">
        <v>26</v>
      </c>
      <c r="IQ4" s="12"/>
      <c r="IR4" s="12" t="s">
        <v>27</v>
      </c>
      <c r="IS4" s="12"/>
      <c r="IT4" s="12" t="s">
        <v>28</v>
      </c>
      <c r="IU4" s="12"/>
      <c r="IV4" s="12" t="s">
        <v>29</v>
      </c>
      <c r="IW4" s="12"/>
      <c r="IX4" s="13" t="s">
        <v>30</v>
      </c>
      <c r="IY4" s="14"/>
      <c r="IZ4" s="15"/>
      <c r="JA4" s="12" t="s">
        <v>22</v>
      </c>
      <c r="JB4" s="12"/>
      <c r="JC4" s="12" t="s">
        <v>23</v>
      </c>
      <c r="JD4" s="12"/>
      <c r="JE4" s="12" t="s">
        <v>24</v>
      </c>
      <c r="JF4" s="12"/>
      <c r="JG4" s="12" t="s">
        <v>25</v>
      </c>
      <c r="JH4" s="12"/>
      <c r="JI4" s="12" t="s">
        <v>26</v>
      </c>
      <c r="JJ4" s="12"/>
      <c r="JK4" s="12" t="s">
        <v>27</v>
      </c>
      <c r="JL4" s="12"/>
      <c r="JM4" s="12" t="s">
        <v>28</v>
      </c>
      <c r="JN4" s="12"/>
      <c r="JO4" s="12" t="s">
        <v>29</v>
      </c>
      <c r="JP4" s="12"/>
      <c r="JQ4" s="13" t="s">
        <v>30</v>
      </c>
      <c r="JR4" s="14"/>
      <c r="JS4" s="15"/>
      <c r="JT4" s="12" t="s">
        <v>22</v>
      </c>
      <c r="JU4" s="12"/>
      <c r="JV4" s="12" t="s">
        <v>23</v>
      </c>
      <c r="JW4" s="12"/>
      <c r="JX4" s="12" t="s">
        <v>24</v>
      </c>
      <c r="JY4" s="12"/>
      <c r="JZ4" s="12" t="s">
        <v>25</v>
      </c>
      <c r="KA4" s="12"/>
      <c r="KB4" s="12" t="s">
        <v>26</v>
      </c>
      <c r="KC4" s="12"/>
      <c r="KD4" s="12" t="s">
        <v>27</v>
      </c>
      <c r="KE4" s="12"/>
      <c r="KF4" s="12" t="s">
        <v>28</v>
      </c>
      <c r="KG4" s="12"/>
      <c r="KH4" s="12" t="s">
        <v>29</v>
      </c>
      <c r="KI4" s="12"/>
      <c r="KJ4" s="13" t="s">
        <v>30</v>
      </c>
      <c r="KK4" s="14"/>
      <c r="KL4" s="15"/>
      <c r="KM4" s="12" t="s">
        <v>22</v>
      </c>
      <c r="KN4" s="12"/>
      <c r="KO4" s="12" t="s">
        <v>23</v>
      </c>
      <c r="KP4" s="12"/>
      <c r="KQ4" s="12" t="s">
        <v>24</v>
      </c>
      <c r="KR4" s="12"/>
      <c r="KS4" s="12" t="s">
        <v>25</v>
      </c>
      <c r="KT4" s="12"/>
      <c r="KU4" s="12" t="s">
        <v>26</v>
      </c>
      <c r="KV4" s="12"/>
      <c r="KW4" s="12" t="s">
        <v>27</v>
      </c>
      <c r="KX4" s="12"/>
      <c r="KY4" s="12" t="s">
        <v>28</v>
      </c>
      <c r="KZ4" s="12"/>
      <c r="LA4" s="12" t="s">
        <v>29</v>
      </c>
      <c r="LB4" s="12"/>
      <c r="LC4" s="13" t="s">
        <v>30</v>
      </c>
      <c r="LD4" s="14"/>
      <c r="LE4" s="15"/>
      <c r="LF4" s="12" t="s">
        <v>22</v>
      </c>
      <c r="LG4" s="12"/>
      <c r="LH4" s="12" t="s">
        <v>23</v>
      </c>
      <c r="LI4" s="12"/>
      <c r="LJ4" s="12" t="s">
        <v>24</v>
      </c>
      <c r="LK4" s="12"/>
      <c r="LL4" s="12" t="s">
        <v>25</v>
      </c>
      <c r="LM4" s="12"/>
      <c r="LN4" s="12" t="s">
        <v>26</v>
      </c>
      <c r="LO4" s="12"/>
      <c r="LP4" s="12" t="s">
        <v>27</v>
      </c>
      <c r="LQ4" s="12"/>
      <c r="LR4" s="12" t="s">
        <v>28</v>
      </c>
      <c r="LS4" s="12"/>
      <c r="LT4" s="12" t="s">
        <v>29</v>
      </c>
      <c r="LU4" s="12"/>
      <c r="LV4" s="13" t="s">
        <v>30</v>
      </c>
      <c r="LW4" s="14"/>
      <c r="LX4" s="15"/>
      <c r="LY4" s="12" t="s">
        <v>22</v>
      </c>
      <c r="LZ4" s="12"/>
      <c r="MA4" s="12" t="s">
        <v>23</v>
      </c>
      <c r="MB4" s="12"/>
      <c r="MC4" s="12" t="s">
        <v>24</v>
      </c>
      <c r="MD4" s="12"/>
      <c r="ME4" s="12" t="s">
        <v>25</v>
      </c>
      <c r="MF4" s="12"/>
      <c r="MG4" s="12" t="s">
        <v>26</v>
      </c>
      <c r="MH4" s="12"/>
      <c r="MI4" s="12" t="s">
        <v>27</v>
      </c>
      <c r="MJ4" s="12"/>
      <c r="MK4" s="12" t="s">
        <v>28</v>
      </c>
      <c r="ML4" s="12"/>
      <c r="MM4" s="12" t="s">
        <v>29</v>
      </c>
      <c r="MN4" s="12"/>
      <c r="MO4" s="13" t="s">
        <v>30</v>
      </c>
      <c r="MP4" s="14"/>
      <c r="MQ4" s="15"/>
      <c r="MR4" s="12" t="s">
        <v>22</v>
      </c>
      <c r="MS4" s="12"/>
      <c r="MT4" s="12" t="s">
        <v>23</v>
      </c>
      <c r="MU4" s="12"/>
      <c r="MV4" s="12" t="s">
        <v>24</v>
      </c>
      <c r="MW4" s="12"/>
      <c r="MX4" s="12" t="s">
        <v>25</v>
      </c>
      <c r="MY4" s="12"/>
      <c r="MZ4" s="12" t="s">
        <v>26</v>
      </c>
      <c r="NA4" s="12"/>
      <c r="NB4" s="12" t="s">
        <v>27</v>
      </c>
      <c r="NC4" s="12"/>
      <c r="ND4" s="12" t="s">
        <v>28</v>
      </c>
      <c r="NE4" s="12"/>
      <c r="NF4" s="12" t="s">
        <v>29</v>
      </c>
      <c r="NG4" s="12"/>
      <c r="NH4" s="13" t="s">
        <v>30</v>
      </c>
      <c r="NI4" s="14"/>
      <c r="NJ4" s="15"/>
    </row>
    <row r="5" spans="1:374" x14ac:dyDescent="0.25">
      <c r="M5">
        <v>1977</v>
      </c>
      <c r="N5" s="8" t="s">
        <v>31</v>
      </c>
      <c r="O5" s="8" t="s">
        <v>32</v>
      </c>
      <c r="P5" s="8" t="s">
        <v>31</v>
      </c>
      <c r="Q5" s="8" t="s">
        <v>32</v>
      </c>
      <c r="R5" s="8" t="s">
        <v>31</v>
      </c>
      <c r="S5" s="8" t="s">
        <v>32</v>
      </c>
      <c r="T5" s="8" t="s">
        <v>31</v>
      </c>
      <c r="U5" s="8" t="s">
        <v>32</v>
      </c>
      <c r="V5" s="8" t="s">
        <v>31</v>
      </c>
      <c r="W5" s="8" t="s">
        <v>32</v>
      </c>
      <c r="X5" s="8" t="s">
        <v>31</v>
      </c>
      <c r="Y5" s="8" t="s">
        <v>32</v>
      </c>
      <c r="Z5" s="8" t="s">
        <v>31</v>
      </c>
      <c r="AA5" s="8" t="s">
        <v>32</v>
      </c>
      <c r="AB5" s="8" t="s">
        <v>31</v>
      </c>
      <c r="AC5" s="8" t="s">
        <v>32</v>
      </c>
      <c r="AD5" s="8" t="s">
        <v>31</v>
      </c>
      <c r="AE5" s="8" t="s">
        <v>32</v>
      </c>
      <c r="AF5" s="8" t="s">
        <v>33</v>
      </c>
      <c r="AG5" s="8" t="s">
        <v>31</v>
      </c>
      <c r="AH5" s="8" t="s">
        <v>32</v>
      </c>
      <c r="AI5" s="8" t="s">
        <v>31</v>
      </c>
      <c r="AJ5" s="8" t="s">
        <v>32</v>
      </c>
      <c r="AK5" s="8" t="s">
        <v>31</v>
      </c>
      <c r="AL5" s="8" t="s">
        <v>32</v>
      </c>
      <c r="AM5" s="8" t="s">
        <v>31</v>
      </c>
      <c r="AN5" s="8" t="s">
        <v>32</v>
      </c>
      <c r="AO5" s="8" t="s">
        <v>31</v>
      </c>
      <c r="AP5" s="8" t="s">
        <v>32</v>
      </c>
      <c r="AQ5" s="8" t="s">
        <v>31</v>
      </c>
      <c r="AR5" s="8" t="s">
        <v>32</v>
      </c>
      <c r="AS5" s="8" t="s">
        <v>31</v>
      </c>
      <c r="AT5" s="8" t="s">
        <v>32</v>
      </c>
      <c r="AU5" s="8" t="s">
        <v>31</v>
      </c>
      <c r="AV5" s="8" t="s">
        <v>32</v>
      </c>
      <c r="AW5" s="8" t="s">
        <v>31</v>
      </c>
      <c r="AX5" s="8" t="s">
        <v>32</v>
      </c>
      <c r="AY5" s="8" t="s">
        <v>33</v>
      </c>
      <c r="AZ5" s="8" t="s">
        <v>31</v>
      </c>
      <c r="BA5" s="8" t="s">
        <v>32</v>
      </c>
      <c r="BB5" s="8" t="s">
        <v>31</v>
      </c>
      <c r="BC5" s="8" t="s">
        <v>32</v>
      </c>
      <c r="BD5" s="8" t="s">
        <v>31</v>
      </c>
      <c r="BE5" s="8" t="s">
        <v>32</v>
      </c>
      <c r="BF5" s="8" t="s">
        <v>31</v>
      </c>
      <c r="BG5" s="8" t="s">
        <v>32</v>
      </c>
      <c r="BH5" s="8" t="s">
        <v>31</v>
      </c>
      <c r="BI5" s="8" t="s">
        <v>32</v>
      </c>
      <c r="BJ5" s="8" t="s">
        <v>31</v>
      </c>
      <c r="BK5" s="8" t="s">
        <v>32</v>
      </c>
      <c r="BL5" s="8" t="s">
        <v>31</v>
      </c>
      <c r="BM5" s="8" t="s">
        <v>32</v>
      </c>
      <c r="BN5" s="8" t="s">
        <v>31</v>
      </c>
      <c r="BO5" s="8" t="s">
        <v>32</v>
      </c>
      <c r="BP5" s="8" t="s">
        <v>31</v>
      </c>
      <c r="BQ5" s="8" t="s">
        <v>32</v>
      </c>
      <c r="BR5" s="8" t="s">
        <v>33</v>
      </c>
      <c r="BS5" s="8" t="s">
        <v>31</v>
      </c>
      <c r="BT5" s="8" t="s">
        <v>32</v>
      </c>
      <c r="BU5" s="8" t="s">
        <v>31</v>
      </c>
      <c r="BV5" s="8" t="s">
        <v>32</v>
      </c>
      <c r="BW5" s="8" t="s">
        <v>31</v>
      </c>
      <c r="BX5" s="8" t="s">
        <v>32</v>
      </c>
      <c r="BY5" s="8" t="s">
        <v>31</v>
      </c>
      <c r="BZ5" s="8" t="s">
        <v>32</v>
      </c>
      <c r="CA5" s="8" t="s">
        <v>31</v>
      </c>
      <c r="CB5" s="8" t="s">
        <v>32</v>
      </c>
      <c r="CC5" s="8" t="s">
        <v>31</v>
      </c>
      <c r="CD5" s="8" t="s">
        <v>32</v>
      </c>
      <c r="CE5" s="8" t="s">
        <v>31</v>
      </c>
      <c r="CF5" s="8" t="s">
        <v>32</v>
      </c>
      <c r="CG5" s="8" t="s">
        <v>31</v>
      </c>
      <c r="CH5" s="8" t="s">
        <v>32</v>
      </c>
      <c r="CI5" s="8" t="s">
        <v>31</v>
      </c>
      <c r="CJ5" s="8" t="s">
        <v>32</v>
      </c>
      <c r="CK5" s="8" t="s">
        <v>33</v>
      </c>
      <c r="CL5" s="8" t="s">
        <v>31</v>
      </c>
      <c r="CM5" s="8" t="s">
        <v>32</v>
      </c>
      <c r="CN5" s="8" t="s">
        <v>31</v>
      </c>
      <c r="CO5" s="8" t="s">
        <v>32</v>
      </c>
      <c r="CP5" s="8" t="s">
        <v>31</v>
      </c>
      <c r="CQ5" s="8" t="s">
        <v>32</v>
      </c>
      <c r="CR5" s="8" t="s">
        <v>31</v>
      </c>
      <c r="CS5" s="8" t="s">
        <v>32</v>
      </c>
      <c r="CT5" s="8" t="s">
        <v>31</v>
      </c>
      <c r="CU5" s="8" t="s">
        <v>32</v>
      </c>
      <c r="CV5" s="8" t="s">
        <v>31</v>
      </c>
      <c r="CW5" s="8" t="s">
        <v>32</v>
      </c>
      <c r="CX5" s="8" t="s">
        <v>31</v>
      </c>
      <c r="CY5" s="8" t="s">
        <v>32</v>
      </c>
      <c r="CZ5" s="8" t="s">
        <v>31</v>
      </c>
      <c r="DA5" s="8" t="s">
        <v>32</v>
      </c>
      <c r="DB5" s="8" t="s">
        <v>31</v>
      </c>
      <c r="DC5" s="8" t="s">
        <v>32</v>
      </c>
      <c r="DD5" s="8" t="s">
        <v>33</v>
      </c>
      <c r="DE5" s="8" t="s">
        <v>31</v>
      </c>
      <c r="DF5" s="8" t="s">
        <v>32</v>
      </c>
      <c r="DG5" s="8" t="s">
        <v>31</v>
      </c>
      <c r="DH5" s="8" t="s">
        <v>32</v>
      </c>
      <c r="DI5" s="8" t="s">
        <v>31</v>
      </c>
      <c r="DJ5" s="8" t="s">
        <v>32</v>
      </c>
      <c r="DK5" s="8" t="s">
        <v>31</v>
      </c>
      <c r="DL5" s="8" t="s">
        <v>32</v>
      </c>
      <c r="DM5" s="8" t="s">
        <v>31</v>
      </c>
      <c r="DN5" s="8" t="s">
        <v>32</v>
      </c>
      <c r="DO5" s="8" t="s">
        <v>31</v>
      </c>
      <c r="DP5" s="8" t="s">
        <v>32</v>
      </c>
      <c r="DQ5" s="8" t="s">
        <v>31</v>
      </c>
      <c r="DR5" s="8" t="s">
        <v>32</v>
      </c>
      <c r="DS5" s="8" t="s">
        <v>31</v>
      </c>
      <c r="DT5" s="8" t="s">
        <v>32</v>
      </c>
      <c r="DU5" s="8" t="s">
        <v>31</v>
      </c>
      <c r="DV5" s="8" t="s">
        <v>32</v>
      </c>
      <c r="DW5" s="8" t="s">
        <v>33</v>
      </c>
      <c r="DX5" s="8" t="s">
        <v>31</v>
      </c>
      <c r="DY5" s="8" t="s">
        <v>32</v>
      </c>
      <c r="DZ5" s="8" t="s">
        <v>31</v>
      </c>
      <c r="EA5" s="8" t="s">
        <v>32</v>
      </c>
      <c r="EB5" s="8" t="s">
        <v>31</v>
      </c>
      <c r="EC5" s="8" t="s">
        <v>32</v>
      </c>
      <c r="ED5" s="8" t="s">
        <v>31</v>
      </c>
      <c r="EE5" s="8" t="s">
        <v>32</v>
      </c>
      <c r="EF5" s="8" t="s">
        <v>31</v>
      </c>
      <c r="EG5" s="8" t="s">
        <v>32</v>
      </c>
      <c r="EH5" s="8" t="s">
        <v>31</v>
      </c>
      <c r="EI5" s="8" t="s">
        <v>32</v>
      </c>
      <c r="EJ5" s="8" t="s">
        <v>31</v>
      </c>
      <c r="EK5" s="8" t="s">
        <v>32</v>
      </c>
      <c r="EL5" s="8" t="s">
        <v>31</v>
      </c>
      <c r="EM5" s="8" t="s">
        <v>32</v>
      </c>
      <c r="EN5" s="8" t="s">
        <v>31</v>
      </c>
      <c r="EO5" s="8" t="s">
        <v>32</v>
      </c>
      <c r="EP5" s="8" t="s">
        <v>33</v>
      </c>
      <c r="EQ5" s="8" t="s">
        <v>31</v>
      </c>
      <c r="ER5" s="8" t="s">
        <v>32</v>
      </c>
      <c r="ES5" s="8" t="s">
        <v>31</v>
      </c>
      <c r="ET5" s="8" t="s">
        <v>32</v>
      </c>
      <c r="EU5" s="8" t="s">
        <v>31</v>
      </c>
      <c r="EV5" s="8" t="s">
        <v>32</v>
      </c>
      <c r="EW5" s="8" t="s">
        <v>31</v>
      </c>
      <c r="EX5" s="8" t="s">
        <v>32</v>
      </c>
      <c r="EY5" s="8" t="s">
        <v>31</v>
      </c>
      <c r="EZ5" s="8" t="s">
        <v>32</v>
      </c>
      <c r="FA5" s="8" t="s">
        <v>31</v>
      </c>
      <c r="FB5" s="8" t="s">
        <v>32</v>
      </c>
      <c r="FC5" s="8" t="s">
        <v>31</v>
      </c>
      <c r="FD5" s="8" t="s">
        <v>32</v>
      </c>
      <c r="FE5" s="8" t="s">
        <v>31</v>
      </c>
      <c r="FF5" s="8" t="s">
        <v>32</v>
      </c>
      <c r="FG5" s="8" t="s">
        <v>31</v>
      </c>
      <c r="FH5" s="8" t="s">
        <v>32</v>
      </c>
      <c r="FI5" s="8" t="s">
        <v>33</v>
      </c>
      <c r="FJ5" s="8" t="s">
        <v>31</v>
      </c>
      <c r="FK5" s="8" t="s">
        <v>32</v>
      </c>
      <c r="FL5" s="8" t="s">
        <v>31</v>
      </c>
      <c r="FM5" s="8" t="s">
        <v>32</v>
      </c>
      <c r="FN5" s="8" t="s">
        <v>31</v>
      </c>
      <c r="FO5" s="8" t="s">
        <v>32</v>
      </c>
      <c r="FP5" s="8" t="s">
        <v>31</v>
      </c>
      <c r="FQ5" s="8" t="s">
        <v>32</v>
      </c>
      <c r="FR5" s="8" t="s">
        <v>31</v>
      </c>
      <c r="FS5" s="8" t="s">
        <v>32</v>
      </c>
      <c r="FT5" s="8" t="s">
        <v>31</v>
      </c>
      <c r="FU5" s="8" t="s">
        <v>32</v>
      </c>
      <c r="FV5" s="8" t="s">
        <v>31</v>
      </c>
      <c r="FW5" s="8" t="s">
        <v>32</v>
      </c>
      <c r="FX5" s="8" t="s">
        <v>31</v>
      </c>
      <c r="FY5" s="8" t="s">
        <v>32</v>
      </c>
      <c r="FZ5" s="8" t="s">
        <v>31</v>
      </c>
      <c r="GA5" s="8" t="s">
        <v>32</v>
      </c>
      <c r="GB5" s="8" t="s">
        <v>33</v>
      </c>
      <c r="GC5" s="8" t="s">
        <v>31</v>
      </c>
      <c r="GD5" s="8" t="s">
        <v>32</v>
      </c>
      <c r="GE5" s="8" t="s">
        <v>31</v>
      </c>
      <c r="GF5" s="8" t="s">
        <v>32</v>
      </c>
      <c r="GG5" s="8" t="s">
        <v>31</v>
      </c>
      <c r="GH5" s="8" t="s">
        <v>32</v>
      </c>
      <c r="GI5" s="8" t="s">
        <v>31</v>
      </c>
      <c r="GJ5" s="8" t="s">
        <v>32</v>
      </c>
      <c r="GK5" s="8" t="s">
        <v>31</v>
      </c>
      <c r="GL5" s="8" t="s">
        <v>32</v>
      </c>
      <c r="GM5" s="8" t="s">
        <v>31</v>
      </c>
      <c r="GN5" s="8" t="s">
        <v>32</v>
      </c>
      <c r="GO5" s="8" t="s">
        <v>31</v>
      </c>
      <c r="GP5" s="8" t="s">
        <v>32</v>
      </c>
      <c r="GQ5" s="8" t="s">
        <v>31</v>
      </c>
      <c r="GR5" s="8" t="s">
        <v>32</v>
      </c>
      <c r="GS5" s="8" t="s">
        <v>31</v>
      </c>
      <c r="GT5" s="8" t="s">
        <v>32</v>
      </c>
      <c r="GU5" s="8" t="s">
        <v>33</v>
      </c>
      <c r="GV5" s="8" t="s">
        <v>31</v>
      </c>
      <c r="GW5" s="8" t="s">
        <v>32</v>
      </c>
      <c r="GX5" s="8" t="s">
        <v>31</v>
      </c>
      <c r="GY5" s="8" t="s">
        <v>32</v>
      </c>
      <c r="GZ5" s="8" t="s">
        <v>31</v>
      </c>
      <c r="HA5" s="8" t="s">
        <v>32</v>
      </c>
      <c r="HB5" s="8" t="s">
        <v>31</v>
      </c>
      <c r="HC5" s="8" t="s">
        <v>32</v>
      </c>
      <c r="HD5" s="8" t="s">
        <v>31</v>
      </c>
      <c r="HE5" s="8" t="s">
        <v>32</v>
      </c>
      <c r="HF5" s="8" t="s">
        <v>31</v>
      </c>
      <c r="HG5" s="8" t="s">
        <v>32</v>
      </c>
      <c r="HH5" s="8" t="s">
        <v>31</v>
      </c>
      <c r="HI5" s="8" t="s">
        <v>32</v>
      </c>
      <c r="HJ5" s="8" t="s">
        <v>31</v>
      </c>
      <c r="HK5" s="8" t="s">
        <v>32</v>
      </c>
      <c r="HL5" s="8" t="s">
        <v>31</v>
      </c>
      <c r="HM5" s="8" t="s">
        <v>32</v>
      </c>
      <c r="HN5" s="8" t="s">
        <v>33</v>
      </c>
      <c r="HO5" s="8" t="s">
        <v>31</v>
      </c>
      <c r="HP5" s="8" t="s">
        <v>32</v>
      </c>
      <c r="HQ5" s="8" t="s">
        <v>31</v>
      </c>
      <c r="HR5" s="8" t="s">
        <v>32</v>
      </c>
      <c r="HS5" s="8" t="s">
        <v>31</v>
      </c>
      <c r="HT5" s="8" t="s">
        <v>32</v>
      </c>
      <c r="HU5" s="8" t="s">
        <v>31</v>
      </c>
      <c r="HV5" s="8" t="s">
        <v>32</v>
      </c>
      <c r="HW5" s="8" t="s">
        <v>31</v>
      </c>
      <c r="HX5" s="8" t="s">
        <v>32</v>
      </c>
      <c r="HY5" s="8" t="s">
        <v>31</v>
      </c>
      <c r="HZ5" s="8" t="s">
        <v>32</v>
      </c>
      <c r="IA5" s="8" t="s">
        <v>31</v>
      </c>
      <c r="IB5" s="8" t="s">
        <v>32</v>
      </c>
      <c r="IC5" s="8" t="s">
        <v>31</v>
      </c>
      <c r="ID5" s="8" t="s">
        <v>32</v>
      </c>
      <c r="IE5" s="8" t="s">
        <v>31</v>
      </c>
      <c r="IF5" s="8" t="s">
        <v>32</v>
      </c>
      <c r="IG5" s="8" t="s">
        <v>33</v>
      </c>
      <c r="IH5" s="8" t="s">
        <v>31</v>
      </c>
      <c r="II5" s="8" t="s">
        <v>32</v>
      </c>
      <c r="IJ5" s="8" t="s">
        <v>31</v>
      </c>
      <c r="IK5" s="8" t="s">
        <v>32</v>
      </c>
      <c r="IL5" s="8" t="s">
        <v>31</v>
      </c>
      <c r="IM5" s="8" t="s">
        <v>32</v>
      </c>
      <c r="IN5" s="8" t="s">
        <v>31</v>
      </c>
      <c r="IO5" s="8" t="s">
        <v>32</v>
      </c>
      <c r="IP5" s="8" t="s">
        <v>31</v>
      </c>
      <c r="IQ5" s="8" t="s">
        <v>32</v>
      </c>
      <c r="IR5" s="8" t="s">
        <v>31</v>
      </c>
      <c r="IS5" s="8" t="s">
        <v>32</v>
      </c>
      <c r="IT5" s="8" t="s">
        <v>31</v>
      </c>
      <c r="IU5" s="8" t="s">
        <v>32</v>
      </c>
      <c r="IV5" s="8" t="s">
        <v>31</v>
      </c>
      <c r="IW5" s="8" t="s">
        <v>32</v>
      </c>
      <c r="IX5" s="8" t="s">
        <v>31</v>
      </c>
      <c r="IY5" s="8" t="s">
        <v>32</v>
      </c>
      <c r="IZ5" s="8" t="s">
        <v>33</v>
      </c>
      <c r="JA5" s="8" t="s">
        <v>31</v>
      </c>
      <c r="JB5" s="8" t="s">
        <v>32</v>
      </c>
      <c r="JC5" s="8" t="s">
        <v>31</v>
      </c>
      <c r="JD5" s="8" t="s">
        <v>32</v>
      </c>
      <c r="JE5" s="8" t="s">
        <v>31</v>
      </c>
      <c r="JF5" s="8" t="s">
        <v>32</v>
      </c>
      <c r="JG5" s="8" t="s">
        <v>31</v>
      </c>
      <c r="JH5" s="8" t="s">
        <v>32</v>
      </c>
      <c r="JI5" s="8" t="s">
        <v>31</v>
      </c>
      <c r="JJ5" s="8" t="s">
        <v>32</v>
      </c>
      <c r="JK5" s="8" t="s">
        <v>31</v>
      </c>
      <c r="JL5" s="8" t="s">
        <v>32</v>
      </c>
      <c r="JM5" s="8" t="s">
        <v>31</v>
      </c>
      <c r="JN5" s="8" t="s">
        <v>32</v>
      </c>
      <c r="JO5" s="8" t="s">
        <v>31</v>
      </c>
      <c r="JP5" s="8" t="s">
        <v>32</v>
      </c>
      <c r="JQ5" s="8" t="s">
        <v>31</v>
      </c>
      <c r="JR5" s="8" t="s">
        <v>32</v>
      </c>
      <c r="JS5" s="8" t="s">
        <v>33</v>
      </c>
      <c r="JT5" s="8" t="s">
        <v>31</v>
      </c>
      <c r="JU5" s="8" t="s">
        <v>32</v>
      </c>
      <c r="JV5" s="8" t="s">
        <v>31</v>
      </c>
      <c r="JW5" s="8" t="s">
        <v>32</v>
      </c>
      <c r="JX5" s="8" t="s">
        <v>31</v>
      </c>
      <c r="JY5" s="8" t="s">
        <v>32</v>
      </c>
      <c r="JZ5" s="8" t="s">
        <v>31</v>
      </c>
      <c r="KA5" s="8" t="s">
        <v>32</v>
      </c>
      <c r="KB5" s="8" t="s">
        <v>31</v>
      </c>
      <c r="KC5" s="8" t="s">
        <v>32</v>
      </c>
      <c r="KD5" s="8" t="s">
        <v>31</v>
      </c>
      <c r="KE5" s="8" t="s">
        <v>32</v>
      </c>
      <c r="KF5" s="8" t="s">
        <v>31</v>
      </c>
      <c r="KG5" s="8" t="s">
        <v>32</v>
      </c>
      <c r="KH5" s="8" t="s">
        <v>31</v>
      </c>
      <c r="KI5" s="8" t="s">
        <v>32</v>
      </c>
      <c r="KJ5" s="8" t="s">
        <v>31</v>
      </c>
      <c r="KK5" s="8" t="s">
        <v>32</v>
      </c>
      <c r="KL5" s="8" t="s">
        <v>33</v>
      </c>
      <c r="KM5" s="8" t="s">
        <v>31</v>
      </c>
      <c r="KN5" s="8" t="s">
        <v>32</v>
      </c>
      <c r="KO5" s="8" t="s">
        <v>31</v>
      </c>
      <c r="KP5" s="8" t="s">
        <v>32</v>
      </c>
      <c r="KQ5" s="8" t="s">
        <v>31</v>
      </c>
      <c r="KR5" s="8" t="s">
        <v>32</v>
      </c>
      <c r="KS5" s="8" t="s">
        <v>31</v>
      </c>
      <c r="KT5" s="8" t="s">
        <v>32</v>
      </c>
      <c r="KU5" s="8" t="s">
        <v>31</v>
      </c>
      <c r="KV5" s="8" t="s">
        <v>32</v>
      </c>
      <c r="KW5" s="8" t="s">
        <v>31</v>
      </c>
      <c r="KX5" s="8" t="s">
        <v>32</v>
      </c>
      <c r="KY5" s="8" t="s">
        <v>31</v>
      </c>
      <c r="KZ5" s="8" t="s">
        <v>32</v>
      </c>
      <c r="LA5" s="8" t="s">
        <v>31</v>
      </c>
      <c r="LB5" s="8" t="s">
        <v>32</v>
      </c>
      <c r="LC5" s="8" t="s">
        <v>31</v>
      </c>
      <c r="LD5" s="8" t="s">
        <v>32</v>
      </c>
      <c r="LE5" s="8" t="s">
        <v>33</v>
      </c>
      <c r="LF5" s="8" t="s">
        <v>31</v>
      </c>
      <c r="LG5" s="8" t="s">
        <v>32</v>
      </c>
      <c r="LH5" s="8" t="s">
        <v>31</v>
      </c>
      <c r="LI5" s="8" t="s">
        <v>32</v>
      </c>
      <c r="LJ5" s="8" t="s">
        <v>31</v>
      </c>
      <c r="LK5" s="8" t="s">
        <v>32</v>
      </c>
      <c r="LL5" s="8" t="s">
        <v>31</v>
      </c>
      <c r="LM5" s="8" t="s">
        <v>32</v>
      </c>
      <c r="LN5" s="8" t="s">
        <v>31</v>
      </c>
      <c r="LO5" s="8" t="s">
        <v>32</v>
      </c>
      <c r="LP5" s="8" t="s">
        <v>31</v>
      </c>
      <c r="LQ5" s="8" t="s">
        <v>32</v>
      </c>
      <c r="LR5" s="8" t="s">
        <v>31</v>
      </c>
      <c r="LS5" s="8" t="s">
        <v>32</v>
      </c>
      <c r="LT5" s="8" t="s">
        <v>31</v>
      </c>
      <c r="LU5" s="8" t="s">
        <v>32</v>
      </c>
      <c r="LV5" s="8" t="s">
        <v>31</v>
      </c>
      <c r="LW5" s="8" t="s">
        <v>32</v>
      </c>
      <c r="LX5" s="8" t="s">
        <v>33</v>
      </c>
      <c r="LY5" s="8" t="s">
        <v>31</v>
      </c>
      <c r="LZ5" s="8" t="s">
        <v>32</v>
      </c>
      <c r="MA5" s="8" t="s">
        <v>31</v>
      </c>
      <c r="MB5" s="8" t="s">
        <v>32</v>
      </c>
      <c r="MC5" s="8" t="s">
        <v>31</v>
      </c>
      <c r="MD5" s="8" t="s">
        <v>32</v>
      </c>
      <c r="ME5" s="8" t="s">
        <v>31</v>
      </c>
      <c r="MF5" s="8" t="s">
        <v>32</v>
      </c>
      <c r="MG5" s="8" t="s">
        <v>31</v>
      </c>
      <c r="MH5" s="8" t="s">
        <v>32</v>
      </c>
      <c r="MI5" s="8" t="s">
        <v>31</v>
      </c>
      <c r="MJ5" s="8" t="s">
        <v>32</v>
      </c>
      <c r="MK5" s="8" t="s">
        <v>31</v>
      </c>
      <c r="ML5" s="8" t="s">
        <v>32</v>
      </c>
      <c r="MM5" s="8" t="s">
        <v>31</v>
      </c>
      <c r="MN5" s="8" t="s">
        <v>32</v>
      </c>
      <c r="MO5" s="8" t="s">
        <v>31</v>
      </c>
      <c r="MP5" s="8" t="s">
        <v>32</v>
      </c>
      <c r="MQ5" s="8" t="s">
        <v>33</v>
      </c>
      <c r="MR5" s="8" t="s">
        <v>31</v>
      </c>
      <c r="MS5" s="8" t="s">
        <v>32</v>
      </c>
      <c r="MT5" s="8" t="s">
        <v>31</v>
      </c>
      <c r="MU5" s="8" t="s">
        <v>32</v>
      </c>
      <c r="MV5" s="8" t="s">
        <v>31</v>
      </c>
      <c r="MW5" s="8" t="s">
        <v>32</v>
      </c>
      <c r="MX5" s="8" t="s">
        <v>31</v>
      </c>
      <c r="MY5" s="8" t="s">
        <v>32</v>
      </c>
      <c r="MZ5" s="8" t="s">
        <v>31</v>
      </c>
      <c r="NA5" s="8" t="s">
        <v>32</v>
      </c>
      <c r="NB5" s="8" t="s">
        <v>31</v>
      </c>
      <c r="NC5" s="8" t="s">
        <v>32</v>
      </c>
      <c r="ND5" s="8" t="s">
        <v>31</v>
      </c>
      <c r="NE5" s="8" t="s">
        <v>32</v>
      </c>
      <c r="NF5" s="8" t="s">
        <v>31</v>
      </c>
      <c r="NG5" s="8" t="s">
        <v>32</v>
      </c>
      <c r="NH5" s="8" t="s">
        <v>31</v>
      </c>
      <c r="NI5" s="8" t="s">
        <v>32</v>
      </c>
      <c r="NJ5" s="8" t="s">
        <v>33</v>
      </c>
    </row>
    <row r="6" spans="1:374" x14ac:dyDescent="0.25">
      <c r="M6" s="16">
        <v>155604</v>
      </c>
      <c r="N6">
        <f>SUM(N8:N74)</f>
        <v>0</v>
      </c>
      <c r="O6">
        <f>SUM(O8:O74)</f>
        <v>0</v>
      </c>
      <c r="P6">
        <f>SUM(P8:P74)</f>
        <v>0</v>
      </c>
      <c r="Q6">
        <f>SUM(Q8:Q74)</f>
        <v>0</v>
      </c>
      <c r="R6">
        <f>SUM(R8:R74)</f>
        <v>0</v>
      </c>
      <c r="S6">
        <f>SUM(S8:S74)</f>
        <v>0</v>
      </c>
      <c r="T6">
        <f>SUM(T8:T74)</f>
        <v>0</v>
      </c>
      <c r="U6">
        <f>SUM(U8:U74)</f>
        <v>0</v>
      </c>
      <c r="V6">
        <f>SUM(V8:V74)</f>
        <v>0</v>
      </c>
      <c r="W6">
        <f>SUM(W8:W74)</f>
        <v>0</v>
      </c>
      <c r="X6">
        <f>SUM(X8:X74)</f>
        <v>0</v>
      </c>
      <c r="Y6">
        <f>SUM(Y8:Y74)</f>
        <v>0</v>
      </c>
      <c r="Z6">
        <f>SUM(Z8:Z74)</f>
        <v>0</v>
      </c>
      <c r="AA6">
        <f>SUM(AA8:AA74)</f>
        <v>0</v>
      </c>
      <c r="AB6">
        <f>SUM(AB8:AB74)</f>
        <v>0</v>
      </c>
      <c r="AC6">
        <f>SUM(AC8:AC74)</f>
        <v>0</v>
      </c>
      <c r="AD6">
        <f>SUM(AD8:AD74)</f>
        <v>0</v>
      </c>
      <c r="AE6">
        <f>SUM(AE8:AE74)</f>
        <v>0</v>
      </c>
      <c r="AF6">
        <f>SUM(AF8:AF74)</f>
        <v>0</v>
      </c>
      <c r="AG6">
        <f>SUM(AG8:AG74)</f>
        <v>0</v>
      </c>
      <c r="AH6">
        <f>SUM(AH8:AH74)</f>
        <v>0</v>
      </c>
      <c r="AI6">
        <f>SUM(AI8:AI74)</f>
        <v>0</v>
      </c>
      <c r="AJ6">
        <f>SUM(AJ8:AJ74)</f>
        <v>0</v>
      </c>
      <c r="AK6">
        <f>SUM(AK8:AK74)</f>
        <v>0</v>
      </c>
      <c r="AL6">
        <f>SUM(AL8:AL74)</f>
        <v>0</v>
      </c>
      <c r="AM6">
        <f>SUM(AM8:AM74)</f>
        <v>0</v>
      </c>
      <c r="AN6">
        <f>SUM(AN8:AN74)</f>
        <v>0</v>
      </c>
      <c r="AO6">
        <f>SUM(AO8:AO74)</f>
        <v>0</v>
      </c>
      <c r="AP6">
        <f>SUM(AP8:AP74)</f>
        <v>0</v>
      </c>
      <c r="AQ6">
        <f>SUM(AQ8:AQ74)</f>
        <v>0</v>
      </c>
      <c r="AR6">
        <f>SUM(AR8:AR74)</f>
        <v>0</v>
      </c>
      <c r="AS6">
        <f>SUM(AS8:AS74)</f>
        <v>1</v>
      </c>
      <c r="AT6">
        <f>SUM(AT8:AT74)</f>
        <v>0</v>
      </c>
      <c r="AU6">
        <f>SUM(AU8:AU74)</f>
        <v>0</v>
      </c>
      <c r="AV6">
        <f>SUM(AV8:AV74)</f>
        <v>0</v>
      </c>
      <c r="AW6">
        <f>SUM(AW8:AW74)</f>
        <v>1</v>
      </c>
      <c r="AX6">
        <f>SUM(AX8:AX74)</f>
        <v>0</v>
      </c>
      <c r="AY6">
        <f>SUM(AY8:AY74)</f>
        <v>1</v>
      </c>
      <c r="AZ6">
        <f>SUM(AZ8:AZ74)</f>
        <v>14</v>
      </c>
      <c r="BA6">
        <f>SUM(BA8:BA74)</f>
        <v>13</v>
      </c>
      <c r="BB6">
        <f>SUM(BB8:BB74)</f>
        <v>7</v>
      </c>
      <c r="BC6">
        <f>SUM(BC8:BC74)</f>
        <v>4</v>
      </c>
      <c r="BD6">
        <f>SUM(BD8:BD74)</f>
        <v>6</v>
      </c>
      <c r="BE6">
        <f>SUM(BE8:BE74)</f>
        <v>2</v>
      </c>
      <c r="BF6">
        <f>SUM(BF8:BF74)</f>
        <v>6</v>
      </c>
      <c r="BG6">
        <f>SUM(BG8:BG74)</f>
        <v>1</v>
      </c>
      <c r="BH6">
        <f>SUM(BH8:BH74)</f>
        <v>0</v>
      </c>
      <c r="BI6">
        <f>SUM(BI8:BI74)</f>
        <v>2</v>
      </c>
      <c r="BJ6">
        <f>SUM(BJ8:BJ74)</f>
        <v>4</v>
      </c>
      <c r="BK6">
        <f>SUM(BK8:BK74)</f>
        <v>0</v>
      </c>
      <c r="BL6">
        <f>SUM(BL8:BL74)</f>
        <v>3</v>
      </c>
      <c r="BM6">
        <f>SUM(BM8:BM74)</f>
        <v>0</v>
      </c>
      <c r="BN6">
        <f>SUM(BN8:BN74)</f>
        <v>0</v>
      </c>
      <c r="BO6">
        <f>SUM(BO8:BO74)</f>
        <v>0</v>
      </c>
      <c r="BP6">
        <f>SUM(BP8:BP74)</f>
        <v>40</v>
      </c>
      <c r="BQ6">
        <f>SUM(BQ8:BQ74)</f>
        <v>22</v>
      </c>
      <c r="BR6">
        <f>SUM(BR8:BR74)</f>
        <v>62</v>
      </c>
      <c r="BS6">
        <f>SUM(BS8:BS74)</f>
        <v>9</v>
      </c>
      <c r="BT6">
        <f>SUM(BT8:BT74)</f>
        <v>14</v>
      </c>
      <c r="BU6">
        <f>SUM(BU8:BU74)</f>
        <v>13</v>
      </c>
      <c r="BV6">
        <f>SUM(BV8:BV74)</f>
        <v>9</v>
      </c>
      <c r="BW6">
        <f>SUM(BW8:BW74)</f>
        <v>8</v>
      </c>
      <c r="BX6">
        <f>SUM(BX8:BX74)</f>
        <v>5</v>
      </c>
      <c r="BY6">
        <f>SUM(BY8:BY74)</f>
        <v>12</v>
      </c>
      <c r="BZ6">
        <f>SUM(BZ8:BZ74)</f>
        <v>0</v>
      </c>
      <c r="CA6">
        <f>SUM(CA8:CA74)</f>
        <v>12</v>
      </c>
      <c r="CB6">
        <f>SUM(CB8:CB74)</f>
        <v>2</v>
      </c>
      <c r="CC6">
        <f>SUM(CC8:CC74)</f>
        <v>6</v>
      </c>
      <c r="CD6">
        <f>SUM(CD8:CD74)</f>
        <v>2</v>
      </c>
      <c r="CE6">
        <f>SUM(CE8:CE74)</f>
        <v>7</v>
      </c>
      <c r="CF6">
        <f>SUM(CF8:CF74)</f>
        <v>1</v>
      </c>
      <c r="CG6">
        <f>SUM(CG8:CG74)</f>
        <v>0</v>
      </c>
      <c r="CH6">
        <f>SUM(CH8:CH74)</f>
        <v>0</v>
      </c>
      <c r="CI6">
        <f>SUM(CI8:CI74)</f>
        <v>67</v>
      </c>
      <c r="CJ6">
        <f>SUM(CJ8:CJ74)</f>
        <v>33</v>
      </c>
      <c r="CK6">
        <f>SUM(CK8:CK74)</f>
        <v>100</v>
      </c>
      <c r="CL6">
        <f>SUM(CL8:CL74)</f>
        <v>4</v>
      </c>
      <c r="CM6">
        <f>SUM(CM8:CM74)</f>
        <v>2</v>
      </c>
      <c r="CN6">
        <f>SUM(CN8:CN74)</f>
        <v>2</v>
      </c>
      <c r="CO6">
        <f>SUM(CO8:CO74)</f>
        <v>2</v>
      </c>
      <c r="CP6">
        <f>SUM(CP8:CP74)</f>
        <v>3</v>
      </c>
      <c r="CQ6">
        <f>SUM(CQ8:CQ74)</f>
        <v>3</v>
      </c>
      <c r="CR6">
        <f>SUM(CR8:CR74)</f>
        <v>1</v>
      </c>
      <c r="CS6">
        <f>SUM(CS8:CS74)</f>
        <v>0</v>
      </c>
      <c r="CT6">
        <f>SUM(CT8:CT74)</f>
        <v>1</v>
      </c>
      <c r="CU6">
        <f>SUM(CU8:CU74)</f>
        <v>0</v>
      </c>
      <c r="CV6">
        <f>SUM(CV8:CV74)</f>
        <v>1</v>
      </c>
      <c r="CW6">
        <f>SUM(CW8:CW74)</f>
        <v>1</v>
      </c>
      <c r="CX6">
        <f>SUM(CX8:CX74)</f>
        <v>1</v>
      </c>
      <c r="CY6">
        <f>SUM(CY8:CY74)</f>
        <v>0</v>
      </c>
      <c r="CZ6">
        <f>SUM(CZ8:CZ74)</f>
        <v>0</v>
      </c>
      <c r="DA6">
        <f>SUM(DA8:DA74)</f>
        <v>0</v>
      </c>
      <c r="DB6">
        <f>SUM(DB8:DB74)</f>
        <v>13</v>
      </c>
      <c r="DC6">
        <f>SUM(DC8:DC74)</f>
        <v>8</v>
      </c>
      <c r="DD6">
        <f>SUM(DD8:DD74)</f>
        <v>21</v>
      </c>
      <c r="DE6">
        <f>SUM(DE8:DE74)</f>
        <v>0</v>
      </c>
      <c r="DF6">
        <f>SUM(DF8:DF74)</f>
        <v>0</v>
      </c>
      <c r="DG6">
        <f>SUM(DG8:DG74)</f>
        <v>0</v>
      </c>
      <c r="DH6">
        <f>SUM(DH8:DH74)</f>
        <v>0</v>
      </c>
      <c r="DI6">
        <f>SUM(DI8:DI74)</f>
        <v>0</v>
      </c>
      <c r="DJ6">
        <f>SUM(DJ8:DJ74)</f>
        <v>0</v>
      </c>
      <c r="DK6">
        <f>SUM(DK8:DK74)</f>
        <v>0</v>
      </c>
      <c r="DL6">
        <f>SUM(DL8:DL74)</f>
        <v>0</v>
      </c>
      <c r="DM6">
        <f>SUM(DM8:DM74)</f>
        <v>2</v>
      </c>
      <c r="DN6">
        <f>SUM(DN8:DN74)</f>
        <v>0</v>
      </c>
      <c r="DO6">
        <f>SUM(DO8:DO74)</f>
        <v>0</v>
      </c>
      <c r="DP6">
        <f>SUM(DP8:DP74)</f>
        <v>1</v>
      </c>
      <c r="DQ6">
        <f>SUM(DQ8:DQ74)</f>
        <v>0</v>
      </c>
      <c r="DR6">
        <f>SUM(DR8:DR74)</f>
        <v>0</v>
      </c>
      <c r="DS6">
        <f>SUM(DS8:DS74)</f>
        <v>0</v>
      </c>
      <c r="DT6">
        <f>SUM(DT8:DT74)</f>
        <v>0</v>
      </c>
      <c r="DU6">
        <f>SUM(DU8:DU74)</f>
        <v>2</v>
      </c>
      <c r="DV6">
        <f>SUM(DV8:DV74)</f>
        <v>1</v>
      </c>
      <c r="DW6">
        <f>SUM(DW8:DW74)</f>
        <v>3</v>
      </c>
      <c r="DX6">
        <f>SUM(DX8:DX74)</f>
        <v>0</v>
      </c>
      <c r="DY6">
        <f>SUM(DY8:DY74)</f>
        <v>2</v>
      </c>
      <c r="DZ6">
        <f>SUM(DZ8:DZ74)</f>
        <v>2</v>
      </c>
      <c r="EA6">
        <f>SUM(EA8:EA74)</f>
        <v>0</v>
      </c>
      <c r="EB6">
        <f>SUM(EB8:EB74)</f>
        <v>0</v>
      </c>
      <c r="EC6">
        <f>SUM(EC8:EC74)</f>
        <v>0</v>
      </c>
      <c r="ED6">
        <f>SUM(ED8:ED74)</f>
        <v>0</v>
      </c>
      <c r="EE6">
        <f>SUM(EE8:EE74)</f>
        <v>1</v>
      </c>
      <c r="EF6">
        <f>SUM(EF8:EF74)</f>
        <v>1</v>
      </c>
      <c r="EG6">
        <f>SUM(EG8:EG74)</f>
        <v>0</v>
      </c>
      <c r="EH6">
        <f>SUM(EH8:EH74)</f>
        <v>0</v>
      </c>
      <c r="EI6">
        <f>SUM(EI8:EI74)</f>
        <v>1</v>
      </c>
      <c r="EJ6">
        <f>SUM(EJ8:EJ74)</f>
        <v>0</v>
      </c>
      <c r="EK6">
        <f>SUM(EK8:EK74)</f>
        <v>1</v>
      </c>
      <c r="EL6">
        <f>SUM(EL8:EL74)</f>
        <v>0</v>
      </c>
      <c r="EM6">
        <f>SUM(EM8:EM74)</f>
        <v>0</v>
      </c>
      <c r="EN6">
        <f>SUM(EN8:EN74)</f>
        <v>3</v>
      </c>
      <c r="EO6">
        <f>SUM(EO8:EO74)</f>
        <v>5</v>
      </c>
      <c r="EP6">
        <f>SUM(EP8:EP74)</f>
        <v>8</v>
      </c>
      <c r="EQ6">
        <f>SUM(EQ8:EQ74)</f>
        <v>0</v>
      </c>
      <c r="ER6">
        <f>SUM(ER8:ER74)</f>
        <v>0</v>
      </c>
      <c r="ES6">
        <f>SUM(ES8:ES74)</f>
        <v>0</v>
      </c>
      <c r="ET6">
        <f>SUM(ET8:ET74)</f>
        <v>0</v>
      </c>
      <c r="EU6">
        <f>SUM(EU8:EU74)</f>
        <v>0</v>
      </c>
      <c r="EV6">
        <f>SUM(EV8:EV74)</f>
        <v>0</v>
      </c>
      <c r="EW6">
        <f>SUM(EW8:EW74)</f>
        <v>0</v>
      </c>
      <c r="EX6">
        <f>SUM(EX8:EX74)</f>
        <v>0</v>
      </c>
      <c r="EY6">
        <f>SUM(EY8:EY74)</f>
        <v>0</v>
      </c>
      <c r="EZ6">
        <f>SUM(EZ8:EZ74)</f>
        <v>0</v>
      </c>
      <c r="FA6">
        <f>SUM(FA8:FA74)</f>
        <v>0</v>
      </c>
      <c r="FB6">
        <f>SUM(FB8:FB74)</f>
        <v>0</v>
      </c>
      <c r="FC6">
        <f>SUM(FC8:FC74)</f>
        <v>0</v>
      </c>
      <c r="FD6">
        <f>SUM(FD8:FD74)</f>
        <v>0</v>
      </c>
      <c r="FE6">
        <f>SUM(FE8:FE74)</f>
        <v>0</v>
      </c>
      <c r="FF6">
        <f>SUM(FF8:FF74)</f>
        <v>0</v>
      </c>
      <c r="FG6">
        <f>SUM(FG8:FG74)</f>
        <v>0</v>
      </c>
      <c r="FH6">
        <f>SUM(FH8:FH74)</f>
        <v>0</v>
      </c>
      <c r="FI6">
        <f>SUM(FI8:FI74)</f>
        <v>0</v>
      </c>
      <c r="FJ6">
        <f>SUM(FJ8:FJ74)</f>
        <v>3</v>
      </c>
      <c r="FK6">
        <f>SUM(FK8:FK74)</f>
        <v>2</v>
      </c>
      <c r="FL6">
        <f>SUM(FL8:FL74)</f>
        <v>1</v>
      </c>
      <c r="FM6">
        <f>SUM(FM8:FM74)</f>
        <v>0</v>
      </c>
      <c r="FN6">
        <f>SUM(FN8:FN74)</f>
        <v>0</v>
      </c>
      <c r="FO6">
        <f>SUM(FO8:FO74)</f>
        <v>0</v>
      </c>
      <c r="FP6">
        <f>SUM(FP8:FP74)</f>
        <v>0</v>
      </c>
      <c r="FQ6">
        <f>SUM(FQ8:FQ74)</f>
        <v>0</v>
      </c>
      <c r="FR6">
        <f>SUM(FR8:FR74)</f>
        <v>3</v>
      </c>
      <c r="FS6">
        <f>SUM(FS8:FS74)</f>
        <v>1</v>
      </c>
      <c r="FT6">
        <f>SUM(FT8:FT74)</f>
        <v>0</v>
      </c>
      <c r="FU6">
        <f>SUM(FU8:FU74)</f>
        <v>0</v>
      </c>
      <c r="FV6">
        <f>SUM(FV8:FV74)</f>
        <v>1</v>
      </c>
      <c r="FW6">
        <f>SUM(FW8:FW74)</f>
        <v>0</v>
      </c>
      <c r="FX6">
        <f>SUM(FX8:FX74)</f>
        <v>0</v>
      </c>
      <c r="FY6">
        <f>SUM(FY8:FY74)</f>
        <v>0</v>
      </c>
      <c r="FZ6">
        <f>SUM(FZ8:FZ74)</f>
        <v>8</v>
      </c>
      <c r="GA6">
        <f>SUM(GA8:GA74)</f>
        <v>3</v>
      </c>
      <c r="GB6">
        <f>SUM(GB8:GB74)</f>
        <v>11</v>
      </c>
      <c r="GC6">
        <f>SUM(GC8:GC74)</f>
        <v>24</v>
      </c>
      <c r="GD6">
        <f>SUM(GD8:GD74)</f>
        <v>11</v>
      </c>
      <c r="GE6">
        <f>SUM(GE8:GE74)</f>
        <v>24</v>
      </c>
      <c r="GF6">
        <f>SUM(GF8:GF74)</f>
        <v>3</v>
      </c>
      <c r="GG6">
        <f>SUM(GG8:GG74)</f>
        <v>11</v>
      </c>
      <c r="GH6">
        <f>SUM(GH8:GH74)</f>
        <v>4</v>
      </c>
      <c r="GI6">
        <f>SUM(GI8:GI74)</f>
        <v>10</v>
      </c>
      <c r="GJ6">
        <f>SUM(GJ8:GJ74)</f>
        <v>7</v>
      </c>
      <c r="GK6">
        <f>SUM(GK8:GK74)</f>
        <v>25</v>
      </c>
      <c r="GL6">
        <f>SUM(GL8:GL74)</f>
        <v>3</v>
      </c>
      <c r="GM6">
        <f>SUM(GM8:GM74)</f>
        <v>18</v>
      </c>
      <c r="GN6">
        <f>SUM(GN8:GN74)</f>
        <v>4</v>
      </c>
      <c r="GO6">
        <f>SUM(GO8:GO74)</f>
        <v>19</v>
      </c>
      <c r="GP6">
        <f>SUM(GP8:GP74)</f>
        <v>4</v>
      </c>
      <c r="GQ6">
        <f>SUM(GQ8:GQ74)</f>
        <v>0</v>
      </c>
      <c r="GR6">
        <f>SUM(GR8:GR74)</f>
        <v>0</v>
      </c>
      <c r="GS6">
        <f>SUM(GS8:GS74)</f>
        <v>131</v>
      </c>
      <c r="GT6">
        <f>SUM(GT8:GT74)</f>
        <v>36</v>
      </c>
      <c r="GU6">
        <f>SUM(GU8:GU74)</f>
        <v>167</v>
      </c>
      <c r="GV6">
        <f>SUM(GV8:GV74)</f>
        <v>0</v>
      </c>
      <c r="GW6">
        <f>SUM(GW8:GW74)</f>
        <v>0</v>
      </c>
      <c r="GX6">
        <f>SUM(GX8:GX74)</f>
        <v>0</v>
      </c>
      <c r="GY6">
        <f>SUM(GY8:GY74)</f>
        <v>0</v>
      </c>
      <c r="GZ6">
        <f>SUM(GZ8:GZ74)</f>
        <v>0</v>
      </c>
      <c r="HA6">
        <f>SUM(HA8:HA74)</f>
        <v>0</v>
      </c>
      <c r="HB6">
        <f>SUM(HB8:HB74)</f>
        <v>0</v>
      </c>
      <c r="HC6">
        <f>SUM(HC8:HC74)</f>
        <v>0</v>
      </c>
      <c r="HD6">
        <f>SUM(HD8:HD74)</f>
        <v>0</v>
      </c>
      <c r="HE6">
        <f>SUM(HE8:HE74)</f>
        <v>0</v>
      </c>
      <c r="HF6">
        <f>SUM(HF8:HF74)</f>
        <v>0</v>
      </c>
      <c r="HG6">
        <f>SUM(HG8:HG74)</f>
        <v>0</v>
      </c>
      <c r="HH6">
        <f>SUM(HH8:HH74)</f>
        <v>0</v>
      </c>
      <c r="HI6">
        <f>SUM(HI8:HI74)</f>
        <v>0</v>
      </c>
      <c r="HJ6">
        <f>SUM(HJ8:HJ74)</f>
        <v>0</v>
      </c>
      <c r="HK6">
        <f>SUM(HK8:HK74)</f>
        <v>0</v>
      </c>
      <c r="HL6">
        <f>SUM(HL8:HL74)</f>
        <v>0</v>
      </c>
      <c r="HM6">
        <f>SUM(HM8:HM74)</f>
        <v>0</v>
      </c>
      <c r="HN6">
        <f>SUM(HN8:HN74)</f>
        <v>0</v>
      </c>
      <c r="HO6">
        <f>SUM(HO8:HO74)</f>
        <v>0</v>
      </c>
      <c r="HP6">
        <f>SUM(HP8:HP74)</f>
        <v>0</v>
      </c>
      <c r="HQ6">
        <f>SUM(HQ8:HQ74)</f>
        <v>0</v>
      </c>
      <c r="HR6">
        <f>SUM(HR8:HR74)</f>
        <v>0</v>
      </c>
      <c r="HS6">
        <f>SUM(HS8:HS74)</f>
        <v>0</v>
      </c>
      <c r="HT6">
        <f>SUM(HT8:HT74)</f>
        <v>0</v>
      </c>
      <c r="HU6">
        <f>SUM(HU8:HU74)</f>
        <v>0</v>
      </c>
      <c r="HV6">
        <f>SUM(HV8:HV74)</f>
        <v>0</v>
      </c>
      <c r="HW6">
        <f>SUM(HW8:HW74)</f>
        <v>0</v>
      </c>
      <c r="HX6">
        <f>SUM(HX8:HX74)</f>
        <v>0</v>
      </c>
      <c r="HY6">
        <f>SUM(HY8:HY74)</f>
        <v>0</v>
      </c>
      <c r="HZ6">
        <f>SUM(HZ8:HZ74)</f>
        <v>0</v>
      </c>
      <c r="IA6">
        <f>SUM(IA8:IA74)</f>
        <v>0</v>
      </c>
      <c r="IB6">
        <f>SUM(IB8:IB74)</f>
        <v>0</v>
      </c>
      <c r="IC6">
        <f>SUM(IC8:IC74)</f>
        <v>0</v>
      </c>
      <c r="ID6">
        <f>SUM(ID8:ID74)</f>
        <v>0</v>
      </c>
      <c r="IE6">
        <f>SUM(IE8:IE74)</f>
        <v>0</v>
      </c>
      <c r="IF6">
        <f>SUM(IF8:IF74)</f>
        <v>0</v>
      </c>
      <c r="IG6">
        <f>SUM(IG8:IG74)</f>
        <v>0</v>
      </c>
      <c r="IH6">
        <f>SUM(IH8:IH74)</f>
        <v>0</v>
      </c>
      <c r="II6">
        <f>SUM(II8:II74)</f>
        <v>0</v>
      </c>
      <c r="IJ6">
        <f>SUM(IJ8:IJ74)</f>
        <v>0</v>
      </c>
      <c r="IK6">
        <f>SUM(IK8:IK74)</f>
        <v>0</v>
      </c>
      <c r="IL6">
        <f>SUM(IL8:IL74)</f>
        <v>0</v>
      </c>
      <c r="IM6">
        <f>SUM(IM8:IM74)</f>
        <v>0</v>
      </c>
      <c r="IN6">
        <f>SUM(IN8:IN74)</f>
        <v>0</v>
      </c>
      <c r="IO6">
        <f>SUM(IO8:IO74)</f>
        <v>0</v>
      </c>
      <c r="IP6">
        <f>SUM(IP8:IP74)</f>
        <v>0</v>
      </c>
      <c r="IQ6">
        <f>SUM(IQ8:IQ74)</f>
        <v>0</v>
      </c>
      <c r="IR6">
        <f>SUM(IR8:IR74)</f>
        <v>0</v>
      </c>
      <c r="IS6">
        <f>SUM(IS8:IS74)</f>
        <v>0</v>
      </c>
      <c r="IT6">
        <f>SUM(IT8:IT74)</f>
        <v>0</v>
      </c>
      <c r="IU6">
        <f>SUM(IU8:IU74)</f>
        <v>0</v>
      </c>
      <c r="IV6">
        <f>SUM(IV8:IV74)</f>
        <v>0</v>
      </c>
      <c r="IW6">
        <f>SUM(IW8:IW74)</f>
        <v>0</v>
      </c>
      <c r="IX6">
        <f>SUM(IX8:IX74)</f>
        <v>0</v>
      </c>
      <c r="IY6">
        <f>SUM(IY8:IY74)</f>
        <v>0</v>
      </c>
      <c r="IZ6">
        <f>SUM(IZ8:IZ74)</f>
        <v>0</v>
      </c>
      <c r="JA6">
        <f>SUM(JA8:JA74)</f>
        <v>0</v>
      </c>
      <c r="JB6">
        <f>SUM(JB8:JB74)</f>
        <v>0</v>
      </c>
      <c r="JC6">
        <f>SUM(JC8:JC74)</f>
        <v>0</v>
      </c>
      <c r="JD6">
        <f>SUM(JD8:JD74)</f>
        <v>0</v>
      </c>
      <c r="JE6">
        <f>SUM(JE8:JE74)</f>
        <v>0</v>
      </c>
      <c r="JF6">
        <f>SUM(JF8:JF74)</f>
        <v>0</v>
      </c>
      <c r="JG6">
        <f>SUM(JG8:JG74)</f>
        <v>0</v>
      </c>
      <c r="JH6">
        <f>SUM(JH8:JH74)</f>
        <v>0</v>
      </c>
      <c r="JI6">
        <f>SUM(JI8:JI74)</f>
        <v>0</v>
      </c>
      <c r="JJ6">
        <f>SUM(JJ8:JJ74)</f>
        <v>0</v>
      </c>
      <c r="JK6">
        <f>SUM(JK8:JK74)</f>
        <v>0</v>
      </c>
      <c r="JL6">
        <f>SUM(JL8:JL74)</f>
        <v>0</v>
      </c>
      <c r="JM6">
        <f>SUM(JM8:JM74)</f>
        <v>0</v>
      </c>
      <c r="JN6">
        <f>SUM(JN8:JN74)</f>
        <v>0</v>
      </c>
      <c r="JO6">
        <f>SUM(JO8:JO74)</f>
        <v>0</v>
      </c>
      <c r="JP6">
        <f>SUM(JP8:JP74)</f>
        <v>0</v>
      </c>
      <c r="JQ6">
        <f>SUM(JQ8:JQ74)</f>
        <v>0</v>
      </c>
      <c r="JR6">
        <f>SUM(JR8:JR74)</f>
        <v>0</v>
      </c>
      <c r="JS6">
        <f>SUM(JS8:JS74)</f>
        <v>0</v>
      </c>
      <c r="JT6">
        <f>SUM(JT8:JT74)</f>
        <v>11</v>
      </c>
      <c r="JU6">
        <f>SUM(JU8:JU74)</f>
        <v>4</v>
      </c>
      <c r="JV6">
        <f>SUM(JV8:JV74)</f>
        <v>3</v>
      </c>
      <c r="JW6">
        <f>SUM(JW8:JW74)</f>
        <v>5</v>
      </c>
      <c r="JX6">
        <f>SUM(JX8:JX74)</f>
        <v>2</v>
      </c>
      <c r="JY6">
        <f>SUM(JY8:JY74)</f>
        <v>1</v>
      </c>
      <c r="JZ6">
        <f>SUM(JZ8:JZ74)</f>
        <v>2</v>
      </c>
      <c r="KA6">
        <f>SUM(KA8:KA74)</f>
        <v>2</v>
      </c>
      <c r="KB6">
        <f>SUM(KB8:KB74)</f>
        <v>0</v>
      </c>
      <c r="KC6">
        <f>SUM(KC8:KC74)</f>
        <v>1</v>
      </c>
      <c r="KD6">
        <f>SUM(KD8:KD74)</f>
        <v>1</v>
      </c>
      <c r="KE6">
        <f>SUM(KE8:KE74)</f>
        <v>0</v>
      </c>
      <c r="KF6">
        <f>SUM(KF8:KF74)</f>
        <v>1</v>
      </c>
      <c r="KG6">
        <f>SUM(KG8:KG74)</f>
        <v>3</v>
      </c>
      <c r="KH6">
        <f>SUM(KH8:KH74)</f>
        <v>0</v>
      </c>
      <c r="KI6">
        <f>SUM(KI8:KI74)</f>
        <v>0</v>
      </c>
      <c r="KJ6">
        <f>SUM(KJ8:KJ74)</f>
        <v>20</v>
      </c>
      <c r="KK6">
        <f>SUM(KK8:KK74)</f>
        <v>16</v>
      </c>
      <c r="KL6">
        <f>SUM(KL8:KL74)</f>
        <v>36</v>
      </c>
      <c r="KM6">
        <f>SUM(KM8:KM74)</f>
        <v>0</v>
      </c>
      <c r="KN6">
        <f>SUM(KN8:KN74)</f>
        <v>0</v>
      </c>
      <c r="KO6">
        <f>SUM(KO8:KO74)</f>
        <v>0</v>
      </c>
      <c r="KP6">
        <f>SUM(KP8:KP74)</f>
        <v>0</v>
      </c>
      <c r="KQ6">
        <f>SUM(KQ8:KQ74)</f>
        <v>0</v>
      </c>
      <c r="KR6">
        <f>SUM(KR8:KR74)</f>
        <v>0</v>
      </c>
      <c r="KS6">
        <f>SUM(KS8:KS74)</f>
        <v>0</v>
      </c>
      <c r="KT6">
        <f>SUM(KT8:KT74)</f>
        <v>0</v>
      </c>
      <c r="KU6">
        <f>SUM(KU8:KU74)</f>
        <v>0</v>
      </c>
      <c r="KV6">
        <f>SUM(KV8:KV74)</f>
        <v>0</v>
      </c>
      <c r="KW6">
        <f>SUM(KW8:KW74)</f>
        <v>0</v>
      </c>
      <c r="KX6">
        <f>SUM(KX8:KX74)</f>
        <v>0</v>
      </c>
      <c r="KY6">
        <f>SUM(KY8:KY74)</f>
        <v>0</v>
      </c>
      <c r="KZ6">
        <f>SUM(KZ8:KZ74)</f>
        <v>0</v>
      </c>
      <c r="LA6">
        <f>SUM(LA8:LA74)</f>
        <v>0</v>
      </c>
      <c r="LB6">
        <f>SUM(LB8:LB74)</f>
        <v>0</v>
      </c>
      <c r="LC6">
        <f>SUM(LC8:LC74)</f>
        <v>0</v>
      </c>
      <c r="LD6">
        <f>SUM(LD8:LD74)</f>
        <v>0</v>
      </c>
      <c r="LE6">
        <f>SUM(LE8:LE74)</f>
        <v>0</v>
      </c>
      <c r="LF6">
        <f>SUM(LF8:LF74)</f>
        <v>0</v>
      </c>
      <c r="LG6">
        <f>SUM(LG8:LG74)</f>
        <v>0</v>
      </c>
      <c r="LH6">
        <f>SUM(LH8:LH74)</f>
        <v>0</v>
      </c>
      <c r="LI6">
        <f>SUM(LI8:LI74)</f>
        <v>0</v>
      </c>
      <c r="LJ6">
        <f>SUM(LJ8:LJ74)</f>
        <v>0</v>
      </c>
      <c r="LK6">
        <f>SUM(LK8:LK74)</f>
        <v>0</v>
      </c>
      <c r="LL6">
        <f>SUM(LL8:LL74)</f>
        <v>0</v>
      </c>
      <c r="LM6">
        <f>SUM(LM8:LM74)</f>
        <v>0</v>
      </c>
      <c r="LN6">
        <f>SUM(LN8:LN74)</f>
        <v>0</v>
      </c>
      <c r="LO6">
        <f>SUM(LO8:LO74)</f>
        <v>0</v>
      </c>
      <c r="LP6">
        <f>SUM(LP8:LP74)</f>
        <v>0</v>
      </c>
      <c r="LQ6">
        <f>SUM(LQ8:LQ74)</f>
        <v>0</v>
      </c>
      <c r="LR6">
        <f>SUM(LR8:LR74)</f>
        <v>0</v>
      </c>
      <c r="LS6">
        <f>SUM(LS8:LS74)</f>
        <v>0</v>
      </c>
      <c r="LT6">
        <f>SUM(LT8:LT74)</f>
        <v>0</v>
      </c>
      <c r="LU6">
        <f>SUM(LU8:LU74)</f>
        <v>0</v>
      </c>
      <c r="LV6">
        <f>SUM(LV8:LV74)</f>
        <v>0</v>
      </c>
      <c r="LW6">
        <f>SUM(LW8:LW74)</f>
        <v>0</v>
      </c>
      <c r="LX6">
        <f>SUM(LX8:LX74)</f>
        <v>0</v>
      </c>
      <c r="LY6">
        <f>SUM(LY8:LY74)</f>
        <v>0</v>
      </c>
      <c r="LZ6">
        <f>SUM(LZ8:LZ74)</f>
        <v>0</v>
      </c>
      <c r="MA6">
        <f>SUM(MA8:MA74)</f>
        <v>1</v>
      </c>
      <c r="MB6">
        <f>SUM(MB8:MB74)</f>
        <v>0</v>
      </c>
      <c r="MC6">
        <f>SUM(MC8:MC74)</f>
        <v>0</v>
      </c>
      <c r="MD6">
        <f>SUM(MD8:MD74)</f>
        <v>0</v>
      </c>
      <c r="ME6">
        <f>SUM(ME8:ME74)</f>
        <v>2</v>
      </c>
      <c r="MF6">
        <f>SUM(MF8:MF74)</f>
        <v>0</v>
      </c>
      <c r="MG6">
        <f>SUM(MG8:MG74)</f>
        <v>1</v>
      </c>
      <c r="MH6">
        <f>SUM(MH8:MH74)</f>
        <v>0</v>
      </c>
      <c r="MI6">
        <f>SUM(MI8:MI74)</f>
        <v>3</v>
      </c>
      <c r="MJ6">
        <f>SUM(MJ8:MJ74)</f>
        <v>1</v>
      </c>
      <c r="MK6">
        <f>SUM(MK8:MK74)</f>
        <v>0</v>
      </c>
      <c r="ML6">
        <f>SUM(ML8:ML74)</f>
        <v>0</v>
      </c>
      <c r="MM6">
        <f>SUM(MM8:MM74)</f>
        <v>0</v>
      </c>
      <c r="MN6">
        <f>SUM(MN8:MN74)</f>
        <v>0</v>
      </c>
      <c r="MO6">
        <f>SUM(MO8:MO74)</f>
        <v>7</v>
      </c>
      <c r="MP6">
        <f>SUM(MP8:MP74)</f>
        <v>1</v>
      </c>
      <c r="MQ6">
        <f>SUM(MQ8:MQ74)</f>
        <v>8</v>
      </c>
      <c r="MR6">
        <f>SUM(MR8:MR74)</f>
        <v>65</v>
      </c>
      <c r="MS6">
        <f>SUM(MS8:MS74)</f>
        <v>48</v>
      </c>
      <c r="MT6">
        <f>SUM(MT8:MT74)</f>
        <v>53</v>
      </c>
      <c r="MU6">
        <f>SUM(MU8:MU74)</f>
        <v>23</v>
      </c>
      <c r="MV6">
        <f>SUM(MV8:MV74)</f>
        <v>30</v>
      </c>
      <c r="MW6">
        <f>SUM(MW8:MW74)</f>
        <v>15</v>
      </c>
      <c r="MX6">
        <f>SUM(MX8:MX74)</f>
        <v>33</v>
      </c>
      <c r="MY6">
        <f>SUM(MY8:MY74)</f>
        <v>11</v>
      </c>
      <c r="MZ6">
        <f>SUM(MZ8:MZ74)</f>
        <v>45</v>
      </c>
      <c r="NA6">
        <f>SUM(NA8:NA74)</f>
        <v>9</v>
      </c>
      <c r="NB6">
        <f>SUM(NB8:NB74)</f>
        <v>33</v>
      </c>
      <c r="NC6">
        <f>SUM(NC8:NC74)</f>
        <v>10</v>
      </c>
      <c r="ND6">
        <f>SUM(ND8:ND74)</f>
        <v>33</v>
      </c>
      <c r="NE6">
        <f>SUM(NE8:NE74)</f>
        <v>9</v>
      </c>
      <c r="NF6">
        <f>SUM(NF8:NF74)</f>
        <v>0</v>
      </c>
      <c r="NG6">
        <f>SUM(NG8:NG74)</f>
        <v>0</v>
      </c>
      <c r="NH6">
        <f>SUM(NH8:NH74)</f>
        <v>292</v>
      </c>
      <c r="NI6">
        <f>SUM(NI8:NI74)</f>
        <v>125</v>
      </c>
      <c r="NJ6">
        <f>SUM(NJ8:NJ74)</f>
        <v>417</v>
      </c>
    </row>
    <row r="7" spans="1:374" x14ac:dyDescent="0.25">
      <c r="A7" s="17" t="s">
        <v>34</v>
      </c>
      <c r="B7" s="17" t="s">
        <v>35</v>
      </c>
      <c r="C7" s="17" t="s">
        <v>36</v>
      </c>
      <c r="D7" s="17" t="s">
        <v>37</v>
      </c>
      <c r="E7" s="17" t="s">
        <v>38</v>
      </c>
      <c r="F7" s="17" t="s">
        <v>39</v>
      </c>
      <c r="G7" s="17" t="s">
        <v>40</v>
      </c>
      <c r="H7" s="17" t="s">
        <v>41</v>
      </c>
      <c r="I7" s="17" t="s">
        <v>42</v>
      </c>
      <c r="J7" s="17" t="s">
        <v>43</v>
      </c>
      <c r="K7" s="17" t="s">
        <v>44</v>
      </c>
      <c r="L7" s="17" t="s">
        <v>45</v>
      </c>
      <c r="M7" s="17" t="s">
        <v>46</v>
      </c>
      <c r="N7" s="17" t="s">
        <v>47</v>
      </c>
      <c r="O7" s="17" t="s">
        <v>48</v>
      </c>
      <c r="P7" s="17" t="s">
        <v>49</v>
      </c>
      <c r="Q7" s="17" t="s">
        <v>50</v>
      </c>
      <c r="R7" s="17" t="s">
        <v>51</v>
      </c>
      <c r="S7" s="17" t="s">
        <v>52</v>
      </c>
      <c r="T7" s="17" t="s">
        <v>53</v>
      </c>
      <c r="U7" s="17" t="s">
        <v>54</v>
      </c>
      <c r="V7" s="17" t="s">
        <v>55</v>
      </c>
      <c r="W7" s="17" t="s">
        <v>56</v>
      </c>
      <c r="X7" s="17" t="s">
        <v>57</v>
      </c>
      <c r="Y7" s="17" t="s">
        <v>58</v>
      </c>
      <c r="Z7" s="17" t="s">
        <v>59</v>
      </c>
      <c r="AA7" s="17" t="s">
        <v>60</v>
      </c>
      <c r="AB7" s="17" t="s">
        <v>61</v>
      </c>
      <c r="AC7" s="17" t="s">
        <v>62</v>
      </c>
      <c r="AD7" s="18" t="s">
        <v>63</v>
      </c>
      <c r="AE7" s="18" t="s">
        <v>64</v>
      </c>
      <c r="AF7" s="18" t="s">
        <v>65</v>
      </c>
      <c r="AG7" s="17" t="s">
        <v>66</v>
      </c>
      <c r="AH7" s="17" t="s">
        <v>67</v>
      </c>
      <c r="AI7" s="17" t="s">
        <v>68</v>
      </c>
      <c r="AJ7" s="17" t="s">
        <v>69</v>
      </c>
      <c r="AK7" s="17" t="s">
        <v>70</v>
      </c>
      <c r="AL7" s="17" t="s">
        <v>71</v>
      </c>
      <c r="AM7" s="17" t="s">
        <v>72</v>
      </c>
      <c r="AN7" s="17" t="s">
        <v>73</v>
      </c>
      <c r="AO7" s="17" t="s">
        <v>74</v>
      </c>
      <c r="AP7" s="17" t="s">
        <v>75</v>
      </c>
      <c r="AQ7" s="17" t="s">
        <v>76</v>
      </c>
      <c r="AR7" s="17" t="s">
        <v>77</v>
      </c>
      <c r="AS7" s="17" t="s">
        <v>78</v>
      </c>
      <c r="AT7" s="17" t="s">
        <v>79</v>
      </c>
      <c r="AU7" s="17" t="s">
        <v>80</v>
      </c>
      <c r="AV7" s="17" t="s">
        <v>81</v>
      </c>
      <c r="AW7" s="18" t="s">
        <v>82</v>
      </c>
      <c r="AX7" s="18" t="s">
        <v>83</v>
      </c>
      <c r="AY7" s="18" t="s">
        <v>84</v>
      </c>
      <c r="AZ7" s="17" t="s">
        <v>85</v>
      </c>
      <c r="BA7" s="17" t="s">
        <v>86</v>
      </c>
      <c r="BB7" s="17" t="s">
        <v>87</v>
      </c>
      <c r="BC7" s="17" t="s">
        <v>88</v>
      </c>
      <c r="BD7" s="17" t="s">
        <v>89</v>
      </c>
      <c r="BE7" s="17" t="s">
        <v>90</v>
      </c>
      <c r="BF7" s="17" t="s">
        <v>91</v>
      </c>
      <c r="BG7" s="17" t="s">
        <v>92</v>
      </c>
      <c r="BH7" s="17" t="s">
        <v>93</v>
      </c>
      <c r="BI7" s="17" t="s">
        <v>94</v>
      </c>
      <c r="BJ7" s="17" t="s">
        <v>95</v>
      </c>
      <c r="BK7" s="17" t="s">
        <v>96</v>
      </c>
      <c r="BL7" s="17" t="s">
        <v>97</v>
      </c>
      <c r="BM7" s="17" t="s">
        <v>98</v>
      </c>
      <c r="BN7" s="17" t="s">
        <v>99</v>
      </c>
      <c r="BO7" s="17" t="s">
        <v>100</v>
      </c>
      <c r="BP7" s="18" t="s">
        <v>101</v>
      </c>
      <c r="BQ7" s="18" t="s">
        <v>102</v>
      </c>
      <c r="BR7" s="18" t="s">
        <v>103</v>
      </c>
      <c r="BS7" s="17" t="s">
        <v>104</v>
      </c>
      <c r="BT7" s="17" t="s">
        <v>105</v>
      </c>
      <c r="BU7" s="17" t="s">
        <v>106</v>
      </c>
      <c r="BV7" s="17" t="s">
        <v>107</v>
      </c>
      <c r="BW7" s="17" t="s">
        <v>108</v>
      </c>
      <c r="BX7" s="17" t="s">
        <v>109</v>
      </c>
      <c r="BY7" s="17" t="s">
        <v>110</v>
      </c>
      <c r="BZ7" s="17" t="s">
        <v>111</v>
      </c>
      <c r="CA7" s="17" t="s">
        <v>112</v>
      </c>
      <c r="CB7" s="17" t="s">
        <v>113</v>
      </c>
      <c r="CC7" s="17" t="s">
        <v>114</v>
      </c>
      <c r="CD7" s="17" t="s">
        <v>115</v>
      </c>
      <c r="CE7" s="17" t="s">
        <v>116</v>
      </c>
      <c r="CF7" s="17" t="s">
        <v>117</v>
      </c>
      <c r="CG7" s="17" t="s">
        <v>118</v>
      </c>
      <c r="CH7" s="17" t="s">
        <v>119</v>
      </c>
      <c r="CI7" s="18" t="s">
        <v>120</v>
      </c>
      <c r="CJ7" s="18" t="s">
        <v>121</v>
      </c>
      <c r="CK7" s="18" t="s">
        <v>122</v>
      </c>
      <c r="CL7" s="17" t="s">
        <v>123</v>
      </c>
      <c r="CM7" s="17" t="s">
        <v>124</v>
      </c>
      <c r="CN7" s="17" t="s">
        <v>125</v>
      </c>
      <c r="CO7" s="17" t="s">
        <v>126</v>
      </c>
      <c r="CP7" s="17" t="s">
        <v>127</v>
      </c>
      <c r="CQ7" s="17" t="s">
        <v>128</v>
      </c>
      <c r="CR7" s="17" t="s">
        <v>129</v>
      </c>
      <c r="CS7" s="17" t="s">
        <v>130</v>
      </c>
      <c r="CT7" s="17" t="s">
        <v>131</v>
      </c>
      <c r="CU7" s="17" t="s">
        <v>132</v>
      </c>
      <c r="CV7" s="17" t="s">
        <v>133</v>
      </c>
      <c r="CW7" s="17" t="s">
        <v>134</v>
      </c>
      <c r="CX7" s="17" t="s">
        <v>135</v>
      </c>
      <c r="CY7" s="17" t="s">
        <v>136</v>
      </c>
      <c r="CZ7" s="17" t="s">
        <v>137</v>
      </c>
      <c r="DA7" s="17" t="s">
        <v>138</v>
      </c>
      <c r="DB7" s="18" t="s">
        <v>139</v>
      </c>
      <c r="DC7" s="18" t="s">
        <v>140</v>
      </c>
      <c r="DD7" s="18" t="s">
        <v>141</v>
      </c>
      <c r="DE7" s="17" t="s">
        <v>142</v>
      </c>
      <c r="DF7" s="17" t="s">
        <v>143</v>
      </c>
      <c r="DG7" s="17" t="s">
        <v>144</v>
      </c>
      <c r="DH7" s="17" t="s">
        <v>145</v>
      </c>
      <c r="DI7" s="17" t="s">
        <v>146</v>
      </c>
      <c r="DJ7" s="17" t="s">
        <v>147</v>
      </c>
      <c r="DK7" s="17" t="s">
        <v>148</v>
      </c>
      <c r="DL7" s="17" t="s">
        <v>149</v>
      </c>
      <c r="DM7" s="17" t="s">
        <v>150</v>
      </c>
      <c r="DN7" s="17" t="s">
        <v>151</v>
      </c>
      <c r="DO7" s="17" t="s">
        <v>152</v>
      </c>
      <c r="DP7" s="17" t="s">
        <v>153</v>
      </c>
      <c r="DQ7" s="17" t="s">
        <v>154</v>
      </c>
      <c r="DR7" s="17" t="s">
        <v>155</v>
      </c>
      <c r="DS7" s="17" t="s">
        <v>156</v>
      </c>
      <c r="DT7" s="17" t="s">
        <v>157</v>
      </c>
      <c r="DU7" s="18" t="s">
        <v>158</v>
      </c>
      <c r="DV7" s="18" t="s">
        <v>159</v>
      </c>
      <c r="DW7" s="18" t="s">
        <v>160</v>
      </c>
      <c r="DX7" s="17" t="s">
        <v>161</v>
      </c>
      <c r="DY7" s="17" t="s">
        <v>162</v>
      </c>
      <c r="DZ7" s="17" t="s">
        <v>163</v>
      </c>
      <c r="EA7" s="17" t="s">
        <v>164</v>
      </c>
      <c r="EB7" s="17" t="s">
        <v>165</v>
      </c>
      <c r="EC7" s="17" t="s">
        <v>166</v>
      </c>
      <c r="ED7" s="17" t="s">
        <v>167</v>
      </c>
      <c r="EE7" s="17" t="s">
        <v>168</v>
      </c>
      <c r="EF7" s="17" t="s">
        <v>169</v>
      </c>
      <c r="EG7" s="17" t="s">
        <v>170</v>
      </c>
      <c r="EH7" s="17" t="s">
        <v>171</v>
      </c>
      <c r="EI7" s="17" t="s">
        <v>172</v>
      </c>
      <c r="EJ7" s="17" t="s">
        <v>173</v>
      </c>
      <c r="EK7" s="17" t="s">
        <v>174</v>
      </c>
      <c r="EL7" s="17" t="s">
        <v>175</v>
      </c>
      <c r="EM7" s="17" t="s">
        <v>176</v>
      </c>
      <c r="EN7" s="18" t="s">
        <v>177</v>
      </c>
      <c r="EO7" s="18" t="s">
        <v>178</v>
      </c>
      <c r="EP7" s="18" t="s">
        <v>179</v>
      </c>
      <c r="EQ7" s="17" t="s">
        <v>180</v>
      </c>
      <c r="ER7" s="17" t="s">
        <v>181</v>
      </c>
      <c r="ES7" s="17" t="s">
        <v>182</v>
      </c>
      <c r="ET7" s="17" t="s">
        <v>183</v>
      </c>
      <c r="EU7" s="17" t="s">
        <v>184</v>
      </c>
      <c r="EV7" s="17" t="s">
        <v>185</v>
      </c>
      <c r="EW7" s="17" t="s">
        <v>186</v>
      </c>
      <c r="EX7" s="17" t="s">
        <v>187</v>
      </c>
      <c r="EY7" s="17" t="s">
        <v>188</v>
      </c>
      <c r="EZ7" s="17" t="s">
        <v>189</v>
      </c>
      <c r="FA7" s="17" t="s">
        <v>190</v>
      </c>
      <c r="FB7" s="17" t="s">
        <v>191</v>
      </c>
      <c r="FC7" s="17" t="s">
        <v>192</v>
      </c>
      <c r="FD7" s="17" t="s">
        <v>193</v>
      </c>
      <c r="FE7" s="17" t="s">
        <v>194</v>
      </c>
      <c r="FF7" s="17" t="s">
        <v>195</v>
      </c>
      <c r="FG7" s="18" t="s">
        <v>196</v>
      </c>
      <c r="FH7" s="18" t="s">
        <v>197</v>
      </c>
      <c r="FI7" s="18" t="s">
        <v>198</v>
      </c>
      <c r="FJ7" s="17" t="s">
        <v>199</v>
      </c>
      <c r="FK7" s="17" t="s">
        <v>200</v>
      </c>
      <c r="FL7" s="17" t="s">
        <v>201</v>
      </c>
      <c r="FM7" s="17" t="s">
        <v>202</v>
      </c>
      <c r="FN7" s="17" t="s">
        <v>203</v>
      </c>
      <c r="FO7" s="17" t="s">
        <v>204</v>
      </c>
      <c r="FP7" s="17" t="s">
        <v>205</v>
      </c>
      <c r="FQ7" s="17" t="s">
        <v>206</v>
      </c>
      <c r="FR7" s="17" t="s">
        <v>207</v>
      </c>
      <c r="FS7" s="17" t="s">
        <v>208</v>
      </c>
      <c r="FT7" s="17" t="s">
        <v>209</v>
      </c>
      <c r="FU7" s="17" t="s">
        <v>210</v>
      </c>
      <c r="FV7" s="17" t="s">
        <v>211</v>
      </c>
      <c r="FW7" s="17" t="s">
        <v>212</v>
      </c>
      <c r="FX7" s="17" t="s">
        <v>213</v>
      </c>
      <c r="FY7" s="17" t="s">
        <v>214</v>
      </c>
      <c r="FZ7" s="18" t="s">
        <v>215</v>
      </c>
      <c r="GA7" s="18" t="s">
        <v>216</v>
      </c>
      <c r="GB7" s="18" t="s">
        <v>217</v>
      </c>
      <c r="GC7" s="17" t="s">
        <v>218</v>
      </c>
      <c r="GD7" s="17" t="s">
        <v>219</v>
      </c>
      <c r="GE7" s="17" t="s">
        <v>220</v>
      </c>
      <c r="GF7" s="17" t="s">
        <v>221</v>
      </c>
      <c r="GG7" s="17" t="s">
        <v>222</v>
      </c>
      <c r="GH7" s="17" t="s">
        <v>223</v>
      </c>
      <c r="GI7" s="17" t="s">
        <v>224</v>
      </c>
      <c r="GJ7" s="17" t="s">
        <v>225</v>
      </c>
      <c r="GK7" s="17" t="s">
        <v>226</v>
      </c>
      <c r="GL7" s="17" t="s">
        <v>227</v>
      </c>
      <c r="GM7" s="17" t="s">
        <v>228</v>
      </c>
      <c r="GN7" s="17" t="s">
        <v>229</v>
      </c>
      <c r="GO7" s="17" t="s">
        <v>230</v>
      </c>
      <c r="GP7" s="17" t="s">
        <v>231</v>
      </c>
      <c r="GQ7" s="17" t="s">
        <v>232</v>
      </c>
      <c r="GR7" s="17" t="s">
        <v>233</v>
      </c>
      <c r="GS7" s="18" t="s">
        <v>234</v>
      </c>
      <c r="GT7" s="18" t="s">
        <v>235</v>
      </c>
      <c r="GU7" s="18" t="s">
        <v>236</v>
      </c>
      <c r="GV7" s="17" t="s">
        <v>237</v>
      </c>
      <c r="GW7" s="17" t="s">
        <v>238</v>
      </c>
      <c r="GX7" s="17" t="s">
        <v>239</v>
      </c>
      <c r="GY7" s="17" t="s">
        <v>240</v>
      </c>
      <c r="GZ7" s="17" t="s">
        <v>241</v>
      </c>
      <c r="HA7" s="17" t="s">
        <v>242</v>
      </c>
      <c r="HB7" s="17" t="s">
        <v>243</v>
      </c>
      <c r="HC7" s="17" t="s">
        <v>244</v>
      </c>
      <c r="HD7" s="17" t="s">
        <v>245</v>
      </c>
      <c r="HE7" s="17" t="s">
        <v>246</v>
      </c>
      <c r="HF7" s="17" t="s">
        <v>247</v>
      </c>
      <c r="HG7" s="17" t="s">
        <v>248</v>
      </c>
      <c r="HH7" s="17" t="s">
        <v>249</v>
      </c>
      <c r="HI7" s="17" t="s">
        <v>250</v>
      </c>
      <c r="HJ7" s="17" t="s">
        <v>251</v>
      </c>
      <c r="HK7" s="17" t="s">
        <v>252</v>
      </c>
      <c r="HL7" s="18" t="s">
        <v>253</v>
      </c>
      <c r="HM7" s="18" t="s">
        <v>254</v>
      </c>
      <c r="HN7" s="18" t="s">
        <v>255</v>
      </c>
      <c r="HO7" s="17" t="s">
        <v>256</v>
      </c>
      <c r="HP7" s="17" t="s">
        <v>257</v>
      </c>
      <c r="HQ7" s="17" t="s">
        <v>258</v>
      </c>
      <c r="HR7" s="17" t="s">
        <v>259</v>
      </c>
      <c r="HS7" s="17" t="s">
        <v>260</v>
      </c>
      <c r="HT7" s="17" t="s">
        <v>261</v>
      </c>
      <c r="HU7" s="17" t="s">
        <v>262</v>
      </c>
      <c r="HV7" s="17" t="s">
        <v>263</v>
      </c>
      <c r="HW7" s="17" t="s">
        <v>264</v>
      </c>
      <c r="HX7" s="17" t="s">
        <v>265</v>
      </c>
      <c r="HY7" s="17" t="s">
        <v>266</v>
      </c>
      <c r="HZ7" s="17" t="s">
        <v>267</v>
      </c>
      <c r="IA7" s="17" t="s">
        <v>268</v>
      </c>
      <c r="IB7" s="17" t="s">
        <v>269</v>
      </c>
      <c r="IC7" s="17" t="s">
        <v>270</v>
      </c>
      <c r="ID7" s="17" t="s">
        <v>271</v>
      </c>
      <c r="IE7" s="18" t="s">
        <v>272</v>
      </c>
      <c r="IF7" s="18" t="s">
        <v>273</v>
      </c>
      <c r="IG7" s="18" t="s">
        <v>274</v>
      </c>
      <c r="IH7" s="17" t="s">
        <v>275</v>
      </c>
      <c r="II7" s="17" t="s">
        <v>276</v>
      </c>
      <c r="IJ7" s="17" t="s">
        <v>277</v>
      </c>
      <c r="IK7" s="17" t="s">
        <v>278</v>
      </c>
      <c r="IL7" s="17" t="s">
        <v>279</v>
      </c>
      <c r="IM7" s="17" t="s">
        <v>280</v>
      </c>
      <c r="IN7" s="17" t="s">
        <v>281</v>
      </c>
      <c r="IO7" s="17" t="s">
        <v>282</v>
      </c>
      <c r="IP7" s="17" t="s">
        <v>283</v>
      </c>
      <c r="IQ7" s="17" t="s">
        <v>284</v>
      </c>
      <c r="IR7" s="17" t="s">
        <v>285</v>
      </c>
      <c r="IS7" s="17" t="s">
        <v>286</v>
      </c>
      <c r="IT7" s="17" t="s">
        <v>287</v>
      </c>
      <c r="IU7" s="17" t="s">
        <v>288</v>
      </c>
      <c r="IV7" s="17" t="s">
        <v>289</v>
      </c>
      <c r="IW7" s="17" t="s">
        <v>290</v>
      </c>
      <c r="IX7" s="18" t="s">
        <v>291</v>
      </c>
      <c r="IY7" s="18" t="s">
        <v>292</v>
      </c>
      <c r="IZ7" s="18" t="s">
        <v>293</v>
      </c>
      <c r="JA7" s="17" t="s">
        <v>294</v>
      </c>
      <c r="JB7" s="17" t="s">
        <v>295</v>
      </c>
      <c r="JC7" s="17" t="s">
        <v>296</v>
      </c>
      <c r="JD7" s="17" t="s">
        <v>297</v>
      </c>
      <c r="JE7" s="17" t="s">
        <v>298</v>
      </c>
      <c r="JF7" s="17" t="s">
        <v>299</v>
      </c>
      <c r="JG7" s="17" t="s">
        <v>300</v>
      </c>
      <c r="JH7" s="17" t="s">
        <v>301</v>
      </c>
      <c r="JI7" s="17" t="s">
        <v>302</v>
      </c>
      <c r="JJ7" s="17" t="s">
        <v>303</v>
      </c>
      <c r="JK7" s="17" t="s">
        <v>304</v>
      </c>
      <c r="JL7" s="17" t="s">
        <v>305</v>
      </c>
      <c r="JM7" s="17" t="s">
        <v>306</v>
      </c>
      <c r="JN7" s="17" t="s">
        <v>307</v>
      </c>
      <c r="JO7" s="17" t="s">
        <v>308</v>
      </c>
      <c r="JP7" s="17" t="s">
        <v>309</v>
      </c>
      <c r="JQ7" s="18" t="s">
        <v>310</v>
      </c>
      <c r="JR7" s="18" t="s">
        <v>311</v>
      </c>
      <c r="JS7" s="18" t="s">
        <v>312</v>
      </c>
      <c r="JT7" s="17" t="s">
        <v>313</v>
      </c>
      <c r="JU7" s="17" t="s">
        <v>314</v>
      </c>
      <c r="JV7" s="17" t="s">
        <v>315</v>
      </c>
      <c r="JW7" s="17" t="s">
        <v>316</v>
      </c>
      <c r="JX7" s="17" t="s">
        <v>317</v>
      </c>
      <c r="JY7" s="17" t="s">
        <v>318</v>
      </c>
      <c r="JZ7" s="17" t="s">
        <v>319</v>
      </c>
      <c r="KA7" s="17" t="s">
        <v>320</v>
      </c>
      <c r="KB7" s="17" t="s">
        <v>321</v>
      </c>
      <c r="KC7" s="17" t="s">
        <v>322</v>
      </c>
      <c r="KD7" s="17" t="s">
        <v>323</v>
      </c>
      <c r="KE7" s="17" t="s">
        <v>324</v>
      </c>
      <c r="KF7" s="17" t="s">
        <v>325</v>
      </c>
      <c r="KG7" s="17" t="s">
        <v>326</v>
      </c>
      <c r="KH7" s="17" t="s">
        <v>327</v>
      </c>
      <c r="KI7" s="17" t="s">
        <v>328</v>
      </c>
      <c r="KJ7" s="18" t="s">
        <v>329</v>
      </c>
      <c r="KK7" s="18" t="s">
        <v>330</v>
      </c>
      <c r="KL7" s="18" t="s">
        <v>331</v>
      </c>
      <c r="KM7" s="17" t="s">
        <v>332</v>
      </c>
      <c r="KN7" s="17" t="s">
        <v>333</v>
      </c>
      <c r="KO7" s="17" t="s">
        <v>334</v>
      </c>
      <c r="KP7" s="17" t="s">
        <v>335</v>
      </c>
      <c r="KQ7" s="17" t="s">
        <v>336</v>
      </c>
      <c r="KR7" s="17" t="s">
        <v>337</v>
      </c>
      <c r="KS7" s="17" t="s">
        <v>338</v>
      </c>
      <c r="KT7" s="17" t="s">
        <v>339</v>
      </c>
      <c r="KU7" s="17" t="s">
        <v>340</v>
      </c>
      <c r="KV7" s="17" t="s">
        <v>341</v>
      </c>
      <c r="KW7" s="17" t="s">
        <v>342</v>
      </c>
      <c r="KX7" s="17" t="s">
        <v>343</v>
      </c>
      <c r="KY7" s="17" t="s">
        <v>344</v>
      </c>
      <c r="KZ7" s="17" t="s">
        <v>345</v>
      </c>
      <c r="LA7" s="17" t="s">
        <v>346</v>
      </c>
      <c r="LB7" s="17" t="s">
        <v>347</v>
      </c>
      <c r="LC7" s="18" t="s">
        <v>348</v>
      </c>
      <c r="LD7" s="18" t="s">
        <v>349</v>
      </c>
      <c r="LE7" s="18" t="s">
        <v>350</v>
      </c>
      <c r="LF7" s="17" t="s">
        <v>351</v>
      </c>
      <c r="LG7" s="17" t="s">
        <v>352</v>
      </c>
      <c r="LH7" s="17" t="s">
        <v>353</v>
      </c>
      <c r="LI7" s="17" t="s">
        <v>354</v>
      </c>
      <c r="LJ7" s="17" t="s">
        <v>355</v>
      </c>
      <c r="LK7" s="17" t="s">
        <v>356</v>
      </c>
      <c r="LL7" s="17" t="s">
        <v>357</v>
      </c>
      <c r="LM7" s="17" t="s">
        <v>358</v>
      </c>
      <c r="LN7" s="17" t="s">
        <v>359</v>
      </c>
      <c r="LO7" s="17" t="s">
        <v>360</v>
      </c>
      <c r="LP7" s="17" t="s">
        <v>361</v>
      </c>
      <c r="LQ7" s="17" t="s">
        <v>362</v>
      </c>
      <c r="LR7" s="17" t="s">
        <v>363</v>
      </c>
      <c r="LS7" s="17" t="s">
        <v>364</v>
      </c>
      <c r="LT7" s="17" t="s">
        <v>365</v>
      </c>
      <c r="LU7" s="17" t="s">
        <v>366</v>
      </c>
      <c r="LV7" s="18" t="s">
        <v>367</v>
      </c>
      <c r="LW7" s="18" t="s">
        <v>368</v>
      </c>
      <c r="LX7" s="18" t="s">
        <v>369</v>
      </c>
      <c r="LY7" s="17" t="s">
        <v>370</v>
      </c>
      <c r="LZ7" s="17" t="s">
        <v>371</v>
      </c>
      <c r="MA7" s="17" t="s">
        <v>372</v>
      </c>
      <c r="MB7" s="17" t="s">
        <v>373</v>
      </c>
      <c r="MC7" s="17" t="s">
        <v>374</v>
      </c>
      <c r="MD7" s="17" t="s">
        <v>375</v>
      </c>
      <c r="ME7" s="17" t="s">
        <v>376</v>
      </c>
      <c r="MF7" s="17" t="s">
        <v>377</v>
      </c>
      <c r="MG7" s="17" t="s">
        <v>378</v>
      </c>
      <c r="MH7" s="17" t="s">
        <v>379</v>
      </c>
      <c r="MI7" s="17" t="s">
        <v>380</v>
      </c>
      <c r="MJ7" s="17" t="s">
        <v>381</v>
      </c>
      <c r="MK7" s="17" t="s">
        <v>382</v>
      </c>
      <c r="ML7" s="17" t="s">
        <v>383</v>
      </c>
      <c r="MM7" s="17" t="s">
        <v>384</v>
      </c>
      <c r="MN7" s="17" t="s">
        <v>385</v>
      </c>
      <c r="MO7" s="18" t="s">
        <v>386</v>
      </c>
      <c r="MP7" s="18" t="s">
        <v>387</v>
      </c>
      <c r="MQ7" s="18" t="s">
        <v>388</v>
      </c>
      <c r="MR7" s="17" t="s">
        <v>389</v>
      </c>
      <c r="MS7" s="17" t="s">
        <v>390</v>
      </c>
      <c r="MT7" s="17" t="s">
        <v>391</v>
      </c>
      <c r="MU7" s="17" t="s">
        <v>392</v>
      </c>
      <c r="MV7" s="17" t="s">
        <v>393</v>
      </c>
      <c r="MW7" s="17" t="s">
        <v>394</v>
      </c>
      <c r="MX7" s="17" t="s">
        <v>395</v>
      </c>
      <c r="MY7" s="17" t="s">
        <v>396</v>
      </c>
      <c r="MZ7" s="17" t="s">
        <v>397</v>
      </c>
      <c r="NA7" s="17" t="s">
        <v>398</v>
      </c>
      <c r="NB7" s="17" t="s">
        <v>399</v>
      </c>
      <c r="NC7" s="17" t="s">
        <v>400</v>
      </c>
      <c r="ND7" s="17" t="s">
        <v>401</v>
      </c>
      <c r="NE7" s="17" t="s">
        <v>402</v>
      </c>
      <c r="NF7" s="17" t="s">
        <v>403</v>
      </c>
      <c r="NG7" s="17" t="s">
        <v>404</v>
      </c>
      <c r="NH7" s="19" t="s">
        <v>31</v>
      </c>
      <c r="NI7" s="19" t="s">
        <v>32</v>
      </c>
      <c r="NJ7" s="19" t="s">
        <v>33</v>
      </c>
    </row>
    <row r="8" spans="1:374" ht="30" x14ac:dyDescent="0.25">
      <c r="A8" t="s">
        <v>405</v>
      </c>
      <c r="B8" t="s">
        <v>421</v>
      </c>
      <c r="C8">
        <v>101813</v>
      </c>
      <c r="D8" s="20" t="s">
        <v>422</v>
      </c>
      <c r="E8" t="s">
        <v>423</v>
      </c>
      <c r="F8" t="s">
        <v>424</v>
      </c>
      <c r="G8" t="s">
        <v>407</v>
      </c>
      <c r="H8" t="s">
        <v>425</v>
      </c>
      <c r="I8" t="s">
        <v>408</v>
      </c>
      <c r="J8" t="s">
        <v>409</v>
      </c>
      <c r="K8" t="s">
        <v>410</v>
      </c>
      <c r="L8" t="s">
        <v>411</v>
      </c>
      <c r="M8" t="s">
        <v>412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s="21">
        <v>0</v>
      </c>
      <c r="AE8" s="21">
        <v>0</v>
      </c>
      <c r="AF8" s="21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 s="21">
        <v>0</v>
      </c>
      <c r="AX8" s="21">
        <v>0</v>
      </c>
      <c r="AY8" s="21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 s="21">
        <v>0</v>
      </c>
      <c r="BQ8" s="21">
        <v>0</v>
      </c>
      <c r="BR8" s="21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 s="21">
        <v>0</v>
      </c>
      <c r="CJ8" s="21">
        <v>0</v>
      </c>
      <c r="CK8" s="21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 s="21">
        <v>1</v>
      </c>
      <c r="DC8" s="21">
        <v>0</v>
      </c>
      <c r="DD8" s="21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 s="21">
        <v>0</v>
      </c>
      <c r="DV8" s="21">
        <v>0</v>
      </c>
      <c r="DW8" s="21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 s="21">
        <v>0</v>
      </c>
      <c r="EO8" s="21">
        <v>0</v>
      </c>
      <c r="EP8" s="21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 s="21">
        <v>0</v>
      </c>
      <c r="FH8" s="21">
        <v>0</v>
      </c>
      <c r="FI8" s="21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 s="21">
        <v>0</v>
      </c>
      <c r="GA8" s="21">
        <v>0</v>
      </c>
      <c r="GB8" s="21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 s="21">
        <v>0</v>
      </c>
      <c r="GT8" s="21">
        <v>0</v>
      </c>
      <c r="GU8" s="21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 s="21">
        <v>0</v>
      </c>
      <c r="HM8" s="21">
        <v>0</v>
      </c>
      <c r="HN8" s="21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 s="21">
        <v>0</v>
      </c>
      <c r="IF8" s="21">
        <v>0</v>
      </c>
      <c r="IG8" s="21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 s="21">
        <v>0</v>
      </c>
      <c r="IY8" s="21">
        <v>0</v>
      </c>
      <c r="IZ8" s="21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 s="21">
        <v>0</v>
      </c>
      <c r="JR8" s="21">
        <v>0</v>
      </c>
      <c r="JS8" s="21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 s="21">
        <v>0</v>
      </c>
      <c r="KK8" s="21">
        <v>0</v>
      </c>
      <c r="KL8" s="21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 s="21">
        <v>0</v>
      </c>
      <c r="LD8" s="21">
        <v>0</v>
      </c>
      <c r="LE8" s="21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 s="21">
        <v>0</v>
      </c>
      <c r="LW8" s="21">
        <v>0</v>
      </c>
      <c r="LX8" s="21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 s="21">
        <v>0</v>
      </c>
      <c r="MP8" s="21">
        <v>0</v>
      </c>
      <c r="MQ8" s="21">
        <v>0</v>
      </c>
      <c r="MR8">
        <f>SUMIF($N$7:$MQ$7,"*"&amp;MR$7&amp;"*",$N8:$MQ8)</f>
        <v>1</v>
      </c>
      <c r="MS8">
        <f>SUMIF($N$7:$MQ$7,"*"&amp;MS$7&amp;"*",$N8:$MQ8)</f>
        <v>0</v>
      </c>
      <c r="MT8">
        <f>SUMIF($N$7:$MQ$7,"*"&amp;MT$7&amp;"*",$N8:$MQ8)</f>
        <v>0</v>
      </c>
      <c r="MU8">
        <f>SUMIF($N$7:$MQ$7,"*"&amp;MU$7&amp;"*",$N8:$MQ8)</f>
        <v>0</v>
      </c>
      <c r="MV8">
        <f>SUMIF($N$7:$MQ$7,"*"&amp;MV$7&amp;"*",$N8:$MQ8)</f>
        <v>0</v>
      </c>
      <c r="MW8">
        <f>SUMIF($N$7:$MQ$7,"*"&amp;MW$7&amp;"*",$N8:$MQ8)</f>
        <v>0</v>
      </c>
      <c r="MX8">
        <f>SUMIF($N$7:$MQ$7,"*"&amp;MX$7&amp;"*",$N8:$MQ8)</f>
        <v>0</v>
      </c>
      <c r="MY8">
        <f>SUMIF($N$7:$MQ$7,"*"&amp;MY$7&amp;"*",$N8:$MQ8)</f>
        <v>0</v>
      </c>
      <c r="MZ8">
        <f>SUMIF($N$7:$MQ$7,"*"&amp;MZ$7&amp;"*",$N8:$MQ8)</f>
        <v>0</v>
      </c>
      <c r="NA8">
        <f>SUMIF($N$7:$MQ$7,"*"&amp;NA$7&amp;"*",$N8:$MQ8)</f>
        <v>0</v>
      </c>
      <c r="NB8">
        <f>SUMIF($N$7:$MQ$7,"*"&amp;NB$7&amp;"*",$N8:$MQ8)</f>
        <v>0</v>
      </c>
      <c r="NC8">
        <f>SUMIF($N$7:$MQ$7,"*"&amp;NC$7&amp;"*",$N8:$MQ8)</f>
        <v>0</v>
      </c>
      <c r="ND8">
        <f>SUMIF($N$7:$MQ$7,"*"&amp;ND$7&amp;"*",$N8:$MQ8)</f>
        <v>0</v>
      </c>
      <c r="NE8">
        <f>SUMIF($N$7:$MQ$7,"*"&amp;NE$7&amp;"*",$N8:$MQ8)</f>
        <v>0</v>
      </c>
      <c r="NF8">
        <f>SUMIF($N$7:$MQ$7,"*"&amp;NF$7&amp;"*",$N8:$MQ8)</f>
        <v>0</v>
      </c>
      <c r="NG8">
        <f>SUMIF($N$7:$MQ$7,"*"&amp;NG$7&amp;"*",$N8:$MQ8)</f>
        <v>0</v>
      </c>
      <c r="NH8">
        <f>SUMIF($MR$5:$NG$5,NH$7,$MR8:$NG8)</f>
        <v>1</v>
      </c>
      <c r="NI8">
        <f>SUMIF($MR$5:$NG$5,NI$7,$MR8:$NG8)</f>
        <v>0</v>
      </c>
      <c r="NJ8">
        <f>SUM(NH8:NI8)</f>
        <v>1</v>
      </c>
    </row>
    <row r="9" spans="1:374" ht="30" x14ac:dyDescent="0.25">
      <c r="A9" t="s">
        <v>405</v>
      </c>
      <c r="B9" t="s">
        <v>421</v>
      </c>
      <c r="C9">
        <v>102157</v>
      </c>
      <c r="D9" s="20" t="s">
        <v>426</v>
      </c>
      <c r="E9" t="s">
        <v>423</v>
      </c>
      <c r="F9" t="s">
        <v>424</v>
      </c>
      <c r="G9" t="s">
        <v>407</v>
      </c>
      <c r="H9" t="s">
        <v>427</v>
      </c>
      <c r="I9" t="s">
        <v>408</v>
      </c>
      <c r="J9" t="s">
        <v>409</v>
      </c>
      <c r="K9" t="s">
        <v>410</v>
      </c>
      <c r="L9" t="s">
        <v>411</v>
      </c>
      <c r="M9" t="s">
        <v>412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21">
        <v>0</v>
      </c>
      <c r="AE9" s="21">
        <v>0</v>
      </c>
      <c r="AF9" s="21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 s="21">
        <v>0</v>
      </c>
      <c r="AX9" s="21">
        <v>0</v>
      </c>
      <c r="AY9" s="21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 s="21">
        <v>0</v>
      </c>
      <c r="BQ9" s="21">
        <v>0</v>
      </c>
      <c r="BR9" s="21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0</v>
      </c>
      <c r="CG9">
        <v>0</v>
      </c>
      <c r="CH9">
        <v>0</v>
      </c>
      <c r="CI9" s="21">
        <v>2</v>
      </c>
      <c r="CJ9" s="21">
        <v>0</v>
      </c>
      <c r="CK9" s="21">
        <v>2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 s="21">
        <v>1</v>
      </c>
      <c r="DC9" s="21">
        <v>0</v>
      </c>
      <c r="DD9" s="21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 s="21">
        <v>0</v>
      </c>
      <c r="DV9" s="21">
        <v>0</v>
      </c>
      <c r="DW9" s="21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 s="21">
        <v>0</v>
      </c>
      <c r="EO9" s="21">
        <v>0</v>
      </c>
      <c r="EP9" s="21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 s="21">
        <v>0</v>
      </c>
      <c r="FH9" s="21">
        <v>0</v>
      </c>
      <c r="FI9" s="21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 s="21">
        <v>0</v>
      </c>
      <c r="GA9" s="21">
        <v>0</v>
      </c>
      <c r="GB9" s="21">
        <v>0</v>
      </c>
      <c r="GC9">
        <v>3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1</v>
      </c>
      <c r="GP9">
        <v>0</v>
      </c>
      <c r="GQ9">
        <v>0</v>
      </c>
      <c r="GR9">
        <v>0</v>
      </c>
      <c r="GS9" s="21">
        <v>4</v>
      </c>
      <c r="GT9" s="21">
        <v>0</v>
      </c>
      <c r="GU9" s="21">
        <v>4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 s="21">
        <v>0</v>
      </c>
      <c r="HM9" s="21">
        <v>0</v>
      </c>
      <c r="HN9" s="21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 s="21">
        <v>0</v>
      </c>
      <c r="IF9" s="21">
        <v>0</v>
      </c>
      <c r="IG9" s="21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 s="21">
        <v>0</v>
      </c>
      <c r="IY9" s="21">
        <v>0</v>
      </c>
      <c r="IZ9" s="21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 s="21">
        <v>0</v>
      </c>
      <c r="JR9" s="21">
        <v>0</v>
      </c>
      <c r="JS9" s="21">
        <v>0</v>
      </c>
      <c r="JT9">
        <v>1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 s="21">
        <v>1</v>
      </c>
      <c r="KK9" s="21">
        <v>0</v>
      </c>
      <c r="KL9" s="21">
        <v>1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 s="21">
        <v>0</v>
      </c>
      <c r="LD9" s="21">
        <v>0</v>
      </c>
      <c r="LE9" s="21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 s="21">
        <v>0</v>
      </c>
      <c r="LW9" s="21">
        <v>0</v>
      </c>
      <c r="LX9" s="21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 s="21">
        <v>0</v>
      </c>
      <c r="MP9" s="21">
        <v>0</v>
      </c>
      <c r="MQ9" s="21">
        <v>0</v>
      </c>
      <c r="MR9">
        <f>SUMIF($N$7:$MQ$7,"*"&amp;MR$7&amp;"*",$N9:$MQ9)</f>
        <v>5</v>
      </c>
      <c r="MS9">
        <f>SUMIF($N$7:$MQ$7,"*"&amp;MS$7&amp;"*",$N9:$MQ9)</f>
        <v>0</v>
      </c>
      <c r="MT9">
        <f>SUMIF($N$7:$MQ$7,"*"&amp;MT$7&amp;"*",$N9:$MQ9)</f>
        <v>0</v>
      </c>
      <c r="MU9">
        <f>SUMIF($N$7:$MQ$7,"*"&amp;MU$7&amp;"*",$N9:$MQ9)</f>
        <v>0</v>
      </c>
      <c r="MV9">
        <f>SUMIF($N$7:$MQ$7,"*"&amp;MV$7&amp;"*",$N9:$MQ9)</f>
        <v>0</v>
      </c>
      <c r="MW9">
        <f>SUMIF($N$7:$MQ$7,"*"&amp;MW$7&amp;"*",$N9:$MQ9)</f>
        <v>0</v>
      </c>
      <c r="MX9">
        <f>SUMIF($N$7:$MQ$7,"*"&amp;MX$7&amp;"*",$N9:$MQ9)</f>
        <v>1</v>
      </c>
      <c r="MY9">
        <f>SUMIF($N$7:$MQ$7,"*"&amp;MY$7&amp;"*",$N9:$MQ9)</f>
        <v>0</v>
      </c>
      <c r="MZ9">
        <f>SUMIF($N$7:$MQ$7,"*"&amp;MZ$7&amp;"*",$N9:$MQ9)</f>
        <v>0</v>
      </c>
      <c r="NA9">
        <f>SUMIF($N$7:$MQ$7,"*"&amp;NA$7&amp;"*",$N9:$MQ9)</f>
        <v>0</v>
      </c>
      <c r="NB9">
        <f>SUMIF($N$7:$MQ$7,"*"&amp;NB$7&amp;"*",$N9:$MQ9)</f>
        <v>0</v>
      </c>
      <c r="NC9">
        <f>SUMIF($N$7:$MQ$7,"*"&amp;NC$7&amp;"*",$N9:$MQ9)</f>
        <v>0</v>
      </c>
      <c r="ND9">
        <f>SUMIF($N$7:$MQ$7,"*"&amp;ND$7&amp;"*",$N9:$MQ9)</f>
        <v>2</v>
      </c>
      <c r="NE9">
        <f>SUMIF($N$7:$MQ$7,"*"&amp;NE$7&amp;"*",$N9:$MQ9)</f>
        <v>0</v>
      </c>
      <c r="NF9">
        <f>SUMIF($N$7:$MQ$7,"*"&amp;NF$7&amp;"*",$N9:$MQ9)</f>
        <v>0</v>
      </c>
      <c r="NG9">
        <f>SUMIF($N$7:$MQ$7,"*"&amp;NG$7&amp;"*",$N9:$MQ9)</f>
        <v>0</v>
      </c>
      <c r="NH9">
        <f>SUMIF($MR$5:$NG$5,NH$7,$MR9:$NG9)</f>
        <v>8</v>
      </c>
      <c r="NI9">
        <f>SUMIF($MR$5:$NG$5,NI$7,$MR9:$NG9)</f>
        <v>0</v>
      </c>
      <c r="NJ9">
        <f>SUM(NH9:NI9)</f>
        <v>8</v>
      </c>
    </row>
    <row r="10" spans="1:374" ht="30" x14ac:dyDescent="0.25">
      <c r="A10" t="s">
        <v>405</v>
      </c>
      <c r="B10" t="s">
        <v>421</v>
      </c>
      <c r="C10">
        <v>102164</v>
      </c>
      <c r="D10" s="20" t="s">
        <v>428</v>
      </c>
      <c r="E10" t="s">
        <v>423</v>
      </c>
      <c r="F10" t="s">
        <v>424</v>
      </c>
      <c r="G10" t="s">
        <v>407</v>
      </c>
      <c r="H10" t="s">
        <v>429</v>
      </c>
      <c r="I10" t="s">
        <v>408</v>
      </c>
      <c r="J10" t="s">
        <v>409</v>
      </c>
      <c r="K10" t="s">
        <v>410</v>
      </c>
      <c r="L10" t="s">
        <v>411</v>
      </c>
      <c r="M10" t="s">
        <v>412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s="21">
        <v>0</v>
      </c>
      <c r="AE10" s="21">
        <v>0</v>
      </c>
      <c r="AF10" s="21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 s="21">
        <v>0</v>
      </c>
      <c r="AX10" s="21">
        <v>0</v>
      </c>
      <c r="AY10" s="21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 s="21">
        <v>0</v>
      </c>
      <c r="BQ10" s="21">
        <v>0</v>
      </c>
      <c r="BR10" s="21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 s="21">
        <v>0</v>
      </c>
      <c r="CJ10" s="21">
        <v>0</v>
      </c>
      <c r="CK10" s="21">
        <v>0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 s="21">
        <v>0</v>
      </c>
      <c r="DC10" s="21">
        <v>1</v>
      </c>
      <c r="DD10" s="21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 s="21">
        <v>0</v>
      </c>
      <c r="DV10" s="21">
        <v>0</v>
      </c>
      <c r="DW10" s="21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 s="21">
        <v>0</v>
      </c>
      <c r="EO10" s="21">
        <v>0</v>
      </c>
      <c r="EP10" s="21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 s="21">
        <v>0</v>
      </c>
      <c r="FH10" s="21">
        <v>0</v>
      </c>
      <c r="FI10" s="21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 s="21">
        <v>0</v>
      </c>
      <c r="GA10" s="21">
        <v>0</v>
      </c>
      <c r="GB10" s="21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 s="21">
        <v>0</v>
      </c>
      <c r="GT10" s="21">
        <v>0</v>
      </c>
      <c r="GU10" s="21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 s="21">
        <v>0</v>
      </c>
      <c r="HM10" s="21">
        <v>0</v>
      </c>
      <c r="HN10" s="21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 s="21">
        <v>0</v>
      </c>
      <c r="IF10" s="21">
        <v>0</v>
      </c>
      <c r="IG10" s="21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 s="21">
        <v>0</v>
      </c>
      <c r="IY10" s="21">
        <v>0</v>
      </c>
      <c r="IZ10" s="21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 s="21">
        <v>0</v>
      </c>
      <c r="JR10" s="21">
        <v>0</v>
      </c>
      <c r="JS10" s="21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 s="21">
        <v>0</v>
      </c>
      <c r="KK10" s="21">
        <v>0</v>
      </c>
      <c r="KL10" s="21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 s="21">
        <v>0</v>
      </c>
      <c r="LD10" s="21">
        <v>0</v>
      </c>
      <c r="LE10" s="21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 s="21">
        <v>0</v>
      </c>
      <c r="LW10" s="21">
        <v>0</v>
      </c>
      <c r="LX10" s="21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 s="21">
        <v>0</v>
      </c>
      <c r="MP10" s="21">
        <v>0</v>
      </c>
      <c r="MQ10" s="21">
        <v>0</v>
      </c>
      <c r="MR10">
        <f>SUMIF($N$7:$MQ$7,"*"&amp;MR$7&amp;"*",$N10:$MQ10)</f>
        <v>0</v>
      </c>
      <c r="MS10">
        <f>SUMIF($N$7:$MQ$7,"*"&amp;MS$7&amp;"*",$N10:$MQ10)</f>
        <v>1</v>
      </c>
      <c r="MT10">
        <f>SUMIF($N$7:$MQ$7,"*"&amp;MT$7&amp;"*",$N10:$MQ10)</f>
        <v>0</v>
      </c>
      <c r="MU10">
        <f>SUMIF($N$7:$MQ$7,"*"&amp;MU$7&amp;"*",$N10:$MQ10)</f>
        <v>0</v>
      </c>
      <c r="MV10">
        <f>SUMIF($N$7:$MQ$7,"*"&amp;MV$7&amp;"*",$N10:$MQ10)</f>
        <v>0</v>
      </c>
      <c r="MW10">
        <f>SUMIF($N$7:$MQ$7,"*"&amp;MW$7&amp;"*",$N10:$MQ10)</f>
        <v>0</v>
      </c>
      <c r="MX10">
        <f>SUMIF($N$7:$MQ$7,"*"&amp;MX$7&amp;"*",$N10:$MQ10)</f>
        <v>0</v>
      </c>
      <c r="MY10">
        <f>SUMIF($N$7:$MQ$7,"*"&amp;MY$7&amp;"*",$N10:$MQ10)</f>
        <v>0</v>
      </c>
      <c r="MZ10">
        <f>SUMIF($N$7:$MQ$7,"*"&amp;MZ$7&amp;"*",$N10:$MQ10)</f>
        <v>0</v>
      </c>
      <c r="NA10">
        <f>SUMIF($N$7:$MQ$7,"*"&amp;NA$7&amp;"*",$N10:$MQ10)</f>
        <v>0</v>
      </c>
      <c r="NB10">
        <f>SUMIF($N$7:$MQ$7,"*"&amp;NB$7&amp;"*",$N10:$MQ10)</f>
        <v>0</v>
      </c>
      <c r="NC10">
        <f>SUMIF($N$7:$MQ$7,"*"&amp;NC$7&amp;"*",$N10:$MQ10)</f>
        <v>0</v>
      </c>
      <c r="ND10">
        <f>SUMIF($N$7:$MQ$7,"*"&amp;ND$7&amp;"*",$N10:$MQ10)</f>
        <v>0</v>
      </c>
      <c r="NE10">
        <f>SUMIF($N$7:$MQ$7,"*"&amp;NE$7&amp;"*",$N10:$MQ10)</f>
        <v>0</v>
      </c>
      <c r="NF10">
        <f>SUMIF($N$7:$MQ$7,"*"&amp;NF$7&amp;"*",$N10:$MQ10)</f>
        <v>0</v>
      </c>
      <c r="NG10">
        <f>SUMIF($N$7:$MQ$7,"*"&amp;NG$7&amp;"*",$N10:$MQ10)</f>
        <v>0</v>
      </c>
      <c r="NH10">
        <f>SUMIF($MR$5:$NG$5,NH$7,$MR10:$NG10)</f>
        <v>0</v>
      </c>
      <c r="NI10">
        <f>SUMIF($MR$5:$NG$5,NI$7,$MR10:$NG10)</f>
        <v>1</v>
      </c>
      <c r="NJ10">
        <f>SUM(NH10:NI10)</f>
        <v>1</v>
      </c>
    </row>
    <row r="11" spans="1:374" x14ac:dyDescent="0.25">
      <c r="A11" t="s">
        <v>405</v>
      </c>
      <c r="B11" t="s">
        <v>421</v>
      </c>
      <c r="C11">
        <v>129374</v>
      </c>
      <c r="D11" s="20" t="s">
        <v>430</v>
      </c>
      <c r="E11" t="s">
        <v>423</v>
      </c>
      <c r="F11" t="s">
        <v>424</v>
      </c>
      <c r="G11" t="s">
        <v>407</v>
      </c>
      <c r="H11" t="s">
        <v>431</v>
      </c>
      <c r="I11" t="s">
        <v>408</v>
      </c>
      <c r="J11" t="s">
        <v>409</v>
      </c>
      <c r="K11" t="s">
        <v>410</v>
      </c>
      <c r="L11" t="s">
        <v>411</v>
      </c>
      <c r="M11" t="s">
        <v>412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s="21">
        <v>0</v>
      </c>
      <c r="AE11" s="21">
        <v>0</v>
      </c>
      <c r="AF11" s="2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s="21">
        <v>0</v>
      </c>
      <c r="AX11" s="21">
        <v>0</v>
      </c>
      <c r="AY11" s="21">
        <v>0</v>
      </c>
      <c r="AZ11">
        <v>3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 s="21">
        <v>3</v>
      </c>
      <c r="BQ11" s="21">
        <v>1</v>
      </c>
      <c r="BR11" s="21">
        <v>4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 s="21">
        <v>0</v>
      </c>
      <c r="CJ11" s="21">
        <v>0</v>
      </c>
      <c r="CK11" s="2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 s="21">
        <v>0</v>
      </c>
      <c r="DC11" s="21">
        <v>0</v>
      </c>
      <c r="DD11" s="2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 s="21">
        <v>0</v>
      </c>
      <c r="DV11" s="21">
        <v>0</v>
      </c>
      <c r="DW11" s="2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 s="21">
        <v>0</v>
      </c>
      <c r="EO11" s="21">
        <v>0</v>
      </c>
      <c r="EP11" s="2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 s="21">
        <v>0</v>
      </c>
      <c r="FH11" s="21">
        <v>0</v>
      </c>
      <c r="FI11" s="2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 s="21">
        <v>0</v>
      </c>
      <c r="GA11" s="21">
        <v>0</v>
      </c>
      <c r="GB11" s="2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 s="21">
        <v>0</v>
      </c>
      <c r="GT11" s="21">
        <v>0</v>
      </c>
      <c r="GU11" s="2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 s="21">
        <v>0</v>
      </c>
      <c r="HM11" s="21">
        <v>0</v>
      </c>
      <c r="HN11" s="2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 s="21">
        <v>0</v>
      </c>
      <c r="IF11" s="21">
        <v>0</v>
      </c>
      <c r="IG11" s="2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 s="21">
        <v>0</v>
      </c>
      <c r="IY11" s="21">
        <v>0</v>
      </c>
      <c r="IZ11" s="2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 s="21">
        <v>0</v>
      </c>
      <c r="JR11" s="21">
        <v>0</v>
      </c>
      <c r="JS11" s="2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 s="21">
        <v>0</v>
      </c>
      <c r="KK11" s="21">
        <v>0</v>
      </c>
      <c r="KL11" s="2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 s="21">
        <v>0</v>
      </c>
      <c r="LD11" s="21">
        <v>0</v>
      </c>
      <c r="LE11" s="2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 s="21">
        <v>0</v>
      </c>
      <c r="LW11" s="21">
        <v>0</v>
      </c>
      <c r="LX11" s="2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 s="21">
        <v>0</v>
      </c>
      <c r="MP11" s="21">
        <v>0</v>
      </c>
      <c r="MQ11" s="21">
        <v>0</v>
      </c>
      <c r="MR11">
        <f>SUMIF($N$7:$MQ$7,"*"&amp;MR$7&amp;"*",$N11:$MQ11)</f>
        <v>3</v>
      </c>
      <c r="MS11">
        <f>SUMIF($N$7:$MQ$7,"*"&amp;MS$7&amp;"*",$N11:$MQ11)</f>
        <v>1</v>
      </c>
      <c r="MT11">
        <f>SUMIF($N$7:$MQ$7,"*"&amp;MT$7&amp;"*",$N11:$MQ11)</f>
        <v>0</v>
      </c>
      <c r="MU11">
        <f>SUMIF($N$7:$MQ$7,"*"&amp;MU$7&amp;"*",$N11:$MQ11)</f>
        <v>0</v>
      </c>
      <c r="MV11">
        <f>SUMIF($N$7:$MQ$7,"*"&amp;MV$7&amp;"*",$N11:$MQ11)</f>
        <v>0</v>
      </c>
      <c r="MW11">
        <f>SUMIF($N$7:$MQ$7,"*"&amp;MW$7&amp;"*",$N11:$MQ11)</f>
        <v>0</v>
      </c>
      <c r="MX11">
        <f>SUMIF($N$7:$MQ$7,"*"&amp;MX$7&amp;"*",$N11:$MQ11)</f>
        <v>0</v>
      </c>
      <c r="MY11">
        <f>SUMIF($N$7:$MQ$7,"*"&amp;MY$7&amp;"*",$N11:$MQ11)</f>
        <v>0</v>
      </c>
      <c r="MZ11">
        <f>SUMIF($N$7:$MQ$7,"*"&amp;MZ$7&amp;"*",$N11:$MQ11)</f>
        <v>0</v>
      </c>
      <c r="NA11">
        <f>SUMIF($N$7:$MQ$7,"*"&amp;NA$7&amp;"*",$N11:$MQ11)</f>
        <v>0</v>
      </c>
      <c r="NB11">
        <f>SUMIF($N$7:$MQ$7,"*"&amp;NB$7&amp;"*",$N11:$MQ11)</f>
        <v>0</v>
      </c>
      <c r="NC11">
        <f>SUMIF($N$7:$MQ$7,"*"&amp;NC$7&amp;"*",$N11:$MQ11)</f>
        <v>0</v>
      </c>
      <c r="ND11">
        <f>SUMIF($N$7:$MQ$7,"*"&amp;ND$7&amp;"*",$N11:$MQ11)</f>
        <v>0</v>
      </c>
      <c r="NE11">
        <f>SUMIF($N$7:$MQ$7,"*"&amp;NE$7&amp;"*",$N11:$MQ11)</f>
        <v>0</v>
      </c>
      <c r="NF11">
        <f>SUMIF($N$7:$MQ$7,"*"&amp;NF$7&amp;"*",$N11:$MQ11)</f>
        <v>0</v>
      </c>
      <c r="NG11">
        <f>SUMIF($N$7:$MQ$7,"*"&amp;NG$7&amp;"*",$N11:$MQ11)</f>
        <v>0</v>
      </c>
      <c r="NH11">
        <f>SUMIF($MR$5:$NG$5,NH$7,$MR11:$NG11)</f>
        <v>3</v>
      </c>
      <c r="NI11">
        <f>SUMIF($MR$5:$NG$5,NI$7,$MR11:$NG11)</f>
        <v>1</v>
      </c>
      <c r="NJ11">
        <f>SUM(NH11:NI11)</f>
        <v>4</v>
      </c>
    </row>
    <row r="12" spans="1:374" x14ac:dyDescent="0.25">
      <c r="A12" t="s">
        <v>405</v>
      </c>
      <c r="B12" t="s">
        <v>421</v>
      </c>
      <c r="C12">
        <v>129375</v>
      </c>
      <c r="D12" s="20" t="s">
        <v>432</v>
      </c>
      <c r="E12" t="s">
        <v>423</v>
      </c>
      <c r="F12" t="s">
        <v>424</v>
      </c>
      <c r="G12" t="s">
        <v>407</v>
      </c>
      <c r="H12" t="s">
        <v>431</v>
      </c>
      <c r="I12" t="s">
        <v>408</v>
      </c>
      <c r="J12" t="s">
        <v>409</v>
      </c>
      <c r="K12" t="s">
        <v>410</v>
      </c>
      <c r="L12" t="s">
        <v>411</v>
      </c>
      <c r="M12" t="s">
        <v>412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21">
        <v>0</v>
      </c>
      <c r="AE12" s="21">
        <v>0</v>
      </c>
      <c r="AF12" s="21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 s="21">
        <v>0</v>
      </c>
      <c r="AX12" s="21">
        <v>0</v>
      </c>
      <c r="AY12" s="21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 s="21">
        <v>0</v>
      </c>
      <c r="BQ12" s="21">
        <v>0</v>
      </c>
      <c r="BR12" s="21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 s="21">
        <v>0</v>
      </c>
      <c r="CJ12" s="21">
        <v>0</v>
      </c>
      <c r="CK12" s="21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 s="21">
        <v>0</v>
      </c>
      <c r="DC12" s="21">
        <v>0</v>
      </c>
      <c r="DD12" s="21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 s="21">
        <v>0</v>
      </c>
      <c r="DV12" s="21">
        <v>0</v>
      </c>
      <c r="DW12" s="21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 s="21">
        <v>0</v>
      </c>
      <c r="EO12" s="21">
        <v>0</v>
      </c>
      <c r="EP12" s="21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 s="21">
        <v>0</v>
      </c>
      <c r="FH12" s="21">
        <v>0</v>
      </c>
      <c r="FI12" s="21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 s="21">
        <v>0</v>
      </c>
      <c r="GA12" s="21">
        <v>0</v>
      </c>
      <c r="GB12" s="21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 s="21">
        <v>0</v>
      </c>
      <c r="GT12" s="21">
        <v>0</v>
      </c>
      <c r="GU12" s="21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 s="21">
        <v>0</v>
      </c>
      <c r="HM12" s="21">
        <v>0</v>
      </c>
      <c r="HN12" s="21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 s="21">
        <v>0</v>
      </c>
      <c r="IF12" s="21">
        <v>0</v>
      </c>
      <c r="IG12" s="21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 s="21">
        <v>0</v>
      </c>
      <c r="IY12" s="21">
        <v>0</v>
      </c>
      <c r="IZ12" s="21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 s="21">
        <v>0</v>
      </c>
      <c r="JR12" s="21">
        <v>0</v>
      </c>
      <c r="JS12" s="21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 s="21">
        <v>0</v>
      </c>
      <c r="KK12" s="21">
        <v>0</v>
      </c>
      <c r="KL12" s="21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 s="21">
        <v>0</v>
      </c>
      <c r="LD12" s="21">
        <v>0</v>
      </c>
      <c r="LE12" s="21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 s="21">
        <v>0</v>
      </c>
      <c r="LW12" s="21">
        <v>0</v>
      </c>
      <c r="LX12" s="21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 s="21">
        <v>0</v>
      </c>
      <c r="MP12" s="21">
        <v>0</v>
      </c>
      <c r="MQ12" s="21">
        <v>0</v>
      </c>
      <c r="MR12">
        <f>SUMIF($N$7:$MQ$7,"*"&amp;MR$7&amp;"*",$N12:$MQ12)</f>
        <v>0</v>
      </c>
      <c r="MS12">
        <f>SUMIF($N$7:$MQ$7,"*"&amp;MS$7&amp;"*",$N12:$MQ12)</f>
        <v>0</v>
      </c>
      <c r="MT12">
        <f>SUMIF($N$7:$MQ$7,"*"&amp;MT$7&amp;"*",$N12:$MQ12)</f>
        <v>0</v>
      </c>
      <c r="MU12">
        <f>SUMIF($N$7:$MQ$7,"*"&amp;MU$7&amp;"*",$N12:$MQ12)</f>
        <v>0</v>
      </c>
      <c r="MV12">
        <f>SUMIF($N$7:$MQ$7,"*"&amp;MV$7&amp;"*",$N12:$MQ12)</f>
        <v>0</v>
      </c>
      <c r="MW12">
        <f>SUMIF($N$7:$MQ$7,"*"&amp;MW$7&amp;"*",$N12:$MQ12)</f>
        <v>0</v>
      </c>
      <c r="MX12">
        <f>SUMIF($N$7:$MQ$7,"*"&amp;MX$7&amp;"*",$N12:$MQ12)</f>
        <v>0</v>
      </c>
      <c r="MY12">
        <f>SUMIF($N$7:$MQ$7,"*"&amp;MY$7&amp;"*",$N12:$MQ12)</f>
        <v>0</v>
      </c>
      <c r="MZ12">
        <f>SUMIF($N$7:$MQ$7,"*"&amp;MZ$7&amp;"*",$N12:$MQ12)</f>
        <v>0</v>
      </c>
      <c r="NA12">
        <f>SUMIF($N$7:$MQ$7,"*"&amp;NA$7&amp;"*",$N12:$MQ12)</f>
        <v>0</v>
      </c>
      <c r="NB12">
        <f>SUMIF($N$7:$MQ$7,"*"&amp;NB$7&amp;"*",$N12:$MQ12)</f>
        <v>0</v>
      </c>
      <c r="NC12">
        <f>SUMIF($N$7:$MQ$7,"*"&amp;NC$7&amp;"*",$N12:$MQ12)</f>
        <v>0</v>
      </c>
      <c r="ND12">
        <f>SUMIF($N$7:$MQ$7,"*"&amp;ND$7&amp;"*",$N12:$MQ12)</f>
        <v>0</v>
      </c>
      <c r="NE12">
        <f>SUMIF($N$7:$MQ$7,"*"&amp;NE$7&amp;"*",$N12:$MQ12)</f>
        <v>0</v>
      </c>
      <c r="NF12">
        <f>SUMIF($N$7:$MQ$7,"*"&amp;NF$7&amp;"*",$N12:$MQ12)</f>
        <v>0</v>
      </c>
      <c r="NG12">
        <f>SUMIF($N$7:$MQ$7,"*"&amp;NG$7&amp;"*",$N12:$MQ12)</f>
        <v>0</v>
      </c>
      <c r="NH12">
        <f>SUMIF($MR$5:$NG$5,NH$7,$MR12:$NG12)</f>
        <v>0</v>
      </c>
      <c r="NI12">
        <f>SUMIF($MR$5:$NG$5,NI$7,$MR12:$NG12)</f>
        <v>0</v>
      </c>
      <c r="NJ12">
        <f>SUM(NH12:NI12)</f>
        <v>0</v>
      </c>
    </row>
    <row r="13" spans="1:374" x14ac:dyDescent="0.25">
      <c r="A13" t="s">
        <v>405</v>
      </c>
      <c r="B13" t="s">
        <v>421</v>
      </c>
      <c r="C13">
        <v>129376</v>
      </c>
      <c r="D13" s="20" t="s">
        <v>433</v>
      </c>
      <c r="E13" t="s">
        <v>423</v>
      </c>
      <c r="F13" t="s">
        <v>424</v>
      </c>
      <c r="G13" t="s">
        <v>407</v>
      </c>
      <c r="H13" t="s">
        <v>434</v>
      </c>
      <c r="I13" t="s">
        <v>408</v>
      </c>
      <c r="J13" t="s">
        <v>409</v>
      </c>
      <c r="K13" t="s">
        <v>410</v>
      </c>
      <c r="L13" t="s">
        <v>411</v>
      </c>
      <c r="M13" t="s">
        <v>412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s="21">
        <v>0</v>
      </c>
      <c r="AE13" s="21">
        <v>0</v>
      </c>
      <c r="AF13" s="21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 s="21">
        <v>0</v>
      </c>
      <c r="AX13" s="21">
        <v>0</v>
      </c>
      <c r="AY13" s="21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 s="21">
        <v>0</v>
      </c>
      <c r="BQ13" s="21">
        <v>0</v>
      </c>
      <c r="BR13" s="21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 s="21">
        <v>0</v>
      </c>
      <c r="CJ13" s="21">
        <v>0</v>
      </c>
      <c r="CK13" s="21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 s="21">
        <v>0</v>
      </c>
      <c r="DC13" s="21">
        <v>0</v>
      </c>
      <c r="DD13" s="21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 s="21">
        <v>0</v>
      </c>
      <c r="DV13" s="21">
        <v>0</v>
      </c>
      <c r="DW13" s="21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 s="21">
        <v>0</v>
      </c>
      <c r="EO13" s="21">
        <v>0</v>
      </c>
      <c r="EP13" s="21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 s="21">
        <v>0</v>
      </c>
      <c r="FH13" s="21">
        <v>0</v>
      </c>
      <c r="FI13" s="21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 s="21">
        <v>0</v>
      </c>
      <c r="GA13" s="21">
        <v>0</v>
      </c>
      <c r="GB13" s="21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 s="21">
        <v>0</v>
      </c>
      <c r="GT13" s="21">
        <v>0</v>
      </c>
      <c r="GU13" s="21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 s="21">
        <v>0</v>
      </c>
      <c r="HM13" s="21">
        <v>0</v>
      </c>
      <c r="HN13" s="21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 s="21">
        <v>0</v>
      </c>
      <c r="IF13" s="21">
        <v>0</v>
      </c>
      <c r="IG13" s="21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 s="21">
        <v>0</v>
      </c>
      <c r="IY13" s="21">
        <v>0</v>
      </c>
      <c r="IZ13" s="21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 s="21">
        <v>0</v>
      </c>
      <c r="JR13" s="21">
        <v>0</v>
      </c>
      <c r="JS13" s="21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 s="21">
        <v>0</v>
      </c>
      <c r="KK13" s="21">
        <v>0</v>
      </c>
      <c r="KL13" s="21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 s="21">
        <v>0</v>
      </c>
      <c r="LD13" s="21">
        <v>0</v>
      </c>
      <c r="LE13" s="21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 s="21">
        <v>0</v>
      </c>
      <c r="LW13" s="21">
        <v>0</v>
      </c>
      <c r="LX13" s="21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 s="21">
        <v>0</v>
      </c>
      <c r="MP13" s="21">
        <v>0</v>
      </c>
      <c r="MQ13" s="21">
        <v>0</v>
      </c>
      <c r="MR13">
        <f>SUMIF($N$7:$MQ$7,"*"&amp;MR$7&amp;"*",$N13:$MQ13)</f>
        <v>0</v>
      </c>
      <c r="MS13">
        <f>SUMIF($N$7:$MQ$7,"*"&amp;MS$7&amp;"*",$N13:$MQ13)</f>
        <v>0</v>
      </c>
      <c r="MT13">
        <f>SUMIF($N$7:$MQ$7,"*"&amp;MT$7&amp;"*",$N13:$MQ13)</f>
        <v>0</v>
      </c>
      <c r="MU13">
        <f>SUMIF($N$7:$MQ$7,"*"&amp;MU$7&amp;"*",$N13:$MQ13)</f>
        <v>0</v>
      </c>
      <c r="MV13">
        <f>SUMIF($N$7:$MQ$7,"*"&amp;MV$7&amp;"*",$N13:$MQ13)</f>
        <v>0</v>
      </c>
      <c r="MW13">
        <f>SUMIF($N$7:$MQ$7,"*"&amp;MW$7&amp;"*",$N13:$MQ13)</f>
        <v>0</v>
      </c>
      <c r="MX13">
        <f>SUMIF($N$7:$MQ$7,"*"&amp;MX$7&amp;"*",$N13:$MQ13)</f>
        <v>0</v>
      </c>
      <c r="MY13">
        <f>SUMIF($N$7:$MQ$7,"*"&amp;MY$7&amp;"*",$N13:$MQ13)</f>
        <v>0</v>
      </c>
      <c r="MZ13">
        <f>SUMIF($N$7:$MQ$7,"*"&amp;MZ$7&amp;"*",$N13:$MQ13)</f>
        <v>0</v>
      </c>
      <c r="NA13">
        <f>SUMIF($N$7:$MQ$7,"*"&amp;NA$7&amp;"*",$N13:$MQ13)</f>
        <v>0</v>
      </c>
      <c r="NB13">
        <f>SUMIF($N$7:$MQ$7,"*"&amp;NB$7&amp;"*",$N13:$MQ13)</f>
        <v>0</v>
      </c>
      <c r="NC13">
        <f>SUMIF($N$7:$MQ$7,"*"&amp;NC$7&amp;"*",$N13:$MQ13)</f>
        <v>0</v>
      </c>
      <c r="ND13">
        <f>SUMIF($N$7:$MQ$7,"*"&amp;ND$7&amp;"*",$N13:$MQ13)</f>
        <v>0</v>
      </c>
      <c r="NE13">
        <f>SUMIF($N$7:$MQ$7,"*"&amp;NE$7&amp;"*",$N13:$MQ13)</f>
        <v>0</v>
      </c>
      <c r="NF13">
        <f>SUMIF($N$7:$MQ$7,"*"&amp;NF$7&amp;"*",$N13:$MQ13)</f>
        <v>0</v>
      </c>
      <c r="NG13">
        <f>SUMIF($N$7:$MQ$7,"*"&amp;NG$7&amp;"*",$N13:$MQ13)</f>
        <v>0</v>
      </c>
      <c r="NH13">
        <f>SUMIF($MR$5:$NG$5,NH$7,$MR13:$NG13)</f>
        <v>0</v>
      </c>
      <c r="NI13">
        <f>SUMIF($MR$5:$NG$5,NI$7,$MR13:$NG13)</f>
        <v>0</v>
      </c>
      <c r="NJ13">
        <f>SUM(NH13:NI13)</f>
        <v>0</v>
      </c>
    </row>
    <row r="14" spans="1:374" ht="60" x14ac:dyDescent="0.25">
      <c r="A14" t="s">
        <v>405</v>
      </c>
      <c r="B14" t="s">
        <v>421</v>
      </c>
      <c r="C14">
        <v>129377</v>
      </c>
      <c r="D14" s="20" t="s">
        <v>435</v>
      </c>
      <c r="E14" t="s">
        <v>423</v>
      </c>
      <c r="F14" t="s">
        <v>424</v>
      </c>
      <c r="G14" t="s">
        <v>407</v>
      </c>
      <c r="H14" t="s">
        <v>436</v>
      </c>
      <c r="I14" t="s">
        <v>408</v>
      </c>
      <c r="J14" t="s">
        <v>409</v>
      </c>
      <c r="K14" t="s">
        <v>410</v>
      </c>
      <c r="L14" t="s">
        <v>411</v>
      </c>
      <c r="M14" t="s">
        <v>412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s="21">
        <v>0</v>
      </c>
      <c r="AE14" s="21">
        <v>0</v>
      </c>
      <c r="AF14" s="21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 s="21">
        <v>0</v>
      </c>
      <c r="AX14" s="21">
        <v>0</v>
      </c>
      <c r="AY14" s="21">
        <v>0</v>
      </c>
      <c r="AZ14">
        <v>0</v>
      </c>
      <c r="BA14">
        <v>1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 s="21">
        <v>1</v>
      </c>
      <c r="BQ14" s="21">
        <v>1</v>
      </c>
      <c r="BR14" s="21">
        <v>2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0</v>
      </c>
      <c r="CI14" s="21">
        <v>1</v>
      </c>
      <c r="CJ14" s="21">
        <v>1</v>
      </c>
      <c r="CK14" s="21">
        <v>2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 s="21">
        <v>0</v>
      </c>
      <c r="DC14" s="21">
        <v>0</v>
      </c>
      <c r="DD14" s="21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 s="21">
        <v>0</v>
      </c>
      <c r="DV14" s="21">
        <v>0</v>
      </c>
      <c r="DW14" s="21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 s="21">
        <v>0</v>
      </c>
      <c r="EO14" s="21">
        <v>0</v>
      </c>
      <c r="EP14" s="21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 s="21">
        <v>0</v>
      </c>
      <c r="FH14" s="21">
        <v>0</v>
      </c>
      <c r="FI14" s="21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</v>
      </c>
      <c r="FW14">
        <v>0</v>
      </c>
      <c r="FX14">
        <v>0</v>
      </c>
      <c r="FY14">
        <v>0</v>
      </c>
      <c r="FZ14" s="21">
        <v>1</v>
      </c>
      <c r="GA14" s="21">
        <v>0</v>
      </c>
      <c r="GB14" s="21">
        <v>1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2</v>
      </c>
      <c r="GP14">
        <v>1</v>
      </c>
      <c r="GQ14">
        <v>0</v>
      </c>
      <c r="GR14">
        <v>0</v>
      </c>
      <c r="GS14" s="21">
        <v>2</v>
      </c>
      <c r="GT14" s="21">
        <v>1</v>
      </c>
      <c r="GU14" s="21">
        <v>3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 s="21">
        <v>0</v>
      </c>
      <c r="HM14" s="21">
        <v>0</v>
      </c>
      <c r="HN14" s="21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 s="21">
        <v>0</v>
      </c>
      <c r="IF14" s="21">
        <v>0</v>
      </c>
      <c r="IG14" s="21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 s="21">
        <v>0</v>
      </c>
      <c r="IY14" s="21">
        <v>0</v>
      </c>
      <c r="IZ14" s="21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 s="21">
        <v>0</v>
      </c>
      <c r="JR14" s="21">
        <v>0</v>
      </c>
      <c r="JS14" s="21">
        <v>0</v>
      </c>
      <c r="JT14">
        <v>0</v>
      </c>
      <c r="JU14">
        <v>0</v>
      </c>
      <c r="JV14">
        <v>0</v>
      </c>
      <c r="JW14">
        <v>2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 s="21">
        <v>0</v>
      </c>
      <c r="KK14" s="21">
        <v>2</v>
      </c>
      <c r="KL14" s="21">
        <v>2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 s="21">
        <v>0</v>
      </c>
      <c r="LD14" s="21">
        <v>0</v>
      </c>
      <c r="LE14" s="21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 s="21">
        <v>0</v>
      </c>
      <c r="LW14" s="21">
        <v>0</v>
      </c>
      <c r="LX14" s="21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2</v>
      </c>
      <c r="MJ14">
        <v>0</v>
      </c>
      <c r="MK14">
        <v>0</v>
      </c>
      <c r="ML14">
        <v>0</v>
      </c>
      <c r="MM14">
        <v>0</v>
      </c>
      <c r="MN14">
        <v>0</v>
      </c>
      <c r="MO14" s="21">
        <v>2</v>
      </c>
      <c r="MP14" s="21">
        <v>0</v>
      </c>
      <c r="MQ14" s="21">
        <v>2</v>
      </c>
      <c r="MR14">
        <f>SUMIF($N$7:$MQ$7,"*"&amp;MR$7&amp;"*",$N14:$MQ14)</f>
        <v>0</v>
      </c>
      <c r="MS14">
        <f>SUMIF($N$7:$MQ$7,"*"&amp;MS$7&amp;"*",$N14:$MQ14)</f>
        <v>2</v>
      </c>
      <c r="MT14">
        <f>SUMIF($N$7:$MQ$7,"*"&amp;MT$7&amp;"*",$N14:$MQ14)</f>
        <v>1</v>
      </c>
      <c r="MU14">
        <f>SUMIF($N$7:$MQ$7,"*"&amp;MU$7&amp;"*",$N14:$MQ14)</f>
        <v>2</v>
      </c>
      <c r="MV14">
        <f>SUMIF($N$7:$MQ$7,"*"&amp;MV$7&amp;"*",$N14:$MQ14)</f>
        <v>0</v>
      </c>
      <c r="MW14">
        <f>SUMIF($N$7:$MQ$7,"*"&amp;MW$7&amp;"*",$N14:$MQ14)</f>
        <v>0</v>
      </c>
      <c r="MX14">
        <f>SUMIF($N$7:$MQ$7,"*"&amp;MX$7&amp;"*",$N14:$MQ14)</f>
        <v>0</v>
      </c>
      <c r="MY14">
        <f>SUMIF($N$7:$MQ$7,"*"&amp;MY$7&amp;"*",$N14:$MQ14)</f>
        <v>0</v>
      </c>
      <c r="MZ14">
        <f>SUMIF($N$7:$MQ$7,"*"&amp;MZ$7&amp;"*",$N14:$MQ14)</f>
        <v>0</v>
      </c>
      <c r="NA14">
        <f>SUMIF($N$7:$MQ$7,"*"&amp;NA$7&amp;"*",$N14:$MQ14)</f>
        <v>0</v>
      </c>
      <c r="NB14">
        <f>SUMIF($N$7:$MQ$7,"*"&amp;NB$7&amp;"*",$N14:$MQ14)</f>
        <v>2</v>
      </c>
      <c r="NC14">
        <f>SUMIF($N$7:$MQ$7,"*"&amp;NC$7&amp;"*",$N14:$MQ14)</f>
        <v>0</v>
      </c>
      <c r="ND14">
        <f>SUMIF($N$7:$MQ$7,"*"&amp;ND$7&amp;"*",$N14:$MQ14)</f>
        <v>4</v>
      </c>
      <c r="NE14">
        <f>SUMIF($N$7:$MQ$7,"*"&amp;NE$7&amp;"*",$N14:$MQ14)</f>
        <v>1</v>
      </c>
      <c r="NF14">
        <f>SUMIF($N$7:$MQ$7,"*"&amp;NF$7&amp;"*",$N14:$MQ14)</f>
        <v>0</v>
      </c>
      <c r="NG14">
        <f>SUMIF($N$7:$MQ$7,"*"&amp;NG$7&amp;"*",$N14:$MQ14)</f>
        <v>0</v>
      </c>
      <c r="NH14">
        <f>SUMIF($MR$5:$NG$5,NH$7,$MR14:$NG14)</f>
        <v>7</v>
      </c>
      <c r="NI14">
        <f>SUMIF($MR$5:$NG$5,NI$7,$MR14:$NG14)</f>
        <v>5</v>
      </c>
      <c r="NJ14">
        <f>SUM(NH14:NI14)</f>
        <v>12</v>
      </c>
    </row>
    <row r="15" spans="1:374" ht="30" x14ac:dyDescent="0.25">
      <c r="A15" t="s">
        <v>405</v>
      </c>
      <c r="B15" t="s">
        <v>421</v>
      </c>
      <c r="C15">
        <v>129380</v>
      </c>
      <c r="D15" s="20" t="s">
        <v>437</v>
      </c>
      <c r="E15" t="s">
        <v>423</v>
      </c>
      <c r="F15" t="s">
        <v>424</v>
      </c>
      <c r="G15" t="s">
        <v>407</v>
      </c>
      <c r="H15" t="s">
        <v>434</v>
      </c>
      <c r="I15" t="s">
        <v>408</v>
      </c>
      <c r="J15" t="s">
        <v>409</v>
      </c>
      <c r="K15" t="s">
        <v>410</v>
      </c>
      <c r="L15" t="s">
        <v>411</v>
      </c>
      <c r="M15" t="s">
        <v>412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21">
        <v>0</v>
      </c>
      <c r="AE15" s="21">
        <v>0</v>
      </c>
      <c r="AF15" s="21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 s="21">
        <v>0</v>
      </c>
      <c r="AX15" s="21">
        <v>0</v>
      </c>
      <c r="AY15" s="21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 s="21">
        <v>1</v>
      </c>
      <c r="BQ15" s="21">
        <v>1</v>
      </c>
      <c r="BR15" s="21">
        <v>2</v>
      </c>
      <c r="BS15">
        <v>0</v>
      </c>
      <c r="BT15">
        <v>1</v>
      </c>
      <c r="BU15">
        <v>1</v>
      </c>
      <c r="BV15">
        <v>2</v>
      </c>
      <c r="BW15">
        <v>0</v>
      </c>
      <c r="BX15">
        <v>0</v>
      </c>
      <c r="BY15">
        <v>3</v>
      </c>
      <c r="BZ15">
        <v>0</v>
      </c>
      <c r="CA15">
        <v>1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 s="21">
        <v>6</v>
      </c>
      <c r="CJ15" s="21">
        <v>3</v>
      </c>
      <c r="CK15" s="21">
        <v>9</v>
      </c>
      <c r="CL15">
        <v>0</v>
      </c>
      <c r="CM15">
        <v>0</v>
      </c>
      <c r="CN15">
        <v>0</v>
      </c>
      <c r="CO15">
        <v>0</v>
      </c>
      <c r="CP15">
        <v>1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 s="21">
        <v>3</v>
      </c>
      <c r="DC15" s="21">
        <v>0</v>
      </c>
      <c r="DD15" s="21">
        <v>3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 s="21">
        <v>0</v>
      </c>
      <c r="DV15" s="21">
        <v>0</v>
      </c>
      <c r="DW15" s="21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 s="21">
        <v>0</v>
      </c>
      <c r="EO15" s="21">
        <v>0</v>
      </c>
      <c r="EP15" s="21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 s="21">
        <v>0</v>
      </c>
      <c r="FH15" s="21">
        <v>0</v>
      </c>
      <c r="FI15" s="21">
        <v>0</v>
      </c>
      <c r="FJ15">
        <v>0</v>
      </c>
      <c r="FK15">
        <v>2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 s="21">
        <v>0</v>
      </c>
      <c r="GA15" s="21">
        <v>2</v>
      </c>
      <c r="GB15" s="21">
        <v>2</v>
      </c>
      <c r="GC15">
        <v>1</v>
      </c>
      <c r="GD15">
        <v>2</v>
      </c>
      <c r="GE15">
        <v>3</v>
      </c>
      <c r="GF15">
        <v>0</v>
      </c>
      <c r="GG15">
        <v>0</v>
      </c>
      <c r="GH15">
        <v>1</v>
      </c>
      <c r="GI15">
        <v>1</v>
      </c>
      <c r="GJ15">
        <v>1</v>
      </c>
      <c r="GK15">
        <v>0</v>
      </c>
      <c r="GL15">
        <v>0</v>
      </c>
      <c r="GM15">
        <v>0</v>
      </c>
      <c r="GN15">
        <v>0</v>
      </c>
      <c r="GO15">
        <v>2</v>
      </c>
      <c r="GP15">
        <v>0</v>
      </c>
      <c r="GQ15">
        <v>0</v>
      </c>
      <c r="GR15">
        <v>0</v>
      </c>
      <c r="GS15" s="21">
        <v>7</v>
      </c>
      <c r="GT15" s="21">
        <v>4</v>
      </c>
      <c r="GU15" s="21">
        <v>11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 s="21">
        <v>0</v>
      </c>
      <c r="HM15" s="21">
        <v>0</v>
      </c>
      <c r="HN15" s="21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 s="21">
        <v>0</v>
      </c>
      <c r="IF15" s="21">
        <v>0</v>
      </c>
      <c r="IG15" s="21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 s="21">
        <v>0</v>
      </c>
      <c r="IY15" s="21">
        <v>0</v>
      </c>
      <c r="IZ15" s="21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 s="21">
        <v>0</v>
      </c>
      <c r="JR15" s="21">
        <v>0</v>
      </c>
      <c r="JS15" s="21">
        <v>0</v>
      </c>
      <c r="JT15">
        <v>1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1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1</v>
      </c>
      <c r="KH15">
        <v>0</v>
      </c>
      <c r="KI15">
        <v>0</v>
      </c>
      <c r="KJ15" s="21">
        <v>1</v>
      </c>
      <c r="KK15" s="21">
        <v>2</v>
      </c>
      <c r="KL15" s="21">
        <v>3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 s="21">
        <v>0</v>
      </c>
      <c r="LD15" s="21">
        <v>0</v>
      </c>
      <c r="LE15" s="21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 s="21">
        <v>0</v>
      </c>
      <c r="LW15" s="21">
        <v>0</v>
      </c>
      <c r="LX15" s="21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 s="21">
        <v>0</v>
      </c>
      <c r="MP15" s="21">
        <v>0</v>
      </c>
      <c r="MQ15" s="21">
        <v>0</v>
      </c>
      <c r="MR15">
        <f>SUMIF($N$7:$MQ$7,"*"&amp;MR$7&amp;"*",$N15:$MQ15)</f>
        <v>2</v>
      </c>
      <c r="MS15">
        <f>SUMIF($N$7:$MQ$7,"*"&amp;MS$7&amp;"*",$N15:$MQ15)</f>
        <v>5</v>
      </c>
      <c r="MT15">
        <f>SUMIF($N$7:$MQ$7,"*"&amp;MT$7&amp;"*",$N15:$MQ15)</f>
        <v>4</v>
      </c>
      <c r="MU15">
        <f>SUMIF($N$7:$MQ$7,"*"&amp;MU$7&amp;"*",$N15:$MQ15)</f>
        <v>2</v>
      </c>
      <c r="MV15">
        <f>SUMIF($N$7:$MQ$7,"*"&amp;MV$7&amp;"*",$N15:$MQ15)</f>
        <v>1</v>
      </c>
      <c r="MW15">
        <f>SUMIF($N$7:$MQ$7,"*"&amp;MW$7&amp;"*",$N15:$MQ15)</f>
        <v>1</v>
      </c>
      <c r="MX15">
        <f>SUMIF($N$7:$MQ$7,"*"&amp;MX$7&amp;"*",$N15:$MQ15)</f>
        <v>6</v>
      </c>
      <c r="MY15">
        <f>SUMIF($N$7:$MQ$7,"*"&amp;MY$7&amp;"*",$N15:$MQ15)</f>
        <v>3</v>
      </c>
      <c r="MZ15">
        <f>SUMIF($N$7:$MQ$7,"*"&amp;MZ$7&amp;"*",$N15:$MQ15)</f>
        <v>1</v>
      </c>
      <c r="NA15">
        <f>SUMIF($N$7:$MQ$7,"*"&amp;NA$7&amp;"*",$N15:$MQ15)</f>
        <v>0</v>
      </c>
      <c r="NB15">
        <f>SUMIF($N$7:$MQ$7,"*"&amp;NB$7&amp;"*",$N15:$MQ15)</f>
        <v>1</v>
      </c>
      <c r="NC15">
        <f>SUMIF($N$7:$MQ$7,"*"&amp;NC$7&amp;"*",$N15:$MQ15)</f>
        <v>0</v>
      </c>
      <c r="ND15">
        <f>SUMIF($N$7:$MQ$7,"*"&amp;ND$7&amp;"*",$N15:$MQ15)</f>
        <v>3</v>
      </c>
      <c r="NE15">
        <f>SUMIF($N$7:$MQ$7,"*"&amp;NE$7&amp;"*",$N15:$MQ15)</f>
        <v>1</v>
      </c>
      <c r="NF15">
        <f>SUMIF($N$7:$MQ$7,"*"&amp;NF$7&amp;"*",$N15:$MQ15)</f>
        <v>0</v>
      </c>
      <c r="NG15">
        <f>SUMIF($N$7:$MQ$7,"*"&amp;NG$7&amp;"*",$N15:$MQ15)</f>
        <v>0</v>
      </c>
      <c r="NH15">
        <f>SUMIF($MR$5:$NG$5,NH$7,$MR15:$NG15)</f>
        <v>18</v>
      </c>
      <c r="NI15">
        <f>SUMIF($MR$5:$NG$5,NI$7,$MR15:$NG15)</f>
        <v>12</v>
      </c>
      <c r="NJ15">
        <f>SUM(NH15:NI15)</f>
        <v>30</v>
      </c>
    </row>
    <row r="16" spans="1:374" ht="30" x14ac:dyDescent="0.25">
      <c r="A16" t="s">
        <v>405</v>
      </c>
      <c r="B16" t="s">
        <v>421</v>
      </c>
      <c r="C16">
        <v>129381</v>
      </c>
      <c r="D16" s="20" t="s">
        <v>438</v>
      </c>
      <c r="E16" t="s">
        <v>423</v>
      </c>
      <c r="F16" t="s">
        <v>424</v>
      </c>
      <c r="G16" t="s">
        <v>407</v>
      </c>
      <c r="H16" t="s">
        <v>434</v>
      </c>
      <c r="I16" t="s">
        <v>408</v>
      </c>
      <c r="J16" t="s">
        <v>409</v>
      </c>
      <c r="K16" t="s">
        <v>410</v>
      </c>
      <c r="L16" t="s">
        <v>411</v>
      </c>
      <c r="M16" t="s">
        <v>412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s="21">
        <v>0</v>
      </c>
      <c r="AE16" s="21">
        <v>0</v>
      </c>
      <c r="AF16" s="21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s="21">
        <v>0</v>
      </c>
      <c r="AX16" s="21">
        <v>0</v>
      </c>
      <c r="AY16" s="21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 s="21">
        <v>0</v>
      </c>
      <c r="BQ16" s="21">
        <v>0</v>
      </c>
      <c r="BR16" s="21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 s="21">
        <v>0</v>
      </c>
      <c r="CJ16" s="21">
        <v>0</v>
      </c>
      <c r="CK16" s="21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 s="21">
        <v>0</v>
      </c>
      <c r="DC16" s="21">
        <v>0</v>
      </c>
      <c r="DD16" s="21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 s="21">
        <v>0</v>
      </c>
      <c r="DV16" s="21">
        <v>0</v>
      </c>
      <c r="DW16" s="21">
        <v>0</v>
      </c>
      <c r="DX16">
        <v>0</v>
      </c>
      <c r="DY16">
        <v>0</v>
      </c>
      <c r="DZ16">
        <v>1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 s="21">
        <v>1</v>
      </c>
      <c r="EO16" s="21">
        <v>0</v>
      </c>
      <c r="EP16" s="21">
        <v>1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 s="21">
        <v>0</v>
      </c>
      <c r="FH16" s="21">
        <v>0</v>
      </c>
      <c r="FI16" s="21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 s="21">
        <v>0</v>
      </c>
      <c r="GA16" s="21">
        <v>0</v>
      </c>
      <c r="GB16" s="21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 s="21">
        <v>0</v>
      </c>
      <c r="GT16" s="21">
        <v>0</v>
      </c>
      <c r="GU16" s="21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 s="21">
        <v>0</v>
      </c>
      <c r="HM16" s="21">
        <v>0</v>
      </c>
      <c r="HN16" s="21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 s="21">
        <v>0</v>
      </c>
      <c r="IF16" s="21">
        <v>0</v>
      </c>
      <c r="IG16" s="21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 s="21">
        <v>0</v>
      </c>
      <c r="IY16" s="21">
        <v>0</v>
      </c>
      <c r="IZ16" s="21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 s="21">
        <v>0</v>
      </c>
      <c r="JR16" s="21">
        <v>0</v>
      </c>
      <c r="JS16" s="21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 s="21">
        <v>0</v>
      </c>
      <c r="KK16" s="21">
        <v>0</v>
      </c>
      <c r="KL16" s="21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 s="21">
        <v>0</v>
      </c>
      <c r="LD16" s="21">
        <v>0</v>
      </c>
      <c r="LE16" s="21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 s="21">
        <v>0</v>
      </c>
      <c r="LW16" s="21">
        <v>0</v>
      </c>
      <c r="LX16" s="21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 s="21">
        <v>0</v>
      </c>
      <c r="MP16" s="21">
        <v>0</v>
      </c>
      <c r="MQ16" s="21">
        <v>0</v>
      </c>
      <c r="MR16">
        <f>SUMIF($N$7:$MQ$7,"*"&amp;MR$7&amp;"*",$N16:$MQ16)</f>
        <v>0</v>
      </c>
      <c r="MS16">
        <f>SUMIF($N$7:$MQ$7,"*"&amp;MS$7&amp;"*",$N16:$MQ16)</f>
        <v>0</v>
      </c>
      <c r="MT16">
        <f>SUMIF($N$7:$MQ$7,"*"&amp;MT$7&amp;"*",$N16:$MQ16)</f>
        <v>1</v>
      </c>
      <c r="MU16">
        <f>SUMIF($N$7:$MQ$7,"*"&amp;MU$7&amp;"*",$N16:$MQ16)</f>
        <v>0</v>
      </c>
      <c r="MV16">
        <f>SUMIF($N$7:$MQ$7,"*"&amp;MV$7&amp;"*",$N16:$MQ16)</f>
        <v>0</v>
      </c>
      <c r="MW16">
        <f>SUMIF($N$7:$MQ$7,"*"&amp;MW$7&amp;"*",$N16:$MQ16)</f>
        <v>0</v>
      </c>
      <c r="MX16">
        <f>SUMIF($N$7:$MQ$7,"*"&amp;MX$7&amp;"*",$N16:$MQ16)</f>
        <v>0</v>
      </c>
      <c r="MY16">
        <f>SUMIF($N$7:$MQ$7,"*"&amp;MY$7&amp;"*",$N16:$MQ16)</f>
        <v>0</v>
      </c>
      <c r="MZ16">
        <f>SUMIF($N$7:$MQ$7,"*"&amp;MZ$7&amp;"*",$N16:$MQ16)</f>
        <v>0</v>
      </c>
      <c r="NA16">
        <f>SUMIF($N$7:$MQ$7,"*"&amp;NA$7&amp;"*",$N16:$MQ16)</f>
        <v>0</v>
      </c>
      <c r="NB16">
        <f>SUMIF($N$7:$MQ$7,"*"&amp;NB$7&amp;"*",$N16:$MQ16)</f>
        <v>0</v>
      </c>
      <c r="NC16">
        <f>SUMIF($N$7:$MQ$7,"*"&amp;NC$7&amp;"*",$N16:$MQ16)</f>
        <v>0</v>
      </c>
      <c r="ND16">
        <f>SUMIF($N$7:$MQ$7,"*"&amp;ND$7&amp;"*",$N16:$MQ16)</f>
        <v>0</v>
      </c>
      <c r="NE16">
        <f>SUMIF($N$7:$MQ$7,"*"&amp;NE$7&amp;"*",$N16:$MQ16)</f>
        <v>0</v>
      </c>
      <c r="NF16">
        <f>SUMIF($N$7:$MQ$7,"*"&amp;NF$7&amp;"*",$N16:$MQ16)</f>
        <v>0</v>
      </c>
      <c r="NG16">
        <f>SUMIF($N$7:$MQ$7,"*"&amp;NG$7&amp;"*",$N16:$MQ16)</f>
        <v>0</v>
      </c>
      <c r="NH16">
        <f>SUMIF($MR$5:$NG$5,NH$7,$MR16:$NG16)</f>
        <v>1</v>
      </c>
      <c r="NI16">
        <f>SUMIF($MR$5:$NG$5,NI$7,$MR16:$NG16)</f>
        <v>0</v>
      </c>
      <c r="NJ16">
        <f>SUM(NH16:NI16)</f>
        <v>1</v>
      </c>
    </row>
    <row r="17" spans="1:374" ht="30" x14ac:dyDescent="0.25">
      <c r="A17" t="s">
        <v>405</v>
      </c>
      <c r="B17" t="s">
        <v>421</v>
      </c>
      <c r="C17">
        <v>129382</v>
      </c>
      <c r="D17" s="20" t="s">
        <v>439</v>
      </c>
      <c r="E17" t="s">
        <v>423</v>
      </c>
      <c r="F17" t="s">
        <v>424</v>
      </c>
      <c r="G17" t="s">
        <v>407</v>
      </c>
      <c r="H17" t="s">
        <v>434</v>
      </c>
      <c r="I17" t="s">
        <v>408</v>
      </c>
      <c r="J17" t="s">
        <v>409</v>
      </c>
      <c r="K17" t="s">
        <v>410</v>
      </c>
      <c r="L17" t="s">
        <v>411</v>
      </c>
      <c r="M17" t="s">
        <v>412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s="21">
        <v>0</v>
      </c>
      <c r="AE17" s="21">
        <v>0</v>
      </c>
      <c r="AF17" s="21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s="21">
        <v>0</v>
      </c>
      <c r="AX17" s="21">
        <v>0</v>
      </c>
      <c r="AY17" s="21">
        <v>0</v>
      </c>
      <c r="AZ17">
        <v>4</v>
      </c>
      <c r="BA17">
        <v>6</v>
      </c>
      <c r="BB17">
        <v>0</v>
      </c>
      <c r="BC17">
        <v>0</v>
      </c>
      <c r="BD17">
        <v>5</v>
      </c>
      <c r="BE17">
        <v>2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 s="21">
        <v>9</v>
      </c>
      <c r="BQ17" s="21">
        <v>8</v>
      </c>
      <c r="BR17" s="21">
        <v>17</v>
      </c>
      <c r="BS17">
        <v>2</v>
      </c>
      <c r="BT17">
        <v>3</v>
      </c>
      <c r="BU17">
        <v>5</v>
      </c>
      <c r="BV17">
        <v>2</v>
      </c>
      <c r="BW17">
        <v>5</v>
      </c>
      <c r="BX17">
        <v>2</v>
      </c>
      <c r="BY17">
        <v>1</v>
      </c>
      <c r="BZ17">
        <v>0</v>
      </c>
      <c r="CA17">
        <v>4</v>
      </c>
      <c r="CB17">
        <v>0</v>
      </c>
      <c r="CC17">
        <v>3</v>
      </c>
      <c r="CD17">
        <v>2</v>
      </c>
      <c r="CE17">
        <v>1</v>
      </c>
      <c r="CF17">
        <v>0</v>
      </c>
      <c r="CG17">
        <v>0</v>
      </c>
      <c r="CH17">
        <v>0</v>
      </c>
      <c r="CI17" s="21">
        <v>21</v>
      </c>
      <c r="CJ17" s="21">
        <v>9</v>
      </c>
      <c r="CK17" s="21">
        <v>30</v>
      </c>
      <c r="CL17">
        <v>0</v>
      </c>
      <c r="CM17">
        <v>1</v>
      </c>
      <c r="CN17">
        <v>1</v>
      </c>
      <c r="CO17">
        <v>2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 s="21">
        <v>1</v>
      </c>
      <c r="DC17" s="21">
        <v>4</v>
      </c>
      <c r="DD17" s="21">
        <v>5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 s="21">
        <v>0</v>
      </c>
      <c r="DV17" s="21">
        <v>0</v>
      </c>
      <c r="DW17" s="21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 s="21">
        <v>0</v>
      </c>
      <c r="EO17" s="21">
        <v>0</v>
      </c>
      <c r="EP17" s="21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 s="21">
        <v>0</v>
      </c>
      <c r="FH17" s="21">
        <v>0</v>
      </c>
      <c r="FI17" s="21">
        <v>0</v>
      </c>
      <c r="FJ17">
        <v>0</v>
      </c>
      <c r="FK17">
        <v>0</v>
      </c>
      <c r="FL17">
        <v>1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 s="21">
        <v>1</v>
      </c>
      <c r="GA17" s="21">
        <v>0</v>
      </c>
      <c r="GB17" s="21">
        <v>1</v>
      </c>
      <c r="GC17">
        <v>4</v>
      </c>
      <c r="GD17">
        <v>2</v>
      </c>
      <c r="GE17">
        <v>6</v>
      </c>
      <c r="GF17">
        <v>1</v>
      </c>
      <c r="GG17">
        <v>4</v>
      </c>
      <c r="GH17">
        <v>2</v>
      </c>
      <c r="GI17">
        <v>2</v>
      </c>
      <c r="GJ17">
        <v>4</v>
      </c>
      <c r="GK17">
        <v>6</v>
      </c>
      <c r="GL17">
        <v>3</v>
      </c>
      <c r="GM17">
        <v>6</v>
      </c>
      <c r="GN17">
        <v>1</v>
      </c>
      <c r="GO17">
        <v>0</v>
      </c>
      <c r="GP17">
        <v>0</v>
      </c>
      <c r="GQ17">
        <v>0</v>
      </c>
      <c r="GR17">
        <v>0</v>
      </c>
      <c r="GS17" s="21">
        <v>28</v>
      </c>
      <c r="GT17" s="21">
        <v>13</v>
      </c>
      <c r="GU17" s="21">
        <v>41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 s="21">
        <v>0</v>
      </c>
      <c r="HM17" s="21">
        <v>0</v>
      </c>
      <c r="HN17" s="21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 s="21">
        <v>0</v>
      </c>
      <c r="IF17" s="21">
        <v>0</v>
      </c>
      <c r="IG17" s="21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 s="21">
        <v>0</v>
      </c>
      <c r="IY17" s="21">
        <v>0</v>
      </c>
      <c r="IZ17" s="21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 s="21">
        <v>0</v>
      </c>
      <c r="JR17" s="21">
        <v>0</v>
      </c>
      <c r="JS17" s="21">
        <v>0</v>
      </c>
      <c r="JT17">
        <v>1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1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 s="21">
        <v>1</v>
      </c>
      <c r="KK17" s="21">
        <v>1</v>
      </c>
      <c r="KL17" s="21">
        <v>2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 s="21">
        <v>0</v>
      </c>
      <c r="LD17" s="21">
        <v>0</v>
      </c>
      <c r="LE17" s="21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 s="21">
        <v>0</v>
      </c>
      <c r="LW17" s="21">
        <v>0</v>
      </c>
      <c r="LX17" s="21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1</v>
      </c>
      <c r="MK17">
        <v>0</v>
      </c>
      <c r="ML17">
        <v>0</v>
      </c>
      <c r="MM17">
        <v>0</v>
      </c>
      <c r="MN17">
        <v>0</v>
      </c>
      <c r="MO17" s="21">
        <v>0</v>
      </c>
      <c r="MP17" s="21">
        <v>1</v>
      </c>
      <c r="MQ17" s="21">
        <v>1</v>
      </c>
      <c r="MR17">
        <f>SUMIF($N$7:$MQ$7,"*"&amp;MR$7&amp;"*",$N17:$MQ17)</f>
        <v>11</v>
      </c>
      <c r="MS17">
        <f>SUMIF($N$7:$MQ$7,"*"&amp;MS$7&amp;"*",$N17:$MQ17)</f>
        <v>12</v>
      </c>
      <c r="MT17">
        <f>SUMIF($N$7:$MQ$7,"*"&amp;MT$7&amp;"*",$N17:$MQ17)</f>
        <v>13</v>
      </c>
      <c r="MU17">
        <f>SUMIF($N$7:$MQ$7,"*"&amp;MU$7&amp;"*",$N17:$MQ17)</f>
        <v>5</v>
      </c>
      <c r="MV17">
        <f>SUMIF($N$7:$MQ$7,"*"&amp;MV$7&amp;"*",$N17:$MQ17)</f>
        <v>14</v>
      </c>
      <c r="MW17">
        <f>SUMIF($N$7:$MQ$7,"*"&amp;MW$7&amp;"*",$N17:$MQ17)</f>
        <v>7</v>
      </c>
      <c r="MX17">
        <f>SUMIF($N$7:$MQ$7,"*"&amp;MX$7&amp;"*",$N17:$MQ17)</f>
        <v>3</v>
      </c>
      <c r="MY17">
        <f>SUMIF($N$7:$MQ$7,"*"&amp;MY$7&amp;"*",$N17:$MQ17)</f>
        <v>4</v>
      </c>
      <c r="MZ17">
        <f>SUMIF($N$7:$MQ$7,"*"&amp;MZ$7&amp;"*",$N17:$MQ17)</f>
        <v>10</v>
      </c>
      <c r="NA17">
        <f>SUMIF($N$7:$MQ$7,"*"&amp;NA$7&amp;"*",$N17:$MQ17)</f>
        <v>4</v>
      </c>
      <c r="NB17">
        <f>SUMIF($N$7:$MQ$7,"*"&amp;NB$7&amp;"*",$N17:$MQ17)</f>
        <v>9</v>
      </c>
      <c r="NC17">
        <f>SUMIF($N$7:$MQ$7,"*"&amp;NC$7&amp;"*",$N17:$MQ17)</f>
        <v>4</v>
      </c>
      <c r="ND17">
        <f>SUMIF($N$7:$MQ$7,"*"&amp;ND$7&amp;"*",$N17:$MQ17)</f>
        <v>1</v>
      </c>
      <c r="NE17">
        <f>SUMIF($N$7:$MQ$7,"*"&amp;NE$7&amp;"*",$N17:$MQ17)</f>
        <v>0</v>
      </c>
      <c r="NF17">
        <f>SUMIF($N$7:$MQ$7,"*"&amp;NF$7&amp;"*",$N17:$MQ17)</f>
        <v>0</v>
      </c>
      <c r="NG17">
        <f>SUMIF($N$7:$MQ$7,"*"&amp;NG$7&amp;"*",$N17:$MQ17)</f>
        <v>0</v>
      </c>
      <c r="NH17">
        <f>SUMIF($MR$5:$NG$5,NH$7,$MR17:$NG17)</f>
        <v>61</v>
      </c>
      <c r="NI17">
        <f>SUMIF($MR$5:$NG$5,NI$7,$MR17:$NG17)</f>
        <v>36</v>
      </c>
      <c r="NJ17">
        <f>SUM(NH17:NI17)</f>
        <v>97</v>
      </c>
    </row>
    <row r="18" spans="1:374" x14ac:dyDescent="0.25">
      <c r="A18" t="s">
        <v>405</v>
      </c>
      <c r="B18" t="s">
        <v>421</v>
      </c>
      <c r="C18">
        <v>129383</v>
      </c>
      <c r="D18" s="20" t="s">
        <v>440</v>
      </c>
      <c r="E18" t="s">
        <v>423</v>
      </c>
      <c r="F18" t="s">
        <v>424</v>
      </c>
      <c r="G18" t="s">
        <v>407</v>
      </c>
      <c r="H18" t="s">
        <v>434</v>
      </c>
      <c r="I18" t="s">
        <v>408</v>
      </c>
      <c r="J18" t="s">
        <v>409</v>
      </c>
      <c r="K18" t="s">
        <v>410</v>
      </c>
      <c r="L18" t="s">
        <v>411</v>
      </c>
      <c r="M18" t="s">
        <v>412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s="21">
        <v>0</v>
      </c>
      <c r="AE18" s="21">
        <v>0</v>
      </c>
      <c r="AF18" s="21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s="21">
        <v>0</v>
      </c>
      <c r="AX18" s="21">
        <v>0</v>
      </c>
      <c r="AY18" s="21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 s="21">
        <v>0</v>
      </c>
      <c r="BQ18" s="21">
        <v>1</v>
      </c>
      <c r="BR18" s="21">
        <v>1</v>
      </c>
      <c r="BS18">
        <v>2</v>
      </c>
      <c r="BT18">
        <v>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2</v>
      </c>
      <c r="CF18">
        <v>0</v>
      </c>
      <c r="CG18">
        <v>0</v>
      </c>
      <c r="CH18">
        <v>0</v>
      </c>
      <c r="CI18" s="21">
        <v>4</v>
      </c>
      <c r="CJ18" s="21">
        <v>2</v>
      </c>
      <c r="CK18" s="21">
        <v>6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 s="21">
        <v>0</v>
      </c>
      <c r="DC18" s="21">
        <v>0</v>
      </c>
      <c r="DD18" s="21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0</v>
      </c>
      <c r="DU18" s="21">
        <v>0</v>
      </c>
      <c r="DV18" s="21">
        <v>1</v>
      </c>
      <c r="DW18" s="21">
        <v>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 s="21">
        <v>0</v>
      </c>
      <c r="EO18" s="21">
        <v>0</v>
      </c>
      <c r="EP18" s="21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 s="21">
        <v>0</v>
      </c>
      <c r="FH18" s="21">
        <v>0</v>
      </c>
      <c r="FI18" s="21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1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 s="21">
        <v>0</v>
      </c>
      <c r="GA18" s="21">
        <v>1</v>
      </c>
      <c r="GB18" s="21">
        <v>1</v>
      </c>
      <c r="GC18">
        <v>0</v>
      </c>
      <c r="GD18">
        <v>0</v>
      </c>
      <c r="GE18">
        <v>0</v>
      </c>
      <c r="GF18">
        <v>0</v>
      </c>
      <c r="GG18">
        <v>1</v>
      </c>
      <c r="GH18">
        <v>0</v>
      </c>
      <c r="GI18">
        <v>2</v>
      </c>
      <c r="GJ18">
        <v>1</v>
      </c>
      <c r="GK18">
        <v>3</v>
      </c>
      <c r="GL18">
        <v>0</v>
      </c>
      <c r="GM18">
        <v>2</v>
      </c>
      <c r="GN18">
        <v>1</v>
      </c>
      <c r="GO18">
        <v>1</v>
      </c>
      <c r="GP18">
        <v>2</v>
      </c>
      <c r="GQ18">
        <v>0</v>
      </c>
      <c r="GR18">
        <v>0</v>
      </c>
      <c r="GS18" s="21">
        <v>9</v>
      </c>
      <c r="GT18" s="21">
        <v>4</v>
      </c>
      <c r="GU18" s="21">
        <v>13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 s="21">
        <v>0</v>
      </c>
      <c r="HM18" s="21">
        <v>0</v>
      </c>
      <c r="HN18" s="21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 s="21">
        <v>0</v>
      </c>
      <c r="IF18" s="21">
        <v>0</v>
      </c>
      <c r="IG18" s="21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 s="21">
        <v>0</v>
      </c>
      <c r="IY18" s="21">
        <v>0</v>
      </c>
      <c r="IZ18" s="21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 s="21">
        <v>0</v>
      </c>
      <c r="JR18" s="21">
        <v>0</v>
      </c>
      <c r="JS18" s="21">
        <v>0</v>
      </c>
      <c r="JT18">
        <v>6</v>
      </c>
      <c r="JU18">
        <v>0</v>
      </c>
      <c r="JV18">
        <v>1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1</v>
      </c>
      <c r="KG18">
        <v>1</v>
      </c>
      <c r="KH18">
        <v>0</v>
      </c>
      <c r="KI18">
        <v>0</v>
      </c>
      <c r="KJ18" s="21">
        <v>8</v>
      </c>
      <c r="KK18" s="21">
        <v>1</v>
      </c>
      <c r="KL18" s="21">
        <v>9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 s="21">
        <v>0</v>
      </c>
      <c r="LD18" s="21">
        <v>0</v>
      </c>
      <c r="LE18" s="21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 s="21">
        <v>0</v>
      </c>
      <c r="LW18" s="21">
        <v>0</v>
      </c>
      <c r="LX18" s="21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 s="21">
        <v>0</v>
      </c>
      <c r="MP18" s="21">
        <v>0</v>
      </c>
      <c r="MQ18" s="21">
        <v>0</v>
      </c>
      <c r="MR18">
        <f>SUMIF($N$7:$MQ$7,"*"&amp;MR$7&amp;"*",$N18:$MQ18)</f>
        <v>8</v>
      </c>
      <c r="MS18">
        <f>SUMIF($N$7:$MQ$7,"*"&amp;MS$7&amp;"*",$N18:$MQ18)</f>
        <v>2</v>
      </c>
      <c r="MT18">
        <f>SUMIF($N$7:$MQ$7,"*"&amp;MT$7&amp;"*",$N18:$MQ18)</f>
        <v>1</v>
      </c>
      <c r="MU18">
        <f>SUMIF($N$7:$MQ$7,"*"&amp;MU$7&amp;"*",$N18:$MQ18)</f>
        <v>0</v>
      </c>
      <c r="MV18">
        <f>SUMIF($N$7:$MQ$7,"*"&amp;MV$7&amp;"*",$N18:$MQ18)</f>
        <v>1</v>
      </c>
      <c r="MW18">
        <f>SUMIF($N$7:$MQ$7,"*"&amp;MW$7&amp;"*",$N18:$MQ18)</f>
        <v>0</v>
      </c>
      <c r="MX18">
        <f>SUMIF($N$7:$MQ$7,"*"&amp;MX$7&amp;"*",$N18:$MQ18)</f>
        <v>2</v>
      </c>
      <c r="MY18">
        <f>SUMIF($N$7:$MQ$7,"*"&amp;MY$7&amp;"*",$N18:$MQ18)</f>
        <v>1</v>
      </c>
      <c r="MZ18">
        <f>SUMIF($N$7:$MQ$7,"*"&amp;MZ$7&amp;"*",$N18:$MQ18)</f>
        <v>3</v>
      </c>
      <c r="NA18">
        <f>SUMIF($N$7:$MQ$7,"*"&amp;NA$7&amp;"*",$N18:$MQ18)</f>
        <v>2</v>
      </c>
      <c r="NB18">
        <f>SUMIF($N$7:$MQ$7,"*"&amp;NB$7&amp;"*",$N18:$MQ18)</f>
        <v>2</v>
      </c>
      <c r="NC18">
        <f>SUMIF($N$7:$MQ$7,"*"&amp;NC$7&amp;"*",$N18:$MQ18)</f>
        <v>2</v>
      </c>
      <c r="ND18">
        <f>SUMIF($N$7:$MQ$7,"*"&amp;ND$7&amp;"*",$N18:$MQ18)</f>
        <v>4</v>
      </c>
      <c r="NE18">
        <f>SUMIF($N$7:$MQ$7,"*"&amp;NE$7&amp;"*",$N18:$MQ18)</f>
        <v>3</v>
      </c>
      <c r="NF18">
        <f>SUMIF($N$7:$MQ$7,"*"&amp;NF$7&amp;"*",$N18:$MQ18)</f>
        <v>0</v>
      </c>
      <c r="NG18">
        <f>SUMIF($N$7:$MQ$7,"*"&amp;NG$7&amp;"*",$N18:$MQ18)</f>
        <v>0</v>
      </c>
      <c r="NH18">
        <f>SUMIF($MR$5:$NG$5,NH$7,$MR18:$NG18)</f>
        <v>21</v>
      </c>
      <c r="NI18">
        <f>SUMIF($MR$5:$NG$5,NI$7,$MR18:$NG18)</f>
        <v>10</v>
      </c>
      <c r="NJ18">
        <f>SUM(NH18:NI18)</f>
        <v>31</v>
      </c>
    </row>
    <row r="19" spans="1:374" ht="30" x14ac:dyDescent="0.25">
      <c r="A19" t="s">
        <v>405</v>
      </c>
      <c r="B19" t="s">
        <v>421</v>
      </c>
      <c r="C19">
        <v>129384</v>
      </c>
      <c r="D19" s="20" t="s">
        <v>441</v>
      </c>
      <c r="E19" t="s">
        <v>423</v>
      </c>
      <c r="F19" t="s">
        <v>424</v>
      </c>
      <c r="G19" t="s">
        <v>407</v>
      </c>
      <c r="H19" t="s">
        <v>434</v>
      </c>
      <c r="I19" t="s">
        <v>408</v>
      </c>
      <c r="J19" t="s">
        <v>409</v>
      </c>
      <c r="K19" t="s">
        <v>410</v>
      </c>
      <c r="L19" t="s">
        <v>411</v>
      </c>
      <c r="M19" t="s">
        <v>412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s="21">
        <v>0</v>
      </c>
      <c r="AE19" s="21">
        <v>0</v>
      </c>
      <c r="AF19" s="21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 s="21">
        <v>0</v>
      </c>
      <c r="AX19" s="21">
        <v>0</v>
      </c>
      <c r="AY19" s="21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 s="21">
        <v>0</v>
      </c>
      <c r="BQ19" s="21">
        <v>0</v>
      </c>
      <c r="BR19" s="21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 s="21">
        <v>0</v>
      </c>
      <c r="CJ19" s="21">
        <v>0</v>
      </c>
      <c r="CK19" s="21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 s="21">
        <v>0</v>
      </c>
      <c r="DC19" s="21">
        <v>0</v>
      </c>
      <c r="DD19" s="21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 s="21">
        <v>0</v>
      </c>
      <c r="DV19" s="21">
        <v>0</v>
      </c>
      <c r="DW19" s="21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 s="21">
        <v>0</v>
      </c>
      <c r="EO19" s="21">
        <v>0</v>
      </c>
      <c r="EP19" s="21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 s="21">
        <v>0</v>
      </c>
      <c r="FH19" s="21">
        <v>0</v>
      </c>
      <c r="FI19" s="21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 s="21">
        <v>0</v>
      </c>
      <c r="GA19" s="21">
        <v>0</v>
      </c>
      <c r="GB19" s="21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 s="21">
        <v>0</v>
      </c>
      <c r="GT19" s="21">
        <v>0</v>
      </c>
      <c r="GU19" s="21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 s="21">
        <v>0</v>
      </c>
      <c r="HM19" s="21">
        <v>0</v>
      </c>
      <c r="HN19" s="21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 s="21">
        <v>0</v>
      </c>
      <c r="IF19" s="21">
        <v>0</v>
      </c>
      <c r="IG19" s="21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 s="21">
        <v>0</v>
      </c>
      <c r="IY19" s="21">
        <v>0</v>
      </c>
      <c r="IZ19" s="21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 s="21">
        <v>0</v>
      </c>
      <c r="JR19" s="21">
        <v>0</v>
      </c>
      <c r="JS19" s="21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 s="21">
        <v>0</v>
      </c>
      <c r="KK19" s="21">
        <v>0</v>
      </c>
      <c r="KL19" s="21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 s="21">
        <v>0</v>
      </c>
      <c r="LD19" s="21">
        <v>0</v>
      </c>
      <c r="LE19" s="21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 s="21">
        <v>0</v>
      </c>
      <c r="LW19" s="21">
        <v>0</v>
      </c>
      <c r="LX19" s="21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 s="21">
        <v>0</v>
      </c>
      <c r="MP19" s="21">
        <v>0</v>
      </c>
      <c r="MQ19" s="21">
        <v>0</v>
      </c>
      <c r="MR19">
        <f>SUMIF($N$7:$MQ$7,"*"&amp;MR$7&amp;"*",$N19:$MQ19)</f>
        <v>0</v>
      </c>
      <c r="MS19">
        <f>SUMIF($N$7:$MQ$7,"*"&amp;MS$7&amp;"*",$N19:$MQ19)</f>
        <v>0</v>
      </c>
      <c r="MT19">
        <f>SUMIF($N$7:$MQ$7,"*"&amp;MT$7&amp;"*",$N19:$MQ19)</f>
        <v>0</v>
      </c>
      <c r="MU19">
        <f>SUMIF($N$7:$MQ$7,"*"&amp;MU$7&amp;"*",$N19:$MQ19)</f>
        <v>0</v>
      </c>
      <c r="MV19">
        <f>SUMIF($N$7:$MQ$7,"*"&amp;MV$7&amp;"*",$N19:$MQ19)</f>
        <v>0</v>
      </c>
      <c r="MW19">
        <f>SUMIF($N$7:$MQ$7,"*"&amp;MW$7&amp;"*",$N19:$MQ19)</f>
        <v>0</v>
      </c>
      <c r="MX19">
        <f>SUMIF($N$7:$MQ$7,"*"&amp;MX$7&amp;"*",$N19:$MQ19)</f>
        <v>0</v>
      </c>
      <c r="MY19">
        <f>SUMIF($N$7:$MQ$7,"*"&amp;MY$7&amp;"*",$N19:$MQ19)</f>
        <v>0</v>
      </c>
      <c r="MZ19">
        <f>SUMIF($N$7:$MQ$7,"*"&amp;MZ$7&amp;"*",$N19:$MQ19)</f>
        <v>0</v>
      </c>
      <c r="NA19">
        <f>SUMIF($N$7:$MQ$7,"*"&amp;NA$7&amp;"*",$N19:$MQ19)</f>
        <v>0</v>
      </c>
      <c r="NB19">
        <f>SUMIF($N$7:$MQ$7,"*"&amp;NB$7&amp;"*",$N19:$MQ19)</f>
        <v>0</v>
      </c>
      <c r="NC19">
        <f>SUMIF($N$7:$MQ$7,"*"&amp;NC$7&amp;"*",$N19:$MQ19)</f>
        <v>0</v>
      </c>
      <c r="ND19">
        <f>SUMIF($N$7:$MQ$7,"*"&amp;ND$7&amp;"*",$N19:$MQ19)</f>
        <v>0</v>
      </c>
      <c r="NE19">
        <f>SUMIF($N$7:$MQ$7,"*"&amp;NE$7&amp;"*",$N19:$MQ19)</f>
        <v>0</v>
      </c>
      <c r="NF19">
        <f>SUMIF($N$7:$MQ$7,"*"&amp;NF$7&amp;"*",$N19:$MQ19)</f>
        <v>0</v>
      </c>
      <c r="NG19">
        <f>SUMIF($N$7:$MQ$7,"*"&amp;NG$7&amp;"*",$N19:$MQ19)</f>
        <v>0</v>
      </c>
      <c r="NH19">
        <f>SUMIF($MR$5:$NG$5,NH$7,$MR19:$NG19)</f>
        <v>0</v>
      </c>
      <c r="NI19">
        <f>SUMIF($MR$5:$NG$5,NI$7,$MR19:$NG19)</f>
        <v>0</v>
      </c>
      <c r="NJ19">
        <f>SUM(NH19:NI19)</f>
        <v>0</v>
      </c>
    </row>
    <row r="20" spans="1:374" x14ac:dyDescent="0.25">
      <c r="A20" t="s">
        <v>405</v>
      </c>
      <c r="B20" t="s">
        <v>421</v>
      </c>
      <c r="C20">
        <v>129385</v>
      </c>
      <c r="D20" s="20" t="s">
        <v>442</v>
      </c>
      <c r="E20" t="s">
        <v>423</v>
      </c>
      <c r="F20" t="s">
        <v>424</v>
      </c>
      <c r="G20" t="s">
        <v>407</v>
      </c>
      <c r="H20" t="s">
        <v>431</v>
      </c>
      <c r="I20" t="s">
        <v>408</v>
      </c>
      <c r="J20" t="s">
        <v>409</v>
      </c>
      <c r="K20" t="s">
        <v>410</v>
      </c>
      <c r="L20" t="s">
        <v>411</v>
      </c>
      <c r="M20" t="s">
        <v>412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s="21">
        <v>0</v>
      </c>
      <c r="AE20" s="21">
        <v>0</v>
      </c>
      <c r="AF20" s="21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 s="21">
        <v>0</v>
      </c>
      <c r="AX20" s="21">
        <v>0</v>
      </c>
      <c r="AY20" s="21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 s="21">
        <v>1</v>
      </c>
      <c r="BQ20" s="21">
        <v>0</v>
      </c>
      <c r="BR20" s="21">
        <v>1</v>
      </c>
      <c r="BS20">
        <v>1</v>
      </c>
      <c r="BT20">
        <v>1</v>
      </c>
      <c r="BU20">
        <v>1</v>
      </c>
      <c r="BV20">
        <v>2</v>
      </c>
      <c r="BW20">
        <v>1</v>
      </c>
      <c r="BX20">
        <v>1</v>
      </c>
      <c r="BY20">
        <v>1</v>
      </c>
      <c r="BZ20">
        <v>0</v>
      </c>
      <c r="CA20">
        <v>1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 s="21">
        <v>6</v>
      </c>
      <c r="CJ20" s="21">
        <v>4</v>
      </c>
      <c r="CK20" s="21">
        <v>10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 s="21">
        <v>1</v>
      </c>
      <c r="DC20" s="21">
        <v>1</v>
      </c>
      <c r="DD20" s="21">
        <v>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 s="21">
        <v>1</v>
      </c>
      <c r="DV20" s="21">
        <v>0</v>
      </c>
      <c r="DW20" s="21">
        <v>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 s="21">
        <v>0</v>
      </c>
      <c r="EO20" s="21">
        <v>0</v>
      </c>
      <c r="EP20" s="21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 s="21">
        <v>0</v>
      </c>
      <c r="FH20" s="21">
        <v>0</v>
      </c>
      <c r="FI20" s="21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2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 s="21">
        <v>2</v>
      </c>
      <c r="GA20" s="21">
        <v>0</v>
      </c>
      <c r="GB20" s="21">
        <v>2</v>
      </c>
      <c r="GC20">
        <v>1</v>
      </c>
      <c r="GD20">
        <v>2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2</v>
      </c>
      <c r="GL20">
        <v>0</v>
      </c>
      <c r="GM20">
        <v>2</v>
      </c>
      <c r="GN20">
        <v>0</v>
      </c>
      <c r="GO20">
        <v>3</v>
      </c>
      <c r="GP20">
        <v>0</v>
      </c>
      <c r="GQ20">
        <v>0</v>
      </c>
      <c r="GR20">
        <v>0</v>
      </c>
      <c r="GS20" s="21">
        <v>8</v>
      </c>
      <c r="GT20" s="21">
        <v>2</v>
      </c>
      <c r="GU20" s="21">
        <v>10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 s="21">
        <v>0</v>
      </c>
      <c r="HM20" s="21">
        <v>0</v>
      </c>
      <c r="HN20" s="21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 s="21">
        <v>0</v>
      </c>
      <c r="IF20" s="21">
        <v>0</v>
      </c>
      <c r="IG20" s="21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 s="21">
        <v>0</v>
      </c>
      <c r="IY20" s="21">
        <v>0</v>
      </c>
      <c r="IZ20" s="21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 s="21">
        <v>0</v>
      </c>
      <c r="JR20" s="21">
        <v>0</v>
      </c>
      <c r="JS20" s="21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 s="21">
        <v>0</v>
      </c>
      <c r="KK20" s="21">
        <v>0</v>
      </c>
      <c r="KL20" s="21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 s="21">
        <v>0</v>
      </c>
      <c r="LD20" s="21">
        <v>0</v>
      </c>
      <c r="LE20" s="21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 s="21">
        <v>0</v>
      </c>
      <c r="LW20" s="21">
        <v>0</v>
      </c>
      <c r="LX20" s="21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 s="21">
        <v>0</v>
      </c>
      <c r="MP20" s="21">
        <v>0</v>
      </c>
      <c r="MQ20" s="21">
        <v>0</v>
      </c>
      <c r="MR20">
        <f>SUMIF($N$7:$MQ$7,"*"&amp;MR$7&amp;"*",$N20:$MQ20)</f>
        <v>3</v>
      </c>
      <c r="MS20">
        <f>SUMIF($N$7:$MQ$7,"*"&amp;MS$7&amp;"*",$N20:$MQ20)</f>
        <v>3</v>
      </c>
      <c r="MT20">
        <f>SUMIF($N$7:$MQ$7,"*"&amp;MT$7&amp;"*",$N20:$MQ20)</f>
        <v>1</v>
      </c>
      <c r="MU20">
        <f>SUMIF($N$7:$MQ$7,"*"&amp;MU$7&amp;"*",$N20:$MQ20)</f>
        <v>2</v>
      </c>
      <c r="MV20">
        <f>SUMIF($N$7:$MQ$7,"*"&amp;MV$7&amp;"*",$N20:$MQ20)</f>
        <v>1</v>
      </c>
      <c r="MW20">
        <f>SUMIF($N$7:$MQ$7,"*"&amp;MW$7&amp;"*",$N20:$MQ20)</f>
        <v>1</v>
      </c>
      <c r="MX20">
        <f>SUMIF($N$7:$MQ$7,"*"&amp;MX$7&amp;"*",$N20:$MQ20)</f>
        <v>1</v>
      </c>
      <c r="MY20">
        <f>SUMIF($N$7:$MQ$7,"*"&amp;MY$7&amp;"*",$N20:$MQ20)</f>
        <v>0</v>
      </c>
      <c r="MZ20">
        <f>SUMIF($N$7:$MQ$7,"*"&amp;MZ$7&amp;"*",$N20:$MQ20)</f>
        <v>7</v>
      </c>
      <c r="NA20">
        <f>SUMIF($N$7:$MQ$7,"*"&amp;NA$7&amp;"*",$N20:$MQ20)</f>
        <v>0</v>
      </c>
      <c r="NB20">
        <f>SUMIF($N$7:$MQ$7,"*"&amp;NB$7&amp;"*",$N20:$MQ20)</f>
        <v>3</v>
      </c>
      <c r="NC20">
        <f>SUMIF($N$7:$MQ$7,"*"&amp;NC$7&amp;"*",$N20:$MQ20)</f>
        <v>1</v>
      </c>
      <c r="ND20">
        <f>SUMIF($N$7:$MQ$7,"*"&amp;ND$7&amp;"*",$N20:$MQ20)</f>
        <v>3</v>
      </c>
      <c r="NE20">
        <f>SUMIF($N$7:$MQ$7,"*"&amp;NE$7&amp;"*",$N20:$MQ20)</f>
        <v>0</v>
      </c>
      <c r="NF20">
        <f>SUMIF($N$7:$MQ$7,"*"&amp;NF$7&amp;"*",$N20:$MQ20)</f>
        <v>0</v>
      </c>
      <c r="NG20">
        <f>SUMIF($N$7:$MQ$7,"*"&amp;NG$7&amp;"*",$N20:$MQ20)</f>
        <v>0</v>
      </c>
      <c r="NH20">
        <f>SUMIF($MR$5:$NG$5,NH$7,$MR20:$NG20)</f>
        <v>19</v>
      </c>
      <c r="NI20">
        <f>SUMIF($MR$5:$NG$5,NI$7,$MR20:$NG20)</f>
        <v>7</v>
      </c>
      <c r="NJ20">
        <f>SUM(NH20:NI20)</f>
        <v>26</v>
      </c>
    </row>
    <row r="21" spans="1:374" ht="30" x14ac:dyDescent="0.25">
      <c r="A21" t="s">
        <v>405</v>
      </c>
      <c r="B21" t="s">
        <v>421</v>
      </c>
      <c r="C21">
        <v>129386</v>
      </c>
      <c r="D21" s="20" t="s">
        <v>443</v>
      </c>
      <c r="E21" t="s">
        <v>423</v>
      </c>
      <c r="F21" t="s">
        <v>424</v>
      </c>
      <c r="G21" t="s">
        <v>407</v>
      </c>
      <c r="H21" t="s">
        <v>436</v>
      </c>
      <c r="I21" t="s">
        <v>408</v>
      </c>
      <c r="J21" t="s">
        <v>409</v>
      </c>
      <c r="K21" t="s">
        <v>410</v>
      </c>
      <c r="L21" t="s">
        <v>411</v>
      </c>
      <c r="M21" t="s">
        <v>412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s="21">
        <v>0</v>
      </c>
      <c r="AE21" s="21">
        <v>0</v>
      </c>
      <c r="AF21" s="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s="21">
        <v>0</v>
      </c>
      <c r="AX21" s="21">
        <v>0</v>
      </c>
      <c r="AY21" s="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 s="21">
        <v>0</v>
      </c>
      <c r="BQ21" s="21">
        <v>0</v>
      </c>
      <c r="BR21" s="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 s="21">
        <v>0</v>
      </c>
      <c r="CJ21" s="21">
        <v>0</v>
      </c>
      <c r="CK21" s="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 s="21">
        <v>1</v>
      </c>
      <c r="DC21" s="21">
        <v>0</v>
      </c>
      <c r="DD21" s="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 s="21">
        <v>0</v>
      </c>
      <c r="DV21" s="21">
        <v>0</v>
      </c>
      <c r="DW21" s="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 s="21">
        <v>0</v>
      </c>
      <c r="EO21" s="21">
        <v>0</v>
      </c>
      <c r="EP21" s="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 s="21">
        <v>0</v>
      </c>
      <c r="FH21" s="21">
        <v>0</v>
      </c>
      <c r="FI21" s="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 s="21">
        <v>0</v>
      </c>
      <c r="GA21" s="21">
        <v>0</v>
      </c>
      <c r="GB21" s="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 s="21">
        <v>0</v>
      </c>
      <c r="GT21" s="21">
        <v>0</v>
      </c>
      <c r="GU21" s="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 s="21">
        <v>0</v>
      </c>
      <c r="HM21" s="21">
        <v>0</v>
      </c>
      <c r="HN21" s="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 s="21">
        <v>0</v>
      </c>
      <c r="IF21" s="21">
        <v>0</v>
      </c>
      <c r="IG21" s="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 s="21">
        <v>0</v>
      </c>
      <c r="IY21" s="21">
        <v>0</v>
      </c>
      <c r="IZ21" s="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 s="21">
        <v>0</v>
      </c>
      <c r="JR21" s="21">
        <v>0</v>
      </c>
      <c r="JS21" s="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 s="21">
        <v>0</v>
      </c>
      <c r="KK21" s="21">
        <v>0</v>
      </c>
      <c r="KL21" s="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 s="21">
        <v>0</v>
      </c>
      <c r="LD21" s="21">
        <v>0</v>
      </c>
      <c r="LE21" s="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 s="21">
        <v>0</v>
      </c>
      <c r="LW21" s="21">
        <v>0</v>
      </c>
      <c r="LX21" s="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 s="21">
        <v>0</v>
      </c>
      <c r="MP21" s="21">
        <v>0</v>
      </c>
      <c r="MQ21" s="21">
        <v>0</v>
      </c>
      <c r="MR21">
        <f>SUMIF($N$7:$MQ$7,"*"&amp;MR$7&amp;"*",$N21:$MQ21)</f>
        <v>1</v>
      </c>
      <c r="MS21">
        <f>SUMIF($N$7:$MQ$7,"*"&amp;MS$7&amp;"*",$N21:$MQ21)</f>
        <v>0</v>
      </c>
      <c r="MT21">
        <f>SUMIF($N$7:$MQ$7,"*"&amp;MT$7&amp;"*",$N21:$MQ21)</f>
        <v>0</v>
      </c>
      <c r="MU21">
        <f>SUMIF($N$7:$MQ$7,"*"&amp;MU$7&amp;"*",$N21:$MQ21)</f>
        <v>0</v>
      </c>
      <c r="MV21">
        <f>SUMIF($N$7:$MQ$7,"*"&amp;MV$7&amp;"*",$N21:$MQ21)</f>
        <v>0</v>
      </c>
      <c r="MW21">
        <f>SUMIF($N$7:$MQ$7,"*"&amp;MW$7&amp;"*",$N21:$MQ21)</f>
        <v>0</v>
      </c>
      <c r="MX21">
        <f>SUMIF($N$7:$MQ$7,"*"&amp;MX$7&amp;"*",$N21:$MQ21)</f>
        <v>0</v>
      </c>
      <c r="MY21">
        <f>SUMIF($N$7:$MQ$7,"*"&amp;MY$7&amp;"*",$N21:$MQ21)</f>
        <v>0</v>
      </c>
      <c r="MZ21">
        <f>SUMIF($N$7:$MQ$7,"*"&amp;MZ$7&amp;"*",$N21:$MQ21)</f>
        <v>0</v>
      </c>
      <c r="NA21">
        <f>SUMIF($N$7:$MQ$7,"*"&amp;NA$7&amp;"*",$N21:$MQ21)</f>
        <v>0</v>
      </c>
      <c r="NB21">
        <f>SUMIF($N$7:$MQ$7,"*"&amp;NB$7&amp;"*",$N21:$MQ21)</f>
        <v>0</v>
      </c>
      <c r="NC21">
        <f>SUMIF($N$7:$MQ$7,"*"&amp;NC$7&amp;"*",$N21:$MQ21)</f>
        <v>0</v>
      </c>
      <c r="ND21">
        <f>SUMIF($N$7:$MQ$7,"*"&amp;ND$7&amp;"*",$N21:$MQ21)</f>
        <v>0</v>
      </c>
      <c r="NE21">
        <f>SUMIF($N$7:$MQ$7,"*"&amp;NE$7&amp;"*",$N21:$MQ21)</f>
        <v>0</v>
      </c>
      <c r="NF21">
        <f>SUMIF($N$7:$MQ$7,"*"&amp;NF$7&amp;"*",$N21:$MQ21)</f>
        <v>0</v>
      </c>
      <c r="NG21">
        <f>SUMIF($N$7:$MQ$7,"*"&amp;NG$7&amp;"*",$N21:$MQ21)</f>
        <v>0</v>
      </c>
      <c r="NH21">
        <f>SUMIF($MR$5:$NG$5,NH$7,$MR21:$NG21)</f>
        <v>1</v>
      </c>
      <c r="NI21">
        <f>SUMIF($MR$5:$NG$5,NI$7,$MR21:$NG21)</f>
        <v>0</v>
      </c>
      <c r="NJ21">
        <f>SUM(NH21:NI21)</f>
        <v>1</v>
      </c>
    </row>
    <row r="22" spans="1:374" x14ac:dyDescent="0.25">
      <c r="A22" t="s">
        <v>405</v>
      </c>
      <c r="B22" t="s">
        <v>421</v>
      </c>
      <c r="C22">
        <v>129387</v>
      </c>
      <c r="D22" s="20" t="s">
        <v>444</v>
      </c>
      <c r="E22" t="s">
        <v>423</v>
      </c>
      <c r="F22" t="s">
        <v>424</v>
      </c>
      <c r="G22" t="s">
        <v>407</v>
      </c>
      <c r="H22" t="s">
        <v>445</v>
      </c>
      <c r="I22" t="s">
        <v>408</v>
      </c>
      <c r="J22" t="s">
        <v>409</v>
      </c>
      <c r="K22" t="s">
        <v>410</v>
      </c>
      <c r="L22" t="s">
        <v>411</v>
      </c>
      <c r="M22" t="s">
        <v>412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s="21">
        <v>0</v>
      </c>
      <c r="AE22" s="21">
        <v>0</v>
      </c>
      <c r="AF22" s="21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s="21">
        <v>0</v>
      </c>
      <c r="AX22" s="21">
        <v>0</v>
      </c>
      <c r="AY22" s="21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 s="21">
        <v>0</v>
      </c>
      <c r="BQ22" s="21">
        <v>0</v>
      </c>
      <c r="BR22" s="21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 s="21">
        <v>1</v>
      </c>
      <c r="CJ22" s="21">
        <v>0</v>
      </c>
      <c r="CK22" s="21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 s="21">
        <v>0</v>
      </c>
      <c r="DC22" s="21">
        <v>0</v>
      </c>
      <c r="DD22" s="21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 s="21">
        <v>0</v>
      </c>
      <c r="DV22" s="21">
        <v>0</v>
      </c>
      <c r="DW22" s="21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 s="21">
        <v>0</v>
      </c>
      <c r="EO22" s="21">
        <v>0</v>
      </c>
      <c r="EP22" s="21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 s="21">
        <v>0</v>
      </c>
      <c r="FH22" s="21">
        <v>0</v>
      </c>
      <c r="FI22" s="21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 s="21">
        <v>0</v>
      </c>
      <c r="GA22" s="21">
        <v>0</v>
      </c>
      <c r="GB22" s="21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 s="21">
        <v>1</v>
      </c>
      <c r="GT22" s="21">
        <v>0</v>
      </c>
      <c r="GU22" s="21">
        <v>1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 s="21">
        <v>0</v>
      </c>
      <c r="HM22" s="21">
        <v>0</v>
      </c>
      <c r="HN22" s="21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 s="21">
        <v>0</v>
      </c>
      <c r="IF22" s="21">
        <v>0</v>
      </c>
      <c r="IG22" s="21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 s="21">
        <v>0</v>
      </c>
      <c r="IY22" s="21">
        <v>0</v>
      </c>
      <c r="IZ22" s="21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 s="21">
        <v>0</v>
      </c>
      <c r="JR22" s="21">
        <v>0</v>
      </c>
      <c r="JS22" s="21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 s="21">
        <v>0</v>
      </c>
      <c r="KK22" s="21">
        <v>0</v>
      </c>
      <c r="KL22" s="21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 s="21">
        <v>0</v>
      </c>
      <c r="LD22" s="21">
        <v>0</v>
      </c>
      <c r="LE22" s="21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 s="21">
        <v>0</v>
      </c>
      <c r="LW22" s="21">
        <v>0</v>
      </c>
      <c r="LX22" s="21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 s="21">
        <v>0</v>
      </c>
      <c r="MP22" s="21">
        <v>0</v>
      </c>
      <c r="MQ22" s="21">
        <v>0</v>
      </c>
      <c r="MR22">
        <f>SUMIF($N$7:$MQ$7,"*"&amp;MR$7&amp;"*",$N22:$MQ22)</f>
        <v>0</v>
      </c>
      <c r="MS22">
        <f>SUMIF($N$7:$MQ$7,"*"&amp;MS$7&amp;"*",$N22:$MQ22)</f>
        <v>0</v>
      </c>
      <c r="MT22">
        <f>SUMIF($N$7:$MQ$7,"*"&amp;MT$7&amp;"*",$N22:$MQ22)</f>
        <v>0</v>
      </c>
      <c r="MU22">
        <f>SUMIF($N$7:$MQ$7,"*"&amp;MU$7&amp;"*",$N22:$MQ22)</f>
        <v>0</v>
      </c>
      <c r="MV22">
        <f>SUMIF($N$7:$MQ$7,"*"&amp;MV$7&amp;"*",$N22:$MQ22)</f>
        <v>0</v>
      </c>
      <c r="MW22">
        <f>SUMIF($N$7:$MQ$7,"*"&amp;MW$7&amp;"*",$N22:$MQ22)</f>
        <v>0</v>
      </c>
      <c r="MX22">
        <f>SUMIF($N$7:$MQ$7,"*"&amp;MX$7&amp;"*",$N22:$MQ22)</f>
        <v>1</v>
      </c>
      <c r="MY22">
        <f>SUMIF($N$7:$MQ$7,"*"&amp;MY$7&amp;"*",$N22:$MQ22)</f>
        <v>0</v>
      </c>
      <c r="MZ22">
        <f>SUMIF($N$7:$MQ$7,"*"&amp;MZ$7&amp;"*",$N22:$MQ22)</f>
        <v>1</v>
      </c>
      <c r="NA22">
        <f>SUMIF($N$7:$MQ$7,"*"&amp;NA$7&amp;"*",$N22:$MQ22)</f>
        <v>0</v>
      </c>
      <c r="NB22">
        <f>SUMIF($N$7:$MQ$7,"*"&amp;NB$7&amp;"*",$N22:$MQ22)</f>
        <v>0</v>
      </c>
      <c r="NC22">
        <f>SUMIF($N$7:$MQ$7,"*"&amp;NC$7&amp;"*",$N22:$MQ22)</f>
        <v>0</v>
      </c>
      <c r="ND22">
        <f>SUMIF($N$7:$MQ$7,"*"&amp;ND$7&amp;"*",$N22:$MQ22)</f>
        <v>0</v>
      </c>
      <c r="NE22">
        <f>SUMIF($N$7:$MQ$7,"*"&amp;NE$7&amp;"*",$N22:$MQ22)</f>
        <v>0</v>
      </c>
      <c r="NF22">
        <f>SUMIF($N$7:$MQ$7,"*"&amp;NF$7&amp;"*",$N22:$MQ22)</f>
        <v>0</v>
      </c>
      <c r="NG22">
        <f>SUMIF($N$7:$MQ$7,"*"&amp;NG$7&amp;"*",$N22:$MQ22)</f>
        <v>0</v>
      </c>
      <c r="NH22">
        <f>SUMIF($MR$5:$NG$5,NH$7,$MR22:$NG22)</f>
        <v>2</v>
      </c>
      <c r="NI22">
        <f>SUMIF($MR$5:$NG$5,NI$7,$MR22:$NG22)</f>
        <v>0</v>
      </c>
      <c r="NJ22">
        <f>SUM(NH22:NI22)</f>
        <v>2</v>
      </c>
    </row>
    <row r="23" spans="1:374" x14ac:dyDescent="0.25">
      <c r="A23" t="s">
        <v>405</v>
      </c>
      <c r="B23" t="s">
        <v>421</v>
      </c>
      <c r="C23">
        <v>129388</v>
      </c>
      <c r="D23" s="20" t="s">
        <v>446</v>
      </c>
      <c r="E23" t="s">
        <v>423</v>
      </c>
      <c r="F23" t="s">
        <v>424</v>
      </c>
      <c r="G23" t="s">
        <v>407</v>
      </c>
      <c r="H23" t="s">
        <v>447</v>
      </c>
      <c r="I23" t="s">
        <v>408</v>
      </c>
      <c r="J23" t="s">
        <v>409</v>
      </c>
      <c r="K23" t="s">
        <v>410</v>
      </c>
      <c r="L23" t="s">
        <v>411</v>
      </c>
      <c r="M23" t="s">
        <v>412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s="21">
        <v>0</v>
      </c>
      <c r="AE23" s="21">
        <v>0</v>
      </c>
      <c r="AF23" s="21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 s="21">
        <v>0</v>
      </c>
      <c r="AX23" s="21">
        <v>0</v>
      </c>
      <c r="AY23" s="21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2</v>
      </c>
      <c r="BG23">
        <v>0</v>
      </c>
      <c r="BH23">
        <v>0</v>
      </c>
      <c r="BI23">
        <v>0</v>
      </c>
      <c r="BJ23">
        <v>3</v>
      </c>
      <c r="BK23">
        <v>0</v>
      </c>
      <c r="BL23">
        <v>0</v>
      </c>
      <c r="BM23">
        <v>0</v>
      </c>
      <c r="BN23">
        <v>0</v>
      </c>
      <c r="BO23">
        <v>0</v>
      </c>
      <c r="BP23" s="21">
        <v>6</v>
      </c>
      <c r="BQ23" s="21">
        <v>0</v>
      </c>
      <c r="BR23" s="21">
        <v>6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 s="21">
        <v>1</v>
      </c>
      <c r="CJ23" s="21">
        <v>0</v>
      </c>
      <c r="CK23" s="21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 s="21">
        <v>0</v>
      </c>
      <c r="DC23" s="21">
        <v>0</v>
      </c>
      <c r="DD23" s="21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 s="21">
        <v>0</v>
      </c>
      <c r="DV23" s="21">
        <v>0</v>
      </c>
      <c r="DW23" s="21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 s="21">
        <v>0</v>
      </c>
      <c r="EO23" s="21">
        <v>0</v>
      </c>
      <c r="EP23" s="21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 s="21">
        <v>0</v>
      </c>
      <c r="FH23" s="21">
        <v>0</v>
      </c>
      <c r="FI23" s="21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 s="21">
        <v>0</v>
      </c>
      <c r="GA23" s="21">
        <v>0</v>
      </c>
      <c r="GB23" s="21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 s="21">
        <v>0</v>
      </c>
      <c r="GT23" s="21">
        <v>0</v>
      </c>
      <c r="GU23" s="21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 s="21">
        <v>0</v>
      </c>
      <c r="HM23" s="21">
        <v>0</v>
      </c>
      <c r="HN23" s="21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 s="21">
        <v>0</v>
      </c>
      <c r="IF23" s="21">
        <v>0</v>
      </c>
      <c r="IG23" s="21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 s="21">
        <v>0</v>
      </c>
      <c r="IY23" s="21">
        <v>0</v>
      </c>
      <c r="IZ23" s="21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 s="21">
        <v>0</v>
      </c>
      <c r="JR23" s="21">
        <v>0</v>
      </c>
      <c r="JS23" s="21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 s="21">
        <v>0</v>
      </c>
      <c r="KK23" s="21">
        <v>0</v>
      </c>
      <c r="KL23" s="21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 s="21">
        <v>0</v>
      </c>
      <c r="LD23" s="21">
        <v>0</v>
      </c>
      <c r="LE23" s="21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 s="21">
        <v>0</v>
      </c>
      <c r="LW23" s="21">
        <v>0</v>
      </c>
      <c r="LX23" s="21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 s="21">
        <v>0</v>
      </c>
      <c r="MP23" s="21">
        <v>0</v>
      </c>
      <c r="MQ23" s="21">
        <v>0</v>
      </c>
      <c r="MR23">
        <f>SUMIF($N$7:$MQ$7,"*"&amp;MR$7&amp;"*",$N23:$MQ23)</f>
        <v>0</v>
      </c>
      <c r="MS23">
        <f>SUMIF($N$7:$MQ$7,"*"&amp;MS$7&amp;"*",$N23:$MQ23)</f>
        <v>0</v>
      </c>
      <c r="MT23">
        <f>SUMIF($N$7:$MQ$7,"*"&amp;MT$7&amp;"*",$N23:$MQ23)</f>
        <v>1</v>
      </c>
      <c r="MU23">
        <f>SUMIF($N$7:$MQ$7,"*"&amp;MU$7&amp;"*",$N23:$MQ23)</f>
        <v>0</v>
      </c>
      <c r="MV23">
        <f>SUMIF($N$7:$MQ$7,"*"&amp;MV$7&amp;"*",$N23:$MQ23)</f>
        <v>0</v>
      </c>
      <c r="MW23">
        <f>SUMIF($N$7:$MQ$7,"*"&amp;MW$7&amp;"*",$N23:$MQ23)</f>
        <v>0</v>
      </c>
      <c r="MX23">
        <f>SUMIF($N$7:$MQ$7,"*"&amp;MX$7&amp;"*",$N23:$MQ23)</f>
        <v>2</v>
      </c>
      <c r="MY23">
        <f>SUMIF($N$7:$MQ$7,"*"&amp;MY$7&amp;"*",$N23:$MQ23)</f>
        <v>0</v>
      </c>
      <c r="MZ23">
        <f>SUMIF($N$7:$MQ$7,"*"&amp;MZ$7&amp;"*",$N23:$MQ23)</f>
        <v>1</v>
      </c>
      <c r="NA23">
        <f>SUMIF($N$7:$MQ$7,"*"&amp;NA$7&amp;"*",$N23:$MQ23)</f>
        <v>0</v>
      </c>
      <c r="NB23">
        <f>SUMIF($N$7:$MQ$7,"*"&amp;NB$7&amp;"*",$N23:$MQ23)</f>
        <v>3</v>
      </c>
      <c r="NC23">
        <f>SUMIF($N$7:$MQ$7,"*"&amp;NC$7&amp;"*",$N23:$MQ23)</f>
        <v>0</v>
      </c>
      <c r="ND23">
        <f>SUMIF($N$7:$MQ$7,"*"&amp;ND$7&amp;"*",$N23:$MQ23)</f>
        <v>0</v>
      </c>
      <c r="NE23">
        <f>SUMIF($N$7:$MQ$7,"*"&amp;NE$7&amp;"*",$N23:$MQ23)</f>
        <v>0</v>
      </c>
      <c r="NF23">
        <f>SUMIF($N$7:$MQ$7,"*"&amp;NF$7&amp;"*",$N23:$MQ23)</f>
        <v>0</v>
      </c>
      <c r="NG23">
        <f>SUMIF($N$7:$MQ$7,"*"&amp;NG$7&amp;"*",$N23:$MQ23)</f>
        <v>0</v>
      </c>
      <c r="NH23">
        <f>SUMIF($MR$5:$NG$5,NH$7,$MR23:$NG23)</f>
        <v>7</v>
      </c>
      <c r="NI23">
        <f>SUMIF($MR$5:$NG$5,NI$7,$MR23:$NG23)</f>
        <v>0</v>
      </c>
      <c r="NJ23">
        <f>SUM(NH23:NI23)</f>
        <v>7</v>
      </c>
    </row>
    <row r="24" spans="1:374" x14ac:dyDescent="0.25">
      <c r="A24" t="s">
        <v>405</v>
      </c>
      <c r="B24" t="s">
        <v>421</v>
      </c>
      <c r="C24">
        <v>129389</v>
      </c>
      <c r="D24" s="20" t="s">
        <v>448</v>
      </c>
      <c r="E24" t="s">
        <v>423</v>
      </c>
      <c r="F24" t="s">
        <v>424</v>
      </c>
      <c r="G24" t="s">
        <v>407</v>
      </c>
      <c r="H24" t="s">
        <v>449</v>
      </c>
      <c r="I24" t="s">
        <v>408</v>
      </c>
      <c r="J24" t="s">
        <v>409</v>
      </c>
      <c r="K24" t="s">
        <v>410</v>
      </c>
      <c r="L24" t="s">
        <v>411</v>
      </c>
      <c r="M24" t="s">
        <v>412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s="21">
        <v>0</v>
      </c>
      <c r="AE24" s="21">
        <v>0</v>
      </c>
      <c r="AF24" s="21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s="21">
        <v>0</v>
      </c>
      <c r="AX24" s="21">
        <v>0</v>
      </c>
      <c r="AY24" s="21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 s="21">
        <v>0</v>
      </c>
      <c r="BQ24" s="21">
        <v>1</v>
      </c>
      <c r="BR24" s="21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 s="21">
        <v>0</v>
      </c>
      <c r="CJ24" s="21">
        <v>0</v>
      </c>
      <c r="CK24" s="21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 s="21">
        <v>0</v>
      </c>
      <c r="DC24" s="21">
        <v>0</v>
      </c>
      <c r="DD24" s="21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 s="21">
        <v>0</v>
      </c>
      <c r="DV24" s="21">
        <v>0</v>
      </c>
      <c r="DW24" s="21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 s="21">
        <v>1</v>
      </c>
      <c r="EO24" s="21">
        <v>0</v>
      </c>
      <c r="EP24" s="21">
        <v>1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 s="21">
        <v>0</v>
      </c>
      <c r="FH24" s="21">
        <v>0</v>
      </c>
      <c r="FI24" s="21">
        <v>0</v>
      </c>
      <c r="FJ24">
        <v>2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 s="21">
        <v>2</v>
      </c>
      <c r="GA24" s="21">
        <v>0</v>
      </c>
      <c r="GB24" s="21">
        <v>2</v>
      </c>
      <c r="GC24">
        <v>2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 s="21">
        <v>2</v>
      </c>
      <c r="GT24" s="21">
        <v>0</v>
      </c>
      <c r="GU24" s="21">
        <v>2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 s="21">
        <v>0</v>
      </c>
      <c r="HM24" s="21">
        <v>0</v>
      </c>
      <c r="HN24" s="21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 s="21">
        <v>0</v>
      </c>
      <c r="IF24" s="21">
        <v>0</v>
      </c>
      <c r="IG24" s="21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 s="21">
        <v>0</v>
      </c>
      <c r="IY24" s="21">
        <v>0</v>
      </c>
      <c r="IZ24" s="21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 s="21">
        <v>0</v>
      </c>
      <c r="JR24" s="21">
        <v>0</v>
      </c>
      <c r="JS24" s="21">
        <v>0</v>
      </c>
      <c r="JT24">
        <v>0</v>
      </c>
      <c r="JU24">
        <v>0</v>
      </c>
      <c r="JV24">
        <v>0</v>
      </c>
      <c r="JW24">
        <v>2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 s="21">
        <v>0</v>
      </c>
      <c r="KK24" s="21">
        <v>2</v>
      </c>
      <c r="KL24" s="21">
        <v>2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 s="21">
        <v>0</v>
      </c>
      <c r="LD24" s="21">
        <v>0</v>
      </c>
      <c r="LE24" s="21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 s="21">
        <v>0</v>
      </c>
      <c r="LW24" s="21">
        <v>0</v>
      </c>
      <c r="LX24" s="21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1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 s="21">
        <v>1</v>
      </c>
      <c r="MP24" s="21">
        <v>0</v>
      </c>
      <c r="MQ24" s="21">
        <v>1</v>
      </c>
      <c r="MR24">
        <f>SUMIF($N$7:$MQ$7,"*"&amp;MR$7&amp;"*",$N24:$MQ24)</f>
        <v>4</v>
      </c>
      <c r="MS24">
        <f>SUMIF($N$7:$MQ$7,"*"&amp;MS$7&amp;"*",$N24:$MQ24)</f>
        <v>0</v>
      </c>
      <c r="MT24">
        <f>SUMIF($N$7:$MQ$7,"*"&amp;MT$7&amp;"*",$N24:$MQ24)</f>
        <v>0</v>
      </c>
      <c r="MU24">
        <f>SUMIF($N$7:$MQ$7,"*"&amp;MU$7&amp;"*",$N24:$MQ24)</f>
        <v>3</v>
      </c>
      <c r="MV24">
        <f>SUMIF($N$7:$MQ$7,"*"&amp;MV$7&amp;"*",$N24:$MQ24)</f>
        <v>0</v>
      </c>
      <c r="MW24">
        <f>SUMIF($N$7:$MQ$7,"*"&amp;MW$7&amp;"*",$N24:$MQ24)</f>
        <v>0</v>
      </c>
      <c r="MX24">
        <f>SUMIF($N$7:$MQ$7,"*"&amp;MX$7&amp;"*",$N24:$MQ24)</f>
        <v>1</v>
      </c>
      <c r="MY24">
        <f>SUMIF($N$7:$MQ$7,"*"&amp;MY$7&amp;"*",$N24:$MQ24)</f>
        <v>0</v>
      </c>
      <c r="MZ24">
        <f>SUMIF($N$7:$MQ$7,"*"&amp;MZ$7&amp;"*",$N24:$MQ24)</f>
        <v>1</v>
      </c>
      <c r="NA24">
        <f>SUMIF($N$7:$MQ$7,"*"&amp;NA$7&amp;"*",$N24:$MQ24)</f>
        <v>0</v>
      </c>
      <c r="NB24">
        <f>SUMIF($N$7:$MQ$7,"*"&amp;NB$7&amp;"*",$N24:$MQ24)</f>
        <v>0</v>
      </c>
      <c r="NC24">
        <f>SUMIF($N$7:$MQ$7,"*"&amp;NC$7&amp;"*",$N24:$MQ24)</f>
        <v>0</v>
      </c>
      <c r="ND24">
        <f>SUMIF($N$7:$MQ$7,"*"&amp;ND$7&amp;"*",$N24:$MQ24)</f>
        <v>0</v>
      </c>
      <c r="NE24">
        <f>SUMIF($N$7:$MQ$7,"*"&amp;NE$7&amp;"*",$N24:$MQ24)</f>
        <v>0</v>
      </c>
      <c r="NF24">
        <f>SUMIF($N$7:$MQ$7,"*"&amp;NF$7&amp;"*",$N24:$MQ24)</f>
        <v>0</v>
      </c>
      <c r="NG24">
        <f>SUMIF($N$7:$MQ$7,"*"&amp;NG$7&amp;"*",$N24:$MQ24)</f>
        <v>0</v>
      </c>
      <c r="NH24">
        <f>SUMIF($MR$5:$NG$5,NH$7,$MR24:$NG24)</f>
        <v>6</v>
      </c>
      <c r="NI24">
        <f>SUMIF($MR$5:$NG$5,NI$7,$MR24:$NG24)</f>
        <v>3</v>
      </c>
      <c r="NJ24">
        <f>SUM(NH24:NI24)</f>
        <v>9</v>
      </c>
    </row>
    <row r="25" spans="1:374" x14ac:dyDescent="0.25">
      <c r="A25" t="s">
        <v>405</v>
      </c>
      <c r="B25" t="s">
        <v>421</v>
      </c>
      <c r="C25">
        <v>129390</v>
      </c>
      <c r="D25" s="20" t="s">
        <v>450</v>
      </c>
      <c r="E25" t="s">
        <v>423</v>
      </c>
      <c r="F25" t="s">
        <v>424</v>
      </c>
      <c r="G25" t="s">
        <v>407</v>
      </c>
      <c r="H25" t="s">
        <v>445</v>
      </c>
      <c r="I25" t="s">
        <v>408</v>
      </c>
      <c r="J25" t="s">
        <v>409</v>
      </c>
      <c r="K25" t="s">
        <v>410</v>
      </c>
      <c r="L25" t="s">
        <v>411</v>
      </c>
      <c r="M25" t="s">
        <v>412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s="21">
        <v>0</v>
      </c>
      <c r="AE25" s="21">
        <v>0</v>
      </c>
      <c r="AF25" s="21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 s="21">
        <v>0</v>
      </c>
      <c r="AX25" s="21">
        <v>0</v>
      </c>
      <c r="AY25" s="21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 s="21">
        <v>0</v>
      </c>
      <c r="BQ25" s="21">
        <v>0</v>
      </c>
      <c r="BR25" s="21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1</v>
      </c>
      <c r="CD25">
        <v>0</v>
      </c>
      <c r="CE25">
        <v>1</v>
      </c>
      <c r="CF25">
        <v>0</v>
      </c>
      <c r="CG25">
        <v>0</v>
      </c>
      <c r="CH25">
        <v>0</v>
      </c>
      <c r="CI25" s="21">
        <v>3</v>
      </c>
      <c r="CJ25" s="21">
        <v>0</v>
      </c>
      <c r="CK25" s="21">
        <v>3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 s="21">
        <v>0</v>
      </c>
      <c r="DC25" s="21">
        <v>0</v>
      </c>
      <c r="DD25" s="21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 s="21">
        <v>0</v>
      </c>
      <c r="DV25" s="21">
        <v>0</v>
      </c>
      <c r="DW25" s="21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 s="21">
        <v>0</v>
      </c>
      <c r="EO25" s="21">
        <v>0</v>
      </c>
      <c r="EP25" s="21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 s="21">
        <v>0</v>
      </c>
      <c r="FH25" s="21">
        <v>0</v>
      </c>
      <c r="FI25" s="21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 s="21">
        <v>0</v>
      </c>
      <c r="GA25" s="21">
        <v>0</v>
      </c>
      <c r="GB25" s="21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 s="21">
        <v>0</v>
      </c>
      <c r="GT25" s="21">
        <v>0</v>
      </c>
      <c r="GU25" s="21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 s="21">
        <v>0</v>
      </c>
      <c r="HM25" s="21">
        <v>0</v>
      </c>
      <c r="HN25" s="21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 s="21">
        <v>0</v>
      </c>
      <c r="IF25" s="21">
        <v>0</v>
      </c>
      <c r="IG25" s="21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 s="21">
        <v>0</v>
      </c>
      <c r="IY25" s="21">
        <v>0</v>
      </c>
      <c r="IZ25" s="21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 s="21">
        <v>0</v>
      </c>
      <c r="JR25" s="21">
        <v>0</v>
      </c>
      <c r="JS25" s="21">
        <v>0</v>
      </c>
      <c r="JT25">
        <v>1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 s="21">
        <v>1</v>
      </c>
      <c r="KK25" s="21">
        <v>0</v>
      </c>
      <c r="KL25" s="21">
        <v>1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 s="21">
        <v>0</v>
      </c>
      <c r="LD25" s="21">
        <v>0</v>
      </c>
      <c r="LE25" s="21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 s="21">
        <v>0</v>
      </c>
      <c r="LW25" s="21">
        <v>0</v>
      </c>
      <c r="LX25" s="21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 s="21">
        <v>0</v>
      </c>
      <c r="MP25" s="21">
        <v>0</v>
      </c>
      <c r="MQ25" s="21">
        <v>0</v>
      </c>
      <c r="MR25">
        <f>SUMIF($N$7:$MQ$7,"*"&amp;MR$7&amp;"*",$N25:$MQ25)</f>
        <v>1</v>
      </c>
      <c r="MS25">
        <f>SUMIF($N$7:$MQ$7,"*"&amp;MS$7&amp;"*",$N25:$MQ25)</f>
        <v>0</v>
      </c>
      <c r="MT25">
        <f>SUMIF($N$7:$MQ$7,"*"&amp;MT$7&amp;"*",$N25:$MQ25)</f>
        <v>0</v>
      </c>
      <c r="MU25">
        <f>SUMIF($N$7:$MQ$7,"*"&amp;MU$7&amp;"*",$N25:$MQ25)</f>
        <v>0</v>
      </c>
      <c r="MV25">
        <f>SUMIF($N$7:$MQ$7,"*"&amp;MV$7&amp;"*",$N25:$MQ25)</f>
        <v>0</v>
      </c>
      <c r="MW25">
        <f>SUMIF($N$7:$MQ$7,"*"&amp;MW$7&amp;"*",$N25:$MQ25)</f>
        <v>0</v>
      </c>
      <c r="MX25">
        <f>SUMIF($N$7:$MQ$7,"*"&amp;MX$7&amp;"*",$N25:$MQ25)</f>
        <v>0</v>
      </c>
      <c r="MY25">
        <f>SUMIF($N$7:$MQ$7,"*"&amp;MY$7&amp;"*",$N25:$MQ25)</f>
        <v>0</v>
      </c>
      <c r="MZ25">
        <f>SUMIF($N$7:$MQ$7,"*"&amp;MZ$7&amp;"*",$N25:$MQ25)</f>
        <v>1</v>
      </c>
      <c r="NA25">
        <f>SUMIF($N$7:$MQ$7,"*"&amp;NA$7&amp;"*",$N25:$MQ25)</f>
        <v>0</v>
      </c>
      <c r="NB25">
        <f>SUMIF($N$7:$MQ$7,"*"&amp;NB$7&amp;"*",$N25:$MQ25)</f>
        <v>1</v>
      </c>
      <c r="NC25">
        <f>SUMIF($N$7:$MQ$7,"*"&amp;NC$7&amp;"*",$N25:$MQ25)</f>
        <v>0</v>
      </c>
      <c r="ND25">
        <f>SUMIF($N$7:$MQ$7,"*"&amp;ND$7&amp;"*",$N25:$MQ25)</f>
        <v>1</v>
      </c>
      <c r="NE25">
        <f>SUMIF($N$7:$MQ$7,"*"&amp;NE$7&amp;"*",$N25:$MQ25)</f>
        <v>0</v>
      </c>
      <c r="NF25">
        <f>SUMIF($N$7:$MQ$7,"*"&amp;NF$7&amp;"*",$N25:$MQ25)</f>
        <v>0</v>
      </c>
      <c r="NG25">
        <f>SUMIF($N$7:$MQ$7,"*"&amp;NG$7&amp;"*",$N25:$MQ25)</f>
        <v>0</v>
      </c>
      <c r="NH25">
        <f>SUMIF($MR$5:$NG$5,NH$7,$MR25:$NG25)</f>
        <v>4</v>
      </c>
      <c r="NI25">
        <f>SUMIF($MR$5:$NG$5,NI$7,$MR25:$NG25)</f>
        <v>0</v>
      </c>
      <c r="NJ25">
        <f>SUM(NH25:NI25)</f>
        <v>4</v>
      </c>
    </row>
    <row r="26" spans="1:374" x14ac:dyDescent="0.25">
      <c r="A26" t="s">
        <v>405</v>
      </c>
      <c r="B26" t="s">
        <v>421</v>
      </c>
      <c r="C26">
        <v>129391</v>
      </c>
      <c r="D26" s="20" t="s">
        <v>451</v>
      </c>
      <c r="E26" t="s">
        <v>423</v>
      </c>
      <c r="F26" t="s">
        <v>424</v>
      </c>
      <c r="G26" t="s">
        <v>407</v>
      </c>
      <c r="H26" t="s">
        <v>452</v>
      </c>
      <c r="I26" t="s">
        <v>408</v>
      </c>
      <c r="J26" t="s">
        <v>409</v>
      </c>
      <c r="K26" t="s">
        <v>410</v>
      </c>
      <c r="L26" t="s">
        <v>411</v>
      </c>
      <c r="M26" t="s">
        <v>412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s="21">
        <v>0</v>
      </c>
      <c r="AE26" s="21">
        <v>0</v>
      </c>
      <c r="AF26" s="21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 s="21">
        <v>0</v>
      </c>
      <c r="AX26" s="21">
        <v>0</v>
      </c>
      <c r="AY26" s="21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 s="21">
        <v>0</v>
      </c>
      <c r="BQ26" s="21">
        <v>0</v>
      </c>
      <c r="BR26" s="21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 s="21">
        <v>1</v>
      </c>
      <c r="CJ26" s="21">
        <v>0</v>
      </c>
      <c r="CK26" s="21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 s="21">
        <v>0</v>
      </c>
      <c r="DC26" s="21">
        <v>0</v>
      </c>
      <c r="DD26" s="21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 s="21">
        <v>0</v>
      </c>
      <c r="DV26" s="21">
        <v>0</v>
      </c>
      <c r="DW26" s="21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 s="21">
        <v>0</v>
      </c>
      <c r="EO26" s="21">
        <v>0</v>
      </c>
      <c r="EP26" s="21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 s="21">
        <v>0</v>
      </c>
      <c r="FH26" s="21">
        <v>0</v>
      </c>
      <c r="FI26" s="21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 s="21">
        <v>0</v>
      </c>
      <c r="GA26" s="21">
        <v>0</v>
      </c>
      <c r="GB26" s="21">
        <v>0</v>
      </c>
      <c r="GC26">
        <v>1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1</v>
      </c>
      <c r="GN26">
        <v>0</v>
      </c>
      <c r="GO26">
        <v>0</v>
      </c>
      <c r="GP26">
        <v>0</v>
      </c>
      <c r="GQ26">
        <v>0</v>
      </c>
      <c r="GR26">
        <v>0</v>
      </c>
      <c r="GS26" s="21">
        <v>2</v>
      </c>
      <c r="GT26" s="21">
        <v>0</v>
      </c>
      <c r="GU26" s="21">
        <v>2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 s="21">
        <v>0</v>
      </c>
      <c r="HM26" s="21">
        <v>0</v>
      </c>
      <c r="HN26" s="21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 s="21">
        <v>0</v>
      </c>
      <c r="IF26" s="21">
        <v>0</v>
      </c>
      <c r="IG26" s="21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 s="21">
        <v>0</v>
      </c>
      <c r="IY26" s="21">
        <v>0</v>
      </c>
      <c r="IZ26" s="21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 s="21">
        <v>0</v>
      </c>
      <c r="JR26" s="21">
        <v>0</v>
      </c>
      <c r="JS26" s="21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1</v>
      </c>
      <c r="KH26">
        <v>0</v>
      </c>
      <c r="KI26">
        <v>0</v>
      </c>
      <c r="KJ26" s="21">
        <v>0</v>
      </c>
      <c r="KK26" s="21">
        <v>1</v>
      </c>
      <c r="KL26" s="21">
        <v>1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 s="21">
        <v>0</v>
      </c>
      <c r="LD26" s="21">
        <v>0</v>
      </c>
      <c r="LE26" s="21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 s="21">
        <v>0</v>
      </c>
      <c r="LW26" s="21">
        <v>0</v>
      </c>
      <c r="LX26" s="21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1</v>
      </c>
      <c r="MJ26">
        <v>0</v>
      </c>
      <c r="MK26">
        <v>0</v>
      </c>
      <c r="ML26">
        <v>0</v>
      </c>
      <c r="MM26">
        <v>0</v>
      </c>
      <c r="MN26">
        <v>0</v>
      </c>
      <c r="MO26" s="21">
        <v>1</v>
      </c>
      <c r="MP26" s="21">
        <v>0</v>
      </c>
      <c r="MQ26" s="21">
        <v>1</v>
      </c>
      <c r="MR26">
        <f>SUMIF($N$7:$MQ$7,"*"&amp;MR$7&amp;"*",$N26:$MQ26)</f>
        <v>1</v>
      </c>
      <c r="MS26">
        <f>SUMIF($N$7:$MQ$7,"*"&amp;MS$7&amp;"*",$N26:$MQ26)</f>
        <v>0</v>
      </c>
      <c r="MT26">
        <f>SUMIF($N$7:$MQ$7,"*"&amp;MT$7&amp;"*",$N26:$MQ26)</f>
        <v>0</v>
      </c>
      <c r="MU26">
        <f>SUMIF($N$7:$MQ$7,"*"&amp;MU$7&amp;"*",$N26:$MQ26)</f>
        <v>0</v>
      </c>
      <c r="MV26">
        <f>SUMIF($N$7:$MQ$7,"*"&amp;MV$7&amp;"*",$N26:$MQ26)</f>
        <v>0</v>
      </c>
      <c r="MW26">
        <f>SUMIF($N$7:$MQ$7,"*"&amp;MW$7&amp;"*",$N26:$MQ26)</f>
        <v>0</v>
      </c>
      <c r="MX26">
        <f>SUMIF($N$7:$MQ$7,"*"&amp;MX$7&amp;"*",$N26:$MQ26)</f>
        <v>0</v>
      </c>
      <c r="MY26">
        <f>SUMIF($N$7:$MQ$7,"*"&amp;MY$7&amp;"*",$N26:$MQ26)</f>
        <v>0</v>
      </c>
      <c r="MZ26">
        <f>SUMIF($N$7:$MQ$7,"*"&amp;MZ$7&amp;"*",$N26:$MQ26)</f>
        <v>1</v>
      </c>
      <c r="NA26">
        <f>SUMIF($N$7:$MQ$7,"*"&amp;NA$7&amp;"*",$N26:$MQ26)</f>
        <v>0</v>
      </c>
      <c r="NB26">
        <f>SUMIF($N$7:$MQ$7,"*"&amp;NB$7&amp;"*",$N26:$MQ26)</f>
        <v>2</v>
      </c>
      <c r="NC26">
        <f>SUMIF($N$7:$MQ$7,"*"&amp;NC$7&amp;"*",$N26:$MQ26)</f>
        <v>0</v>
      </c>
      <c r="ND26">
        <f>SUMIF($N$7:$MQ$7,"*"&amp;ND$7&amp;"*",$N26:$MQ26)</f>
        <v>0</v>
      </c>
      <c r="NE26">
        <f>SUMIF($N$7:$MQ$7,"*"&amp;NE$7&amp;"*",$N26:$MQ26)</f>
        <v>1</v>
      </c>
      <c r="NF26">
        <f>SUMIF($N$7:$MQ$7,"*"&amp;NF$7&amp;"*",$N26:$MQ26)</f>
        <v>0</v>
      </c>
      <c r="NG26">
        <f>SUMIF($N$7:$MQ$7,"*"&amp;NG$7&amp;"*",$N26:$MQ26)</f>
        <v>0</v>
      </c>
      <c r="NH26">
        <f>SUMIF($MR$5:$NG$5,NH$7,$MR26:$NG26)</f>
        <v>4</v>
      </c>
      <c r="NI26">
        <f>SUMIF($MR$5:$NG$5,NI$7,$MR26:$NG26)</f>
        <v>1</v>
      </c>
      <c r="NJ26">
        <f>SUM(NH26:NI26)</f>
        <v>5</v>
      </c>
    </row>
    <row r="27" spans="1:374" ht="30" x14ac:dyDescent="0.25">
      <c r="A27" t="s">
        <v>405</v>
      </c>
      <c r="B27" t="s">
        <v>421</v>
      </c>
      <c r="C27">
        <v>129392</v>
      </c>
      <c r="D27" s="20" t="s">
        <v>453</v>
      </c>
      <c r="E27" t="s">
        <v>423</v>
      </c>
      <c r="F27" t="s">
        <v>424</v>
      </c>
      <c r="G27" t="s">
        <v>407</v>
      </c>
      <c r="H27" t="s">
        <v>454</v>
      </c>
      <c r="I27" t="s">
        <v>408</v>
      </c>
      <c r="J27" t="s">
        <v>409</v>
      </c>
      <c r="K27" t="s">
        <v>410</v>
      </c>
      <c r="L27" t="s">
        <v>411</v>
      </c>
      <c r="M27" t="s">
        <v>412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s="21">
        <v>0</v>
      </c>
      <c r="AE27" s="21">
        <v>0</v>
      </c>
      <c r="AF27" s="21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s="21">
        <v>0</v>
      </c>
      <c r="AX27" s="21">
        <v>0</v>
      </c>
      <c r="AY27" s="21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 s="21">
        <v>0</v>
      </c>
      <c r="BQ27" s="21">
        <v>0</v>
      </c>
      <c r="BR27" s="21">
        <v>0</v>
      </c>
      <c r="BS27">
        <v>1</v>
      </c>
      <c r="BT27">
        <v>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 s="21">
        <v>1</v>
      </c>
      <c r="CJ27" s="21">
        <v>2</v>
      </c>
      <c r="CK27" s="21">
        <v>3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 s="21">
        <v>0</v>
      </c>
      <c r="DC27" s="21">
        <v>0</v>
      </c>
      <c r="DD27" s="21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 s="21">
        <v>0</v>
      </c>
      <c r="DV27" s="21">
        <v>0</v>
      </c>
      <c r="DW27" s="21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 s="21">
        <v>0</v>
      </c>
      <c r="EO27" s="21">
        <v>0</v>
      </c>
      <c r="EP27" s="21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 s="21">
        <v>0</v>
      </c>
      <c r="FH27" s="21">
        <v>0</v>
      </c>
      <c r="FI27" s="21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 s="21">
        <v>0</v>
      </c>
      <c r="GA27" s="21">
        <v>0</v>
      </c>
      <c r="GB27" s="21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 s="21">
        <v>0</v>
      </c>
      <c r="GT27" s="21">
        <v>0</v>
      </c>
      <c r="GU27" s="21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 s="21">
        <v>0</v>
      </c>
      <c r="HM27" s="21">
        <v>0</v>
      </c>
      <c r="HN27" s="21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 s="21">
        <v>0</v>
      </c>
      <c r="IF27" s="21">
        <v>0</v>
      </c>
      <c r="IG27" s="21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 s="21">
        <v>0</v>
      </c>
      <c r="IY27" s="21">
        <v>0</v>
      </c>
      <c r="IZ27" s="21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 s="21">
        <v>0</v>
      </c>
      <c r="JR27" s="21">
        <v>0</v>
      </c>
      <c r="JS27" s="21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 s="21">
        <v>0</v>
      </c>
      <c r="KK27" s="21">
        <v>0</v>
      </c>
      <c r="KL27" s="21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 s="21">
        <v>0</v>
      </c>
      <c r="LD27" s="21">
        <v>0</v>
      </c>
      <c r="LE27" s="21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 s="21">
        <v>0</v>
      </c>
      <c r="LW27" s="21">
        <v>0</v>
      </c>
      <c r="LX27" s="21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 s="21">
        <v>0</v>
      </c>
      <c r="MP27" s="21">
        <v>0</v>
      </c>
      <c r="MQ27" s="21">
        <v>0</v>
      </c>
      <c r="MR27">
        <f>SUMIF($N$7:$MQ$7,"*"&amp;MR$7&amp;"*",$N27:$MQ27)</f>
        <v>1</v>
      </c>
      <c r="MS27">
        <f>SUMIF($N$7:$MQ$7,"*"&amp;MS$7&amp;"*",$N27:$MQ27)</f>
        <v>2</v>
      </c>
      <c r="MT27">
        <f>SUMIF($N$7:$MQ$7,"*"&amp;MT$7&amp;"*",$N27:$MQ27)</f>
        <v>0</v>
      </c>
      <c r="MU27">
        <f>SUMIF($N$7:$MQ$7,"*"&amp;MU$7&amp;"*",$N27:$MQ27)</f>
        <v>0</v>
      </c>
      <c r="MV27">
        <f>SUMIF($N$7:$MQ$7,"*"&amp;MV$7&amp;"*",$N27:$MQ27)</f>
        <v>0</v>
      </c>
      <c r="MW27">
        <f>SUMIF($N$7:$MQ$7,"*"&amp;MW$7&amp;"*",$N27:$MQ27)</f>
        <v>0</v>
      </c>
      <c r="MX27">
        <f>SUMIF($N$7:$MQ$7,"*"&amp;MX$7&amp;"*",$N27:$MQ27)</f>
        <v>0</v>
      </c>
      <c r="MY27">
        <f>SUMIF($N$7:$MQ$7,"*"&amp;MY$7&amp;"*",$N27:$MQ27)</f>
        <v>0</v>
      </c>
      <c r="MZ27">
        <f>SUMIF($N$7:$MQ$7,"*"&amp;MZ$7&amp;"*",$N27:$MQ27)</f>
        <v>0</v>
      </c>
      <c r="NA27">
        <f>SUMIF($N$7:$MQ$7,"*"&amp;NA$7&amp;"*",$N27:$MQ27)</f>
        <v>0</v>
      </c>
      <c r="NB27">
        <f>SUMIF($N$7:$MQ$7,"*"&amp;NB$7&amp;"*",$N27:$MQ27)</f>
        <v>0</v>
      </c>
      <c r="NC27">
        <f>SUMIF($N$7:$MQ$7,"*"&amp;NC$7&amp;"*",$N27:$MQ27)</f>
        <v>0</v>
      </c>
      <c r="ND27">
        <f>SUMIF($N$7:$MQ$7,"*"&amp;ND$7&amp;"*",$N27:$MQ27)</f>
        <v>0</v>
      </c>
      <c r="NE27">
        <f>SUMIF($N$7:$MQ$7,"*"&amp;NE$7&amp;"*",$N27:$MQ27)</f>
        <v>0</v>
      </c>
      <c r="NF27">
        <f>SUMIF($N$7:$MQ$7,"*"&amp;NF$7&amp;"*",$N27:$MQ27)</f>
        <v>0</v>
      </c>
      <c r="NG27">
        <f>SUMIF($N$7:$MQ$7,"*"&amp;NG$7&amp;"*",$N27:$MQ27)</f>
        <v>0</v>
      </c>
      <c r="NH27">
        <f>SUMIF($MR$5:$NG$5,NH$7,$MR27:$NG27)</f>
        <v>1</v>
      </c>
      <c r="NI27">
        <f>SUMIF($MR$5:$NG$5,NI$7,$MR27:$NG27)</f>
        <v>2</v>
      </c>
      <c r="NJ27">
        <f>SUM(NH27:NI27)</f>
        <v>3</v>
      </c>
    </row>
    <row r="28" spans="1:374" x14ac:dyDescent="0.25">
      <c r="A28" t="s">
        <v>405</v>
      </c>
      <c r="B28" t="s">
        <v>421</v>
      </c>
      <c r="C28">
        <v>129393</v>
      </c>
      <c r="D28" s="20" t="s">
        <v>455</v>
      </c>
      <c r="E28" t="s">
        <v>423</v>
      </c>
      <c r="F28" t="s">
        <v>424</v>
      </c>
      <c r="G28" t="s">
        <v>407</v>
      </c>
      <c r="H28" t="s">
        <v>456</v>
      </c>
      <c r="I28" t="s">
        <v>408</v>
      </c>
      <c r="J28" t="s">
        <v>409</v>
      </c>
      <c r="K28" t="s">
        <v>410</v>
      </c>
      <c r="L28" t="s">
        <v>411</v>
      </c>
      <c r="M28" t="s">
        <v>412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s="21">
        <v>0</v>
      </c>
      <c r="AE28" s="21">
        <v>0</v>
      </c>
      <c r="AF28" s="21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 s="21">
        <v>0</v>
      </c>
      <c r="AX28" s="21">
        <v>0</v>
      </c>
      <c r="AY28" s="21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 s="21">
        <v>0</v>
      </c>
      <c r="BQ28" s="21">
        <v>0</v>
      </c>
      <c r="BR28" s="21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 s="21">
        <v>1</v>
      </c>
      <c r="CJ28" s="21">
        <v>1</v>
      </c>
      <c r="CK28" s="21">
        <v>2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 s="21">
        <v>0</v>
      </c>
      <c r="DC28" s="21">
        <v>0</v>
      </c>
      <c r="DD28" s="21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 s="21">
        <v>0</v>
      </c>
      <c r="DV28" s="21">
        <v>0</v>
      </c>
      <c r="DW28" s="21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 s="21">
        <v>0</v>
      </c>
      <c r="EO28" s="21">
        <v>0</v>
      </c>
      <c r="EP28" s="21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 s="21">
        <v>0</v>
      </c>
      <c r="FH28" s="21">
        <v>0</v>
      </c>
      <c r="FI28" s="21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 s="21">
        <v>0</v>
      </c>
      <c r="GA28" s="21">
        <v>0</v>
      </c>
      <c r="GB28" s="21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 s="21">
        <v>0</v>
      </c>
      <c r="GT28" s="21">
        <v>0</v>
      </c>
      <c r="GU28" s="21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 s="21">
        <v>0</v>
      </c>
      <c r="HM28" s="21">
        <v>0</v>
      </c>
      <c r="HN28" s="21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 s="21">
        <v>0</v>
      </c>
      <c r="IF28" s="21">
        <v>0</v>
      </c>
      <c r="IG28" s="21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 s="21">
        <v>0</v>
      </c>
      <c r="IY28" s="21">
        <v>0</v>
      </c>
      <c r="IZ28" s="21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 s="21">
        <v>0</v>
      </c>
      <c r="JR28" s="21">
        <v>0</v>
      </c>
      <c r="JS28" s="21">
        <v>0</v>
      </c>
      <c r="JT28">
        <v>0</v>
      </c>
      <c r="JU28">
        <v>1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 s="21">
        <v>0</v>
      </c>
      <c r="KK28" s="21">
        <v>1</v>
      </c>
      <c r="KL28" s="21">
        <v>1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 s="21">
        <v>0</v>
      </c>
      <c r="LD28" s="21">
        <v>0</v>
      </c>
      <c r="LE28" s="21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 s="21">
        <v>0</v>
      </c>
      <c r="LW28" s="21">
        <v>0</v>
      </c>
      <c r="LX28" s="21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 s="21">
        <v>0</v>
      </c>
      <c r="MP28" s="21">
        <v>0</v>
      </c>
      <c r="MQ28" s="21">
        <v>0</v>
      </c>
      <c r="MR28">
        <f>SUMIF($N$7:$MQ$7,"*"&amp;MR$7&amp;"*",$N28:$MQ28)</f>
        <v>1</v>
      </c>
      <c r="MS28">
        <f>SUMIF($N$7:$MQ$7,"*"&amp;MS$7&amp;"*",$N28:$MQ28)</f>
        <v>1</v>
      </c>
      <c r="MT28">
        <f>SUMIF($N$7:$MQ$7,"*"&amp;MT$7&amp;"*",$N28:$MQ28)</f>
        <v>0</v>
      </c>
      <c r="MU28">
        <f>SUMIF($N$7:$MQ$7,"*"&amp;MU$7&amp;"*",$N28:$MQ28)</f>
        <v>0</v>
      </c>
      <c r="MV28">
        <f>SUMIF($N$7:$MQ$7,"*"&amp;MV$7&amp;"*",$N28:$MQ28)</f>
        <v>0</v>
      </c>
      <c r="MW28">
        <f>SUMIF($N$7:$MQ$7,"*"&amp;MW$7&amp;"*",$N28:$MQ28)</f>
        <v>0</v>
      </c>
      <c r="MX28">
        <f>SUMIF($N$7:$MQ$7,"*"&amp;MX$7&amp;"*",$N28:$MQ28)</f>
        <v>0</v>
      </c>
      <c r="MY28">
        <f>SUMIF($N$7:$MQ$7,"*"&amp;MY$7&amp;"*",$N28:$MQ28)</f>
        <v>0</v>
      </c>
      <c r="MZ28">
        <f>SUMIF($N$7:$MQ$7,"*"&amp;MZ$7&amp;"*",$N28:$MQ28)</f>
        <v>0</v>
      </c>
      <c r="NA28">
        <f>SUMIF($N$7:$MQ$7,"*"&amp;NA$7&amp;"*",$N28:$MQ28)</f>
        <v>0</v>
      </c>
      <c r="NB28">
        <f>SUMIF($N$7:$MQ$7,"*"&amp;NB$7&amp;"*",$N28:$MQ28)</f>
        <v>0</v>
      </c>
      <c r="NC28">
        <f>SUMIF($N$7:$MQ$7,"*"&amp;NC$7&amp;"*",$N28:$MQ28)</f>
        <v>0</v>
      </c>
      <c r="ND28">
        <f>SUMIF($N$7:$MQ$7,"*"&amp;ND$7&amp;"*",$N28:$MQ28)</f>
        <v>0</v>
      </c>
      <c r="NE28">
        <f>SUMIF($N$7:$MQ$7,"*"&amp;NE$7&amp;"*",$N28:$MQ28)</f>
        <v>1</v>
      </c>
      <c r="NF28">
        <f>SUMIF($N$7:$MQ$7,"*"&amp;NF$7&amp;"*",$N28:$MQ28)</f>
        <v>0</v>
      </c>
      <c r="NG28">
        <f>SUMIF($N$7:$MQ$7,"*"&amp;NG$7&amp;"*",$N28:$MQ28)</f>
        <v>0</v>
      </c>
      <c r="NH28">
        <f>SUMIF($MR$5:$NG$5,NH$7,$MR28:$NG28)</f>
        <v>1</v>
      </c>
      <c r="NI28">
        <f>SUMIF($MR$5:$NG$5,NI$7,$MR28:$NG28)</f>
        <v>2</v>
      </c>
      <c r="NJ28">
        <f>SUM(NH28:NI28)</f>
        <v>3</v>
      </c>
    </row>
    <row r="29" spans="1:374" ht="30" x14ac:dyDescent="0.25">
      <c r="A29" t="s">
        <v>405</v>
      </c>
      <c r="B29" t="s">
        <v>421</v>
      </c>
      <c r="C29">
        <v>129394</v>
      </c>
      <c r="D29" s="20" t="s">
        <v>457</v>
      </c>
      <c r="E29" t="s">
        <v>423</v>
      </c>
      <c r="F29" t="s">
        <v>424</v>
      </c>
      <c r="G29" t="s">
        <v>407</v>
      </c>
      <c r="H29" t="s">
        <v>452</v>
      </c>
      <c r="I29" t="s">
        <v>408</v>
      </c>
      <c r="J29" t="s">
        <v>409</v>
      </c>
      <c r="K29" t="s">
        <v>410</v>
      </c>
      <c r="L29" t="s">
        <v>411</v>
      </c>
      <c r="M29" t="s">
        <v>412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s="21">
        <v>0</v>
      </c>
      <c r="AE29" s="21">
        <v>0</v>
      </c>
      <c r="AF29" s="21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s="21">
        <v>0</v>
      </c>
      <c r="AX29" s="21">
        <v>0</v>
      </c>
      <c r="AY29" s="21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 s="21">
        <v>0</v>
      </c>
      <c r="BQ29" s="21">
        <v>0</v>
      </c>
      <c r="BR29" s="21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 s="21">
        <v>0</v>
      </c>
      <c r="CJ29" s="21">
        <v>0</v>
      </c>
      <c r="CK29" s="21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 s="21">
        <v>0</v>
      </c>
      <c r="DC29" s="21">
        <v>0</v>
      </c>
      <c r="DD29" s="21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 s="21">
        <v>0</v>
      </c>
      <c r="DV29" s="21">
        <v>0</v>
      </c>
      <c r="DW29" s="21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 s="21">
        <v>0</v>
      </c>
      <c r="EO29" s="21">
        <v>0</v>
      </c>
      <c r="EP29" s="21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 s="21">
        <v>0</v>
      </c>
      <c r="FH29" s="21">
        <v>0</v>
      </c>
      <c r="FI29" s="21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 s="21">
        <v>0</v>
      </c>
      <c r="GA29" s="21">
        <v>0</v>
      </c>
      <c r="GB29" s="21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 s="21">
        <v>0</v>
      </c>
      <c r="GT29" s="21">
        <v>0</v>
      </c>
      <c r="GU29" s="21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 s="21">
        <v>0</v>
      </c>
      <c r="HM29" s="21">
        <v>0</v>
      </c>
      <c r="HN29" s="21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 s="21">
        <v>0</v>
      </c>
      <c r="IF29" s="21">
        <v>0</v>
      </c>
      <c r="IG29" s="21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 s="21">
        <v>0</v>
      </c>
      <c r="IY29" s="21">
        <v>0</v>
      </c>
      <c r="IZ29" s="21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 s="21">
        <v>0</v>
      </c>
      <c r="JR29" s="21">
        <v>0</v>
      </c>
      <c r="JS29" s="21">
        <v>0</v>
      </c>
      <c r="JT29">
        <v>0</v>
      </c>
      <c r="JU29">
        <v>0</v>
      </c>
      <c r="JV29">
        <v>1</v>
      </c>
      <c r="JW29">
        <v>0</v>
      </c>
      <c r="JX29">
        <v>0</v>
      </c>
      <c r="JY29">
        <v>0</v>
      </c>
      <c r="JZ29">
        <v>0</v>
      </c>
      <c r="KA29">
        <v>1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 s="21">
        <v>1</v>
      </c>
      <c r="KK29" s="21">
        <v>1</v>
      </c>
      <c r="KL29" s="21">
        <v>2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 s="21">
        <v>0</v>
      </c>
      <c r="LD29" s="21">
        <v>0</v>
      </c>
      <c r="LE29" s="21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 s="21">
        <v>0</v>
      </c>
      <c r="LW29" s="21">
        <v>0</v>
      </c>
      <c r="LX29" s="21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 s="21">
        <v>0</v>
      </c>
      <c r="MP29" s="21">
        <v>0</v>
      </c>
      <c r="MQ29" s="21">
        <v>0</v>
      </c>
      <c r="MR29">
        <f>SUMIF($N$7:$MQ$7,"*"&amp;MR$7&amp;"*",$N29:$MQ29)</f>
        <v>0</v>
      </c>
      <c r="MS29">
        <f>SUMIF($N$7:$MQ$7,"*"&amp;MS$7&amp;"*",$N29:$MQ29)</f>
        <v>0</v>
      </c>
      <c r="MT29">
        <f>SUMIF($N$7:$MQ$7,"*"&amp;MT$7&amp;"*",$N29:$MQ29)</f>
        <v>1</v>
      </c>
      <c r="MU29">
        <f>SUMIF($N$7:$MQ$7,"*"&amp;MU$7&amp;"*",$N29:$MQ29)</f>
        <v>0</v>
      </c>
      <c r="MV29">
        <f>SUMIF($N$7:$MQ$7,"*"&amp;MV$7&amp;"*",$N29:$MQ29)</f>
        <v>0</v>
      </c>
      <c r="MW29">
        <f>SUMIF($N$7:$MQ$7,"*"&amp;MW$7&amp;"*",$N29:$MQ29)</f>
        <v>0</v>
      </c>
      <c r="MX29">
        <f>SUMIF($N$7:$MQ$7,"*"&amp;MX$7&amp;"*",$N29:$MQ29)</f>
        <v>0</v>
      </c>
      <c r="MY29">
        <f>SUMIF($N$7:$MQ$7,"*"&amp;MY$7&amp;"*",$N29:$MQ29)</f>
        <v>1</v>
      </c>
      <c r="MZ29">
        <f>SUMIF($N$7:$MQ$7,"*"&amp;MZ$7&amp;"*",$N29:$MQ29)</f>
        <v>0</v>
      </c>
      <c r="NA29">
        <f>SUMIF($N$7:$MQ$7,"*"&amp;NA$7&amp;"*",$N29:$MQ29)</f>
        <v>0</v>
      </c>
      <c r="NB29">
        <f>SUMIF($N$7:$MQ$7,"*"&amp;NB$7&amp;"*",$N29:$MQ29)</f>
        <v>0</v>
      </c>
      <c r="NC29">
        <f>SUMIF($N$7:$MQ$7,"*"&amp;NC$7&amp;"*",$N29:$MQ29)</f>
        <v>0</v>
      </c>
      <c r="ND29">
        <f>SUMIF($N$7:$MQ$7,"*"&amp;ND$7&amp;"*",$N29:$MQ29)</f>
        <v>0</v>
      </c>
      <c r="NE29">
        <f>SUMIF($N$7:$MQ$7,"*"&amp;NE$7&amp;"*",$N29:$MQ29)</f>
        <v>0</v>
      </c>
      <c r="NF29">
        <f>SUMIF($N$7:$MQ$7,"*"&amp;NF$7&amp;"*",$N29:$MQ29)</f>
        <v>0</v>
      </c>
      <c r="NG29">
        <f>SUMIF($N$7:$MQ$7,"*"&amp;NG$7&amp;"*",$N29:$MQ29)</f>
        <v>0</v>
      </c>
      <c r="NH29">
        <f>SUMIF($MR$5:$NG$5,NH$7,$MR29:$NG29)</f>
        <v>1</v>
      </c>
      <c r="NI29">
        <f>SUMIF($MR$5:$NG$5,NI$7,$MR29:$NG29)</f>
        <v>1</v>
      </c>
      <c r="NJ29">
        <f>SUM(NH29:NI29)</f>
        <v>2</v>
      </c>
    </row>
    <row r="30" spans="1:374" x14ac:dyDescent="0.25">
      <c r="A30" t="s">
        <v>405</v>
      </c>
      <c r="B30" t="s">
        <v>421</v>
      </c>
      <c r="C30">
        <v>129395</v>
      </c>
      <c r="D30" s="20" t="s">
        <v>458</v>
      </c>
      <c r="E30" t="s">
        <v>423</v>
      </c>
      <c r="F30" t="s">
        <v>424</v>
      </c>
      <c r="G30" t="s">
        <v>407</v>
      </c>
      <c r="H30" t="s">
        <v>449</v>
      </c>
      <c r="I30" t="s">
        <v>408</v>
      </c>
      <c r="J30" t="s">
        <v>409</v>
      </c>
      <c r="K30" t="s">
        <v>410</v>
      </c>
      <c r="L30" t="s">
        <v>411</v>
      </c>
      <c r="M30" t="s">
        <v>412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s="21">
        <v>0</v>
      </c>
      <c r="AE30" s="21">
        <v>0</v>
      </c>
      <c r="AF30" s="21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 s="21">
        <v>0</v>
      </c>
      <c r="AX30" s="21">
        <v>0</v>
      </c>
      <c r="AY30" s="21">
        <v>0</v>
      </c>
      <c r="AZ30">
        <v>0</v>
      </c>
      <c r="BA30">
        <v>1</v>
      </c>
      <c r="BB30">
        <v>3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 s="21">
        <v>3</v>
      </c>
      <c r="BQ30" s="21">
        <v>2</v>
      </c>
      <c r="BR30" s="21">
        <v>5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 s="21">
        <v>1</v>
      </c>
      <c r="CJ30" s="21">
        <v>1</v>
      </c>
      <c r="CK30" s="21">
        <v>2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 s="21">
        <v>0</v>
      </c>
      <c r="DC30" s="21">
        <v>0</v>
      </c>
      <c r="DD30" s="21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 s="21">
        <v>0</v>
      </c>
      <c r="DV30" s="21">
        <v>0</v>
      </c>
      <c r="DW30" s="21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 s="21">
        <v>0</v>
      </c>
      <c r="EO30" s="21">
        <v>0</v>
      </c>
      <c r="EP30" s="21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 s="21">
        <v>0</v>
      </c>
      <c r="FH30" s="21">
        <v>0</v>
      </c>
      <c r="FI30" s="21">
        <v>0</v>
      </c>
      <c r="FJ30">
        <v>1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1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 s="21">
        <v>2</v>
      </c>
      <c r="GA30" s="21">
        <v>0</v>
      </c>
      <c r="GB30" s="21">
        <v>2</v>
      </c>
      <c r="GC30">
        <v>1</v>
      </c>
      <c r="GD30">
        <v>0</v>
      </c>
      <c r="GE30">
        <v>1</v>
      </c>
      <c r="GF30">
        <v>1</v>
      </c>
      <c r="GG30">
        <v>0</v>
      </c>
      <c r="GH30">
        <v>0</v>
      </c>
      <c r="GI30">
        <v>0</v>
      </c>
      <c r="GJ30">
        <v>0</v>
      </c>
      <c r="GK30">
        <v>5</v>
      </c>
      <c r="GL30">
        <v>0</v>
      </c>
      <c r="GM30">
        <v>0</v>
      </c>
      <c r="GN30">
        <v>0</v>
      </c>
      <c r="GO30">
        <v>2</v>
      </c>
      <c r="GP30">
        <v>0</v>
      </c>
      <c r="GQ30">
        <v>0</v>
      </c>
      <c r="GR30">
        <v>0</v>
      </c>
      <c r="GS30" s="21">
        <v>9</v>
      </c>
      <c r="GT30" s="21">
        <v>1</v>
      </c>
      <c r="GU30" s="21">
        <v>10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 s="21">
        <v>0</v>
      </c>
      <c r="HM30" s="21">
        <v>0</v>
      </c>
      <c r="HN30" s="21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 s="21">
        <v>0</v>
      </c>
      <c r="IF30" s="21">
        <v>0</v>
      </c>
      <c r="IG30" s="21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 s="21">
        <v>0</v>
      </c>
      <c r="IY30" s="21">
        <v>0</v>
      </c>
      <c r="IZ30" s="21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 s="21">
        <v>0</v>
      </c>
      <c r="JR30" s="21">
        <v>0</v>
      </c>
      <c r="JS30" s="21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 s="21">
        <v>0</v>
      </c>
      <c r="KK30" s="21">
        <v>0</v>
      </c>
      <c r="KL30" s="21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 s="21">
        <v>0</v>
      </c>
      <c r="LD30" s="21">
        <v>0</v>
      </c>
      <c r="LE30" s="21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 s="21">
        <v>0</v>
      </c>
      <c r="LW30" s="21">
        <v>0</v>
      </c>
      <c r="LX30" s="21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1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 s="21">
        <v>1</v>
      </c>
      <c r="MP30" s="21">
        <v>0</v>
      </c>
      <c r="MQ30" s="21">
        <v>1</v>
      </c>
      <c r="MR30">
        <f>SUMIF($N$7:$MQ$7,"*"&amp;MR$7&amp;"*",$N30:$MQ30)</f>
        <v>2</v>
      </c>
      <c r="MS30">
        <f>SUMIF($N$7:$MQ$7,"*"&amp;MS$7&amp;"*",$N30:$MQ30)</f>
        <v>2</v>
      </c>
      <c r="MT30">
        <f>SUMIF($N$7:$MQ$7,"*"&amp;MT$7&amp;"*",$N30:$MQ30)</f>
        <v>4</v>
      </c>
      <c r="MU30">
        <f>SUMIF($N$7:$MQ$7,"*"&amp;MU$7&amp;"*",$N30:$MQ30)</f>
        <v>2</v>
      </c>
      <c r="MV30">
        <f>SUMIF($N$7:$MQ$7,"*"&amp;MV$7&amp;"*",$N30:$MQ30)</f>
        <v>0</v>
      </c>
      <c r="MW30">
        <f>SUMIF($N$7:$MQ$7,"*"&amp;MW$7&amp;"*",$N30:$MQ30)</f>
        <v>0</v>
      </c>
      <c r="MX30">
        <f>SUMIF($N$7:$MQ$7,"*"&amp;MX$7&amp;"*",$N30:$MQ30)</f>
        <v>2</v>
      </c>
      <c r="MY30">
        <f>SUMIF($N$7:$MQ$7,"*"&amp;MY$7&amp;"*",$N30:$MQ30)</f>
        <v>0</v>
      </c>
      <c r="MZ30">
        <f>SUMIF($N$7:$MQ$7,"*"&amp;MZ$7&amp;"*",$N30:$MQ30)</f>
        <v>6</v>
      </c>
      <c r="NA30">
        <f>SUMIF($N$7:$MQ$7,"*"&amp;NA$7&amp;"*",$N30:$MQ30)</f>
        <v>0</v>
      </c>
      <c r="NB30">
        <f>SUMIF($N$7:$MQ$7,"*"&amp;NB$7&amp;"*",$N30:$MQ30)</f>
        <v>0</v>
      </c>
      <c r="NC30">
        <f>SUMIF($N$7:$MQ$7,"*"&amp;NC$7&amp;"*",$N30:$MQ30)</f>
        <v>0</v>
      </c>
      <c r="ND30">
        <f>SUMIF($N$7:$MQ$7,"*"&amp;ND$7&amp;"*",$N30:$MQ30)</f>
        <v>2</v>
      </c>
      <c r="NE30">
        <f>SUMIF($N$7:$MQ$7,"*"&amp;NE$7&amp;"*",$N30:$MQ30)</f>
        <v>0</v>
      </c>
      <c r="NF30">
        <f>SUMIF($N$7:$MQ$7,"*"&amp;NF$7&amp;"*",$N30:$MQ30)</f>
        <v>0</v>
      </c>
      <c r="NG30">
        <f>SUMIF($N$7:$MQ$7,"*"&amp;NG$7&amp;"*",$N30:$MQ30)</f>
        <v>0</v>
      </c>
      <c r="NH30">
        <f>SUMIF($MR$5:$NG$5,NH$7,$MR30:$NG30)</f>
        <v>16</v>
      </c>
      <c r="NI30">
        <f>SUMIF($MR$5:$NG$5,NI$7,$MR30:$NG30)</f>
        <v>4</v>
      </c>
      <c r="NJ30">
        <f>SUM(NH30:NI30)</f>
        <v>20</v>
      </c>
    </row>
    <row r="31" spans="1:374" x14ac:dyDescent="0.25">
      <c r="A31" t="s">
        <v>405</v>
      </c>
      <c r="B31" t="s">
        <v>421</v>
      </c>
      <c r="C31">
        <v>129396</v>
      </c>
      <c r="D31" s="20" t="s">
        <v>459</v>
      </c>
      <c r="E31" t="s">
        <v>423</v>
      </c>
      <c r="F31" t="s">
        <v>424</v>
      </c>
      <c r="G31" t="s">
        <v>407</v>
      </c>
      <c r="H31" t="s">
        <v>456</v>
      </c>
      <c r="I31" t="s">
        <v>408</v>
      </c>
      <c r="J31" t="s">
        <v>409</v>
      </c>
      <c r="K31" t="s">
        <v>410</v>
      </c>
      <c r="L31" t="s">
        <v>411</v>
      </c>
      <c r="M31" t="s">
        <v>412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s="21">
        <v>0</v>
      </c>
      <c r="AE31" s="21">
        <v>0</v>
      </c>
      <c r="AF31" s="2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 s="21">
        <v>0</v>
      </c>
      <c r="AX31" s="21">
        <v>0</v>
      </c>
      <c r="AY31" s="2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 s="21">
        <v>0</v>
      </c>
      <c r="BQ31" s="21">
        <v>0</v>
      </c>
      <c r="BR31" s="2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 s="21">
        <v>0</v>
      </c>
      <c r="CJ31" s="21">
        <v>0</v>
      </c>
      <c r="CK31" s="2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 s="21">
        <v>0</v>
      </c>
      <c r="DC31" s="21">
        <v>0</v>
      </c>
      <c r="DD31" s="2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 s="21">
        <v>0</v>
      </c>
      <c r="DV31" s="21">
        <v>0</v>
      </c>
      <c r="DW31" s="2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 s="21">
        <v>0</v>
      </c>
      <c r="EO31" s="21">
        <v>0</v>
      </c>
      <c r="EP31" s="2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 s="21">
        <v>0</v>
      </c>
      <c r="FH31" s="21">
        <v>0</v>
      </c>
      <c r="FI31" s="2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 s="21">
        <v>0</v>
      </c>
      <c r="GA31" s="21">
        <v>0</v>
      </c>
      <c r="GB31" s="21">
        <v>0</v>
      </c>
      <c r="GC31">
        <v>3</v>
      </c>
      <c r="GD31">
        <v>2</v>
      </c>
      <c r="GE31">
        <v>3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1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 s="21">
        <v>7</v>
      </c>
      <c r="GT31" s="21">
        <v>2</v>
      </c>
      <c r="GU31" s="21">
        <v>9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 s="21">
        <v>0</v>
      </c>
      <c r="HM31" s="21">
        <v>0</v>
      </c>
      <c r="HN31" s="2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 s="21">
        <v>0</v>
      </c>
      <c r="IF31" s="21">
        <v>0</v>
      </c>
      <c r="IG31" s="2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 s="21">
        <v>0</v>
      </c>
      <c r="IY31" s="21">
        <v>0</v>
      </c>
      <c r="IZ31" s="2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 s="21">
        <v>0</v>
      </c>
      <c r="JR31" s="21">
        <v>0</v>
      </c>
      <c r="JS31" s="2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 s="21">
        <v>0</v>
      </c>
      <c r="KK31" s="21">
        <v>0</v>
      </c>
      <c r="KL31" s="2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 s="21">
        <v>0</v>
      </c>
      <c r="LD31" s="21">
        <v>0</v>
      </c>
      <c r="LE31" s="2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 s="21">
        <v>0</v>
      </c>
      <c r="LW31" s="21">
        <v>0</v>
      </c>
      <c r="LX31" s="2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 s="21">
        <v>0</v>
      </c>
      <c r="MP31" s="21">
        <v>0</v>
      </c>
      <c r="MQ31" s="21">
        <v>0</v>
      </c>
      <c r="MR31">
        <f>SUMIF($N$7:$MQ$7,"*"&amp;MR$7&amp;"*",$N31:$MQ31)</f>
        <v>3</v>
      </c>
      <c r="MS31">
        <f>SUMIF($N$7:$MQ$7,"*"&amp;MS$7&amp;"*",$N31:$MQ31)</f>
        <v>2</v>
      </c>
      <c r="MT31">
        <f>SUMIF($N$7:$MQ$7,"*"&amp;MT$7&amp;"*",$N31:$MQ31)</f>
        <v>3</v>
      </c>
      <c r="MU31">
        <f>SUMIF($N$7:$MQ$7,"*"&amp;MU$7&amp;"*",$N31:$MQ31)</f>
        <v>0</v>
      </c>
      <c r="MV31">
        <f>SUMIF($N$7:$MQ$7,"*"&amp;MV$7&amp;"*",$N31:$MQ31)</f>
        <v>0</v>
      </c>
      <c r="MW31">
        <f>SUMIF($N$7:$MQ$7,"*"&amp;MW$7&amp;"*",$N31:$MQ31)</f>
        <v>0</v>
      </c>
      <c r="MX31">
        <f>SUMIF($N$7:$MQ$7,"*"&amp;MX$7&amp;"*",$N31:$MQ31)</f>
        <v>0</v>
      </c>
      <c r="MY31">
        <f>SUMIF($N$7:$MQ$7,"*"&amp;MY$7&amp;"*",$N31:$MQ31)</f>
        <v>0</v>
      </c>
      <c r="MZ31">
        <f>SUMIF($N$7:$MQ$7,"*"&amp;MZ$7&amp;"*",$N31:$MQ31)</f>
        <v>1</v>
      </c>
      <c r="NA31">
        <f>SUMIF($N$7:$MQ$7,"*"&amp;NA$7&amp;"*",$N31:$MQ31)</f>
        <v>0</v>
      </c>
      <c r="NB31">
        <f>SUMIF($N$7:$MQ$7,"*"&amp;NB$7&amp;"*",$N31:$MQ31)</f>
        <v>0</v>
      </c>
      <c r="NC31">
        <f>SUMIF($N$7:$MQ$7,"*"&amp;NC$7&amp;"*",$N31:$MQ31)</f>
        <v>0</v>
      </c>
      <c r="ND31">
        <f>SUMIF($N$7:$MQ$7,"*"&amp;ND$7&amp;"*",$N31:$MQ31)</f>
        <v>0</v>
      </c>
      <c r="NE31">
        <f>SUMIF($N$7:$MQ$7,"*"&amp;NE$7&amp;"*",$N31:$MQ31)</f>
        <v>0</v>
      </c>
      <c r="NF31">
        <f>SUMIF($N$7:$MQ$7,"*"&amp;NF$7&amp;"*",$N31:$MQ31)</f>
        <v>0</v>
      </c>
      <c r="NG31">
        <f>SUMIF($N$7:$MQ$7,"*"&amp;NG$7&amp;"*",$N31:$MQ31)</f>
        <v>0</v>
      </c>
      <c r="NH31">
        <f>SUMIF($MR$5:$NG$5,NH$7,$MR31:$NG31)</f>
        <v>7</v>
      </c>
      <c r="NI31">
        <f>SUMIF($MR$5:$NG$5,NI$7,$MR31:$NG31)</f>
        <v>2</v>
      </c>
      <c r="NJ31">
        <f>SUM(NH31:NI31)</f>
        <v>9</v>
      </c>
    </row>
    <row r="32" spans="1:374" x14ac:dyDescent="0.25">
      <c r="A32" t="s">
        <v>405</v>
      </c>
      <c r="B32" t="s">
        <v>421</v>
      </c>
      <c r="C32">
        <v>129397</v>
      </c>
      <c r="D32" s="20" t="s">
        <v>460</v>
      </c>
      <c r="E32" t="s">
        <v>423</v>
      </c>
      <c r="F32" t="s">
        <v>424</v>
      </c>
      <c r="G32" t="s">
        <v>407</v>
      </c>
      <c r="H32" t="s">
        <v>461</v>
      </c>
      <c r="I32" t="s">
        <v>408</v>
      </c>
      <c r="J32" t="s">
        <v>409</v>
      </c>
      <c r="K32" t="s">
        <v>410</v>
      </c>
      <c r="L32" t="s">
        <v>411</v>
      </c>
      <c r="M32" t="s">
        <v>412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s="21">
        <v>0</v>
      </c>
      <c r="AE32" s="21">
        <v>0</v>
      </c>
      <c r="AF32" s="21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 s="21">
        <v>0</v>
      </c>
      <c r="AX32" s="21">
        <v>0</v>
      </c>
      <c r="AY32" s="21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 s="21">
        <v>1</v>
      </c>
      <c r="BQ32" s="21">
        <v>0</v>
      </c>
      <c r="BR32" s="21">
        <v>1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 s="21">
        <v>0</v>
      </c>
      <c r="CJ32" s="21">
        <v>1</v>
      </c>
      <c r="CK32" s="21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 s="21">
        <v>0</v>
      </c>
      <c r="DC32" s="21">
        <v>0</v>
      </c>
      <c r="DD32" s="21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 s="21">
        <v>0</v>
      </c>
      <c r="DV32" s="21">
        <v>0</v>
      </c>
      <c r="DW32" s="21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 s="21">
        <v>0</v>
      </c>
      <c r="EO32" s="21">
        <v>0</v>
      </c>
      <c r="EP32" s="21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 s="21">
        <v>0</v>
      </c>
      <c r="FH32" s="21">
        <v>0</v>
      </c>
      <c r="FI32" s="21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 s="21">
        <v>0</v>
      </c>
      <c r="GA32" s="21">
        <v>0</v>
      </c>
      <c r="GB32" s="21">
        <v>0</v>
      </c>
      <c r="GC32">
        <v>0</v>
      </c>
      <c r="GD32">
        <v>0</v>
      </c>
      <c r="GE32">
        <v>1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 s="21">
        <v>1</v>
      </c>
      <c r="GT32" s="21">
        <v>0</v>
      </c>
      <c r="GU32" s="21">
        <v>1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 s="21">
        <v>0</v>
      </c>
      <c r="HM32" s="21">
        <v>0</v>
      </c>
      <c r="HN32" s="21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 s="21">
        <v>0</v>
      </c>
      <c r="IF32" s="21">
        <v>0</v>
      </c>
      <c r="IG32" s="21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 s="21">
        <v>0</v>
      </c>
      <c r="IY32" s="21">
        <v>0</v>
      </c>
      <c r="IZ32" s="21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 s="21">
        <v>0</v>
      </c>
      <c r="JR32" s="21">
        <v>0</v>
      </c>
      <c r="JS32" s="21">
        <v>0</v>
      </c>
      <c r="JT32">
        <v>0</v>
      </c>
      <c r="JU32">
        <v>0</v>
      </c>
      <c r="JV32">
        <v>0</v>
      </c>
      <c r="JW32">
        <v>0</v>
      </c>
      <c r="JX32">
        <v>1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1</v>
      </c>
      <c r="KE32">
        <v>0</v>
      </c>
      <c r="KF32">
        <v>0</v>
      </c>
      <c r="KG32">
        <v>0</v>
      </c>
      <c r="KH32">
        <v>0</v>
      </c>
      <c r="KI32">
        <v>0</v>
      </c>
      <c r="KJ32" s="21">
        <v>2</v>
      </c>
      <c r="KK32" s="21">
        <v>0</v>
      </c>
      <c r="KL32" s="21">
        <v>2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 s="21">
        <v>0</v>
      </c>
      <c r="LD32" s="21">
        <v>0</v>
      </c>
      <c r="LE32" s="21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 s="21">
        <v>0</v>
      </c>
      <c r="LW32" s="21">
        <v>0</v>
      </c>
      <c r="LX32" s="21">
        <v>0</v>
      </c>
      <c r="LY32">
        <v>0</v>
      </c>
      <c r="LZ32">
        <v>0</v>
      </c>
      <c r="MA32">
        <v>1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 s="21">
        <v>1</v>
      </c>
      <c r="MP32" s="21">
        <v>0</v>
      </c>
      <c r="MQ32" s="21">
        <v>1</v>
      </c>
      <c r="MR32">
        <f>SUMIF($N$7:$MQ$7,"*"&amp;MR$7&amp;"*",$N32:$MQ32)</f>
        <v>0</v>
      </c>
      <c r="MS32">
        <f>SUMIF($N$7:$MQ$7,"*"&amp;MS$7&amp;"*",$N32:$MQ32)</f>
        <v>1</v>
      </c>
      <c r="MT32">
        <f>SUMIF($N$7:$MQ$7,"*"&amp;MT$7&amp;"*",$N32:$MQ32)</f>
        <v>2</v>
      </c>
      <c r="MU32">
        <f>SUMIF($N$7:$MQ$7,"*"&amp;MU$7&amp;"*",$N32:$MQ32)</f>
        <v>0</v>
      </c>
      <c r="MV32">
        <f>SUMIF($N$7:$MQ$7,"*"&amp;MV$7&amp;"*",$N32:$MQ32)</f>
        <v>2</v>
      </c>
      <c r="MW32">
        <f>SUMIF($N$7:$MQ$7,"*"&amp;MW$7&amp;"*",$N32:$MQ32)</f>
        <v>0</v>
      </c>
      <c r="MX32">
        <f>SUMIF($N$7:$MQ$7,"*"&amp;MX$7&amp;"*",$N32:$MQ32)</f>
        <v>0</v>
      </c>
      <c r="MY32">
        <f>SUMIF($N$7:$MQ$7,"*"&amp;MY$7&amp;"*",$N32:$MQ32)</f>
        <v>0</v>
      </c>
      <c r="MZ32">
        <f>SUMIF($N$7:$MQ$7,"*"&amp;MZ$7&amp;"*",$N32:$MQ32)</f>
        <v>0</v>
      </c>
      <c r="NA32">
        <f>SUMIF($N$7:$MQ$7,"*"&amp;NA$7&amp;"*",$N32:$MQ32)</f>
        <v>0</v>
      </c>
      <c r="NB32">
        <f>SUMIF($N$7:$MQ$7,"*"&amp;NB$7&amp;"*",$N32:$MQ32)</f>
        <v>1</v>
      </c>
      <c r="NC32">
        <f>SUMIF($N$7:$MQ$7,"*"&amp;NC$7&amp;"*",$N32:$MQ32)</f>
        <v>0</v>
      </c>
      <c r="ND32">
        <f>SUMIF($N$7:$MQ$7,"*"&amp;ND$7&amp;"*",$N32:$MQ32)</f>
        <v>0</v>
      </c>
      <c r="NE32">
        <f>SUMIF($N$7:$MQ$7,"*"&amp;NE$7&amp;"*",$N32:$MQ32)</f>
        <v>0</v>
      </c>
      <c r="NF32">
        <f>SUMIF($N$7:$MQ$7,"*"&amp;NF$7&amp;"*",$N32:$MQ32)</f>
        <v>0</v>
      </c>
      <c r="NG32">
        <f>SUMIF($N$7:$MQ$7,"*"&amp;NG$7&amp;"*",$N32:$MQ32)</f>
        <v>0</v>
      </c>
      <c r="NH32">
        <f>SUMIF($MR$5:$NG$5,NH$7,$MR32:$NG32)</f>
        <v>5</v>
      </c>
      <c r="NI32">
        <f>SUMIF($MR$5:$NG$5,NI$7,$MR32:$NG32)</f>
        <v>1</v>
      </c>
      <c r="NJ32">
        <f>SUM(NH32:NI32)</f>
        <v>6</v>
      </c>
    </row>
    <row r="33" spans="1:374" ht="30" x14ac:dyDescent="0.25">
      <c r="A33" t="s">
        <v>405</v>
      </c>
      <c r="B33" t="s">
        <v>421</v>
      </c>
      <c r="C33">
        <v>129398</v>
      </c>
      <c r="D33" s="20" t="s">
        <v>462</v>
      </c>
      <c r="E33" t="s">
        <v>423</v>
      </c>
      <c r="F33" t="s">
        <v>424</v>
      </c>
      <c r="G33" t="s">
        <v>407</v>
      </c>
      <c r="H33" t="s">
        <v>463</v>
      </c>
      <c r="I33" t="s">
        <v>408</v>
      </c>
      <c r="J33" t="s">
        <v>409</v>
      </c>
      <c r="K33" t="s">
        <v>410</v>
      </c>
      <c r="L33" t="s">
        <v>411</v>
      </c>
      <c r="M33" t="s">
        <v>412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s="21">
        <v>0</v>
      </c>
      <c r="AE33" s="21">
        <v>0</v>
      </c>
      <c r="AF33" s="21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s="21">
        <v>0</v>
      </c>
      <c r="AX33" s="21">
        <v>0</v>
      </c>
      <c r="AY33" s="21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 s="21">
        <v>0</v>
      </c>
      <c r="BQ33" s="21">
        <v>0</v>
      </c>
      <c r="BR33" s="21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 s="21">
        <v>0</v>
      </c>
      <c r="CJ33" s="21">
        <v>0</v>
      </c>
      <c r="CK33" s="21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 s="21">
        <v>0</v>
      </c>
      <c r="DC33" s="21">
        <v>0</v>
      </c>
      <c r="DD33" s="21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 s="21">
        <v>0</v>
      </c>
      <c r="DV33" s="21">
        <v>0</v>
      </c>
      <c r="DW33" s="21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 s="21">
        <v>0</v>
      </c>
      <c r="EO33" s="21">
        <v>0</v>
      </c>
      <c r="EP33" s="21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 s="21">
        <v>0</v>
      </c>
      <c r="FH33" s="21">
        <v>0</v>
      </c>
      <c r="FI33" s="21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 s="21">
        <v>0</v>
      </c>
      <c r="GA33" s="21">
        <v>0</v>
      </c>
      <c r="GB33" s="21">
        <v>0</v>
      </c>
      <c r="GC33">
        <v>0</v>
      </c>
      <c r="GD33">
        <v>2</v>
      </c>
      <c r="GE33">
        <v>2</v>
      </c>
      <c r="GF33">
        <v>0</v>
      </c>
      <c r="GG33">
        <v>2</v>
      </c>
      <c r="GH33">
        <v>0</v>
      </c>
      <c r="GI33">
        <v>0</v>
      </c>
      <c r="GJ33">
        <v>0</v>
      </c>
      <c r="GK33">
        <v>1</v>
      </c>
      <c r="GL33">
        <v>0</v>
      </c>
      <c r="GM33">
        <v>1</v>
      </c>
      <c r="GN33">
        <v>0</v>
      </c>
      <c r="GO33">
        <v>2</v>
      </c>
      <c r="GP33">
        <v>0</v>
      </c>
      <c r="GQ33">
        <v>0</v>
      </c>
      <c r="GR33">
        <v>0</v>
      </c>
      <c r="GS33" s="21">
        <v>8</v>
      </c>
      <c r="GT33" s="21">
        <v>2</v>
      </c>
      <c r="GU33" s="21">
        <v>10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 s="21">
        <v>0</v>
      </c>
      <c r="HM33" s="21">
        <v>0</v>
      </c>
      <c r="HN33" s="21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 s="21">
        <v>0</v>
      </c>
      <c r="IF33" s="21">
        <v>0</v>
      </c>
      <c r="IG33" s="21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 s="21">
        <v>0</v>
      </c>
      <c r="IY33" s="21">
        <v>0</v>
      </c>
      <c r="IZ33" s="21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 s="21">
        <v>0</v>
      </c>
      <c r="JR33" s="21">
        <v>0</v>
      </c>
      <c r="JS33" s="21">
        <v>0</v>
      </c>
      <c r="JT33">
        <v>1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 s="21">
        <v>1</v>
      </c>
      <c r="KK33" s="21">
        <v>0</v>
      </c>
      <c r="KL33" s="21">
        <v>1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 s="21">
        <v>0</v>
      </c>
      <c r="LD33" s="21">
        <v>0</v>
      </c>
      <c r="LE33" s="21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 s="21">
        <v>0</v>
      </c>
      <c r="LW33" s="21">
        <v>0</v>
      </c>
      <c r="LX33" s="21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 s="21">
        <v>0</v>
      </c>
      <c r="MP33" s="21">
        <v>0</v>
      </c>
      <c r="MQ33" s="21">
        <v>0</v>
      </c>
      <c r="MR33">
        <f>SUMIF($N$7:$MQ$7,"*"&amp;MR$7&amp;"*",$N33:$MQ33)</f>
        <v>1</v>
      </c>
      <c r="MS33">
        <f>SUMIF($N$7:$MQ$7,"*"&amp;MS$7&amp;"*",$N33:$MQ33)</f>
        <v>2</v>
      </c>
      <c r="MT33">
        <f>SUMIF($N$7:$MQ$7,"*"&amp;MT$7&amp;"*",$N33:$MQ33)</f>
        <v>2</v>
      </c>
      <c r="MU33">
        <f>SUMIF($N$7:$MQ$7,"*"&amp;MU$7&amp;"*",$N33:$MQ33)</f>
        <v>0</v>
      </c>
      <c r="MV33">
        <f>SUMIF($N$7:$MQ$7,"*"&amp;MV$7&amp;"*",$N33:$MQ33)</f>
        <v>2</v>
      </c>
      <c r="MW33">
        <f>SUMIF($N$7:$MQ$7,"*"&amp;MW$7&amp;"*",$N33:$MQ33)</f>
        <v>0</v>
      </c>
      <c r="MX33">
        <f>SUMIF($N$7:$MQ$7,"*"&amp;MX$7&amp;"*",$N33:$MQ33)</f>
        <v>0</v>
      </c>
      <c r="MY33">
        <f>SUMIF($N$7:$MQ$7,"*"&amp;MY$7&amp;"*",$N33:$MQ33)</f>
        <v>0</v>
      </c>
      <c r="MZ33">
        <f>SUMIF($N$7:$MQ$7,"*"&amp;MZ$7&amp;"*",$N33:$MQ33)</f>
        <v>1</v>
      </c>
      <c r="NA33">
        <f>SUMIF($N$7:$MQ$7,"*"&amp;NA$7&amp;"*",$N33:$MQ33)</f>
        <v>0</v>
      </c>
      <c r="NB33">
        <f>SUMIF($N$7:$MQ$7,"*"&amp;NB$7&amp;"*",$N33:$MQ33)</f>
        <v>1</v>
      </c>
      <c r="NC33">
        <f>SUMIF($N$7:$MQ$7,"*"&amp;NC$7&amp;"*",$N33:$MQ33)</f>
        <v>0</v>
      </c>
      <c r="ND33">
        <f>SUMIF($N$7:$MQ$7,"*"&amp;ND$7&amp;"*",$N33:$MQ33)</f>
        <v>2</v>
      </c>
      <c r="NE33">
        <f>SUMIF($N$7:$MQ$7,"*"&amp;NE$7&amp;"*",$N33:$MQ33)</f>
        <v>0</v>
      </c>
      <c r="NF33">
        <f>SUMIF($N$7:$MQ$7,"*"&amp;NF$7&amp;"*",$N33:$MQ33)</f>
        <v>0</v>
      </c>
      <c r="NG33">
        <f>SUMIF($N$7:$MQ$7,"*"&amp;NG$7&amp;"*",$N33:$MQ33)</f>
        <v>0</v>
      </c>
      <c r="NH33">
        <f>SUMIF($MR$5:$NG$5,NH$7,$MR33:$NG33)</f>
        <v>9</v>
      </c>
      <c r="NI33">
        <f>SUMIF($MR$5:$NG$5,NI$7,$MR33:$NG33)</f>
        <v>2</v>
      </c>
      <c r="NJ33">
        <f>SUM(NH33:NI33)</f>
        <v>11</v>
      </c>
    </row>
    <row r="34" spans="1:374" x14ac:dyDescent="0.25">
      <c r="A34" t="s">
        <v>405</v>
      </c>
      <c r="B34" t="s">
        <v>421</v>
      </c>
      <c r="C34">
        <v>129399</v>
      </c>
      <c r="D34" s="20" t="s">
        <v>464</v>
      </c>
      <c r="E34" t="s">
        <v>423</v>
      </c>
      <c r="F34" t="s">
        <v>424</v>
      </c>
      <c r="G34" t="s">
        <v>407</v>
      </c>
      <c r="H34" t="s">
        <v>465</v>
      </c>
      <c r="I34" t="s">
        <v>408</v>
      </c>
      <c r="J34" t="s">
        <v>409</v>
      </c>
      <c r="K34" t="s">
        <v>410</v>
      </c>
      <c r="L34" t="s">
        <v>411</v>
      </c>
      <c r="M34" t="s">
        <v>412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s="21">
        <v>0</v>
      </c>
      <c r="AE34" s="21">
        <v>0</v>
      </c>
      <c r="AF34" s="21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 s="21">
        <v>0</v>
      </c>
      <c r="AX34" s="21">
        <v>0</v>
      </c>
      <c r="AY34" s="21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 s="21">
        <v>0</v>
      </c>
      <c r="BQ34" s="21">
        <v>0</v>
      </c>
      <c r="BR34" s="21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 s="21">
        <v>0</v>
      </c>
      <c r="CJ34" s="21">
        <v>0</v>
      </c>
      <c r="CK34" s="21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 s="21">
        <v>0</v>
      </c>
      <c r="DC34" s="21">
        <v>0</v>
      </c>
      <c r="DD34" s="21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 s="21">
        <v>0</v>
      </c>
      <c r="DV34" s="21">
        <v>0</v>
      </c>
      <c r="DW34" s="21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 s="21">
        <v>0</v>
      </c>
      <c r="EO34" s="21">
        <v>1</v>
      </c>
      <c r="EP34" s="21">
        <v>1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 s="21">
        <v>0</v>
      </c>
      <c r="FH34" s="21">
        <v>0</v>
      </c>
      <c r="FI34" s="21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 s="21">
        <v>0</v>
      </c>
      <c r="GA34" s="21">
        <v>0</v>
      </c>
      <c r="GB34" s="21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 s="21">
        <v>0</v>
      </c>
      <c r="GT34" s="21">
        <v>0</v>
      </c>
      <c r="GU34" s="21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 s="21">
        <v>0</v>
      </c>
      <c r="HM34" s="21">
        <v>0</v>
      </c>
      <c r="HN34" s="21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 s="21">
        <v>0</v>
      </c>
      <c r="IF34" s="21">
        <v>0</v>
      </c>
      <c r="IG34" s="21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 s="21">
        <v>0</v>
      </c>
      <c r="IY34" s="21">
        <v>0</v>
      </c>
      <c r="IZ34" s="21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 s="21">
        <v>0</v>
      </c>
      <c r="JR34" s="21">
        <v>0</v>
      </c>
      <c r="JS34" s="21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 s="21">
        <v>0</v>
      </c>
      <c r="KK34" s="21">
        <v>0</v>
      </c>
      <c r="KL34" s="21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 s="21">
        <v>0</v>
      </c>
      <c r="LD34" s="21">
        <v>0</v>
      </c>
      <c r="LE34" s="21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 s="21">
        <v>0</v>
      </c>
      <c r="LW34" s="21">
        <v>0</v>
      </c>
      <c r="LX34" s="21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 s="21">
        <v>0</v>
      </c>
      <c r="MP34" s="21">
        <v>0</v>
      </c>
      <c r="MQ34" s="21">
        <v>0</v>
      </c>
      <c r="MR34">
        <f>SUMIF($N$7:$MQ$7,"*"&amp;MR$7&amp;"*",$N34:$MQ34)</f>
        <v>0</v>
      </c>
      <c r="MS34">
        <f>SUMIF($N$7:$MQ$7,"*"&amp;MS$7&amp;"*",$N34:$MQ34)</f>
        <v>0</v>
      </c>
      <c r="MT34">
        <f>SUMIF($N$7:$MQ$7,"*"&amp;MT$7&amp;"*",$N34:$MQ34)</f>
        <v>0</v>
      </c>
      <c r="MU34">
        <f>SUMIF($N$7:$MQ$7,"*"&amp;MU$7&amp;"*",$N34:$MQ34)</f>
        <v>0</v>
      </c>
      <c r="MV34">
        <f>SUMIF($N$7:$MQ$7,"*"&amp;MV$7&amp;"*",$N34:$MQ34)</f>
        <v>0</v>
      </c>
      <c r="MW34">
        <f>SUMIF($N$7:$MQ$7,"*"&amp;MW$7&amp;"*",$N34:$MQ34)</f>
        <v>0</v>
      </c>
      <c r="MX34">
        <f>SUMIF($N$7:$MQ$7,"*"&amp;MX$7&amp;"*",$N34:$MQ34)</f>
        <v>0</v>
      </c>
      <c r="MY34">
        <f>SUMIF($N$7:$MQ$7,"*"&amp;MY$7&amp;"*",$N34:$MQ34)</f>
        <v>1</v>
      </c>
      <c r="MZ34">
        <f>SUMIF($N$7:$MQ$7,"*"&amp;MZ$7&amp;"*",$N34:$MQ34)</f>
        <v>0</v>
      </c>
      <c r="NA34">
        <f>SUMIF($N$7:$MQ$7,"*"&amp;NA$7&amp;"*",$N34:$MQ34)</f>
        <v>0</v>
      </c>
      <c r="NB34">
        <f>SUMIF($N$7:$MQ$7,"*"&amp;NB$7&amp;"*",$N34:$MQ34)</f>
        <v>0</v>
      </c>
      <c r="NC34">
        <f>SUMIF($N$7:$MQ$7,"*"&amp;NC$7&amp;"*",$N34:$MQ34)</f>
        <v>0</v>
      </c>
      <c r="ND34">
        <f>SUMIF($N$7:$MQ$7,"*"&amp;ND$7&amp;"*",$N34:$MQ34)</f>
        <v>0</v>
      </c>
      <c r="NE34">
        <f>SUMIF($N$7:$MQ$7,"*"&amp;NE$7&amp;"*",$N34:$MQ34)</f>
        <v>0</v>
      </c>
      <c r="NF34">
        <f>SUMIF($N$7:$MQ$7,"*"&amp;NF$7&amp;"*",$N34:$MQ34)</f>
        <v>0</v>
      </c>
      <c r="NG34">
        <f>SUMIF($N$7:$MQ$7,"*"&amp;NG$7&amp;"*",$N34:$MQ34)</f>
        <v>0</v>
      </c>
      <c r="NH34">
        <f>SUMIF($MR$5:$NG$5,NH$7,$MR34:$NG34)</f>
        <v>0</v>
      </c>
      <c r="NI34">
        <f>SUMIF($MR$5:$NG$5,NI$7,$MR34:$NG34)</f>
        <v>1</v>
      </c>
      <c r="NJ34">
        <f>SUM(NH34:NI34)</f>
        <v>1</v>
      </c>
    </row>
    <row r="35" spans="1:374" x14ac:dyDescent="0.25">
      <c r="A35" t="s">
        <v>405</v>
      </c>
      <c r="B35" t="s">
        <v>421</v>
      </c>
      <c r="C35">
        <v>129400</v>
      </c>
      <c r="D35" s="20" t="s">
        <v>466</v>
      </c>
      <c r="E35" t="s">
        <v>423</v>
      </c>
      <c r="F35" t="s">
        <v>424</v>
      </c>
      <c r="G35" t="s">
        <v>407</v>
      </c>
      <c r="H35" t="s">
        <v>463</v>
      </c>
      <c r="I35" t="s">
        <v>408</v>
      </c>
      <c r="J35" t="s">
        <v>409</v>
      </c>
      <c r="K35" t="s">
        <v>410</v>
      </c>
      <c r="L35" t="s">
        <v>411</v>
      </c>
      <c r="M35" t="s">
        <v>412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s="21">
        <v>0</v>
      </c>
      <c r="AE35" s="21">
        <v>0</v>
      </c>
      <c r="AF35" s="21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 s="21">
        <v>1</v>
      </c>
      <c r="AX35" s="21">
        <v>0</v>
      </c>
      <c r="AY35" s="21">
        <v>1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 s="21">
        <v>1</v>
      </c>
      <c r="BQ35" s="21">
        <v>0</v>
      </c>
      <c r="BR35" s="21">
        <v>1</v>
      </c>
      <c r="BS35">
        <v>0</v>
      </c>
      <c r="BT35">
        <v>0</v>
      </c>
      <c r="BU35">
        <v>2</v>
      </c>
      <c r="BV35">
        <v>2</v>
      </c>
      <c r="BW35">
        <v>2</v>
      </c>
      <c r="BX35">
        <v>2</v>
      </c>
      <c r="BY35">
        <v>2</v>
      </c>
      <c r="BZ35">
        <v>0</v>
      </c>
      <c r="CA35">
        <v>2</v>
      </c>
      <c r="CB35">
        <v>2</v>
      </c>
      <c r="CC35">
        <v>0</v>
      </c>
      <c r="CD35">
        <v>0</v>
      </c>
      <c r="CE35">
        <v>1</v>
      </c>
      <c r="CF35">
        <v>0</v>
      </c>
      <c r="CG35">
        <v>0</v>
      </c>
      <c r="CH35">
        <v>0</v>
      </c>
      <c r="CI35" s="21">
        <v>9</v>
      </c>
      <c r="CJ35" s="21">
        <v>6</v>
      </c>
      <c r="CK35" s="21">
        <v>15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 s="21">
        <v>0</v>
      </c>
      <c r="DC35" s="21">
        <v>1</v>
      </c>
      <c r="DD35" s="21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 s="21">
        <v>1</v>
      </c>
      <c r="DV35" s="21">
        <v>0</v>
      </c>
      <c r="DW35" s="21">
        <v>1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 s="21">
        <v>0</v>
      </c>
      <c r="EO35" s="21">
        <v>0</v>
      </c>
      <c r="EP35" s="21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 s="21">
        <v>0</v>
      </c>
      <c r="FH35" s="21">
        <v>0</v>
      </c>
      <c r="FI35" s="21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 s="21">
        <v>0</v>
      </c>
      <c r="GA35" s="21">
        <v>0</v>
      </c>
      <c r="GB35" s="21">
        <v>0</v>
      </c>
      <c r="GC35">
        <v>2</v>
      </c>
      <c r="GD35">
        <v>1</v>
      </c>
      <c r="GE35">
        <v>4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4</v>
      </c>
      <c r="GL35">
        <v>0</v>
      </c>
      <c r="GM35">
        <v>3</v>
      </c>
      <c r="GN35">
        <v>2</v>
      </c>
      <c r="GO35">
        <v>2</v>
      </c>
      <c r="GP35">
        <v>1</v>
      </c>
      <c r="GQ35">
        <v>0</v>
      </c>
      <c r="GR35">
        <v>0</v>
      </c>
      <c r="GS35" s="21">
        <v>15</v>
      </c>
      <c r="GT35" s="21">
        <v>4</v>
      </c>
      <c r="GU35" s="21">
        <v>19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 s="21">
        <v>0</v>
      </c>
      <c r="HM35" s="21">
        <v>0</v>
      </c>
      <c r="HN35" s="21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 s="21">
        <v>0</v>
      </c>
      <c r="IF35" s="21">
        <v>0</v>
      </c>
      <c r="IG35" s="21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 s="21">
        <v>0</v>
      </c>
      <c r="IY35" s="21">
        <v>0</v>
      </c>
      <c r="IZ35" s="21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 s="21">
        <v>0</v>
      </c>
      <c r="JR35" s="21">
        <v>0</v>
      </c>
      <c r="JS35" s="21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1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 s="21">
        <v>1</v>
      </c>
      <c r="KK35" s="21">
        <v>0</v>
      </c>
      <c r="KL35" s="21">
        <v>1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 s="21">
        <v>0</v>
      </c>
      <c r="LD35" s="21">
        <v>0</v>
      </c>
      <c r="LE35" s="21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 s="21">
        <v>0</v>
      </c>
      <c r="LW35" s="21">
        <v>0</v>
      </c>
      <c r="LX35" s="21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 s="21">
        <v>0</v>
      </c>
      <c r="MP35" s="21">
        <v>0</v>
      </c>
      <c r="MQ35" s="21">
        <v>0</v>
      </c>
      <c r="MR35">
        <f>SUMIF($N$7:$MQ$7,"*"&amp;MR$7&amp;"*",$N35:$MQ35)</f>
        <v>2</v>
      </c>
      <c r="MS35">
        <f>SUMIF($N$7:$MQ$7,"*"&amp;MS$7&amp;"*",$N35:$MQ35)</f>
        <v>1</v>
      </c>
      <c r="MT35">
        <f>SUMIF($N$7:$MQ$7,"*"&amp;MT$7&amp;"*",$N35:$MQ35)</f>
        <v>7</v>
      </c>
      <c r="MU35">
        <f>SUMIF($N$7:$MQ$7,"*"&amp;MU$7&amp;"*",$N35:$MQ35)</f>
        <v>2</v>
      </c>
      <c r="MV35">
        <f>SUMIF($N$7:$MQ$7,"*"&amp;MV$7&amp;"*",$N35:$MQ35)</f>
        <v>2</v>
      </c>
      <c r="MW35">
        <f>SUMIF($N$7:$MQ$7,"*"&amp;MW$7&amp;"*",$N35:$MQ35)</f>
        <v>3</v>
      </c>
      <c r="MX35">
        <f>SUMIF($N$7:$MQ$7,"*"&amp;MX$7&amp;"*",$N35:$MQ35)</f>
        <v>3</v>
      </c>
      <c r="MY35">
        <f>SUMIF($N$7:$MQ$7,"*"&amp;MY$7&amp;"*",$N35:$MQ35)</f>
        <v>0</v>
      </c>
      <c r="MZ35">
        <f>SUMIF($N$7:$MQ$7,"*"&amp;MZ$7&amp;"*",$N35:$MQ35)</f>
        <v>7</v>
      </c>
      <c r="NA35">
        <f>SUMIF($N$7:$MQ$7,"*"&amp;NA$7&amp;"*",$N35:$MQ35)</f>
        <v>2</v>
      </c>
      <c r="NB35">
        <f>SUMIF($N$7:$MQ$7,"*"&amp;NB$7&amp;"*",$N35:$MQ35)</f>
        <v>3</v>
      </c>
      <c r="NC35">
        <f>SUMIF($N$7:$MQ$7,"*"&amp;NC$7&amp;"*",$N35:$MQ35)</f>
        <v>2</v>
      </c>
      <c r="ND35">
        <f>SUMIF($N$7:$MQ$7,"*"&amp;ND$7&amp;"*",$N35:$MQ35)</f>
        <v>4</v>
      </c>
      <c r="NE35">
        <f>SUMIF($N$7:$MQ$7,"*"&amp;NE$7&amp;"*",$N35:$MQ35)</f>
        <v>1</v>
      </c>
      <c r="NF35">
        <f>SUMIF($N$7:$MQ$7,"*"&amp;NF$7&amp;"*",$N35:$MQ35)</f>
        <v>0</v>
      </c>
      <c r="NG35">
        <f>SUMIF($N$7:$MQ$7,"*"&amp;NG$7&amp;"*",$N35:$MQ35)</f>
        <v>0</v>
      </c>
      <c r="NH35">
        <f>SUMIF($MR$5:$NG$5,NH$7,$MR35:$NG35)</f>
        <v>28</v>
      </c>
      <c r="NI35">
        <f>SUMIF($MR$5:$NG$5,NI$7,$MR35:$NG35)</f>
        <v>11</v>
      </c>
      <c r="NJ35">
        <f>SUM(NH35:NI35)</f>
        <v>39</v>
      </c>
    </row>
    <row r="36" spans="1:374" ht="30" x14ac:dyDescent="0.25">
      <c r="A36" t="s">
        <v>405</v>
      </c>
      <c r="B36" t="s">
        <v>421</v>
      </c>
      <c r="C36">
        <v>129401</v>
      </c>
      <c r="D36" s="20" t="s">
        <v>467</v>
      </c>
      <c r="E36" t="s">
        <v>423</v>
      </c>
      <c r="F36" t="s">
        <v>424</v>
      </c>
      <c r="G36" t="s">
        <v>407</v>
      </c>
      <c r="H36" t="s">
        <v>447</v>
      </c>
      <c r="I36" t="s">
        <v>408</v>
      </c>
      <c r="J36" t="s">
        <v>409</v>
      </c>
      <c r="K36" t="s">
        <v>410</v>
      </c>
      <c r="L36" t="s">
        <v>411</v>
      </c>
      <c r="M36" t="s">
        <v>412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s="21">
        <v>0</v>
      </c>
      <c r="AE36" s="21">
        <v>0</v>
      </c>
      <c r="AF36" s="21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 s="21">
        <v>0</v>
      </c>
      <c r="AX36" s="21">
        <v>0</v>
      </c>
      <c r="AY36" s="21">
        <v>0</v>
      </c>
      <c r="AZ36">
        <v>1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 s="21">
        <v>1</v>
      </c>
      <c r="BQ36" s="21">
        <v>1</v>
      </c>
      <c r="BR36" s="21">
        <v>2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 s="21">
        <v>0</v>
      </c>
      <c r="CJ36" s="21">
        <v>0</v>
      </c>
      <c r="CK36" s="21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 s="21">
        <v>0</v>
      </c>
      <c r="DC36" s="21">
        <v>0</v>
      </c>
      <c r="DD36" s="21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 s="21">
        <v>0</v>
      </c>
      <c r="DV36" s="21">
        <v>0</v>
      </c>
      <c r="DW36" s="21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 s="21">
        <v>0</v>
      </c>
      <c r="EO36" s="21">
        <v>0</v>
      </c>
      <c r="EP36" s="21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 s="21">
        <v>0</v>
      </c>
      <c r="FH36" s="21">
        <v>0</v>
      </c>
      <c r="FI36" s="21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 s="21">
        <v>0</v>
      </c>
      <c r="GA36" s="21">
        <v>0</v>
      </c>
      <c r="GB36" s="21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 s="21">
        <v>0</v>
      </c>
      <c r="GT36" s="21">
        <v>0</v>
      </c>
      <c r="GU36" s="21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 s="21">
        <v>0</v>
      </c>
      <c r="HM36" s="21">
        <v>0</v>
      </c>
      <c r="HN36" s="21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 s="21">
        <v>0</v>
      </c>
      <c r="IF36" s="21">
        <v>0</v>
      </c>
      <c r="IG36" s="21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 s="21">
        <v>0</v>
      </c>
      <c r="IY36" s="21">
        <v>0</v>
      </c>
      <c r="IZ36" s="21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 s="21">
        <v>0</v>
      </c>
      <c r="JR36" s="21">
        <v>0</v>
      </c>
      <c r="JS36" s="21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 s="21">
        <v>0</v>
      </c>
      <c r="KK36" s="21">
        <v>0</v>
      </c>
      <c r="KL36" s="21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 s="21">
        <v>0</v>
      </c>
      <c r="LD36" s="21">
        <v>0</v>
      </c>
      <c r="LE36" s="21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 s="21">
        <v>0</v>
      </c>
      <c r="LW36" s="21">
        <v>0</v>
      </c>
      <c r="LX36" s="21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 s="21">
        <v>0</v>
      </c>
      <c r="MP36" s="21">
        <v>0</v>
      </c>
      <c r="MQ36" s="21">
        <v>0</v>
      </c>
      <c r="MR36">
        <f>SUMIF($N$7:$MQ$7,"*"&amp;MR$7&amp;"*",$N36:$MQ36)</f>
        <v>1</v>
      </c>
      <c r="MS36">
        <f>SUMIF($N$7:$MQ$7,"*"&amp;MS$7&amp;"*",$N36:$MQ36)</f>
        <v>1</v>
      </c>
      <c r="MT36">
        <f>SUMIF($N$7:$MQ$7,"*"&amp;MT$7&amp;"*",$N36:$MQ36)</f>
        <v>0</v>
      </c>
      <c r="MU36">
        <f>SUMIF($N$7:$MQ$7,"*"&amp;MU$7&amp;"*",$N36:$MQ36)</f>
        <v>0</v>
      </c>
      <c r="MV36">
        <f>SUMIF($N$7:$MQ$7,"*"&amp;MV$7&amp;"*",$N36:$MQ36)</f>
        <v>0</v>
      </c>
      <c r="MW36">
        <f>SUMIF($N$7:$MQ$7,"*"&amp;MW$7&amp;"*",$N36:$MQ36)</f>
        <v>0</v>
      </c>
      <c r="MX36">
        <f>SUMIF($N$7:$MQ$7,"*"&amp;MX$7&amp;"*",$N36:$MQ36)</f>
        <v>0</v>
      </c>
      <c r="MY36">
        <f>SUMIF($N$7:$MQ$7,"*"&amp;MY$7&amp;"*",$N36:$MQ36)</f>
        <v>0</v>
      </c>
      <c r="MZ36">
        <f>SUMIF($N$7:$MQ$7,"*"&amp;MZ$7&amp;"*",$N36:$MQ36)</f>
        <v>0</v>
      </c>
      <c r="NA36">
        <f>SUMIF($N$7:$MQ$7,"*"&amp;NA$7&amp;"*",$N36:$MQ36)</f>
        <v>0</v>
      </c>
      <c r="NB36">
        <f>SUMIF($N$7:$MQ$7,"*"&amp;NB$7&amp;"*",$N36:$MQ36)</f>
        <v>0</v>
      </c>
      <c r="NC36">
        <f>SUMIF($N$7:$MQ$7,"*"&amp;NC$7&amp;"*",$N36:$MQ36)</f>
        <v>0</v>
      </c>
      <c r="ND36">
        <f>SUMIF($N$7:$MQ$7,"*"&amp;ND$7&amp;"*",$N36:$MQ36)</f>
        <v>0</v>
      </c>
      <c r="NE36">
        <f>SUMIF($N$7:$MQ$7,"*"&amp;NE$7&amp;"*",$N36:$MQ36)</f>
        <v>0</v>
      </c>
      <c r="NF36">
        <f>SUMIF($N$7:$MQ$7,"*"&amp;NF$7&amp;"*",$N36:$MQ36)</f>
        <v>0</v>
      </c>
      <c r="NG36">
        <f>SUMIF($N$7:$MQ$7,"*"&amp;NG$7&amp;"*",$N36:$MQ36)</f>
        <v>0</v>
      </c>
      <c r="NH36">
        <f>SUMIF($MR$5:$NG$5,NH$7,$MR36:$NG36)</f>
        <v>1</v>
      </c>
      <c r="NI36">
        <f>SUMIF($MR$5:$NG$5,NI$7,$MR36:$NG36)</f>
        <v>1</v>
      </c>
      <c r="NJ36">
        <f>SUM(NH36:NI36)</f>
        <v>2</v>
      </c>
    </row>
    <row r="37" spans="1:374" x14ac:dyDescent="0.25">
      <c r="A37" t="s">
        <v>405</v>
      </c>
      <c r="B37" t="s">
        <v>421</v>
      </c>
      <c r="C37">
        <v>129402</v>
      </c>
      <c r="D37" s="20" t="s">
        <v>468</v>
      </c>
      <c r="E37" t="s">
        <v>423</v>
      </c>
      <c r="F37" t="s">
        <v>424</v>
      </c>
      <c r="G37" t="s">
        <v>407</v>
      </c>
      <c r="H37" t="s">
        <v>456</v>
      </c>
      <c r="I37" t="s">
        <v>408</v>
      </c>
      <c r="J37" t="s">
        <v>409</v>
      </c>
      <c r="K37" t="s">
        <v>410</v>
      </c>
      <c r="L37" t="s">
        <v>411</v>
      </c>
      <c r="M37" t="s">
        <v>412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s="21">
        <v>0</v>
      </c>
      <c r="AE37" s="21">
        <v>0</v>
      </c>
      <c r="AF37" s="21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 s="21">
        <v>0</v>
      </c>
      <c r="AX37" s="21">
        <v>0</v>
      </c>
      <c r="AY37" s="21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 s="21">
        <v>0</v>
      </c>
      <c r="BQ37" s="21">
        <v>0</v>
      </c>
      <c r="BR37" s="21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 s="21">
        <v>0</v>
      </c>
      <c r="CJ37" s="21">
        <v>0</v>
      </c>
      <c r="CK37" s="21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 s="21">
        <v>0</v>
      </c>
      <c r="DC37" s="21">
        <v>0</v>
      </c>
      <c r="DD37" s="21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 s="21">
        <v>0</v>
      </c>
      <c r="DV37" s="21">
        <v>0</v>
      </c>
      <c r="DW37" s="21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 s="21">
        <v>0</v>
      </c>
      <c r="EO37" s="21">
        <v>0</v>
      </c>
      <c r="EP37" s="21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 s="21">
        <v>0</v>
      </c>
      <c r="FH37" s="21">
        <v>0</v>
      </c>
      <c r="FI37" s="21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 s="21">
        <v>0</v>
      </c>
      <c r="GA37" s="21">
        <v>0</v>
      </c>
      <c r="GB37" s="21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 s="21">
        <v>0</v>
      </c>
      <c r="GT37" s="21">
        <v>0</v>
      </c>
      <c r="GU37" s="21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 s="21">
        <v>0</v>
      </c>
      <c r="HM37" s="21">
        <v>0</v>
      </c>
      <c r="HN37" s="21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 s="21">
        <v>0</v>
      </c>
      <c r="IF37" s="21">
        <v>0</v>
      </c>
      <c r="IG37" s="21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 s="21">
        <v>0</v>
      </c>
      <c r="IY37" s="21">
        <v>0</v>
      </c>
      <c r="IZ37" s="21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 s="21">
        <v>0</v>
      </c>
      <c r="JR37" s="21">
        <v>0</v>
      </c>
      <c r="JS37" s="21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 s="21">
        <v>0</v>
      </c>
      <c r="KK37" s="21">
        <v>0</v>
      </c>
      <c r="KL37" s="21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 s="21">
        <v>0</v>
      </c>
      <c r="LD37" s="21">
        <v>0</v>
      </c>
      <c r="LE37" s="21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 s="21">
        <v>0</v>
      </c>
      <c r="LW37" s="21">
        <v>0</v>
      </c>
      <c r="LX37" s="21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 s="21">
        <v>0</v>
      </c>
      <c r="MP37" s="21">
        <v>0</v>
      </c>
      <c r="MQ37" s="21">
        <v>0</v>
      </c>
      <c r="MR37">
        <f>SUMIF($N$7:$MQ$7,"*"&amp;MR$7&amp;"*",$N37:$MQ37)</f>
        <v>0</v>
      </c>
      <c r="MS37">
        <f>SUMIF($N$7:$MQ$7,"*"&amp;MS$7&amp;"*",$N37:$MQ37)</f>
        <v>0</v>
      </c>
      <c r="MT37">
        <f>SUMIF($N$7:$MQ$7,"*"&amp;MT$7&amp;"*",$N37:$MQ37)</f>
        <v>0</v>
      </c>
      <c r="MU37">
        <f>SUMIF($N$7:$MQ$7,"*"&amp;MU$7&amp;"*",$N37:$MQ37)</f>
        <v>0</v>
      </c>
      <c r="MV37">
        <f>SUMIF($N$7:$MQ$7,"*"&amp;MV$7&amp;"*",$N37:$MQ37)</f>
        <v>0</v>
      </c>
      <c r="MW37">
        <f>SUMIF($N$7:$MQ$7,"*"&amp;MW$7&amp;"*",$N37:$MQ37)</f>
        <v>0</v>
      </c>
      <c r="MX37">
        <f>SUMIF($N$7:$MQ$7,"*"&amp;MX$7&amp;"*",$N37:$MQ37)</f>
        <v>0</v>
      </c>
      <c r="MY37">
        <f>SUMIF($N$7:$MQ$7,"*"&amp;MY$7&amp;"*",$N37:$MQ37)</f>
        <v>0</v>
      </c>
      <c r="MZ37">
        <f>SUMIF($N$7:$MQ$7,"*"&amp;MZ$7&amp;"*",$N37:$MQ37)</f>
        <v>0</v>
      </c>
      <c r="NA37">
        <f>SUMIF($N$7:$MQ$7,"*"&amp;NA$7&amp;"*",$N37:$MQ37)</f>
        <v>0</v>
      </c>
      <c r="NB37">
        <f>SUMIF($N$7:$MQ$7,"*"&amp;NB$7&amp;"*",$N37:$MQ37)</f>
        <v>0</v>
      </c>
      <c r="NC37">
        <f>SUMIF($N$7:$MQ$7,"*"&amp;NC$7&amp;"*",$N37:$MQ37)</f>
        <v>0</v>
      </c>
      <c r="ND37">
        <f>SUMIF($N$7:$MQ$7,"*"&amp;ND$7&amp;"*",$N37:$MQ37)</f>
        <v>0</v>
      </c>
      <c r="NE37">
        <f>SUMIF($N$7:$MQ$7,"*"&amp;NE$7&amp;"*",$N37:$MQ37)</f>
        <v>0</v>
      </c>
      <c r="NF37">
        <f>SUMIF($N$7:$MQ$7,"*"&amp;NF$7&amp;"*",$N37:$MQ37)</f>
        <v>0</v>
      </c>
      <c r="NG37">
        <f>SUMIF($N$7:$MQ$7,"*"&amp;NG$7&amp;"*",$N37:$MQ37)</f>
        <v>0</v>
      </c>
      <c r="NH37">
        <f>SUMIF($MR$5:$NG$5,NH$7,$MR37:$NG37)</f>
        <v>0</v>
      </c>
      <c r="NI37">
        <f>SUMIF($MR$5:$NG$5,NI$7,$MR37:$NG37)</f>
        <v>0</v>
      </c>
      <c r="NJ37">
        <f>SUM(NH37:NI37)</f>
        <v>0</v>
      </c>
    </row>
    <row r="38" spans="1:374" x14ac:dyDescent="0.25">
      <c r="A38" t="s">
        <v>405</v>
      </c>
      <c r="B38" t="s">
        <v>421</v>
      </c>
      <c r="C38">
        <v>129403</v>
      </c>
      <c r="D38" s="20" t="s">
        <v>469</v>
      </c>
      <c r="E38" t="s">
        <v>423</v>
      </c>
      <c r="F38" t="s">
        <v>424</v>
      </c>
      <c r="G38" t="s">
        <v>407</v>
      </c>
      <c r="H38" t="s">
        <v>425</v>
      </c>
      <c r="I38" t="s">
        <v>408</v>
      </c>
      <c r="J38" t="s">
        <v>409</v>
      </c>
      <c r="K38" t="s">
        <v>410</v>
      </c>
      <c r="L38" t="s">
        <v>411</v>
      </c>
      <c r="M38" t="s">
        <v>412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s="21">
        <v>0</v>
      </c>
      <c r="AE38" s="21">
        <v>0</v>
      </c>
      <c r="AF38" s="21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 s="21">
        <v>0</v>
      </c>
      <c r="AX38" s="21">
        <v>0</v>
      </c>
      <c r="AY38" s="21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 s="21">
        <v>0</v>
      </c>
      <c r="BQ38" s="21">
        <v>0</v>
      </c>
      <c r="BR38" s="21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 s="21">
        <v>2</v>
      </c>
      <c r="CJ38" s="21">
        <v>0</v>
      </c>
      <c r="CK38" s="21">
        <v>2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 s="21">
        <v>0</v>
      </c>
      <c r="DC38" s="21">
        <v>0</v>
      </c>
      <c r="DD38" s="21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 s="21">
        <v>0</v>
      </c>
      <c r="DV38" s="21">
        <v>0</v>
      </c>
      <c r="DW38" s="21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 s="21">
        <v>0</v>
      </c>
      <c r="EO38" s="21">
        <v>0</v>
      </c>
      <c r="EP38" s="21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 s="21">
        <v>0</v>
      </c>
      <c r="FH38" s="21">
        <v>0</v>
      </c>
      <c r="FI38" s="21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 s="21">
        <v>0</v>
      </c>
      <c r="GA38" s="21">
        <v>0</v>
      </c>
      <c r="GB38" s="21">
        <v>0</v>
      </c>
      <c r="GC38">
        <v>0</v>
      </c>
      <c r="GD38">
        <v>0</v>
      </c>
      <c r="GE38">
        <v>0</v>
      </c>
      <c r="GF38">
        <v>0</v>
      </c>
      <c r="GG38">
        <v>1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 s="21">
        <v>1</v>
      </c>
      <c r="GT38" s="21">
        <v>0</v>
      </c>
      <c r="GU38" s="21">
        <v>1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 s="21">
        <v>0</v>
      </c>
      <c r="HM38" s="21">
        <v>0</v>
      </c>
      <c r="HN38" s="21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 s="21">
        <v>0</v>
      </c>
      <c r="IF38" s="21">
        <v>0</v>
      </c>
      <c r="IG38" s="21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 s="21">
        <v>0</v>
      </c>
      <c r="IY38" s="21">
        <v>0</v>
      </c>
      <c r="IZ38" s="21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 s="21">
        <v>0</v>
      </c>
      <c r="JR38" s="21">
        <v>0</v>
      </c>
      <c r="JS38" s="21">
        <v>0</v>
      </c>
      <c r="JT38">
        <v>0</v>
      </c>
      <c r="JU38">
        <v>1</v>
      </c>
      <c r="JV38">
        <v>0</v>
      </c>
      <c r="JW38">
        <v>0</v>
      </c>
      <c r="JX38">
        <v>1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 s="21">
        <v>1</v>
      </c>
      <c r="KK38" s="21">
        <v>1</v>
      </c>
      <c r="KL38" s="21">
        <v>2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 s="21">
        <v>0</v>
      </c>
      <c r="LD38" s="21">
        <v>0</v>
      </c>
      <c r="LE38" s="21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 s="21">
        <v>0</v>
      </c>
      <c r="LW38" s="21">
        <v>0</v>
      </c>
      <c r="LX38" s="21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1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 s="21">
        <v>1</v>
      </c>
      <c r="MP38" s="21">
        <v>0</v>
      </c>
      <c r="MQ38" s="21">
        <v>1</v>
      </c>
      <c r="MR38">
        <f>SUMIF($N$7:$MQ$7,"*"&amp;MR$7&amp;"*",$N38:$MQ38)</f>
        <v>0</v>
      </c>
      <c r="MS38">
        <f>SUMIF($N$7:$MQ$7,"*"&amp;MS$7&amp;"*",$N38:$MQ38)</f>
        <v>1</v>
      </c>
      <c r="MT38">
        <f>SUMIF($N$7:$MQ$7,"*"&amp;MT$7&amp;"*",$N38:$MQ38)</f>
        <v>0</v>
      </c>
      <c r="MU38">
        <f>SUMIF($N$7:$MQ$7,"*"&amp;MU$7&amp;"*",$N38:$MQ38)</f>
        <v>0</v>
      </c>
      <c r="MV38">
        <f>SUMIF($N$7:$MQ$7,"*"&amp;MV$7&amp;"*",$N38:$MQ38)</f>
        <v>2</v>
      </c>
      <c r="MW38">
        <f>SUMIF($N$7:$MQ$7,"*"&amp;MW$7&amp;"*",$N38:$MQ38)</f>
        <v>0</v>
      </c>
      <c r="MX38">
        <f>SUMIF($N$7:$MQ$7,"*"&amp;MX$7&amp;"*",$N38:$MQ38)</f>
        <v>1</v>
      </c>
      <c r="MY38">
        <f>SUMIF($N$7:$MQ$7,"*"&amp;MY$7&amp;"*",$N38:$MQ38)</f>
        <v>0</v>
      </c>
      <c r="MZ38">
        <f>SUMIF($N$7:$MQ$7,"*"&amp;MZ$7&amp;"*",$N38:$MQ38)</f>
        <v>2</v>
      </c>
      <c r="NA38">
        <f>SUMIF($N$7:$MQ$7,"*"&amp;NA$7&amp;"*",$N38:$MQ38)</f>
        <v>0</v>
      </c>
      <c r="NB38">
        <f>SUMIF($N$7:$MQ$7,"*"&amp;NB$7&amp;"*",$N38:$MQ38)</f>
        <v>0</v>
      </c>
      <c r="NC38">
        <f>SUMIF($N$7:$MQ$7,"*"&amp;NC$7&amp;"*",$N38:$MQ38)</f>
        <v>0</v>
      </c>
      <c r="ND38">
        <f>SUMIF($N$7:$MQ$7,"*"&amp;ND$7&amp;"*",$N38:$MQ38)</f>
        <v>0</v>
      </c>
      <c r="NE38">
        <f>SUMIF($N$7:$MQ$7,"*"&amp;NE$7&amp;"*",$N38:$MQ38)</f>
        <v>0</v>
      </c>
      <c r="NF38">
        <f>SUMIF($N$7:$MQ$7,"*"&amp;NF$7&amp;"*",$N38:$MQ38)</f>
        <v>0</v>
      </c>
      <c r="NG38">
        <f>SUMIF($N$7:$MQ$7,"*"&amp;NG$7&amp;"*",$N38:$MQ38)</f>
        <v>0</v>
      </c>
      <c r="NH38">
        <f>SUMIF($MR$5:$NG$5,NH$7,$MR38:$NG38)</f>
        <v>5</v>
      </c>
      <c r="NI38">
        <f>SUMIF($MR$5:$NG$5,NI$7,$MR38:$NG38)</f>
        <v>1</v>
      </c>
      <c r="NJ38">
        <f>SUM(NH38:NI38)</f>
        <v>6</v>
      </c>
    </row>
    <row r="39" spans="1:374" x14ac:dyDescent="0.25">
      <c r="A39" t="s">
        <v>405</v>
      </c>
      <c r="B39" t="s">
        <v>421</v>
      </c>
      <c r="C39">
        <v>129404</v>
      </c>
      <c r="D39" s="20" t="s">
        <v>470</v>
      </c>
      <c r="E39" t="s">
        <v>423</v>
      </c>
      <c r="F39" t="s">
        <v>424</v>
      </c>
      <c r="G39" t="s">
        <v>407</v>
      </c>
      <c r="H39" t="s">
        <v>471</v>
      </c>
      <c r="I39" t="s">
        <v>408</v>
      </c>
      <c r="J39" t="s">
        <v>409</v>
      </c>
      <c r="K39" t="s">
        <v>410</v>
      </c>
      <c r="L39" t="s">
        <v>411</v>
      </c>
      <c r="M39" t="s">
        <v>412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s="21">
        <v>0</v>
      </c>
      <c r="AE39" s="21">
        <v>0</v>
      </c>
      <c r="AF39" s="21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 s="21">
        <v>0</v>
      </c>
      <c r="AX39" s="21">
        <v>0</v>
      </c>
      <c r="AY39" s="21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 s="21">
        <v>0</v>
      </c>
      <c r="BQ39" s="21">
        <v>0</v>
      </c>
      <c r="BR39" s="21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 s="21">
        <v>0</v>
      </c>
      <c r="CJ39" s="21">
        <v>0</v>
      </c>
      <c r="CK39" s="21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 s="21">
        <v>0</v>
      </c>
      <c r="DC39" s="21">
        <v>0</v>
      </c>
      <c r="DD39" s="21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 s="21">
        <v>0</v>
      </c>
      <c r="DV39" s="21">
        <v>0</v>
      </c>
      <c r="DW39" s="21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 s="21">
        <v>0</v>
      </c>
      <c r="EO39" s="21">
        <v>0</v>
      </c>
      <c r="EP39" s="21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 s="21">
        <v>0</v>
      </c>
      <c r="FH39" s="21">
        <v>0</v>
      </c>
      <c r="FI39" s="21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 s="21">
        <v>0</v>
      </c>
      <c r="GA39" s="21">
        <v>0</v>
      </c>
      <c r="GB39" s="21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2</v>
      </c>
      <c r="GJ39">
        <v>0</v>
      </c>
      <c r="GK39">
        <v>0</v>
      </c>
      <c r="GL39">
        <v>0</v>
      </c>
      <c r="GM39">
        <v>1</v>
      </c>
      <c r="GN39">
        <v>0</v>
      </c>
      <c r="GO39">
        <v>0</v>
      </c>
      <c r="GP39">
        <v>0</v>
      </c>
      <c r="GQ39">
        <v>0</v>
      </c>
      <c r="GR39">
        <v>0</v>
      </c>
      <c r="GS39" s="21">
        <v>3</v>
      </c>
      <c r="GT39" s="21">
        <v>0</v>
      </c>
      <c r="GU39" s="21">
        <v>3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 s="21">
        <v>0</v>
      </c>
      <c r="HM39" s="21">
        <v>0</v>
      </c>
      <c r="HN39" s="21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 s="21">
        <v>0</v>
      </c>
      <c r="IF39" s="21">
        <v>0</v>
      </c>
      <c r="IG39" s="21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 s="21">
        <v>0</v>
      </c>
      <c r="IY39" s="21">
        <v>0</v>
      </c>
      <c r="IZ39" s="21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 s="21">
        <v>0</v>
      </c>
      <c r="JR39" s="21">
        <v>0</v>
      </c>
      <c r="JS39" s="21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 s="21">
        <v>0</v>
      </c>
      <c r="KK39" s="21">
        <v>0</v>
      </c>
      <c r="KL39" s="21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 s="21">
        <v>0</v>
      </c>
      <c r="LD39" s="21">
        <v>0</v>
      </c>
      <c r="LE39" s="21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 s="21">
        <v>0</v>
      </c>
      <c r="LW39" s="21">
        <v>0</v>
      </c>
      <c r="LX39" s="21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 s="21">
        <v>0</v>
      </c>
      <c r="MP39" s="21">
        <v>0</v>
      </c>
      <c r="MQ39" s="21">
        <v>0</v>
      </c>
      <c r="MR39">
        <f>SUMIF($N$7:$MQ$7,"*"&amp;MR$7&amp;"*",$N39:$MQ39)</f>
        <v>0</v>
      </c>
      <c r="MS39">
        <f>SUMIF($N$7:$MQ$7,"*"&amp;MS$7&amp;"*",$N39:$MQ39)</f>
        <v>0</v>
      </c>
      <c r="MT39">
        <f>SUMIF($N$7:$MQ$7,"*"&amp;MT$7&amp;"*",$N39:$MQ39)</f>
        <v>0</v>
      </c>
      <c r="MU39">
        <f>SUMIF($N$7:$MQ$7,"*"&amp;MU$7&amp;"*",$N39:$MQ39)</f>
        <v>0</v>
      </c>
      <c r="MV39">
        <f>SUMIF($N$7:$MQ$7,"*"&amp;MV$7&amp;"*",$N39:$MQ39)</f>
        <v>0</v>
      </c>
      <c r="MW39">
        <f>SUMIF($N$7:$MQ$7,"*"&amp;MW$7&amp;"*",$N39:$MQ39)</f>
        <v>0</v>
      </c>
      <c r="MX39">
        <f>SUMIF($N$7:$MQ$7,"*"&amp;MX$7&amp;"*",$N39:$MQ39)</f>
        <v>2</v>
      </c>
      <c r="MY39">
        <f>SUMIF($N$7:$MQ$7,"*"&amp;MY$7&amp;"*",$N39:$MQ39)</f>
        <v>0</v>
      </c>
      <c r="MZ39">
        <f>SUMIF($N$7:$MQ$7,"*"&amp;MZ$7&amp;"*",$N39:$MQ39)</f>
        <v>0</v>
      </c>
      <c r="NA39">
        <f>SUMIF($N$7:$MQ$7,"*"&amp;NA$7&amp;"*",$N39:$MQ39)</f>
        <v>0</v>
      </c>
      <c r="NB39">
        <f>SUMIF($N$7:$MQ$7,"*"&amp;NB$7&amp;"*",$N39:$MQ39)</f>
        <v>1</v>
      </c>
      <c r="NC39">
        <f>SUMIF($N$7:$MQ$7,"*"&amp;NC$7&amp;"*",$N39:$MQ39)</f>
        <v>0</v>
      </c>
      <c r="ND39">
        <f>SUMIF($N$7:$MQ$7,"*"&amp;ND$7&amp;"*",$N39:$MQ39)</f>
        <v>0</v>
      </c>
      <c r="NE39">
        <f>SUMIF($N$7:$MQ$7,"*"&amp;NE$7&amp;"*",$N39:$MQ39)</f>
        <v>0</v>
      </c>
      <c r="NF39">
        <f>SUMIF($N$7:$MQ$7,"*"&amp;NF$7&amp;"*",$N39:$MQ39)</f>
        <v>0</v>
      </c>
      <c r="NG39">
        <f>SUMIF($N$7:$MQ$7,"*"&amp;NG$7&amp;"*",$N39:$MQ39)</f>
        <v>0</v>
      </c>
      <c r="NH39">
        <f>SUMIF($MR$5:$NG$5,NH$7,$MR39:$NG39)</f>
        <v>3</v>
      </c>
      <c r="NI39">
        <f>SUMIF($MR$5:$NG$5,NI$7,$MR39:$NG39)</f>
        <v>0</v>
      </c>
      <c r="NJ39">
        <f>SUM(NH39:NI39)</f>
        <v>3</v>
      </c>
    </row>
    <row r="40" spans="1:374" x14ac:dyDescent="0.25">
      <c r="A40" t="s">
        <v>405</v>
      </c>
      <c r="B40" t="s">
        <v>421</v>
      </c>
      <c r="C40">
        <v>129405</v>
      </c>
      <c r="D40" s="20" t="s">
        <v>472</v>
      </c>
      <c r="E40" t="s">
        <v>423</v>
      </c>
      <c r="F40" t="s">
        <v>424</v>
      </c>
      <c r="G40" t="s">
        <v>407</v>
      </c>
      <c r="H40" t="s">
        <v>473</v>
      </c>
      <c r="I40" t="s">
        <v>408</v>
      </c>
      <c r="J40" t="s">
        <v>409</v>
      </c>
      <c r="K40" t="s">
        <v>410</v>
      </c>
      <c r="L40" t="s">
        <v>411</v>
      </c>
      <c r="M40" t="s">
        <v>412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s="21">
        <v>0</v>
      </c>
      <c r="AE40" s="21">
        <v>0</v>
      </c>
      <c r="AF40" s="21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 s="21">
        <v>0</v>
      </c>
      <c r="AX40" s="21">
        <v>0</v>
      </c>
      <c r="AY40" s="21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 s="21">
        <v>0</v>
      </c>
      <c r="BQ40" s="21">
        <v>0</v>
      </c>
      <c r="BR40" s="21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 s="21">
        <v>0</v>
      </c>
      <c r="CJ40" s="21">
        <v>0</v>
      </c>
      <c r="CK40" s="21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 s="21">
        <v>0</v>
      </c>
      <c r="DC40" s="21">
        <v>0</v>
      </c>
      <c r="DD40" s="21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 s="21">
        <v>0</v>
      </c>
      <c r="DV40" s="21">
        <v>0</v>
      </c>
      <c r="DW40" s="21">
        <v>0</v>
      </c>
      <c r="DX40">
        <v>0</v>
      </c>
      <c r="DY40">
        <v>0</v>
      </c>
      <c r="DZ40">
        <v>1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 s="21">
        <v>1</v>
      </c>
      <c r="EO40" s="21">
        <v>0</v>
      </c>
      <c r="EP40" s="21">
        <v>1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 s="21">
        <v>0</v>
      </c>
      <c r="FH40" s="21">
        <v>0</v>
      </c>
      <c r="FI40" s="21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 s="21">
        <v>0</v>
      </c>
      <c r="GA40" s="21">
        <v>0</v>
      </c>
      <c r="GB40" s="21">
        <v>0</v>
      </c>
      <c r="GC40">
        <v>0</v>
      </c>
      <c r="GD40">
        <v>0</v>
      </c>
      <c r="GE40">
        <v>3</v>
      </c>
      <c r="GF40">
        <v>0</v>
      </c>
      <c r="GG40">
        <v>1</v>
      </c>
      <c r="GH40">
        <v>0</v>
      </c>
      <c r="GI40">
        <v>2</v>
      </c>
      <c r="GJ40">
        <v>1</v>
      </c>
      <c r="GK40">
        <v>2</v>
      </c>
      <c r="GL40">
        <v>0</v>
      </c>
      <c r="GM40">
        <v>1</v>
      </c>
      <c r="GN40">
        <v>0</v>
      </c>
      <c r="GO40">
        <v>2</v>
      </c>
      <c r="GP40">
        <v>0</v>
      </c>
      <c r="GQ40">
        <v>0</v>
      </c>
      <c r="GR40">
        <v>0</v>
      </c>
      <c r="GS40" s="21">
        <v>11</v>
      </c>
      <c r="GT40" s="21">
        <v>1</v>
      </c>
      <c r="GU40" s="21">
        <v>12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 s="21">
        <v>0</v>
      </c>
      <c r="HM40" s="21">
        <v>0</v>
      </c>
      <c r="HN40" s="21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 s="21">
        <v>0</v>
      </c>
      <c r="IF40" s="21">
        <v>0</v>
      </c>
      <c r="IG40" s="21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 s="21">
        <v>0</v>
      </c>
      <c r="IY40" s="21">
        <v>0</v>
      </c>
      <c r="IZ40" s="21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 s="21">
        <v>0</v>
      </c>
      <c r="JR40" s="21">
        <v>0</v>
      </c>
      <c r="JS40" s="21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 s="21">
        <v>0</v>
      </c>
      <c r="KK40" s="21">
        <v>0</v>
      </c>
      <c r="KL40" s="21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 s="21">
        <v>0</v>
      </c>
      <c r="LD40" s="21">
        <v>0</v>
      </c>
      <c r="LE40" s="21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 s="21">
        <v>0</v>
      </c>
      <c r="LW40" s="21">
        <v>0</v>
      </c>
      <c r="LX40" s="21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 s="21">
        <v>0</v>
      </c>
      <c r="MP40" s="21">
        <v>0</v>
      </c>
      <c r="MQ40" s="21">
        <v>0</v>
      </c>
      <c r="MR40">
        <f>SUMIF($N$7:$MQ$7,"*"&amp;MR$7&amp;"*",$N40:$MQ40)</f>
        <v>0</v>
      </c>
      <c r="MS40">
        <f>SUMIF($N$7:$MQ$7,"*"&amp;MS$7&amp;"*",$N40:$MQ40)</f>
        <v>0</v>
      </c>
      <c r="MT40">
        <f>SUMIF($N$7:$MQ$7,"*"&amp;MT$7&amp;"*",$N40:$MQ40)</f>
        <v>4</v>
      </c>
      <c r="MU40">
        <f>SUMIF($N$7:$MQ$7,"*"&amp;MU$7&amp;"*",$N40:$MQ40)</f>
        <v>0</v>
      </c>
      <c r="MV40">
        <f>SUMIF($N$7:$MQ$7,"*"&amp;MV$7&amp;"*",$N40:$MQ40)</f>
        <v>1</v>
      </c>
      <c r="MW40">
        <f>SUMIF($N$7:$MQ$7,"*"&amp;MW$7&amp;"*",$N40:$MQ40)</f>
        <v>0</v>
      </c>
      <c r="MX40">
        <f>SUMIF($N$7:$MQ$7,"*"&amp;MX$7&amp;"*",$N40:$MQ40)</f>
        <v>2</v>
      </c>
      <c r="MY40">
        <f>SUMIF($N$7:$MQ$7,"*"&amp;MY$7&amp;"*",$N40:$MQ40)</f>
        <v>1</v>
      </c>
      <c r="MZ40">
        <f>SUMIF($N$7:$MQ$7,"*"&amp;MZ$7&amp;"*",$N40:$MQ40)</f>
        <v>2</v>
      </c>
      <c r="NA40">
        <f>SUMIF($N$7:$MQ$7,"*"&amp;NA$7&amp;"*",$N40:$MQ40)</f>
        <v>0</v>
      </c>
      <c r="NB40">
        <f>SUMIF($N$7:$MQ$7,"*"&amp;NB$7&amp;"*",$N40:$MQ40)</f>
        <v>1</v>
      </c>
      <c r="NC40">
        <f>SUMIF($N$7:$MQ$7,"*"&amp;NC$7&amp;"*",$N40:$MQ40)</f>
        <v>0</v>
      </c>
      <c r="ND40">
        <f>SUMIF($N$7:$MQ$7,"*"&amp;ND$7&amp;"*",$N40:$MQ40)</f>
        <v>2</v>
      </c>
      <c r="NE40">
        <f>SUMIF($N$7:$MQ$7,"*"&amp;NE$7&amp;"*",$N40:$MQ40)</f>
        <v>0</v>
      </c>
      <c r="NF40">
        <f>SUMIF($N$7:$MQ$7,"*"&amp;NF$7&amp;"*",$N40:$MQ40)</f>
        <v>0</v>
      </c>
      <c r="NG40">
        <f>SUMIF($N$7:$MQ$7,"*"&amp;NG$7&amp;"*",$N40:$MQ40)</f>
        <v>0</v>
      </c>
      <c r="NH40">
        <f>SUMIF($MR$5:$NG$5,NH$7,$MR40:$NG40)</f>
        <v>12</v>
      </c>
      <c r="NI40">
        <f>SUMIF($MR$5:$NG$5,NI$7,$MR40:$NG40)</f>
        <v>1</v>
      </c>
      <c r="NJ40">
        <f>SUM(NH40:NI40)</f>
        <v>13</v>
      </c>
    </row>
    <row r="41" spans="1:374" x14ac:dyDescent="0.25">
      <c r="A41" t="s">
        <v>405</v>
      </c>
      <c r="B41" t="s">
        <v>421</v>
      </c>
      <c r="C41">
        <v>129406</v>
      </c>
      <c r="D41" s="20" t="s">
        <v>474</v>
      </c>
      <c r="E41" t="s">
        <v>423</v>
      </c>
      <c r="F41" t="s">
        <v>424</v>
      </c>
      <c r="G41" t="s">
        <v>407</v>
      </c>
      <c r="H41" t="s">
        <v>454</v>
      </c>
      <c r="I41" t="s">
        <v>408</v>
      </c>
      <c r="J41" t="s">
        <v>409</v>
      </c>
      <c r="K41" t="s">
        <v>410</v>
      </c>
      <c r="L41" t="s">
        <v>411</v>
      </c>
      <c r="M41" t="s">
        <v>412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s="21">
        <v>0</v>
      </c>
      <c r="AE41" s="21">
        <v>0</v>
      </c>
      <c r="AF41" s="2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 s="21">
        <v>0</v>
      </c>
      <c r="AX41" s="21">
        <v>0</v>
      </c>
      <c r="AY41" s="21">
        <v>0</v>
      </c>
      <c r="AZ41">
        <v>1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 s="21">
        <v>1</v>
      </c>
      <c r="BQ41" s="21">
        <v>1</v>
      </c>
      <c r="BR41" s="21">
        <v>2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 s="21">
        <v>1</v>
      </c>
      <c r="CJ41" s="21">
        <v>0</v>
      </c>
      <c r="CK41" s="2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 s="21">
        <v>0</v>
      </c>
      <c r="DC41" s="21">
        <v>0</v>
      </c>
      <c r="DD41" s="2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 s="21">
        <v>0</v>
      </c>
      <c r="DV41" s="21">
        <v>0</v>
      </c>
      <c r="DW41" s="2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 s="21">
        <v>0</v>
      </c>
      <c r="EO41" s="21">
        <v>0</v>
      </c>
      <c r="EP41" s="2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 s="21">
        <v>0</v>
      </c>
      <c r="FH41" s="21">
        <v>0</v>
      </c>
      <c r="FI41" s="2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 s="21">
        <v>0</v>
      </c>
      <c r="GA41" s="21">
        <v>0</v>
      </c>
      <c r="GB41" s="21">
        <v>0</v>
      </c>
      <c r="GC41">
        <v>1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 s="21">
        <v>1</v>
      </c>
      <c r="GT41" s="21">
        <v>0</v>
      </c>
      <c r="GU41" s="21">
        <v>1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 s="21">
        <v>0</v>
      </c>
      <c r="HM41" s="21">
        <v>0</v>
      </c>
      <c r="HN41" s="2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 s="21">
        <v>0</v>
      </c>
      <c r="IF41" s="21">
        <v>0</v>
      </c>
      <c r="IG41" s="2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 s="21">
        <v>0</v>
      </c>
      <c r="IY41" s="21">
        <v>0</v>
      </c>
      <c r="IZ41" s="2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 s="21">
        <v>0</v>
      </c>
      <c r="JR41" s="21">
        <v>0</v>
      </c>
      <c r="JS41" s="2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 s="21">
        <v>0</v>
      </c>
      <c r="KK41" s="21">
        <v>0</v>
      </c>
      <c r="KL41" s="2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 s="21">
        <v>0</v>
      </c>
      <c r="LD41" s="21">
        <v>0</v>
      </c>
      <c r="LE41" s="2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 s="21">
        <v>0</v>
      </c>
      <c r="LW41" s="21">
        <v>0</v>
      </c>
      <c r="LX41" s="2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 s="21">
        <v>0</v>
      </c>
      <c r="MP41" s="21">
        <v>0</v>
      </c>
      <c r="MQ41" s="21">
        <v>0</v>
      </c>
      <c r="MR41">
        <f>SUMIF($N$7:$MQ$7,"*"&amp;MR$7&amp;"*",$N41:$MQ41)</f>
        <v>3</v>
      </c>
      <c r="MS41">
        <f>SUMIF($N$7:$MQ$7,"*"&amp;MS$7&amp;"*",$N41:$MQ41)</f>
        <v>1</v>
      </c>
      <c r="MT41">
        <f>SUMIF($N$7:$MQ$7,"*"&amp;MT$7&amp;"*",$N41:$MQ41)</f>
        <v>0</v>
      </c>
      <c r="MU41">
        <f>SUMIF($N$7:$MQ$7,"*"&amp;MU$7&amp;"*",$N41:$MQ41)</f>
        <v>0</v>
      </c>
      <c r="MV41">
        <f>SUMIF($N$7:$MQ$7,"*"&amp;MV$7&amp;"*",$N41:$MQ41)</f>
        <v>0</v>
      </c>
      <c r="MW41">
        <f>SUMIF($N$7:$MQ$7,"*"&amp;MW$7&amp;"*",$N41:$MQ41)</f>
        <v>0</v>
      </c>
      <c r="MX41">
        <f>SUMIF($N$7:$MQ$7,"*"&amp;MX$7&amp;"*",$N41:$MQ41)</f>
        <v>0</v>
      </c>
      <c r="MY41">
        <f>SUMIF($N$7:$MQ$7,"*"&amp;MY$7&amp;"*",$N41:$MQ41)</f>
        <v>0</v>
      </c>
      <c r="MZ41">
        <f>SUMIF($N$7:$MQ$7,"*"&amp;MZ$7&amp;"*",$N41:$MQ41)</f>
        <v>0</v>
      </c>
      <c r="NA41">
        <f>SUMIF($N$7:$MQ$7,"*"&amp;NA$7&amp;"*",$N41:$MQ41)</f>
        <v>0</v>
      </c>
      <c r="NB41">
        <f>SUMIF($N$7:$MQ$7,"*"&amp;NB$7&amp;"*",$N41:$MQ41)</f>
        <v>0</v>
      </c>
      <c r="NC41">
        <f>SUMIF($N$7:$MQ$7,"*"&amp;NC$7&amp;"*",$N41:$MQ41)</f>
        <v>0</v>
      </c>
      <c r="ND41">
        <f>SUMIF($N$7:$MQ$7,"*"&amp;ND$7&amp;"*",$N41:$MQ41)</f>
        <v>0</v>
      </c>
      <c r="NE41">
        <f>SUMIF($N$7:$MQ$7,"*"&amp;NE$7&amp;"*",$N41:$MQ41)</f>
        <v>0</v>
      </c>
      <c r="NF41">
        <f>SUMIF($N$7:$MQ$7,"*"&amp;NF$7&amp;"*",$N41:$MQ41)</f>
        <v>0</v>
      </c>
      <c r="NG41">
        <f>SUMIF($N$7:$MQ$7,"*"&amp;NG$7&amp;"*",$N41:$MQ41)</f>
        <v>0</v>
      </c>
      <c r="NH41">
        <f>SUMIF($MR$5:$NG$5,NH$7,$MR41:$NG41)</f>
        <v>3</v>
      </c>
      <c r="NI41">
        <f>SUMIF($MR$5:$NG$5,NI$7,$MR41:$NG41)</f>
        <v>1</v>
      </c>
      <c r="NJ41">
        <f>SUM(NH41:NI41)</f>
        <v>4</v>
      </c>
    </row>
    <row r="42" spans="1:374" ht="30" x14ac:dyDescent="0.25">
      <c r="A42" t="s">
        <v>405</v>
      </c>
      <c r="B42" t="s">
        <v>421</v>
      </c>
      <c r="C42">
        <v>129407</v>
      </c>
      <c r="D42" s="20" t="s">
        <v>475</v>
      </c>
      <c r="E42" t="s">
        <v>423</v>
      </c>
      <c r="F42" t="s">
        <v>424</v>
      </c>
      <c r="G42" t="s">
        <v>407</v>
      </c>
      <c r="H42" t="s">
        <v>461</v>
      </c>
      <c r="I42" t="s">
        <v>408</v>
      </c>
      <c r="J42" t="s">
        <v>409</v>
      </c>
      <c r="K42" t="s">
        <v>410</v>
      </c>
      <c r="L42" t="s">
        <v>411</v>
      </c>
      <c r="M42" t="s">
        <v>412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s="21">
        <v>0</v>
      </c>
      <c r="AE42" s="21">
        <v>0</v>
      </c>
      <c r="AF42" s="21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s="21">
        <v>0</v>
      </c>
      <c r="AX42" s="21">
        <v>0</v>
      </c>
      <c r="AY42" s="21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 s="21">
        <v>1</v>
      </c>
      <c r="BQ42" s="21">
        <v>0</v>
      </c>
      <c r="BR42" s="21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 s="21">
        <v>0</v>
      </c>
      <c r="CJ42" s="21">
        <v>0</v>
      </c>
      <c r="CK42" s="21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 s="21">
        <v>0</v>
      </c>
      <c r="DC42" s="21">
        <v>0</v>
      </c>
      <c r="DD42" s="21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 s="21">
        <v>0</v>
      </c>
      <c r="DV42" s="21">
        <v>0</v>
      </c>
      <c r="DW42" s="21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 s="21">
        <v>0</v>
      </c>
      <c r="EO42" s="21">
        <v>0</v>
      </c>
      <c r="EP42" s="21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 s="21">
        <v>0</v>
      </c>
      <c r="FH42" s="21">
        <v>0</v>
      </c>
      <c r="FI42" s="21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 s="21">
        <v>0</v>
      </c>
      <c r="GA42" s="21">
        <v>0</v>
      </c>
      <c r="GB42" s="21">
        <v>0</v>
      </c>
      <c r="GC42">
        <v>1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 s="21">
        <v>1</v>
      </c>
      <c r="GT42" s="21">
        <v>0</v>
      </c>
      <c r="GU42" s="21">
        <v>1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 s="21">
        <v>0</v>
      </c>
      <c r="HM42" s="21">
        <v>0</v>
      </c>
      <c r="HN42" s="21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 s="21">
        <v>0</v>
      </c>
      <c r="IF42" s="21">
        <v>0</v>
      </c>
      <c r="IG42" s="21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 s="21">
        <v>0</v>
      </c>
      <c r="IY42" s="21">
        <v>0</v>
      </c>
      <c r="IZ42" s="21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 s="21">
        <v>0</v>
      </c>
      <c r="JR42" s="21">
        <v>0</v>
      </c>
      <c r="JS42" s="21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 s="21">
        <v>0</v>
      </c>
      <c r="KK42" s="21">
        <v>0</v>
      </c>
      <c r="KL42" s="21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 s="21">
        <v>0</v>
      </c>
      <c r="LD42" s="21">
        <v>0</v>
      </c>
      <c r="LE42" s="21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 s="21">
        <v>0</v>
      </c>
      <c r="LW42" s="21">
        <v>0</v>
      </c>
      <c r="LX42" s="21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 s="21">
        <v>0</v>
      </c>
      <c r="MP42" s="21">
        <v>0</v>
      </c>
      <c r="MQ42" s="21">
        <v>0</v>
      </c>
      <c r="MR42">
        <f>SUMIF($N$7:$MQ$7,"*"&amp;MR$7&amp;"*",$N42:$MQ42)</f>
        <v>2</v>
      </c>
      <c r="MS42">
        <f>SUMIF($N$7:$MQ$7,"*"&amp;MS$7&amp;"*",$N42:$MQ42)</f>
        <v>0</v>
      </c>
      <c r="MT42">
        <f>SUMIF($N$7:$MQ$7,"*"&amp;MT$7&amp;"*",$N42:$MQ42)</f>
        <v>0</v>
      </c>
      <c r="MU42">
        <f>SUMIF($N$7:$MQ$7,"*"&amp;MU$7&amp;"*",$N42:$MQ42)</f>
        <v>0</v>
      </c>
      <c r="MV42">
        <f>SUMIF($N$7:$MQ$7,"*"&amp;MV$7&amp;"*",$N42:$MQ42)</f>
        <v>0</v>
      </c>
      <c r="MW42">
        <f>SUMIF($N$7:$MQ$7,"*"&amp;MW$7&amp;"*",$N42:$MQ42)</f>
        <v>0</v>
      </c>
      <c r="MX42">
        <f>SUMIF($N$7:$MQ$7,"*"&amp;MX$7&amp;"*",$N42:$MQ42)</f>
        <v>0</v>
      </c>
      <c r="MY42">
        <f>SUMIF($N$7:$MQ$7,"*"&amp;MY$7&amp;"*",$N42:$MQ42)</f>
        <v>0</v>
      </c>
      <c r="MZ42">
        <f>SUMIF($N$7:$MQ$7,"*"&amp;MZ$7&amp;"*",$N42:$MQ42)</f>
        <v>0</v>
      </c>
      <c r="NA42">
        <f>SUMIF($N$7:$MQ$7,"*"&amp;NA$7&amp;"*",$N42:$MQ42)</f>
        <v>0</v>
      </c>
      <c r="NB42">
        <f>SUMIF($N$7:$MQ$7,"*"&amp;NB$7&amp;"*",$N42:$MQ42)</f>
        <v>0</v>
      </c>
      <c r="NC42">
        <f>SUMIF($N$7:$MQ$7,"*"&amp;NC$7&amp;"*",$N42:$MQ42)</f>
        <v>0</v>
      </c>
      <c r="ND42">
        <f>SUMIF($N$7:$MQ$7,"*"&amp;ND$7&amp;"*",$N42:$MQ42)</f>
        <v>0</v>
      </c>
      <c r="NE42">
        <f>SUMIF($N$7:$MQ$7,"*"&amp;NE$7&amp;"*",$N42:$MQ42)</f>
        <v>0</v>
      </c>
      <c r="NF42">
        <f>SUMIF($N$7:$MQ$7,"*"&amp;NF$7&amp;"*",$N42:$MQ42)</f>
        <v>0</v>
      </c>
      <c r="NG42">
        <f>SUMIF($N$7:$MQ$7,"*"&amp;NG$7&amp;"*",$N42:$MQ42)</f>
        <v>0</v>
      </c>
      <c r="NH42">
        <f>SUMIF($MR$5:$NG$5,NH$7,$MR42:$NG42)</f>
        <v>2</v>
      </c>
      <c r="NI42">
        <f>SUMIF($MR$5:$NG$5,NI$7,$MR42:$NG42)</f>
        <v>0</v>
      </c>
      <c r="NJ42">
        <f>SUM(NH42:NI42)</f>
        <v>2</v>
      </c>
    </row>
    <row r="43" spans="1:374" x14ac:dyDescent="0.25">
      <c r="A43" t="s">
        <v>405</v>
      </c>
      <c r="B43" t="s">
        <v>421</v>
      </c>
      <c r="C43">
        <v>129408</v>
      </c>
      <c r="D43" s="20" t="s">
        <v>476</v>
      </c>
      <c r="E43" t="s">
        <v>423</v>
      </c>
      <c r="F43" t="s">
        <v>424</v>
      </c>
      <c r="G43" t="s">
        <v>407</v>
      </c>
      <c r="H43" t="s">
        <v>463</v>
      </c>
      <c r="I43" t="s">
        <v>408</v>
      </c>
      <c r="J43" t="s">
        <v>409</v>
      </c>
      <c r="K43" t="s">
        <v>410</v>
      </c>
      <c r="L43" t="s">
        <v>411</v>
      </c>
      <c r="M43" t="s">
        <v>412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s="21">
        <v>0</v>
      </c>
      <c r="AE43" s="21">
        <v>0</v>
      </c>
      <c r="AF43" s="21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s="21">
        <v>0</v>
      </c>
      <c r="AX43" s="21">
        <v>0</v>
      </c>
      <c r="AY43" s="21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 s="21">
        <v>1</v>
      </c>
      <c r="BQ43" s="21">
        <v>1</v>
      </c>
      <c r="BR43" s="21">
        <v>2</v>
      </c>
      <c r="BS43">
        <v>0</v>
      </c>
      <c r="BT43">
        <v>0</v>
      </c>
      <c r="BU43">
        <v>2</v>
      </c>
      <c r="BV43">
        <v>1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 s="21">
        <v>3</v>
      </c>
      <c r="CJ43" s="21">
        <v>1</v>
      </c>
      <c r="CK43" s="21">
        <v>4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 s="21">
        <v>0</v>
      </c>
      <c r="DC43" s="21">
        <v>0</v>
      </c>
      <c r="DD43" s="21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 s="21">
        <v>0</v>
      </c>
      <c r="DV43" s="21">
        <v>0</v>
      </c>
      <c r="DW43" s="21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 s="21">
        <v>0</v>
      </c>
      <c r="EO43" s="21">
        <v>0</v>
      </c>
      <c r="EP43" s="21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 s="21">
        <v>0</v>
      </c>
      <c r="FH43" s="21">
        <v>0</v>
      </c>
      <c r="FI43" s="21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 s="21">
        <v>0</v>
      </c>
      <c r="GA43" s="21">
        <v>0</v>
      </c>
      <c r="GB43" s="21">
        <v>0</v>
      </c>
      <c r="GC43">
        <v>0</v>
      </c>
      <c r="GD43">
        <v>0</v>
      </c>
      <c r="GE43">
        <v>0</v>
      </c>
      <c r="GF43">
        <v>1</v>
      </c>
      <c r="GG43">
        <v>1</v>
      </c>
      <c r="GH43">
        <v>1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 s="21">
        <v>1</v>
      </c>
      <c r="GT43" s="21">
        <v>2</v>
      </c>
      <c r="GU43" s="21">
        <v>3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 s="21">
        <v>0</v>
      </c>
      <c r="HM43" s="21">
        <v>0</v>
      </c>
      <c r="HN43" s="21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 s="21">
        <v>0</v>
      </c>
      <c r="IF43" s="21">
        <v>0</v>
      </c>
      <c r="IG43" s="21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 s="21">
        <v>0</v>
      </c>
      <c r="IY43" s="21">
        <v>0</v>
      </c>
      <c r="IZ43" s="21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 s="21">
        <v>0</v>
      </c>
      <c r="JR43" s="21">
        <v>0</v>
      </c>
      <c r="JS43" s="21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 s="21">
        <v>0</v>
      </c>
      <c r="KK43" s="21">
        <v>0</v>
      </c>
      <c r="KL43" s="21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 s="21">
        <v>0</v>
      </c>
      <c r="LD43" s="21">
        <v>0</v>
      </c>
      <c r="LE43" s="21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 s="21">
        <v>0</v>
      </c>
      <c r="LW43" s="21">
        <v>0</v>
      </c>
      <c r="LX43" s="21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 s="21">
        <v>0</v>
      </c>
      <c r="MP43" s="21">
        <v>0</v>
      </c>
      <c r="MQ43" s="21">
        <v>0</v>
      </c>
      <c r="MR43">
        <f>SUMIF($N$7:$MQ$7,"*"&amp;MR$7&amp;"*",$N43:$MQ43)</f>
        <v>0</v>
      </c>
      <c r="MS43">
        <f>SUMIF($N$7:$MQ$7,"*"&amp;MS$7&amp;"*",$N43:$MQ43)</f>
        <v>0</v>
      </c>
      <c r="MT43">
        <f>SUMIF($N$7:$MQ$7,"*"&amp;MT$7&amp;"*",$N43:$MQ43)</f>
        <v>2</v>
      </c>
      <c r="MU43">
        <f>SUMIF($N$7:$MQ$7,"*"&amp;MU$7&amp;"*",$N43:$MQ43)</f>
        <v>3</v>
      </c>
      <c r="MV43">
        <f>SUMIF($N$7:$MQ$7,"*"&amp;MV$7&amp;"*",$N43:$MQ43)</f>
        <v>1</v>
      </c>
      <c r="MW43">
        <f>SUMIF($N$7:$MQ$7,"*"&amp;MW$7&amp;"*",$N43:$MQ43)</f>
        <v>1</v>
      </c>
      <c r="MX43">
        <f>SUMIF($N$7:$MQ$7,"*"&amp;MX$7&amp;"*",$N43:$MQ43)</f>
        <v>2</v>
      </c>
      <c r="MY43">
        <f>SUMIF($N$7:$MQ$7,"*"&amp;MY$7&amp;"*",$N43:$MQ43)</f>
        <v>0</v>
      </c>
      <c r="MZ43">
        <f>SUMIF($N$7:$MQ$7,"*"&amp;MZ$7&amp;"*",$N43:$MQ43)</f>
        <v>0</v>
      </c>
      <c r="NA43">
        <f>SUMIF($N$7:$MQ$7,"*"&amp;NA$7&amp;"*",$N43:$MQ43)</f>
        <v>0</v>
      </c>
      <c r="NB43">
        <f>SUMIF($N$7:$MQ$7,"*"&amp;NB$7&amp;"*",$N43:$MQ43)</f>
        <v>0</v>
      </c>
      <c r="NC43">
        <f>SUMIF($N$7:$MQ$7,"*"&amp;NC$7&amp;"*",$N43:$MQ43)</f>
        <v>0</v>
      </c>
      <c r="ND43">
        <f>SUMIF($N$7:$MQ$7,"*"&amp;ND$7&amp;"*",$N43:$MQ43)</f>
        <v>0</v>
      </c>
      <c r="NE43">
        <f>SUMIF($N$7:$MQ$7,"*"&amp;NE$7&amp;"*",$N43:$MQ43)</f>
        <v>0</v>
      </c>
      <c r="NF43">
        <f>SUMIF($N$7:$MQ$7,"*"&amp;NF$7&amp;"*",$N43:$MQ43)</f>
        <v>0</v>
      </c>
      <c r="NG43">
        <f>SUMIF($N$7:$MQ$7,"*"&amp;NG$7&amp;"*",$N43:$MQ43)</f>
        <v>0</v>
      </c>
      <c r="NH43">
        <f>SUMIF($MR$5:$NG$5,NH$7,$MR43:$NG43)</f>
        <v>5</v>
      </c>
      <c r="NI43">
        <f>SUMIF($MR$5:$NG$5,NI$7,$MR43:$NG43)</f>
        <v>4</v>
      </c>
      <c r="NJ43">
        <f>SUM(NH43:NI43)</f>
        <v>9</v>
      </c>
    </row>
    <row r="44" spans="1:374" x14ac:dyDescent="0.25">
      <c r="A44" t="s">
        <v>405</v>
      </c>
      <c r="B44" t="s">
        <v>421</v>
      </c>
      <c r="C44">
        <v>129409</v>
      </c>
      <c r="D44" s="20" t="s">
        <v>477</v>
      </c>
      <c r="E44" t="s">
        <v>423</v>
      </c>
      <c r="F44" t="s">
        <v>424</v>
      </c>
      <c r="G44" t="s">
        <v>407</v>
      </c>
      <c r="H44" t="s">
        <v>478</v>
      </c>
      <c r="I44" t="s">
        <v>408</v>
      </c>
      <c r="J44" t="s">
        <v>409</v>
      </c>
      <c r="K44" t="s">
        <v>410</v>
      </c>
      <c r="L44" t="s">
        <v>411</v>
      </c>
      <c r="M44" t="s">
        <v>412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s="21">
        <v>0</v>
      </c>
      <c r="AE44" s="21">
        <v>0</v>
      </c>
      <c r="AF44" s="21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s="21">
        <v>0</v>
      </c>
      <c r="AX44" s="21">
        <v>0</v>
      </c>
      <c r="AY44" s="21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 s="21">
        <v>0</v>
      </c>
      <c r="BQ44" s="21">
        <v>1</v>
      </c>
      <c r="BR44" s="21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 s="21">
        <v>0</v>
      </c>
      <c r="CJ44" s="21">
        <v>0</v>
      </c>
      <c r="CK44" s="21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 s="21">
        <v>0</v>
      </c>
      <c r="DC44" s="21">
        <v>1</v>
      </c>
      <c r="DD44" s="21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 s="21">
        <v>0</v>
      </c>
      <c r="DV44" s="21">
        <v>0</v>
      </c>
      <c r="DW44" s="21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 s="21">
        <v>0</v>
      </c>
      <c r="EO44" s="21">
        <v>0</v>
      </c>
      <c r="EP44" s="21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 s="21">
        <v>0</v>
      </c>
      <c r="FH44" s="21">
        <v>0</v>
      </c>
      <c r="FI44" s="21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 s="21">
        <v>0</v>
      </c>
      <c r="GA44" s="21">
        <v>0</v>
      </c>
      <c r="GB44" s="21">
        <v>0</v>
      </c>
      <c r="GC44">
        <v>1</v>
      </c>
      <c r="GD44">
        <v>0</v>
      </c>
      <c r="GE44">
        <v>1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 s="21">
        <v>2</v>
      </c>
      <c r="GT44" s="21">
        <v>0</v>
      </c>
      <c r="GU44" s="21">
        <v>2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 s="21">
        <v>0</v>
      </c>
      <c r="HM44" s="21">
        <v>0</v>
      </c>
      <c r="HN44" s="21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 s="21">
        <v>0</v>
      </c>
      <c r="IF44" s="21">
        <v>0</v>
      </c>
      <c r="IG44" s="21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 s="21">
        <v>0</v>
      </c>
      <c r="IY44" s="21">
        <v>0</v>
      </c>
      <c r="IZ44" s="21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 s="21">
        <v>0</v>
      </c>
      <c r="JR44" s="21">
        <v>0</v>
      </c>
      <c r="JS44" s="21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 s="21">
        <v>0</v>
      </c>
      <c r="KK44" s="21">
        <v>0</v>
      </c>
      <c r="KL44" s="21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 s="21">
        <v>0</v>
      </c>
      <c r="LD44" s="21">
        <v>0</v>
      </c>
      <c r="LE44" s="21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 s="21">
        <v>0</v>
      </c>
      <c r="LW44" s="21">
        <v>0</v>
      </c>
      <c r="LX44" s="21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 s="21">
        <v>0</v>
      </c>
      <c r="MP44" s="21">
        <v>0</v>
      </c>
      <c r="MQ44" s="21">
        <v>0</v>
      </c>
      <c r="MR44">
        <f>SUMIF($N$7:$MQ$7,"*"&amp;MR$7&amp;"*",$N44:$MQ44)</f>
        <v>1</v>
      </c>
      <c r="MS44">
        <f>SUMIF($N$7:$MQ$7,"*"&amp;MS$7&amp;"*",$N44:$MQ44)</f>
        <v>0</v>
      </c>
      <c r="MT44">
        <f>SUMIF($N$7:$MQ$7,"*"&amp;MT$7&amp;"*",$N44:$MQ44)</f>
        <v>1</v>
      </c>
      <c r="MU44">
        <f>SUMIF($N$7:$MQ$7,"*"&amp;MU$7&amp;"*",$N44:$MQ44)</f>
        <v>1</v>
      </c>
      <c r="MV44">
        <f>SUMIF($N$7:$MQ$7,"*"&amp;MV$7&amp;"*",$N44:$MQ44)</f>
        <v>0</v>
      </c>
      <c r="MW44">
        <f>SUMIF($N$7:$MQ$7,"*"&amp;MW$7&amp;"*",$N44:$MQ44)</f>
        <v>1</v>
      </c>
      <c r="MX44">
        <f>SUMIF($N$7:$MQ$7,"*"&amp;MX$7&amp;"*",$N44:$MQ44)</f>
        <v>0</v>
      </c>
      <c r="MY44">
        <f>SUMIF($N$7:$MQ$7,"*"&amp;MY$7&amp;"*",$N44:$MQ44)</f>
        <v>0</v>
      </c>
      <c r="MZ44">
        <f>SUMIF($N$7:$MQ$7,"*"&amp;MZ$7&amp;"*",$N44:$MQ44)</f>
        <v>0</v>
      </c>
      <c r="NA44">
        <f>SUMIF($N$7:$MQ$7,"*"&amp;NA$7&amp;"*",$N44:$MQ44)</f>
        <v>0</v>
      </c>
      <c r="NB44">
        <f>SUMIF($N$7:$MQ$7,"*"&amp;NB$7&amp;"*",$N44:$MQ44)</f>
        <v>0</v>
      </c>
      <c r="NC44">
        <f>SUMIF($N$7:$MQ$7,"*"&amp;NC$7&amp;"*",$N44:$MQ44)</f>
        <v>0</v>
      </c>
      <c r="ND44">
        <f>SUMIF($N$7:$MQ$7,"*"&amp;ND$7&amp;"*",$N44:$MQ44)</f>
        <v>0</v>
      </c>
      <c r="NE44">
        <f>SUMIF($N$7:$MQ$7,"*"&amp;NE$7&amp;"*",$N44:$MQ44)</f>
        <v>0</v>
      </c>
      <c r="NF44">
        <f>SUMIF($N$7:$MQ$7,"*"&amp;NF$7&amp;"*",$N44:$MQ44)</f>
        <v>0</v>
      </c>
      <c r="NG44">
        <f>SUMIF($N$7:$MQ$7,"*"&amp;NG$7&amp;"*",$N44:$MQ44)</f>
        <v>0</v>
      </c>
      <c r="NH44">
        <f>SUMIF($MR$5:$NG$5,NH$7,$MR44:$NG44)</f>
        <v>2</v>
      </c>
      <c r="NI44">
        <f>SUMIF($MR$5:$NG$5,NI$7,$MR44:$NG44)</f>
        <v>2</v>
      </c>
      <c r="NJ44">
        <f>SUM(NH44:NI44)</f>
        <v>4</v>
      </c>
    </row>
    <row r="45" spans="1:374" x14ac:dyDescent="0.25">
      <c r="A45" t="s">
        <v>405</v>
      </c>
      <c r="B45" t="s">
        <v>421</v>
      </c>
      <c r="C45">
        <v>129410</v>
      </c>
      <c r="D45" s="20" t="s">
        <v>479</v>
      </c>
      <c r="E45" t="s">
        <v>423</v>
      </c>
      <c r="F45" t="s">
        <v>424</v>
      </c>
      <c r="G45" t="s">
        <v>407</v>
      </c>
      <c r="H45" t="s">
        <v>480</v>
      </c>
      <c r="I45" t="s">
        <v>408</v>
      </c>
      <c r="J45" t="s">
        <v>409</v>
      </c>
      <c r="K45" t="s">
        <v>410</v>
      </c>
      <c r="L45" t="s">
        <v>411</v>
      </c>
      <c r="M45" t="s">
        <v>412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s="21">
        <v>0</v>
      </c>
      <c r="AE45" s="21">
        <v>0</v>
      </c>
      <c r="AF45" s="21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 s="21">
        <v>0</v>
      </c>
      <c r="AX45" s="21">
        <v>0</v>
      </c>
      <c r="AY45" s="21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 s="21">
        <v>0</v>
      </c>
      <c r="BQ45" s="21">
        <v>0</v>
      </c>
      <c r="BR45" s="21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 s="21">
        <v>0</v>
      </c>
      <c r="CJ45" s="21">
        <v>0</v>
      </c>
      <c r="CK45" s="21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 s="21">
        <v>0</v>
      </c>
      <c r="DC45" s="21">
        <v>0</v>
      </c>
      <c r="DD45" s="21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 s="21">
        <v>0</v>
      </c>
      <c r="DV45" s="21">
        <v>0</v>
      </c>
      <c r="DW45" s="21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 s="21">
        <v>0</v>
      </c>
      <c r="EO45" s="21">
        <v>0</v>
      </c>
      <c r="EP45" s="21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 s="21">
        <v>0</v>
      </c>
      <c r="FH45" s="21">
        <v>0</v>
      </c>
      <c r="FI45" s="21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 s="21">
        <v>0</v>
      </c>
      <c r="GA45" s="21">
        <v>0</v>
      </c>
      <c r="GB45" s="21">
        <v>0</v>
      </c>
      <c r="GC45">
        <v>1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1</v>
      </c>
      <c r="GP45">
        <v>0</v>
      </c>
      <c r="GQ45">
        <v>0</v>
      </c>
      <c r="GR45">
        <v>0</v>
      </c>
      <c r="GS45" s="21">
        <v>2</v>
      </c>
      <c r="GT45" s="21">
        <v>0</v>
      </c>
      <c r="GU45" s="21">
        <v>2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 s="21">
        <v>0</v>
      </c>
      <c r="HM45" s="21">
        <v>0</v>
      </c>
      <c r="HN45" s="21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 s="21">
        <v>0</v>
      </c>
      <c r="IF45" s="21">
        <v>0</v>
      </c>
      <c r="IG45" s="21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 s="21">
        <v>0</v>
      </c>
      <c r="IY45" s="21">
        <v>0</v>
      </c>
      <c r="IZ45" s="21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 s="21">
        <v>0</v>
      </c>
      <c r="JR45" s="21">
        <v>0</v>
      </c>
      <c r="JS45" s="21">
        <v>0</v>
      </c>
      <c r="JT45">
        <v>0</v>
      </c>
      <c r="JU45">
        <v>1</v>
      </c>
      <c r="JV45">
        <v>0</v>
      </c>
      <c r="JW45">
        <v>1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 s="21">
        <v>0</v>
      </c>
      <c r="KK45" s="21">
        <v>2</v>
      </c>
      <c r="KL45" s="21">
        <v>2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 s="21">
        <v>0</v>
      </c>
      <c r="LD45" s="21">
        <v>0</v>
      </c>
      <c r="LE45" s="21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 s="21">
        <v>0</v>
      </c>
      <c r="LW45" s="21">
        <v>0</v>
      </c>
      <c r="LX45" s="21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 s="21">
        <v>0</v>
      </c>
      <c r="MP45" s="21">
        <v>0</v>
      </c>
      <c r="MQ45" s="21">
        <v>0</v>
      </c>
      <c r="MR45">
        <f>SUMIF($N$7:$MQ$7,"*"&amp;MR$7&amp;"*",$N45:$MQ45)</f>
        <v>1</v>
      </c>
      <c r="MS45">
        <f>SUMIF($N$7:$MQ$7,"*"&amp;MS$7&amp;"*",$N45:$MQ45)</f>
        <v>1</v>
      </c>
      <c r="MT45">
        <f>SUMIF($N$7:$MQ$7,"*"&amp;MT$7&amp;"*",$N45:$MQ45)</f>
        <v>0</v>
      </c>
      <c r="MU45">
        <f>SUMIF($N$7:$MQ$7,"*"&amp;MU$7&amp;"*",$N45:$MQ45)</f>
        <v>1</v>
      </c>
      <c r="MV45">
        <f>SUMIF($N$7:$MQ$7,"*"&amp;MV$7&amp;"*",$N45:$MQ45)</f>
        <v>0</v>
      </c>
      <c r="MW45">
        <f>SUMIF($N$7:$MQ$7,"*"&amp;MW$7&amp;"*",$N45:$MQ45)</f>
        <v>0</v>
      </c>
      <c r="MX45">
        <f>SUMIF($N$7:$MQ$7,"*"&amp;MX$7&amp;"*",$N45:$MQ45)</f>
        <v>0</v>
      </c>
      <c r="MY45">
        <f>SUMIF($N$7:$MQ$7,"*"&amp;MY$7&amp;"*",$N45:$MQ45)</f>
        <v>0</v>
      </c>
      <c r="MZ45">
        <f>SUMIF($N$7:$MQ$7,"*"&amp;MZ$7&amp;"*",$N45:$MQ45)</f>
        <v>0</v>
      </c>
      <c r="NA45">
        <f>SUMIF($N$7:$MQ$7,"*"&amp;NA$7&amp;"*",$N45:$MQ45)</f>
        <v>0</v>
      </c>
      <c r="NB45">
        <f>SUMIF($N$7:$MQ$7,"*"&amp;NB$7&amp;"*",$N45:$MQ45)</f>
        <v>0</v>
      </c>
      <c r="NC45">
        <f>SUMIF($N$7:$MQ$7,"*"&amp;NC$7&amp;"*",$N45:$MQ45)</f>
        <v>0</v>
      </c>
      <c r="ND45">
        <f>SUMIF($N$7:$MQ$7,"*"&amp;ND$7&amp;"*",$N45:$MQ45)</f>
        <v>1</v>
      </c>
      <c r="NE45">
        <f>SUMIF($N$7:$MQ$7,"*"&amp;NE$7&amp;"*",$N45:$MQ45)</f>
        <v>0</v>
      </c>
      <c r="NF45">
        <f>SUMIF($N$7:$MQ$7,"*"&amp;NF$7&amp;"*",$N45:$MQ45)</f>
        <v>0</v>
      </c>
      <c r="NG45">
        <f>SUMIF($N$7:$MQ$7,"*"&amp;NG$7&amp;"*",$N45:$MQ45)</f>
        <v>0</v>
      </c>
      <c r="NH45">
        <f>SUMIF($MR$5:$NG$5,NH$7,$MR45:$NG45)</f>
        <v>2</v>
      </c>
      <c r="NI45">
        <f>SUMIF($MR$5:$NG$5,NI$7,$MR45:$NG45)</f>
        <v>2</v>
      </c>
      <c r="NJ45">
        <f>SUM(NH45:NI45)</f>
        <v>4</v>
      </c>
    </row>
    <row r="46" spans="1:374" ht="30" x14ac:dyDescent="0.25">
      <c r="A46" t="s">
        <v>405</v>
      </c>
      <c r="B46" t="s">
        <v>421</v>
      </c>
      <c r="C46">
        <v>129412</v>
      </c>
      <c r="D46" s="20" t="s">
        <v>481</v>
      </c>
      <c r="E46" t="s">
        <v>423</v>
      </c>
      <c r="F46" t="s">
        <v>424</v>
      </c>
      <c r="G46" t="s">
        <v>407</v>
      </c>
      <c r="H46" t="s">
        <v>482</v>
      </c>
      <c r="I46" t="s">
        <v>408</v>
      </c>
      <c r="J46" t="s">
        <v>409</v>
      </c>
      <c r="K46" t="s">
        <v>410</v>
      </c>
      <c r="L46" t="s">
        <v>411</v>
      </c>
      <c r="M46" t="s">
        <v>412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s="21">
        <v>0</v>
      </c>
      <c r="AE46" s="21">
        <v>0</v>
      </c>
      <c r="AF46" s="21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 s="21">
        <v>0</v>
      </c>
      <c r="AX46" s="21">
        <v>0</v>
      </c>
      <c r="AY46" s="21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 s="21">
        <v>0</v>
      </c>
      <c r="BQ46" s="21">
        <v>0</v>
      </c>
      <c r="BR46" s="21">
        <v>0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 s="21">
        <v>1</v>
      </c>
      <c r="CJ46" s="21">
        <v>0</v>
      </c>
      <c r="CK46" s="21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 s="21">
        <v>0</v>
      </c>
      <c r="DC46" s="21">
        <v>0</v>
      </c>
      <c r="DD46" s="21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 s="21">
        <v>0</v>
      </c>
      <c r="DV46" s="21">
        <v>0</v>
      </c>
      <c r="DW46" s="21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 s="21">
        <v>0</v>
      </c>
      <c r="EO46" s="21">
        <v>0</v>
      </c>
      <c r="EP46" s="21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 s="21">
        <v>0</v>
      </c>
      <c r="FH46" s="21">
        <v>0</v>
      </c>
      <c r="FI46" s="21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 s="21">
        <v>0</v>
      </c>
      <c r="GA46" s="21">
        <v>0</v>
      </c>
      <c r="GB46" s="21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 s="21">
        <v>0</v>
      </c>
      <c r="GT46" s="21">
        <v>0</v>
      </c>
      <c r="GU46" s="21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 s="21">
        <v>0</v>
      </c>
      <c r="HM46" s="21">
        <v>0</v>
      </c>
      <c r="HN46" s="21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 s="21">
        <v>0</v>
      </c>
      <c r="IF46" s="21">
        <v>0</v>
      </c>
      <c r="IG46" s="21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 s="21">
        <v>0</v>
      </c>
      <c r="IY46" s="21">
        <v>0</v>
      </c>
      <c r="IZ46" s="21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 s="21">
        <v>0</v>
      </c>
      <c r="JR46" s="21">
        <v>0</v>
      </c>
      <c r="JS46" s="21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 s="21">
        <v>0</v>
      </c>
      <c r="KK46" s="21">
        <v>0</v>
      </c>
      <c r="KL46" s="21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 s="21">
        <v>0</v>
      </c>
      <c r="LD46" s="21">
        <v>0</v>
      </c>
      <c r="LE46" s="21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 s="21">
        <v>0</v>
      </c>
      <c r="LW46" s="21">
        <v>0</v>
      </c>
      <c r="LX46" s="21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 s="21">
        <v>0</v>
      </c>
      <c r="MP46" s="21">
        <v>0</v>
      </c>
      <c r="MQ46" s="21">
        <v>0</v>
      </c>
      <c r="MR46">
        <f>SUMIF($N$7:$MQ$7,"*"&amp;MR$7&amp;"*",$N46:$MQ46)</f>
        <v>1</v>
      </c>
      <c r="MS46">
        <f>SUMIF($N$7:$MQ$7,"*"&amp;MS$7&amp;"*",$N46:$MQ46)</f>
        <v>0</v>
      </c>
      <c r="MT46">
        <f>SUMIF($N$7:$MQ$7,"*"&amp;MT$7&amp;"*",$N46:$MQ46)</f>
        <v>0</v>
      </c>
      <c r="MU46">
        <f>SUMIF($N$7:$MQ$7,"*"&amp;MU$7&amp;"*",$N46:$MQ46)</f>
        <v>0</v>
      </c>
      <c r="MV46">
        <f>SUMIF($N$7:$MQ$7,"*"&amp;MV$7&amp;"*",$N46:$MQ46)</f>
        <v>0</v>
      </c>
      <c r="MW46">
        <f>SUMIF($N$7:$MQ$7,"*"&amp;MW$7&amp;"*",$N46:$MQ46)</f>
        <v>0</v>
      </c>
      <c r="MX46">
        <f>SUMIF($N$7:$MQ$7,"*"&amp;MX$7&amp;"*",$N46:$MQ46)</f>
        <v>0</v>
      </c>
      <c r="MY46">
        <f>SUMIF($N$7:$MQ$7,"*"&amp;MY$7&amp;"*",$N46:$MQ46)</f>
        <v>0</v>
      </c>
      <c r="MZ46">
        <f>SUMIF($N$7:$MQ$7,"*"&amp;MZ$7&amp;"*",$N46:$MQ46)</f>
        <v>0</v>
      </c>
      <c r="NA46">
        <f>SUMIF($N$7:$MQ$7,"*"&amp;NA$7&amp;"*",$N46:$MQ46)</f>
        <v>0</v>
      </c>
      <c r="NB46">
        <f>SUMIF($N$7:$MQ$7,"*"&amp;NB$7&amp;"*",$N46:$MQ46)</f>
        <v>0</v>
      </c>
      <c r="NC46">
        <f>SUMIF($N$7:$MQ$7,"*"&amp;NC$7&amp;"*",$N46:$MQ46)</f>
        <v>0</v>
      </c>
      <c r="ND46">
        <f>SUMIF($N$7:$MQ$7,"*"&amp;ND$7&amp;"*",$N46:$MQ46)</f>
        <v>0</v>
      </c>
      <c r="NE46">
        <f>SUMIF($N$7:$MQ$7,"*"&amp;NE$7&amp;"*",$N46:$MQ46)</f>
        <v>0</v>
      </c>
      <c r="NF46">
        <f>SUMIF($N$7:$MQ$7,"*"&amp;NF$7&amp;"*",$N46:$MQ46)</f>
        <v>0</v>
      </c>
      <c r="NG46">
        <f>SUMIF($N$7:$MQ$7,"*"&amp;NG$7&amp;"*",$N46:$MQ46)</f>
        <v>0</v>
      </c>
      <c r="NH46">
        <f>SUMIF($MR$5:$NG$5,NH$7,$MR46:$NG46)</f>
        <v>1</v>
      </c>
      <c r="NI46">
        <f>SUMIF($MR$5:$NG$5,NI$7,$MR46:$NG46)</f>
        <v>0</v>
      </c>
      <c r="NJ46">
        <f>SUM(NH46:NI46)</f>
        <v>1</v>
      </c>
    </row>
    <row r="47" spans="1:374" x14ac:dyDescent="0.25">
      <c r="A47" t="s">
        <v>405</v>
      </c>
      <c r="B47" t="s">
        <v>421</v>
      </c>
      <c r="C47">
        <v>129413</v>
      </c>
      <c r="D47" s="20" t="s">
        <v>483</v>
      </c>
      <c r="E47" t="s">
        <v>423</v>
      </c>
      <c r="F47" t="s">
        <v>424</v>
      </c>
      <c r="G47" t="s">
        <v>407</v>
      </c>
      <c r="H47" t="s">
        <v>480</v>
      </c>
      <c r="I47" t="s">
        <v>408</v>
      </c>
      <c r="J47" t="s">
        <v>409</v>
      </c>
      <c r="K47" t="s">
        <v>410</v>
      </c>
      <c r="L47" t="s">
        <v>411</v>
      </c>
      <c r="M47" t="s">
        <v>412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s="21">
        <v>0</v>
      </c>
      <c r="AE47" s="21">
        <v>0</v>
      </c>
      <c r="AF47" s="21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s="21">
        <v>0</v>
      </c>
      <c r="AX47" s="21">
        <v>0</v>
      </c>
      <c r="AY47" s="21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 s="21">
        <v>0</v>
      </c>
      <c r="BQ47" s="21">
        <v>0</v>
      </c>
      <c r="BR47" s="21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 s="21">
        <v>0</v>
      </c>
      <c r="CJ47" s="21">
        <v>0</v>
      </c>
      <c r="CK47" s="21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 s="21">
        <v>0</v>
      </c>
      <c r="DC47" s="21">
        <v>0</v>
      </c>
      <c r="DD47" s="21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 s="21">
        <v>0</v>
      </c>
      <c r="DV47" s="21">
        <v>0</v>
      </c>
      <c r="DW47" s="21">
        <v>0</v>
      </c>
      <c r="DX47">
        <v>0</v>
      </c>
      <c r="DY47">
        <v>1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 s="21">
        <v>0</v>
      </c>
      <c r="EO47" s="21">
        <v>1</v>
      </c>
      <c r="EP47" s="21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 s="21">
        <v>0</v>
      </c>
      <c r="FH47" s="21">
        <v>0</v>
      </c>
      <c r="FI47" s="21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 s="21">
        <v>0</v>
      </c>
      <c r="GA47" s="21">
        <v>0</v>
      </c>
      <c r="GB47" s="21">
        <v>0</v>
      </c>
      <c r="GC47">
        <v>2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 s="21">
        <v>2</v>
      </c>
      <c r="GT47" s="21">
        <v>0</v>
      </c>
      <c r="GU47" s="21">
        <v>2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 s="21">
        <v>0</v>
      </c>
      <c r="HM47" s="21">
        <v>0</v>
      </c>
      <c r="HN47" s="21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 s="21">
        <v>0</v>
      </c>
      <c r="IF47" s="21">
        <v>0</v>
      </c>
      <c r="IG47" s="21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 s="21">
        <v>0</v>
      </c>
      <c r="IY47" s="21">
        <v>0</v>
      </c>
      <c r="IZ47" s="21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 s="21">
        <v>0</v>
      </c>
      <c r="JR47" s="21">
        <v>0</v>
      </c>
      <c r="JS47" s="21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 s="21">
        <v>0</v>
      </c>
      <c r="KK47" s="21">
        <v>0</v>
      </c>
      <c r="KL47" s="21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 s="21">
        <v>0</v>
      </c>
      <c r="LD47" s="21">
        <v>0</v>
      </c>
      <c r="LE47" s="21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 s="21">
        <v>0</v>
      </c>
      <c r="LW47" s="21">
        <v>0</v>
      </c>
      <c r="LX47" s="21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 s="21">
        <v>0</v>
      </c>
      <c r="MP47" s="21">
        <v>0</v>
      </c>
      <c r="MQ47" s="21">
        <v>0</v>
      </c>
      <c r="MR47">
        <f>SUMIF($N$7:$MQ$7,"*"&amp;MR$7&amp;"*",$N47:$MQ47)</f>
        <v>2</v>
      </c>
      <c r="MS47">
        <f>SUMIF($N$7:$MQ$7,"*"&amp;MS$7&amp;"*",$N47:$MQ47)</f>
        <v>1</v>
      </c>
      <c r="MT47">
        <f>SUMIF($N$7:$MQ$7,"*"&amp;MT$7&amp;"*",$N47:$MQ47)</f>
        <v>0</v>
      </c>
      <c r="MU47">
        <f>SUMIF($N$7:$MQ$7,"*"&amp;MU$7&amp;"*",$N47:$MQ47)</f>
        <v>0</v>
      </c>
      <c r="MV47">
        <f>SUMIF($N$7:$MQ$7,"*"&amp;MV$7&amp;"*",$N47:$MQ47)</f>
        <v>0</v>
      </c>
      <c r="MW47">
        <f>SUMIF($N$7:$MQ$7,"*"&amp;MW$7&amp;"*",$N47:$MQ47)</f>
        <v>0</v>
      </c>
      <c r="MX47">
        <f>SUMIF($N$7:$MQ$7,"*"&amp;MX$7&amp;"*",$N47:$MQ47)</f>
        <v>0</v>
      </c>
      <c r="MY47">
        <f>SUMIF($N$7:$MQ$7,"*"&amp;MY$7&amp;"*",$N47:$MQ47)</f>
        <v>0</v>
      </c>
      <c r="MZ47">
        <f>SUMIF($N$7:$MQ$7,"*"&amp;MZ$7&amp;"*",$N47:$MQ47)</f>
        <v>0</v>
      </c>
      <c r="NA47">
        <f>SUMIF($N$7:$MQ$7,"*"&amp;NA$7&amp;"*",$N47:$MQ47)</f>
        <v>0</v>
      </c>
      <c r="NB47">
        <f>SUMIF($N$7:$MQ$7,"*"&amp;NB$7&amp;"*",$N47:$MQ47)</f>
        <v>0</v>
      </c>
      <c r="NC47">
        <f>SUMIF($N$7:$MQ$7,"*"&amp;NC$7&amp;"*",$N47:$MQ47)</f>
        <v>0</v>
      </c>
      <c r="ND47">
        <f>SUMIF($N$7:$MQ$7,"*"&amp;ND$7&amp;"*",$N47:$MQ47)</f>
        <v>0</v>
      </c>
      <c r="NE47">
        <f>SUMIF($N$7:$MQ$7,"*"&amp;NE$7&amp;"*",$N47:$MQ47)</f>
        <v>0</v>
      </c>
      <c r="NF47">
        <f>SUMIF($N$7:$MQ$7,"*"&amp;NF$7&amp;"*",$N47:$MQ47)</f>
        <v>0</v>
      </c>
      <c r="NG47">
        <f>SUMIF($N$7:$MQ$7,"*"&amp;NG$7&amp;"*",$N47:$MQ47)</f>
        <v>0</v>
      </c>
      <c r="NH47">
        <f>SUMIF($MR$5:$NG$5,NH$7,$MR47:$NG47)</f>
        <v>2</v>
      </c>
      <c r="NI47">
        <f>SUMIF($MR$5:$NG$5,NI$7,$MR47:$NG47)</f>
        <v>1</v>
      </c>
      <c r="NJ47">
        <f>SUM(NH47:NI47)</f>
        <v>3</v>
      </c>
    </row>
    <row r="48" spans="1:374" x14ac:dyDescent="0.25">
      <c r="A48" t="s">
        <v>405</v>
      </c>
      <c r="B48" t="s">
        <v>421</v>
      </c>
      <c r="C48">
        <v>129414</v>
      </c>
      <c r="D48" s="20" t="s">
        <v>484</v>
      </c>
      <c r="E48" t="s">
        <v>423</v>
      </c>
      <c r="F48" t="s">
        <v>424</v>
      </c>
      <c r="G48" t="s">
        <v>407</v>
      </c>
      <c r="H48" t="s">
        <v>485</v>
      </c>
      <c r="I48" t="s">
        <v>408</v>
      </c>
      <c r="J48" t="s">
        <v>409</v>
      </c>
      <c r="K48" t="s">
        <v>410</v>
      </c>
      <c r="L48" t="s">
        <v>411</v>
      </c>
      <c r="M48" t="s">
        <v>412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s="21">
        <v>0</v>
      </c>
      <c r="AE48" s="21">
        <v>0</v>
      </c>
      <c r="AF48" s="21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 s="21">
        <v>0</v>
      </c>
      <c r="AX48" s="21">
        <v>0</v>
      </c>
      <c r="AY48" s="21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 s="21">
        <v>0</v>
      </c>
      <c r="BQ48" s="21">
        <v>0</v>
      </c>
      <c r="BR48" s="21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 s="21">
        <v>0</v>
      </c>
      <c r="CJ48" s="21">
        <v>0</v>
      </c>
      <c r="CK48" s="21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 s="21">
        <v>0</v>
      </c>
      <c r="DC48" s="21">
        <v>0</v>
      </c>
      <c r="DD48" s="21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 s="21">
        <v>0</v>
      </c>
      <c r="DV48" s="21">
        <v>0</v>
      </c>
      <c r="DW48" s="21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 s="21">
        <v>0</v>
      </c>
      <c r="EO48" s="21">
        <v>0</v>
      </c>
      <c r="EP48" s="21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 s="21">
        <v>0</v>
      </c>
      <c r="FH48" s="21">
        <v>0</v>
      </c>
      <c r="FI48" s="21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 s="21">
        <v>0</v>
      </c>
      <c r="GA48" s="21">
        <v>0</v>
      </c>
      <c r="GB48" s="21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 s="21">
        <v>0</v>
      </c>
      <c r="GT48" s="21">
        <v>0</v>
      </c>
      <c r="GU48" s="21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 s="21">
        <v>0</v>
      </c>
      <c r="HM48" s="21">
        <v>0</v>
      </c>
      <c r="HN48" s="21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 s="21">
        <v>0</v>
      </c>
      <c r="IF48" s="21">
        <v>0</v>
      </c>
      <c r="IG48" s="21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 s="21">
        <v>0</v>
      </c>
      <c r="IY48" s="21">
        <v>0</v>
      </c>
      <c r="IZ48" s="21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 s="21">
        <v>0</v>
      </c>
      <c r="JR48" s="21">
        <v>0</v>
      </c>
      <c r="JS48" s="21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 s="21">
        <v>0</v>
      </c>
      <c r="KK48" s="21">
        <v>0</v>
      </c>
      <c r="KL48" s="21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 s="21">
        <v>0</v>
      </c>
      <c r="LD48" s="21">
        <v>0</v>
      </c>
      <c r="LE48" s="21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 s="21">
        <v>0</v>
      </c>
      <c r="LW48" s="21">
        <v>0</v>
      </c>
      <c r="LX48" s="21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 s="21">
        <v>0</v>
      </c>
      <c r="MP48" s="21">
        <v>0</v>
      </c>
      <c r="MQ48" s="21">
        <v>0</v>
      </c>
      <c r="MR48">
        <f>SUMIF($N$7:$MQ$7,"*"&amp;MR$7&amp;"*",$N48:$MQ48)</f>
        <v>0</v>
      </c>
      <c r="MS48">
        <f>SUMIF($N$7:$MQ$7,"*"&amp;MS$7&amp;"*",$N48:$MQ48)</f>
        <v>0</v>
      </c>
      <c r="MT48">
        <f>SUMIF($N$7:$MQ$7,"*"&amp;MT$7&amp;"*",$N48:$MQ48)</f>
        <v>0</v>
      </c>
      <c r="MU48">
        <f>SUMIF($N$7:$MQ$7,"*"&amp;MU$7&amp;"*",$N48:$MQ48)</f>
        <v>0</v>
      </c>
      <c r="MV48">
        <f>SUMIF($N$7:$MQ$7,"*"&amp;MV$7&amp;"*",$N48:$MQ48)</f>
        <v>0</v>
      </c>
      <c r="MW48">
        <f>SUMIF($N$7:$MQ$7,"*"&amp;MW$7&amp;"*",$N48:$MQ48)</f>
        <v>0</v>
      </c>
      <c r="MX48">
        <f>SUMIF($N$7:$MQ$7,"*"&amp;MX$7&amp;"*",$N48:$MQ48)</f>
        <v>0</v>
      </c>
      <c r="MY48">
        <f>SUMIF($N$7:$MQ$7,"*"&amp;MY$7&amp;"*",$N48:$MQ48)</f>
        <v>0</v>
      </c>
      <c r="MZ48">
        <f>SUMIF($N$7:$MQ$7,"*"&amp;MZ$7&amp;"*",$N48:$MQ48)</f>
        <v>0</v>
      </c>
      <c r="NA48">
        <f>SUMIF($N$7:$MQ$7,"*"&amp;NA$7&amp;"*",$N48:$MQ48)</f>
        <v>0</v>
      </c>
      <c r="NB48">
        <f>SUMIF($N$7:$MQ$7,"*"&amp;NB$7&amp;"*",$N48:$MQ48)</f>
        <v>0</v>
      </c>
      <c r="NC48">
        <f>SUMIF($N$7:$MQ$7,"*"&amp;NC$7&amp;"*",$N48:$MQ48)</f>
        <v>0</v>
      </c>
      <c r="ND48">
        <f>SUMIF($N$7:$MQ$7,"*"&amp;ND$7&amp;"*",$N48:$MQ48)</f>
        <v>0</v>
      </c>
      <c r="NE48">
        <f>SUMIF($N$7:$MQ$7,"*"&amp;NE$7&amp;"*",$N48:$MQ48)</f>
        <v>0</v>
      </c>
      <c r="NF48">
        <f>SUMIF($N$7:$MQ$7,"*"&amp;NF$7&amp;"*",$N48:$MQ48)</f>
        <v>0</v>
      </c>
      <c r="NG48">
        <f>SUMIF($N$7:$MQ$7,"*"&amp;NG$7&amp;"*",$N48:$MQ48)</f>
        <v>0</v>
      </c>
      <c r="NH48">
        <f>SUMIF($MR$5:$NG$5,NH$7,$MR48:$NG48)</f>
        <v>0</v>
      </c>
      <c r="NI48">
        <f>SUMIF($MR$5:$NG$5,NI$7,$MR48:$NG48)</f>
        <v>0</v>
      </c>
      <c r="NJ48">
        <f>SUM(NH48:NI48)</f>
        <v>0</v>
      </c>
    </row>
    <row r="49" spans="1:374" x14ac:dyDescent="0.25">
      <c r="A49" t="s">
        <v>405</v>
      </c>
      <c r="B49" t="s">
        <v>421</v>
      </c>
      <c r="C49">
        <v>129417</v>
      </c>
      <c r="D49" s="20" t="s">
        <v>486</v>
      </c>
      <c r="E49" t="s">
        <v>423</v>
      </c>
      <c r="F49" t="s">
        <v>424</v>
      </c>
      <c r="G49" t="s">
        <v>407</v>
      </c>
      <c r="H49" t="s">
        <v>427</v>
      </c>
      <c r="I49" t="s">
        <v>408</v>
      </c>
      <c r="J49" t="s">
        <v>409</v>
      </c>
      <c r="K49" t="s">
        <v>410</v>
      </c>
      <c r="L49" t="s">
        <v>411</v>
      </c>
      <c r="M49" t="s">
        <v>412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s="21">
        <v>0</v>
      </c>
      <c r="AE49" s="21">
        <v>0</v>
      </c>
      <c r="AF49" s="21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s="21">
        <v>0</v>
      </c>
      <c r="AX49" s="21">
        <v>0</v>
      </c>
      <c r="AY49" s="21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 s="21">
        <v>0</v>
      </c>
      <c r="BQ49" s="21">
        <v>0</v>
      </c>
      <c r="BR49" s="21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 s="21">
        <v>0</v>
      </c>
      <c r="CJ49" s="21">
        <v>0</v>
      </c>
      <c r="CK49" s="21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 s="21">
        <v>0</v>
      </c>
      <c r="DC49" s="21">
        <v>0</v>
      </c>
      <c r="DD49" s="21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 s="21">
        <v>0</v>
      </c>
      <c r="DV49" s="21">
        <v>0</v>
      </c>
      <c r="DW49" s="21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 s="21">
        <v>0</v>
      </c>
      <c r="EO49" s="21">
        <v>0</v>
      </c>
      <c r="EP49" s="21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 s="21">
        <v>0</v>
      </c>
      <c r="FH49" s="21">
        <v>0</v>
      </c>
      <c r="FI49" s="21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 s="21">
        <v>0</v>
      </c>
      <c r="GA49" s="21">
        <v>0</v>
      </c>
      <c r="GB49" s="21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 s="21">
        <v>0</v>
      </c>
      <c r="GT49" s="21">
        <v>0</v>
      </c>
      <c r="GU49" s="21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 s="21">
        <v>0</v>
      </c>
      <c r="HM49" s="21">
        <v>0</v>
      </c>
      <c r="HN49" s="21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 s="21">
        <v>0</v>
      </c>
      <c r="IF49" s="21">
        <v>0</v>
      </c>
      <c r="IG49" s="21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 s="21">
        <v>0</v>
      </c>
      <c r="IY49" s="21">
        <v>0</v>
      </c>
      <c r="IZ49" s="21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 s="21">
        <v>0</v>
      </c>
      <c r="JR49" s="21">
        <v>0</v>
      </c>
      <c r="JS49" s="21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 s="21">
        <v>0</v>
      </c>
      <c r="KK49" s="21">
        <v>0</v>
      </c>
      <c r="KL49" s="21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 s="21">
        <v>0</v>
      </c>
      <c r="LD49" s="21">
        <v>0</v>
      </c>
      <c r="LE49" s="21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 s="21">
        <v>0</v>
      </c>
      <c r="LW49" s="21">
        <v>0</v>
      </c>
      <c r="LX49" s="21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 s="21">
        <v>0</v>
      </c>
      <c r="MP49" s="21">
        <v>0</v>
      </c>
      <c r="MQ49" s="21">
        <v>0</v>
      </c>
      <c r="MR49">
        <f>SUMIF($N$7:$MQ$7,"*"&amp;MR$7&amp;"*",$N49:$MQ49)</f>
        <v>0</v>
      </c>
      <c r="MS49">
        <f>SUMIF($N$7:$MQ$7,"*"&amp;MS$7&amp;"*",$N49:$MQ49)</f>
        <v>0</v>
      </c>
      <c r="MT49">
        <f>SUMIF($N$7:$MQ$7,"*"&amp;MT$7&amp;"*",$N49:$MQ49)</f>
        <v>0</v>
      </c>
      <c r="MU49">
        <f>SUMIF($N$7:$MQ$7,"*"&amp;MU$7&amp;"*",$N49:$MQ49)</f>
        <v>0</v>
      </c>
      <c r="MV49">
        <f>SUMIF($N$7:$MQ$7,"*"&amp;MV$7&amp;"*",$N49:$MQ49)</f>
        <v>0</v>
      </c>
      <c r="MW49">
        <f>SUMIF($N$7:$MQ$7,"*"&amp;MW$7&amp;"*",$N49:$MQ49)</f>
        <v>0</v>
      </c>
      <c r="MX49">
        <f>SUMIF($N$7:$MQ$7,"*"&amp;MX$7&amp;"*",$N49:$MQ49)</f>
        <v>0</v>
      </c>
      <c r="MY49">
        <f>SUMIF($N$7:$MQ$7,"*"&amp;MY$7&amp;"*",$N49:$MQ49)</f>
        <v>0</v>
      </c>
      <c r="MZ49">
        <f>SUMIF($N$7:$MQ$7,"*"&amp;MZ$7&amp;"*",$N49:$MQ49)</f>
        <v>0</v>
      </c>
      <c r="NA49">
        <f>SUMIF($N$7:$MQ$7,"*"&amp;NA$7&amp;"*",$N49:$MQ49)</f>
        <v>0</v>
      </c>
      <c r="NB49">
        <f>SUMIF($N$7:$MQ$7,"*"&amp;NB$7&amp;"*",$N49:$MQ49)</f>
        <v>0</v>
      </c>
      <c r="NC49">
        <f>SUMIF($N$7:$MQ$7,"*"&amp;NC$7&amp;"*",$N49:$MQ49)</f>
        <v>0</v>
      </c>
      <c r="ND49">
        <f>SUMIF($N$7:$MQ$7,"*"&amp;ND$7&amp;"*",$N49:$MQ49)</f>
        <v>0</v>
      </c>
      <c r="NE49">
        <f>SUMIF($N$7:$MQ$7,"*"&amp;NE$7&amp;"*",$N49:$MQ49)</f>
        <v>0</v>
      </c>
      <c r="NF49">
        <f>SUMIF($N$7:$MQ$7,"*"&amp;NF$7&amp;"*",$N49:$MQ49)</f>
        <v>0</v>
      </c>
      <c r="NG49">
        <f>SUMIF($N$7:$MQ$7,"*"&amp;NG$7&amp;"*",$N49:$MQ49)</f>
        <v>0</v>
      </c>
      <c r="NH49">
        <f>SUMIF($MR$5:$NG$5,NH$7,$MR49:$NG49)</f>
        <v>0</v>
      </c>
      <c r="NI49">
        <f>SUMIF($MR$5:$NG$5,NI$7,$MR49:$NG49)</f>
        <v>0</v>
      </c>
      <c r="NJ49">
        <f>SUM(NH49:NI49)</f>
        <v>0</v>
      </c>
    </row>
    <row r="50" spans="1:374" x14ac:dyDescent="0.25">
      <c r="A50" t="s">
        <v>405</v>
      </c>
      <c r="B50" t="s">
        <v>421</v>
      </c>
      <c r="C50">
        <v>129418</v>
      </c>
      <c r="D50" s="20" t="s">
        <v>487</v>
      </c>
      <c r="E50" t="s">
        <v>423</v>
      </c>
      <c r="F50" t="s">
        <v>424</v>
      </c>
      <c r="G50" t="s">
        <v>407</v>
      </c>
      <c r="H50" t="s">
        <v>427</v>
      </c>
      <c r="I50" t="s">
        <v>408</v>
      </c>
      <c r="J50" t="s">
        <v>409</v>
      </c>
      <c r="K50" t="s">
        <v>410</v>
      </c>
      <c r="L50" t="s">
        <v>411</v>
      </c>
      <c r="M50" t="s">
        <v>412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s="21">
        <v>0</v>
      </c>
      <c r="AE50" s="21">
        <v>0</v>
      </c>
      <c r="AF50" s="21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 s="21">
        <v>0</v>
      </c>
      <c r="AX50" s="21">
        <v>0</v>
      </c>
      <c r="AY50" s="21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 s="21">
        <v>0</v>
      </c>
      <c r="BQ50" s="21">
        <v>0</v>
      </c>
      <c r="BR50" s="21">
        <v>0</v>
      </c>
      <c r="BS50">
        <v>0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 s="21">
        <v>0</v>
      </c>
      <c r="CJ50" s="21">
        <v>1</v>
      </c>
      <c r="CK50" s="21">
        <v>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 s="21">
        <v>0</v>
      </c>
      <c r="DC50" s="21">
        <v>0</v>
      </c>
      <c r="DD50" s="21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 s="21">
        <v>0</v>
      </c>
      <c r="DV50" s="21">
        <v>0</v>
      </c>
      <c r="DW50" s="21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 s="21">
        <v>0</v>
      </c>
      <c r="EO50" s="21">
        <v>0</v>
      </c>
      <c r="EP50" s="21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 s="21">
        <v>0</v>
      </c>
      <c r="FH50" s="21">
        <v>0</v>
      </c>
      <c r="FI50" s="21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 s="21">
        <v>0</v>
      </c>
      <c r="GA50" s="21">
        <v>0</v>
      </c>
      <c r="GB50" s="21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 s="21">
        <v>0</v>
      </c>
      <c r="GT50" s="21">
        <v>0</v>
      </c>
      <c r="GU50" s="21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 s="21">
        <v>0</v>
      </c>
      <c r="HM50" s="21">
        <v>0</v>
      </c>
      <c r="HN50" s="21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 s="21">
        <v>0</v>
      </c>
      <c r="IF50" s="21">
        <v>0</v>
      </c>
      <c r="IG50" s="21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 s="21">
        <v>0</v>
      </c>
      <c r="IY50" s="21">
        <v>0</v>
      </c>
      <c r="IZ50" s="21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 s="21">
        <v>0</v>
      </c>
      <c r="JR50" s="21">
        <v>0</v>
      </c>
      <c r="JS50" s="21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 s="21">
        <v>0</v>
      </c>
      <c r="KK50" s="21">
        <v>0</v>
      </c>
      <c r="KL50" s="21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 s="21">
        <v>0</v>
      </c>
      <c r="LD50" s="21">
        <v>0</v>
      </c>
      <c r="LE50" s="21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 s="21">
        <v>0</v>
      </c>
      <c r="LW50" s="21">
        <v>0</v>
      </c>
      <c r="LX50" s="21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 s="21">
        <v>0</v>
      </c>
      <c r="MP50" s="21">
        <v>0</v>
      </c>
      <c r="MQ50" s="21">
        <v>0</v>
      </c>
      <c r="MR50">
        <f>SUMIF($N$7:$MQ$7,"*"&amp;MR$7&amp;"*",$N50:$MQ50)</f>
        <v>0</v>
      </c>
      <c r="MS50">
        <f>SUMIF($N$7:$MQ$7,"*"&amp;MS$7&amp;"*",$N50:$MQ50)</f>
        <v>1</v>
      </c>
      <c r="MT50">
        <f>SUMIF($N$7:$MQ$7,"*"&amp;MT$7&amp;"*",$N50:$MQ50)</f>
        <v>0</v>
      </c>
      <c r="MU50">
        <f>SUMIF($N$7:$MQ$7,"*"&amp;MU$7&amp;"*",$N50:$MQ50)</f>
        <v>0</v>
      </c>
      <c r="MV50">
        <f>SUMIF($N$7:$MQ$7,"*"&amp;MV$7&amp;"*",$N50:$MQ50)</f>
        <v>0</v>
      </c>
      <c r="MW50">
        <f>SUMIF($N$7:$MQ$7,"*"&amp;MW$7&amp;"*",$N50:$MQ50)</f>
        <v>0</v>
      </c>
      <c r="MX50">
        <f>SUMIF($N$7:$MQ$7,"*"&amp;MX$7&amp;"*",$N50:$MQ50)</f>
        <v>0</v>
      </c>
      <c r="MY50">
        <f>SUMIF($N$7:$MQ$7,"*"&amp;MY$7&amp;"*",$N50:$MQ50)</f>
        <v>0</v>
      </c>
      <c r="MZ50">
        <f>SUMIF($N$7:$MQ$7,"*"&amp;MZ$7&amp;"*",$N50:$MQ50)</f>
        <v>0</v>
      </c>
      <c r="NA50">
        <f>SUMIF($N$7:$MQ$7,"*"&amp;NA$7&amp;"*",$N50:$MQ50)</f>
        <v>0</v>
      </c>
      <c r="NB50">
        <f>SUMIF($N$7:$MQ$7,"*"&amp;NB$7&amp;"*",$N50:$MQ50)</f>
        <v>0</v>
      </c>
      <c r="NC50">
        <f>SUMIF($N$7:$MQ$7,"*"&amp;NC$7&amp;"*",$N50:$MQ50)</f>
        <v>0</v>
      </c>
      <c r="ND50">
        <f>SUMIF($N$7:$MQ$7,"*"&amp;ND$7&amp;"*",$N50:$MQ50)</f>
        <v>0</v>
      </c>
      <c r="NE50">
        <f>SUMIF($N$7:$MQ$7,"*"&amp;NE$7&amp;"*",$N50:$MQ50)</f>
        <v>0</v>
      </c>
      <c r="NF50">
        <f>SUMIF($N$7:$MQ$7,"*"&amp;NF$7&amp;"*",$N50:$MQ50)</f>
        <v>0</v>
      </c>
      <c r="NG50">
        <f>SUMIF($N$7:$MQ$7,"*"&amp;NG$7&amp;"*",$N50:$MQ50)</f>
        <v>0</v>
      </c>
      <c r="NH50">
        <f>SUMIF($MR$5:$NG$5,NH$7,$MR50:$NG50)</f>
        <v>0</v>
      </c>
      <c r="NI50">
        <f>SUMIF($MR$5:$NG$5,NI$7,$MR50:$NG50)</f>
        <v>1</v>
      </c>
      <c r="NJ50">
        <f>SUM(NH50:NI50)</f>
        <v>1</v>
      </c>
    </row>
    <row r="51" spans="1:374" x14ac:dyDescent="0.25">
      <c r="A51" t="s">
        <v>405</v>
      </c>
      <c r="B51" t="s">
        <v>421</v>
      </c>
      <c r="C51">
        <v>129419</v>
      </c>
      <c r="D51" s="20" t="s">
        <v>488</v>
      </c>
      <c r="E51" t="s">
        <v>423</v>
      </c>
      <c r="F51" t="s">
        <v>424</v>
      </c>
      <c r="G51" t="s">
        <v>407</v>
      </c>
      <c r="H51" t="s">
        <v>489</v>
      </c>
      <c r="I51" t="s">
        <v>408</v>
      </c>
      <c r="J51" t="s">
        <v>409</v>
      </c>
      <c r="K51" t="s">
        <v>410</v>
      </c>
      <c r="L51" t="s">
        <v>411</v>
      </c>
      <c r="M51" t="s">
        <v>412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s="21">
        <v>0</v>
      </c>
      <c r="AE51" s="21">
        <v>0</v>
      </c>
      <c r="AF51" s="2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 s="21">
        <v>0</v>
      </c>
      <c r="AX51" s="21">
        <v>0</v>
      </c>
      <c r="AY51" s="2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 s="21">
        <v>0</v>
      </c>
      <c r="BQ51" s="21">
        <v>0</v>
      </c>
      <c r="BR51" s="21">
        <v>0</v>
      </c>
      <c r="BS51">
        <v>0</v>
      </c>
      <c r="BT51">
        <v>1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 s="21">
        <v>1</v>
      </c>
      <c r="CJ51" s="21">
        <v>1</v>
      </c>
      <c r="CK51" s="21">
        <v>2</v>
      </c>
      <c r="CL51">
        <v>1</v>
      </c>
      <c r="CM51">
        <v>0</v>
      </c>
      <c r="CN51">
        <v>1</v>
      </c>
      <c r="CO51">
        <v>0</v>
      </c>
      <c r="CP51">
        <v>2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 s="21">
        <v>4</v>
      </c>
      <c r="DC51" s="21">
        <v>0</v>
      </c>
      <c r="DD51" s="21">
        <v>4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 s="21">
        <v>0</v>
      </c>
      <c r="DV51" s="21">
        <v>0</v>
      </c>
      <c r="DW51" s="2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 s="21">
        <v>0</v>
      </c>
      <c r="EO51" s="21">
        <v>0</v>
      </c>
      <c r="EP51" s="2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 s="21">
        <v>0</v>
      </c>
      <c r="FH51" s="21">
        <v>0</v>
      </c>
      <c r="FI51" s="2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 s="21">
        <v>0</v>
      </c>
      <c r="GA51" s="21">
        <v>0</v>
      </c>
      <c r="GB51" s="2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 s="21">
        <v>0</v>
      </c>
      <c r="GT51" s="21">
        <v>0</v>
      </c>
      <c r="GU51" s="2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 s="21">
        <v>0</v>
      </c>
      <c r="HM51" s="21">
        <v>0</v>
      </c>
      <c r="HN51" s="2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 s="21">
        <v>0</v>
      </c>
      <c r="IF51" s="21">
        <v>0</v>
      </c>
      <c r="IG51" s="2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 s="21">
        <v>0</v>
      </c>
      <c r="IY51" s="21">
        <v>0</v>
      </c>
      <c r="IZ51" s="2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 s="21">
        <v>0</v>
      </c>
      <c r="JR51" s="21">
        <v>0</v>
      </c>
      <c r="JS51" s="2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1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 s="21">
        <v>0</v>
      </c>
      <c r="KK51" s="21">
        <v>1</v>
      </c>
      <c r="KL51" s="21">
        <v>1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 s="21">
        <v>0</v>
      </c>
      <c r="LD51" s="21">
        <v>0</v>
      </c>
      <c r="LE51" s="2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 s="21">
        <v>0</v>
      </c>
      <c r="LW51" s="21">
        <v>0</v>
      </c>
      <c r="LX51" s="2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 s="21">
        <v>0</v>
      </c>
      <c r="MP51" s="21">
        <v>0</v>
      </c>
      <c r="MQ51" s="21">
        <v>0</v>
      </c>
      <c r="MR51">
        <f>SUMIF($N$7:$MQ$7,"*"&amp;MR$7&amp;"*",$N51:$MQ51)</f>
        <v>1</v>
      </c>
      <c r="MS51">
        <f>SUMIF($N$7:$MQ$7,"*"&amp;MS$7&amp;"*",$N51:$MQ51)</f>
        <v>1</v>
      </c>
      <c r="MT51">
        <f>SUMIF($N$7:$MQ$7,"*"&amp;MT$7&amp;"*",$N51:$MQ51)</f>
        <v>2</v>
      </c>
      <c r="MU51">
        <f>SUMIF($N$7:$MQ$7,"*"&amp;MU$7&amp;"*",$N51:$MQ51)</f>
        <v>0</v>
      </c>
      <c r="MV51">
        <f>SUMIF($N$7:$MQ$7,"*"&amp;MV$7&amp;"*",$N51:$MQ51)</f>
        <v>2</v>
      </c>
      <c r="MW51">
        <f>SUMIF($N$7:$MQ$7,"*"&amp;MW$7&amp;"*",$N51:$MQ51)</f>
        <v>1</v>
      </c>
      <c r="MX51">
        <f>SUMIF($N$7:$MQ$7,"*"&amp;MX$7&amp;"*",$N51:$MQ51)</f>
        <v>0</v>
      </c>
      <c r="MY51">
        <f>SUMIF($N$7:$MQ$7,"*"&amp;MY$7&amp;"*",$N51:$MQ51)</f>
        <v>0</v>
      </c>
      <c r="MZ51">
        <f>SUMIF($N$7:$MQ$7,"*"&amp;MZ$7&amp;"*",$N51:$MQ51)</f>
        <v>0</v>
      </c>
      <c r="NA51">
        <f>SUMIF($N$7:$MQ$7,"*"&amp;NA$7&amp;"*",$N51:$MQ51)</f>
        <v>0</v>
      </c>
      <c r="NB51">
        <f>SUMIF($N$7:$MQ$7,"*"&amp;NB$7&amp;"*",$N51:$MQ51)</f>
        <v>0</v>
      </c>
      <c r="NC51">
        <f>SUMIF($N$7:$MQ$7,"*"&amp;NC$7&amp;"*",$N51:$MQ51)</f>
        <v>0</v>
      </c>
      <c r="ND51">
        <f>SUMIF($N$7:$MQ$7,"*"&amp;ND$7&amp;"*",$N51:$MQ51)</f>
        <v>0</v>
      </c>
      <c r="NE51">
        <f>SUMIF($N$7:$MQ$7,"*"&amp;NE$7&amp;"*",$N51:$MQ51)</f>
        <v>0</v>
      </c>
      <c r="NF51">
        <f>SUMIF($N$7:$MQ$7,"*"&amp;NF$7&amp;"*",$N51:$MQ51)</f>
        <v>0</v>
      </c>
      <c r="NG51">
        <f>SUMIF($N$7:$MQ$7,"*"&amp;NG$7&amp;"*",$N51:$MQ51)</f>
        <v>0</v>
      </c>
      <c r="NH51">
        <f>SUMIF($MR$5:$NG$5,NH$7,$MR51:$NG51)</f>
        <v>5</v>
      </c>
      <c r="NI51">
        <f>SUMIF($MR$5:$NG$5,NI$7,$MR51:$NG51)</f>
        <v>2</v>
      </c>
      <c r="NJ51">
        <f>SUM(NH51:NI51)</f>
        <v>7</v>
      </c>
    </row>
    <row r="52" spans="1:374" x14ac:dyDescent="0.25">
      <c r="A52" t="s">
        <v>405</v>
      </c>
      <c r="B52" t="s">
        <v>421</v>
      </c>
      <c r="C52">
        <v>129420</v>
      </c>
      <c r="D52" s="20" t="s">
        <v>490</v>
      </c>
      <c r="E52" t="s">
        <v>423</v>
      </c>
      <c r="F52" t="s">
        <v>424</v>
      </c>
      <c r="G52" t="s">
        <v>407</v>
      </c>
      <c r="H52" t="s">
        <v>491</v>
      </c>
      <c r="I52" t="s">
        <v>408</v>
      </c>
      <c r="J52" t="s">
        <v>409</v>
      </c>
      <c r="K52" t="s">
        <v>410</v>
      </c>
      <c r="L52" t="s">
        <v>411</v>
      </c>
      <c r="M52" t="s">
        <v>412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s="21">
        <v>0</v>
      </c>
      <c r="AE52" s="21">
        <v>0</v>
      </c>
      <c r="AF52" s="21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 s="21">
        <v>0</v>
      </c>
      <c r="AX52" s="21">
        <v>0</v>
      </c>
      <c r="AY52" s="21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 s="21">
        <v>0</v>
      </c>
      <c r="BQ52" s="21">
        <v>0</v>
      </c>
      <c r="BR52" s="21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 s="21">
        <v>0</v>
      </c>
      <c r="CJ52" s="21">
        <v>0</v>
      </c>
      <c r="CK52" s="21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 s="21">
        <v>0</v>
      </c>
      <c r="DC52" s="21">
        <v>0</v>
      </c>
      <c r="DD52" s="21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 s="21">
        <v>0</v>
      </c>
      <c r="DV52" s="21">
        <v>0</v>
      </c>
      <c r="DW52" s="21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 s="21">
        <v>0</v>
      </c>
      <c r="EO52" s="21">
        <v>0</v>
      </c>
      <c r="EP52" s="21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 s="21">
        <v>0</v>
      </c>
      <c r="FH52" s="21">
        <v>0</v>
      </c>
      <c r="FI52" s="21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 s="21">
        <v>0</v>
      </c>
      <c r="GA52" s="21">
        <v>0</v>
      </c>
      <c r="GB52" s="21">
        <v>0</v>
      </c>
      <c r="GC52">
        <v>0</v>
      </c>
      <c r="GD52">
        <v>0</v>
      </c>
      <c r="GE52">
        <v>0</v>
      </c>
      <c r="GF52">
        <v>0</v>
      </c>
      <c r="GG52">
        <v>1</v>
      </c>
      <c r="GH52">
        <v>0</v>
      </c>
      <c r="GI52">
        <v>1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 s="21">
        <v>2</v>
      </c>
      <c r="GT52" s="21">
        <v>0</v>
      </c>
      <c r="GU52" s="21">
        <v>2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 s="21">
        <v>0</v>
      </c>
      <c r="HM52" s="21">
        <v>0</v>
      </c>
      <c r="HN52" s="21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 s="21">
        <v>0</v>
      </c>
      <c r="IF52" s="21">
        <v>0</v>
      </c>
      <c r="IG52" s="21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 s="21">
        <v>0</v>
      </c>
      <c r="IY52" s="21">
        <v>0</v>
      </c>
      <c r="IZ52" s="21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 s="21">
        <v>0</v>
      </c>
      <c r="JR52" s="21">
        <v>0</v>
      </c>
      <c r="JS52" s="21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 s="21">
        <v>0</v>
      </c>
      <c r="KK52" s="21">
        <v>0</v>
      </c>
      <c r="KL52" s="21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 s="21">
        <v>0</v>
      </c>
      <c r="LD52" s="21">
        <v>0</v>
      </c>
      <c r="LE52" s="21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 s="21">
        <v>0</v>
      </c>
      <c r="LW52" s="21">
        <v>0</v>
      </c>
      <c r="LX52" s="21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 s="21">
        <v>0</v>
      </c>
      <c r="MP52" s="21">
        <v>0</v>
      </c>
      <c r="MQ52" s="21">
        <v>0</v>
      </c>
      <c r="MR52">
        <f>SUMIF($N$7:$MQ$7,"*"&amp;MR$7&amp;"*",$N52:$MQ52)</f>
        <v>0</v>
      </c>
      <c r="MS52">
        <f>SUMIF($N$7:$MQ$7,"*"&amp;MS$7&amp;"*",$N52:$MQ52)</f>
        <v>0</v>
      </c>
      <c r="MT52">
        <f>SUMIF($N$7:$MQ$7,"*"&amp;MT$7&amp;"*",$N52:$MQ52)</f>
        <v>0</v>
      </c>
      <c r="MU52">
        <f>SUMIF($N$7:$MQ$7,"*"&amp;MU$7&amp;"*",$N52:$MQ52)</f>
        <v>0</v>
      </c>
      <c r="MV52">
        <f>SUMIF($N$7:$MQ$7,"*"&amp;MV$7&amp;"*",$N52:$MQ52)</f>
        <v>1</v>
      </c>
      <c r="MW52">
        <f>SUMIF($N$7:$MQ$7,"*"&amp;MW$7&amp;"*",$N52:$MQ52)</f>
        <v>0</v>
      </c>
      <c r="MX52">
        <f>SUMIF($N$7:$MQ$7,"*"&amp;MX$7&amp;"*",$N52:$MQ52)</f>
        <v>1</v>
      </c>
      <c r="MY52">
        <f>SUMIF($N$7:$MQ$7,"*"&amp;MY$7&amp;"*",$N52:$MQ52)</f>
        <v>0</v>
      </c>
      <c r="MZ52">
        <f>SUMIF($N$7:$MQ$7,"*"&amp;MZ$7&amp;"*",$N52:$MQ52)</f>
        <v>0</v>
      </c>
      <c r="NA52">
        <f>SUMIF($N$7:$MQ$7,"*"&amp;NA$7&amp;"*",$N52:$MQ52)</f>
        <v>0</v>
      </c>
      <c r="NB52">
        <f>SUMIF($N$7:$MQ$7,"*"&amp;NB$7&amp;"*",$N52:$MQ52)</f>
        <v>0</v>
      </c>
      <c r="NC52">
        <f>SUMIF($N$7:$MQ$7,"*"&amp;NC$7&amp;"*",$N52:$MQ52)</f>
        <v>0</v>
      </c>
      <c r="ND52">
        <f>SUMIF($N$7:$MQ$7,"*"&amp;ND$7&amp;"*",$N52:$MQ52)</f>
        <v>0</v>
      </c>
      <c r="NE52">
        <f>SUMIF($N$7:$MQ$7,"*"&amp;NE$7&amp;"*",$N52:$MQ52)</f>
        <v>0</v>
      </c>
      <c r="NF52">
        <f>SUMIF($N$7:$MQ$7,"*"&amp;NF$7&amp;"*",$N52:$MQ52)</f>
        <v>0</v>
      </c>
      <c r="NG52">
        <f>SUMIF($N$7:$MQ$7,"*"&amp;NG$7&amp;"*",$N52:$MQ52)</f>
        <v>0</v>
      </c>
      <c r="NH52">
        <f>SUMIF($MR$5:$NG$5,NH$7,$MR52:$NG52)</f>
        <v>2</v>
      </c>
      <c r="NI52">
        <f>SUMIF($MR$5:$NG$5,NI$7,$MR52:$NG52)</f>
        <v>0</v>
      </c>
      <c r="NJ52">
        <f>SUM(NH52:NI52)</f>
        <v>2</v>
      </c>
    </row>
    <row r="53" spans="1:374" x14ac:dyDescent="0.25">
      <c r="A53" t="s">
        <v>405</v>
      </c>
      <c r="B53" t="s">
        <v>421</v>
      </c>
      <c r="C53">
        <v>129421</v>
      </c>
      <c r="D53" s="20" t="s">
        <v>492</v>
      </c>
      <c r="E53" t="s">
        <v>423</v>
      </c>
      <c r="F53" t="s">
        <v>424</v>
      </c>
      <c r="G53" t="s">
        <v>407</v>
      </c>
      <c r="H53" t="s">
        <v>480</v>
      </c>
      <c r="I53" t="s">
        <v>408</v>
      </c>
      <c r="J53" t="s">
        <v>409</v>
      </c>
      <c r="K53" t="s">
        <v>410</v>
      </c>
      <c r="L53" t="s">
        <v>411</v>
      </c>
      <c r="M53" t="s">
        <v>412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s="21">
        <v>0</v>
      </c>
      <c r="AE53" s="21">
        <v>0</v>
      </c>
      <c r="AF53" s="21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 s="21">
        <v>0</v>
      </c>
      <c r="AX53" s="21">
        <v>0</v>
      </c>
      <c r="AY53" s="21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 s="21">
        <v>0</v>
      </c>
      <c r="BQ53" s="21">
        <v>0</v>
      </c>
      <c r="BR53" s="21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 s="21">
        <v>0</v>
      </c>
      <c r="CJ53" s="21">
        <v>0</v>
      </c>
      <c r="CK53" s="21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 s="21">
        <v>0</v>
      </c>
      <c r="DC53" s="21">
        <v>0</v>
      </c>
      <c r="DD53" s="21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 s="21">
        <v>0</v>
      </c>
      <c r="DV53" s="21">
        <v>0</v>
      </c>
      <c r="DW53" s="21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 s="21">
        <v>0</v>
      </c>
      <c r="EO53" s="21">
        <v>0</v>
      </c>
      <c r="EP53" s="21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 s="21">
        <v>0</v>
      </c>
      <c r="FH53" s="21">
        <v>0</v>
      </c>
      <c r="FI53" s="21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 s="21">
        <v>0</v>
      </c>
      <c r="GA53" s="21">
        <v>0</v>
      </c>
      <c r="GB53" s="21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 s="21">
        <v>0</v>
      </c>
      <c r="GT53" s="21">
        <v>0</v>
      </c>
      <c r="GU53" s="21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 s="21">
        <v>0</v>
      </c>
      <c r="HM53" s="21">
        <v>0</v>
      </c>
      <c r="HN53" s="21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 s="21">
        <v>0</v>
      </c>
      <c r="IF53" s="21">
        <v>0</v>
      </c>
      <c r="IG53" s="21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 s="21">
        <v>0</v>
      </c>
      <c r="IY53" s="21">
        <v>0</v>
      </c>
      <c r="IZ53" s="21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 s="21">
        <v>0</v>
      </c>
      <c r="JR53" s="21">
        <v>0</v>
      </c>
      <c r="JS53" s="21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 s="21">
        <v>0</v>
      </c>
      <c r="KK53" s="21">
        <v>0</v>
      </c>
      <c r="KL53" s="21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 s="21">
        <v>0</v>
      </c>
      <c r="LD53" s="21">
        <v>0</v>
      </c>
      <c r="LE53" s="21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 s="21">
        <v>0</v>
      </c>
      <c r="LW53" s="21">
        <v>0</v>
      </c>
      <c r="LX53" s="21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 s="21">
        <v>0</v>
      </c>
      <c r="MP53" s="21">
        <v>0</v>
      </c>
      <c r="MQ53" s="21">
        <v>0</v>
      </c>
      <c r="MR53">
        <f>SUMIF($N$7:$MQ$7,"*"&amp;MR$7&amp;"*",$N53:$MQ53)</f>
        <v>0</v>
      </c>
      <c r="MS53">
        <f>SUMIF($N$7:$MQ$7,"*"&amp;MS$7&amp;"*",$N53:$MQ53)</f>
        <v>0</v>
      </c>
      <c r="MT53">
        <f>SUMIF($N$7:$MQ$7,"*"&amp;MT$7&amp;"*",$N53:$MQ53)</f>
        <v>0</v>
      </c>
      <c r="MU53">
        <f>SUMIF($N$7:$MQ$7,"*"&amp;MU$7&amp;"*",$N53:$MQ53)</f>
        <v>0</v>
      </c>
      <c r="MV53">
        <f>SUMIF($N$7:$MQ$7,"*"&amp;MV$7&amp;"*",$N53:$MQ53)</f>
        <v>0</v>
      </c>
      <c r="MW53">
        <f>SUMIF($N$7:$MQ$7,"*"&amp;MW$7&amp;"*",$N53:$MQ53)</f>
        <v>0</v>
      </c>
      <c r="MX53">
        <f>SUMIF($N$7:$MQ$7,"*"&amp;MX$7&amp;"*",$N53:$MQ53)</f>
        <v>0</v>
      </c>
      <c r="MY53">
        <f>SUMIF($N$7:$MQ$7,"*"&amp;MY$7&amp;"*",$N53:$MQ53)</f>
        <v>0</v>
      </c>
      <c r="MZ53">
        <f>SUMIF($N$7:$MQ$7,"*"&amp;MZ$7&amp;"*",$N53:$MQ53)</f>
        <v>0</v>
      </c>
      <c r="NA53">
        <f>SUMIF($N$7:$MQ$7,"*"&amp;NA$7&amp;"*",$N53:$MQ53)</f>
        <v>0</v>
      </c>
      <c r="NB53">
        <f>SUMIF($N$7:$MQ$7,"*"&amp;NB$7&amp;"*",$N53:$MQ53)</f>
        <v>0</v>
      </c>
      <c r="NC53">
        <f>SUMIF($N$7:$MQ$7,"*"&amp;NC$7&amp;"*",$N53:$MQ53)</f>
        <v>0</v>
      </c>
      <c r="ND53">
        <f>SUMIF($N$7:$MQ$7,"*"&amp;ND$7&amp;"*",$N53:$MQ53)</f>
        <v>0</v>
      </c>
      <c r="NE53">
        <f>SUMIF($N$7:$MQ$7,"*"&amp;NE$7&amp;"*",$N53:$MQ53)</f>
        <v>0</v>
      </c>
      <c r="NF53">
        <f>SUMIF($N$7:$MQ$7,"*"&amp;NF$7&amp;"*",$N53:$MQ53)</f>
        <v>0</v>
      </c>
      <c r="NG53">
        <f>SUMIF($N$7:$MQ$7,"*"&amp;NG$7&amp;"*",$N53:$MQ53)</f>
        <v>0</v>
      </c>
      <c r="NH53">
        <f>SUMIF($MR$5:$NG$5,NH$7,$MR53:$NG53)</f>
        <v>0</v>
      </c>
      <c r="NI53">
        <f>SUMIF($MR$5:$NG$5,NI$7,$MR53:$NG53)</f>
        <v>0</v>
      </c>
      <c r="NJ53">
        <f>SUM(NH53:NI53)</f>
        <v>0</v>
      </c>
    </row>
    <row r="54" spans="1:374" x14ac:dyDescent="0.25">
      <c r="A54" t="s">
        <v>405</v>
      </c>
      <c r="B54" t="s">
        <v>421</v>
      </c>
      <c r="C54">
        <v>129422</v>
      </c>
      <c r="D54" s="20" t="s">
        <v>493</v>
      </c>
      <c r="E54" t="s">
        <v>423</v>
      </c>
      <c r="F54" t="s">
        <v>424</v>
      </c>
      <c r="G54" t="s">
        <v>407</v>
      </c>
      <c r="H54" t="s">
        <v>427</v>
      </c>
      <c r="I54" t="s">
        <v>408</v>
      </c>
      <c r="J54" t="s">
        <v>409</v>
      </c>
      <c r="K54" t="s">
        <v>410</v>
      </c>
      <c r="L54" t="s">
        <v>411</v>
      </c>
      <c r="M54" t="s">
        <v>412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s="21">
        <v>0</v>
      </c>
      <c r="AE54" s="21">
        <v>0</v>
      </c>
      <c r="AF54" s="21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 s="21">
        <v>0</v>
      </c>
      <c r="AX54" s="21">
        <v>0</v>
      </c>
      <c r="AY54" s="21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 s="21">
        <v>0</v>
      </c>
      <c r="BQ54" s="21">
        <v>0</v>
      </c>
      <c r="BR54" s="21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 s="21">
        <v>0</v>
      </c>
      <c r="CJ54" s="21">
        <v>0</v>
      </c>
      <c r="CK54" s="21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 s="21">
        <v>0</v>
      </c>
      <c r="DC54" s="21">
        <v>0</v>
      </c>
      <c r="DD54" s="21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 s="21">
        <v>0</v>
      </c>
      <c r="DV54" s="21">
        <v>0</v>
      </c>
      <c r="DW54" s="21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 s="21">
        <v>0</v>
      </c>
      <c r="EO54" s="21">
        <v>0</v>
      </c>
      <c r="EP54" s="21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 s="21">
        <v>0</v>
      </c>
      <c r="FH54" s="21">
        <v>0</v>
      </c>
      <c r="FI54" s="21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 s="21">
        <v>0</v>
      </c>
      <c r="GA54" s="21">
        <v>0</v>
      </c>
      <c r="GB54" s="21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 s="21">
        <v>0</v>
      </c>
      <c r="GT54" s="21">
        <v>0</v>
      </c>
      <c r="GU54" s="21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 s="21">
        <v>0</v>
      </c>
      <c r="HM54" s="21">
        <v>0</v>
      </c>
      <c r="HN54" s="21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 s="21">
        <v>0</v>
      </c>
      <c r="IF54" s="21">
        <v>0</v>
      </c>
      <c r="IG54" s="21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 s="21">
        <v>0</v>
      </c>
      <c r="IY54" s="21">
        <v>0</v>
      </c>
      <c r="IZ54" s="21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 s="21">
        <v>0</v>
      </c>
      <c r="JR54" s="21">
        <v>0</v>
      </c>
      <c r="JS54" s="21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 s="21">
        <v>0</v>
      </c>
      <c r="KK54" s="21">
        <v>0</v>
      </c>
      <c r="KL54" s="21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 s="21">
        <v>0</v>
      </c>
      <c r="LD54" s="21">
        <v>0</v>
      </c>
      <c r="LE54" s="21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 s="21">
        <v>0</v>
      </c>
      <c r="LW54" s="21">
        <v>0</v>
      </c>
      <c r="LX54" s="21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 s="21">
        <v>0</v>
      </c>
      <c r="MP54" s="21">
        <v>0</v>
      </c>
      <c r="MQ54" s="21">
        <v>0</v>
      </c>
      <c r="MR54">
        <f>SUMIF($N$7:$MQ$7,"*"&amp;MR$7&amp;"*",$N54:$MQ54)</f>
        <v>0</v>
      </c>
      <c r="MS54">
        <f>SUMIF($N$7:$MQ$7,"*"&amp;MS$7&amp;"*",$N54:$MQ54)</f>
        <v>0</v>
      </c>
      <c r="MT54">
        <f>SUMIF($N$7:$MQ$7,"*"&amp;MT$7&amp;"*",$N54:$MQ54)</f>
        <v>0</v>
      </c>
      <c r="MU54">
        <f>SUMIF($N$7:$MQ$7,"*"&amp;MU$7&amp;"*",$N54:$MQ54)</f>
        <v>0</v>
      </c>
      <c r="MV54">
        <f>SUMIF($N$7:$MQ$7,"*"&amp;MV$7&amp;"*",$N54:$MQ54)</f>
        <v>0</v>
      </c>
      <c r="MW54">
        <f>SUMIF($N$7:$MQ$7,"*"&amp;MW$7&amp;"*",$N54:$MQ54)</f>
        <v>0</v>
      </c>
      <c r="MX54">
        <f>SUMIF($N$7:$MQ$7,"*"&amp;MX$7&amp;"*",$N54:$MQ54)</f>
        <v>0</v>
      </c>
      <c r="MY54">
        <f>SUMIF($N$7:$MQ$7,"*"&amp;MY$7&amp;"*",$N54:$MQ54)</f>
        <v>0</v>
      </c>
      <c r="MZ54">
        <f>SUMIF($N$7:$MQ$7,"*"&amp;MZ$7&amp;"*",$N54:$MQ54)</f>
        <v>0</v>
      </c>
      <c r="NA54">
        <f>SUMIF($N$7:$MQ$7,"*"&amp;NA$7&amp;"*",$N54:$MQ54)</f>
        <v>0</v>
      </c>
      <c r="NB54">
        <f>SUMIF($N$7:$MQ$7,"*"&amp;NB$7&amp;"*",$N54:$MQ54)</f>
        <v>0</v>
      </c>
      <c r="NC54">
        <f>SUMIF($N$7:$MQ$7,"*"&amp;NC$7&amp;"*",$N54:$MQ54)</f>
        <v>0</v>
      </c>
      <c r="ND54">
        <f>SUMIF($N$7:$MQ$7,"*"&amp;ND$7&amp;"*",$N54:$MQ54)</f>
        <v>0</v>
      </c>
      <c r="NE54">
        <f>SUMIF($N$7:$MQ$7,"*"&amp;NE$7&amp;"*",$N54:$MQ54)</f>
        <v>0</v>
      </c>
      <c r="NF54">
        <f>SUMIF($N$7:$MQ$7,"*"&amp;NF$7&amp;"*",$N54:$MQ54)</f>
        <v>0</v>
      </c>
      <c r="NG54">
        <f>SUMIF($N$7:$MQ$7,"*"&amp;NG$7&amp;"*",$N54:$MQ54)</f>
        <v>0</v>
      </c>
      <c r="NH54">
        <f>SUMIF($MR$5:$NG$5,NH$7,$MR54:$NG54)</f>
        <v>0</v>
      </c>
      <c r="NI54">
        <f>SUMIF($MR$5:$NG$5,NI$7,$MR54:$NG54)</f>
        <v>0</v>
      </c>
      <c r="NJ54">
        <f>SUM(NH54:NI54)</f>
        <v>0</v>
      </c>
    </row>
    <row r="55" spans="1:374" ht="45" x14ac:dyDescent="0.25">
      <c r="A55" t="s">
        <v>405</v>
      </c>
      <c r="B55" t="s">
        <v>421</v>
      </c>
      <c r="C55">
        <v>205504</v>
      </c>
      <c r="D55" s="20" t="s">
        <v>494</v>
      </c>
      <c r="E55" t="s">
        <v>423</v>
      </c>
      <c r="F55" t="s">
        <v>424</v>
      </c>
      <c r="G55" t="s">
        <v>407</v>
      </c>
      <c r="H55" t="s">
        <v>434</v>
      </c>
      <c r="I55" t="s">
        <v>408</v>
      </c>
      <c r="J55" t="s">
        <v>409</v>
      </c>
      <c r="K55" t="s">
        <v>410</v>
      </c>
      <c r="L55" t="s">
        <v>411</v>
      </c>
      <c r="M55" t="s">
        <v>412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s="21">
        <v>0</v>
      </c>
      <c r="AE55" s="21">
        <v>0</v>
      </c>
      <c r="AF55" s="21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 s="21">
        <v>0</v>
      </c>
      <c r="AX55" s="21">
        <v>0</v>
      </c>
      <c r="AY55" s="21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 s="21">
        <v>0</v>
      </c>
      <c r="BQ55" s="21">
        <v>0</v>
      </c>
      <c r="BR55" s="21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 s="21">
        <v>0</v>
      </c>
      <c r="CJ55" s="21">
        <v>0</v>
      </c>
      <c r="CK55" s="21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 s="21">
        <v>0</v>
      </c>
      <c r="DC55" s="21">
        <v>0</v>
      </c>
      <c r="DD55" s="21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 s="21">
        <v>0</v>
      </c>
      <c r="DV55" s="21">
        <v>0</v>
      </c>
      <c r="DW55" s="21">
        <v>0</v>
      </c>
      <c r="DX55">
        <v>0</v>
      </c>
      <c r="DY55">
        <v>1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 s="21">
        <v>0</v>
      </c>
      <c r="EO55" s="21">
        <v>1</v>
      </c>
      <c r="EP55" s="21">
        <v>1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 s="21">
        <v>0</v>
      </c>
      <c r="FH55" s="21">
        <v>0</v>
      </c>
      <c r="FI55" s="21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 s="21">
        <v>0</v>
      </c>
      <c r="GA55" s="21">
        <v>0</v>
      </c>
      <c r="GB55" s="21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 s="21">
        <v>0</v>
      </c>
      <c r="GT55" s="21">
        <v>0</v>
      </c>
      <c r="GU55" s="21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 s="21">
        <v>0</v>
      </c>
      <c r="HM55" s="21">
        <v>0</v>
      </c>
      <c r="HN55" s="21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 s="21">
        <v>0</v>
      </c>
      <c r="IF55" s="21">
        <v>0</v>
      </c>
      <c r="IG55" s="21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 s="21">
        <v>0</v>
      </c>
      <c r="IY55" s="21">
        <v>0</v>
      </c>
      <c r="IZ55" s="21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 s="21">
        <v>0</v>
      </c>
      <c r="JR55" s="21">
        <v>0</v>
      </c>
      <c r="JS55" s="21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1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 s="21">
        <v>1</v>
      </c>
      <c r="KK55" s="21">
        <v>0</v>
      </c>
      <c r="KL55" s="21">
        <v>1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 s="21">
        <v>0</v>
      </c>
      <c r="LD55" s="21">
        <v>0</v>
      </c>
      <c r="LE55" s="21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 s="21">
        <v>0</v>
      </c>
      <c r="LW55" s="21">
        <v>0</v>
      </c>
      <c r="LX55" s="21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 s="21">
        <v>0</v>
      </c>
      <c r="MP55" s="21">
        <v>0</v>
      </c>
      <c r="MQ55" s="21">
        <v>0</v>
      </c>
      <c r="MR55">
        <f>SUMIF($N$7:$MQ$7,"*"&amp;MR$7&amp;"*",$N55:$MQ55)</f>
        <v>0</v>
      </c>
      <c r="MS55">
        <f>SUMIF($N$7:$MQ$7,"*"&amp;MS$7&amp;"*",$N55:$MQ55)</f>
        <v>1</v>
      </c>
      <c r="MT55">
        <f>SUMIF($N$7:$MQ$7,"*"&amp;MT$7&amp;"*",$N55:$MQ55)</f>
        <v>0</v>
      </c>
      <c r="MU55">
        <f>SUMIF($N$7:$MQ$7,"*"&amp;MU$7&amp;"*",$N55:$MQ55)</f>
        <v>0</v>
      </c>
      <c r="MV55">
        <f>SUMIF($N$7:$MQ$7,"*"&amp;MV$7&amp;"*",$N55:$MQ55)</f>
        <v>0</v>
      </c>
      <c r="MW55">
        <f>SUMIF($N$7:$MQ$7,"*"&amp;MW$7&amp;"*",$N55:$MQ55)</f>
        <v>0</v>
      </c>
      <c r="MX55">
        <f>SUMIF($N$7:$MQ$7,"*"&amp;MX$7&amp;"*",$N55:$MQ55)</f>
        <v>1</v>
      </c>
      <c r="MY55">
        <f>SUMIF($N$7:$MQ$7,"*"&amp;MY$7&amp;"*",$N55:$MQ55)</f>
        <v>0</v>
      </c>
      <c r="MZ55">
        <f>SUMIF($N$7:$MQ$7,"*"&amp;MZ$7&amp;"*",$N55:$MQ55)</f>
        <v>0</v>
      </c>
      <c r="NA55">
        <f>SUMIF($N$7:$MQ$7,"*"&amp;NA$7&amp;"*",$N55:$MQ55)</f>
        <v>0</v>
      </c>
      <c r="NB55">
        <f>SUMIF($N$7:$MQ$7,"*"&amp;NB$7&amp;"*",$N55:$MQ55)</f>
        <v>0</v>
      </c>
      <c r="NC55">
        <f>SUMIF($N$7:$MQ$7,"*"&amp;NC$7&amp;"*",$N55:$MQ55)</f>
        <v>0</v>
      </c>
      <c r="ND55">
        <f>SUMIF($N$7:$MQ$7,"*"&amp;ND$7&amp;"*",$N55:$MQ55)</f>
        <v>0</v>
      </c>
      <c r="NE55">
        <f>SUMIF($N$7:$MQ$7,"*"&amp;NE$7&amp;"*",$N55:$MQ55)</f>
        <v>0</v>
      </c>
      <c r="NF55">
        <f>SUMIF($N$7:$MQ$7,"*"&amp;NF$7&amp;"*",$N55:$MQ55)</f>
        <v>0</v>
      </c>
      <c r="NG55">
        <f>SUMIF($N$7:$MQ$7,"*"&amp;NG$7&amp;"*",$N55:$MQ55)</f>
        <v>0</v>
      </c>
      <c r="NH55">
        <f>SUMIF($MR$5:$NG$5,NH$7,$MR55:$NG55)</f>
        <v>1</v>
      </c>
      <c r="NI55">
        <f>SUMIF($MR$5:$NG$5,NI$7,$MR55:$NG55)</f>
        <v>1</v>
      </c>
      <c r="NJ55">
        <f>SUM(NH55:NI55)</f>
        <v>2</v>
      </c>
    </row>
    <row r="56" spans="1:374" ht="30" x14ac:dyDescent="0.25">
      <c r="A56" t="s">
        <v>405</v>
      </c>
      <c r="B56" t="s">
        <v>421</v>
      </c>
      <c r="C56">
        <v>257001</v>
      </c>
      <c r="D56" s="20" t="s">
        <v>495</v>
      </c>
      <c r="E56" t="s">
        <v>423</v>
      </c>
      <c r="F56" t="s">
        <v>424</v>
      </c>
      <c r="G56" t="s">
        <v>407</v>
      </c>
      <c r="H56" t="s">
        <v>449</v>
      </c>
      <c r="I56" t="s">
        <v>408</v>
      </c>
      <c r="J56" t="s">
        <v>409</v>
      </c>
      <c r="K56" t="s">
        <v>410</v>
      </c>
      <c r="L56" t="s">
        <v>411</v>
      </c>
      <c r="M56" t="s">
        <v>412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s="21">
        <v>0</v>
      </c>
      <c r="AE56" s="21">
        <v>0</v>
      </c>
      <c r="AF56" s="21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 s="21">
        <v>0</v>
      </c>
      <c r="AX56" s="21">
        <v>0</v>
      </c>
      <c r="AY56" s="21">
        <v>0</v>
      </c>
      <c r="AZ56">
        <v>3</v>
      </c>
      <c r="BA56">
        <v>2</v>
      </c>
      <c r="BB56">
        <v>1</v>
      </c>
      <c r="BC56">
        <v>0</v>
      </c>
      <c r="BD56">
        <v>0</v>
      </c>
      <c r="BE56">
        <v>0</v>
      </c>
      <c r="BF56">
        <v>2</v>
      </c>
      <c r="BG56">
        <v>0</v>
      </c>
      <c r="BH56">
        <v>0</v>
      </c>
      <c r="BI56">
        <v>1</v>
      </c>
      <c r="BJ56">
        <v>1</v>
      </c>
      <c r="BK56">
        <v>0</v>
      </c>
      <c r="BL56">
        <v>3</v>
      </c>
      <c r="BM56">
        <v>0</v>
      </c>
      <c r="BN56">
        <v>0</v>
      </c>
      <c r="BO56">
        <v>0</v>
      </c>
      <c r="BP56" s="21">
        <v>10</v>
      </c>
      <c r="BQ56" s="21">
        <v>3</v>
      </c>
      <c r="BR56" s="21">
        <v>13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 s="21">
        <v>0</v>
      </c>
      <c r="CJ56" s="21">
        <v>0</v>
      </c>
      <c r="CK56" s="21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 s="21">
        <v>0</v>
      </c>
      <c r="DC56" s="21">
        <v>0</v>
      </c>
      <c r="DD56" s="21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 s="21">
        <v>0</v>
      </c>
      <c r="DV56" s="21">
        <v>0</v>
      </c>
      <c r="DW56" s="21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 s="21">
        <v>0</v>
      </c>
      <c r="EO56" s="21">
        <v>0</v>
      </c>
      <c r="EP56" s="21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 s="21">
        <v>0</v>
      </c>
      <c r="FH56" s="21">
        <v>0</v>
      </c>
      <c r="FI56" s="21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 s="21">
        <v>0</v>
      </c>
      <c r="GA56" s="21">
        <v>0</v>
      </c>
      <c r="GB56" s="21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1</v>
      </c>
      <c r="GP56">
        <v>0</v>
      </c>
      <c r="GQ56">
        <v>0</v>
      </c>
      <c r="GR56">
        <v>0</v>
      </c>
      <c r="GS56" s="21">
        <v>1</v>
      </c>
      <c r="GT56" s="21">
        <v>0</v>
      </c>
      <c r="GU56" s="21">
        <v>1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 s="21">
        <v>0</v>
      </c>
      <c r="HM56" s="21">
        <v>0</v>
      </c>
      <c r="HN56" s="21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 s="21">
        <v>0</v>
      </c>
      <c r="IF56" s="21">
        <v>0</v>
      </c>
      <c r="IG56" s="21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 s="21">
        <v>0</v>
      </c>
      <c r="IY56" s="21">
        <v>0</v>
      </c>
      <c r="IZ56" s="21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 s="21">
        <v>0</v>
      </c>
      <c r="JR56" s="21">
        <v>0</v>
      </c>
      <c r="JS56" s="21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 s="21">
        <v>0</v>
      </c>
      <c r="KK56" s="21">
        <v>0</v>
      </c>
      <c r="KL56" s="21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 s="21">
        <v>0</v>
      </c>
      <c r="LD56" s="21">
        <v>0</v>
      </c>
      <c r="LE56" s="21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 s="21">
        <v>0</v>
      </c>
      <c r="LW56" s="21">
        <v>0</v>
      </c>
      <c r="LX56" s="21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 s="21">
        <v>0</v>
      </c>
      <c r="MP56" s="21">
        <v>0</v>
      </c>
      <c r="MQ56" s="21">
        <v>0</v>
      </c>
      <c r="MR56">
        <f>SUMIF($N$7:$MQ$7,"*"&amp;MR$7&amp;"*",$N56:$MQ56)</f>
        <v>3</v>
      </c>
      <c r="MS56">
        <f>SUMIF($N$7:$MQ$7,"*"&amp;MS$7&amp;"*",$N56:$MQ56)</f>
        <v>2</v>
      </c>
      <c r="MT56">
        <f>SUMIF($N$7:$MQ$7,"*"&amp;MT$7&amp;"*",$N56:$MQ56)</f>
        <v>1</v>
      </c>
      <c r="MU56">
        <f>SUMIF($N$7:$MQ$7,"*"&amp;MU$7&amp;"*",$N56:$MQ56)</f>
        <v>0</v>
      </c>
      <c r="MV56">
        <f>SUMIF($N$7:$MQ$7,"*"&amp;MV$7&amp;"*",$N56:$MQ56)</f>
        <v>0</v>
      </c>
      <c r="MW56">
        <f>SUMIF($N$7:$MQ$7,"*"&amp;MW$7&amp;"*",$N56:$MQ56)</f>
        <v>0</v>
      </c>
      <c r="MX56">
        <f>SUMIF($N$7:$MQ$7,"*"&amp;MX$7&amp;"*",$N56:$MQ56)</f>
        <v>2</v>
      </c>
      <c r="MY56">
        <f>SUMIF($N$7:$MQ$7,"*"&amp;MY$7&amp;"*",$N56:$MQ56)</f>
        <v>0</v>
      </c>
      <c r="MZ56">
        <f>SUMIF($N$7:$MQ$7,"*"&amp;MZ$7&amp;"*",$N56:$MQ56)</f>
        <v>0</v>
      </c>
      <c r="NA56">
        <f>SUMIF($N$7:$MQ$7,"*"&amp;NA$7&amp;"*",$N56:$MQ56)</f>
        <v>1</v>
      </c>
      <c r="NB56">
        <f>SUMIF($N$7:$MQ$7,"*"&amp;NB$7&amp;"*",$N56:$MQ56)</f>
        <v>1</v>
      </c>
      <c r="NC56">
        <f>SUMIF($N$7:$MQ$7,"*"&amp;NC$7&amp;"*",$N56:$MQ56)</f>
        <v>0</v>
      </c>
      <c r="ND56">
        <f>SUMIF($N$7:$MQ$7,"*"&amp;ND$7&amp;"*",$N56:$MQ56)</f>
        <v>4</v>
      </c>
      <c r="NE56">
        <f>SUMIF($N$7:$MQ$7,"*"&amp;NE$7&amp;"*",$N56:$MQ56)</f>
        <v>0</v>
      </c>
      <c r="NF56">
        <f>SUMIF($N$7:$MQ$7,"*"&amp;NF$7&amp;"*",$N56:$MQ56)</f>
        <v>0</v>
      </c>
      <c r="NG56">
        <f>SUMIF($N$7:$MQ$7,"*"&amp;NG$7&amp;"*",$N56:$MQ56)</f>
        <v>0</v>
      </c>
      <c r="NH56">
        <f>SUMIF($MR$5:$NG$5,NH$7,$MR56:$NG56)</f>
        <v>11</v>
      </c>
      <c r="NI56">
        <f>SUMIF($MR$5:$NG$5,NI$7,$MR56:$NG56)</f>
        <v>3</v>
      </c>
      <c r="NJ56">
        <f>SUM(NH56:NI56)</f>
        <v>14</v>
      </c>
    </row>
    <row r="57" spans="1:374" ht="30" x14ac:dyDescent="0.25">
      <c r="A57" t="s">
        <v>405</v>
      </c>
      <c r="B57" t="s">
        <v>421</v>
      </c>
      <c r="C57">
        <v>405423</v>
      </c>
      <c r="D57" s="20" t="s">
        <v>496</v>
      </c>
      <c r="E57" t="s">
        <v>423</v>
      </c>
      <c r="F57" t="s">
        <v>424</v>
      </c>
      <c r="G57" t="s">
        <v>407</v>
      </c>
      <c r="H57" t="s">
        <v>434</v>
      </c>
      <c r="I57" t="s">
        <v>408</v>
      </c>
      <c r="J57" t="s">
        <v>413</v>
      </c>
      <c r="K57" t="s">
        <v>414</v>
      </c>
      <c r="L57" t="s">
        <v>415</v>
      </c>
      <c r="M57" t="s">
        <v>416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s="21">
        <v>0</v>
      </c>
      <c r="AE57" s="21">
        <v>0</v>
      </c>
      <c r="AF57" s="21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 s="21">
        <v>0</v>
      </c>
      <c r="AX57" s="21">
        <v>0</v>
      </c>
      <c r="AY57" s="21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 s="21">
        <v>0</v>
      </c>
      <c r="BQ57" s="21">
        <v>0</v>
      </c>
      <c r="BR57" s="21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 s="21">
        <v>0</v>
      </c>
      <c r="CJ57" s="21">
        <v>0</v>
      </c>
      <c r="CK57" s="21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 s="21">
        <v>0</v>
      </c>
      <c r="DC57" s="21">
        <v>0</v>
      </c>
      <c r="DD57" s="21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 s="21">
        <v>0</v>
      </c>
      <c r="DV57" s="21">
        <v>0</v>
      </c>
      <c r="DW57" s="21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 s="21">
        <v>0</v>
      </c>
      <c r="EO57" s="21">
        <v>0</v>
      </c>
      <c r="EP57" s="21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 s="21">
        <v>0</v>
      </c>
      <c r="FH57" s="21">
        <v>0</v>
      </c>
      <c r="FI57" s="21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 s="21">
        <v>0</v>
      </c>
      <c r="GA57" s="21">
        <v>0</v>
      </c>
      <c r="GB57" s="21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 s="21">
        <v>0</v>
      </c>
      <c r="GT57" s="21">
        <v>0</v>
      </c>
      <c r="GU57" s="21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 s="21">
        <v>0</v>
      </c>
      <c r="HM57" s="21">
        <v>0</v>
      </c>
      <c r="HN57" s="21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 s="21">
        <v>0</v>
      </c>
      <c r="IF57" s="21">
        <v>0</v>
      </c>
      <c r="IG57" s="21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 s="21">
        <v>0</v>
      </c>
      <c r="IY57" s="21">
        <v>0</v>
      </c>
      <c r="IZ57" s="21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 s="21">
        <v>0</v>
      </c>
      <c r="JR57" s="21">
        <v>0</v>
      </c>
      <c r="JS57" s="21">
        <v>0</v>
      </c>
      <c r="JT57">
        <v>0</v>
      </c>
      <c r="JU57">
        <v>1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 s="21">
        <v>0</v>
      </c>
      <c r="KK57" s="21">
        <v>1</v>
      </c>
      <c r="KL57" s="21">
        <v>1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 s="21">
        <v>0</v>
      </c>
      <c r="LD57" s="21">
        <v>0</v>
      </c>
      <c r="LE57" s="21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 s="21">
        <v>0</v>
      </c>
      <c r="LW57" s="21">
        <v>0</v>
      </c>
      <c r="LX57" s="21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 s="21">
        <v>0</v>
      </c>
      <c r="MP57" s="21">
        <v>0</v>
      </c>
      <c r="MQ57" s="21">
        <v>0</v>
      </c>
      <c r="MR57">
        <f>SUMIF($N$7:$MQ$7,"*"&amp;MR$7&amp;"*",$N57:$MQ57)</f>
        <v>0</v>
      </c>
      <c r="MS57">
        <f>SUMIF($N$7:$MQ$7,"*"&amp;MS$7&amp;"*",$N57:$MQ57)</f>
        <v>1</v>
      </c>
      <c r="MT57">
        <f>SUMIF($N$7:$MQ$7,"*"&amp;MT$7&amp;"*",$N57:$MQ57)</f>
        <v>0</v>
      </c>
      <c r="MU57">
        <f>SUMIF($N$7:$MQ$7,"*"&amp;MU$7&amp;"*",$N57:$MQ57)</f>
        <v>0</v>
      </c>
      <c r="MV57">
        <f>SUMIF($N$7:$MQ$7,"*"&amp;MV$7&amp;"*",$N57:$MQ57)</f>
        <v>0</v>
      </c>
      <c r="MW57">
        <f>SUMIF($N$7:$MQ$7,"*"&amp;MW$7&amp;"*",$N57:$MQ57)</f>
        <v>0</v>
      </c>
      <c r="MX57">
        <f>SUMIF($N$7:$MQ$7,"*"&amp;MX$7&amp;"*",$N57:$MQ57)</f>
        <v>0</v>
      </c>
      <c r="MY57">
        <f>SUMIF($N$7:$MQ$7,"*"&amp;MY$7&amp;"*",$N57:$MQ57)</f>
        <v>0</v>
      </c>
      <c r="MZ57">
        <f>SUMIF($N$7:$MQ$7,"*"&amp;MZ$7&amp;"*",$N57:$MQ57)</f>
        <v>0</v>
      </c>
      <c r="NA57">
        <f>SUMIF($N$7:$MQ$7,"*"&amp;NA$7&amp;"*",$N57:$MQ57)</f>
        <v>0</v>
      </c>
      <c r="NB57">
        <f>SUMIF($N$7:$MQ$7,"*"&amp;NB$7&amp;"*",$N57:$MQ57)</f>
        <v>0</v>
      </c>
      <c r="NC57">
        <f>SUMIF($N$7:$MQ$7,"*"&amp;NC$7&amp;"*",$N57:$MQ57)</f>
        <v>0</v>
      </c>
      <c r="ND57">
        <f>SUMIF($N$7:$MQ$7,"*"&amp;ND$7&amp;"*",$N57:$MQ57)</f>
        <v>0</v>
      </c>
      <c r="NE57">
        <f>SUMIF($N$7:$MQ$7,"*"&amp;NE$7&amp;"*",$N57:$MQ57)</f>
        <v>0</v>
      </c>
      <c r="NF57">
        <f>SUMIF($N$7:$MQ$7,"*"&amp;NF$7&amp;"*",$N57:$MQ57)</f>
        <v>0</v>
      </c>
      <c r="NG57">
        <f>SUMIF($N$7:$MQ$7,"*"&amp;NG$7&amp;"*",$N57:$MQ57)</f>
        <v>0</v>
      </c>
      <c r="NH57">
        <f>SUMIF($MR$5:$NG$5,NH$7,$MR57:$NG57)</f>
        <v>0</v>
      </c>
      <c r="NI57">
        <f>SUMIF($MR$5:$NG$5,NI$7,$MR57:$NG57)</f>
        <v>1</v>
      </c>
      <c r="NJ57">
        <f>SUM(NH57:NI57)</f>
        <v>1</v>
      </c>
    </row>
    <row r="58" spans="1:374" ht="30" x14ac:dyDescent="0.25">
      <c r="A58" t="s">
        <v>405</v>
      </c>
      <c r="B58" t="s">
        <v>421</v>
      </c>
      <c r="C58">
        <v>405425</v>
      </c>
      <c r="D58" s="20" t="s">
        <v>497</v>
      </c>
      <c r="E58" t="s">
        <v>423</v>
      </c>
      <c r="F58" t="s">
        <v>424</v>
      </c>
      <c r="G58" t="s">
        <v>407</v>
      </c>
      <c r="H58" t="s">
        <v>463</v>
      </c>
      <c r="I58" t="s">
        <v>408</v>
      </c>
      <c r="J58" t="s">
        <v>413</v>
      </c>
      <c r="K58" t="s">
        <v>414</v>
      </c>
      <c r="L58" t="s">
        <v>415</v>
      </c>
      <c r="M58" t="s">
        <v>416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s="21">
        <v>0</v>
      </c>
      <c r="AE58" s="21">
        <v>0</v>
      </c>
      <c r="AF58" s="21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s="21">
        <v>0</v>
      </c>
      <c r="AX58" s="21">
        <v>0</v>
      </c>
      <c r="AY58" s="21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 s="21">
        <v>0</v>
      </c>
      <c r="BQ58" s="21">
        <v>0</v>
      </c>
      <c r="BR58" s="21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 s="21">
        <v>0</v>
      </c>
      <c r="CJ58" s="21">
        <v>0</v>
      </c>
      <c r="CK58" s="21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 s="21">
        <v>0</v>
      </c>
      <c r="DC58" s="21">
        <v>0</v>
      </c>
      <c r="DD58" s="21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 s="21">
        <v>0</v>
      </c>
      <c r="DV58" s="21">
        <v>0</v>
      </c>
      <c r="DW58" s="21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 s="21">
        <v>0</v>
      </c>
      <c r="EO58" s="21">
        <v>0</v>
      </c>
      <c r="EP58" s="21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 s="21">
        <v>0</v>
      </c>
      <c r="FH58" s="21">
        <v>0</v>
      </c>
      <c r="FI58" s="21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 s="21">
        <v>0</v>
      </c>
      <c r="GA58" s="21">
        <v>0</v>
      </c>
      <c r="GB58" s="21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 s="21">
        <v>0</v>
      </c>
      <c r="GT58" s="21">
        <v>0</v>
      </c>
      <c r="GU58" s="21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 s="21">
        <v>0</v>
      </c>
      <c r="HM58" s="21">
        <v>0</v>
      </c>
      <c r="HN58" s="21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 s="21">
        <v>0</v>
      </c>
      <c r="IF58" s="21">
        <v>0</v>
      </c>
      <c r="IG58" s="21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 s="21">
        <v>0</v>
      </c>
      <c r="IY58" s="21">
        <v>0</v>
      </c>
      <c r="IZ58" s="21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 s="21">
        <v>0</v>
      </c>
      <c r="JR58" s="21">
        <v>0</v>
      </c>
      <c r="JS58" s="21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 s="21">
        <v>0</v>
      </c>
      <c r="KK58" s="21">
        <v>0</v>
      </c>
      <c r="KL58" s="21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 s="21">
        <v>0</v>
      </c>
      <c r="LD58" s="21">
        <v>0</v>
      </c>
      <c r="LE58" s="21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 s="21">
        <v>0</v>
      </c>
      <c r="LW58" s="21">
        <v>0</v>
      </c>
      <c r="LX58" s="21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 s="21">
        <v>0</v>
      </c>
      <c r="MP58" s="21">
        <v>0</v>
      </c>
      <c r="MQ58" s="21">
        <v>0</v>
      </c>
      <c r="MR58">
        <f>SUMIF($N$7:$MQ$7,"*"&amp;MR$7&amp;"*",$N58:$MQ58)</f>
        <v>0</v>
      </c>
      <c r="MS58">
        <f>SUMIF($N$7:$MQ$7,"*"&amp;MS$7&amp;"*",$N58:$MQ58)</f>
        <v>0</v>
      </c>
      <c r="MT58">
        <f>SUMIF($N$7:$MQ$7,"*"&amp;MT$7&amp;"*",$N58:$MQ58)</f>
        <v>0</v>
      </c>
      <c r="MU58">
        <f>SUMIF($N$7:$MQ$7,"*"&amp;MU$7&amp;"*",$N58:$MQ58)</f>
        <v>0</v>
      </c>
      <c r="MV58">
        <f>SUMIF($N$7:$MQ$7,"*"&amp;MV$7&amp;"*",$N58:$MQ58)</f>
        <v>0</v>
      </c>
      <c r="MW58">
        <f>SUMIF($N$7:$MQ$7,"*"&amp;MW$7&amp;"*",$N58:$MQ58)</f>
        <v>0</v>
      </c>
      <c r="MX58">
        <f>SUMIF($N$7:$MQ$7,"*"&amp;MX$7&amp;"*",$N58:$MQ58)</f>
        <v>0</v>
      </c>
      <c r="MY58">
        <f>SUMIF($N$7:$MQ$7,"*"&amp;MY$7&amp;"*",$N58:$MQ58)</f>
        <v>0</v>
      </c>
      <c r="MZ58">
        <f>SUMIF($N$7:$MQ$7,"*"&amp;MZ$7&amp;"*",$N58:$MQ58)</f>
        <v>0</v>
      </c>
      <c r="NA58">
        <f>SUMIF($N$7:$MQ$7,"*"&amp;NA$7&amp;"*",$N58:$MQ58)</f>
        <v>0</v>
      </c>
      <c r="NB58">
        <f>SUMIF($N$7:$MQ$7,"*"&amp;NB$7&amp;"*",$N58:$MQ58)</f>
        <v>0</v>
      </c>
      <c r="NC58">
        <f>SUMIF($N$7:$MQ$7,"*"&amp;NC$7&amp;"*",$N58:$MQ58)</f>
        <v>0</v>
      </c>
      <c r="ND58">
        <f>SUMIF($N$7:$MQ$7,"*"&amp;ND$7&amp;"*",$N58:$MQ58)</f>
        <v>0</v>
      </c>
      <c r="NE58">
        <f>SUMIF($N$7:$MQ$7,"*"&amp;NE$7&amp;"*",$N58:$MQ58)</f>
        <v>0</v>
      </c>
      <c r="NF58">
        <f>SUMIF($N$7:$MQ$7,"*"&amp;NF$7&amp;"*",$N58:$MQ58)</f>
        <v>0</v>
      </c>
      <c r="NG58">
        <f>SUMIF($N$7:$MQ$7,"*"&amp;NG$7&amp;"*",$N58:$MQ58)</f>
        <v>0</v>
      </c>
      <c r="NH58">
        <f>SUMIF($MR$5:$NG$5,NH$7,$MR58:$NG58)</f>
        <v>0</v>
      </c>
      <c r="NI58">
        <f>SUMIF($MR$5:$NG$5,NI$7,$MR58:$NG58)</f>
        <v>0</v>
      </c>
      <c r="NJ58">
        <f>SUM(NH58:NI58)</f>
        <v>0</v>
      </c>
    </row>
    <row r="59" spans="1:374" ht="30" x14ac:dyDescent="0.25">
      <c r="A59" t="s">
        <v>405</v>
      </c>
      <c r="B59" t="s">
        <v>421</v>
      </c>
      <c r="C59">
        <v>405426</v>
      </c>
      <c r="D59" s="20" t="s">
        <v>498</v>
      </c>
      <c r="E59" t="s">
        <v>423</v>
      </c>
      <c r="F59" t="s">
        <v>424</v>
      </c>
      <c r="G59" t="s">
        <v>407</v>
      </c>
      <c r="H59" t="s">
        <v>434</v>
      </c>
      <c r="I59" t="s">
        <v>408</v>
      </c>
      <c r="J59" t="s">
        <v>413</v>
      </c>
      <c r="K59" t="s">
        <v>414</v>
      </c>
      <c r="L59" t="s">
        <v>419</v>
      </c>
      <c r="M59" t="s">
        <v>420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s="21">
        <v>0</v>
      </c>
      <c r="AE59" s="21">
        <v>0</v>
      </c>
      <c r="AF59" s="21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s="21">
        <v>0</v>
      </c>
      <c r="AX59" s="21">
        <v>0</v>
      </c>
      <c r="AY59" s="21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 s="21">
        <v>0</v>
      </c>
      <c r="BQ59" s="21">
        <v>0</v>
      </c>
      <c r="BR59" s="21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 s="21">
        <v>0</v>
      </c>
      <c r="CJ59" s="21">
        <v>0</v>
      </c>
      <c r="CK59" s="21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0</v>
      </c>
      <c r="DB59" s="21">
        <v>1</v>
      </c>
      <c r="DC59" s="21">
        <v>0</v>
      </c>
      <c r="DD59" s="21">
        <v>1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 s="21">
        <v>0</v>
      </c>
      <c r="DV59" s="21">
        <v>0</v>
      </c>
      <c r="DW59" s="21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 s="21">
        <v>0</v>
      </c>
      <c r="EO59" s="21">
        <v>0</v>
      </c>
      <c r="EP59" s="21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 s="21">
        <v>0</v>
      </c>
      <c r="FH59" s="21">
        <v>0</v>
      </c>
      <c r="FI59" s="21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 s="21">
        <v>0</v>
      </c>
      <c r="GA59" s="21">
        <v>0</v>
      </c>
      <c r="GB59" s="21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 s="21">
        <v>0</v>
      </c>
      <c r="GT59" s="21">
        <v>0</v>
      </c>
      <c r="GU59" s="21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 s="21">
        <v>0</v>
      </c>
      <c r="HM59" s="21">
        <v>0</v>
      </c>
      <c r="HN59" s="21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 s="21">
        <v>0</v>
      </c>
      <c r="IF59" s="21">
        <v>0</v>
      </c>
      <c r="IG59" s="21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 s="21">
        <v>0</v>
      </c>
      <c r="IY59" s="21">
        <v>0</v>
      </c>
      <c r="IZ59" s="21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 s="21">
        <v>0</v>
      </c>
      <c r="JR59" s="21">
        <v>0</v>
      </c>
      <c r="JS59" s="21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 s="21">
        <v>0</v>
      </c>
      <c r="KK59" s="21">
        <v>0</v>
      </c>
      <c r="KL59" s="21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 s="21">
        <v>0</v>
      </c>
      <c r="LD59" s="21">
        <v>0</v>
      </c>
      <c r="LE59" s="21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 s="21">
        <v>0</v>
      </c>
      <c r="LW59" s="21">
        <v>0</v>
      </c>
      <c r="LX59" s="21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 s="21">
        <v>0</v>
      </c>
      <c r="MP59" s="21">
        <v>0</v>
      </c>
      <c r="MQ59" s="21">
        <v>0</v>
      </c>
      <c r="MR59">
        <f>SUMIF($N$7:$MQ$7,"*"&amp;MR$7&amp;"*",$N59:$MQ59)</f>
        <v>0</v>
      </c>
      <c r="MS59">
        <f>SUMIF($N$7:$MQ$7,"*"&amp;MS$7&amp;"*",$N59:$MQ59)</f>
        <v>0</v>
      </c>
      <c r="MT59">
        <f>SUMIF($N$7:$MQ$7,"*"&amp;MT$7&amp;"*",$N59:$MQ59)</f>
        <v>0</v>
      </c>
      <c r="MU59">
        <f>SUMIF($N$7:$MQ$7,"*"&amp;MU$7&amp;"*",$N59:$MQ59)</f>
        <v>0</v>
      </c>
      <c r="MV59">
        <f>SUMIF($N$7:$MQ$7,"*"&amp;MV$7&amp;"*",$N59:$MQ59)</f>
        <v>0</v>
      </c>
      <c r="MW59">
        <f>SUMIF($N$7:$MQ$7,"*"&amp;MW$7&amp;"*",$N59:$MQ59)</f>
        <v>0</v>
      </c>
      <c r="MX59">
        <f>SUMIF($N$7:$MQ$7,"*"&amp;MX$7&amp;"*",$N59:$MQ59)</f>
        <v>0</v>
      </c>
      <c r="MY59">
        <f>SUMIF($N$7:$MQ$7,"*"&amp;MY$7&amp;"*",$N59:$MQ59)</f>
        <v>0</v>
      </c>
      <c r="MZ59">
        <f>SUMIF($N$7:$MQ$7,"*"&amp;MZ$7&amp;"*",$N59:$MQ59)</f>
        <v>0</v>
      </c>
      <c r="NA59">
        <f>SUMIF($N$7:$MQ$7,"*"&amp;NA$7&amp;"*",$N59:$MQ59)</f>
        <v>0</v>
      </c>
      <c r="NB59">
        <f>SUMIF($N$7:$MQ$7,"*"&amp;NB$7&amp;"*",$N59:$MQ59)</f>
        <v>1</v>
      </c>
      <c r="NC59">
        <f>SUMIF($N$7:$MQ$7,"*"&amp;NC$7&amp;"*",$N59:$MQ59)</f>
        <v>0</v>
      </c>
      <c r="ND59">
        <f>SUMIF($N$7:$MQ$7,"*"&amp;ND$7&amp;"*",$N59:$MQ59)</f>
        <v>0</v>
      </c>
      <c r="NE59">
        <f>SUMIF($N$7:$MQ$7,"*"&amp;NE$7&amp;"*",$N59:$MQ59)</f>
        <v>0</v>
      </c>
      <c r="NF59">
        <f>SUMIF($N$7:$MQ$7,"*"&amp;NF$7&amp;"*",$N59:$MQ59)</f>
        <v>0</v>
      </c>
      <c r="NG59">
        <f>SUMIF($N$7:$MQ$7,"*"&amp;NG$7&amp;"*",$N59:$MQ59)</f>
        <v>0</v>
      </c>
      <c r="NH59">
        <f>SUMIF($MR$5:$NG$5,NH$7,$MR59:$NG59)</f>
        <v>1</v>
      </c>
      <c r="NI59">
        <f>SUMIF($MR$5:$NG$5,NI$7,$MR59:$NG59)</f>
        <v>0</v>
      </c>
      <c r="NJ59">
        <f>SUM(NH59:NI59)</f>
        <v>1</v>
      </c>
    </row>
    <row r="60" spans="1:374" ht="60" x14ac:dyDescent="0.25">
      <c r="A60" t="s">
        <v>405</v>
      </c>
      <c r="B60" t="s">
        <v>421</v>
      </c>
      <c r="C60">
        <v>407899</v>
      </c>
      <c r="D60" s="20" t="s">
        <v>499</v>
      </c>
      <c r="E60" t="s">
        <v>423</v>
      </c>
      <c r="F60" t="s">
        <v>424</v>
      </c>
      <c r="G60" t="s">
        <v>407</v>
      </c>
      <c r="H60" t="s">
        <v>436</v>
      </c>
      <c r="I60" t="s">
        <v>500</v>
      </c>
      <c r="J60" t="s">
        <v>413</v>
      </c>
      <c r="K60" t="s">
        <v>414</v>
      </c>
      <c r="L60" t="s">
        <v>411</v>
      </c>
      <c r="M60" t="s">
        <v>412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s="21">
        <v>0</v>
      </c>
      <c r="AE60" s="21">
        <v>0</v>
      </c>
      <c r="AF60" s="21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 s="21">
        <v>0</v>
      </c>
      <c r="AX60" s="21">
        <v>0</v>
      </c>
      <c r="AY60" s="21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 s="21">
        <v>0</v>
      </c>
      <c r="BQ60" s="21">
        <v>0</v>
      </c>
      <c r="BR60" s="21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 s="21">
        <v>0</v>
      </c>
      <c r="CJ60" s="21">
        <v>0</v>
      </c>
      <c r="CK60" s="21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 s="21">
        <v>0</v>
      </c>
      <c r="DC60" s="21">
        <v>0</v>
      </c>
      <c r="DD60" s="21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 s="21">
        <v>0</v>
      </c>
      <c r="DV60" s="21">
        <v>0</v>
      </c>
      <c r="DW60" s="21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 s="21">
        <v>0</v>
      </c>
      <c r="EO60" s="21">
        <v>0</v>
      </c>
      <c r="EP60" s="21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 s="21">
        <v>0</v>
      </c>
      <c r="FH60" s="21">
        <v>0</v>
      </c>
      <c r="FI60" s="21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 s="21">
        <v>0</v>
      </c>
      <c r="GA60" s="21">
        <v>0</v>
      </c>
      <c r="GB60" s="21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 s="21">
        <v>0</v>
      </c>
      <c r="GT60" s="21">
        <v>0</v>
      </c>
      <c r="GU60" s="21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 s="21">
        <v>0</v>
      </c>
      <c r="HM60" s="21">
        <v>0</v>
      </c>
      <c r="HN60" s="21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 s="21">
        <v>0</v>
      </c>
      <c r="IF60" s="21">
        <v>0</v>
      </c>
      <c r="IG60" s="21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 s="21">
        <v>0</v>
      </c>
      <c r="IY60" s="21">
        <v>0</v>
      </c>
      <c r="IZ60" s="21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 s="21">
        <v>0</v>
      </c>
      <c r="JR60" s="21">
        <v>0</v>
      </c>
      <c r="JS60" s="21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 s="21">
        <v>0</v>
      </c>
      <c r="KK60" s="21">
        <v>0</v>
      </c>
      <c r="KL60" s="21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 s="21">
        <v>0</v>
      </c>
      <c r="LD60" s="21">
        <v>0</v>
      </c>
      <c r="LE60" s="21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 s="21">
        <v>0</v>
      </c>
      <c r="LW60" s="21">
        <v>0</v>
      </c>
      <c r="LX60" s="21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 s="21">
        <v>0</v>
      </c>
      <c r="MP60" s="21">
        <v>0</v>
      </c>
      <c r="MQ60" s="21">
        <v>0</v>
      </c>
      <c r="MR60">
        <f>SUMIF($N$7:$MQ$7,"*"&amp;MR$7&amp;"*",$N60:$MQ60)</f>
        <v>0</v>
      </c>
      <c r="MS60">
        <f>SUMIF($N$7:$MQ$7,"*"&amp;MS$7&amp;"*",$N60:$MQ60)</f>
        <v>0</v>
      </c>
      <c r="MT60">
        <f>SUMIF($N$7:$MQ$7,"*"&amp;MT$7&amp;"*",$N60:$MQ60)</f>
        <v>0</v>
      </c>
      <c r="MU60">
        <f>SUMIF($N$7:$MQ$7,"*"&amp;MU$7&amp;"*",$N60:$MQ60)</f>
        <v>0</v>
      </c>
      <c r="MV60">
        <f>SUMIF($N$7:$MQ$7,"*"&amp;MV$7&amp;"*",$N60:$MQ60)</f>
        <v>0</v>
      </c>
      <c r="MW60">
        <f>SUMIF($N$7:$MQ$7,"*"&amp;MW$7&amp;"*",$N60:$MQ60)</f>
        <v>0</v>
      </c>
      <c r="MX60">
        <f>SUMIF($N$7:$MQ$7,"*"&amp;MX$7&amp;"*",$N60:$MQ60)</f>
        <v>0</v>
      </c>
      <c r="MY60">
        <f>SUMIF($N$7:$MQ$7,"*"&amp;MY$7&amp;"*",$N60:$MQ60)</f>
        <v>0</v>
      </c>
      <c r="MZ60">
        <f>SUMIF($N$7:$MQ$7,"*"&amp;MZ$7&amp;"*",$N60:$MQ60)</f>
        <v>0</v>
      </c>
      <c r="NA60">
        <f>SUMIF($N$7:$MQ$7,"*"&amp;NA$7&amp;"*",$N60:$MQ60)</f>
        <v>0</v>
      </c>
      <c r="NB60">
        <f>SUMIF($N$7:$MQ$7,"*"&amp;NB$7&amp;"*",$N60:$MQ60)</f>
        <v>0</v>
      </c>
      <c r="NC60">
        <f>SUMIF($N$7:$MQ$7,"*"&amp;NC$7&amp;"*",$N60:$MQ60)</f>
        <v>0</v>
      </c>
      <c r="ND60">
        <f>SUMIF($N$7:$MQ$7,"*"&amp;ND$7&amp;"*",$N60:$MQ60)</f>
        <v>0</v>
      </c>
      <c r="NE60">
        <f>SUMIF($N$7:$MQ$7,"*"&amp;NE$7&amp;"*",$N60:$MQ60)</f>
        <v>0</v>
      </c>
      <c r="NF60">
        <f>SUMIF($N$7:$MQ$7,"*"&amp;NF$7&amp;"*",$N60:$MQ60)</f>
        <v>0</v>
      </c>
      <c r="NG60">
        <f>SUMIF($N$7:$MQ$7,"*"&amp;NG$7&amp;"*",$N60:$MQ60)</f>
        <v>0</v>
      </c>
      <c r="NH60">
        <f>SUMIF($MR$5:$NG$5,NH$7,$MR60:$NG60)</f>
        <v>0</v>
      </c>
      <c r="NI60">
        <f>SUMIF($MR$5:$NG$5,NI$7,$MR60:$NG60)</f>
        <v>0</v>
      </c>
      <c r="NJ60">
        <f>SUM(NH60:NI60)</f>
        <v>0</v>
      </c>
    </row>
    <row r="61" spans="1:374" x14ac:dyDescent="0.25">
      <c r="A61" t="s">
        <v>405</v>
      </c>
      <c r="B61" t="s">
        <v>421</v>
      </c>
      <c r="C61">
        <v>408184</v>
      </c>
      <c r="D61" s="20" t="s">
        <v>501</v>
      </c>
      <c r="E61" t="s">
        <v>423</v>
      </c>
      <c r="F61" t="s">
        <v>424</v>
      </c>
      <c r="G61" t="s">
        <v>407</v>
      </c>
      <c r="H61" t="s">
        <v>463</v>
      </c>
      <c r="I61" t="s">
        <v>500</v>
      </c>
      <c r="J61" t="s">
        <v>413</v>
      </c>
      <c r="K61" t="s">
        <v>417</v>
      </c>
      <c r="L61" t="s">
        <v>411</v>
      </c>
      <c r="M61" t="s">
        <v>412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s="21">
        <v>0</v>
      </c>
      <c r="AE61" s="21">
        <v>0</v>
      </c>
      <c r="AF61" s="2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 s="21">
        <v>0</v>
      </c>
      <c r="AX61" s="21">
        <v>0</v>
      </c>
      <c r="AY61" s="2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 s="21">
        <v>0</v>
      </c>
      <c r="BQ61" s="21">
        <v>0</v>
      </c>
      <c r="BR61" s="2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 s="21">
        <v>0</v>
      </c>
      <c r="CJ61" s="21">
        <v>0</v>
      </c>
      <c r="CK61" s="2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 s="21">
        <v>0</v>
      </c>
      <c r="DC61" s="21">
        <v>0</v>
      </c>
      <c r="DD61" s="2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 s="21">
        <v>0</v>
      </c>
      <c r="DV61" s="21">
        <v>0</v>
      </c>
      <c r="DW61" s="2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 s="21">
        <v>0</v>
      </c>
      <c r="EO61" s="21">
        <v>0</v>
      </c>
      <c r="EP61" s="2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 s="21">
        <v>0</v>
      </c>
      <c r="FH61" s="21">
        <v>0</v>
      </c>
      <c r="FI61" s="2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 s="21">
        <v>0</v>
      </c>
      <c r="GA61" s="21">
        <v>0</v>
      </c>
      <c r="GB61" s="2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 s="21">
        <v>0</v>
      </c>
      <c r="GT61" s="21">
        <v>0</v>
      </c>
      <c r="GU61" s="2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 s="21">
        <v>0</v>
      </c>
      <c r="HM61" s="21">
        <v>0</v>
      </c>
      <c r="HN61" s="2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 s="21">
        <v>0</v>
      </c>
      <c r="IF61" s="21">
        <v>0</v>
      </c>
      <c r="IG61" s="2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 s="21">
        <v>0</v>
      </c>
      <c r="IY61" s="21">
        <v>0</v>
      </c>
      <c r="IZ61" s="2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 s="21">
        <v>0</v>
      </c>
      <c r="JR61" s="21">
        <v>0</v>
      </c>
      <c r="JS61" s="2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 s="21">
        <v>0</v>
      </c>
      <c r="KK61" s="21">
        <v>0</v>
      </c>
      <c r="KL61" s="2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 s="21">
        <v>0</v>
      </c>
      <c r="LD61" s="21">
        <v>0</v>
      </c>
      <c r="LE61" s="2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 s="21">
        <v>0</v>
      </c>
      <c r="LW61" s="21">
        <v>0</v>
      </c>
      <c r="LX61" s="2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 s="21">
        <v>0</v>
      </c>
      <c r="MP61" s="21">
        <v>0</v>
      </c>
      <c r="MQ61" s="21">
        <v>0</v>
      </c>
      <c r="MR61">
        <f>SUMIF($N$7:$MQ$7,"*"&amp;MR$7&amp;"*",$N61:$MQ61)</f>
        <v>0</v>
      </c>
      <c r="MS61">
        <f>SUMIF($N$7:$MQ$7,"*"&amp;MS$7&amp;"*",$N61:$MQ61)</f>
        <v>0</v>
      </c>
      <c r="MT61">
        <f>SUMIF($N$7:$MQ$7,"*"&amp;MT$7&amp;"*",$N61:$MQ61)</f>
        <v>0</v>
      </c>
      <c r="MU61">
        <f>SUMIF($N$7:$MQ$7,"*"&amp;MU$7&amp;"*",$N61:$MQ61)</f>
        <v>0</v>
      </c>
      <c r="MV61">
        <f>SUMIF($N$7:$MQ$7,"*"&amp;MV$7&amp;"*",$N61:$MQ61)</f>
        <v>0</v>
      </c>
      <c r="MW61">
        <f>SUMIF($N$7:$MQ$7,"*"&amp;MW$7&amp;"*",$N61:$MQ61)</f>
        <v>0</v>
      </c>
      <c r="MX61">
        <f>SUMIF($N$7:$MQ$7,"*"&amp;MX$7&amp;"*",$N61:$MQ61)</f>
        <v>0</v>
      </c>
      <c r="MY61">
        <f>SUMIF($N$7:$MQ$7,"*"&amp;MY$7&amp;"*",$N61:$MQ61)</f>
        <v>0</v>
      </c>
      <c r="MZ61">
        <f>SUMIF($N$7:$MQ$7,"*"&amp;MZ$7&amp;"*",$N61:$MQ61)</f>
        <v>0</v>
      </c>
      <c r="NA61">
        <f>SUMIF($N$7:$MQ$7,"*"&amp;NA$7&amp;"*",$N61:$MQ61)</f>
        <v>0</v>
      </c>
      <c r="NB61">
        <f>SUMIF($N$7:$MQ$7,"*"&amp;NB$7&amp;"*",$N61:$MQ61)</f>
        <v>0</v>
      </c>
      <c r="NC61">
        <f>SUMIF($N$7:$MQ$7,"*"&amp;NC$7&amp;"*",$N61:$MQ61)</f>
        <v>0</v>
      </c>
      <c r="ND61">
        <f>SUMIF($N$7:$MQ$7,"*"&amp;ND$7&amp;"*",$N61:$MQ61)</f>
        <v>0</v>
      </c>
      <c r="NE61">
        <f>SUMIF($N$7:$MQ$7,"*"&amp;NE$7&amp;"*",$N61:$MQ61)</f>
        <v>0</v>
      </c>
      <c r="NF61">
        <f>SUMIF($N$7:$MQ$7,"*"&amp;NF$7&amp;"*",$N61:$MQ61)</f>
        <v>0</v>
      </c>
      <c r="NG61">
        <f>SUMIF($N$7:$MQ$7,"*"&amp;NG$7&amp;"*",$N61:$MQ61)</f>
        <v>0</v>
      </c>
      <c r="NH61">
        <f>SUMIF($MR$5:$NG$5,NH$7,$MR61:$NG61)</f>
        <v>0</v>
      </c>
      <c r="NI61">
        <f>SUMIF($MR$5:$NG$5,NI$7,$MR61:$NG61)</f>
        <v>0</v>
      </c>
      <c r="NJ61">
        <f>SUM(NH61:NI61)</f>
        <v>0</v>
      </c>
    </row>
    <row r="62" spans="1:374" ht="30" x14ac:dyDescent="0.25">
      <c r="A62" t="s">
        <v>405</v>
      </c>
      <c r="B62" t="s">
        <v>421</v>
      </c>
      <c r="C62">
        <v>465504</v>
      </c>
      <c r="D62" s="20" t="s">
        <v>502</v>
      </c>
      <c r="E62" t="s">
        <v>423</v>
      </c>
      <c r="F62" t="s">
        <v>424</v>
      </c>
      <c r="G62" t="s">
        <v>407</v>
      </c>
      <c r="H62" t="s">
        <v>436</v>
      </c>
      <c r="I62" t="s">
        <v>408</v>
      </c>
      <c r="J62" t="s">
        <v>413</v>
      </c>
      <c r="K62" t="s">
        <v>417</v>
      </c>
      <c r="L62" t="s">
        <v>411</v>
      </c>
      <c r="M62" t="s">
        <v>412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s="21">
        <v>0</v>
      </c>
      <c r="AE62" s="21">
        <v>0</v>
      </c>
      <c r="AF62" s="21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s="21">
        <v>0</v>
      </c>
      <c r="AX62" s="21">
        <v>0</v>
      </c>
      <c r="AY62" s="21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 s="21">
        <v>0</v>
      </c>
      <c r="BQ62" s="21">
        <v>0</v>
      </c>
      <c r="BR62" s="21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 s="21">
        <v>0</v>
      </c>
      <c r="CJ62" s="21">
        <v>0</v>
      </c>
      <c r="CK62" s="21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 s="21">
        <v>0</v>
      </c>
      <c r="DC62" s="21">
        <v>0</v>
      </c>
      <c r="DD62" s="21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 s="21">
        <v>0</v>
      </c>
      <c r="DV62" s="21">
        <v>0</v>
      </c>
      <c r="DW62" s="21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 s="21">
        <v>0</v>
      </c>
      <c r="EO62" s="21">
        <v>0</v>
      </c>
      <c r="EP62" s="21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 s="21">
        <v>0</v>
      </c>
      <c r="FH62" s="21">
        <v>0</v>
      </c>
      <c r="FI62" s="21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 s="21">
        <v>0</v>
      </c>
      <c r="GA62" s="21">
        <v>0</v>
      </c>
      <c r="GB62" s="21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 s="21">
        <v>0</v>
      </c>
      <c r="GT62" s="21">
        <v>0</v>
      </c>
      <c r="GU62" s="21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 s="21">
        <v>0</v>
      </c>
      <c r="HM62" s="21">
        <v>0</v>
      </c>
      <c r="HN62" s="21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 s="21">
        <v>0</v>
      </c>
      <c r="IF62" s="21">
        <v>0</v>
      </c>
      <c r="IG62" s="21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 s="21">
        <v>0</v>
      </c>
      <c r="IY62" s="21">
        <v>0</v>
      </c>
      <c r="IZ62" s="21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 s="21">
        <v>0</v>
      </c>
      <c r="JR62" s="21">
        <v>0</v>
      </c>
      <c r="JS62" s="21">
        <v>0</v>
      </c>
      <c r="JT62">
        <v>0</v>
      </c>
      <c r="JU62">
        <v>0</v>
      </c>
      <c r="JV62">
        <v>1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 s="21">
        <v>1</v>
      </c>
      <c r="KK62" s="21">
        <v>0</v>
      </c>
      <c r="KL62" s="21">
        <v>1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 s="21">
        <v>0</v>
      </c>
      <c r="LD62" s="21">
        <v>0</v>
      </c>
      <c r="LE62" s="21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 s="21">
        <v>0</v>
      </c>
      <c r="LW62" s="21">
        <v>0</v>
      </c>
      <c r="LX62" s="21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 s="21">
        <v>0</v>
      </c>
      <c r="MP62" s="21">
        <v>0</v>
      </c>
      <c r="MQ62" s="21">
        <v>0</v>
      </c>
      <c r="MR62">
        <f>SUMIF($N$7:$MQ$7,"*"&amp;MR$7&amp;"*",$N62:$MQ62)</f>
        <v>0</v>
      </c>
      <c r="MS62">
        <f>SUMIF($N$7:$MQ$7,"*"&amp;MS$7&amp;"*",$N62:$MQ62)</f>
        <v>0</v>
      </c>
      <c r="MT62">
        <f>SUMIF($N$7:$MQ$7,"*"&amp;MT$7&amp;"*",$N62:$MQ62)</f>
        <v>1</v>
      </c>
      <c r="MU62">
        <f>SUMIF($N$7:$MQ$7,"*"&amp;MU$7&amp;"*",$N62:$MQ62)</f>
        <v>0</v>
      </c>
      <c r="MV62">
        <f>SUMIF($N$7:$MQ$7,"*"&amp;MV$7&amp;"*",$N62:$MQ62)</f>
        <v>0</v>
      </c>
      <c r="MW62">
        <f>SUMIF($N$7:$MQ$7,"*"&amp;MW$7&amp;"*",$N62:$MQ62)</f>
        <v>0</v>
      </c>
      <c r="MX62">
        <f>SUMIF($N$7:$MQ$7,"*"&amp;MX$7&amp;"*",$N62:$MQ62)</f>
        <v>0</v>
      </c>
      <c r="MY62">
        <f>SUMIF($N$7:$MQ$7,"*"&amp;MY$7&amp;"*",$N62:$MQ62)</f>
        <v>0</v>
      </c>
      <c r="MZ62">
        <f>SUMIF($N$7:$MQ$7,"*"&amp;MZ$7&amp;"*",$N62:$MQ62)</f>
        <v>0</v>
      </c>
      <c r="NA62">
        <f>SUMIF($N$7:$MQ$7,"*"&amp;NA$7&amp;"*",$N62:$MQ62)</f>
        <v>0</v>
      </c>
      <c r="NB62">
        <f>SUMIF($N$7:$MQ$7,"*"&amp;NB$7&amp;"*",$N62:$MQ62)</f>
        <v>0</v>
      </c>
      <c r="NC62">
        <f>SUMIF($N$7:$MQ$7,"*"&amp;NC$7&amp;"*",$N62:$MQ62)</f>
        <v>0</v>
      </c>
      <c r="ND62">
        <f>SUMIF($N$7:$MQ$7,"*"&amp;ND$7&amp;"*",$N62:$MQ62)</f>
        <v>0</v>
      </c>
      <c r="NE62">
        <f>SUMIF($N$7:$MQ$7,"*"&amp;NE$7&amp;"*",$N62:$MQ62)</f>
        <v>0</v>
      </c>
      <c r="NF62">
        <f>SUMIF($N$7:$MQ$7,"*"&amp;NF$7&amp;"*",$N62:$MQ62)</f>
        <v>0</v>
      </c>
      <c r="NG62">
        <f>SUMIF($N$7:$MQ$7,"*"&amp;NG$7&amp;"*",$N62:$MQ62)</f>
        <v>0</v>
      </c>
      <c r="NH62">
        <f>SUMIF($MR$5:$NG$5,NH$7,$MR62:$NG62)</f>
        <v>1</v>
      </c>
      <c r="NI62">
        <f>SUMIF($MR$5:$NG$5,NI$7,$MR62:$NG62)</f>
        <v>0</v>
      </c>
      <c r="NJ62">
        <f>SUM(NH62:NI62)</f>
        <v>1</v>
      </c>
    </row>
    <row r="63" spans="1:374" ht="30" x14ac:dyDescent="0.25">
      <c r="A63" t="s">
        <v>405</v>
      </c>
      <c r="B63" t="s">
        <v>421</v>
      </c>
      <c r="C63">
        <v>465506</v>
      </c>
      <c r="D63" s="20" t="s">
        <v>503</v>
      </c>
      <c r="E63" t="s">
        <v>423</v>
      </c>
      <c r="F63" t="s">
        <v>424</v>
      </c>
      <c r="G63" t="s">
        <v>407</v>
      </c>
      <c r="H63" t="s">
        <v>436</v>
      </c>
      <c r="I63" t="s">
        <v>408</v>
      </c>
      <c r="J63" t="s">
        <v>413</v>
      </c>
      <c r="K63" t="s">
        <v>417</v>
      </c>
      <c r="L63" t="s">
        <v>415</v>
      </c>
      <c r="M63" t="s">
        <v>416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s="21">
        <v>0</v>
      </c>
      <c r="AE63" s="21">
        <v>0</v>
      </c>
      <c r="AF63" s="21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s="21">
        <v>0</v>
      </c>
      <c r="AX63" s="21">
        <v>0</v>
      </c>
      <c r="AY63" s="21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 s="21">
        <v>0</v>
      </c>
      <c r="BQ63" s="21">
        <v>0</v>
      </c>
      <c r="BR63" s="21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 s="21">
        <v>0</v>
      </c>
      <c r="CJ63" s="21">
        <v>0</v>
      </c>
      <c r="CK63" s="21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 s="21">
        <v>0</v>
      </c>
      <c r="DC63" s="21">
        <v>0</v>
      </c>
      <c r="DD63" s="21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 s="21">
        <v>0</v>
      </c>
      <c r="DV63" s="21">
        <v>0</v>
      </c>
      <c r="DW63" s="21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 s="21">
        <v>0</v>
      </c>
      <c r="EO63" s="21">
        <v>0</v>
      </c>
      <c r="EP63" s="21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 s="21">
        <v>0</v>
      </c>
      <c r="FH63" s="21">
        <v>0</v>
      </c>
      <c r="FI63" s="21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 s="21">
        <v>0</v>
      </c>
      <c r="GA63" s="21">
        <v>0</v>
      </c>
      <c r="GB63" s="21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 s="21">
        <v>0</v>
      </c>
      <c r="GT63" s="21">
        <v>0</v>
      </c>
      <c r="GU63" s="21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 s="21">
        <v>0</v>
      </c>
      <c r="HM63" s="21">
        <v>0</v>
      </c>
      <c r="HN63" s="21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 s="21">
        <v>0</v>
      </c>
      <c r="IF63" s="21">
        <v>0</v>
      </c>
      <c r="IG63" s="21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 s="21">
        <v>0</v>
      </c>
      <c r="IY63" s="21">
        <v>0</v>
      </c>
      <c r="IZ63" s="21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 s="21">
        <v>0</v>
      </c>
      <c r="JR63" s="21">
        <v>0</v>
      </c>
      <c r="JS63" s="21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 s="21">
        <v>0</v>
      </c>
      <c r="KK63" s="21">
        <v>0</v>
      </c>
      <c r="KL63" s="21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 s="21">
        <v>0</v>
      </c>
      <c r="LD63" s="21">
        <v>0</v>
      </c>
      <c r="LE63" s="21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 s="21">
        <v>0</v>
      </c>
      <c r="LW63" s="21">
        <v>0</v>
      </c>
      <c r="LX63" s="21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 s="21">
        <v>0</v>
      </c>
      <c r="MP63" s="21">
        <v>0</v>
      </c>
      <c r="MQ63" s="21">
        <v>0</v>
      </c>
      <c r="MR63">
        <f>SUMIF($N$7:$MQ$7,"*"&amp;MR$7&amp;"*",$N63:$MQ63)</f>
        <v>0</v>
      </c>
      <c r="MS63">
        <f>SUMIF($N$7:$MQ$7,"*"&amp;MS$7&amp;"*",$N63:$MQ63)</f>
        <v>0</v>
      </c>
      <c r="MT63">
        <f>SUMIF($N$7:$MQ$7,"*"&amp;MT$7&amp;"*",$N63:$MQ63)</f>
        <v>0</v>
      </c>
      <c r="MU63">
        <f>SUMIF($N$7:$MQ$7,"*"&amp;MU$7&amp;"*",$N63:$MQ63)</f>
        <v>0</v>
      </c>
      <c r="MV63">
        <f>SUMIF($N$7:$MQ$7,"*"&amp;MV$7&amp;"*",$N63:$MQ63)</f>
        <v>0</v>
      </c>
      <c r="MW63">
        <f>SUMIF($N$7:$MQ$7,"*"&amp;MW$7&amp;"*",$N63:$MQ63)</f>
        <v>0</v>
      </c>
      <c r="MX63">
        <f>SUMIF($N$7:$MQ$7,"*"&amp;MX$7&amp;"*",$N63:$MQ63)</f>
        <v>0</v>
      </c>
      <c r="MY63">
        <f>SUMIF($N$7:$MQ$7,"*"&amp;MY$7&amp;"*",$N63:$MQ63)</f>
        <v>0</v>
      </c>
      <c r="MZ63">
        <f>SUMIF($N$7:$MQ$7,"*"&amp;MZ$7&amp;"*",$N63:$MQ63)</f>
        <v>0</v>
      </c>
      <c r="NA63">
        <f>SUMIF($N$7:$MQ$7,"*"&amp;NA$7&amp;"*",$N63:$MQ63)</f>
        <v>0</v>
      </c>
      <c r="NB63">
        <f>SUMIF($N$7:$MQ$7,"*"&amp;NB$7&amp;"*",$N63:$MQ63)</f>
        <v>0</v>
      </c>
      <c r="NC63">
        <f>SUMIF($N$7:$MQ$7,"*"&amp;NC$7&amp;"*",$N63:$MQ63)</f>
        <v>0</v>
      </c>
      <c r="ND63">
        <f>SUMIF($N$7:$MQ$7,"*"&amp;ND$7&amp;"*",$N63:$MQ63)</f>
        <v>0</v>
      </c>
      <c r="NE63">
        <f>SUMIF($N$7:$MQ$7,"*"&amp;NE$7&amp;"*",$N63:$MQ63)</f>
        <v>0</v>
      </c>
      <c r="NF63">
        <f>SUMIF($N$7:$MQ$7,"*"&amp;NF$7&amp;"*",$N63:$MQ63)</f>
        <v>0</v>
      </c>
      <c r="NG63">
        <f>SUMIF($N$7:$MQ$7,"*"&amp;NG$7&amp;"*",$N63:$MQ63)</f>
        <v>0</v>
      </c>
      <c r="NH63">
        <f>SUMIF($MR$5:$NG$5,NH$7,$MR63:$NG63)</f>
        <v>0</v>
      </c>
      <c r="NI63">
        <f>SUMIF($MR$5:$NG$5,NI$7,$MR63:$NG63)</f>
        <v>0</v>
      </c>
      <c r="NJ63">
        <f>SUM(NH63:NI63)</f>
        <v>0</v>
      </c>
    </row>
    <row r="64" spans="1:374" ht="30" x14ac:dyDescent="0.25">
      <c r="A64" t="s">
        <v>405</v>
      </c>
      <c r="B64" t="s">
        <v>421</v>
      </c>
      <c r="C64">
        <v>465507</v>
      </c>
      <c r="D64" s="20" t="s">
        <v>504</v>
      </c>
      <c r="E64" t="s">
        <v>423</v>
      </c>
      <c r="F64" t="s">
        <v>424</v>
      </c>
      <c r="G64" t="s">
        <v>407</v>
      </c>
      <c r="H64" t="s">
        <v>434</v>
      </c>
      <c r="I64" t="s">
        <v>408</v>
      </c>
      <c r="J64" t="s">
        <v>413</v>
      </c>
      <c r="K64" t="s">
        <v>414</v>
      </c>
      <c r="L64" t="s">
        <v>418</v>
      </c>
      <c r="M64" t="s">
        <v>412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s="21">
        <v>0</v>
      </c>
      <c r="AE64" s="21">
        <v>0</v>
      </c>
      <c r="AF64" s="21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s="21">
        <v>0</v>
      </c>
      <c r="AX64" s="21">
        <v>0</v>
      </c>
      <c r="AY64" s="21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 s="21">
        <v>0</v>
      </c>
      <c r="BQ64" s="21">
        <v>0</v>
      </c>
      <c r="BR64" s="21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 s="21">
        <v>0</v>
      </c>
      <c r="CJ64" s="21">
        <v>0</v>
      </c>
      <c r="CK64" s="21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 s="21">
        <v>0</v>
      </c>
      <c r="DC64" s="21">
        <v>0</v>
      </c>
      <c r="DD64" s="21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 s="21">
        <v>0</v>
      </c>
      <c r="DV64" s="21">
        <v>0</v>
      </c>
      <c r="DW64" s="21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 s="21">
        <v>0</v>
      </c>
      <c r="EO64" s="21">
        <v>0</v>
      </c>
      <c r="EP64" s="21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 s="21">
        <v>0</v>
      </c>
      <c r="FH64" s="21">
        <v>0</v>
      </c>
      <c r="FI64" s="21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 s="21">
        <v>0</v>
      </c>
      <c r="GA64" s="21">
        <v>0</v>
      </c>
      <c r="GB64" s="21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 s="21">
        <v>0</v>
      </c>
      <c r="GT64" s="21">
        <v>0</v>
      </c>
      <c r="GU64" s="21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 s="21">
        <v>0</v>
      </c>
      <c r="HM64" s="21">
        <v>0</v>
      </c>
      <c r="HN64" s="21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 s="21">
        <v>0</v>
      </c>
      <c r="IF64" s="21">
        <v>0</v>
      </c>
      <c r="IG64" s="21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 s="21">
        <v>0</v>
      </c>
      <c r="IY64" s="21">
        <v>0</v>
      </c>
      <c r="IZ64" s="21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 s="21">
        <v>0</v>
      </c>
      <c r="JR64" s="21">
        <v>0</v>
      </c>
      <c r="JS64" s="21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 s="21">
        <v>0</v>
      </c>
      <c r="KK64" s="21">
        <v>0</v>
      </c>
      <c r="KL64" s="21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 s="21">
        <v>0</v>
      </c>
      <c r="LD64" s="21">
        <v>0</v>
      </c>
      <c r="LE64" s="21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 s="21">
        <v>0</v>
      </c>
      <c r="LW64" s="21">
        <v>0</v>
      </c>
      <c r="LX64" s="21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 s="21">
        <v>0</v>
      </c>
      <c r="MP64" s="21">
        <v>0</v>
      </c>
      <c r="MQ64" s="21">
        <v>0</v>
      </c>
      <c r="MR64">
        <f>SUMIF($N$7:$MQ$7,"*"&amp;MR$7&amp;"*",$N64:$MQ64)</f>
        <v>0</v>
      </c>
      <c r="MS64">
        <f>SUMIF($N$7:$MQ$7,"*"&amp;MS$7&amp;"*",$N64:$MQ64)</f>
        <v>0</v>
      </c>
      <c r="MT64">
        <f>SUMIF($N$7:$MQ$7,"*"&amp;MT$7&amp;"*",$N64:$MQ64)</f>
        <v>0</v>
      </c>
      <c r="MU64">
        <f>SUMIF($N$7:$MQ$7,"*"&amp;MU$7&amp;"*",$N64:$MQ64)</f>
        <v>0</v>
      </c>
      <c r="MV64">
        <f>SUMIF($N$7:$MQ$7,"*"&amp;MV$7&amp;"*",$N64:$MQ64)</f>
        <v>0</v>
      </c>
      <c r="MW64">
        <f>SUMIF($N$7:$MQ$7,"*"&amp;MW$7&amp;"*",$N64:$MQ64)</f>
        <v>0</v>
      </c>
      <c r="MX64">
        <f>SUMIF($N$7:$MQ$7,"*"&amp;MX$7&amp;"*",$N64:$MQ64)</f>
        <v>0</v>
      </c>
      <c r="MY64">
        <f>SUMIF($N$7:$MQ$7,"*"&amp;MY$7&amp;"*",$N64:$MQ64)</f>
        <v>0</v>
      </c>
      <c r="MZ64">
        <f>SUMIF($N$7:$MQ$7,"*"&amp;MZ$7&amp;"*",$N64:$MQ64)</f>
        <v>0</v>
      </c>
      <c r="NA64">
        <f>SUMIF($N$7:$MQ$7,"*"&amp;NA$7&amp;"*",$N64:$MQ64)</f>
        <v>0</v>
      </c>
      <c r="NB64">
        <f>SUMIF($N$7:$MQ$7,"*"&amp;NB$7&amp;"*",$N64:$MQ64)</f>
        <v>0</v>
      </c>
      <c r="NC64">
        <f>SUMIF($N$7:$MQ$7,"*"&amp;NC$7&amp;"*",$N64:$MQ64)</f>
        <v>0</v>
      </c>
      <c r="ND64">
        <f>SUMIF($N$7:$MQ$7,"*"&amp;ND$7&amp;"*",$N64:$MQ64)</f>
        <v>0</v>
      </c>
      <c r="NE64">
        <f>SUMIF($N$7:$MQ$7,"*"&amp;NE$7&amp;"*",$N64:$MQ64)</f>
        <v>0</v>
      </c>
      <c r="NF64">
        <f>SUMIF($N$7:$MQ$7,"*"&amp;NF$7&amp;"*",$N64:$MQ64)</f>
        <v>0</v>
      </c>
      <c r="NG64">
        <f>SUMIF($N$7:$MQ$7,"*"&amp;NG$7&amp;"*",$N64:$MQ64)</f>
        <v>0</v>
      </c>
      <c r="NH64">
        <f>SUMIF($MR$5:$NG$5,NH$7,$MR64:$NG64)</f>
        <v>0</v>
      </c>
      <c r="NI64">
        <f>SUMIF($MR$5:$NG$5,NI$7,$MR64:$NG64)</f>
        <v>0</v>
      </c>
      <c r="NJ64">
        <f>SUM(NH64:NI64)</f>
        <v>0</v>
      </c>
    </row>
    <row r="65" spans="1:374" ht="30" x14ac:dyDescent="0.25">
      <c r="A65" t="s">
        <v>405</v>
      </c>
      <c r="B65" t="s">
        <v>421</v>
      </c>
      <c r="C65">
        <v>465509</v>
      </c>
      <c r="D65" s="20" t="s">
        <v>505</v>
      </c>
      <c r="E65" t="s">
        <v>423</v>
      </c>
      <c r="F65" t="s">
        <v>424</v>
      </c>
      <c r="G65" t="s">
        <v>407</v>
      </c>
      <c r="H65" t="s">
        <v>434</v>
      </c>
      <c r="I65" t="s">
        <v>408</v>
      </c>
      <c r="J65" t="s">
        <v>413</v>
      </c>
      <c r="K65" t="s">
        <v>414</v>
      </c>
      <c r="L65" t="s">
        <v>411</v>
      </c>
      <c r="M65" t="s">
        <v>412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s="21">
        <v>0</v>
      </c>
      <c r="AE65" s="21">
        <v>0</v>
      </c>
      <c r="AF65" s="21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 s="21">
        <v>0</v>
      </c>
      <c r="AX65" s="21">
        <v>0</v>
      </c>
      <c r="AY65" s="21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 s="21">
        <v>0</v>
      </c>
      <c r="BQ65" s="21">
        <v>0</v>
      </c>
      <c r="BR65" s="21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 s="21">
        <v>0</v>
      </c>
      <c r="CJ65" s="21">
        <v>0</v>
      </c>
      <c r="CK65" s="21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 s="21">
        <v>0</v>
      </c>
      <c r="DC65" s="21">
        <v>0</v>
      </c>
      <c r="DD65" s="21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 s="21">
        <v>0</v>
      </c>
      <c r="DV65" s="21">
        <v>0</v>
      </c>
      <c r="DW65" s="21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 s="21">
        <v>0</v>
      </c>
      <c r="EO65" s="21">
        <v>0</v>
      </c>
      <c r="EP65" s="21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 s="21">
        <v>0</v>
      </c>
      <c r="FH65" s="21">
        <v>0</v>
      </c>
      <c r="FI65" s="21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 s="21">
        <v>0</v>
      </c>
      <c r="GA65" s="21">
        <v>0</v>
      </c>
      <c r="GB65" s="21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 s="21">
        <v>0</v>
      </c>
      <c r="GT65" s="21">
        <v>0</v>
      </c>
      <c r="GU65" s="21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 s="21">
        <v>0</v>
      </c>
      <c r="HM65" s="21">
        <v>0</v>
      </c>
      <c r="HN65" s="21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 s="21">
        <v>0</v>
      </c>
      <c r="IF65" s="21">
        <v>0</v>
      </c>
      <c r="IG65" s="21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 s="21">
        <v>0</v>
      </c>
      <c r="IY65" s="21">
        <v>0</v>
      </c>
      <c r="IZ65" s="21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 s="21">
        <v>0</v>
      </c>
      <c r="JR65" s="21">
        <v>0</v>
      </c>
      <c r="JS65" s="21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 s="21">
        <v>0</v>
      </c>
      <c r="KK65" s="21">
        <v>0</v>
      </c>
      <c r="KL65" s="21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 s="21">
        <v>0</v>
      </c>
      <c r="LD65" s="21">
        <v>0</v>
      </c>
      <c r="LE65" s="21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 s="21">
        <v>0</v>
      </c>
      <c r="LW65" s="21">
        <v>0</v>
      </c>
      <c r="LX65" s="21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 s="21">
        <v>0</v>
      </c>
      <c r="MP65" s="21">
        <v>0</v>
      </c>
      <c r="MQ65" s="21">
        <v>0</v>
      </c>
      <c r="MR65">
        <f>SUMIF($N$7:$MQ$7,"*"&amp;MR$7&amp;"*",$N65:$MQ65)</f>
        <v>0</v>
      </c>
      <c r="MS65">
        <f>SUMIF($N$7:$MQ$7,"*"&amp;MS$7&amp;"*",$N65:$MQ65)</f>
        <v>0</v>
      </c>
      <c r="MT65">
        <f>SUMIF($N$7:$MQ$7,"*"&amp;MT$7&amp;"*",$N65:$MQ65)</f>
        <v>0</v>
      </c>
      <c r="MU65">
        <f>SUMIF($N$7:$MQ$7,"*"&amp;MU$7&amp;"*",$N65:$MQ65)</f>
        <v>0</v>
      </c>
      <c r="MV65">
        <f>SUMIF($N$7:$MQ$7,"*"&amp;MV$7&amp;"*",$N65:$MQ65)</f>
        <v>0</v>
      </c>
      <c r="MW65">
        <f>SUMIF($N$7:$MQ$7,"*"&amp;MW$7&amp;"*",$N65:$MQ65)</f>
        <v>0</v>
      </c>
      <c r="MX65">
        <f>SUMIF($N$7:$MQ$7,"*"&amp;MX$7&amp;"*",$N65:$MQ65)</f>
        <v>0</v>
      </c>
      <c r="MY65">
        <f>SUMIF($N$7:$MQ$7,"*"&amp;MY$7&amp;"*",$N65:$MQ65)</f>
        <v>0</v>
      </c>
      <c r="MZ65">
        <f>SUMIF($N$7:$MQ$7,"*"&amp;MZ$7&amp;"*",$N65:$MQ65)</f>
        <v>0</v>
      </c>
      <c r="NA65">
        <f>SUMIF($N$7:$MQ$7,"*"&amp;NA$7&amp;"*",$N65:$MQ65)</f>
        <v>0</v>
      </c>
      <c r="NB65">
        <f>SUMIF($N$7:$MQ$7,"*"&amp;NB$7&amp;"*",$N65:$MQ65)</f>
        <v>0</v>
      </c>
      <c r="NC65">
        <f>SUMIF($N$7:$MQ$7,"*"&amp;NC$7&amp;"*",$N65:$MQ65)</f>
        <v>0</v>
      </c>
      <c r="ND65">
        <f>SUMIF($N$7:$MQ$7,"*"&amp;ND$7&amp;"*",$N65:$MQ65)</f>
        <v>0</v>
      </c>
      <c r="NE65">
        <f>SUMIF($N$7:$MQ$7,"*"&amp;NE$7&amp;"*",$N65:$MQ65)</f>
        <v>0</v>
      </c>
      <c r="NF65">
        <f>SUMIF($N$7:$MQ$7,"*"&amp;NF$7&amp;"*",$N65:$MQ65)</f>
        <v>0</v>
      </c>
      <c r="NG65">
        <f>SUMIF($N$7:$MQ$7,"*"&amp;NG$7&amp;"*",$N65:$MQ65)</f>
        <v>0</v>
      </c>
      <c r="NH65">
        <f>SUMIF($MR$5:$NG$5,NH$7,$MR65:$NG65)</f>
        <v>0</v>
      </c>
      <c r="NI65">
        <f>SUMIF($MR$5:$NG$5,NI$7,$MR65:$NG65)</f>
        <v>0</v>
      </c>
      <c r="NJ65">
        <f>SUM(NH65:NI65)</f>
        <v>0</v>
      </c>
    </row>
    <row r="66" spans="1:374" ht="30" x14ac:dyDescent="0.25">
      <c r="A66" t="s">
        <v>405</v>
      </c>
      <c r="B66" t="s">
        <v>421</v>
      </c>
      <c r="C66">
        <v>465513</v>
      </c>
      <c r="D66" s="20" t="s">
        <v>506</v>
      </c>
      <c r="E66" t="s">
        <v>423</v>
      </c>
      <c r="F66" t="s">
        <v>424</v>
      </c>
      <c r="G66" t="s">
        <v>407</v>
      </c>
      <c r="H66" t="s">
        <v>463</v>
      </c>
      <c r="I66" t="s">
        <v>408</v>
      </c>
      <c r="J66" t="s">
        <v>413</v>
      </c>
      <c r="K66" t="s">
        <v>417</v>
      </c>
      <c r="L66" t="s">
        <v>507</v>
      </c>
      <c r="M66" t="s">
        <v>416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s="21">
        <v>0</v>
      </c>
      <c r="AE66" s="21">
        <v>0</v>
      </c>
      <c r="AF66" s="21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s="21">
        <v>0</v>
      </c>
      <c r="AX66" s="21">
        <v>0</v>
      </c>
      <c r="AY66" s="21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 s="21">
        <v>0</v>
      </c>
      <c r="BQ66" s="21">
        <v>0</v>
      </c>
      <c r="BR66" s="21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 s="21">
        <v>0</v>
      </c>
      <c r="CJ66" s="21">
        <v>0</v>
      </c>
      <c r="CK66" s="21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 s="21">
        <v>0</v>
      </c>
      <c r="DC66" s="21">
        <v>0</v>
      </c>
      <c r="DD66" s="21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 s="21">
        <v>0</v>
      </c>
      <c r="DV66" s="21">
        <v>0</v>
      </c>
      <c r="DW66" s="21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 s="21">
        <v>0</v>
      </c>
      <c r="EO66" s="21">
        <v>0</v>
      </c>
      <c r="EP66" s="21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 s="21">
        <v>0</v>
      </c>
      <c r="FH66" s="21">
        <v>0</v>
      </c>
      <c r="FI66" s="21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 s="21">
        <v>0</v>
      </c>
      <c r="GA66" s="21">
        <v>0</v>
      </c>
      <c r="GB66" s="21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1</v>
      </c>
      <c r="GN66">
        <v>0</v>
      </c>
      <c r="GO66">
        <v>0</v>
      </c>
      <c r="GP66">
        <v>0</v>
      </c>
      <c r="GQ66">
        <v>0</v>
      </c>
      <c r="GR66">
        <v>0</v>
      </c>
      <c r="GS66" s="21">
        <v>1</v>
      </c>
      <c r="GT66" s="21">
        <v>0</v>
      </c>
      <c r="GU66" s="21">
        <v>1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 s="21">
        <v>0</v>
      </c>
      <c r="HM66" s="21">
        <v>0</v>
      </c>
      <c r="HN66" s="21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 s="21">
        <v>0</v>
      </c>
      <c r="IF66" s="21">
        <v>0</v>
      </c>
      <c r="IG66" s="21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 s="21">
        <v>0</v>
      </c>
      <c r="IY66" s="21">
        <v>0</v>
      </c>
      <c r="IZ66" s="21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 s="21">
        <v>0</v>
      </c>
      <c r="JR66" s="21">
        <v>0</v>
      </c>
      <c r="JS66" s="21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 s="21">
        <v>0</v>
      </c>
      <c r="KK66" s="21">
        <v>0</v>
      </c>
      <c r="KL66" s="21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 s="21">
        <v>0</v>
      </c>
      <c r="LD66" s="21">
        <v>0</v>
      </c>
      <c r="LE66" s="21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 s="21">
        <v>0</v>
      </c>
      <c r="LW66" s="21">
        <v>0</v>
      </c>
      <c r="LX66" s="21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 s="21">
        <v>0</v>
      </c>
      <c r="MP66" s="21">
        <v>0</v>
      </c>
      <c r="MQ66" s="21">
        <v>0</v>
      </c>
      <c r="MR66">
        <f>SUMIF($N$7:$MQ$7,"*"&amp;MR$7&amp;"*",$N66:$MQ66)</f>
        <v>0</v>
      </c>
      <c r="MS66">
        <f>SUMIF($N$7:$MQ$7,"*"&amp;MS$7&amp;"*",$N66:$MQ66)</f>
        <v>0</v>
      </c>
      <c r="MT66">
        <f>SUMIF($N$7:$MQ$7,"*"&amp;MT$7&amp;"*",$N66:$MQ66)</f>
        <v>0</v>
      </c>
      <c r="MU66">
        <f>SUMIF($N$7:$MQ$7,"*"&amp;MU$7&amp;"*",$N66:$MQ66)</f>
        <v>0</v>
      </c>
      <c r="MV66">
        <f>SUMIF($N$7:$MQ$7,"*"&amp;MV$7&amp;"*",$N66:$MQ66)</f>
        <v>0</v>
      </c>
      <c r="MW66">
        <f>SUMIF($N$7:$MQ$7,"*"&amp;MW$7&amp;"*",$N66:$MQ66)</f>
        <v>0</v>
      </c>
      <c r="MX66">
        <f>SUMIF($N$7:$MQ$7,"*"&amp;MX$7&amp;"*",$N66:$MQ66)</f>
        <v>0</v>
      </c>
      <c r="MY66">
        <f>SUMIF($N$7:$MQ$7,"*"&amp;MY$7&amp;"*",$N66:$MQ66)</f>
        <v>0</v>
      </c>
      <c r="MZ66">
        <f>SUMIF($N$7:$MQ$7,"*"&amp;MZ$7&amp;"*",$N66:$MQ66)</f>
        <v>0</v>
      </c>
      <c r="NA66">
        <f>SUMIF($N$7:$MQ$7,"*"&amp;NA$7&amp;"*",$N66:$MQ66)</f>
        <v>0</v>
      </c>
      <c r="NB66">
        <f>SUMIF($N$7:$MQ$7,"*"&amp;NB$7&amp;"*",$N66:$MQ66)</f>
        <v>1</v>
      </c>
      <c r="NC66">
        <f>SUMIF($N$7:$MQ$7,"*"&amp;NC$7&amp;"*",$N66:$MQ66)</f>
        <v>0</v>
      </c>
      <c r="ND66">
        <f>SUMIF($N$7:$MQ$7,"*"&amp;ND$7&amp;"*",$N66:$MQ66)</f>
        <v>0</v>
      </c>
      <c r="NE66">
        <f>SUMIF($N$7:$MQ$7,"*"&amp;NE$7&amp;"*",$N66:$MQ66)</f>
        <v>0</v>
      </c>
      <c r="NF66">
        <f>SUMIF($N$7:$MQ$7,"*"&amp;NF$7&amp;"*",$N66:$MQ66)</f>
        <v>0</v>
      </c>
      <c r="NG66">
        <f>SUMIF($N$7:$MQ$7,"*"&amp;NG$7&amp;"*",$N66:$MQ66)</f>
        <v>0</v>
      </c>
      <c r="NH66">
        <f>SUMIF($MR$5:$NG$5,NH$7,$MR66:$NG66)</f>
        <v>1</v>
      </c>
      <c r="NI66">
        <f>SUMIF($MR$5:$NG$5,NI$7,$MR66:$NG66)</f>
        <v>0</v>
      </c>
      <c r="NJ66">
        <f>SUM(NH66:NI66)</f>
        <v>1</v>
      </c>
    </row>
    <row r="67" spans="1:374" ht="30" x14ac:dyDescent="0.25">
      <c r="A67" t="s">
        <v>405</v>
      </c>
      <c r="B67" t="s">
        <v>421</v>
      </c>
      <c r="C67">
        <v>465515</v>
      </c>
      <c r="D67" s="20" t="s">
        <v>508</v>
      </c>
      <c r="E67" t="s">
        <v>423</v>
      </c>
      <c r="F67" t="s">
        <v>424</v>
      </c>
      <c r="G67" t="s">
        <v>407</v>
      </c>
      <c r="H67" t="s">
        <v>449</v>
      </c>
      <c r="I67" t="s">
        <v>408</v>
      </c>
      <c r="J67" t="s">
        <v>413</v>
      </c>
      <c r="K67" t="s">
        <v>417</v>
      </c>
      <c r="L67" t="s">
        <v>419</v>
      </c>
      <c r="M67" t="s">
        <v>420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s="21">
        <v>0</v>
      </c>
      <c r="AE67" s="21">
        <v>0</v>
      </c>
      <c r="AF67" s="21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 s="21">
        <v>0</v>
      </c>
      <c r="AX67" s="21">
        <v>0</v>
      </c>
      <c r="AY67" s="21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 s="21">
        <v>0</v>
      </c>
      <c r="BQ67" s="21">
        <v>0</v>
      </c>
      <c r="BR67" s="21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 s="21">
        <v>0</v>
      </c>
      <c r="CJ67" s="21">
        <v>0</v>
      </c>
      <c r="CK67" s="21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 s="21">
        <v>0</v>
      </c>
      <c r="DC67" s="21">
        <v>0</v>
      </c>
      <c r="DD67" s="21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 s="21">
        <v>0</v>
      </c>
      <c r="DV67" s="21">
        <v>0</v>
      </c>
      <c r="DW67" s="21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1</v>
      </c>
      <c r="EL67">
        <v>0</v>
      </c>
      <c r="EM67">
        <v>0</v>
      </c>
      <c r="EN67" s="21">
        <v>0</v>
      </c>
      <c r="EO67" s="21">
        <v>1</v>
      </c>
      <c r="EP67" s="21">
        <v>1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 s="21">
        <v>0</v>
      </c>
      <c r="FH67" s="21">
        <v>0</v>
      </c>
      <c r="FI67" s="21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 s="21">
        <v>0</v>
      </c>
      <c r="GA67" s="21">
        <v>0</v>
      </c>
      <c r="GB67" s="21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 s="21">
        <v>0</v>
      </c>
      <c r="GT67" s="21">
        <v>0</v>
      </c>
      <c r="GU67" s="21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 s="21">
        <v>0</v>
      </c>
      <c r="HM67" s="21">
        <v>0</v>
      </c>
      <c r="HN67" s="21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 s="21">
        <v>0</v>
      </c>
      <c r="IF67" s="21">
        <v>0</v>
      </c>
      <c r="IG67" s="21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 s="21">
        <v>0</v>
      </c>
      <c r="IY67" s="21">
        <v>0</v>
      </c>
      <c r="IZ67" s="21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 s="21">
        <v>0</v>
      </c>
      <c r="JR67" s="21">
        <v>0</v>
      </c>
      <c r="JS67" s="21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 s="21">
        <v>0</v>
      </c>
      <c r="KK67" s="21">
        <v>0</v>
      </c>
      <c r="KL67" s="21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 s="21">
        <v>0</v>
      </c>
      <c r="LD67" s="21">
        <v>0</v>
      </c>
      <c r="LE67" s="21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 s="21">
        <v>0</v>
      </c>
      <c r="LW67" s="21">
        <v>0</v>
      </c>
      <c r="LX67" s="21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 s="21">
        <v>0</v>
      </c>
      <c r="MP67" s="21">
        <v>0</v>
      </c>
      <c r="MQ67" s="21">
        <v>0</v>
      </c>
      <c r="MR67">
        <f>SUMIF($N$7:$MQ$7,"*"&amp;MR$7&amp;"*",$N67:$MQ67)</f>
        <v>0</v>
      </c>
      <c r="MS67">
        <f>SUMIF($N$7:$MQ$7,"*"&amp;MS$7&amp;"*",$N67:$MQ67)</f>
        <v>0</v>
      </c>
      <c r="MT67">
        <f>SUMIF($N$7:$MQ$7,"*"&amp;MT$7&amp;"*",$N67:$MQ67)</f>
        <v>0</v>
      </c>
      <c r="MU67">
        <f>SUMIF($N$7:$MQ$7,"*"&amp;MU$7&amp;"*",$N67:$MQ67)</f>
        <v>0</v>
      </c>
      <c r="MV67">
        <f>SUMIF($N$7:$MQ$7,"*"&amp;MV$7&amp;"*",$N67:$MQ67)</f>
        <v>0</v>
      </c>
      <c r="MW67">
        <f>SUMIF($N$7:$MQ$7,"*"&amp;MW$7&amp;"*",$N67:$MQ67)</f>
        <v>0</v>
      </c>
      <c r="MX67">
        <f>SUMIF($N$7:$MQ$7,"*"&amp;MX$7&amp;"*",$N67:$MQ67)</f>
        <v>0</v>
      </c>
      <c r="MY67">
        <f>SUMIF($N$7:$MQ$7,"*"&amp;MY$7&amp;"*",$N67:$MQ67)</f>
        <v>0</v>
      </c>
      <c r="MZ67">
        <f>SUMIF($N$7:$MQ$7,"*"&amp;MZ$7&amp;"*",$N67:$MQ67)</f>
        <v>0</v>
      </c>
      <c r="NA67">
        <f>SUMIF($N$7:$MQ$7,"*"&amp;NA$7&amp;"*",$N67:$MQ67)</f>
        <v>0</v>
      </c>
      <c r="NB67">
        <f>SUMIF($N$7:$MQ$7,"*"&amp;NB$7&amp;"*",$N67:$MQ67)</f>
        <v>0</v>
      </c>
      <c r="NC67">
        <f>SUMIF($N$7:$MQ$7,"*"&amp;NC$7&amp;"*",$N67:$MQ67)</f>
        <v>0</v>
      </c>
      <c r="ND67">
        <f>SUMIF($N$7:$MQ$7,"*"&amp;ND$7&amp;"*",$N67:$MQ67)</f>
        <v>0</v>
      </c>
      <c r="NE67">
        <f>SUMIF($N$7:$MQ$7,"*"&amp;NE$7&amp;"*",$N67:$MQ67)</f>
        <v>1</v>
      </c>
      <c r="NF67">
        <f>SUMIF($N$7:$MQ$7,"*"&amp;NF$7&amp;"*",$N67:$MQ67)</f>
        <v>0</v>
      </c>
      <c r="NG67">
        <f>SUMIF($N$7:$MQ$7,"*"&amp;NG$7&amp;"*",$N67:$MQ67)</f>
        <v>0</v>
      </c>
      <c r="NH67">
        <f>SUMIF($MR$5:$NG$5,NH$7,$MR67:$NG67)</f>
        <v>0</v>
      </c>
      <c r="NI67">
        <f>SUMIF($MR$5:$NG$5,NI$7,$MR67:$NG67)</f>
        <v>1</v>
      </c>
      <c r="NJ67">
        <f>SUM(NH67:NI67)</f>
        <v>1</v>
      </c>
    </row>
    <row r="68" spans="1:374" ht="45" x14ac:dyDescent="0.25">
      <c r="A68" t="s">
        <v>405</v>
      </c>
      <c r="B68" t="s">
        <v>421</v>
      </c>
      <c r="C68">
        <v>465516</v>
      </c>
      <c r="D68" s="20" t="s">
        <v>509</v>
      </c>
      <c r="E68" t="s">
        <v>423</v>
      </c>
      <c r="F68" t="s">
        <v>424</v>
      </c>
      <c r="G68" t="s">
        <v>407</v>
      </c>
      <c r="H68" t="s">
        <v>449</v>
      </c>
      <c r="I68" t="s">
        <v>408</v>
      </c>
      <c r="J68" t="s">
        <v>413</v>
      </c>
      <c r="K68" t="s">
        <v>417</v>
      </c>
      <c r="L68" t="s">
        <v>418</v>
      </c>
      <c r="M68" t="s">
        <v>412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s="21">
        <v>0</v>
      </c>
      <c r="AE68" s="21">
        <v>0</v>
      </c>
      <c r="AF68" s="21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 s="21">
        <v>0</v>
      </c>
      <c r="AX68" s="21">
        <v>0</v>
      </c>
      <c r="AY68" s="21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 s="21">
        <v>0</v>
      </c>
      <c r="BQ68" s="21">
        <v>0</v>
      </c>
      <c r="BR68" s="21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 s="21">
        <v>0</v>
      </c>
      <c r="CJ68" s="21">
        <v>0</v>
      </c>
      <c r="CK68" s="21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 s="21">
        <v>0</v>
      </c>
      <c r="DC68" s="21">
        <v>0</v>
      </c>
      <c r="DD68" s="21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 s="21">
        <v>0</v>
      </c>
      <c r="DV68" s="21">
        <v>0</v>
      </c>
      <c r="DW68" s="21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 s="21">
        <v>0</v>
      </c>
      <c r="EO68" s="21">
        <v>0</v>
      </c>
      <c r="EP68" s="21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 s="21">
        <v>0</v>
      </c>
      <c r="FH68" s="21">
        <v>0</v>
      </c>
      <c r="FI68" s="21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 s="21">
        <v>0</v>
      </c>
      <c r="GA68" s="21">
        <v>0</v>
      </c>
      <c r="GB68" s="21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 s="21">
        <v>0</v>
      </c>
      <c r="GT68" s="21">
        <v>0</v>
      </c>
      <c r="GU68" s="21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 s="21">
        <v>0</v>
      </c>
      <c r="HM68" s="21">
        <v>0</v>
      </c>
      <c r="HN68" s="21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 s="21">
        <v>0</v>
      </c>
      <c r="IF68" s="21">
        <v>0</v>
      </c>
      <c r="IG68" s="21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 s="21">
        <v>0</v>
      </c>
      <c r="IY68" s="21">
        <v>0</v>
      </c>
      <c r="IZ68" s="21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 s="21">
        <v>0</v>
      </c>
      <c r="JR68" s="21">
        <v>0</v>
      </c>
      <c r="JS68" s="21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 s="21">
        <v>0</v>
      </c>
      <c r="KK68" s="21">
        <v>0</v>
      </c>
      <c r="KL68" s="21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 s="21">
        <v>0</v>
      </c>
      <c r="LD68" s="21">
        <v>0</v>
      </c>
      <c r="LE68" s="21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 s="21">
        <v>0</v>
      </c>
      <c r="LW68" s="21">
        <v>0</v>
      </c>
      <c r="LX68" s="21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 s="21">
        <v>0</v>
      </c>
      <c r="MP68" s="21">
        <v>0</v>
      </c>
      <c r="MQ68" s="21">
        <v>0</v>
      </c>
      <c r="MR68">
        <f>SUMIF($N$7:$MQ$7,"*"&amp;MR$7&amp;"*",$N68:$MQ68)</f>
        <v>0</v>
      </c>
      <c r="MS68">
        <f>SUMIF($N$7:$MQ$7,"*"&amp;MS$7&amp;"*",$N68:$MQ68)</f>
        <v>0</v>
      </c>
      <c r="MT68">
        <f>SUMIF($N$7:$MQ$7,"*"&amp;MT$7&amp;"*",$N68:$MQ68)</f>
        <v>0</v>
      </c>
      <c r="MU68">
        <f>SUMIF($N$7:$MQ$7,"*"&amp;MU$7&amp;"*",$N68:$MQ68)</f>
        <v>0</v>
      </c>
      <c r="MV68">
        <f>SUMIF($N$7:$MQ$7,"*"&amp;MV$7&amp;"*",$N68:$MQ68)</f>
        <v>0</v>
      </c>
      <c r="MW68">
        <f>SUMIF($N$7:$MQ$7,"*"&amp;MW$7&amp;"*",$N68:$MQ68)</f>
        <v>0</v>
      </c>
      <c r="MX68">
        <f>SUMIF($N$7:$MQ$7,"*"&amp;MX$7&amp;"*",$N68:$MQ68)</f>
        <v>0</v>
      </c>
      <c r="MY68">
        <f>SUMIF($N$7:$MQ$7,"*"&amp;MY$7&amp;"*",$N68:$MQ68)</f>
        <v>0</v>
      </c>
      <c r="MZ68">
        <f>SUMIF($N$7:$MQ$7,"*"&amp;MZ$7&amp;"*",$N68:$MQ68)</f>
        <v>0</v>
      </c>
      <c r="NA68">
        <f>SUMIF($N$7:$MQ$7,"*"&amp;NA$7&amp;"*",$N68:$MQ68)</f>
        <v>0</v>
      </c>
      <c r="NB68">
        <f>SUMIF($N$7:$MQ$7,"*"&amp;NB$7&amp;"*",$N68:$MQ68)</f>
        <v>0</v>
      </c>
      <c r="NC68">
        <f>SUMIF($N$7:$MQ$7,"*"&amp;NC$7&amp;"*",$N68:$MQ68)</f>
        <v>0</v>
      </c>
      <c r="ND68">
        <f>SUMIF($N$7:$MQ$7,"*"&amp;ND$7&amp;"*",$N68:$MQ68)</f>
        <v>0</v>
      </c>
      <c r="NE68">
        <f>SUMIF($N$7:$MQ$7,"*"&amp;NE$7&amp;"*",$N68:$MQ68)</f>
        <v>0</v>
      </c>
      <c r="NF68">
        <f>SUMIF($N$7:$MQ$7,"*"&amp;NF$7&amp;"*",$N68:$MQ68)</f>
        <v>0</v>
      </c>
      <c r="NG68">
        <f>SUMIF($N$7:$MQ$7,"*"&amp;NG$7&amp;"*",$N68:$MQ68)</f>
        <v>0</v>
      </c>
      <c r="NH68">
        <f>SUMIF($MR$5:$NG$5,NH$7,$MR68:$NG68)</f>
        <v>0</v>
      </c>
      <c r="NI68">
        <f>SUMIF($MR$5:$NG$5,NI$7,$MR68:$NG68)</f>
        <v>0</v>
      </c>
      <c r="NJ68">
        <f>SUM(NH68:NI68)</f>
        <v>0</v>
      </c>
    </row>
    <row r="69" spans="1:374" ht="30" x14ac:dyDescent="0.25">
      <c r="A69" t="s">
        <v>405</v>
      </c>
      <c r="B69" t="s">
        <v>421</v>
      </c>
      <c r="C69">
        <v>465900</v>
      </c>
      <c r="D69" s="20" t="s">
        <v>510</v>
      </c>
      <c r="E69" t="s">
        <v>423</v>
      </c>
      <c r="F69" t="s">
        <v>424</v>
      </c>
      <c r="G69" t="s">
        <v>407</v>
      </c>
      <c r="H69" t="s">
        <v>449</v>
      </c>
      <c r="I69" t="s">
        <v>408</v>
      </c>
      <c r="J69" t="s">
        <v>413</v>
      </c>
      <c r="K69" t="s">
        <v>417</v>
      </c>
      <c r="L69" t="s">
        <v>415</v>
      </c>
      <c r="M69" t="s">
        <v>416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s="21">
        <v>0</v>
      </c>
      <c r="AE69" s="21">
        <v>0</v>
      </c>
      <c r="AF69" s="21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 s="21">
        <v>0</v>
      </c>
      <c r="AX69" s="21">
        <v>0</v>
      </c>
      <c r="AY69" s="21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 s="21">
        <v>0</v>
      </c>
      <c r="BQ69" s="21">
        <v>0</v>
      </c>
      <c r="BR69" s="21">
        <v>0</v>
      </c>
      <c r="BS69">
        <v>0</v>
      </c>
      <c r="BT69">
        <v>0</v>
      </c>
      <c r="BU69">
        <v>1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 s="21">
        <v>1</v>
      </c>
      <c r="CJ69" s="21">
        <v>0</v>
      </c>
      <c r="CK69" s="21">
        <v>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 s="21">
        <v>0</v>
      </c>
      <c r="DC69" s="21">
        <v>0</v>
      </c>
      <c r="DD69" s="21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 s="21">
        <v>0</v>
      </c>
      <c r="DV69" s="21">
        <v>0</v>
      </c>
      <c r="DW69" s="21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 s="21">
        <v>0</v>
      </c>
      <c r="EO69" s="21">
        <v>0</v>
      </c>
      <c r="EP69" s="21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 s="21">
        <v>0</v>
      </c>
      <c r="FH69" s="21">
        <v>0</v>
      </c>
      <c r="FI69" s="21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 s="21">
        <v>0</v>
      </c>
      <c r="GA69" s="21">
        <v>0</v>
      </c>
      <c r="GB69" s="21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 s="21">
        <v>0</v>
      </c>
      <c r="GT69" s="21">
        <v>0</v>
      </c>
      <c r="GU69" s="21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 s="21">
        <v>0</v>
      </c>
      <c r="HM69" s="21">
        <v>0</v>
      </c>
      <c r="HN69" s="21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 s="21">
        <v>0</v>
      </c>
      <c r="IF69" s="21">
        <v>0</v>
      </c>
      <c r="IG69" s="21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 s="21">
        <v>0</v>
      </c>
      <c r="IY69" s="21">
        <v>0</v>
      </c>
      <c r="IZ69" s="21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 s="21">
        <v>0</v>
      </c>
      <c r="JR69" s="21">
        <v>0</v>
      </c>
      <c r="JS69" s="21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 s="21">
        <v>0</v>
      </c>
      <c r="KK69" s="21">
        <v>0</v>
      </c>
      <c r="KL69" s="21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 s="21">
        <v>0</v>
      </c>
      <c r="LD69" s="21">
        <v>0</v>
      </c>
      <c r="LE69" s="21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 s="21">
        <v>0</v>
      </c>
      <c r="LW69" s="21">
        <v>0</v>
      </c>
      <c r="LX69" s="21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 s="21">
        <v>0</v>
      </c>
      <c r="MP69" s="21">
        <v>0</v>
      </c>
      <c r="MQ69" s="21">
        <v>0</v>
      </c>
      <c r="MR69">
        <f>SUMIF($N$7:$MQ$7,"*"&amp;MR$7&amp;"*",$N69:$MQ69)</f>
        <v>0</v>
      </c>
      <c r="MS69">
        <f>SUMIF($N$7:$MQ$7,"*"&amp;MS$7&amp;"*",$N69:$MQ69)</f>
        <v>0</v>
      </c>
      <c r="MT69">
        <f>SUMIF($N$7:$MQ$7,"*"&amp;MT$7&amp;"*",$N69:$MQ69)</f>
        <v>1</v>
      </c>
      <c r="MU69">
        <f>SUMIF($N$7:$MQ$7,"*"&amp;MU$7&amp;"*",$N69:$MQ69)</f>
        <v>0</v>
      </c>
      <c r="MV69">
        <f>SUMIF($N$7:$MQ$7,"*"&amp;MV$7&amp;"*",$N69:$MQ69)</f>
        <v>0</v>
      </c>
      <c r="MW69">
        <f>SUMIF($N$7:$MQ$7,"*"&amp;MW$7&amp;"*",$N69:$MQ69)</f>
        <v>0</v>
      </c>
      <c r="MX69">
        <f>SUMIF($N$7:$MQ$7,"*"&amp;MX$7&amp;"*",$N69:$MQ69)</f>
        <v>0</v>
      </c>
      <c r="MY69">
        <f>SUMIF($N$7:$MQ$7,"*"&amp;MY$7&amp;"*",$N69:$MQ69)</f>
        <v>0</v>
      </c>
      <c r="MZ69">
        <f>SUMIF($N$7:$MQ$7,"*"&amp;MZ$7&amp;"*",$N69:$MQ69)</f>
        <v>0</v>
      </c>
      <c r="NA69">
        <f>SUMIF($N$7:$MQ$7,"*"&amp;NA$7&amp;"*",$N69:$MQ69)</f>
        <v>0</v>
      </c>
      <c r="NB69">
        <f>SUMIF($N$7:$MQ$7,"*"&amp;NB$7&amp;"*",$N69:$MQ69)</f>
        <v>0</v>
      </c>
      <c r="NC69">
        <f>SUMIF($N$7:$MQ$7,"*"&amp;NC$7&amp;"*",$N69:$MQ69)</f>
        <v>0</v>
      </c>
      <c r="ND69">
        <f>SUMIF($N$7:$MQ$7,"*"&amp;ND$7&amp;"*",$N69:$MQ69)</f>
        <v>0</v>
      </c>
      <c r="NE69">
        <f>SUMIF($N$7:$MQ$7,"*"&amp;NE$7&amp;"*",$N69:$MQ69)</f>
        <v>0</v>
      </c>
      <c r="NF69">
        <f>SUMIF($N$7:$MQ$7,"*"&amp;NF$7&amp;"*",$N69:$MQ69)</f>
        <v>0</v>
      </c>
      <c r="NG69">
        <f>SUMIF($N$7:$MQ$7,"*"&amp;NG$7&amp;"*",$N69:$MQ69)</f>
        <v>0</v>
      </c>
      <c r="NH69">
        <f>SUMIF($MR$5:$NG$5,NH$7,$MR69:$NG69)</f>
        <v>1</v>
      </c>
      <c r="NI69">
        <f>SUMIF($MR$5:$NG$5,NI$7,$MR69:$NG69)</f>
        <v>0</v>
      </c>
      <c r="NJ69">
        <f>SUM(NH69:NI69)</f>
        <v>1</v>
      </c>
    </row>
    <row r="70" spans="1:374" x14ac:dyDescent="0.25">
      <c r="A70" t="s">
        <v>405</v>
      </c>
      <c r="B70" t="s">
        <v>421</v>
      </c>
      <c r="C70">
        <v>500454</v>
      </c>
      <c r="D70" s="20" t="s">
        <v>511</v>
      </c>
      <c r="E70" t="s">
        <v>423</v>
      </c>
      <c r="F70" t="s">
        <v>424</v>
      </c>
      <c r="G70" t="s">
        <v>407</v>
      </c>
      <c r="H70" t="s">
        <v>436</v>
      </c>
      <c r="I70" t="s">
        <v>408</v>
      </c>
      <c r="J70" t="s">
        <v>409</v>
      </c>
      <c r="K70" t="s">
        <v>410</v>
      </c>
      <c r="L70" t="s">
        <v>415</v>
      </c>
      <c r="M70" t="s">
        <v>416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s="21">
        <v>0</v>
      </c>
      <c r="AE70" s="21">
        <v>0</v>
      </c>
      <c r="AF70" s="21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 s="21">
        <v>0</v>
      </c>
      <c r="AX70" s="21">
        <v>0</v>
      </c>
      <c r="AY70" s="21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 s="21">
        <v>0</v>
      </c>
      <c r="BQ70" s="21">
        <v>0</v>
      </c>
      <c r="BR70" s="21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 s="21">
        <v>0</v>
      </c>
      <c r="CJ70" s="21">
        <v>0</v>
      </c>
      <c r="CK70" s="21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 s="21">
        <v>0</v>
      </c>
      <c r="DC70" s="21">
        <v>0</v>
      </c>
      <c r="DD70" s="21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 s="21">
        <v>0</v>
      </c>
      <c r="DV70" s="21">
        <v>0</v>
      </c>
      <c r="DW70" s="21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 s="21">
        <v>0</v>
      </c>
      <c r="EO70" s="21">
        <v>0</v>
      </c>
      <c r="EP70" s="21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 s="21">
        <v>0</v>
      </c>
      <c r="FH70" s="21">
        <v>0</v>
      </c>
      <c r="FI70" s="21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 s="21">
        <v>0</v>
      </c>
      <c r="GA70" s="21">
        <v>0</v>
      </c>
      <c r="GB70" s="21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 s="21">
        <v>0</v>
      </c>
      <c r="GT70" s="21">
        <v>0</v>
      </c>
      <c r="GU70" s="21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 s="21">
        <v>0</v>
      </c>
      <c r="HM70" s="21">
        <v>0</v>
      </c>
      <c r="HN70" s="21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 s="21">
        <v>0</v>
      </c>
      <c r="IF70" s="21">
        <v>0</v>
      </c>
      <c r="IG70" s="21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 s="21">
        <v>0</v>
      </c>
      <c r="IY70" s="21">
        <v>0</v>
      </c>
      <c r="IZ70" s="21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 s="21">
        <v>0</v>
      </c>
      <c r="JR70" s="21">
        <v>0</v>
      </c>
      <c r="JS70" s="21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 s="21">
        <v>0</v>
      </c>
      <c r="KK70" s="21">
        <v>0</v>
      </c>
      <c r="KL70" s="21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 s="21">
        <v>0</v>
      </c>
      <c r="LD70" s="21">
        <v>0</v>
      </c>
      <c r="LE70" s="21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 s="21">
        <v>0</v>
      </c>
      <c r="LW70" s="21">
        <v>0</v>
      </c>
      <c r="LX70" s="21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 s="21">
        <v>0</v>
      </c>
      <c r="MP70" s="21">
        <v>0</v>
      </c>
      <c r="MQ70" s="21">
        <v>0</v>
      </c>
      <c r="MR70">
        <f>SUMIF($N$7:$MQ$7,"*"&amp;MR$7&amp;"*",$N70:$MQ70)</f>
        <v>0</v>
      </c>
      <c r="MS70">
        <f>SUMIF($N$7:$MQ$7,"*"&amp;MS$7&amp;"*",$N70:$MQ70)</f>
        <v>0</v>
      </c>
      <c r="MT70">
        <f>SUMIF($N$7:$MQ$7,"*"&amp;MT$7&amp;"*",$N70:$MQ70)</f>
        <v>0</v>
      </c>
      <c r="MU70">
        <f>SUMIF($N$7:$MQ$7,"*"&amp;MU$7&amp;"*",$N70:$MQ70)</f>
        <v>0</v>
      </c>
      <c r="MV70">
        <f>SUMIF($N$7:$MQ$7,"*"&amp;MV$7&amp;"*",$N70:$MQ70)</f>
        <v>0</v>
      </c>
      <c r="MW70">
        <f>SUMIF($N$7:$MQ$7,"*"&amp;MW$7&amp;"*",$N70:$MQ70)</f>
        <v>0</v>
      </c>
      <c r="MX70">
        <f>SUMIF($N$7:$MQ$7,"*"&amp;MX$7&amp;"*",$N70:$MQ70)</f>
        <v>0</v>
      </c>
      <c r="MY70">
        <f>SUMIF($N$7:$MQ$7,"*"&amp;MY$7&amp;"*",$N70:$MQ70)</f>
        <v>0</v>
      </c>
      <c r="MZ70">
        <f>SUMIF($N$7:$MQ$7,"*"&amp;MZ$7&amp;"*",$N70:$MQ70)</f>
        <v>0</v>
      </c>
      <c r="NA70">
        <f>SUMIF($N$7:$MQ$7,"*"&amp;NA$7&amp;"*",$N70:$MQ70)</f>
        <v>0</v>
      </c>
      <c r="NB70">
        <f>SUMIF($N$7:$MQ$7,"*"&amp;NB$7&amp;"*",$N70:$MQ70)</f>
        <v>0</v>
      </c>
      <c r="NC70">
        <f>SUMIF($N$7:$MQ$7,"*"&amp;NC$7&amp;"*",$N70:$MQ70)</f>
        <v>0</v>
      </c>
      <c r="ND70">
        <f>SUMIF($N$7:$MQ$7,"*"&amp;ND$7&amp;"*",$N70:$MQ70)</f>
        <v>0</v>
      </c>
      <c r="NE70">
        <f>SUMIF($N$7:$MQ$7,"*"&amp;NE$7&amp;"*",$N70:$MQ70)</f>
        <v>0</v>
      </c>
      <c r="NF70">
        <f>SUMIF($N$7:$MQ$7,"*"&amp;NF$7&amp;"*",$N70:$MQ70)</f>
        <v>0</v>
      </c>
      <c r="NG70">
        <f>SUMIF($N$7:$MQ$7,"*"&amp;NG$7&amp;"*",$N70:$MQ70)</f>
        <v>0</v>
      </c>
      <c r="NH70">
        <f>SUMIF($MR$5:$NG$5,NH$7,$MR70:$NG70)</f>
        <v>0</v>
      </c>
      <c r="NI70">
        <f>SUMIF($MR$5:$NG$5,NI$7,$MR70:$NG70)</f>
        <v>0</v>
      </c>
      <c r="NJ70">
        <f>SUM(NH70:NI70)</f>
        <v>0</v>
      </c>
    </row>
    <row r="71" spans="1:374" ht="30" x14ac:dyDescent="0.25">
      <c r="A71" t="s">
        <v>405</v>
      </c>
      <c r="B71" t="s">
        <v>421</v>
      </c>
      <c r="C71">
        <v>501085</v>
      </c>
      <c r="D71" s="20" t="s">
        <v>512</v>
      </c>
      <c r="E71" t="s">
        <v>423</v>
      </c>
      <c r="F71" t="s">
        <v>424</v>
      </c>
      <c r="G71" t="s">
        <v>407</v>
      </c>
      <c r="H71" t="s">
        <v>513</v>
      </c>
      <c r="I71" t="s">
        <v>408</v>
      </c>
      <c r="J71" t="s">
        <v>409</v>
      </c>
      <c r="K71" t="s">
        <v>410</v>
      </c>
      <c r="L71" t="s">
        <v>419</v>
      </c>
      <c r="M71" t="s">
        <v>420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s="21">
        <v>0</v>
      </c>
      <c r="AE71" s="21">
        <v>0</v>
      </c>
      <c r="AF71" s="2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s="21">
        <v>0</v>
      </c>
      <c r="AX71" s="21">
        <v>0</v>
      </c>
      <c r="AY71" s="2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 s="21">
        <v>0</v>
      </c>
      <c r="BQ71" s="21">
        <v>0</v>
      </c>
      <c r="BR71" s="2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 s="21">
        <v>0</v>
      </c>
      <c r="CJ71" s="21">
        <v>0</v>
      </c>
      <c r="CK71" s="2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 s="21">
        <v>0</v>
      </c>
      <c r="DC71" s="21">
        <v>0</v>
      </c>
      <c r="DD71" s="2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 s="21">
        <v>0</v>
      </c>
      <c r="DV71" s="21">
        <v>0</v>
      </c>
      <c r="DW71" s="2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1</v>
      </c>
      <c r="EJ71">
        <v>0</v>
      </c>
      <c r="EK71">
        <v>0</v>
      </c>
      <c r="EL71">
        <v>0</v>
      </c>
      <c r="EM71">
        <v>0</v>
      </c>
      <c r="EN71" s="21">
        <v>0</v>
      </c>
      <c r="EO71" s="21">
        <v>1</v>
      </c>
      <c r="EP71" s="21">
        <v>1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 s="21">
        <v>0</v>
      </c>
      <c r="FH71" s="21">
        <v>0</v>
      </c>
      <c r="FI71" s="2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 s="21">
        <v>0</v>
      </c>
      <c r="GA71" s="21">
        <v>0</v>
      </c>
      <c r="GB71" s="2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 s="21">
        <v>0</v>
      </c>
      <c r="GT71" s="21">
        <v>0</v>
      </c>
      <c r="GU71" s="2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 s="21">
        <v>0</v>
      </c>
      <c r="HM71" s="21">
        <v>0</v>
      </c>
      <c r="HN71" s="2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 s="21">
        <v>0</v>
      </c>
      <c r="IF71" s="21">
        <v>0</v>
      </c>
      <c r="IG71" s="2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 s="21">
        <v>0</v>
      </c>
      <c r="IY71" s="21">
        <v>0</v>
      </c>
      <c r="IZ71" s="2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 s="21">
        <v>0</v>
      </c>
      <c r="JR71" s="21">
        <v>0</v>
      </c>
      <c r="JS71" s="2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 s="21">
        <v>0</v>
      </c>
      <c r="KK71" s="21">
        <v>0</v>
      </c>
      <c r="KL71" s="2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 s="21">
        <v>0</v>
      </c>
      <c r="LD71" s="21">
        <v>0</v>
      </c>
      <c r="LE71" s="2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 s="21">
        <v>0</v>
      </c>
      <c r="LW71" s="21">
        <v>0</v>
      </c>
      <c r="LX71" s="2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 s="21">
        <v>0</v>
      </c>
      <c r="MP71" s="21">
        <v>0</v>
      </c>
      <c r="MQ71" s="21">
        <v>0</v>
      </c>
      <c r="MR71">
        <f>SUMIF($N$7:$MQ$7,"*"&amp;MR$7&amp;"*",$N71:$MQ71)</f>
        <v>0</v>
      </c>
      <c r="MS71">
        <f>SUMIF($N$7:$MQ$7,"*"&amp;MS$7&amp;"*",$N71:$MQ71)</f>
        <v>0</v>
      </c>
      <c r="MT71">
        <f>SUMIF($N$7:$MQ$7,"*"&amp;MT$7&amp;"*",$N71:$MQ71)</f>
        <v>0</v>
      </c>
      <c r="MU71">
        <f>SUMIF($N$7:$MQ$7,"*"&amp;MU$7&amp;"*",$N71:$MQ71)</f>
        <v>0</v>
      </c>
      <c r="MV71">
        <f>SUMIF($N$7:$MQ$7,"*"&amp;MV$7&amp;"*",$N71:$MQ71)</f>
        <v>0</v>
      </c>
      <c r="MW71">
        <f>SUMIF($N$7:$MQ$7,"*"&amp;MW$7&amp;"*",$N71:$MQ71)</f>
        <v>0</v>
      </c>
      <c r="MX71">
        <f>SUMIF($N$7:$MQ$7,"*"&amp;MX$7&amp;"*",$N71:$MQ71)</f>
        <v>0</v>
      </c>
      <c r="MY71">
        <f>SUMIF($N$7:$MQ$7,"*"&amp;MY$7&amp;"*",$N71:$MQ71)</f>
        <v>0</v>
      </c>
      <c r="MZ71">
        <f>SUMIF($N$7:$MQ$7,"*"&amp;MZ$7&amp;"*",$N71:$MQ71)</f>
        <v>0</v>
      </c>
      <c r="NA71">
        <f>SUMIF($N$7:$MQ$7,"*"&amp;NA$7&amp;"*",$N71:$MQ71)</f>
        <v>0</v>
      </c>
      <c r="NB71">
        <f>SUMIF($N$7:$MQ$7,"*"&amp;NB$7&amp;"*",$N71:$MQ71)</f>
        <v>0</v>
      </c>
      <c r="NC71">
        <f>SUMIF($N$7:$MQ$7,"*"&amp;NC$7&amp;"*",$N71:$MQ71)</f>
        <v>1</v>
      </c>
      <c r="ND71">
        <f>SUMIF($N$7:$MQ$7,"*"&amp;ND$7&amp;"*",$N71:$MQ71)</f>
        <v>0</v>
      </c>
      <c r="NE71">
        <f>SUMIF($N$7:$MQ$7,"*"&amp;NE$7&amp;"*",$N71:$MQ71)</f>
        <v>0</v>
      </c>
      <c r="NF71">
        <f>SUMIF($N$7:$MQ$7,"*"&amp;NF$7&amp;"*",$N71:$MQ71)</f>
        <v>0</v>
      </c>
      <c r="NG71">
        <f>SUMIF($N$7:$MQ$7,"*"&amp;NG$7&amp;"*",$N71:$MQ71)</f>
        <v>0</v>
      </c>
      <c r="NH71">
        <f>SUMIF($MR$5:$NG$5,NH$7,$MR71:$NG71)</f>
        <v>0</v>
      </c>
      <c r="NI71">
        <f>SUMIF($MR$5:$NG$5,NI$7,$MR71:$NG71)</f>
        <v>1</v>
      </c>
      <c r="NJ71">
        <f>SUM(NH71:NI71)</f>
        <v>1</v>
      </c>
    </row>
    <row r="72" spans="1:374" x14ac:dyDescent="0.25">
      <c r="A72" t="s">
        <v>405</v>
      </c>
      <c r="B72" t="s">
        <v>421</v>
      </c>
      <c r="C72">
        <v>501086</v>
      </c>
      <c r="D72" s="20" t="s">
        <v>514</v>
      </c>
      <c r="E72" t="s">
        <v>423</v>
      </c>
      <c r="F72" t="s">
        <v>424</v>
      </c>
      <c r="G72" t="s">
        <v>407</v>
      </c>
      <c r="H72" t="s">
        <v>515</v>
      </c>
      <c r="I72" t="s">
        <v>408</v>
      </c>
      <c r="J72" t="s">
        <v>409</v>
      </c>
      <c r="K72" t="s">
        <v>410</v>
      </c>
      <c r="L72" t="s">
        <v>419</v>
      </c>
      <c r="M72" t="s">
        <v>420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s="21">
        <v>0</v>
      </c>
      <c r="AE72" s="21">
        <v>0</v>
      </c>
      <c r="AF72" s="21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s="21">
        <v>0</v>
      </c>
      <c r="AX72" s="21">
        <v>0</v>
      </c>
      <c r="AY72" s="21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 s="21">
        <v>0</v>
      </c>
      <c r="BQ72" s="21">
        <v>0</v>
      </c>
      <c r="BR72" s="21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 s="21">
        <v>0</v>
      </c>
      <c r="CJ72" s="21">
        <v>0</v>
      </c>
      <c r="CK72" s="21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 s="21">
        <v>0</v>
      </c>
      <c r="DC72" s="21">
        <v>0</v>
      </c>
      <c r="DD72" s="21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 s="21">
        <v>0</v>
      </c>
      <c r="DV72" s="21">
        <v>0</v>
      </c>
      <c r="DW72" s="21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 s="21">
        <v>0</v>
      </c>
      <c r="EO72" s="21">
        <v>0</v>
      </c>
      <c r="EP72" s="21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 s="21">
        <v>0</v>
      </c>
      <c r="FH72" s="21">
        <v>0</v>
      </c>
      <c r="FI72" s="21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 s="21">
        <v>0</v>
      </c>
      <c r="GA72" s="21">
        <v>0</v>
      </c>
      <c r="GB72" s="21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 s="21">
        <v>0</v>
      </c>
      <c r="GT72" s="21">
        <v>0</v>
      </c>
      <c r="GU72" s="21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 s="21">
        <v>0</v>
      </c>
      <c r="HM72" s="21">
        <v>0</v>
      </c>
      <c r="HN72" s="21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 s="21">
        <v>0</v>
      </c>
      <c r="IF72" s="21">
        <v>0</v>
      </c>
      <c r="IG72" s="21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 s="21">
        <v>0</v>
      </c>
      <c r="IY72" s="21">
        <v>0</v>
      </c>
      <c r="IZ72" s="21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 s="21">
        <v>0</v>
      </c>
      <c r="JR72" s="21">
        <v>0</v>
      </c>
      <c r="JS72" s="21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 s="21">
        <v>0</v>
      </c>
      <c r="KK72" s="21">
        <v>0</v>
      </c>
      <c r="KL72" s="21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 s="21">
        <v>0</v>
      </c>
      <c r="LD72" s="21">
        <v>0</v>
      </c>
      <c r="LE72" s="21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 s="21">
        <v>0</v>
      </c>
      <c r="LW72" s="21">
        <v>0</v>
      </c>
      <c r="LX72" s="21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 s="21">
        <v>0</v>
      </c>
      <c r="MP72" s="21">
        <v>0</v>
      </c>
      <c r="MQ72" s="21">
        <v>0</v>
      </c>
      <c r="MR72">
        <f>SUMIF($N$7:$MQ$7,"*"&amp;MR$7&amp;"*",$N72:$MQ72)</f>
        <v>0</v>
      </c>
      <c r="MS72">
        <f>SUMIF($N$7:$MQ$7,"*"&amp;MS$7&amp;"*",$N72:$MQ72)</f>
        <v>0</v>
      </c>
      <c r="MT72">
        <f>SUMIF($N$7:$MQ$7,"*"&amp;MT$7&amp;"*",$N72:$MQ72)</f>
        <v>0</v>
      </c>
      <c r="MU72">
        <f>SUMIF($N$7:$MQ$7,"*"&amp;MU$7&amp;"*",$N72:$MQ72)</f>
        <v>0</v>
      </c>
      <c r="MV72">
        <f>SUMIF($N$7:$MQ$7,"*"&amp;MV$7&amp;"*",$N72:$MQ72)</f>
        <v>0</v>
      </c>
      <c r="MW72">
        <f>SUMIF($N$7:$MQ$7,"*"&amp;MW$7&amp;"*",$N72:$MQ72)</f>
        <v>0</v>
      </c>
      <c r="MX72">
        <f>SUMIF($N$7:$MQ$7,"*"&amp;MX$7&amp;"*",$N72:$MQ72)</f>
        <v>0</v>
      </c>
      <c r="MY72">
        <f>SUMIF($N$7:$MQ$7,"*"&amp;MY$7&amp;"*",$N72:$MQ72)</f>
        <v>0</v>
      </c>
      <c r="MZ72">
        <f>SUMIF($N$7:$MQ$7,"*"&amp;MZ$7&amp;"*",$N72:$MQ72)</f>
        <v>0</v>
      </c>
      <c r="NA72">
        <f>SUMIF($N$7:$MQ$7,"*"&amp;NA$7&amp;"*",$N72:$MQ72)</f>
        <v>0</v>
      </c>
      <c r="NB72">
        <f>SUMIF($N$7:$MQ$7,"*"&amp;NB$7&amp;"*",$N72:$MQ72)</f>
        <v>0</v>
      </c>
      <c r="NC72">
        <f>SUMIF($N$7:$MQ$7,"*"&amp;NC$7&amp;"*",$N72:$MQ72)</f>
        <v>0</v>
      </c>
      <c r="ND72">
        <f>SUMIF($N$7:$MQ$7,"*"&amp;ND$7&amp;"*",$N72:$MQ72)</f>
        <v>0</v>
      </c>
      <c r="NE72">
        <f>SUMIF($N$7:$MQ$7,"*"&amp;NE$7&amp;"*",$N72:$MQ72)</f>
        <v>0</v>
      </c>
      <c r="NF72">
        <f>SUMIF($N$7:$MQ$7,"*"&amp;NF$7&amp;"*",$N72:$MQ72)</f>
        <v>0</v>
      </c>
      <c r="NG72">
        <f>SUMIF($N$7:$MQ$7,"*"&amp;NG$7&amp;"*",$N72:$MQ72)</f>
        <v>0</v>
      </c>
      <c r="NH72">
        <f>SUMIF($MR$5:$NG$5,NH$7,$MR72:$NG72)</f>
        <v>0</v>
      </c>
      <c r="NI72">
        <f>SUMIF($MR$5:$NG$5,NI$7,$MR72:$NG72)</f>
        <v>0</v>
      </c>
      <c r="NJ72">
        <f>SUM(NH72:NI72)</f>
        <v>0</v>
      </c>
    </row>
    <row r="73" spans="1:374" x14ac:dyDescent="0.25">
      <c r="A73" t="s">
        <v>405</v>
      </c>
      <c r="B73" t="s">
        <v>421</v>
      </c>
      <c r="C73">
        <v>501087</v>
      </c>
      <c r="D73" s="20" t="s">
        <v>516</v>
      </c>
      <c r="E73" t="s">
        <v>423</v>
      </c>
      <c r="F73" t="s">
        <v>424</v>
      </c>
      <c r="G73" t="s">
        <v>407</v>
      </c>
      <c r="H73" t="s">
        <v>429</v>
      </c>
      <c r="I73" t="s">
        <v>408</v>
      </c>
      <c r="J73" t="s">
        <v>409</v>
      </c>
      <c r="K73" t="s">
        <v>410</v>
      </c>
      <c r="L73" t="s">
        <v>419</v>
      </c>
      <c r="M73" t="s">
        <v>420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s="21">
        <v>0</v>
      </c>
      <c r="AE73" s="21">
        <v>0</v>
      </c>
      <c r="AF73" s="21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s="21">
        <v>0</v>
      </c>
      <c r="AX73" s="21">
        <v>0</v>
      </c>
      <c r="AY73" s="21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 s="21">
        <v>0</v>
      </c>
      <c r="BQ73" s="21">
        <v>0</v>
      </c>
      <c r="BR73" s="21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 s="21">
        <v>0</v>
      </c>
      <c r="CJ73" s="21">
        <v>0</v>
      </c>
      <c r="CK73" s="21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 s="21">
        <v>0</v>
      </c>
      <c r="DC73" s="21">
        <v>0</v>
      </c>
      <c r="DD73" s="21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 s="21">
        <v>0</v>
      </c>
      <c r="DV73" s="21">
        <v>0</v>
      </c>
      <c r="DW73" s="21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 s="21">
        <v>0</v>
      </c>
      <c r="EO73" s="21">
        <v>0</v>
      </c>
      <c r="EP73" s="21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 s="21">
        <v>0</v>
      </c>
      <c r="FH73" s="21">
        <v>0</v>
      </c>
      <c r="FI73" s="21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 s="21">
        <v>0</v>
      </c>
      <c r="GA73" s="21">
        <v>0</v>
      </c>
      <c r="GB73" s="21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 s="21">
        <v>0</v>
      </c>
      <c r="GT73" s="21">
        <v>0</v>
      </c>
      <c r="GU73" s="21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 s="21">
        <v>0</v>
      </c>
      <c r="HM73" s="21">
        <v>0</v>
      </c>
      <c r="HN73" s="21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 s="21">
        <v>0</v>
      </c>
      <c r="IF73" s="21">
        <v>0</v>
      </c>
      <c r="IG73" s="21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 s="21">
        <v>0</v>
      </c>
      <c r="IY73" s="21">
        <v>0</v>
      </c>
      <c r="IZ73" s="21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 s="21">
        <v>0</v>
      </c>
      <c r="JR73" s="21">
        <v>0</v>
      </c>
      <c r="JS73" s="21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 s="21">
        <v>0</v>
      </c>
      <c r="KK73" s="21">
        <v>0</v>
      </c>
      <c r="KL73" s="21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 s="21">
        <v>0</v>
      </c>
      <c r="LD73" s="21">
        <v>0</v>
      </c>
      <c r="LE73" s="21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 s="21">
        <v>0</v>
      </c>
      <c r="LW73" s="21">
        <v>0</v>
      </c>
      <c r="LX73" s="21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 s="21">
        <v>0</v>
      </c>
      <c r="MP73" s="21">
        <v>0</v>
      </c>
      <c r="MQ73" s="21">
        <v>0</v>
      </c>
      <c r="MR73">
        <f>SUMIF($N$7:$MQ$7,"*"&amp;MR$7&amp;"*",$N73:$MQ73)</f>
        <v>0</v>
      </c>
      <c r="MS73">
        <f>SUMIF($N$7:$MQ$7,"*"&amp;MS$7&amp;"*",$N73:$MQ73)</f>
        <v>0</v>
      </c>
      <c r="MT73">
        <f>SUMIF($N$7:$MQ$7,"*"&amp;MT$7&amp;"*",$N73:$MQ73)</f>
        <v>0</v>
      </c>
      <c r="MU73">
        <f>SUMIF($N$7:$MQ$7,"*"&amp;MU$7&amp;"*",$N73:$MQ73)</f>
        <v>0</v>
      </c>
      <c r="MV73">
        <f>SUMIF($N$7:$MQ$7,"*"&amp;MV$7&amp;"*",$N73:$MQ73)</f>
        <v>0</v>
      </c>
      <c r="MW73">
        <f>SUMIF($N$7:$MQ$7,"*"&amp;MW$7&amp;"*",$N73:$MQ73)</f>
        <v>0</v>
      </c>
      <c r="MX73">
        <f>SUMIF($N$7:$MQ$7,"*"&amp;MX$7&amp;"*",$N73:$MQ73)</f>
        <v>0</v>
      </c>
      <c r="MY73">
        <f>SUMIF($N$7:$MQ$7,"*"&amp;MY$7&amp;"*",$N73:$MQ73)</f>
        <v>0</v>
      </c>
      <c r="MZ73">
        <f>SUMIF($N$7:$MQ$7,"*"&amp;MZ$7&amp;"*",$N73:$MQ73)</f>
        <v>0</v>
      </c>
      <c r="NA73">
        <f>SUMIF($N$7:$MQ$7,"*"&amp;NA$7&amp;"*",$N73:$MQ73)</f>
        <v>0</v>
      </c>
      <c r="NB73">
        <f>SUMIF($N$7:$MQ$7,"*"&amp;NB$7&amp;"*",$N73:$MQ73)</f>
        <v>0</v>
      </c>
      <c r="NC73">
        <f>SUMIF($N$7:$MQ$7,"*"&amp;NC$7&amp;"*",$N73:$MQ73)</f>
        <v>0</v>
      </c>
      <c r="ND73">
        <f>SUMIF($N$7:$MQ$7,"*"&amp;ND$7&amp;"*",$N73:$MQ73)</f>
        <v>0</v>
      </c>
      <c r="NE73">
        <f>SUMIF($N$7:$MQ$7,"*"&amp;NE$7&amp;"*",$N73:$MQ73)</f>
        <v>0</v>
      </c>
      <c r="NF73">
        <f>SUMIF($N$7:$MQ$7,"*"&amp;NF$7&amp;"*",$N73:$MQ73)</f>
        <v>0</v>
      </c>
      <c r="NG73">
        <f>SUMIF($N$7:$MQ$7,"*"&amp;NG$7&amp;"*",$N73:$MQ73)</f>
        <v>0</v>
      </c>
      <c r="NH73">
        <f>SUMIF($MR$5:$NG$5,NH$7,$MR73:$NG73)</f>
        <v>0</v>
      </c>
      <c r="NI73">
        <f>SUMIF($MR$5:$NG$5,NI$7,$MR73:$NG73)</f>
        <v>0</v>
      </c>
      <c r="NJ73">
        <f>SUM(NH73:NI73)</f>
        <v>0</v>
      </c>
    </row>
    <row r="74" spans="1:374" x14ac:dyDescent="0.25">
      <c r="A74" t="s">
        <v>405</v>
      </c>
      <c r="B74" t="s">
        <v>421</v>
      </c>
      <c r="C74">
        <v>501424</v>
      </c>
      <c r="D74" s="20" t="s">
        <v>517</v>
      </c>
      <c r="E74" t="s">
        <v>423</v>
      </c>
      <c r="F74" t="s">
        <v>424</v>
      </c>
      <c r="G74" t="s">
        <v>407</v>
      </c>
      <c r="H74" t="s">
        <v>518</v>
      </c>
      <c r="I74" t="s">
        <v>408</v>
      </c>
      <c r="J74" t="s">
        <v>409</v>
      </c>
      <c r="K74" t="s">
        <v>410</v>
      </c>
      <c r="L74" t="s">
        <v>419</v>
      </c>
      <c r="M74" t="s">
        <v>420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s="21">
        <v>0</v>
      </c>
      <c r="AE74" s="21">
        <v>0</v>
      </c>
      <c r="AF74" s="21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s="21">
        <v>0</v>
      </c>
      <c r="AX74" s="21">
        <v>0</v>
      </c>
      <c r="AY74" s="21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 s="21">
        <v>0</v>
      </c>
      <c r="BQ74" s="21">
        <v>0</v>
      </c>
      <c r="BR74" s="21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 s="21">
        <v>0</v>
      </c>
      <c r="CJ74" s="21">
        <v>0</v>
      </c>
      <c r="CK74" s="21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 s="21">
        <v>0</v>
      </c>
      <c r="DC74" s="21">
        <v>0</v>
      </c>
      <c r="DD74" s="21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 s="21">
        <v>0</v>
      </c>
      <c r="DV74" s="21">
        <v>0</v>
      </c>
      <c r="DW74" s="21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 s="21">
        <v>0</v>
      </c>
      <c r="EO74" s="21">
        <v>0</v>
      </c>
      <c r="EP74" s="21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 s="21">
        <v>0</v>
      </c>
      <c r="FH74" s="21">
        <v>0</v>
      </c>
      <c r="FI74" s="21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 s="21">
        <v>0</v>
      </c>
      <c r="GA74" s="21">
        <v>0</v>
      </c>
      <c r="GB74" s="21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 s="21">
        <v>0</v>
      </c>
      <c r="GT74" s="21">
        <v>0</v>
      </c>
      <c r="GU74" s="21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 s="21">
        <v>0</v>
      </c>
      <c r="HM74" s="21">
        <v>0</v>
      </c>
      <c r="HN74" s="21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 s="21">
        <v>0</v>
      </c>
      <c r="IF74" s="21">
        <v>0</v>
      </c>
      <c r="IG74" s="21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 s="21">
        <v>0</v>
      </c>
      <c r="IY74" s="21">
        <v>0</v>
      </c>
      <c r="IZ74" s="21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 s="21">
        <v>0</v>
      </c>
      <c r="JR74" s="21">
        <v>0</v>
      </c>
      <c r="JS74" s="21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 s="21">
        <v>0</v>
      </c>
      <c r="KK74" s="21">
        <v>0</v>
      </c>
      <c r="KL74" s="21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 s="21">
        <v>0</v>
      </c>
      <c r="LD74" s="21">
        <v>0</v>
      </c>
      <c r="LE74" s="21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 s="21">
        <v>0</v>
      </c>
      <c r="LW74" s="21">
        <v>0</v>
      </c>
      <c r="LX74" s="21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 s="21">
        <v>0</v>
      </c>
      <c r="MP74" s="21">
        <v>0</v>
      </c>
      <c r="MQ74" s="21">
        <v>0</v>
      </c>
      <c r="MR74">
        <f>SUMIF($N$7:$MQ$7,"*"&amp;MR$7&amp;"*",$N74:$MQ74)</f>
        <v>0</v>
      </c>
      <c r="MS74">
        <f>SUMIF($N$7:$MQ$7,"*"&amp;MS$7&amp;"*",$N74:$MQ74)</f>
        <v>0</v>
      </c>
      <c r="MT74">
        <f>SUMIF($N$7:$MQ$7,"*"&amp;MT$7&amp;"*",$N74:$MQ74)</f>
        <v>0</v>
      </c>
      <c r="MU74">
        <f>SUMIF($N$7:$MQ$7,"*"&amp;MU$7&amp;"*",$N74:$MQ74)</f>
        <v>0</v>
      </c>
      <c r="MV74">
        <f>SUMIF($N$7:$MQ$7,"*"&amp;MV$7&amp;"*",$N74:$MQ74)</f>
        <v>0</v>
      </c>
      <c r="MW74">
        <f>SUMIF($N$7:$MQ$7,"*"&amp;MW$7&amp;"*",$N74:$MQ74)</f>
        <v>0</v>
      </c>
      <c r="MX74">
        <f>SUMIF($N$7:$MQ$7,"*"&amp;MX$7&amp;"*",$N74:$MQ74)</f>
        <v>0</v>
      </c>
      <c r="MY74">
        <f>SUMIF($N$7:$MQ$7,"*"&amp;MY$7&amp;"*",$N74:$MQ74)</f>
        <v>0</v>
      </c>
      <c r="MZ74">
        <f>SUMIF($N$7:$MQ$7,"*"&amp;MZ$7&amp;"*",$N74:$MQ74)</f>
        <v>0</v>
      </c>
      <c r="NA74">
        <f>SUMIF($N$7:$MQ$7,"*"&amp;NA$7&amp;"*",$N74:$MQ74)</f>
        <v>0</v>
      </c>
      <c r="NB74">
        <f>SUMIF($N$7:$MQ$7,"*"&amp;NB$7&amp;"*",$N74:$MQ74)</f>
        <v>0</v>
      </c>
      <c r="NC74">
        <f>SUMIF($N$7:$MQ$7,"*"&amp;NC$7&amp;"*",$N74:$MQ74)</f>
        <v>0</v>
      </c>
      <c r="ND74">
        <f>SUMIF($N$7:$MQ$7,"*"&amp;ND$7&amp;"*",$N74:$MQ74)</f>
        <v>0</v>
      </c>
      <c r="NE74">
        <f>SUMIF($N$7:$MQ$7,"*"&amp;NE$7&amp;"*",$N74:$MQ74)</f>
        <v>0</v>
      </c>
      <c r="NF74">
        <f>SUMIF($N$7:$MQ$7,"*"&amp;NF$7&amp;"*",$N74:$MQ74)</f>
        <v>0</v>
      </c>
      <c r="NG74">
        <f>SUMIF($N$7:$MQ$7,"*"&amp;NG$7&amp;"*",$N74:$MQ74)</f>
        <v>0</v>
      </c>
      <c r="NH74">
        <f>SUMIF($MR$5:$NG$5,NH$7,$MR74:$NG74)</f>
        <v>0</v>
      </c>
      <c r="NI74">
        <f>SUMIF($MR$5:$NG$5,NI$7,$MR74:$NG74)</f>
        <v>0</v>
      </c>
      <c r="NJ74">
        <f>SUM(NH74:NI74)</f>
        <v>0</v>
      </c>
    </row>
  </sheetData>
  <sheetProtection algorithmName="SHA-512" hashValue="m+L9XpohQN//lTDSY+ZAiJXyhYFaqyODBkQxYHeFOIFcebgL9T592IlpBR9QCfU282LApWDf4YCXL6Z8Cj5Bcw==" saltValue="xfF//6MnRtsbDfNsH1bX9Q==" spinCount="100000" sheet="1" objects="1" scenarios="1" formatCells="0" formatColumns="0" formatRows="0"/>
  <mergeCells count="170">
    <mergeCell ref="NB4:NC4"/>
    <mergeCell ref="ND4:NE4"/>
    <mergeCell ref="NF4:NG4"/>
    <mergeCell ref="NH4:NJ4"/>
    <mergeCell ref="MO4:MQ4"/>
    <mergeCell ref="MR4:MS4"/>
    <mergeCell ref="MT4:MU4"/>
    <mergeCell ref="MV4:MW4"/>
    <mergeCell ref="MX4:MY4"/>
    <mergeCell ref="MZ4:NA4"/>
    <mergeCell ref="MC4:MD4"/>
    <mergeCell ref="ME4:MF4"/>
    <mergeCell ref="MG4:MH4"/>
    <mergeCell ref="MI4:MJ4"/>
    <mergeCell ref="MK4:ML4"/>
    <mergeCell ref="MM4:MN4"/>
    <mergeCell ref="LP4:LQ4"/>
    <mergeCell ref="LR4:LS4"/>
    <mergeCell ref="LT4:LU4"/>
    <mergeCell ref="LV4:LX4"/>
    <mergeCell ref="LY4:LZ4"/>
    <mergeCell ref="MA4:MB4"/>
    <mergeCell ref="LC4:LE4"/>
    <mergeCell ref="LF4:LG4"/>
    <mergeCell ref="LH4:LI4"/>
    <mergeCell ref="LJ4:LK4"/>
    <mergeCell ref="LL4:LM4"/>
    <mergeCell ref="LN4:LO4"/>
    <mergeCell ref="KQ4:KR4"/>
    <mergeCell ref="KS4:KT4"/>
    <mergeCell ref="KU4:KV4"/>
    <mergeCell ref="KW4:KX4"/>
    <mergeCell ref="KY4:KZ4"/>
    <mergeCell ref="LA4:LB4"/>
    <mergeCell ref="KD4:KE4"/>
    <mergeCell ref="KF4:KG4"/>
    <mergeCell ref="KH4:KI4"/>
    <mergeCell ref="KJ4:KL4"/>
    <mergeCell ref="KM4:KN4"/>
    <mergeCell ref="KO4:KP4"/>
    <mergeCell ref="JQ4:JS4"/>
    <mergeCell ref="JT4:JU4"/>
    <mergeCell ref="JV4:JW4"/>
    <mergeCell ref="JX4:JY4"/>
    <mergeCell ref="JZ4:KA4"/>
    <mergeCell ref="KB4:KC4"/>
    <mergeCell ref="JE4:JF4"/>
    <mergeCell ref="JG4:JH4"/>
    <mergeCell ref="JI4:JJ4"/>
    <mergeCell ref="JK4:JL4"/>
    <mergeCell ref="JM4:JN4"/>
    <mergeCell ref="JO4:JP4"/>
    <mergeCell ref="IR4:IS4"/>
    <mergeCell ref="IT4:IU4"/>
    <mergeCell ref="IV4:IW4"/>
    <mergeCell ref="IX4:IZ4"/>
    <mergeCell ref="JA4:JB4"/>
    <mergeCell ref="JC4:JD4"/>
    <mergeCell ref="IE4:IG4"/>
    <mergeCell ref="IH4:II4"/>
    <mergeCell ref="IJ4:IK4"/>
    <mergeCell ref="IL4:IM4"/>
    <mergeCell ref="IN4:IO4"/>
    <mergeCell ref="IP4:IQ4"/>
    <mergeCell ref="HS4:HT4"/>
    <mergeCell ref="HU4:HV4"/>
    <mergeCell ref="HW4:HX4"/>
    <mergeCell ref="HY4:HZ4"/>
    <mergeCell ref="IA4:IB4"/>
    <mergeCell ref="IC4:ID4"/>
    <mergeCell ref="HF4:HG4"/>
    <mergeCell ref="HH4:HI4"/>
    <mergeCell ref="HJ4:HK4"/>
    <mergeCell ref="HL4:HN4"/>
    <mergeCell ref="HO4:HP4"/>
    <mergeCell ref="HQ4:HR4"/>
    <mergeCell ref="GS4:GU4"/>
    <mergeCell ref="GV4:GW4"/>
    <mergeCell ref="GX4:GY4"/>
    <mergeCell ref="GZ4:HA4"/>
    <mergeCell ref="HB4:HC4"/>
    <mergeCell ref="HD4:HE4"/>
    <mergeCell ref="GG4:GH4"/>
    <mergeCell ref="GI4:GJ4"/>
    <mergeCell ref="GK4:GL4"/>
    <mergeCell ref="GM4:GN4"/>
    <mergeCell ref="GO4:GP4"/>
    <mergeCell ref="GQ4:GR4"/>
    <mergeCell ref="FT4:FU4"/>
    <mergeCell ref="FV4:FW4"/>
    <mergeCell ref="FX4:FY4"/>
    <mergeCell ref="FZ4:GB4"/>
    <mergeCell ref="GC4:GD4"/>
    <mergeCell ref="GE4:GF4"/>
    <mergeCell ref="FG4:FI4"/>
    <mergeCell ref="FJ4:FK4"/>
    <mergeCell ref="FL4:FM4"/>
    <mergeCell ref="FN4:FO4"/>
    <mergeCell ref="FP4:FQ4"/>
    <mergeCell ref="FR4:FS4"/>
    <mergeCell ref="EU4:EV4"/>
    <mergeCell ref="EW4:EX4"/>
    <mergeCell ref="EY4:EZ4"/>
    <mergeCell ref="FA4:FB4"/>
    <mergeCell ref="FC4:FD4"/>
    <mergeCell ref="FE4:FF4"/>
    <mergeCell ref="EH4:EI4"/>
    <mergeCell ref="EJ4:EK4"/>
    <mergeCell ref="EL4:EM4"/>
    <mergeCell ref="EN4:EP4"/>
    <mergeCell ref="EQ4:ER4"/>
    <mergeCell ref="ES4:ET4"/>
    <mergeCell ref="DU4:DW4"/>
    <mergeCell ref="DX4:DY4"/>
    <mergeCell ref="DZ4:EA4"/>
    <mergeCell ref="EB4:EC4"/>
    <mergeCell ref="ED4:EE4"/>
    <mergeCell ref="EF4:EG4"/>
    <mergeCell ref="DI4:DJ4"/>
    <mergeCell ref="DK4:DL4"/>
    <mergeCell ref="DM4:DN4"/>
    <mergeCell ref="DO4:DP4"/>
    <mergeCell ref="DQ4:DR4"/>
    <mergeCell ref="DS4:DT4"/>
    <mergeCell ref="CV4:CW4"/>
    <mergeCell ref="CX4:CY4"/>
    <mergeCell ref="CZ4:DA4"/>
    <mergeCell ref="DB4:DD4"/>
    <mergeCell ref="DE4:DF4"/>
    <mergeCell ref="DG4:DH4"/>
    <mergeCell ref="CI4:CK4"/>
    <mergeCell ref="CL4:CM4"/>
    <mergeCell ref="CN4:CO4"/>
    <mergeCell ref="CP4:CQ4"/>
    <mergeCell ref="CR4:CS4"/>
    <mergeCell ref="CT4:CU4"/>
    <mergeCell ref="BW4:BX4"/>
    <mergeCell ref="BY4:BZ4"/>
    <mergeCell ref="CA4:CB4"/>
    <mergeCell ref="CC4:CD4"/>
    <mergeCell ref="CE4:CF4"/>
    <mergeCell ref="CG4:CH4"/>
    <mergeCell ref="BJ4:BK4"/>
    <mergeCell ref="BL4:BM4"/>
    <mergeCell ref="BN4:BO4"/>
    <mergeCell ref="BP4:BR4"/>
    <mergeCell ref="BS4:BT4"/>
    <mergeCell ref="BU4:BV4"/>
    <mergeCell ref="JT3:KL3"/>
    <mergeCell ref="KM3:LE3"/>
    <mergeCell ref="LF3:LX3"/>
    <mergeCell ref="LY3:MQ3"/>
    <mergeCell ref="MR3:NJ3"/>
    <mergeCell ref="AZ4:BA4"/>
    <mergeCell ref="BB4:BC4"/>
    <mergeCell ref="BD4:BE4"/>
    <mergeCell ref="BF4:BG4"/>
    <mergeCell ref="BH4:BI4"/>
    <mergeCell ref="FJ3:GB3"/>
    <mergeCell ref="GC3:GU3"/>
    <mergeCell ref="GV3:HN3"/>
    <mergeCell ref="HO3:IG3"/>
    <mergeCell ref="IH3:IZ3"/>
    <mergeCell ref="JA3:JS3"/>
    <mergeCell ref="AZ3:BR3"/>
    <mergeCell ref="BS3:CK3"/>
    <mergeCell ref="CL3:DD3"/>
    <mergeCell ref="DE3:DW3"/>
    <mergeCell ref="DX3:EP3"/>
    <mergeCell ref="EQ3:F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A9C8-E6A5-450A-A4DF-E060CDE43080}">
  <dimension ref="A1:IL36"/>
  <sheetViews>
    <sheetView workbookViewId="0">
      <pane xSplit="13" ySplit="6" topLeftCell="N7" activePane="bottomRight" state="frozen"/>
      <selection activeCell="A8" sqref="A8"/>
      <selection pane="topRight" activeCell="A8" sqref="A8"/>
      <selection pane="bottomLeft" activeCell="A8" sqref="A8"/>
      <selection pane="bottomRight" activeCell="N7" sqref="N7"/>
    </sheetView>
  </sheetViews>
  <sheetFormatPr defaultColWidth="0" defaultRowHeight="15" x14ac:dyDescent="0.25"/>
  <cols>
    <col min="1" max="1" width="10" customWidth="1"/>
    <col min="2" max="2" width="25.5703125" bestFit="1" customWidth="1"/>
    <col min="3" max="3" width="10.42578125" customWidth="1"/>
    <col min="4" max="4" width="24" customWidth="1"/>
    <col min="5" max="9" width="0" hidden="1" customWidth="1"/>
    <col min="10" max="10" width="9.140625" customWidth="1"/>
    <col min="11" max="12" width="0" hidden="1" customWidth="1"/>
    <col min="13" max="223" width="9.140625" customWidth="1"/>
    <col min="224" max="224" width="9.140625" hidden="1"/>
    <col min="247" max="16384" width="9.140625" hidden="1"/>
  </cols>
  <sheetData>
    <row r="1" spans="1:222" x14ac:dyDescent="0.25">
      <c r="A1" s="1" t="s">
        <v>521</v>
      </c>
    </row>
    <row r="2" spans="1:222" x14ac:dyDescent="0.25">
      <c r="A2" s="1" t="s">
        <v>1</v>
      </c>
      <c r="N2" s="22" t="s">
        <v>522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 t="s">
        <v>4</v>
      </c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 t="s">
        <v>5</v>
      </c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 t="s">
        <v>6</v>
      </c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 t="s">
        <v>7</v>
      </c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 t="s">
        <v>8</v>
      </c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 t="s">
        <v>9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 t="s">
        <v>10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 t="s">
        <v>11</v>
      </c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 t="s">
        <v>12</v>
      </c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 t="s">
        <v>13</v>
      </c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 t="s">
        <v>14</v>
      </c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 t="s">
        <v>15</v>
      </c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 t="s">
        <v>16</v>
      </c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 t="s">
        <v>17</v>
      </c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 t="s">
        <v>18</v>
      </c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 t="s">
        <v>19</v>
      </c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 t="s">
        <v>20</v>
      </c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 t="s">
        <v>523</v>
      </c>
      <c r="HE2" s="22"/>
      <c r="HF2" s="22"/>
      <c r="HG2" s="22"/>
      <c r="HH2" s="22"/>
      <c r="HI2" s="22"/>
      <c r="HJ2" s="22"/>
      <c r="HK2" s="22"/>
      <c r="HL2" s="22"/>
      <c r="HM2" s="22"/>
      <c r="HN2" s="22"/>
    </row>
    <row r="3" spans="1:222" x14ac:dyDescent="0.25">
      <c r="A3" s="17" t="s">
        <v>524</v>
      </c>
      <c r="N3" s="12" t="s">
        <v>525</v>
      </c>
      <c r="O3" s="12"/>
      <c r="P3" s="12" t="s">
        <v>526</v>
      </c>
      <c r="Q3" s="12"/>
      <c r="R3" s="12" t="s">
        <v>527</v>
      </c>
      <c r="S3" s="12"/>
      <c r="T3" s="12" t="s">
        <v>528</v>
      </c>
      <c r="U3" s="12"/>
      <c r="V3" s="13" t="s">
        <v>30</v>
      </c>
      <c r="W3" s="14"/>
      <c r="X3" s="15"/>
      <c r="Y3" s="12" t="s">
        <v>525</v>
      </c>
      <c r="Z3" s="12"/>
      <c r="AA3" s="12" t="s">
        <v>526</v>
      </c>
      <c r="AB3" s="12"/>
      <c r="AC3" s="12" t="s">
        <v>527</v>
      </c>
      <c r="AD3" s="12"/>
      <c r="AE3" s="12" t="s">
        <v>528</v>
      </c>
      <c r="AF3" s="12"/>
      <c r="AG3" s="13" t="s">
        <v>30</v>
      </c>
      <c r="AH3" s="14"/>
      <c r="AI3" s="15"/>
      <c r="AJ3" s="12" t="s">
        <v>525</v>
      </c>
      <c r="AK3" s="12"/>
      <c r="AL3" s="12" t="s">
        <v>526</v>
      </c>
      <c r="AM3" s="12"/>
      <c r="AN3" s="12" t="s">
        <v>527</v>
      </c>
      <c r="AO3" s="12"/>
      <c r="AP3" s="12" t="s">
        <v>528</v>
      </c>
      <c r="AQ3" s="12"/>
      <c r="AR3" s="13" t="s">
        <v>30</v>
      </c>
      <c r="AS3" s="14"/>
      <c r="AT3" s="15"/>
      <c r="AU3" s="12" t="s">
        <v>525</v>
      </c>
      <c r="AV3" s="12"/>
      <c r="AW3" s="12" t="s">
        <v>526</v>
      </c>
      <c r="AX3" s="12"/>
      <c r="AY3" s="12" t="s">
        <v>527</v>
      </c>
      <c r="AZ3" s="12"/>
      <c r="BA3" s="12" t="s">
        <v>528</v>
      </c>
      <c r="BB3" s="12"/>
      <c r="BC3" s="13" t="s">
        <v>30</v>
      </c>
      <c r="BD3" s="14"/>
      <c r="BE3" s="15"/>
      <c r="BF3" s="12" t="s">
        <v>525</v>
      </c>
      <c r="BG3" s="12"/>
      <c r="BH3" s="12" t="s">
        <v>526</v>
      </c>
      <c r="BI3" s="12"/>
      <c r="BJ3" s="12" t="s">
        <v>527</v>
      </c>
      <c r="BK3" s="12"/>
      <c r="BL3" s="12" t="s">
        <v>528</v>
      </c>
      <c r="BM3" s="12"/>
      <c r="BN3" s="13" t="s">
        <v>30</v>
      </c>
      <c r="BO3" s="14"/>
      <c r="BP3" s="15"/>
      <c r="BQ3" s="12" t="s">
        <v>525</v>
      </c>
      <c r="BR3" s="12"/>
      <c r="BS3" s="12" t="s">
        <v>526</v>
      </c>
      <c r="BT3" s="12"/>
      <c r="BU3" s="12" t="s">
        <v>527</v>
      </c>
      <c r="BV3" s="12"/>
      <c r="BW3" s="12" t="s">
        <v>528</v>
      </c>
      <c r="BX3" s="12"/>
      <c r="BY3" s="13" t="s">
        <v>30</v>
      </c>
      <c r="BZ3" s="14"/>
      <c r="CA3" s="15"/>
      <c r="CB3" s="12" t="s">
        <v>525</v>
      </c>
      <c r="CC3" s="12"/>
      <c r="CD3" s="12" t="s">
        <v>526</v>
      </c>
      <c r="CE3" s="12"/>
      <c r="CF3" s="12" t="s">
        <v>527</v>
      </c>
      <c r="CG3" s="12"/>
      <c r="CH3" s="12" t="s">
        <v>528</v>
      </c>
      <c r="CI3" s="12"/>
      <c r="CJ3" s="13" t="s">
        <v>30</v>
      </c>
      <c r="CK3" s="14"/>
      <c r="CL3" s="15"/>
      <c r="CM3" s="12" t="s">
        <v>525</v>
      </c>
      <c r="CN3" s="12"/>
      <c r="CO3" s="12" t="s">
        <v>526</v>
      </c>
      <c r="CP3" s="12"/>
      <c r="CQ3" s="12" t="s">
        <v>527</v>
      </c>
      <c r="CR3" s="12"/>
      <c r="CS3" s="12" t="s">
        <v>528</v>
      </c>
      <c r="CT3" s="12"/>
      <c r="CU3" s="13" t="s">
        <v>30</v>
      </c>
      <c r="CV3" s="14"/>
      <c r="CW3" s="15"/>
      <c r="CX3" s="12" t="s">
        <v>525</v>
      </c>
      <c r="CY3" s="12"/>
      <c r="CZ3" s="12" t="s">
        <v>526</v>
      </c>
      <c r="DA3" s="12"/>
      <c r="DB3" s="12" t="s">
        <v>527</v>
      </c>
      <c r="DC3" s="12"/>
      <c r="DD3" s="12" t="s">
        <v>528</v>
      </c>
      <c r="DE3" s="12"/>
      <c r="DF3" s="13" t="s">
        <v>30</v>
      </c>
      <c r="DG3" s="14"/>
      <c r="DH3" s="15"/>
      <c r="DI3" s="12" t="s">
        <v>525</v>
      </c>
      <c r="DJ3" s="12"/>
      <c r="DK3" s="12" t="s">
        <v>526</v>
      </c>
      <c r="DL3" s="12"/>
      <c r="DM3" s="12" t="s">
        <v>527</v>
      </c>
      <c r="DN3" s="12"/>
      <c r="DO3" s="12" t="s">
        <v>528</v>
      </c>
      <c r="DP3" s="12"/>
      <c r="DQ3" s="13" t="s">
        <v>30</v>
      </c>
      <c r="DR3" s="14"/>
      <c r="DS3" s="15"/>
      <c r="DT3" s="12" t="s">
        <v>525</v>
      </c>
      <c r="DU3" s="12"/>
      <c r="DV3" s="12" t="s">
        <v>526</v>
      </c>
      <c r="DW3" s="12"/>
      <c r="DX3" s="12" t="s">
        <v>527</v>
      </c>
      <c r="DY3" s="12"/>
      <c r="DZ3" s="12" t="s">
        <v>528</v>
      </c>
      <c r="EA3" s="12"/>
      <c r="EB3" s="13" t="s">
        <v>30</v>
      </c>
      <c r="EC3" s="14"/>
      <c r="ED3" s="15"/>
      <c r="EE3" s="12" t="s">
        <v>525</v>
      </c>
      <c r="EF3" s="12"/>
      <c r="EG3" s="12" t="s">
        <v>526</v>
      </c>
      <c r="EH3" s="12"/>
      <c r="EI3" s="12" t="s">
        <v>527</v>
      </c>
      <c r="EJ3" s="12"/>
      <c r="EK3" s="12" t="s">
        <v>528</v>
      </c>
      <c r="EL3" s="12"/>
      <c r="EM3" s="13" t="s">
        <v>30</v>
      </c>
      <c r="EN3" s="14"/>
      <c r="EO3" s="15"/>
      <c r="EP3" s="12" t="s">
        <v>525</v>
      </c>
      <c r="EQ3" s="12"/>
      <c r="ER3" s="12" t="s">
        <v>526</v>
      </c>
      <c r="ES3" s="12"/>
      <c r="ET3" s="12" t="s">
        <v>527</v>
      </c>
      <c r="EU3" s="12"/>
      <c r="EV3" s="12" t="s">
        <v>528</v>
      </c>
      <c r="EW3" s="12"/>
      <c r="EX3" s="13" t="s">
        <v>30</v>
      </c>
      <c r="EY3" s="14"/>
      <c r="EZ3" s="15"/>
      <c r="FA3" s="12" t="s">
        <v>525</v>
      </c>
      <c r="FB3" s="12"/>
      <c r="FC3" s="12" t="s">
        <v>526</v>
      </c>
      <c r="FD3" s="12"/>
      <c r="FE3" s="12" t="s">
        <v>527</v>
      </c>
      <c r="FF3" s="12"/>
      <c r="FG3" s="12" t="s">
        <v>528</v>
      </c>
      <c r="FH3" s="12"/>
      <c r="FI3" s="13" t="s">
        <v>30</v>
      </c>
      <c r="FJ3" s="14"/>
      <c r="FK3" s="15"/>
      <c r="FL3" s="12" t="s">
        <v>525</v>
      </c>
      <c r="FM3" s="12"/>
      <c r="FN3" s="12" t="s">
        <v>526</v>
      </c>
      <c r="FO3" s="12"/>
      <c r="FP3" s="12" t="s">
        <v>527</v>
      </c>
      <c r="FQ3" s="12"/>
      <c r="FR3" s="12" t="s">
        <v>528</v>
      </c>
      <c r="FS3" s="12"/>
      <c r="FT3" s="13" t="s">
        <v>30</v>
      </c>
      <c r="FU3" s="14"/>
      <c r="FV3" s="15"/>
      <c r="FW3" s="12" t="s">
        <v>525</v>
      </c>
      <c r="FX3" s="12"/>
      <c r="FY3" s="12" t="s">
        <v>526</v>
      </c>
      <c r="FZ3" s="12"/>
      <c r="GA3" s="12" t="s">
        <v>527</v>
      </c>
      <c r="GB3" s="12"/>
      <c r="GC3" s="12" t="s">
        <v>528</v>
      </c>
      <c r="GD3" s="12"/>
      <c r="GE3" s="13" t="s">
        <v>30</v>
      </c>
      <c r="GF3" s="14"/>
      <c r="GG3" s="15"/>
      <c r="GH3" s="12" t="s">
        <v>525</v>
      </c>
      <c r="GI3" s="12"/>
      <c r="GJ3" s="12" t="s">
        <v>526</v>
      </c>
      <c r="GK3" s="12"/>
      <c r="GL3" s="12" t="s">
        <v>527</v>
      </c>
      <c r="GM3" s="12"/>
      <c r="GN3" s="12" t="s">
        <v>528</v>
      </c>
      <c r="GO3" s="12"/>
      <c r="GP3" s="13" t="s">
        <v>30</v>
      </c>
      <c r="GQ3" s="14"/>
      <c r="GR3" s="15"/>
      <c r="GS3" s="12" t="s">
        <v>525</v>
      </c>
      <c r="GT3" s="12"/>
      <c r="GU3" s="12" t="s">
        <v>526</v>
      </c>
      <c r="GV3" s="12"/>
      <c r="GW3" s="12" t="s">
        <v>527</v>
      </c>
      <c r="GX3" s="12"/>
      <c r="GY3" s="12" t="s">
        <v>528</v>
      </c>
      <c r="GZ3" s="12"/>
      <c r="HA3" s="13" t="s">
        <v>30</v>
      </c>
      <c r="HB3" s="14"/>
      <c r="HC3" s="15"/>
      <c r="HD3" s="12" t="s">
        <v>525</v>
      </c>
      <c r="HE3" s="12"/>
      <c r="HF3" s="12" t="s">
        <v>526</v>
      </c>
      <c r="HG3" s="12"/>
      <c r="HH3" s="12" t="s">
        <v>527</v>
      </c>
      <c r="HI3" s="12"/>
      <c r="HJ3" s="12" t="s">
        <v>528</v>
      </c>
      <c r="HK3" s="12"/>
      <c r="HL3" s="13" t="s">
        <v>30</v>
      </c>
      <c r="HM3" s="14"/>
      <c r="HN3" s="15"/>
    </row>
    <row r="4" spans="1:222" x14ac:dyDescent="0.25">
      <c r="N4" s="8" t="s">
        <v>31</v>
      </c>
      <c r="O4" s="8" t="s">
        <v>32</v>
      </c>
      <c r="P4" s="8" t="s">
        <v>31</v>
      </c>
      <c r="Q4" s="8" t="s">
        <v>32</v>
      </c>
      <c r="R4" s="8" t="s">
        <v>31</v>
      </c>
      <c r="S4" s="8" t="s">
        <v>32</v>
      </c>
      <c r="T4" s="8" t="s">
        <v>31</v>
      </c>
      <c r="U4" s="8" t="s">
        <v>32</v>
      </c>
      <c r="V4" s="8" t="s">
        <v>31</v>
      </c>
      <c r="W4" s="8" t="s">
        <v>32</v>
      </c>
      <c r="X4" s="8" t="s">
        <v>33</v>
      </c>
      <c r="Y4" s="8" t="s">
        <v>31</v>
      </c>
      <c r="Z4" s="8" t="s">
        <v>32</v>
      </c>
      <c r="AA4" s="8" t="s">
        <v>31</v>
      </c>
      <c r="AB4" s="8" t="s">
        <v>32</v>
      </c>
      <c r="AC4" s="8" t="s">
        <v>31</v>
      </c>
      <c r="AD4" s="8" t="s">
        <v>32</v>
      </c>
      <c r="AE4" s="8" t="s">
        <v>31</v>
      </c>
      <c r="AF4" s="8" t="s">
        <v>32</v>
      </c>
      <c r="AG4" s="8" t="s">
        <v>31</v>
      </c>
      <c r="AH4" s="8" t="s">
        <v>32</v>
      </c>
      <c r="AI4" s="8" t="s">
        <v>33</v>
      </c>
      <c r="AJ4" s="8" t="s">
        <v>31</v>
      </c>
      <c r="AK4" s="8" t="s">
        <v>32</v>
      </c>
      <c r="AL4" s="8" t="s">
        <v>31</v>
      </c>
      <c r="AM4" s="8" t="s">
        <v>32</v>
      </c>
      <c r="AN4" s="8" t="s">
        <v>31</v>
      </c>
      <c r="AO4" s="8" t="s">
        <v>32</v>
      </c>
      <c r="AP4" s="8" t="s">
        <v>31</v>
      </c>
      <c r="AQ4" s="8" t="s">
        <v>32</v>
      </c>
      <c r="AR4" s="8" t="s">
        <v>31</v>
      </c>
      <c r="AS4" s="8" t="s">
        <v>32</v>
      </c>
      <c r="AT4" s="8" t="s">
        <v>33</v>
      </c>
      <c r="AU4" s="8" t="s">
        <v>31</v>
      </c>
      <c r="AV4" s="8" t="s">
        <v>32</v>
      </c>
      <c r="AW4" s="8" t="s">
        <v>31</v>
      </c>
      <c r="AX4" s="8" t="s">
        <v>32</v>
      </c>
      <c r="AY4" s="8" t="s">
        <v>31</v>
      </c>
      <c r="AZ4" s="8" t="s">
        <v>32</v>
      </c>
      <c r="BA4" s="8" t="s">
        <v>31</v>
      </c>
      <c r="BB4" s="8" t="s">
        <v>32</v>
      </c>
      <c r="BC4" s="8" t="s">
        <v>31</v>
      </c>
      <c r="BD4" s="8" t="s">
        <v>32</v>
      </c>
      <c r="BE4" s="8" t="s">
        <v>33</v>
      </c>
      <c r="BF4" s="8" t="s">
        <v>31</v>
      </c>
      <c r="BG4" s="8" t="s">
        <v>32</v>
      </c>
      <c r="BH4" s="8" t="s">
        <v>31</v>
      </c>
      <c r="BI4" s="8" t="s">
        <v>32</v>
      </c>
      <c r="BJ4" s="8" t="s">
        <v>31</v>
      </c>
      <c r="BK4" s="8" t="s">
        <v>32</v>
      </c>
      <c r="BL4" s="8" t="s">
        <v>31</v>
      </c>
      <c r="BM4" s="8" t="s">
        <v>32</v>
      </c>
      <c r="BN4" s="8" t="s">
        <v>31</v>
      </c>
      <c r="BO4" s="8" t="s">
        <v>32</v>
      </c>
      <c r="BP4" s="8" t="s">
        <v>33</v>
      </c>
      <c r="BQ4" s="8" t="s">
        <v>31</v>
      </c>
      <c r="BR4" s="8" t="s">
        <v>32</v>
      </c>
      <c r="BS4" s="8" t="s">
        <v>31</v>
      </c>
      <c r="BT4" s="8" t="s">
        <v>32</v>
      </c>
      <c r="BU4" s="8" t="s">
        <v>31</v>
      </c>
      <c r="BV4" s="8" t="s">
        <v>32</v>
      </c>
      <c r="BW4" s="8" t="s">
        <v>31</v>
      </c>
      <c r="BX4" s="8" t="s">
        <v>32</v>
      </c>
      <c r="BY4" s="8" t="s">
        <v>31</v>
      </c>
      <c r="BZ4" s="8" t="s">
        <v>32</v>
      </c>
      <c r="CA4" s="8" t="s">
        <v>33</v>
      </c>
      <c r="CB4" s="8" t="s">
        <v>31</v>
      </c>
      <c r="CC4" s="8" t="s">
        <v>32</v>
      </c>
      <c r="CD4" s="8" t="s">
        <v>31</v>
      </c>
      <c r="CE4" s="8" t="s">
        <v>32</v>
      </c>
      <c r="CF4" s="8" t="s">
        <v>31</v>
      </c>
      <c r="CG4" s="8" t="s">
        <v>32</v>
      </c>
      <c r="CH4" s="8" t="s">
        <v>31</v>
      </c>
      <c r="CI4" s="8" t="s">
        <v>32</v>
      </c>
      <c r="CJ4" s="8" t="s">
        <v>31</v>
      </c>
      <c r="CK4" s="8" t="s">
        <v>32</v>
      </c>
      <c r="CL4" s="8" t="s">
        <v>33</v>
      </c>
      <c r="CM4" s="8" t="s">
        <v>31</v>
      </c>
      <c r="CN4" s="8" t="s">
        <v>32</v>
      </c>
      <c r="CO4" s="8" t="s">
        <v>31</v>
      </c>
      <c r="CP4" s="8" t="s">
        <v>32</v>
      </c>
      <c r="CQ4" s="8" t="s">
        <v>31</v>
      </c>
      <c r="CR4" s="8" t="s">
        <v>32</v>
      </c>
      <c r="CS4" s="8" t="s">
        <v>31</v>
      </c>
      <c r="CT4" s="8" t="s">
        <v>32</v>
      </c>
      <c r="CU4" s="8" t="s">
        <v>31</v>
      </c>
      <c r="CV4" s="8" t="s">
        <v>32</v>
      </c>
      <c r="CW4" s="8" t="s">
        <v>33</v>
      </c>
      <c r="CX4" s="8" t="s">
        <v>31</v>
      </c>
      <c r="CY4" s="8" t="s">
        <v>32</v>
      </c>
      <c r="CZ4" s="8" t="s">
        <v>31</v>
      </c>
      <c r="DA4" s="8" t="s">
        <v>32</v>
      </c>
      <c r="DB4" s="8" t="s">
        <v>31</v>
      </c>
      <c r="DC4" s="8" t="s">
        <v>32</v>
      </c>
      <c r="DD4" s="8" t="s">
        <v>31</v>
      </c>
      <c r="DE4" s="8" t="s">
        <v>32</v>
      </c>
      <c r="DF4" s="8" t="s">
        <v>31</v>
      </c>
      <c r="DG4" s="8" t="s">
        <v>32</v>
      </c>
      <c r="DH4" s="8" t="s">
        <v>33</v>
      </c>
      <c r="DI4" s="8" t="s">
        <v>31</v>
      </c>
      <c r="DJ4" s="8" t="s">
        <v>32</v>
      </c>
      <c r="DK4" s="8" t="s">
        <v>31</v>
      </c>
      <c r="DL4" s="8" t="s">
        <v>32</v>
      </c>
      <c r="DM4" s="8" t="s">
        <v>31</v>
      </c>
      <c r="DN4" s="8" t="s">
        <v>32</v>
      </c>
      <c r="DO4" s="8" t="s">
        <v>31</v>
      </c>
      <c r="DP4" s="8" t="s">
        <v>32</v>
      </c>
      <c r="DQ4" s="8" t="s">
        <v>31</v>
      </c>
      <c r="DR4" s="8" t="s">
        <v>32</v>
      </c>
      <c r="DS4" s="8" t="s">
        <v>33</v>
      </c>
      <c r="DT4" s="8" t="s">
        <v>31</v>
      </c>
      <c r="DU4" s="8" t="s">
        <v>32</v>
      </c>
      <c r="DV4" s="8" t="s">
        <v>31</v>
      </c>
      <c r="DW4" s="8" t="s">
        <v>32</v>
      </c>
      <c r="DX4" s="8" t="s">
        <v>31</v>
      </c>
      <c r="DY4" s="8" t="s">
        <v>32</v>
      </c>
      <c r="DZ4" s="8" t="s">
        <v>31</v>
      </c>
      <c r="EA4" s="8" t="s">
        <v>32</v>
      </c>
      <c r="EB4" s="8" t="s">
        <v>31</v>
      </c>
      <c r="EC4" s="8" t="s">
        <v>32</v>
      </c>
      <c r="ED4" s="8" t="s">
        <v>33</v>
      </c>
      <c r="EE4" s="8" t="s">
        <v>31</v>
      </c>
      <c r="EF4" s="8" t="s">
        <v>32</v>
      </c>
      <c r="EG4" s="8" t="s">
        <v>31</v>
      </c>
      <c r="EH4" s="8" t="s">
        <v>32</v>
      </c>
      <c r="EI4" s="8" t="s">
        <v>31</v>
      </c>
      <c r="EJ4" s="8" t="s">
        <v>32</v>
      </c>
      <c r="EK4" s="8" t="s">
        <v>31</v>
      </c>
      <c r="EL4" s="8" t="s">
        <v>32</v>
      </c>
      <c r="EM4" s="8" t="s">
        <v>31</v>
      </c>
      <c r="EN4" s="8" t="s">
        <v>32</v>
      </c>
      <c r="EO4" s="8" t="s">
        <v>33</v>
      </c>
      <c r="EP4" s="8" t="s">
        <v>31</v>
      </c>
      <c r="EQ4" s="8" t="s">
        <v>32</v>
      </c>
      <c r="ER4" s="8" t="s">
        <v>31</v>
      </c>
      <c r="ES4" s="8" t="s">
        <v>32</v>
      </c>
      <c r="ET4" s="8" t="s">
        <v>31</v>
      </c>
      <c r="EU4" s="8" t="s">
        <v>32</v>
      </c>
      <c r="EV4" s="8" t="s">
        <v>31</v>
      </c>
      <c r="EW4" s="8" t="s">
        <v>32</v>
      </c>
      <c r="EX4" s="8" t="s">
        <v>31</v>
      </c>
      <c r="EY4" s="8" t="s">
        <v>32</v>
      </c>
      <c r="EZ4" s="8" t="s">
        <v>33</v>
      </c>
      <c r="FA4" s="8" t="s">
        <v>31</v>
      </c>
      <c r="FB4" s="8" t="s">
        <v>32</v>
      </c>
      <c r="FC4" s="8" t="s">
        <v>31</v>
      </c>
      <c r="FD4" s="8" t="s">
        <v>32</v>
      </c>
      <c r="FE4" s="8" t="s">
        <v>31</v>
      </c>
      <c r="FF4" s="8" t="s">
        <v>32</v>
      </c>
      <c r="FG4" s="8" t="s">
        <v>31</v>
      </c>
      <c r="FH4" s="8" t="s">
        <v>32</v>
      </c>
      <c r="FI4" s="8" t="s">
        <v>31</v>
      </c>
      <c r="FJ4" s="8" t="s">
        <v>32</v>
      </c>
      <c r="FK4" s="8" t="s">
        <v>33</v>
      </c>
      <c r="FL4" s="8" t="s">
        <v>31</v>
      </c>
      <c r="FM4" s="8" t="s">
        <v>32</v>
      </c>
      <c r="FN4" s="8" t="s">
        <v>31</v>
      </c>
      <c r="FO4" s="8" t="s">
        <v>32</v>
      </c>
      <c r="FP4" s="8" t="s">
        <v>31</v>
      </c>
      <c r="FQ4" s="8" t="s">
        <v>32</v>
      </c>
      <c r="FR4" s="8" t="s">
        <v>31</v>
      </c>
      <c r="FS4" s="8" t="s">
        <v>32</v>
      </c>
      <c r="FT4" s="8" t="s">
        <v>31</v>
      </c>
      <c r="FU4" s="8" t="s">
        <v>32</v>
      </c>
      <c r="FV4" s="8" t="s">
        <v>33</v>
      </c>
      <c r="FW4" s="8" t="s">
        <v>31</v>
      </c>
      <c r="FX4" s="8" t="s">
        <v>32</v>
      </c>
      <c r="FY4" s="8" t="s">
        <v>31</v>
      </c>
      <c r="FZ4" s="8" t="s">
        <v>32</v>
      </c>
      <c r="GA4" s="8" t="s">
        <v>31</v>
      </c>
      <c r="GB4" s="8" t="s">
        <v>32</v>
      </c>
      <c r="GC4" s="8" t="s">
        <v>31</v>
      </c>
      <c r="GD4" s="8" t="s">
        <v>32</v>
      </c>
      <c r="GE4" s="8" t="s">
        <v>31</v>
      </c>
      <c r="GF4" s="8" t="s">
        <v>32</v>
      </c>
      <c r="GG4" s="8" t="s">
        <v>33</v>
      </c>
      <c r="GH4" s="8" t="s">
        <v>31</v>
      </c>
      <c r="GI4" s="8" t="s">
        <v>32</v>
      </c>
      <c r="GJ4" s="8" t="s">
        <v>31</v>
      </c>
      <c r="GK4" s="8" t="s">
        <v>32</v>
      </c>
      <c r="GL4" s="8" t="s">
        <v>31</v>
      </c>
      <c r="GM4" s="8" t="s">
        <v>32</v>
      </c>
      <c r="GN4" s="8" t="s">
        <v>31</v>
      </c>
      <c r="GO4" s="8" t="s">
        <v>32</v>
      </c>
      <c r="GP4" s="8" t="s">
        <v>31</v>
      </c>
      <c r="GQ4" s="8" t="s">
        <v>32</v>
      </c>
      <c r="GR4" s="8" t="s">
        <v>33</v>
      </c>
      <c r="GS4" s="8" t="s">
        <v>31</v>
      </c>
      <c r="GT4" s="8" t="s">
        <v>32</v>
      </c>
      <c r="GU4" s="8" t="s">
        <v>31</v>
      </c>
      <c r="GV4" s="8" t="s">
        <v>32</v>
      </c>
      <c r="GW4" s="8" t="s">
        <v>31</v>
      </c>
      <c r="GX4" s="8" t="s">
        <v>32</v>
      </c>
      <c r="GY4" s="8" t="s">
        <v>31</v>
      </c>
      <c r="GZ4" s="8" t="s">
        <v>32</v>
      </c>
      <c r="HA4" s="8" t="s">
        <v>31</v>
      </c>
      <c r="HB4" s="8" t="s">
        <v>32</v>
      </c>
      <c r="HC4" s="8" t="s">
        <v>33</v>
      </c>
      <c r="HD4" s="8" t="s">
        <v>31</v>
      </c>
      <c r="HE4" s="8" t="s">
        <v>32</v>
      </c>
      <c r="HF4" s="8" t="s">
        <v>31</v>
      </c>
      <c r="HG4" s="8" t="s">
        <v>32</v>
      </c>
      <c r="HH4" s="8" t="s">
        <v>31</v>
      </c>
      <c r="HI4" s="8" t="s">
        <v>32</v>
      </c>
      <c r="HJ4" s="8" t="s">
        <v>31</v>
      </c>
      <c r="HK4" s="8" t="s">
        <v>32</v>
      </c>
      <c r="HL4" s="8" t="s">
        <v>31</v>
      </c>
      <c r="HM4" s="8" t="s">
        <v>32</v>
      </c>
      <c r="HN4" s="8" t="s">
        <v>33</v>
      </c>
    </row>
    <row r="5" spans="1:222" x14ac:dyDescent="0.25">
      <c r="N5">
        <f>SUM(N7:N36)</f>
        <v>3</v>
      </c>
      <c r="O5">
        <f>SUM(O7:O36)</f>
        <v>1</v>
      </c>
      <c r="P5">
        <f>SUM(P7:P36)</f>
        <v>0</v>
      </c>
      <c r="Q5">
        <f>SUM(Q7:Q36)</f>
        <v>0</v>
      </c>
      <c r="R5">
        <f>SUM(R7:R36)</f>
        <v>0</v>
      </c>
      <c r="S5">
        <f>SUM(S7:S36)</f>
        <v>0</v>
      </c>
      <c r="T5">
        <f>SUM(T7:T36)</f>
        <v>1</v>
      </c>
      <c r="U5">
        <f>SUM(U7:U36)</f>
        <v>0</v>
      </c>
      <c r="V5">
        <f>SUM(V7:V36)</f>
        <v>4</v>
      </c>
      <c r="W5">
        <f>SUM(W7:W36)</f>
        <v>1</v>
      </c>
      <c r="X5">
        <f>SUM(X7:X36)</f>
        <v>5</v>
      </c>
      <c r="Y5">
        <f>SUM(Y7:Y36)</f>
        <v>0</v>
      </c>
      <c r="Z5">
        <f>SUM(Z7:Z36)</f>
        <v>1</v>
      </c>
      <c r="AA5">
        <f>SUM(AA7:AA36)</f>
        <v>1</v>
      </c>
      <c r="AB5">
        <f>SUM(AB7:AB36)</f>
        <v>1</v>
      </c>
      <c r="AC5">
        <f>SUM(AC7:AC36)</f>
        <v>0</v>
      </c>
      <c r="AD5">
        <f>SUM(AD7:AD36)</f>
        <v>3</v>
      </c>
      <c r="AE5">
        <f>SUM(AE7:AE36)</f>
        <v>2</v>
      </c>
      <c r="AF5">
        <f>SUM(AF7:AF36)</f>
        <v>6</v>
      </c>
      <c r="AG5">
        <f>SUM(AG7:AG36)</f>
        <v>3</v>
      </c>
      <c r="AH5">
        <f>SUM(AH7:AH36)</f>
        <v>11</v>
      </c>
      <c r="AI5">
        <f>SUM(AI7:AI36)</f>
        <v>14</v>
      </c>
      <c r="AJ5">
        <f>SUM(AJ7:AJ36)</f>
        <v>0</v>
      </c>
      <c r="AK5">
        <f>SUM(AK7:AK36)</f>
        <v>1</v>
      </c>
      <c r="AL5">
        <f>SUM(AL7:AL36)</f>
        <v>0</v>
      </c>
      <c r="AM5">
        <f>SUM(AM7:AM36)</f>
        <v>0</v>
      </c>
      <c r="AN5">
        <f>SUM(AN7:AN36)</f>
        <v>0</v>
      </c>
      <c r="AO5">
        <f>SUM(AO7:AO36)</f>
        <v>0</v>
      </c>
      <c r="AP5">
        <f>SUM(AP7:AP36)</f>
        <v>0</v>
      </c>
      <c r="AQ5">
        <f>SUM(AQ7:AQ36)</f>
        <v>0</v>
      </c>
      <c r="AR5">
        <f>SUM(AR7:AR36)</f>
        <v>0</v>
      </c>
      <c r="AS5">
        <f>SUM(AS7:AS36)</f>
        <v>1</v>
      </c>
      <c r="AT5">
        <f>SUM(AT7:AT36)</f>
        <v>1</v>
      </c>
      <c r="AU5">
        <f>SUM(AU7:AU36)</f>
        <v>15</v>
      </c>
      <c r="AV5">
        <f>SUM(AV7:AV36)</f>
        <v>5</v>
      </c>
      <c r="AW5">
        <f>SUM(AW7:AW36)</f>
        <v>14</v>
      </c>
      <c r="AX5">
        <f>SUM(AX7:AX36)</f>
        <v>14</v>
      </c>
      <c r="AY5">
        <f>SUM(AY7:AY36)</f>
        <v>8</v>
      </c>
      <c r="AZ5">
        <f>SUM(AZ7:AZ36)</f>
        <v>7</v>
      </c>
      <c r="BA5">
        <f>SUM(BA7:BA36)</f>
        <v>6</v>
      </c>
      <c r="BB5">
        <f>SUM(BB7:BB36)</f>
        <v>11</v>
      </c>
      <c r="BC5">
        <f>SUM(BC7:BC36)</f>
        <v>43</v>
      </c>
      <c r="BD5">
        <f>SUM(BD7:BD36)</f>
        <v>37</v>
      </c>
      <c r="BE5">
        <f>SUM(BE7:BE36)</f>
        <v>80</v>
      </c>
      <c r="BF5">
        <f>SUM(BF7:BF36)</f>
        <v>3</v>
      </c>
      <c r="BG5">
        <f>SUM(BG7:BG36)</f>
        <v>2</v>
      </c>
      <c r="BH5">
        <f>SUM(BH7:BH36)</f>
        <v>10</v>
      </c>
      <c r="BI5">
        <f>SUM(BI7:BI36)</f>
        <v>3</v>
      </c>
      <c r="BJ5">
        <f>SUM(BJ7:BJ36)</f>
        <v>6</v>
      </c>
      <c r="BK5">
        <f>SUM(BK7:BK36)</f>
        <v>1</v>
      </c>
      <c r="BL5">
        <f>SUM(BL7:BL36)</f>
        <v>0</v>
      </c>
      <c r="BM5">
        <f>SUM(BM7:BM36)</f>
        <v>4</v>
      </c>
      <c r="BN5">
        <f>SUM(BN7:BN36)</f>
        <v>19</v>
      </c>
      <c r="BO5">
        <f>SUM(BO7:BO36)</f>
        <v>10</v>
      </c>
      <c r="BP5">
        <f>SUM(BP7:BP36)</f>
        <v>29</v>
      </c>
      <c r="BQ5">
        <f>SUM(BQ7:BQ36)</f>
        <v>1</v>
      </c>
      <c r="BR5">
        <f>SUM(BR7:BR36)</f>
        <v>0</v>
      </c>
      <c r="BS5">
        <f>SUM(BS7:BS36)</f>
        <v>0</v>
      </c>
      <c r="BT5">
        <f>SUM(BT7:BT36)</f>
        <v>0</v>
      </c>
      <c r="BU5">
        <f>SUM(BU7:BU36)</f>
        <v>1</v>
      </c>
      <c r="BV5">
        <f>SUM(BV7:BV36)</f>
        <v>0</v>
      </c>
      <c r="BW5">
        <f>SUM(BW7:BW36)</f>
        <v>0</v>
      </c>
      <c r="BX5">
        <f>SUM(BX7:BX36)</f>
        <v>0</v>
      </c>
      <c r="BY5">
        <f>SUM(BY7:BY36)</f>
        <v>2</v>
      </c>
      <c r="BZ5">
        <f>SUM(BZ7:BZ36)</f>
        <v>0</v>
      </c>
      <c r="CA5">
        <f>SUM(CA7:CA36)</f>
        <v>2</v>
      </c>
      <c r="CB5">
        <f>SUM(CB7:CB36)</f>
        <v>1</v>
      </c>
      <c r="CC5">
        <f>SUM(CC7:CC36)</f>
        <v>0</v>
      </c>
      <c r="CD5">
        <f>SUM(CD7:CD36)</f>
        <v>1</v>
      </c>
      <c r="CE5">
        <f>SUM(CE7:CE36)</f>
        <v>0</v>
      </c>
      <c r="CF5">
        <f>SUM(CF7:CF36)</f>
        <v>0</v>
      </c>
      <c r="CG5">
        <f>SUM(CG7:CG36)</f>
        <v>0</v>
      </c>
      <c r="CH5">
        <f>SUM(CH7:CH36)</f>
        <v>0</v>
      </c>
      <c r="CI5">
        <f>SUM(CI7:CI36)</f>
        <v>0</v>
      </c>
      <c r="CJ5">
        <f>SUM(CJ7:CJ36)</f>
        <v>2</v>
      </c>
      <c r="CK5">
        <f>SUM(CK7:CK36)</f>
        <v>0</v>
      </c>
      <c r="CL5">
        <f>SUM(CL7:CL36)</f>
        <v>2</v>
      </c>
      <c r="CM5">
        <f>SUM(CM7:CM36)</f>
        <v>0</v>
      </c>
      <c r="CN5">
        <f>SUM(CN7:CN36)</f>
        <v>0</v>
      </c>
      <c r="CO5">
        <f>SUM(CO7:CO36)</f>
        <v>0</v>
      </c>
      <c r="CP5">
        <f>SUM(CP7:CP36)</f>
        <v>0</v>
      </c>
      <c r="CQ5">
        <f>SUM(CQ7:CQ36)</f>
        <v>0</v>
      </c>
      <c r="CR5">
        <f>SUM(CR7:CR36)</f>
        <v>0</v>
      </c>
      <c r="CS5">
        <f>SUM(CS7:CS36)</f>
        <v>0</v>
      </c>
      <c r="CT5">
        <f>SUM(CT7:CT36)</f>
        <v>0</v>
      </c>
      <c r="CU5">
        <f>SUM(CU7:CU36)</f>
        <v>0</v>
      </c>
      <c r="CV5">
        <f>SUM(CV7:CV36)</f>
        <v>0</v>
      </c>
      <c r="CW5">
        <f>SUM(CW7:CW36)</f>
        <v>0</v>
      </c>
      <c r="CX5">
        <f>SUM(CX7:CX36)</f>
        <v>1</v>
      </c>
      <c r="CY5">
        <f>SUM(CY7:CY36)</f>
        <v>0</v>
      </c>
      <c r="CZ5">
        <f>SUM(CZ7:CZ36)</f>
        <v>2</v>
      </c>
      <c r="DA5">
        <f>SUM(DA7:DA36)</f>
        <v>0</v>
      </c>
      <c r="DB5">
        <f>SUM(DB7:DB36)</f>
        <v>3</v>
      </c>
      <c r="DC5">
        <f>SUM(DC7:DC36)</f>
        <v>0</v>
      </c>
      <c r="DD5">
        <f>SUM(DD7:DD36)</f>
        <v>0</v>
      </c>
      <c r="DE5">
        <f>SUM(DE7:DE36)</f>
        <v>0</v>
      </c>
      <c r="DF5">
        <f>SUM(DF7:DF36)</f>
        <v>6</v>
      </c>
      <c r="DG5">
        <f>SUM(DG7:DG36)</f>
        <v>0</v>
      </c>
      <c r="DH5">
        <f>SUM(DH7:DH36)</f>
        <v>6</v>
      </c>
      <c r="DI5">
        <f>SUM(DI7:DI36)</f>
        <v>58</v>
      </c>
      <c r="DJ5">
        <f>SUM(DJ7:DJ36)</f>
        <v>11</v>
      </c>
      <c r="DK5">
        <f>SUM(DK7:DK36)</f>
        <v>48</v>
      </c>
      <c r="DL5">
        <f>SUM(DL7:DL36)</f>
        <v>11</v>
      </c>
      <c r="DM5">
        <f>SUM(DM7:DM36)</f>
        <v>26</v>
      </c>
      <c r="DN5">
        <f>SUM(DN7:DN36)</f>
        <v>19</v>
      </c>
      <c r="DO5">
        <f>SUM(DO7:DO36)</f>
        <v>19</v>
      </c>
      <c r="DP5">
        <f>SUM(DP7:DP36)</f>
        <v>7</v>
      </c>
      <c r="DQ5">
        <f>SUM(DQ7:DQ36)</f>
        <v>151</v>
      </c>
      <c r="DR5">
        <f>SUM(DR7:DR36)</f>
        <v>48</v>
      </c>
      <c r="DS5">
        <f>SUM(DS7:DS36)</f>
        <v>199</v>
      </c>
      <c r="DT5">
        <f>SUM(DT7:DT36)</f>
        <v>1</v>
      </c>
      <c r="DU5">
        <f>SUM(DU7:DU36)</f>
        <v>0</v>
      </c>
      <c r="DV5">
        <f>SUM(DV7:DV36)</f>
        <v>0</v>
      </c>
      <c r="DW5">
        <f>SUM(DW7:DW36)</f>
        <v>0</v>
      </c>
      <c r="DX5">
        <f>SUM(DX7:DX36)</f>
        <v>0</v>
      </c>
      <c r="DY5">
        <f>SUM(DY7:DY36)</f>
        <v>0</v>
      </c>
      <c r="DZ5">
        <f>SUM(DZ7:DZ36)</f>
        <v>0</v>
      </c>
      <c r="EA5">
        <f>SUM(EA7:EA36)</f>
        <v>0</v>
      </c>
      <c r="EB5">
        <f>SUM(EB7:EB36)</f>
        <v>1</v>
      </c>
      <c r="EC5">
        <f>SUM(EC7:EC36)</f>
        <v>0</v>
      </c>
      <c r="ED5">
        <f>SUM(ED7:ED36)</f>
        <v>1</v>
      </c>
      <c r="EE5">
        <f>SUM(EE7:EE36)</f>
        <v>0</v>
      </c>
      <c r="EF5">
        <f>SUM(EF7:EF36)</f>
        <v>0</v>
      </c>
      <c r="EG5">
        <f>SUM(EG7:EG36)</f>
        <v>0</v>
      </c>
      <c r="EH5">
        <f>SUM(EH7:EH36)</f>
        <v>0</v>
      </c>
      <c r="EI5">
        <f>SUM(EI7:EI36)</f>
        <v>0</v>
      </c>
      <c r="EJ5">
        <f>SUM(EJ7:EJ36)</f>
        <v>0</v>
      </c>
      <c r="EK5">
        <f>SUM(EK7:EK36)</f>
        <v>0</v>
      </c>
      <c r="EL5">
        <f>SUM(EL7:EL36)</f>
        <v>0</v>
      </c>
      <c r="EM5">
        <f>SUM(EM7:EM36)</f>
        <v>0</v>
      </c>
      <c r="EN5">
        <f>SUM(EN7:EN36)</f>
        <v>0</v>
      </c>
      <c r="EO5">
        <f>SUM(EO7:EO36)</f>
        <v>0</v>
      </c>
      <c r="EP5">
        <f>SUM(EP7:EP36)</f>
        <v>0</v>
      </c>
      <c r="EQ5">
        <f>SUM(EQ7:EQ36)</f>
        <v>0</v>
      </c>
      <c r="ER5">
        <f>SUM(ER7:ER36)</f>
        <v>0</v>
      </c>
      <c r="ES5">
        <f>SUM(ES7:ES36)</f>
        <v>0</v>
      </c>
      <c r="ET5">
        <f>SUM(ET7:ET36)</f>
        <v>0</v>
      </c>
      <c r="EU5">
        <f>SUM(EU7:EU36)</f>
        <v>0</v>
      </c>
      <c r="EV5">
        <f>SUM(EV7:EV36)</f>
        <v>0</v>
      </c>
      <c r="EW5">
        <f>SUM(EW7:EW36)</f>
        <v>0</v>
      </c>
      <c r="EX5">
        <f>SUM(EX7:EX36)</f>
        <v>0</v>
      </c>
      <c r="EY5">
        <f>SUM(EY7:EY36)</f>
        <v>0</v>
      </c>
      <c r="EZ5">
        <f>SUM(EZ7:EZ36)</f>
        <v>0</v>
      </c>
      <c r="FA5">
        <f>SUM(FA7:FA36)</f>
        <v>4</v>
      </c>
      <c r="FB5">
        <f>SUM(FB7:FB36)</f>
        <v>1</v>
      </c>
      <c r="FC5">
        <f>SUM(FC7:FC36)</f>
        <v>6</v>
      </c>
      <c r="FD5">
        <f>SUM(FD7:FD36)</f>
        <v>0</v>
      </c>
      <c r="FE5">
        <f>SUM(FE7:FE36)</f>
        <v>1</v>
      </c>
      <c r="FF5">
        <f>SUM(FF7:FF36)</f>
        <v>0</v>
      </c>
      <c r="FG5">
        <f>SUM(FG7:FG36)</f>
        <v>3</v>
      </c>
      <c r="FH5">
        <f>SUM(FH7:FH36)</f>
        <v>1</v>
      </c>
      <c r="FI5">
        <f>SUM(FI7:FI36)</f>
        <v>14</v>
      </c>
      <c r="FJ5">
        <f>SUM(FJ7:FJ36)</f>
        <v>2</v>
      </c>
      <c r="FK5">
        <f>SUM(FK7:FK36)</f>
        <v>16</v>
      </c>
      <c r="FL5">
        <f>SUM(FL7:FL36)</f>
        <v>29</v>
      </c>
      <c r="FM5">
        <f>SUM(FM7:FM36)</f>
        <v>7</v>
      </c>
      <c r="FN5">
        <f>SUM(FN7:FN36)</f>
        <v>5</v>
      </c>
      <c r="FO5">
        <f>SUM(FO7:FO36)</f>
        <v>4</v>
      </c>
      <c r="FP5">
        <f>SUM(FP7:FP36)</f>
        <v>2</v>
      </c>
      <c r="FQ5">
        <f>SUM(FQ7:FQ36)</f>
        <v>1</v>
      </c>
      <c r="FR5">
        <f>SUM(FR7:FR36)</f>
        <v>1</v>
      </c>
      <c r="FS5">
        <f>SUM(FS7:FS36)</f>
        <v>1</v>
      </c>
      <c r="FT5">
        <f>SUM(FT7:FT36)</f>
        <v>37</v>
      </c>
      <c r="FU5">
        <f>SUM(FU7:FU36)</f>
        <v>13</v>
      </c>
      <c r="FV5">
        <f>SUM(FV7:FV36)</f>
        <v>50</v>
      </c>
      <c r="FW5">
        <f>SUM(FW7:FW36)</f>
        <v>0</v>
      </c>
      <c r="FX5">
        <f>SUM(FX7:FX36)</f>
        <v>0</v>
      </c>
      <c r="FY5">
        <f>SUM(FY7:FY36)</f>
        <v>0</v>
      </c>
      <c r="FZ5">
        <f>SUM(FZ7:FZ36)</f>
        <v>0</v>
      </c>
      <c r="GA5">
        <f>SUM(GA7:GA36)</f>
        <v>0</v>
      </c>
      <c r="GB5">
        <f>SUM(GB7:GB36)</f>
        <v>0</v>
      </c>
      <c r="GC5">
        <f>SUM(GC7:GC36)</f>
        <v>0</v>
      </c>
      <c r="GD5">
        <f>SUM(GD7:GD36)</f>
        <v>0</v>
      </c>
      <c r="GE5">
        <f>SUM(GE7:GE36)</f>
        <v>0</v>
      </c>
      <c r="GF5">
        <f>SUM(GF7:GF36)</f>
        <v>0</v>
      </c>
      <c r="GG5">
        <f>SUM(GG7:GG36)</f>
        <v>0</v>
      </c>
      <c r="GH5">
        <f>SUM(GH7:GH36)</f>
        <v>0</v>
      </c>
      <c r="GI5">
        <f>SUM(GI7:GI36)</f>
        <v>0</v>
      </c>
      <c r="GJ5">
        <f>SUM(GJ7:GJ36)</f>
        <v>0</v>
      </c>
      <c r="GK5">
        <f>SUM(GK7:GK36)</f>
        <v>0</v>
      </c>
      <c r="GL5">
        <f>SUM(GL7:GL36)</f>
        <v>0</v>
      </c>
      <c r="GM5">
        <f>SUM(GM7:GM36)</f>
        <v>0</v>
      </c>
      <c r="GN5">
        <f>SUM(GN7:GN36)</f>
        <v>0</v>
      </c>
      <c r="GO5">
        <f>SUM(GO7:GO36)</f>
        <v>0</v>
      </c>
      <c r="GP5">
        <f>SUM(GP7:GP36)</f>
        <v>0</v>
      </c>
      <c r="GQ5">
        <f>SUM(GQ7:GQ36)</f>
        <v>0</v>
      </c>
      <c r="GR5">
        <f>SUM(GR7:GR36)</f>
        <v>0</v>
      </c>
      <c r="GS5">
        <f>SUM(GS7:GS36)</f>
        <v>2</v>
      </c>
      <c r="GT5">
        <f>SUM(GT7:GT36)</f>
        <v>1</v>
      </c>
      <c r="GU5">
        <f>SUM(GU7:GU36)</f>
        <v>3</v>
      </c>
      <c r="GV5">
        <f>SUM(GV7:GV36)</f>
        <v>0</v>
      </c>
      <c r="GW5">
        <f>SUM(GW7:GW36)</f>
        <v>2</v>
      </c>
      <c r="GX5">
        <f>SUM(GX7:GX36)</f>
        <v>0</v>
      </c>
      <c r="GY5">
        <f>SUM(GY7:GY36)</f>
        <v>2</v>
      </c>
      <c r="GZ5">
        <f>SUM(GZ7:GZ36)</f>
        <v>1</v>
      </c>
      <c r="HA5">
        <f>SUM(HA7:HA36)</f>
        <v>9</v>
      </c>
      <c r="HB5">
        <f>SUM(HB7:HB36)</f>
        <v>2</v>
      </c>
      <c r="HC5">
        <f>SUM(HC7:HC36)</f>
        <v>11</v>
      </c>
      <c r="HD5">
        <f>SUM(HD7:HD36)</f>
        <v>118</v>
      </c>
      <c r="HE5">
        <f>SUM(HE7:HE36)</f>
        <v>30</v>
      </c>
      <c r="HF5">
        <f>SUM(HF7:HF36)</f>
        <v>90</v>
      </c>
      <c r="HG5">
        <f>SUM(HG7:HG36)</f>
        <v>33</v>
      </c>
      <c r="HH5">
        <f>SUM(HH7:HH36)</f>
        <v>49</v>
      </c>
      <c r="HI5">
        <f>SUM(HI7:HI36)</f>
        <v>31</v>
      </c>
      <c r="HJ5">
        <f>SUM(HJ7:HJ36)</f>
        <v>34</v>
      </c>
      <c r="HK5">
        <f>SUM(HK7:HK36)</f>
        <v>31</v>
      </c>
      <c r="HL5">
        <f>SUM(HL7:HL36)</f>
        <v>291</v>
      </c>
      <c r="HM5">
        <f>SUM(HM7:HM36)</f>
        <v>125</v>
      </c>
      <c r="HN5">
        <f>SUM(HN7:HN36)</f>
        <v>416</v>
      </c>
    </row>
    <row r="6" spans="1:222" x14ac:dyDescent="0.25">
      <c r="A6" s="17" t="s">
        <v>34</v>
      </c>
      <c r="B6" s="17" t="s">
        <v>35</v>
      </c>
      <c r="C6" s="17" t="s">
        <v>36</v>
      </c>
      <c r="D6" s="17" t="s">
        <v>37</v>
      </c>
      <c r="E6" s="17" t="s">
        <v>38</v>
      </c>
      <c r="F6" s="17" t="s">
        <v>39</v>
      </c>
      <c r="G6" s="17" t="s">
        <v>40</v>
      </c>
      <c r="H6" s="17" t="s">
        <v>41</v>
      </c>
      <c r="I6" s="17" t="s">
        <v>42</v>
      </c>
      <c r="J6" s="17" t="s">
        <v>43</v>
      </c>
      <c r="K6" s="17" t="s">
        <v>44</v>
      </c>
      <c r="L6" s="17" t="s">
        <v>45</v>
      </c>
      <c r="M6" s="17" t="s">
        <v>46</v>
      </c>
      <c r="N6" s="17" t="s">
        <v>529</v>
      </c>
      <c r="O6" s="17" t="s">
        <v>530</v>
      </c>
      <c r="P6" s="17" t="s">
        <v>531</v>
      </c>
      <c r="Q6" s="17" t="s">
        <v>532</v>
      </c>
      <c r="R6" s="17" t="s">
        <v>533</v>
      </c>
      <c r="S6" s="17" t="s">
        <v>534</v>
      </c>
      <c r="T6" s="17" t="s">
        <v>535</v>
      </c>
      <c r="U6" s="17" t="s">
        <v>536</v>
      </c>
      <c r="V6" s="17" t="s">
        <v>31</v>
      </c>
      <c r="W6" s="17" t="s">
        <v>32</v>
      </c>
      <c r="X6" s="17" t="s">
        <v>33</v>
      </c>
      <c r="Y6" s="17" t="s">
        <v>537</v>
      </c>
      <c r="Z6" s="17" t="s">
        <v>538</v>
      </c>
      <c r="AA6" s="17" t="s">
        <v>539</v>
      </c>
      <c r="AB6" s="17" t="s">
        <v>540</v>
      </c>
      <c r="AC6" s="17" t="s">
        <v>541</v>
      </c>
      <c r="AD6" s="17" t="s">
        <v>542</v>
      </c>
      <c r="AE6" s="17" t="s">
        <v>543</v>
      </c>
      <c r="AF6" s="17" t="s">
        <v>544</v>
      </c>
      <c r="AG6" s="17" t="s">
        <v>31</v>
      </c>
      <c r="AH6" s="17" t="s">
        <v>32</v>
      </c>
      <c r="AI6" s="17" t="s">
        <v>33</v>
      </c>
      <c r="AJ6" s="17" t="s">
        <v>545</v>
      </c>
      <c r="AK6" s="17" t="s">
        <v>546</v>
      </c>
      <c r="AL6" s="17" t="s">
        <v>547</v>
      </c>
      <c r="AM6" s="17" t="s">
        <v>548</v>
      </c>
      <c r="AN6" s="17" t="s">
        <v>549</v>
      </c>
      <c r="AO6" s="17" t="s">
        <v>550</v>
      </c>
      <c r="AP6" s="17" t="s">
        <v>551</v>
      </c>
      <c r="AQ6" s="17" t="s">
        <v>552</v>
      </c>
      <c r="AR6" s="17" t="s">
        <v>31</v>
      </c>
      <c r="AS6" s="17" t="s">
        <v>32</v>
      </c>
      <c r="AT6" s="17" t="s">
        <v>33</v>
      </c>
      <c r="AU6" s="17" t="s">
        <v>553</v>
      </c>
      <c r="AV6" s="17" t="s">
        <v>554</v>
      </c>
      <c r="AW6" s="17" t="s">
        <v>555</v>
      </c>
      <c r="AX6" s="17" t="s">
        <v>556</v>
      </c>
      <c r="AY6" s="17" t="s">
        <v>557</v>
      </c>
      <c r="AZ6" s="17" t="s">
        <v>558</v>
      </c>
      <c r="BA6" s="17" t="s">
        <v>559</v>
      </c>
      <c r="BB6" s="17" t="s">
        <v>560</v>
      </c>
      <c r="BC6" s="17" t="s">
        <v>31</v>
      </c>
      <c r="BD6" s="17" t="s">
        <v>32</v>
      </c>
      <c r="BE6" s="17" t="s">
        <v>33</v>
      </c>
      <c r="BF6" s="17" t="s">
        <v>561</v>
      </c>
      <c r="BG6" s="17" t="s">
        <v>562</v>
      </c>
      <c r="BH6" s="17" t="s">
        <v>563</v>
      </c>
      <c r="BI6" s="17" t="s">
        <v>564</v>
      </c>
      <c r="BJ6" s="17" t="s">
        <v>565</v>
      </c>
      <c r="BK6" s="17" t="s">
        <v>566</v>
      </c>
      <c r="BL6" s="17" t="s">
        <v>567</v>
      </c>
      <c r="BM6" s="17" t="s">
        <v>568</v>
      </c>
      <c r="BN6" s="17" t="s">
        <v>31</v>
      </c>
      <c r="BO6" s="17" t="s">
        <v>32</v>
      </c>
      <c r="BP6" s="17" t="s">
        <v>33</v>
      </c>
      <c r="BQ6" s="17" t="s">
        <v>569</v>
      </c>
      <c r="BR6" s="17" t="s">
        <v>570</v>
      </c>
      <c r="BS6" s="17" t="s">
        <v>571</v>
      </c>
      <c r="BT6" s="17" t="s">
        <v>572</v>
      </c>
      <c r="BU6" s="17" t="s">
        <v>573</v>
      </c>
      <c r="BV6" s="17" t="s">
        <v>574</v>
      </c>
      <c r="BW6" s="17" t="s">
        <v>575</v>
      </c>
      <c r="BX6" s="17" t="s">
        <v>576</v>
      </c>
      <c r="BY6" s="17" t="s">
        <v>31</v>
      </c>
      <c r="BZ6" s="17" t="s">
        <v>32</v>
      </c>
      <c r="CA6" s="17" t="s">
        <v>33</v>
      </c>
      <c r="CB6" s="17" t="s">
        <v>577</v>
      </c>
      <c r="CC6" s="17" t="s">
        <v>578</v>
      </c>
      <c r="CD6" s="17" t="s">
        <v>579</v>
      </c>
      <c r="CE6" s="17" t="s">
        <v>580</v>
      </c>
      <c r="CF6" s="17" t="s">
        <v>581</v>
      </c>
      <c r="CG6" s="17" t="s">
        <v>582</v>
      </c>
      <c r="CH6" s="17" t="s">
        <v>583</v>
      </c>
      <c r="CI6" s="17" t="s">
        <v>584</v>
      </c>
      <c r="CJ6" s="17" t="s">
        <v>31</v>
      </c>
      <c r="CK6" s="17" t="s">
        <v>32</v>
      </c>
      <c r="CL6" s="17" t="s">
        <v>33</v>
      </c>
      <c r="CM6" s="17" t="s">
        <v>585</v>
      </c>
      <c r="CN6" s="17" t="s">
        <v>586</v>
      </c>
      <c r="CO6" s="17" t="s">
        <v>587</v>
      </c>
      <c r="CP6" s="17" t="s">
        <v>588</v>
      </c>
      <c r="CQ6" s="17" t="s">
        <v>589</v>
      </c>
      <c r="CR6" s="17" t="s">
        <v>590</v>
      </c>
      <c r="CS6" s="17" t="s">
        <v>591</v>
      </c>
      <c r="CT6" s="17" t="s">
        <v>592</v>
      </c>
      <c r="CU6" s="17" t="s">
        <v>31</v>
      </c>
      <c r="CV6" s="17" t="s">
        <v>32</v>
      </c>
      <c r="CW6" s="17" t="s">
        <v>33</v>
      </c>
      <c r="CX6" s="17" t="s">
        <v>593</v>
      </c>
      <c r="CY6" s="17" t="s">
        <v>594</v>
      </c>
      <c r="CZ6" s="17" t="s">
        <v>595</v>
      </c>
      <c r="DA6" s="17" t="s">
        <v>596</v>
      </c>
      <c r="DB6" s="17" t="s">
        <v>597</v>
      </c>
      <c r="DC6" s="17" t="s">
        <v>598</v>
      </c>
      <c r="DD6" s="17" t="s">
        <v>599</v>
      </c>
      <c r="DE6" s="17" t="s">
        <v>600</v>
      </c>
      <c r="DF6" s="17" t="s">
        <v>31</v>
      </c>
      <c r="DG6" s="17" t="s">
        <v>32</v>
      </c>
      <c r="DH6" s="17" t="s">
        <v>33</v>
      </c>
      <c r="DI6" s="17" t="s">
        <v>601</v>
      </c>
      <c r="DJ6" s="17" t="s">
        <v>602</v>
      </c>
      <c r="DK6" s="17" t="s">
        <v>603</v>
      </c>
      <c r="DL6" s="17" t="s">
        <v>604</v>
      </c>
      <c r="DM6" s="17" t="s">
        <v>605</v>
      </c>
      <c r="DN6" s="17" t="s">
        <v>606</v>
      </c>
      <c r="DO6" s="17" t="s">
        <v>607</v>
      </c>
      <c r="DP6" s="17" t="s">
        <v>608</v>
      </c>
      <c r="DQ6" s="17" t="s">
        <v>31</v>
      </c>
      <c r="DR6" s="17" t="s">
        <v>32</v>
      </c>
      <c r="DS6" s="17" t="s">
        <v>33</v>
      </c>
      <c r="DT6" s="17" t="s">
        <v>609</v>
      </c>
      <c r="DU6" s="17" t="s">
        <v>610</v>
      </c>
      <c r="DV6" s="17" t="s">
        <v>611</v>
      </c>
      <c r="DW6" s="17" t="s">
        <v>612</v>
      </c>
      <c r="DX6" s="17" t="s">
        <v>613</v>
      </c>
      <c r="DY6" s="17" t="s">
        <v>614</v>
      </c>
      <c r="DZ6" s="17" t="s">
        <v>615</v>
      </c>
      <c r="EA6" s="17" t="s">
        <v>616</v>
      </c>
      <c r="EB6" s="17" t="s">
        <v>31</v>
      </c>
      <c r="EC6" s="17" t="s">
        <v>32</v>
      </c>
      <c r="ED6" s="17" t="s">
        <v>33</v>
      </c>
      <c r="EE6" s="17" t="s">
        <v>617</v>
      </c>
      <c r="EF6" s="17" t="s">
        <v>618</v>
      </c>
      <c r="EG6" s="17" t="s">
        <v>619</v>
      </c>
      <c r="EH6" s="17" t="s">
        <v>620</v>
      </c>
      <c r="EI6" s="17" t="s">
        <v>621</v>
      </c>
      <c r="EJ6" s="17" t="s">
        <v>622</v>
      </c>
      <c r="EK6" s="17" t="s">
        <v>623</v>
      </c>
      <c r="EL6" s="17" t="s">
        <v>624</v>
      </c>
      <c r="EM6" s="17" t="s">
        <v>31</v>
      </c>
      <c r="EN6" s="17" t="s">
        <v>32</v>
      </c>
      <c r="EO6" s="17" t="s">
        <v>33</v>
      </c>
      <c r="EP6" s="17" t="s">
        <v>625</v>
      </c>
      <c r="EQ6" s="17" t="s">
        <v>626</v>
      </c>
      <c r="ER6" s="17" t="s">
        <v>627</v>
      </c>
      <c r="ES6" s="17" t="s">
        <v>628</v>
      </c>
      <c r="ET6" s="17" t="s">
        <v>629</v>
      </c>
      <c r="EU6" s="17" t="s">
        <v>630</v>
      </c>
      <c r="EV6" s="17" t="s">
        <v>631</v>
      </c>
      <c r="EW6" s="17" t="s">
        <v>632</v>
      </c>
      <c r="EX6" s="17" t="s">
        <v>31</v>
      </c>
      <c r="EY6" s="17" t="s">
        <v>32</v>
      </c>
      <c r="EZ6" s="17" t="s">
        <v>33</v>
      </c>
      <c r="FA6" s="17" t="s">
        <v>633</v>
      </c>
      <c r="FB6" s="17" t="s">
        <v>634</v>
      </c>
      <c r="FC6" s="17" t="s">
        <v>635</v>
      </c>
      <c r="FD6" s="17" t="s">
        <v>636</v>
      </c>
      <c r="FE6" s="17" t="s">
        <v>637</v>
      </c>
      <c r="FF6" s="17" t="s">
        <v>638</v>
      </c>
      <c r="FG6" s="17" t="s">
        <v>639</v>
      </c>
      <c r="FH6" s="17" t="s">
        <v>640</v>
      </c>
      <c r="FI6" s="17" t="s">
        <v>31</v>
      </c>
      <c r="FJ6" s="17" t="s">
        <v>32</v>
      </c>
      <c r="FK6" s="17" t="s">
        <v>33</v>
      </c>
      <c r="FL6" s="17" t="s">
        <v>641</v>
      </c>
      <c r="FM6" s="17" t="s">
        <v>642</v>
      </c>
      <c r="FN6" s="17" t="s">
        <v>643</v>
      </c>
      <c r="FO6" s="17" t="s">
        <v>644</v>
      </c>
      <c r="FP6" s="17" t="s">
        <v>645</v>
      </c>
      <c r="FQ6" s="17" t="s">
        <v>646</v>
      </c>
      <c r="FR6" s="17" t="s">
        <v>647</v>
      </c>
      <c r="FS6" s="17" t="s">
        <v>648</v>
      </c>
      <c r="FT6" s="17" t="s">
        <v>31</v>
      </c>
      <c r="FU6" s="17" t="s">
        <v>32</v>
      </c>
      <c r="FV6" s="17" t="s">
        <v>33</v>
      </c>
      <c r="FW6" s="17" t="s">
        <v>649</v>
      </c>
      <c r="FX6" s="17" t="s">
        <v>650</v>
      </c>
      <c r="FY6" s="17" t="s">
        <v>651</v>
      </c>
      <c r="FZ6" s="17" t="s">
        <v>652</v>
      </c>
      <c r="GA6" s="17" t="s">
        <v>653</v>
      </c>
      <c r="GB6" s="17" t="s">
        <v>654</v>
      </c>
      <c r="GC6" s="17" t="s">
        <v>655</v>
      </c>
      <c r="GD6" s="17" t="s">
        <v>656</v>
      </c>
      <c r="GE6" s="17" t="s">
        <v>31</v>
      </c>
      <c r="GF6" s="17" t="s">
        <v>32</v>
      </c>
      <c r="GG6" s="17" t="s">
        <v>33</v>
      </c>
      <c r="GH6" s="17" t="s">
        <v>657</v>
      </c>
      <c r="GI6" s="17" t="s">
        <v>658</v>
      </c>
      <c r="GJ6" s="17" t="s">
        <v>659</v>
      </c>
      <c r="GK6" s="17" t="s">
        <v>660</v>
      </c>
      <c r="GL6" s="17" t="s">
        <v>661</v>
      </c>
      <c r="GM6" s="17" t="s">
        <v>662</v>
      </c>
      <c r="GN6" s="17" t="s">
        <v>663</v>
      </c>
      <c r="GO6" s="17" t="s">
        <v>664</v>
      </c>
      <c r="GP6" s="17" t="s">
        <v>31</v>
      </c>
      <c r="GQ6" s="17" t="s">
        <v>32</v>
      </c>
      <c r="GR6" s="17" t="s">
        <v>33</v>
      </c>
      <c r="GS6" s="17" t="s">
        <v>665</v>
      </c>
      <c r="GT6" s="17" t="s">
        <v>666</v>
      </c>
      <c r="GU6" s="17" t="s">
        <v>667</v>
      </c>
      <c r="GV6" s="17" t="s">
        <v>668</v>
      </c>
      <c r="GW6" s="17" t="s">
        <v>669</v>
      </c>
      <c r="GX6" s="17" t="s">
        <v>670</v>
      </c>
      <c r="GY6" s="17" t="s">
        <v>671</v>
      </c>
      <c r="GZ6" s="17" t="s">
        <v>672</v>
      </c>
      <c r="HA6" s="17" t="s">
        <v>31</v>
      </c>
      <c r="HB6" s="17" t="s">
        <v>32</v>
      </c>
      <c r="HC6" s="17" t="s">
        <v>33</v>
      </c>
      <c r="HD6" s="17" t="s">
        <v>673</v>
      </c>
      <c r="HE6" s="17" t="s">
        <v>674</v>
      </c>
      <c r="HF6" s="17" t="s">
        <v>675</v>
      </c>
      <c r="HG6" s="17" t="s">
        <v>676</v>
      </c>
      <c r="HH6" s="17" t="s">
        <v>677</v>
      </c>
      <c r="HI6" s="17" t="s">
        <v>678</v>
      </c>
      <c r="HJ6" s="17" t="s">
        <v>679</v>
      </c>
      <c r="HK6" s="17" t="s">
        <v>680</v>
      </c>
      <c r="HL6" s="17" t="s">
        <v>31</v>
      </c>
      <c r="HM6" s="17" t="s">
        <v>32</v>
      </c>
      <c r="HN6" s="17" t="s">
        <v>33</v>
      </c>
    </row>
    <row r="7" spans="1:222" x14ac:dyDescent="0.25">
      <c r="A7" t="s">
        <v>405</v>
      </c>
      <c r="B7" t="s">
        <v>421</v>
      </c>
      <c r="C7">
        <v>304303</v>
      </c>
      <c r="D7" t="s">
        <v>685</v>
      </c>
      <c r="E7" t="s">
        <v>423</v>
      </c>
      <c r="F7" t="s">
        <v>424</v>
      </c>
      <c r="G7" t="s">
        <v>407</v>
      </c>
      <c r="H7" t="s">
        <v>445</v>
      </c>
      <c r="I7" t="s">
        <v>408</v>
      </c>
      <c r="J7" t="s">
        <v>409</v>
      </c>
      <c r="K7" t="s">
        <v>410</v>
      </c>
      <c r="L7" t="s">
        <v>681</v>
      </c>
      <c r="M7" t="s">
        <v>682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f>SUMIF($N$6:$HC$6,"*"&amp;HD$6&amp;"*",$N7:$HC7)</f>
        <v>0</v>
      </c>
      <c r="HE7">
        <f>SUMIF($N$6:$HC$6,"*"&amp;HE$6&amp;"*",$N7:$HC7)</f>
        <v>0</v>
      </c>
      <c r="HF7">
        <f>SUMIF($N$6:$HC$6,"*"&amp;HF$6&amp;"*",$N7:$HC7)</f>
        <v>0</v>
      </c>
      <c r="HG7">
        <f>SUMIF($N$6:$HC$6,"*"&amp;HG$6&amp;"*",$N7:$HC7)</f>
        <v>1</v>
      </c>
      <c r="HH7">
        <f>SUMIF($N$6:$HC$6,"*"&amp;HH$6&amp;"*",$N7:$HC7)</f>
        <v>0</v>
      </c>
      <c r="HI7">
        <f>SUMIF($N$6:$HC$6,"*"&amp;HI$6&amp;"*",$N7:$HC7)</f>
        <v>0</v>
      </c>
      <c r="HJ7">
        <f>SUMIF($N$6:$HC$6,"*"&amp;HJ$6&amp;"*",$N7:$HC7)</f>
        <v>0</v>
      </c>
      <c r="HK7">
        <f>SUMIF($N$6:$HC$6,"*"&amp;HK$6&amp;"*",$N7:$HC7)</f>
        <v>0</v>
      </c>
      <c r="HL7">
        <f>SUMIF($HD$4:$HK$4,HL$6,$HD7:$HK7)</f>
        <v>0</v>
      </c>
      <c r="HM7">
        <f>SUMIF($HD$4:$HK$4,HM$6,$HD7:$HK7)</f>
        <v>1</v>
      </c>
      <c r="HN7">
        <f>SUM(HL7:HM7)</f>
        <v>1</v>
      </c>
    </row>
    <row r="8" spans="1:222" x14ac:dyDescent="0.25">
      <c r="A8" t="s">
        <v>405</v>
      </c>
      <c r="B8" t="s">
        <v>421</v>
      </c>
      <c r="C8">
        <v>304305</v>
      </c>
      <c r="D8" t="s">
        <v>686</v>
      </c>
      <c r="E8" t="s">
        <v>423</v>
      </c>
      <c r="F8" t="s">
        <v>424</v>
      </c>
      <c r="G8" t="s">
        <v>407</v>
      </c>
      <c r="H8" t="s">
        <v>452</v>
      </c>
      <c r="I8" t="s">
        <v>408</v>
      </c>
      <c r="J8" t="s">
        <v>409</v>
      </c>
      <c r="K8" t="s">
        <v>410</v>
      </c>
      <c r="L8" t="s">
        <v>681</v>
      </c>
      <c r="M8" t="s">
        <v>682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1</v>
      </c>
      <c r="DL8">
        <v>1</v>
      </c>
      <c r="DM8">
        <v>1</v>
      </c>
      <c r="DN8">
        <v>1</v>
      </c>
      <c r="DO8">
        <v>3</v>
      </c>
      <c r="DP8">
        <v>0</v>
      </c>
      <c r="DQ8">
        <v>5</v>
      </c>
      <c r="DR8">
        <v>2</v>
      </c>
      <c r="DS8">
        <v>7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f>SUMIF($N$6:$HC$6,"*"&amp;HD$6&amp;"*",$N8:$HC8)</f>
        <v>0</v>
      </c>
      <c r="HE8">
        <f>SUMIF($N$6:$HC$6,"*"&amp;HE$6&amp;"*",$N8:$HC8)</f>
        <v>0</v>
      </c>
      <c r="HF8">
        <f>SUMIF($N$6:$HC$6,"*"&amp;HF$6&amp;"*",$N8:$HC8)</f>
        <v>1</v>
      </c>
      <c r="HG8">
        <f>SUMIF($N$6:$HC$6,"*"&amp;HG$6&amp;"*",$N8:$HC8)</f>
        <v>1</v>
      </c>
      <c r="HH8">
        <f>SUMIF($N$6:$HC$6,"*"&amp;HH$6&amp;"*",$N8:$HC8)</f>
        <v>1</v>
      </c>
      <c r="HI8">
        <f>SUMIF($N$6:$HC$6,"*"&amp;HI$6&amp;"*",$N8:$HC8)</f>
        <v>1</v>
      </c>
      <c r="HJ8">
        <f>SUMIF($N$6:$HC$6,"*"&amp;HJ$6&amp;"*",$N8:$HC8)</f>
        <v>3</v>
      </c>
      <c r="HK8">
        <f>SUMIF($N$6:$HC$6,"*"&amp;HK$6&amp;"*",$N8:$HC8)</f>
        <v>0</v>
      </c>
      <c r="HL8">
        <f>SUMIF($HD$4:$HK$4,HL$6,$HD8:$HK8)</f>
        <v>5</v>
      </c>
      <c r="HM8">
        <f>SUMIF($HD$4:$HK$4,HM$6,$HD8:$HK8)</f>
        <v>2</v>
      </c>
      <c r="HN8">
        <f>SUM(HL8:HM8)</f>
        <v>7</v>
      </c>
    </row>
    <row r="9" spans="1:222" x14ac:dyDescent="0.25">
      <c r="A9" t="s">
        <v>405</v>
      </c>
      <c r="B9" t="s">
        <v>421</v>
      </c>
      <c r="C9">
        <v>304313</v>
      </c>
      <c r="D9" t="s">
        <v>687</v>
      </c>
      <c r="E9" t="s">
        <v>423</v>
      </c>
      <c r="F9" t="s">
        <v>424</v>
      </c>
      <c r="G9" t="s">
        <v>407</v>
      </c>
      <c r="H9" t="s">
        <v>480</v>
      </c>
      <c r="I9" t="s">
        <v>500</v>
      </c>
      <c r="J9" t="s">
        <v>409</v>
      </c>
      <c r="K9" t="s">
        <v>410</v>
      </c>
      <c r="L9" t="s">
        <v>681</v>
      </c>
      <c r="M9" t="s">
        <v>682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>
        <v>0</v>
      </c>
      <c r="AY9">
        <v>0</v>
      </c>
      <c r="AZ9">
        <v>0</v>
      </c>
      <c r="BA9">
        <v>0</v>
      </c>
      <c r="BB9">
        <v>1</v>
      </c>
      <c r="BC9">
        <v>1</v>
      </c>
      <c r="BD9">
        <v>2</v>
      </c>
      <c r="BE9">
        <v>3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5</v>
      </c>
      <c r="DJ9">
        <v>0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6</v>
      </c>
      <c r="DR9">
        <v>0</v>
      </c>
      <c r="DS9">
        <v>6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1</v>
      </c>
      <c r="FD9">
        <v>0</v>
      </c>
      <c r="FE9">
        <v>0</v>
      </c>
      <c r="FF9">
        <v>0</v>
      </c>
      <c r="FG9">
        <v>0</v>
      </c>
      <c r="FH9">
        <v>0</v>
      </c>
      <c r="FI9">
        <v>1</v>
      </c>
      <c r="FJ9">
        <v>0</v>
      </c>
      <c r="FK9">
        <v>1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f>SUMIF($N$6:$HC$6,"*"&amp;HD$6&amp;"*",$N9:$HC9)</f>
        <v>5</v>
      </c>
      <c r="HE9">
        <f>SUMIF($N$6:$HC$6,"*"&amp;HE$6&amp;"*",$N9:$HC9)</f>
        <v>1</v>
      </c>
      <c r="HF9">
        <f>SUMIF($N$6:$HC$6,"*"&amp;HF$6&amp;"*",$N9:$HC9)</f>
        <v>3</v>
      </c>
      <c r="HG9">
        <f>SUMIF($N$6:$HC$6,"*"&amp;HG$6&amp;"*",$N9:$HC9)</f>
        <v>0</v>
      </c>
      <c r="HH9">
        <f>SUMIF($N$6:$HC$6,"*"&amp;HH$6&amp;"*",$N9:$HC9)</f>
        <v>1</v>
      </c>
      <c r="HI9">
        <f>SUMIF($N$6:$HC$6,"*"&amp;HI$6&amp;"*",$N9:$HC9)</f>
        <v>0</v>
      </c>
      <c r="HJ9">
        <f>SUMIF($N$6:$HC$6,"*"&amp;HJ$6&amp;"*",$N9:$HC9)</f>
        <v>0</v>
      </c>
      <c r="HK9">
        <f>SUMIF($N$6:$HC$6,"*"&amp;HK$6&amp;"*",$N9:$HC9)</f>
        <v>1</v>
      </c>
      <c r="HL9">
        <f>SUMIF($HD$4:$HK$4,HL$6,$HD9:$HK9)</f>
        <v>9</v>
      </c>
      <c r="HM9">
        <f>SUMIF($HD$4:$HK$4,HM$6,$HD9:$HK9)</f>
        <v>2</v>
      </c>
      <c r="HN9">
        <f>SUM(HL9:HM9)</f>
        <v>11</v>
      </c>
    </row>
    <row r="10" spans="1:222" x14ac:dyDescent="0.25">
      <c r="A10" t="s">
        <v>405</v>
      </c>
      <c r="B10" t="s">
        <v>421</v>
      </c>
      <c r="C10">
        <v>304314</v>
      </c>
      <c r="D10" t="s">
        <v>688</v>
      </c>
      <c r="E10" t="s">
        <v>423</v>
      </c>
      <c r="F10" t="s">
        <v>424</v>
      </c>
      <c r="G10" t="s">
        <v>407</v>
      </c>
      <c r="H10" t="s">
        <v>465</v>
      </c>
      <c r="I10" t="s">
        <v>408</v>
      </c>
      <c r="J10" t="s">
        <v>409</v>
      </c>
      <c r="K10" t="s">
        <v>410</v>
      </c>
      <c r="L10" t="s">
        <v>681</v>
      </c>
      <c r="M10" t="s">
        <v>682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9</v>
      </c>
      <c r="DJ10">
        <v>2</v>
      </c>
      <c r="DK10">
        <v>3</v>
      </c>
      <c r="DL10">
        <v>1</v>
      </c>
      <c r="DM10">
        <v>0</v>
      </c>
      <c r="DN10">
        <v>0</v>
      </c>
      <c r="DO10">
        <v>0</v>
      </c>
      <c r="DP10">
        <v>0</v>
      </c>
      <c r="DQ10">
        <v>12</v>
      </c>
      <c r="DR10">
        <v>3</v>
      </c>
      <c r="DS10">
        <v>15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1</v>
      </c>
      <c r="GZ10">
        <v>1</v>
      </c>
      <c r="HA10">
        <v>1</v>
      </c>
      <c r="HB10">
        <v>1</v>
      </c>
      <c r="HC10">
        <v>2</v>
      </c>
      <c r="HD10">
        <f>SUMIF($N$6:$HC$6,"*"&amp;HD$6&amp;"*",$N10:$HC10)</f>
        <v>9</v>
      </c>
      <c r="HE10">
        <f>SUMIF($N$6:$HC$6,"*"&amp;HE$6&amp;"*",$N10:$HC10)</f>
        <v>2</v>
      </c>
      <c r="HF10">
        <f>SUMIF($N$6:$HC$6,"*"&amp;HF$6&amp;"*",$N10:$HC10)</f>
        <v>3</v>
      </c>
      <c r="HG10">
        <f>SUMIF($N$6:$HC$6,"*"&amp;HG$6&amp;"*",$N10:$HC10)</f>
        <v>2</v>
      </c>
      <c r="HH10">
        <f>SUMIF($N$6:$HC$6,"*"&amp;HH$6&amp;"*",$N10:$HC10)</f>
        <v>0</v>
      </c>
      <c r="HI10">
        <f>SUMIF($N$6:$HC$6,"*"&amp;HI$6&amp;"*",$N10:$HC10)</f>
        <v>0</v>
      </c>
      <c r="HJ10">
        <f>SUMIF($N$6:$HC$6,"*"&amp;HJ$6&amp;"*",$N10:$HC10)</f>
        <v>1</v>
      </c>
      <c r="HK10">
        <f>SUMIF($N$6:$HC$6,"*"&amp;HK$6&amp;"*",$N10:$HC10)</f>
        <v>2</v>
      </c>
      <c r="HL10">
        <f>SUMIF($HD$4:$HK$4,HL$6,$HD10:$HK10)</f>
        <v>13</v>
      </c>
      <c r="HM10">
        <f>SUMIF($HD$4:$HK$4,HM$6,$HD10:$HK10)</f>
        <v>6</v>
      </c>
      <c r="HN10">
        <f>SUM(HL10:HM10)</f>
        <v>19</v>
      </c>
    </row>
    <row r="11" spans="1:222" x14ac:dyDescent="0.25">
      <c r="A11" t="s">
        <v>405</v>
      </c>
      <c r="B11" t="s">
        <v>421</v>
      </c>
      <c r="C11">
        <v>304318</v>
      </c>
      <c r="D11" t="s">
        <v>689</v>
      </c>
      <c r="E11" t="s">
        <v>423</v>
      </c>
      <c r="F11" t="s">
        <v>424</v>
      </c>
      <c r="G11" t="s">
        <v>407</v>
      </c>
      <c r="H11" t="s">
        <v>485</v>
      </c>
      <c r="I11" t="s">
        <v>408</v>
      </c>
      <c r="J11" t="s">
        <v>409</v>
      </c>
      <c r="K11" t="s">
        <v>410</v>
      </c>
      <c r="L11" t="s">
        <v>681</v>
      </c>
      <c r="M11" t="s">
        <v>682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6</v>
      </c>
      <c r="AV11">
        <v>0</v>
      </c>
      <c r="AW11">
        <v>2</v>
      </c>
      <c r="AX11">
        <v>1</v>
      </c>
      <c r="AY11">
        <v>2</v>
      </c>
      <c r="AZ11">
        <v>0</v>
      </c>
      <c r="BA11">
        <v>1</v>
      </c>
      <c r="BB11">
        <v>0</v>
      </c>
      <c r="BC11">
        <v>11</v>
      </c>
      <c r="BD11">
        <v>1</v>
      </c>
      <c r="BE11">
        <v>12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1</v>
      </c>
      <c r="BP11">
        <v>2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8</v>
      </c>
      <c r="DJ11">
        <v>0</v>
      </c>
      <c r="DK11">
        <v>4</v>
      </c>
      <c r="DL11">
        <v>2</v>
      </c>
      <c r="DM11">
        <v>1</v>
      </c>
      <c r="DN11">
        <v>2</v>
      </c>
      <c r="DO11">
        <v>0</v>
      </c>
      <c r="DP11">
        <v>0</v>
      </c>
      <c r="DQ11">
        <v>13</v>
      </c>
      <c r="DR11">
        <v>4</v>
      </c>
      <c r="DS11">
        <v>17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2</v>
      </c>
      <c r="FD11">
        <v>0</v>
      </c>
      <c r="FE11">
        <v>0</v>
      </c>
      <c r="FF11">
        <v>0</v>
      </c>
      <c r="FG11">
        <v>2</v>
      </c>
      <c r="FH11">
        <v>1</v>
      </c>
      <c r="FI11">
        <v>4</v>
      </c>
      <c r="FJ11">
        <v>1</v>
      </c>
      <c r="FK11">
        <v>5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1</v>
      </c>
      <c r="GT11">
        <v>1</v>
      </c>
      <c r="GU11">
        <v>1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2</v>
      </c>
      <c r="HB11">
        <v>1</v>
      </c>
      <c r="HC11">
        <v>3</v>
      </c>
      <c r="HD11">
        <f>SUMIF($N$6:$HC$6,"*"&amp;HD$6&amp;"*",$N11:$HC11)</f>
        <v>16</v>
      </c>
      <c r="HE11">
        <f>SUMIF($N$6:$HC$6,"*"&amp;HE$6&amp;"*",$N11:$HC11)</f>
        <v>2</v>
      </c>
      <c r="HF11">
        <f>SUMIF($N$6:$HC$6,"*"&amp;HF$6&amp;"*",$N11:$HC11)</f>
        <v>10</v>
      </c>
      <c r="HG11">
        <f>SUMIF($N$6:$HC$6,"*"&amp;HG$6&amp;"*",$N11:$HC11)</f>
        <v>4</v>
      </c>
      <c r="HH11">
        <f>SUMIF($N$6:$HC$6,"*"&amp;HH$6&amp;"*",$N11:$HC11)</f>
        <v>3</v>
      </c>
      <c r="HI11">
        <f>SUMIF($N$6:$HC$6,"*"&amp;HI$6&amp;"*",$N11:$HC11)</f>
        <v>3</v>
      </c>
      <c r="HJ11">
        <f>SUMIF($N$6:$HC$6,"*"&amp;HJ$6&amp;"*",$N11:$HC11)</f>
        <v>3</v>
      </c>
      <c r="HK11">
        <f>SUMIF($N$6:$HC$6,"*"&amp;HK$6&amp;"*",$N11:$HC11)</f>
        <v>1</v>
      </c>
      <c r="HL11">
        <f>SUMIF($HD$4:$HK$4,HL$6,$HD11:$HK11)</f>
        <v>32</v>
      </c>
      <c r="HM11">
        <f>SUMIF($HD$4:$HK$4,HM$6,$HD11:$HK11)</f>
        <v>10</v>
      </c>
      <c r="HN11">
        <f>SUM(HL11:HM11)</f>
        <v>42</v>
      </c>
    </row>
    <row r="12" spans="1:222" x14ac:dyDescent="0.25">
      <c r="A12" t="s">
        <v>405</v>
      </c>
      <c r="B12" t="s">
        <v>421</v>
      </c>
      <c r="C12">
        <v>304325</v>
      </c>
      <c r="D12" t="s">
        <v>690</v>
      </c>
      <c r="E12" t="s">
        <v>423</v>
      </c>
      <c r="F12" t="s">
        <v>424</v>
      </c>
      <c r="G12" t="s">
        <v>407</v>
      </c>
      <c r="H12" t="s">
        <v>436</v>
      </c>
      <c r="I12" t="s">
        <v>408</v>
      </c>
      <c r="J12" t="s">
        <v>409</v>
      </c>
      <c r="K12" t="s">
        <v>410</v>
      </c>
      <c r="L12" t="s">
        <v>681</v>
      </c>
      <c r="M12" t="s">
        <v>682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5</v>
      </c>
      <c r="AG12">
        <v>1</v>
      </c>
      <c r="AH12">
        <v>7</v>
      </c>
      <c r="AI12">
        <v>8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</v>
      </c>
      <c r="AV12">
        <v>2</v>
      </c>
      <c r="AW12">
        <v>2</v>
      </c>
      <c r="AX12">
        <v>7</v>
      </c>
      <c r="AY12">
        <v>4</v>
      </c>
      <c r="AZ12">
        <v>6</v>
      </c>
      <c r="BA12">
        <v>3</v>
      </c>
      <c r="BB12">
        <v>10</v>
      </c>
      <c r="BC12">
        <v>11</v>
      </c>
      <c r="BD12">
        <v>25</v>
      </c>
      <c r="BE12">
        <v>36</v>
      </c>
      <c r="BF12">
        <v>0</v>
      </c>
      <c r="BG12">
        <v>0</v>
      </c>
      <c r="BH12">
        <v>0</v>
      </c>
      <c r="BI12">
        <v>0</v>
      </c>
      <c r="BJ12">
        <v>2</v>
      </c>
      <c r="BK12">
        <v>0</v>
      </c>
      <c r="BL12">
        <v>0</v>
      </c>
      <c r="BM12">
        <v>2</v>
      </c>
      <c r="BN12">
        <v>2</v>
      </c>
      <c r="BO12">
        <v>2</v>
      </c>
      <c r="BP12">
        <v>4</v>
      </c>
      <c r="BQ12">
        <v>1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2</v>
      </c>
      <c r="BZ12">
        <v>0</v>
      </c>
      <c r="CA12">
        <v>2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2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3</v>
      </c>
      <c r="DG12">
        <v>0</v>
      </c>
      <c r="DH12">
        <v>3</v>
      </c>
      <c r="DI12">
        <v>17</v>
      </c>
      <c r="DJ12">
        <v>5</v>
      </c>
      <c r="DK12">
        <v>20</v>
      </c>
      <c r="DL12">
        <v>4</v>
      </c>
      <c r="DM12">
        <v>12</v>
      </c>
      <c r="DN12">
        <v>13</v>
      </c>
      <c r="DO12">
        <v>5</v>
      </c>
      <c r="DP12">
        <v>2</v>
      </c>
      <c r="DQ12">
        <v>54</v>
      </c>
      <c r="DR12">
        <v>24</v>
      </c>
      <c r="DS12">
        <v>78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3</v>
      </c>
      <c r="FB12">
        <v>1</v>
      </c>
      <c r="FC12">
        <v>3</v>
      </c>
      <c r="FD12">
        <v>0</v>
      </c>
      <c r="FE12">
        <v>1</v>
      </c>
      <c r="FF12">
        <v>0</v>
      </c>
      <c r="FG12">
        <v>1</v>
      </c>
      <c r="FH12">
        <v>0</v>
      </c>
      <c r="FI12">
        <v>8</v>
      </c>
      <c r="FJ12">
        <v>1</v>
      </c>
      <c r="FK12">
        <v>9</v>
      </c>
      <c r="FL12">
        <v>5</v>
      </c>
      <c r="FM12">
        <v>1</v>
      </c>
      <c r="FN12">
        <v>0</v>
      </c>
      <c r="FO12">
        <v>1</v>
      </c>
      <c r="FP12">
        <v>0</v>
      </c>
      <c r="FQ12">
        <v>1</v>
      </c>
      <c r="FR12">
        <v>1</v>
      </c>
      <c r="FS12">
        <v>1</v>
      </c>
      <c r="FT12">
        <v>6</v>
      </c>
      <c r="FU12">
        <v>4</v>
      </c>
      <c r="FV12">
        <v>10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1</v>
      </c>
      <c r="GX12">
        <v>0</v>
      </c>
      <c r="GY12">
        <v>0</v>
      </c>
      <c r="GZ12">
        <v>0</v>
      </c>
      <c r="HA12">
        <v>1</v>
      </c>
      <c r="HB12">
        <v>0</v>
      </c>
      <c r="HC12">
        <v>1</v>
      </c>
      <c r="HD12">
        <f>SUMIF($N$6:$HC$6,"*"&amp;HD$6&amp;"*",$N12:$HC12)</f>
        <v>29</v>
      </c>
      <c r="HE12">
        <f>SUMIF($N$6:$HC$6,"*"&amp;HE$6&amp;"*",$N12:$HC12)</f>
        <v>10</v>
      </c>
      <c r="HF12">
        <f>SUMIF($N$6:$HC$6,"*"&amp;HF$6&amp;"*",$N12:$HC12)</f>
        <v>28</v>
      </c>
      <c r="HG12">
        <f>SUMIF($N$6:$HC$6,"*"&amp;HG$6&amp;"*",$N12:$HC12)</f>
        <v>12</v>
      </c>
      <c r="HH12">
        <f>SUMIF($N$6:$HC$6,"*"&amp;HH$6&amp;"*",$N12:$HC12)</f>
        <v>21</v>
      </c>
      <c r="HI12">
        <f>SUMIF($N$6:$HC$6,"*"&amp;HI$6&amp;"*",$N12:$HC12)</f>
        <v>21</v>
      </c>
      <c r="HJ12">
        <f>SUMIF($N$6:$HC$6,"*"&amp;HJ$6&amp;"*",$N12:$HC12)</f>
        <v>11</v>
      </c>
      <c r="HK12">
        <f>SUMIF($N$6:$HC$6,"*"&amp;HK$6&amp;"*",$N12:$HC12)</f>
        <v>20</v>
      </c>
      <c r="HL12">
        <f>SUMIF($HD$4:$HK$4,HL$6,$HD12:$HK12)</f>
        <v>89</v>
      </c>
      <c r="HM12">
        <f>SUMIF($HD$4:$HK$4,HM$6,$HD12:$HK12)</f>
        <v>63</v>
      </c>
      <c r="HN12">
        <f>SUM(HL12:HM12)</f>
        <v>152</v>
      </c>
    </row>
    <row r="13" spans="1:222" x14ac:dyDescent="0.25">
      <c r="A13" t="s">
        <v>405</v>
      </c>
      <c r="B13" t="s">
        <v>421</v>
      </c>
      <c r="C13">
        <v>304326</v>
      </c>
      <c r="D13" t="s">
        <v>691</v>
      </c>
      <c r="E13" t="s">
        <v>423</v>
      </c>
      <c r="F13" t="s">
        <v>424</v>
      </c>
      <c r="G13" t="s">
        <v>407</v>
      </c>
      <c r="H13" t="s">
        <v>436</v>
      </c>
      <c r="I13" t="s">
        <v>408</v>
      </c>
      <c r="J13" t="s">
        <v>409</v>
      </c>
      <c r="K13" t="s">
        <v>410</v>
      </c>
      <c r="L13" t="s">
        <v>681</v>
      </c>
      <c r="M13" t="s">
        <v>682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1</v>
      </c>
      <c r="AX13">
        <v>0</v>
      </c>
      <c r="AY13">
        <v>2</v>
      </c>
      <c r="AZ13">
        <v>1</v>
      </c>
      <c r="BA13">
        <v>1</v>
      </c>
      <c r="BB13">
        <v>0</v>
      </c>
      <c r="BC13">
        <v>5</v>
      </c>
      <c r="BD13">
        <v>1</v>
      </c>
      <c r="BE13">
        <v>6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3</v>
      </c>
      <c r="DJ13">
        <v>0</v>
      </c>
      <c r="DK13">
        <v>13</v>
      </c>
      <c r="DL13">
        <v>2</v>
      </c>
      <c r="DM13">
        <v>3</v>
      </c>
      <c r="DN13">
        <v>0</v>
      </c>
      <c r="DO13">
        <v>1</v>
      </c>
      <c r="DP13">
        <v>0</v>
      </c>
      <c r="DQ13">
        <v>20</v>
      </c>
      <c r="DR13">
        <v>2</v>
      </c>
      <c r="DS13">
        <v>22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22</v>
      </c>
      <c r="FM13">
        <v>5</v>
      </c>
      <c r="FN13">
        <v>0</v>
      </c>
      <c r="FO13">
        <v>0</v>
      </c>
      <c r="FP13">
        <v>1</v>
      </c>
      <c r="FQ13">
        <v>0</v>
      </c>
      <c r="FR13">
        <v>0</v>
      </c>
      <c r="FS13">
        <v>0</v>
      </c>
      <c r="FT13">
        <v>23</v>
      </c>
      <c r="FU13">
        <v>5</v>
      </c>
      <c r="FV13">
        <v>28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1</v>
      </c>
      <c r="GV13">
        <v>0</v>
      </c>
      <c r="GW13">
        <v>0</v>
      </c>
      <c r="GX13">
        <v>0</v>
      </c>
      <c r="GY13">
        <v>1</v>
      </c>
      <c r="GZ13">
        <v>0</v>
      </c>
      <c r="HA13">
        <v>2</v>
      </c>
      <c r="HB13">
        <v>0</v>
      </c>
      <c r="HC13">
        <v>2</v>
      </c>
      <c r="HD13">
        <f>SUMIF($N$6:$HC$6,"*"&amp;HD$6&amp;"*",$N13:$HC13)</f>
        <v>26</v>
      </c>
      <c r="HE13">
        <f>SUMIF($N$6:$HC$6,"*"&amp;HE$6&amp;"*",$N13:$HC13)</f>
        <v>5</v>
      </c>
      <c r="HF13">
        <f>SUMIF($N$6:$HC$6,"*"&amp;HF$6&amp;"*",$N13:$HC13)</f>
        <v>15</v>
      </c>
      <c r="HG13">
        <f>SUMIF($N$6:$HC$6,"*"&amp;HG$6&amp;"*",$N13:$HC13)</f>
        <v>3</v>
      </c>
      <c r="HH13">
        <f>SUMIF($N$6:$HC$6,"*"&amp;HH$6&amp;"*",$N13:$HC13)</f>
        <v>7</v>
      </c>
      <c r="HI13">
        <f>SUMIF($N$6:$HC$6,"*"&amp;HI$6&amp;"*",$N13:$HC13)</f>
        <v>1</v>
      </c>
      <c r="HJ13">
        <f>SUMIF($N$6:$HC$6,"*"&amp;HJ$6&amp;"*",$N13:$HC13)</f>
        <v>4</v>
      </c>
      <c r="HK13">
        <f>SUMIF($N$6:$HC$6,"*"&amp;HK$6&amp;"*",$N13:$HC13)</f>
        <v>0</v>
      </c>
      <c r="HL13">
        <f>SUMIF($HD$4:$HK$4,HL$6,$HD13:$HK13)</f>
        <v>52</v>
      </c>
      <c r="HM13">
        <f>SUMIF($HD$4:$HK$4,HM$6,$HD13:$HK13)</f>
        <v>9</v>
      </c>
      <c r="HN13">
        <f>SUM(HL13:HM13)</f>
        <v>61</v>
      </c>
    </row>
    <row r="14" spans="1:222" x14ac:dyDescent="0.25">
      <c r="A14" t="s">
        <v>405</v>
      </c>
      <c r="B14" t="s">
        <v>421</v>
      </c>
      <c r="C14">
        <v>304327</v>
      </c>
      <c r="D14" t="s">
        <v>692</v>
      </c>
      <c r="E14" t="s">
        <v>423</v>
      </c>
      <c r="F14" t="s">
        <v>424</v>
      </c>
      <c r="G14" t="s">
        <v>407</v>
      </c>
      <c r="H14" t="s">
        <v>463</v>
      </c>
      <c r="I14" t="s">
        <v>408</v>
      </c>
      <c r="J14" t="s">
        <v>409</v>
      </c>
      <c r="K14" t="s">
        <v>410</v>
      </c>
      <c r="L14" t="s">
        <v>681</v>
      </c>
      <c r="M14" t="s">
        <v>682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f>SUMIF($N$6:$HC$6,"*"&amp;HD$6&amp;"*",$N14:$HC14)</f>
        <v>0</v>
      </c>
      <c r="HE14">
        <f>SUMIF($N$6:$HC$6,"*"&amp;HE$6&amp;"*",$N14:$HC14)</f>
        <v>0</v>
      </c>
      <c r="HF14">
        <f>SUMIF($N$6:$HC$6,"*"&amp;HF$6&amp;"*",$N14:$HC14)</f>
        <v>0</v>
      </c>
      <c r="HG14">
        <f>SUMIF($N$6:$HC$6,"*"&amp;HG$6&amp;"*",$N14:$HC14)</f>
        <v>0</v>
      </c>
      <c r="HH14">
        <f>SUMIF($N$6:$HC$6,"*"&amp;HH$6&amp;"*",$N14:$HC14)</f>
        <v>0</v>
      </c>
      <c r="HI14">
        <f>SUMIF($N$6:$HC$6,"*"&amp;HI$6&amp;"*",$N14:$HC14)</f>
        <v>0</v>
      </c>
      <c r="HJ14">
        <f>SUMIF($N$6:$HC$6,"*"&amp;HJ$6&amp;"*",$N14:$HC14)</f>
        <v>0</v>
      </c>
      <c r="HK14">
        <f>SUMIF($N$6:$HC$6,"*"&amp;HK$6&amp;"*",$N14:$HC14)</f>
        <v>0</v>
      </c>
      <c r="HL14">
        <f>SUMIF($HD$4:$HK$4,HL$6,$HD14:$HK14)</f>
        <v>0</v>
      </c>
      <c r="HM14">
        <f>SUMIF($HD$4:$HK$4,HM$6,$HD14:$HK14)</f>
        <v>0</v>
      </c>
      <c r="HN14">
        <f>SUM(HL14:HM14)</f>
        <v>0</v>
      </c>
    </row>
    <row r="15" spans="1:222" x14ac:dyDescent="0.25">
      <c r="A15" t="s">
        <v>405</v>
      </c>
      <c r="B15" t="s">
        <v>421</v>
      </c>
      <c r="C15">
        <v>304328</v>
      </c>
      <c r="D15" t="s">
        <v>693</v>
      </c>
      <c r="E15" t="s">
        <v>423</v>
      </c>
      <c r="F15" t="s">
        <v>424</v>
      </c>
      <c r="G15" t="s">
        <v>407</v>
      </c>
      <c r="H15" t="s">
        <v>449</v>
      </c>
      <c r="I15" t="s">
        <v>408</v>
      </c>
      <c r="J15" t="s">
        <v>409</v>
      </c>
      <c r="K15" t="s">
        <v>410</v>
      </c>
      <c r="L15" t="s">
        <v>681</v>
      </c>
      <c r="M15" t="s">
        <v>682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f>SUMIF($N$6:$HC$6,"*"&amp;HD$6&amp;"*",$N15:$HC15)</f>
        <v>0</v>
      </c>
      <c r="HE15">
        <f>SUMIF($N$6:$HC$6,"*"&amp;HE$6&amp;"*",$N15:$HC15)</f>
        <v>0</v>
      </c>
      <c r="HF15">
        <f>SUMIF($N$6:$HC$6,"*"&amp;HF$6&amp;"*",$N15:$HC15)</f>
        <v>0</v>
      </c>
      <c r="HG15">
        <f>SUMIF($N$6:$HC$6,"*"&amp;HG$6&amp;"*",$N15:$HC15)</f>
        <v>0</v>
      </c>
      <c r="HH15">
        <f>SUMIF($N$6:$HC$6,"*"&amp;HH$6&amp;"*",$N15:$HC15)</f>
        <v>0</v>
      </c>
      <c r="HI15">
        <f>SUMIF($N$6:$HC$6,"*"&amp;HI$6&amp;"*",$N15:$HC15)</f>
        <v>0</v>
      </c>
      <c r="HJ15">
        <f>SUMIF($N$6:$HC$6,"*"&amp;HJ$6&amp;"*",$N15:$HC15)</f>
        <v>0</v>
      </c>
      <c r="HK15">
        <f>SUMIF($N$6:$HC$6,"*"&amp;HK$6&amp;"*",$N15:$HC15)</f>
        <v>0</v>
      </c>
      <c r="HL15">
        <f>SUMIF($HD$4:$HK$4,HL$6,$HD15:$HK15)</f>
        <v>0</v>
      </c>
      <c r="HM15">
        <f>SUMIF($HD$4:$HK$4,HM$6,$HD15:$HK15)</f>
        <v>0</v>
      </c>
      <c r="HN15">
        <f>SUM(HL15:HM15)</f>
        <v>0</v>
      </c>
    </row>
    <row r="16" spans="1:222" x14ac:dyDescent="0.25">
      <c r="A16" t="s">
        <v>405</v>
      </c>
      <c r="B16" t="s">
        <v>421</v>
      </c>
      <c r="C16">
        <v>304338</v>
      </c>
      <c r="D16" t="s">
        <v>694</v>
      </c>
      <c r="E16" t="s">
        <v>423</v>
      </c>
      <c r="F16" t="s">
        <v>424</v>
      </c>
      <c r="G16" t="s">
        <v>407</v>
      </c>
      <c r="H16" t="s">
        <v>473</v>
      </c>
      <c r="I16" t="s">
        <v>408</v>
      </c>
      <c r="J16" t="s">
        <v>409</v>
      </c>
      <c r="K16" t="s">
        <v>410</v>
      </c>
      <c r="L16" t="s">
        <v>681</v>
      </c>
      <c r="M16" t="s">
        <v>682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8</v>
      </c>
      <c r="BI16">
        <v>2</v>
      </c>
      <c r="BJ16">
        <v>3</v>
      </c>
      <c r="BK16">
        <v>1</v>
      </c>
      <c r="BL16">
        <v>0</v>
      </c>
      <c r="BM16">
        <v>2</v>
      </c>
      <c r="BN16">
        <v>12</v>
      </c>
      <c r="BO16">
        <v>5</v>
      </c>
      <c r="BP16">
        <v>17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4</v>
      </c>
      <c r="DP16">
        <v>2</v>
      </c>
      <c r="DQ16">
        <v>4</v>
      </c>
      <c r="DR16">
        <v>2</v>
      </c>
      <c r="DS16">
        <v>6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3</v>
      </c>
      <c r="FO16">
        <v>2</v>
      </c>
      <c r="FP16">
        <v>0</v>
      </c>
      <c r="FQ16">
        <v>0</v>
      </c>
      <c r="FR16">
        <v>0</v>
      </c>
      <c r="FS16">
        <v>0</v>
      </c>
      <c r="FT16">
        <v>3</v>
      </c>
      <c r="FU16">
        <v>2</v>
      </c>
      <c r="FV16">
        <v>5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f>SUMIF($N$6:$HC$6,"*"&amp;HD$6&amp;"*",$N16:$HC16)</f>
        <v>1</v>
      </c>
      <c r="HE16">
        <f>SUMIF($N$6:$HC$6,"*"&amp;HE$6&amp;"*",$N16:$HC16)</f>
        <v>0</v>
      </c>
      <c r="HF16">
        <f>SUMIF($N$6:$HC$6,"*"&amp;HF$6&amp;"*",$N16:$HC16)</f>
        <v>11</v>
      </c>
      <c r="HG16">
        <f>SUMIF($N$6:$HC$6,"*"&amp;HG$6&amp;"*",$N16:$HC16)</f>
        <v>4</v>
      </c>
      <c r="HH16">
        <f>SUMIF($N$6:$HC$6,"*"&amp;HH$6&amp;"*",$N16:$HC16)</f>
        <v>3</v>
      </c>
      <c r="HI16">
        <f>SUMIF($N$6:$HC$6,"*"&amp;HI$6&amp;"*",$N16:$HC16)</f>
        <v>1</v>
      </c>
      <c r="HJ16">
        <f>SUMIF($N$6:$HC$6,"*"&amp;HJ$6&amp;"*",$N16:$HC16)</f>
        <v>4</v>
      </c>
      <c r="HK16">
        <f>SUMIF($N$6:$HC$6,"*"&amp;HK$6&amp;"*",$N16:$HC16)</f>
        <v>4</v>
      </c>
      <c r="HL16">
        <f>SUMIF($HD$4:$HK$4,HL$6,$HD16:$HK16)</f>
        <v>19</v>
      </c>
      <c r="HM16">
        <f>SUMIF($HD$4:$HK$4,HM$6,$HD16:$HK16)</f>
        <v>9</v>
      </c>
      <c r="HN16">
        <f>SUM(HL16:HM16)</f>
        <v>28</v>
      </c>
    </row>
    <row r="17" spans="1:222" x14ac:dyDescent="0.25">
      <c r="A17" t="s">
        <v>405</v>
      </c>
      <c r="B17" t="s">
        <v>421</v>
      </c>
      <c r="C17">
        <v>305680</v>
      </c>
      <c r="D17" t="s">
        <v>695</v>
      </c>
      <c r="E17" t="s">
        <v>423</v>
      </c>
      <c r="F17" t="s">
        <v>424</v>
      </c>
      <c r="G17" t="s">
        <v>407</v>
      </c>
      <c r="H17" t="s">
        <v>449</v>
      </c>
      <c r="I17" t="s">
        <v>408</v>
      </c>
      <c r="J17" t="s">
        <v>409</v>
      </c>
      <c r="K17" t="s">
        <v>410</v>
      </c>
      <c r="L17" t="s">
        <v>683</v>
      </c>
      <c r="M17" t="s">
        <v>684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1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2</v>
      </c>
      <c r="BD17">
        <v>1</v>
      </c>
      <c r="BE17">
        <v>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f>SUMIF($N$6:$HC$6,"*"&amp;HD$6&amp;"*",$N17:$HC17)</f>
        <v>1</v>
      </c>
      <c r="HE17">
        <f>SUMIF($N$6:$HC$6,"*"&amp;HE$6&amp;"*",$N17:$HC17)</f>
        <v>0</v>
      </c>
      <c r="HF17">
        <f>SUMIF($N$6:$HC$6,"*"&amp;HF$6&amp;"*",$N17:$HC17)</f>
        <v>1</v>
      </c>
      <c r="HG17">
        <f>SUMIF($N$6:$HC$6,"*"&amp;HG$6&amp;"*",$N17:$HC17)</f>
        <v>1</v>
      </c>
      <c r="HH17">
        <f>SUMIF($N$6:$HC$6,"*"&amp;HH$6&amp;"*",$N17:$HC17)</f>
        <v>0</v>
      </c>
      <c r="HI17">
        <f>SUMIF($N$6:$HC$6,"*"&amp;HI$6&amp;"*",$N17:$HC17)</f>
        <v>0</v>
      </c>
      <c r="HJ17">
        <f>SUMIF($N$6:$HC$6,"*"&amp;HJ$6&amp;"*",$N17:$HC17)</f>
        <v>0</v>
      </c>
      <c r="HK17">
        <f>SUMIF($N$6:$HC$6,"*"&amp;HK$6&amp;"*",$N17:$HC17)</f>
        <v>0</v>
      </c>
      <c r="HL17">
        <f>SUMIF($HD$4:$HK$4,HL$6,$HD17:$HK17)</f>
        <v>2</v>
      </c>
      <c r="HM17">
        <f>SUMIF($HD$4:$HK$4,HM$6,$HD17:$HK17)</f>
        <v>1</v>
      </c>
      <c r="HN17">
        <f>SUM(HL17:HM17)</f>
        <v>3</v>
      </c>
    </row>
    <row r="18" spans="1:222" x14ac:dyDescent="0.25">
      <c r="A18" t="s">
        <v>405</v>
      </c>
      <c r="B18" t="s">
        <v>421</v>
      </c>
      <c r="C18">
        <v>316104</v>
      </c>
      <c r="D18" t="s">
        <v>696</v>
      </c>
      <c r="E18" t="s">
        <v>423</v>
      </c>
      <c r="F18" t="s">
        <v>424</v>
      </c>
      <c r="G18" t="s">
        <v>407</v>
      </c>
      <c r="H18" t="s">
        <v>456</v>
      </c>
      <c r="I18" t="s">
        <v>408</v>
      </c>
      <c r="J18" t="s">
        <v>409</v>
      </c>
      <c r="K18" t="s">
        <v>410</v>
      </c>
      <c r="L18" t="s">
        <v>681</v>
      </c>
      <c r="M18" t="s">
        <v>682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1</v>
      </c>
      <c r="BP18">
        <v>2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3</v>
      </c>
      <c r="DJ18">
        <v>0</v>
      </c>
      <c r="DK18">
        <v>2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6</v>
      </c>
      <c r="DR18">
        <v>0</v>
      </c>
      <c r="DS18">
        <v>6</v>
      </c>
      <c r="DT18">
        <v>1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1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1</v>
      </c>
      <c r="FU18">
        <v>0</v>
      </c>
      <c r="FV18">
        <v>1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1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1</v>
      </c>
      <c r="HB18">
        <v>0</v>
      </c>
      <c r="HC18">
        <v>1</v>
      </c>
      <c r="HD18">
        <f>SUMIF($N$6:$HC$6,"*"&amp;HD$6&amp;"*",$N18:$HC18)</f>
        <v>8</v>
      </c>
      <c r="HE18">
        <f>SUMIF($N$6:$HC$6,"*"&amp;HE$6&amp;"*",$N18:$HC18)</f>
        <v>1</v>
      </c>
      <c r="HF18">
        <f>SUMIF($N$6:$HC$6,"*"&amp;HF$6&amp;"*",$N18:$HC18)</f>
        <v>2</v>
      </c>
      <c r="HG18">
        <f>SUMIF($N$6:$HC$6,"*"&amp;HG$6&amp;"*",$N18:$HC18)</f>
        <v>0</v>
      </c>
      <c r="HH18">
        <f>SUMIF($N$6:$HC$6,"*"&amp;HH$6&amp;"*",$N18:$HC18)</f>
        <v>0</v>
      </c>
      <c r="HI18">
        <f>SUMIF($N$6:$HC$6,"*"&amp;HI$6&amp;"*",$N18:$HC18)</f>
        <v>0</v>
      </c>
      <c r="HJ18">
        <f>SUMIF($N$6:$HC$6,"*"&amp;HJ$6&amp;"*",$N18:$HC18)</f>
        <v>1</v>
      </c>
      <c r="HK18">
        <f>SUMIF($N$6:$HC$6,"*"&amp;HK$6&amp;"*",$N18:$HC18)</f>
        <v>0</v>
      </c>
      <c r="HL18">
        <f>SUMIF($HD$4:$HK$4,HL$6,$HD18:$HK18)</f>
        <v>11</v>
      </c>
      <c r="HM18">
        <f>SUMIF($HD$4:$HK$4,HM$6,$HD18:$HK18)</f>
        <v>1</v>
      </c>
      <c r="HN18">
        <f>SUM(HL18:HM18)</f>
        <v>12</v>
      </c>
    </row>
    <row r="19" spans="1:222" x14ac:dyDescent="0.25">
      <c r="A19" t="s">
        <v>405</v>
      </c>
      <c r="B19" t="s">
        <v>421</v>
      </c>
      <c r="C19">
        <v>325101</v>
      </c>
      <c r="D19" t="s">
        <v>697</v>
      </c>
      <c r="E19" t="s">
        <v>423</v>
      </c>
      <c r="F19" t="s">
        <v>424</v>
      </c>
      <c r="G19" t="s">
        <v>407</v>
      </c>
      <c r="H19" t="s">
        <v>449</v>
      </c>
      <c r="I19" t="s">
        <v>408</v>
      </c>
      <c r="J19" t="s">
        <v>409</v>
      </c>
      <c r="K19" t="s">
        <v>410</v>
      </c>
      <c r="L19" t="s">
        <v>683</v>
      </c>
      <c r="M19" t="s">
        <v>684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2</v>
      </c>
      <c r="BD19">
        <v>0</v>
      </c>
      <c r="BE19">
        <v>2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4</v>
      </c>
      <c r="DJ19">
        <v>1</v>
      </c>
      <c r="DK19">
        <v>1</v>
      </c>
      <c r="DL19">
        <v>0</v>
      </c>
      <c r="DM19">
        <v>2</v>
      </c>
      <c r="DN19">
        <v>3</v>
      </c>
      <c r="DO19">
        <v>0</v>
      </c>
      <c r="DP19">
        <v>0</v>
      </c>
      <c r="DQ19">
        <v>7</v>
      </c>
      <c r="DR19">
        <v>4</v>
      </c>
      <c r="DS19">
        <v>11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1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1</v>
      </c>
      <c r="FL19">
        <v>0</v>
      </c>
      <c r="FM19">
        <v>0</v>
      </c>
      <c r="FN19">
        <v>0</v>
      </c>
      <c r="FO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1</v>
      </c>
      <c r="FV19">
        <v>1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f>SUMIF($N$6:$HC$6,"*"&amp;HD$6&amp;"*",$N19:$HC19)</f>
        <v>7</v>
      </c>
      <c r="HE19">
        <f>SUMIF($N$6:$HC$6,"*"&amp;HE$6&amp;"*",$N19:$HC19)</f>
        <v>2</v>
      </c>
      <c r="HF19">
        <f>SUMIF($N$6:$HC$6,"*"&amp;HF$6&amp;"*",$N19:$HC19)</f>
        <v>1</v>
      </c>
      <c r="HG19">
        <f>SUMIF($N$6:$HC$6,"*"&amp;HG$6&amp;"*",$N19:$HC19)</f>
        <v>1</v>
      </c>
      <c r="HH19">
        <f>SUMIF($N$6:$HC$6,"*"&amp;HH$6&amp;"*",$N19:$HC19)</f>
        <v>2</v>
      </c>
      <c r="HI19">
        <f>SUMIF($N$6:$HC$6,"*"&amp;HI$6&amp;"*",$N19:$HC19)</f>
        <v>3</v>
      </c>
      <c r="HJ19">
        <f>SUMIF($N$6:$HC$6,"*"&amp;HJ$6&amp;"*",$N19:$HC19)</f>
        <v>1</v>
      </c>
      <c r="HK19">
        <f>SUMIF($N$6:$HC$6,"*"&amp;HK$6&amp;"*",$N19:$HC19)</f>
        <v>0</v>
      </c>
      <c r="HL19">
        <f>SUMIF($HD$4:$HK$4,HL$6,$HD19:$HK19)</f>
        <v>11</v>
      </c>
      <c r="HM19">
        <f>SUMIF($HD$4:$HK$4,HM$6,$HD19:$HK19)</f>
        <v>6</v>
      </c>
      <c r="HN19">
        <f>SUM(HL19:HM19)</f>
        <v>17</v>
      </c>
    </row>
    <row r="20" spans="1:222" x14ac:dyDescent="0.25">
      <c r="A20" t="s">
        <v>405</v>
      </c>
      <c r="B20" t="s">
        <v>421</v>
      </c>
      <c r="C20">
        <v>325102</v>
      </c>
      <c r="D20" t="s">
        <v>698</v>
      </c>
      <c r="E20" t="s">
        <v>423</v>
      </c>
      <c r="F20" t="s">
        <v>424</v>
      </c>
      <c r="G20" t="s">
        <v>407</v>
      </c>
      <c r="H20" t="s">
        <v>447</v>
      </c>
      <c r="I20" t="s">
        <v>408</v>
      </c>
      <c r="J20" t="s">
        <v>409</v>
      </c>
      <c r="K20" t="s">
        <v>410</v>
      </c>
      <c r="L20" t="s">
        <v>681</v>
      </c>
      <c r="M20" t="s">
        <v>682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f>SUMIF($N$6:$HC$6,"*"&amp;HD$6&amp;"*",$N20:$HC20)</f>
        <v>1</v>
      </c>
      <c r="HE20">
        <f>SUMIF($N$6:$HC$6,"*"&amp;HE$6&amp;"*",$N20:$HC20)</f>
        <v>0</v>
      </c>
      <c r="HF20">
        <f>SUMIF($N$6:$HC$6,"*"&amp;HF$6&amp;"*",$N20:$HC20)</f>
        <v>0</v>
      </c>
      <c r="HG20">
        <f>SUMIF($N$6:$HC$6,"*"&amp;HG$6&amp;"*",$N20:$HC20)</f>
        <v>0</v>
      </c>
      <c r="HH20">
        <f>SUMIF($N$6:$HC$6,"*"&amp;HH$6&amp;"*",$N20:$HC20)</f>
        <v>0</v>
      </c>
      <c r="HI20">
        <f>SUMIF($N$6:$HC$6,"*"&amp;HI$6&amp;"*",$N20:$HC20)</f>
        <v>0</v>
      </c>
      <c r="HJ20">
        <f>SUMIF($N$6:$HC$6,"*"&amp;HJ$6&amp;"*",$N20:$HC20)</f>
        <v>0</v>
      </c>
      <c r="HK20">
        <f>SUMIF($N$6:$HC$6,"*"&amp;HK$6&amp;"*",$N20:$HC20)</f>
        <v>0</v>
      </c>
      <c r="HL20">
        <f>SUMIF($HD$4:$HK$4,HL$6,$HD20:$HK20)</f>
        <v>1</v>
      </c>
      <c r="HM20">
        <f>SUMIF($HD$4:$HK$4,HM$6,$HD20:$HK20)</f>
        <v>0</v>
      </c>
      <c r="HN20">
        <f>SUM(HL20:HM20)</f>
        <v>1</v>
      </c>
    </row>
    <row r="21" spans="1:222" x14ac:dyDescent="0.25">
      <c r="A21" t="s">
        <v>405</v>
      </c>
      <c r="B21" t="s">
        <v>421</v>
      </c>
      <c r="C21">
        <v>325104</v>
      </c>
      <c r="D21" t="s">
        <v>699</v>
      </c>
      <c r="E21" t="s">
        <v>423</v>
      </c>
      <c r="F21" t="s">
        <v>424</v>
      </c>
      <c r="G21" t="s">
        <v>407</v>
      </c>
      <c r="H21" t="s">
        <v>431</v>
      </c>
      <c r="I21" t="s">
        <v>408</v>
      </c>
      <c r="J21" t="s">
        <v>409</v>
      </c>
      <c r="K21" t="s">
        <v>410</v>
      </c>
      <c r="L21" t="s">
        <v>681</v>
      </c>
      <c r="M21" t="s">
        <v>682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0</v>
      </c>
      <c r="AV21">
        <v>0</v>
      </c>
      <c r="AW21">
        <v>3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3</v>
      </c>
      <c r="BD21">
        <v>1</v>
      </c>
      <c r="BE21">
        <v>4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3</v>
      </c>
      <c r="DC21">
        <v>0</v>
      </c>
      <c r="DD21">
        <v>0</v>
      </c>
      <c r="DE21">
        <v>0</v>
      </c>
      <c r="DF21">
        <v>3</v>
      </c>
      <c r="DG21">
        <v>0</v>
      </c>
      <c r="DH21">
        <v>3</v>
      </c>
      <c r="DI21">
        <v>4</v>
      </c>
      <c r="DJ21">
        <v>1</v>
      </c>
      <c r="DK21">
        <v>0</v>
      </c>
      <c r="DL21">
        <v>1</v>
      </c>
      <c r="DM21">
        <v>3</v>
      </c>
      <c r="DN21">
        <v>0</v>
      </c>
      <c r="DO21">
        <v>0</v>
      </c>
      <c r="DP21">
        <v>0</v>
      </c>
      <c r="DQ21">
        <v>7</v>
      </c>
      <c r="DR21">
        <v>2</v>
      </c>
      <c r="DS21">
        <v>9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</v>
      </c>
      <c r="FM21">
        <v>0</v>
      </c>
      <c r="FN21">
        <v>1</v>
      </c>
      <c r="FO21">
        <v>0</v>
      </c>
      <c r="FP21">
        <v>1</v>
      </c>
      <c r="FQ21">
        <v>0</v>
      </c>
      <c r="FR21">
        <v>0</v>
      </c>
      <c r="FS21">
        <v>0</v>
      </c>
      <c r="FT21">
        <v>3</v>
      </c>
      <c r="FU21">
        <v>0</v>
      </c>
      <c r="FV21">
        <v>3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1</v>
      </c>
      <c r="GV21">
        <v>0</v>
      </c>
      <c r="GW21">
        <v>1</v>
      </c>
      <c r="GX21">
        <v>0</v>
      </c>
      <c r="GY21">
        <v>0</v>
      </c>
      <c r="GZ21">
        <v>0</v>
      </c>
      <c r="HA21">
        <v>2</v>
      </c>
      <c r="HB21">
        <v>0</v>
      </c>
      <c r="HC21">
        <v>2</v>
      </c>
      <c r="HD21">
        <f>SUMIF($N$6:$HC$6,"*"&amp;HD$6&amp;"*",$N21:$HC21)</f>
        <v>6</v>
      </c>
      <c r="HE21">
        <f>SUMIF($N$6:$HC$6,"*"&amp;HE$6&amp;"*",$N21:$HC21)</f>
        <v>2</v>
      </c>
      <c r="HF21">
        <f>SUMIF($N$6:$HC$6,"*"&amp;HF$6&amp;"*",$N21:$HC21)</f>
        <v>6</v>
      </c>
      <c r="HG21">
        <f>SUMIF($N$6:$HC$6,"*"&amp;HG$6&amp;"*",$N21:$HC21)</f>
        <v>2</v>
      </c>
      <c r="HH21">
        <f>SUMIF($N$6:$HC$6,"*"&amp;HH$6&amp;"*",$N21:$HC21)</f>
        <v>8</v>
      </c>
      <c r="HI21">
        <f>SUMIF($N$6:$HC$6,"*"&amp;HI$6&amp;"*",$N21:$HC21)</f>
        <v>0</v>
      </c>
      <c r="HJ21">
        <f>SUMIF($N$6:$HC$6,"*"&amp;HJ$6&amp;"*",$N21:$HC21)</f>
        <v>1</v>
      </c>
      <c r="HK21">
        <f>SUMIF($N$6:$HC$6,"*"&amp;HK$6&amp;"*",$N21:$HC21)</f>
        <v>0</v>
      </c>
      <c r="HL21">
        <f>SUMIF($HD$4:$HK$4,HL$6,$HD21:$HK21)</f>
        <v>21</v>
      </c>
      <c r="HM21">
        <f>SUMIF($HD$4:$HK$4,HM$6,$HD21:$HK21)</f>
        <v>4</v>
      </c>
      <c r="HN21">
        <f>SUM(HL21:HM21)</f>
        <v>25</v>
      </c>
    </row>
    <row r="22" spans="1:222" x14ac:dyDescent="0.25">
      <c r="A22" t="s">
        <v>405</v>
      </c>
      <c r="B22" t="s">
        <v>421</v>
      </c>
      <c r="C22">
        <v>325105</v>
      </c>
      <c r="D22" t="s">
        <v>700</v>
      </c>
      <c r="E22" t="s">
        <v>423</v>
      </c>
      <c r="F22" t="s">
        <v>424</v>
      </c>
      <c r="G22" t="s">
        <v>407</v>
      </c>
      <c r="H22" t="s">
        <v>427</v>
      </c>
      <c r="I22" t="s">
        <v>500</v>
      </c>
      <c r="J22" t="s">
        <v>409</v>
      </c>
      <c r="K22" t="s">
        <v>410</v>
      </c>
      <c r="L22" t="s">
        <v>681</v>
      </c>
      <c r="M22" t="s">
        <v>682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1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1</v>
      </c>
      <c r="FV22">
        <v>1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f>SUMIF($N$6:$HC$6,"*"&amp;HD$6&amp;"*",$N22:$HC22)</f>
        <v>0</v>
      </c>
      <c r="HE22">
        <f>SUMIF($N$6:$HC$6,"*"&amp;HE$6&amp;"*",$N22:$HC22)</f>
        <v>1</v>
      </c>
      <c r="HF22">
        <f>SUMIF($N$6:$HC$6,"*"&amp;HF$6&amp;"*",$N22:$HC22)</f>
        <v>0</v>
      </c>
      <c r="HG22">
        <f>SUMIF($N$6:$HC$6,"*"&amp;HG$6&amp;"*",$N22:$HC22)</f>
        <v>0</v>
      </c>
      <c r="HH22">
        <f>SUMIF($N$6:$HC$6,"*"&amp;HH$6&amp;"*",$N22:$HC22)</f>
        <v>0</v>
      </c>
      <c r="HI22">
        <f>SUMIF($N$6:$HC$6,"*"&amp;HI$6&amp;"*",$N22:$HC22)</f>
        <v>0</v>
      </c>
      <c r="HJ22">
        <f>SUMIF($N$6:$HC$6,"*"&amp;HJ$6&amp;"*",$N22:$HC22)</f>
        <v>0</v>
      </c>
      <c r="HK22">
        <f>SUMIF($N$6:$HC$6,"*"&amp;HK$6&amp;"*",$N22:$HC22)</f>
        <v>0</v>
      </c>
      <c r="HL22">
        <f>SUMIF($HD$4:$HK$4,HL$6,$HD22:$HK22)</f>
        <v>0</v>
      </c>
      <c r="HM22">
        <f>SUMIF($HD$4:$HK$4,HM$6,$HD22:$HK22)</f>
        <v>1</v>
      </c>
      <c r="HN22">
        <f>SUM(HL22:HM22)</f>
        <v>1</v>
      </c>
    </row>
    <row r="23" spans="1:222" x14ac:dyDescent="0.25">
      <c r="A23" t="s">
        <v>405</v>
      </c>
      <c r="B23" t="s">
        <v>421</v>
      </c>
      <c r="C23">
        <v>325106</v>
      </c>
      <c r="D23" t="s">
        <v>701</v>
      </c>
      <c r="E23" t="s">
        <v>423</v>
      </c>
      <c r="F23" t="s">
        <v>424</v>
      </c>
      <c r="G23" t="s">
        <v>407</v>
      </c>
      <c r="H23" t="s">
        <v>478</v>
      </c>
      <c r="I23" t="s">
        <v>408</v>
      </c>
      <c r="J23" t="s">
        <v>409</v>
      </c>
      <c r="K23" t="s">
        <v>410</v>
      </c>
      <c r="L23" t="s">
        <v>681</v>
      </c>
      <c r="M23" t="s">
        <v>682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4</v>
      </c>
      <c r="AV23">
        <v>1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4</v>
      </c>
      <c r="BD23">
        <v>2</v>
      </c>
      <c r="BE23">
        <v>6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3</v>
      </c>
      <c r="DJ23">
        <v>1</v>
      </c>
      <c r="DK23">
        <v>1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4</v>
      </c>
      <c r="DR23">
        <v>1</v>
      </c>
      <c r="DS23">
        <v>5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1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1</v>
      </c>
      <c r="FU23">
        <v>0</v>
      </c>
      <c r="FV23">
        <v>1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f>SUMIF($N$6:$HC$6,"*"&amp;HD$6&amp;"*",$N23:$HC23)</f>
        <v>8</v>
      </c>
      <c r="HE23">
        <f>SUMIF($N$6:$HC$6,"*"&amp;HE$6&amp;"*",$N23:$HC23)</f>
        <v>2</v>
      </c>
      <c r="HF23">
        <f>SUMIF($N$6:$HC$6,"*"&amp;HF$6&amp;"*",$N23:$HC23)</f>
        <v>2</v>
      </c>
      <c r="HG23">
        <f>SUMIF($N$6:$HC$6,"*"&amp;HG$6&amp;"*",$N23:$HC23)</f>
        <v>1</v>
      </c>
      <c r="HH23">
        <f>SUMIF($N$6:$HC$6,"*"&amp;HH$6&amp;"*",$N23:$HC23)</f>
        <v>0</v>
      </c>
      <c r="HI23">
        <f>SUMIF($N$6:$HC$6,"*"&amp;HI$6&amp;"*",$N23:$HC23)</f>
        <v>0</v>
      </c>
      <c r="HJ23">
        <f>SUMIF($N$6:$HC$6,"*"&amp;HJ$6&amp;"*",$N23:$HC23)</f>
        <v>0</v>
      </c>
      <c r="HK23">
        <f>SUMIF($N$6:$HC$6,"*"&amp;HK$6&amp;"*",$N23:$HC23)</f>
        <v>0</v>
      </c>
      <c r="HL23">
        <f>SUMIF($HD$4:$HK$4,HL$6,$HD23:$HK23)</f>
        <v>10</v>
      </c>
      <c r="HM23">
        <f>SUMIF($HD$4:$HK$4,HM$6,$HD23:$HK23)</f>
        <v>3</v>
      </c>
      <c r="HN23">
        <f>SUM(HL23:HM23)</f>
        <v>13</v>
      </c>
    </row>
    <row r="24" spans="1:222" x14ac:dyDescent="0.25">
      <c r="A24" t="s">
        <v>405</v>
      </c>
      <c r="B24" t="s">
        <v>421</v>
      </c>
      <c r="C24">
        <v>405423</v>
      </c>
      <c r="D24" t="s">
        <v>496</v>
      </c>
      <c r="E24" t="s">
        <v>423</v>
      </c>
      <c r="F24" t="s">
        <v>424</v>
      </c>
      <c r="G24" t="s">
        <v>407</v>
      </c>
      <c r="H24" t="s">
        <v>434</v>
      </c>
      <c r="I24" t="s">
        <v>408</v>
      </c>
      <c r="J24" t="s">
        <v>413</v>
      </c>
      <c r="K24" t="s">
        <v>414</v>
      </c>
      <c r="L24" t="s">
        <v>415</v>
      </c>
      <c r="M24" t="s">
        <v>416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1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2</v>
      </c>
      <c r="BE24">
        <v>3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1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f>SUMIF($N$6:$HC$6,"*"&amp;HD$6&amp;"*",$N24:$HC24)</f>
        <v>0</v>
      </c>
      <c r="HE24">
        <f>SUMIF($N$6:$HC$6,"*"&amp;HE$6&amp;"*",$N24:$HC24)</f>
        <v>1</v>
      </c>
      <c r="HF24">
        <f>SUMIF($N$6:$HC$6,"*"&amp;HF$6&amp;"*",$N24:$HC24)</f>
        <v>2</v>
      </c>
      <c r="HG24">
        <f>SUMIF($N$6:$HC$6,"*"&amp;HG$6&amp;"*",$N24:$HC24)</f>
        <v>1</v>
      </c>
      <c r="HH24">
        <f>SUMIF($N$6:$HC$6,"*"&amp;HH$6&amp;"*",$N24:$HC24)</f>
        <v>0</v>
      </c>
      <c r="HI24">
        <f>SUMIF($N$6:$HC$6,"*"&amp;HI$6&amp;"*",$N24:$HC24)</f>
        <v>0</v>
      </c>
      <c r="HJ24">
        <f>SUMIF($N$6:$HC$6,"*"&amp;HJ$6&amp;"*",$N24:$HC24)</f>
        <v>0</v>
      </c>
      <c r="HK24">
        <f>SUMIF($N$6:$HC$6,"*"&amp;HK$6&amp;"*",$N24:$HC24)</f>
        <v>0</v>
      </c>
      <c r="HL24">
        <f>SUMIF($HD$4:$HK$4,HL$6,$HD24:$HK24)</f>
        <v>2</v>
      </c>
      <c r="HM24">
        <f>SUMIF($HD$4:$HK$4,HM$6,$HD24:$HK24)</f>
        <v>2</v>
      </c>
      <c r="HN24">
        <f>SUM(HL24:HM24)</f>
        <v>4</v>
      </c>
    </row>
    <row r="25" spans="1:222" x14ac:dyDescent="0.25">
      <c r="A25" t="s">
        <v>405</v>
      </c>
      <c r="B25" t="s">
        <v>421</v>
      </c>
      <c r="C25">
        <v>405424</v>
      </c>
      <c r="D25" t="s">
        <v>702</v>
      </c>
      <c r="E25" t="s">
        <v>423</v>
      </c>
      <c r="F25" t="s">
        <v>424</v>
      </c>
      <c r="G25" t="s">
        <v>407</v>
      </c>
      <c r="H25" t="s">
        <v>436</v>
      </c>
      <c r="I25" t="s">
        <v>408</v>
      </c>
      <c r="J25" t="s">
        <v>413</v>
      </c>
      <c r="K25" t="s">
        <v>414</v>
      </c>
      <c r="L25" t="s">
        <v>681</v>
      </c>
      <c r="M25" t="s">
        <v>682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3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3</v>
      </c>
      <c r="BD25">
        <v>0</v>
      </c>
      <c r="BE25">
        <v>3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</v>
      </c>
      <c r="DJ25">
        <v>0</v>
      </c>
      <c r="DK25">
        <v>1</v>
      </c>
      <c r="DL25">
        <v>0</v>
      </c>
      <c r="DM25">
        <v>2</v>
      </c>
      <c r="DN25">
        <v>0</v>
      </c>
      <c r="DO25">
        <v>5</v>
      </c>
      <c r="DP25">
        <v>1</v>
      </c>
      <c r="DQ25">
        <v>9</v>
      </c>
      <c r="DR25">
        <v>1</v>
      </c>
      <c r="DS25">
        <v>10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f>SUMIF($N$6:$HC$6,"*"&amp;HD$6&amp;"*",$N25:$HC25)</f>
        <v>1</v>
      </c>
      <c r="HE25">
        <f>SUMIF($N$6:$HC$6,"*"&amp;HE$6&amp;"*",$N25:$HC25)</f>
        <v>0</v>
      </c>
      <c r="HF25">
        <f>SUMIF($N$6:$HC$6,"*"&amp;HF$6&amp;"*",$N25:$HC25)</f>
        <v>4</v>
      </c>
      <c r="HG25">
        <f>SUMIF($N$6:$HC$6,"*"&amp;HG$6&amp;"*",$N25:$HC25)</f>
        <v>0</v>
      </c>
      <c r="HH25">
        <f>SUMIF($N$6:$HC$6,"*"&amp;HH$6&amp;"*",$N25:$HC25)</f>
        <v>2</v>
      </c>
      <c r="HI25">
        <f>SUMIF($N$6:$HC$6,"*"&amp;HI$6&amp;"*",$N25:$HC25)</f>
        <v>0</v>
      </c>
      <c r="HJ25">
        <f>SUMIF($N$6:$HC$6,"*"&amp;HJ$6&amp;"*",$N25:$HC25)</f>
        <v>5</v>
      </c>
      <c r="HK25">
        <f>SUMIF($N$6:$HC$6,"*"&amp;HK$6&amp;"*",$N25:$HC25)</f>
        <v>1</v>
      </c>
      <c r="HL25">
        <f>SUMIF($HD$4:$HK$4,HL$6,$HD25:$HK25)</f>
        <v>12</v>
      </c>
      <c r="HM25">
        <f>SUMIF($HD$4:$HK$4,HM$6,$HD25:$HK25)</f>
        <v>1</v>
      </c>
      <c r="HN25">
        <f>SUM(HL25:HM25)</f>
        <v>13</v>
      </c>
    </row>
    <row r="26" spans="1:222" x14ac:dyDescent="0.25">
      <c r="A26" t="s">
        <v>405</v>
      </c>
      <c r="B26" t="s">
        <v>421</v>
      </c>
      <c r="C26">
        <v>405425</v>
      </c>
      <c r="D26" t="s">
        <v>497</v>
      </c>
      <c r="E26" t="s">
        <v>423</v>
      </c>
      <c r="F26" t="s">
        <v>424</v>
      </c>
      <c r="G26" t="s">
        <v>407</v>
      </c>
      <c r="H26" t="s">
        <v>463</v>
      </c>
      <c r="I26" t="s">
        <v>408</v>
      </c>
      <c r="J26" t="s">
        <v>413</v>
      </c>
      <c r="K26" t="s">
        <v>414</v>
      </c>
      <c r="L26" t="s">
        <v>415</v>
      </c>
      <c r="M26" t="s">
        <v>416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f>SUMIF($N$6:$HC$6,"*"&amp;HD$6&amp;"*",$N26:$HC26)</f>
        <v>0</v>
      </c>
      <c r="HE26">
        <f>SUMIF($N$6:$HC$6,"*"&amp;HE$6&amp;"*",$N26:$HC26)</f>
        <v>0</v>
      </c>
      <c r="HF26">
        <f>SUMIF($N$6:$HC$6,"*"&amp;HF$6&amp;"*",$N26:$HC26)</f>
        <v>0</v>
      </c>
      <c r="HG26">
        <f>SUMIF($N$6:$HC$6,"*"&amp;HG$6&amp;"*",$N26:$HC26)</f>
        <v>0</v>
      </c>
      <c r="HH26">
        <f>SUMIF($N$6:$HC$6,"*"&amp;HH$6&amp;"*",$N26:$HC26)</f>
        <v>0</v>
      </c>
      <c r="HI26">
        <f>SUMIF($N$6:$HC$6,"*"&amp;HI$6&amp;"*",$N26:$HC26)</f>
        <v>0</v>
      </c>
      <c r="HJ26">
        <f>SUMIF($N$6:$HC$6,"*"&amp;HJ$6&amp;"*",$N26:$HC26)</f>
        <v>0</v>
      </c>
      <c r="HK26">
        <f>SUMIF($N$6:$HC$6,"*"&amp;HK$6&amp;"*",$N26:$HC26)</f>
        <v>0</v>
      </c>
      <c r="HL26">
        <f>SUMIF($HD$4:$HK$4,HL$6,$HD26:$HK26)</f>
        <v>0</v>
      </c>
      <c r="HM26">
        <f>SUMIF($HD$4:$HK$4,HM$6,$HD26:$HK26)</f>
        <v>0</v>
      </c>
      <c r="HN26">
        <f>SUM(HL26:HM26)</f>
        <v>0</v>
      </c>
    </row>
    <row r="27" spans="1:222" x14ac:dyDescent="0.25">
      <c r="A27" t="s">
        <v>405</v>
      </c>
      <c r="B27" t="s">
        <v>421</v>
      </c>
      <c r="C27">
        <v>405426</v>
      </c>
      <c r="D27" t="s">
        <v>498</v>
      </c>
      <c r="E27" t="s">
        <v>423</v>
      </c>
      <c r="F27" t="s">
        <v>424</v>
      </c>
      <c r="G27" t="s">
        <v>407</v>
      </c>
      <c r="H27" t="s">
        <v>434</v>
      </c>
      <c r="I27" t="s">
        <v>408</v>
      </c>
      <c r="J27" t="s">
        <v>413</v>
      </c>
      <c r="K27" t="s">
        <v>414</v>
      </c>
      <c r="L27" t="s">
        <v>419</v>
      </c>
      <c r="M27" t="s">
        <v>420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f>SUMIF($N$6:$HC$6,"*"&amp;HD$6&amp;"*",$N27:$HC27)</f>
        <v>0</v>
      </c>
      <c r="HE27">
        <f>SUMIF($N$6:$HC$6,"*"&amp;HE$6&amp;"*",$N27:$HC27)</f>
        <v>0</v>
      </c>
      <c r="HF27">
        <f>SUMIF($N$6:$HC$6,"*"&amp;HF$6&amp;"*",$N27:$HC27)</f>
        <v>0</v>
      </c>
      <c r="HG27">
        <f>SUMIF($N$6:$HC$6,"*"&amp;HG$6&amp;"*",$N27:$HC27)</f>
        <v>0</v>
      </c>
      <c r="HH27">
        <f>SUMIF($N$6:$HC$6,"*"&amp;HH$6&amp;"*",$N27:$HC27)</f>
        <v>0</v>
      </c>
      <c r="HI27">
        <f>SUMIF($N$6:$HC$6,"*"&amp;HI$6&amp;"*",$N27:$HC27)</f>
        <v>0</v>
      </c>
      <c r="HJ27">
        <f>SUMIF($N$6:$HC$6,"*"&amp;HJ$6&amp;"*",$N27:$HC27)</f>
        <v>0</v>
      </c>
      <c r="HK27">
        <f>SUMIF($N$6:$HC$6,"*"&amp;HK$6&amp;"*",$N27:$HC27)</f>
        <v>0</v>
      </c>
      <c r="HL27">
        <f>SUMIF($HD$4:$HK$4,HL$6,$HD27:$HK27)</f>
        <v>0</v>
      </c>
      <c r="HM27">
        <f>SUMIF($HD$4:$HK$4,HM$6,$HD27:$HK27)</f>
        <v>0</v>
      </c>
      <c r="HN27">
        <f>SUM(HL27:HM27)</f>
        <v>0</v>
      </c>
    </row>
    <row r="28" spans="1:222" x14ac:dyDescent="0.25">
      <c r="A28" t="s">
        <v>405</v>
      </c>
      <c r="B28" t="s">
        <v>421</v>
      </c>
      <c r="C28">
        <v>465506</v>
      </c>
      <c r="D28" t="s">
        <v>503</v>
      </c>
      <c r="E28" t="s">
        <v>423</v>
      </c>
      <c r="F28" t="s">
        <v>424</v>
      </c>
      <c r="G28" t="s">
        <v>407</v>
      </c>
      <c r="H28" t="s">
        <v>436</v>
      </c>
      <c r="I28" t="s">
        <v>408</v>
      </c>
      <c r="J28" t="s">
        <v>413</v>
      </c>
      <c r="K28" t="s">
        <v>417</v>
      </c>
      <c r="L28" t="s">
        <v>415</v>
      </c>
      <c r="M28" t="s">
        <v>416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f>SUMIF($N$6:$HC$6,"*"&amp;HD$6&amp;"*",$N28:$HC28)</f>
        <v>0</v>
      </c>
      <c r="HE28">
        <f>SUMIF($N$6:$HC$6,"*"&amp;HE$6&amp;"*",$N28:$HC28)</f>
        <v>0</v>
      </c>
      <c r="HF28">
        <f>SUMIF($N$6:$HC$6,"*"&amp;HF$6&amp;"*",$N28:$HC28)</f>
        <v>1</v>
      </c>
      <c r="HG28">
        <f>SUMIF($N$6:$HC$6,"*"&amp;HG$6&amp;"*",$N28:$HC28)</f>
        <v>0</v>
      </c>
      <c r="HH28">
        <f>SUMIF($N$6:$HC$6,"*"&amp;HH$6&amp;"*",$N28:$HC28)</f>
        <v>0</v>
      </c>
      <c r="HI28">
        <f>SUMIF($N$6:$HC$6,"*"&amp;HI$6&amp;"*",$N28:$HC28)</f>
        <v>0</v>
      </c>
      <c r="HJ28">
        <f>SUMIF($N$6:$HC$6,"*"&amp;HJ$6&amp;"*",$N28:$HC28)</f>
        <v>0</v>
      </c>
      <c r="HK28">
        <f>SUMIF($N$6:$HC$6,"*"&amp;HK$6&amp;"*",$N28:$HC28)</f>
        <v>0</v>
      </c>
      <c r="HL28">
        <f>SUMIF($HD$4:$HK$4,HL$6,$HD28:$HK28)</f>
        <v>1</v>
      </c>
      <c r="HM28">
        <f>SUMIF($HD$4:$HK$4,HM$6,$HD28:$HK28)</f>
        <v>0</v>
      </c>
      <c r="HN28">
        <f>SUM(HL28:HM28)</f>
        <v>1</v>
      </c>
    </row>
    <row r="29" spans="1:222" x14ac:dyDescent="0.25">
      <c r="A29" t="s">
        <v>405</v>
      </c>
      <c r="B29" t="s">
        <v>421</v>
      </c>
      <c r="C29">
        <v>465513</v>
      </c>
      <c r="D29" t="s">
        <v>506</v>
      </c>
      <c r="E29" t="s">
        <v>423</v>
      </c>
      <c r="F29" t="s">
        <v>424</v>
      </c>
      <c r="G29" t="s">
        <v>407</v>
      </c>
      <c r="H29" t="s">
        <v>463</v>
      </c>
      <c r="I29" t="s">
        <v>408</v>
      </c>
      <c r="J29" t="s">
        <v>413</v>
      </c>
      <c r="K29" t="s">
        <v>417</v>
      </c>
      <c r="L29" t="s">
        <v>507</v>
      </c>
      <c r="M29" t="s">
        <v>416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2</v>
      </c>
      <c r="DQ29">
        <v>1</v>
      </c>
      <c r="DR29">
        <v>3</v>
      </c>
      <c r="DS29">
        <v>4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f>SUMIF($N$6:$HC$6,"*"&amp;HD$6&amp;"*",$N29:$HC29)</f>
        <v>0</v>
      </c>
      <c r="HE29">
        <f>SUMIF($N$6:$HC$6,"*"&amp;HE$6&amp;"*",$N29:$HC29)</f>
        <v>1</v>
      </c>
      <c r="HF29">
        <f>SUMIF($N$6:$HC$6,"*"&amp;HF$6&amp;"*",$N29:$HC29)</f>
        <v>0</v>
      </c>
      <c r="HG29">
        <f>SUMIF($N$6:$HC$6,"*"&amp;HG$6&amp;"*",$N29:$HC29)</f>
        <v>0</v>
      </c>
      <c r="HH29">
        <f>SUMIF($N$6:$HC$6,"*"&amp;HH$6&amp;"*",$N29:$HC29)</f>
        <v>1</v>
      </c>
      <c r="HI29">
        <f>SUMIF($N$6:$HC$6,"*"&amp;HI$6&amp;"*",$N29:$HC29)</f>
        <v>1</v>
      </c>
      <c r="HJ29">
        <f>SUMIF($N$6:$HC$6,"*"&amp;HJ$6&amp;"*",$N29:$HC29)</f>
        <v>0</v>
      </c>
      <c r="HK29">
        <f>SUMIF($N$6:$HC$6,"*"&amp;HK$6&amp;"*",$N29:$HC29)</f>
        <v>2</v>
      </c>
      <c r="HL29">
        <f>SUMIF($HD$4:$HK$4,HL$6,$HD29:$HK29)</f>
        <v>1</v>
      </c>
      <c r="HM29">
        <f>SUMIF($HD$4:$HK$4,HM$6,$HD29:$HK29)</f>
        <v>4</v>
      </c>
      <c r="HN29">
        <f>SUM(HL29:HM29)</f>
        <v>5</v>
      </c>
    </row>
    <row r="30" spans="1:222" x14ac:dyDescent="0.25">
      <c r="A30" t="s">
        <v>405</v>
      </c>
      <c r="B30" t="s">
        <v>421</v>
      </c>
      <c r="C30">
        <v>465515</v>
      </c>
      <c r="D30" t="s">
        <v>508</v>
      </c>
      <c r="E30" t="s">
        <v>423</v>
      </c>
      <c r="F30" t="s">
        <v>424</v>
      </c>
      <c r="G30" t="s">
        <v>407</v>
      </c>
      <c r="H30" t="s">
        <v>449</v>
      </c>
      <c r="I30" t="s">
        <v>408</v>
      </c>
      <c r="J30" t="s">
        <v>413</v>
      </c>
      <c r="K30" t="s">
        <v>417</v>
      </c>
      <c r="L30" t="s">
        <v>419</v>
      </c>
      <c r="M30" t="s">
        <v>420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f>SUMIF($N$6:$HC$6,"*"&amp;HD$6&amp;"*",$N30:$HC30)</f>
        <v>0</v>
      </c>
      <c r="HE30">
        <f>SUMIF($N$6:$HC$6,"*"&amp;HE$6&amp;"*",$N30:$HC30)</f>
        <v>0</v>
      </c>
      <c r="HF30">
        <f>SUMIF($N$6:$HC$6,"*"&amp;HF$6&amp;"*",$N30:$HC30)</f>
        <v>0</v>
      </c>
      <c r="HG30">
        <f>SUMIF($N$6:$HC$6,"*"&amp;HG$6&amp;"*",$N30:$HC30)</f>
        <v>0</v>
      </c>
      <c r="HH30">
        <f>SUMIF($N$6:$HC$6,"*"&amp;HH$6&amp;"*",$N30:$HC30)</f>
        <v>0</v>
      </c>
      <c r="HI30">
        <f>SUMIF($N$6:$HC$6,"*"&amp;HI$6&amp;"*",$N30:$HC30)</f>
        <v>0</v>
      </c>
      <c r="HJ30">
        <f>SUMIF($N$6:$HC$6,"*"&amp;HJ$6&amp;"*",$N30:$HC30)</f>
        <v>0</v>
      </c>
      <c r="HK30">
        <f>SUMIF($N$6:$HC$6,"*"&amp;HK$6&amp;"*",$N30:$HC30)</f>
        <v>0</v>
      </c>
      <c r="HL30">
        <f>SUMIF($HD$4:$HK$4,HL$6,$HD30:$HK30)</f>
        <v>0</v>
      </c>
      <c r="HM30">
        <f>SUMIF($HD$4:$HK$4,HM$6,$HD30:$HK30)</f>
        <v>0</v>
      </c>
      <c r="HN30">
        <f>SUM(HL30:HM30)</f>
        <v>0</v>
      </c>
    </row>
    <row r="31" spans="1:222" x14ac:dyDescent="0.25">
      <c r="A31" t="s">
        <v>405</v>
      </c>
      <c r="B31" t="s">
        <v>421</v>
      </c>
      <c r="C31">
        <v>465900</v>
      </c>
      <c r="D31" t="s">
        <v>510</v>
      </c>
      <c r="E31" t="s">
        <v>423</v>
      </c>
      <c r="F31" t="s">
        <v>424</v>
      </c>
      <c r="G31" t="s">
        <v>407</v>
      </c>
      <c r="H31" t="s">
        <v>449</v>
      </c>
      <c r="I31" t="s">
        <v>408</v>
      </c>
      <c r="J31" t="s">
        <v>413</v>
      </c>
      <c r="K31" t="s">
        <v>417</v>
      </c>
      <c r="L31" t="s">
        <v>415</v>
      </c>
      <c r="M31" t="s">
        <v>416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f>SUMIF($N$6:$HC$6,"*"&amp;HD$6&amp;"*",$N31:$HC31)</f>
        <v>0</v>
      </c>
      <c r="HE31">
        <f>SUMIF($N$6:$HC$6,"*"&amp;HE$6&amp;"*",$N31:$HC31)</f>
        <v>0</v>
      </c>
      <c r="HF31">
        <f>SUMIF($N$6:$HC$6,"*"&amp;HF$6&amp;"*",$N31:$HC31)</f>
        <v>0</v>
      </c>
      <c r="HG31">
        <f>SUMIF($N$6:$HC$6,"*"&amp;HG$6&amp;"*",$N31:$HC31)</f>
        <v>0</v>
      </c>
      <c r="HH31">
        <f>SUMIF($N$6:$HC$6,"*"&amp;HH$6&amp;"*",$N31:$HC31)</f>
        <v>0</v>
      </c>
      <c r="HI31">
        <f>SUMIF($N$6:$HC$6,"*"&amp;HI$6&amp;"*",$N31:$HC31)</f>
        <v>0</v>
      </c>
      <c r="HJ31">
        <f>SUMIF($N$6:$HC$6,"*"&amp;HJ$6&amp;"*",$N31:$HC31)</f>
        <v>0</v>
      </c>
      <c r="HK31">
        <f>SUMIF($N$6:$HC$6,"*"&amp;HK$6&amp;"*",$N31:$HC31)</f>
        <v>0</v>
      </c>
      <c r="HL31">
        <f>SUMIF($HD$4:$HK$4,HL$6,$HD31:$HK31)</f>
        <v>0</v>
      </c>
      <c r="HM31">
        <f>SUMIF($HD$4:$HK$4,HM$6,$HD31:$HK31)</f>
        <v>0</v>
      </c>
      <c r="HN31">
        <f>SUM(HL31:HM31)</f>
        <v>0</v>
      </c>
    </row>
    <row r="32" spans="1:222" x14ac:dyDescent="0.25">
      <c r="A32" t="s">
        <v>405</v>
      </c>
      <c r="B32" t="s">
        <v>421</v>
      </c>
      <c r="C32">
        <v>500454</v>
      </c>
      <c r="D32" t="s">
        <v>511</v>
      </c>
      <c r="E32" t="s">
        <v>423</v>
      </c>
      <c r="F32" t="s">
        <v>424</v>
      </c>
      <c r="G32" t="s">
        <v>407</v>
      </c>
      <c r="H32" t="s">
        <v>436</v>
      </c>
      <c r="I32" t="s">
        <v>408</v>
      </c>
      <c r="J32" t="s">
        <v>409</v>
      </c>
      <c r="K32" t="s">
        <v>410</v>
      </c>
      <c r="L32" t="s">
        <v>415</v>
      </c>
      <c r="M32" t="s">
        <v>416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f>SUMIF($N$6:$HC$6,"*"&amp;HD$6&amp;"*",$N32:$HC32)</f>
        <v>0</v>
      </c>
      <c r="HE32">
        <f>SUMIF($N$6:$HC$6,"*"&amp;HE$6&amp;"*",$N32:$HC32)</f>
        <v>0</v>
      </c>
      <c r="HF32">
        <f>SUMIF($N$6:$HC$6,"*"&amp;HF$6&amp;"*",$N32:$HC32)</f>
        <v>0</v>
      </c>
      <c r="HG32">
        <f>SUMIF($N$6:$HC$6,"*"&amp;HG$6&amp;"*",$N32:$HC32)</f>
        <v>0</v>
      </c>
      <c r="HH32">
        <f>SUMIF($N$6:$HC$6,"*"&amp;HH$6&amp;"*",$N32:$HC32)</f>
        <v>0</v>
      </c>
      <c r="HI32">
        <f>SUMIF($N$6:$HC$6,"*"&amp;HI$6&amp;"*",$N32:$HC32)</f>
        <v>0</v>
      </c>
      <c r="HJ32">
        <f>SUMIF($N$6:$HC$6,"*"&amp;HJ$6&amp;"*",$N32:$HC32)</f>
        <v>0</v>
      </c>
      <c r="HK32">
        <f>SUMIF($N$6:$HC$6,"*"&amp;HK$6&amp;"*",$N32:$HC32)</f>
        <v>0</v>
      </c>
      <c r="HL32">
        <f>SUMIF($HD$4:$HK$4,HL$6,$HD32:$HK32)</f>
        <v>0</v>
      </c>
      <c r="HM32">
        <f>SUMIF($HD$4:$HK$4,HM$6,$HD32:$HK32)</f>
        <v>0</v>
      </c>
      <c r="HN32">
        <f>SUM(HL32:HM32)</f>
        <v>0</v>
      </c>
    </row>
    <row r="33" spans="1:222" x14ac:dyDescent="0.25">
      <c r="A33" t="s">
        <v>405</v>
      </c>
      <c r="B33" t="s">
        <v>421</v>
      </c>
      <c r="C33">
        <v>501085</v>
      </c>
      <c r="D33" t="s">
        <v>512</v>
      </c>
      <c r="E33" t="s">
        <v>423</v>
      </c>
      <c r="F33" t="s">
        <v>424</v>
      </c>
      <c r="G33" t="s">
        <v>407</v>
      </c>
      <c r="H33" t="s">
        <v>513</v>
      </c>
      <c r="I33" t="s">
        <v>408</v>
      </c>
      <c r="J33" t="s">
        <v>409</v>
      </c>
      <c r="K33" t="s">
        <v>410</v>
      </c>
      <c r="L33" t="s">
        <v>419</v>
      </c>
      <c r="M33" t="s">
        <v>420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f>SUMIF($N$6:$HC$6,"*"&amp;HD$6&amp;"*",$N33:$HC33)</f>
        <v>0</v>
      </c>
      <c r="HE33">
        <f>SUMIF($N$6:$HC$6,"*"&amp;HE$6&amp;"*",$N33:$HC33)</f>
        <v>0</v>
      </c>
      <c r="HF33">
        <f>SUMIF($N$6:$HC$6,"*"&amp;HF$6&amp;"*",$N33:$HC33)</f>
        <v>0</v>
      </c>
      <c r="HG33">
        <f>SUMIF($N$6:$HC$6,"*"&amp;HG$6&amp;"*",$N33:$HC33)</f>
        <v>0</v>
      </c>
      <c r="HH33">
        <f>SUMIF($N$6:$HC$6,"*"&amp;HH$6&amp;"*",$N33:$HC33)</f>
        <v>0</v>
      </c>
      <c r="HI33">
        <f>SUMIF($N$6:$HC$6,"*"&amp;HI$6&amp;"*",$N33:$HC33)</f>
        <v>0</v>
      </c>
      <c r="HJ33">
        <f>SUMIF($N$6:$HC$6,"*"&amp;HJ$6&amp;"*",$N33:$HC33)</f>
        <v>0</v>
      </c>
      <c r="HK33">
        <f>SUMIF($N$6:$HC$6,"*"&amp;HK$6&amp;"*",$N33:$HC33)</f>
        <v>0</v>
      </c>
      <c r="HL33">
        <f>SUMIF($HD$4:$HK$4,HL$6,$HD33:$HK33)</f>
        <v>0</v>
      </c>
      <c r="HM33">
        <f>SUMIF($HD$4:$HK$4,HM$6,$HD33:$HK33)</f>
        <v>0</v>
      </c>
      <c r="HN33">
        <f>SUM(HL33:HM33)</f>
        <v>0</v>
      </c>
    </row>
    <row r="34" spans="1:222" x14ac:dyDescent="0.25">
      <c r="A34" t="s">
        <v>405</v>
      </c>
      <c r="B34" t="s">
        <v>421</v>
      </c>
      <c r="C34">
        <v>501086</v>
      </c>
      <c r="D34" t="s">
        <v>514</v>
      </c>
      <c r="E34" t="s">
        <v>423</v>
      </c>
      <c r="F34" t="s">
        <v>424</v>
      </c>
      <c r="G34" t="s">
        <v>407</v>
      </c>
      <c r="H34" t="s">
        <v>515</v>
      </c>
      <c r="I34" t="s">
        <v>408</v>
      </c>
      <c r="J34" t="s">
        <v>409</v>
      </c>
      <c r="K34" t="s">
        <v>410</v>
      </c>
      <c r="L34" t="s">
        <v>419</v>
      </c>
      <c r="M34" t="s">
        <v>420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f>SUMIF($N$6:$HC$6,"*"&amp;HD$6&amp;"*",$N34:$HC34)</f>
        <v>0</v>
      </c>
      <c r="HE34">
        <f>SUMIF($N$6:$HC$6,"*"&amp;HE$6&amp;"*",$N34:$HC34)</f>
        <v>0</v>
      </c>
      <c r="HF34">
        <f>SUMIF($N$6:$HC$6,"*"&amp;HF$6&amp;"*",$N34:$HC34)</f>
        <v>0</v>
      </c>
      <c r="HG34">
        <f>SUMIF($N$6:$HC$6,"*"&amp;HG$6&amp;"*",$N34:$HC34)</f>
        <v>0</v>
      </c>
      <c r="HH34">
        <f>SUMIF($N$6:$HC$6,"*"&amp;HH$6&amp;"*",$N34:$HC34)</f>
        <v>0</v>
      </c>
      <c r="HI34">
        <f>SUMIF($N$6:$HC$6,"*"&amp;HI$6&amp;"*",$N34:$HC34)</f>
        <v>0</v>
      </c>
      <c r="HJ34">
        <f>SUMIF($N$6:$HC$6,"*"&amp;HJ$6&amp;"*",$N34:$HC34)</f>
        <v>0</v>
      </c>
      <c r="HK34">
        <f>SUMIF($N$6:$HC$6,"*"&amp;HK$6&amp;"*",$N34:$HC34)</f>
        <v>0</v>
      </c>
      <c r="HL34">
        <f>SUMIF($HD$4:$HK$4,HL$6,$HD34:$HK34)</f>
        <v>0</v>
      </c>
      <c r="HM34">
        <f>SUMIF($HD$4:$HK$4,HM$6,$HD34:$HK34)</f>
        <v>0</v>
      </c>
      <c r="HN34">
        <f>SUM(HL34:HM34)</f>
        <v>0</v>
      </c>
    </row>
    <row r="35" spans="1:222" x14ac:dyDescent="0.25">
      <c r="A35" t="s">
        <v>405</v>
      </c>
      <c r="B35" t="s">
        <v>421</v>
      </c>
      <c r="C35">
        <v>501087</v>
      </c>
      <c r="D35" t="s">
        <v>516</v>
      </c>
      <c r="E35" t="s">
        <v>423</v>
      </c>
      <c r="F35" t="s">
        <v>424</v>
      </c>
      <c r="G35" t="s">
        <v>407</v>
      </c>
      <c r="H35" t="s">
        <v>429</v>
      </c>
      <c r="I35" t="s">
        <v>408</v>
      </c>
      <c r="J35" t="s">
        <v>409</v>
      </c>
      <c r="K35" t="s">
        <v>410</v>
      </c>
      <c r="L35" t="s">
        <v>419</v>
      </c>
      <c r="M35" t="s">
        <v>420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f>SUMIF($N$6:$HC$6,"*"&amp;HD$6&amp;"*",$N35:$HC35)</f>
        <v>0</v>
      </c>
      <c r="HE35">
        <f>SUMIF($N$6:$HC$6,"*"&amp;HE$6&amp;"*",$N35:$HC35)</f>
        <v>0</v>
      </c>
      <c r="HF35">
        <f>SUMIF($N$6:$HC$6,"*"&amp;HF$6&amp;"*",$N35:$HC35)</f>
        <v>0</v>
      </c>
      <c r="HG35">
        <f>SUMIF($N$6:$HC$6,"*"&amp;HG$6&amp;"*",$N35:$HC35)</f>
        <v>0</v>
      </c>
      <c r="HH35">
        <f>SUMIF($N$6:$HC$6,"*"&amp;HH$6&amp;"*",$N35:$HC35)</f>
        <v>0</v>
      </c>
      <c r="HI35">
        <f>SUMIF($N$6:$HC$6,"*"&amp;HI$6&amp;"*",$N35:$HC35)</f>
        <v>0</v>
      </c>
      <c r="HJ35">
        <f>SUMIF($N$6:$HC$6,"*"&amp;HJ$6&amp;"*",$N35:$HC35)</f>
        <v>0</v>
      </c>
      <c r="HK35">
        <f>SUMIF($N$6:$HC$6,"*"&amp;HK$6&amp;"*",$N35:$HC35)</f>
        <v>0</v>
      </c>
      <c r="HL35">
        <f>SUMIF($HD$4:$HK$4,HL$6,$HD35:$HK35)</f>
        <v>0</v>
      </c>
      <c r="HM35">
        <f>SUMIF($HD$4:$HK$4,HM$6,$HD35:$HK35)</f>
        <v>0</v>
      </c>
      <c r="HN35">
        <f>SUM(HL35:HM35)</f>
        <v>0</v>
      </c>
    </row>
    <row r="36" spans="1:222" x14ac:dyDescent="0.25">
      <c r="A36" t="s">
        <v>405</v>
      </c>
      <c r="B36" t="s">
        <v>421</v>
      </c>
      <c r="C36">
        <v>501424</v>
      </c>
      <c r="D36" t="s">
        <v>517</v>
      </c>
      <c r="E36" t="s">
        <v>423</v>
      </c>
      <c r="F36" t="s">
        <v>424</v>
      </c>
      <c r="G36" t="s">
        <v>407</v>
      </c>
      <c r="H36" t="s">
        <v>518</v>
      </c>
      <c r="I36" t="s">
        <v>408</v>
      </c>
      <c r="J36" t="s">
        <v>409</v>
      </c>
      <c r="K36" t="s">
        <v>410</v>
      </c>
      <c r="L36" t="s">
        <v>419</v>
      </c>
      <c r="M36" t="s">
        <v>420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f>SUMIF($N$6:$HC$6,"*"&amp;HD$6&amp;"*",$N36:$HC36)</f>
        <v>0</v>
      </c>
      <c r="HE36">
        <f>SUMIF($N$6:$HC$6,"*"&amp;HE$6&amp;"*",$N36:$HC36)</f>
        <v>0</v>
      </c>
      <c r="HF36">
        <f>SUMIF($N$6:$HC$6,"*"&amp;HF$6&amp;"*",$N36:$HC36)</f>
        <v>0</v>
      </c>
      <c r="HG36">
        <f>SUMIF($N$6:$HC$6,"*"&amp;HG$6&amp;"*",$N36:$HC36)</f>
        <v>0</v>
      </c>
      <c r="HH36">
        <f>SUMIF($N$6:$HC$6,"*"&amp;HH$6&amp;"*",$N36:$HC36)</f>
        <v>0</v>
      </c>
      <c r="HI36">
        <f>SUMIF($N$6:$HC$6,"*"&amp;HI$6&amp;"*",$N36:$HC36)</f>
        <v>0</v>
      </c>
      <c r="HJ36">
        <f>SUMIF($N$6:$HC$6,"*"&amp;HJ$6&amp;"*",$N36:$HC36)</f>
        <v>0</v>
      </c>
      <c r="HK36">
        <f>SUMIF($N$6:$HC$6,"*"&amp;HK$6&amp;"*",$N36:$HC36)</f>
        <v>0</v>
      </c>
      <c r="HL36">
        <f>SUMIF($HD$4:$HK$4,HL$6,$HD36:$HK36)</f>
        <v>0</v>
      </c>
      <c r="HM36">
        <f>SUMIF($HD$4:$HK$4,HM$6,$HD36:$HK36)</f>
        <v>0</v>
      </c>
      <c r="HN36">
        <f>SUM(HL36:HM36)</f>
        <v>0</v>
      </c>
    </row>
  </sheetData>
  <sheetProtection algorithmName="SHA-512" hashValue="+FVaIWV2wXL1L01tNrvjDSPM+cK41ePKSRSmG2LVJiv1021S0j0jmP5+ytisvHab1mLF0UpMffIA3c7HR+c24g==" saltValue="VhGWui6gurLFIFBgSWduow==" spinCount="100000" sheet="1" objects="1" scenarios="1" formatCells="0" formatColumns="0" formatRows="0"/>
  <mergeCells count="114">
    <mergeCell ref="HJ3:HK3"/>
    <mergeCell ref="HL3:HN3"/>
    <mergeCell ref="GW3:GX3"/>
    <mergeCell ref="GY3:GZ3"/>
    <mergeCell ref="HA3:HC3"/>
    <mergeCell ref="HD3:HE3"/>
    <mergeCell ref="HF3:HG3"/>
    <mergeCell ref="HH3:HI3"/>
    <mergeCell ref="GJ3:GK3"/>
    <mergeCell ref="GL3:GM3"/>
    <mergeCell ref="GN3:GO3"/>
    <mergeCell ref="GP3:GR3"/>
    <mergeCell ref="GS3:GT3"/>
    <mergeCell ref="GU3:GV3"/>
    <mergeCell ref="FW3:FX3"/>
    <mergeCell ref="FY3:FZ3"/>
    <mergeCell ref="GA3:GB3"/>
    <mergeCell ref="GC3:GD3"/>
    <mergeCell ref="GE3:GG3"/>
    <mergeCell ref="GH3:GI3"/>
    <mergeCell ref="FI3:FK3"/>
    <mergeCell ref="FL3:FM3"/>
    <mergeCell ref="FN3:FO3"/>
    <mergeCell ref="FP3:FQ3"/>
    <mergeCell ref="FR3:FS3"/>
    <mergeCell ref="FT3:FV3"/>
    <mergeCell ref="EV3:EW3"/>
    <mergeCell ref="EX3:EZ3"/>
    <mergeCell ref="FA3:FB3"/>
    <mergeCell ref="FC3:FD3"/>
    <mergeCell ref="FE3:FF3"/>
    <mergeCell ref="FG3:FH3"/>
    <mergeCell ref="EI3:EJ3"/>
    <mergeCell ref="EK3:EL3"/>
    <mergeCell ref="EM3:EO3"/>
    <mergeCell ref="EP3:EQ3"/>
    <mergeCell ref="ER3:ES3"/>
    <mergeCell ref="ET3:EU3"/>
    <mergeCell ref="DV3:DW3"/>
    <mergeCell ref="DX3:DY3"/>
    <mergeCell ref="DZ3:EA3"/>
    <mergeCell ref="EB3:ED3"/>
    <mergeCell ref="EE3:EF3"/>
    <mergeCell ref="EG3:EH3"/>
    <mergeCell ref="DI3:DJ3"/>
    <mergeCell ref="DK3:DL3"/>
    <mergeCell ref="DM3:DN3"/>
    <mergeCell ref="DO3:DP3"/>
    <mergeCell ref="DQ3:DS3"/>
    <mergeCell ref="DT3:DU3"/>
    <mergeCell ref="CU3:CW3"/>
    <mergeCell ref="CX3:CY3"/>
    <mergeCell ref="CZ3:DA3"/>
    <mergeCell ref="DB3:DC3"/>
    <mergeCell ref="DD3:DE3"/>
    <mergeCell ref="DF3:DH3"/>
    <mergeCell ref="CH3:CI3"/>
    <mergeCell ref="CJ3:CL3"/>
    <mergeCell ref="CM3:CN3"/>
    <mergeCell ref="CO3:CP3"/>
    <mergeCell ref="CQ3:CR3"/>
    <mergeCell ref="CS3:CT3"/>
    <mergeCell ref="BU3:BV3"/>
    <mergeCell ref="BW3:BX3"/>
    <mergeCell ref="BY3:CA3"/>
    <mergeCell ref="CB3:CC3"/>
    <mergeCell ref="CD3:CE3"/>
    <mergeCell ref="CF3:CG3"/>
    <mergeCell ref="BH3:BI3"/>
    <mergeCell ref="BJ3:BK3"/>
    <mergeCell ref="BL3:BM3"/>
    <mergeCell ref="BN3:BP3"/>
    <mergeCell ref="BQ3:BR3"/>
    <mergeCell ref="BS3:BT3"/>
    <mergeCell ref="AU3:AV3"/>
    <mergeCell ref="AW3:AX3"/>
    <mergeCell ref="AY3:AZ3"/>
    <mergeCell ref="BA3:BB3"/>
    <mergeCell ref="BC3:BE3"/>
    <mergeCell ref="BF3:BG3"/>
    <mergeCell ref="AG3:AI3"/>
    <mergeCell ref="AJ3:AK3"/>
    <mergeCell ref="AL3:AM3"/>
    <mergeCell ref="AN3:AO3"/>
    <mergeCell ref="AP3:AQ3"/>
    <mergeCell ref="AR3:AT3"/>
    <mergeCell ref="HD2:HN2"/>
    <mergeCell ref="N3:O3"/>
    <mergeCell ref="P3:Q3"/>
    <mergeCell ref="R3:S3"/>
    <mergeCell ref="T3:U3"/>
    <mergeCell ref="V3:X3"/>
    <mergeCell ref="Y3:Z3"/>
    <mergeCell ref="AA3:AB3"/>
    <mergeCell ref="AC3:AD3"/>
    <mergeCell ref="AE3:AF3"/>
    <mergeCell ref="EP2:EZ2"/>
    <mergeCell ref="FA2:FK2"/>
    <mergeCell ref="FL2:FV2"/>
    <mergeCell ref="FW2:GG2"/>
    <mergeCell ref="GH2:GR2"/>
    <mergeCell ref="GS2:HC2"/>
    <mergeCell ref="CB2:CL2"/>
    <mergeCell ref="CM2:CW2"/>
    <mergeCell ref="CX2:DH2"/>
    <mergeCell ref="DI2:DS2"/>
    <mergeCell ref="DT2:ED2"/>
    <mergeCell ref="EE2:EO2"/>
    <mergeCell ref="N2:X2"/>
    <mergeCell ref="Y2:AI2"/>
    <mergeCell ref="AJ2:AT2"/>
    <mergeCell ref="AU2:BE2"/>
    <mergeCell ref="BF2:BP2"/>
    <mergeCell ref="BQ2:C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0172-7C76-436A-98CA-AC19F5645E4E}">
  <dimension ref="A1:FN29"/>
  <sheetViews>
    <sheetView workbookViewId="0">
      <pane xSplit="13" ySplit="6" topLeftCell="N7" activePane="bottomRight" state="frozen"/>
      <selection activeCell="A8" sqref="A8"/>
      <selection pane="topRight" activeCell="A8" sqref="A8"/>
      <selection pane="bottomLeft" activeCell="A8" sqref="A8"/>
      <selection pane="bottomRight" activeCell="N7" sqref="N7"/>
    </sheetView>
  </sheetViews>
  <sheetFormatPr defaultColWidth="0" defaultRowHeight="15" x14ac:dyDescent="0.25"/>
  <cols>
    <col min="1" max="1" width="10" customWidth="1"/>
    <col min="2" max="2" width="25.5703125" bestFit="1" customWidth="1"/>
    <col min="3" max="3" width="10.42578125" customWidth="1"/>
    <col min="4" max="4" width="24" customWidth="1"/>
    <col min="5" max="9" width="0" hidden="1" customWidth="1"/>
    <col min="10" max="10" width="9.140625" customWidth="1"/>
    <col min="11" max="12" width="0" hidden="1" customWidth="1"/>
    <col min="13" max="147" width="9.140625" customWidth="1"/>
    <col min="148" max="148" width="33.42578125" hidden="1"/>
    <col min="171" max="16384" width="9.140625" hidden="1"/>
  </cols>
  <sheetData>
    <row r="1" spans="1:146" x14ac:dyDescent="0.25">
      <c r="A1" s="1" t="s">
        <v>703</v>
      </c>
    </row>
    <row r="2" spans="1:146" x14ac:dyDescent="0.25">
      <c r="A2" s="1" t="s">
        <v>1</v>
      </c>
      <c r="N2" s="23" t="s">
        <v>522</v>
      </c>
      <c r="O2" s="23"/>
      <c r="P2" s="23"/>
      <c r="Q2" s="23"/>
      <c r="R2" s="23"/>
      <c r="S2" s="23"/>
      <c r="T2" s="23"/>
      <c r="U2" s="5" t="s">
        <v>4</v>
      </c>
      <c r="V2" s="6"/>
      <c r="W2" s="6"/>
      <c r="X2" s="6"/>
      <c r="Y2" s="6"/>
      <c r="Z2" s="6"/>
      <c r="AA2" s="7"/>
      <c r="AB2" s="5" t="s">
        <v>5</v>
      </c>
      <c r="AC2" s="6"/>
      <c r="AD2" s="6"/>
      <c r="AE2" s="6"/>
      <c r="AF2" s="6"/>
      <c r="AG2" s="6"/>
      <c r="AH2" s="7"/>
      <c r="AI2" s="5" t="s">
        <v>6</v>
      </c>
      <c r="AJ2" s="6"/>
      <c r="AK2" s="6"/>
      <c r="AL2" s="6"/>
      <c r="AM2" s="6"/>
      <c r="AN2" s="6"/>
      <c r="AO2" s="7"/>
      <c r="AP2" s="5" t="s">
        <v>7</v>
      </c>
      <c r="AQ2" s="6"/>
      <c r="AR2" s="6"/>
      <c r="AS2" s="6"/>
      <c r="AT2" s="6"/>
      <c r="AU2" s="6"/>
      <c r="AV2" s="7"/>
      <c r="AW2" s="5" t="s">
        <v>8</v>
      </c>
      <c r="AX2" s="6"/>
      <c r="AY2" s="6"/>
      <c r="AZ2" s="6"/>
      <c r="BA2" s="6"/>
      <c r="BB2" s="6"/>
      <c r="BC2" s="7"/>
      <c r="BD2" s="5" t="s">
        <v>9</v>
      </c>
      <c r="BE2" s="6"/>
      <c r="BF2" s="6"/>
      <c r="BG2" s="6"/>
      <c r="BH2" s="6"/>
      <c r="BI2" s="6"/>
      <c r="BJ2" s="7"/>
      <c r="BK2" s="5" t="s">
        <v>10</v>
      </c>
      <c r="BL2" s="6"/>
      <c r="BM2" s="6"/>
      <c r="BN2" s="6"/>
      <c r="BO2" s="6"/>
      <c r="BP2" s="6"/>
      <c r="BQ2" s="7"/>
      <c r="BR2" s="5" t="s">
        <v>11</v>
      </c>
      <c r="BS2" s="6"/>
      <c r="BT2" s="6"/>
      <c r="BU2" s="6"/>
      <c r="BV2" s="6"/>
      <c r="BW2" s="6"/>
      <c r="BX2" s="7"/>
      <c r="BY2" s="5" t="s">
        <v>12</v>
      </c>
      <c r="BZ2" s="6"/>
      <c r="CA2" s="6"/>
      <c r="CB2" s="6"/>
      <c r="CC2" s="6"/>
      <c r="CD2" s="6"/>
      <c r="CE2" s="7"/>
      <c r="CF2" s="5" t="s">
        <v>13</v>
      </c>
      <c r="CG2" s="6"/>
      <c r="CH2" s="6"/>
      <c r="CI2" s="6"/>
      <c r="CJ2" s="6"/>
      <c r="CK2" s="6"/>
      <c r="CL2" s="7"/>
      <c r="CM2" s="5" t="s">
        <v>14</v>
      </c>
      <c r="CN2" s="6"/>
      <c r="CO2" s="6"/>
      <c r="CP2" s="6"/>
      <c r="CQ2" s="6"/>
      <c r="CR2" s="6"/>
      <c r="CS2" s="7"/>
      <c r="CT2" s="5" t="s">
        <v>15</v>
      </c>
      <c r="CU2" s="6"/>
      <c r="CV2" s="6"/>
      <c r="CW2" s="6"/>
      <c r="CX2" s="6"/>
      <c r="CY2" s="6"/>
      <c r="CZ2" s="7"/>
      <c r="DA2" s="5" t="s">
        <v>16</v>
      </c>
      <c r="DB2" s="6"/>
      <c r="DC2" s="6"/>
      <c r="DD2" s="6"/>
      <c r="DE2" s="6"/>
      <c r="DF2" s="6"/>
      <c r="DG2" s="7"/>
      <c r="DH2" s="5" t="s">
        <v>17</v>
      </c>
      <c r="DI2" s="6"/>
      <c r="DJ2" s="6"/>
      <c r="DK2" s="6"/>
      <c r="DL2" s="6"/>
      <c r="DM2" s="6"/>
      <c r="DN2" s="7"/>
      <c r="DO2" s="5" t="s">
        <v>18</v>
      </c>
      <c r="DP2" s="6"/>
      <c r="DQ2" s="6"/>
      <c r="DR2" s="6"/>
      <c r="DS2" s="6"/>
      <c r="DT2" s="6"/>
      <c r="DU2" s="7"/>
      <c r="DV2" s="5" t="s">
        <v>19</v>
      </c>
      <c r="DW2" s="6"/>
      <c r="DX2" s="6"/>
      <c r="DY2" s="6"/>
      <c r="DZ2" s="6"/>
      <c r="EA2" s="6"/>
      <c r="EB2" s="7"/>
      <c r="EC2" s="23" t="s">
        <v>20</v>
      </c>
      <c r="ED2" s="23"/>
      <c r="EE2" s="23"/>
      <c r="EF2" s="23"/>
      <c r="EG2" s="23"/>
      <c r="EH2" s="23"/>
      <c r="EI2" s="23"/>
      <c r="EJ2" s="23" t="s">
        <v>704</v>
      </c>
      <c r="EK2" s="23"/>
      <c r="EL2" s="23"/>
      <c r="EM2" s="23"/>
      <c r="EN2" s="23"/>
      <c r="EO2" s="23"/>
      <c r="EP2" s="23"/>
    </row>
    <row r="3" spans="1:146" x14ac:dyDescent="0.25">
      <c r="A3" s="17" t="s">
        <v>524</v>
      </c>
      <c r="N3" s="12" t="s">
        <v>705</v>
      </c>
      <c r="O3" s="12"/>
      <c r="P3" s="12" t="s">
        <v>706</v>
      </c>
      <c r="Q3" s="12"/>
      <c r="R3" s="12" t="s">
        <v>30</v>
      </c>
      <c r="S3" s="12"/>
      <c r="T3" s="12"/>
      <c r="U3" s="12" t="s">
        <v>705</v>
      </c>
      <c r="V3" s="12"/>
      <c r="W3" s="12" t="s">
        <v>706</v>
      </c>
      <c r="X3" s="12"/>
      <c r="Y3" s="12" t="s">
        <v>30</v>
      </c>
      <c r="Z3" s="12"/>
      <c r="AA3" s="12"/>
      <c r="AB3" s="12" t="s">
        <v>705</v>
      </c>
      <c r="AC3" s="12"/>
      <c r="AD3" s="12" t="s">
        <v>706</v>
      </c>
      <c r="AE3" s="12"/>
      <c r="AF3" s="12" t="s">
        <v>30</v>
      </c>
      <c r="AG3" s="12"/>
      <c r="AH3" s="12"/>
      <c r="AI3" s="12" t="s">
        <v>705</v>
      </c>
      <c r="AJ3" s="12"/>
      <c r="AK3" s="12" t="s">
        <v>706</v>
      </c>
      <c r="AL3" s="12"/>
      <c r="AM3" s="12" t="s">
        <v>30</v>
      </c>
      <c r="AN3" s="12"/>
      <c r="AO3" s="12"/>
      <c r="AP3" s="12" t="s">
        <v>705</v>
      </c>
      <c r="AQ3" s="12"/>
      <c r="AR3" s="12" t="s">
        <v>706</v>
      </c>
      <c r="AS3" s="12"/>
      <c r="AT3" s="12" t="s">
        <v>30</v>
      </c>
      <c r="AU3" s="12"/>
      <c r="AV3" s="12"/>
      <c r="AW3" s="12" t="s">
        <v>705</v>
      </c>
      <c r="AX3" s="12"/>
      <c r="AY3" s="12" t="s">
        <v>706</v>
      </c>
      <c r="AZ3" s="12"/>
      <c r="BA3" s="12" t="s">
        <v>30</v>
      </c>
      <c r="BB3" s="12"/>
      <c r="BC3" s="12"/>
      <c r="BD3" s="12" t="s">
        <v>705</v>
      </c>
      <c r="BE3" s="12"/>
      <c r="BF3" s="12" t="s">
        <v>706</v>
      </c>
      <c r="BG3" s="12"/>
      <c r="BH3" s="12" t="s">
        <v>30</v>
      </c>
      <c r="BI3" s="12"/>
      <c r="BJ3" s="12"/>
      <c r="BK3" s="12" t="s">
        <v>705</v>
      </c>
      <c r="BL3" s="12"/>
      <c r="BM3" s="12" t="s">
        <v>706</v>
      </c>
      <c r="BN3" s="12"/>
      <c r="BO3" s="12" t="s">
        <v>30</v>
      </c>
      <c r="BP3" s="12"/>
      <c r="BQ3" s="12"/>
      <c r="BR3" s="12" t="s">
        <v>705</v>
      </c>
      <c r="BS3" s="12"/>
      <c r="BT3" s="12" t="s">
        <v>706</v>
      </c>
      <c r="BU3" s="12"/>
      <c r="BV3" s="12" t="s">
        <v>30</v>
      </c>
      <c r="BW3" s="12"/>
      <c r="BX3" s="12"/>
      <c r="BY3" s="12" t="s">
        <v>705</v>
      </c>
      <c r="BZ3" s="12"/>
      <c r="CA3" s="12" t="s">
        <v>706</v>
      </c>
      <c r="CB3" s="12"/>
      <c r="CC3" s="12" t="s">
        <v>30</v>
      </c>
      <c r="CD3" s="12"/>
      <c r="CE3" s="12"/>
      <c r="CF3" s="12" t="s">
        <v>705</v>
      </c>
      <c r="CG3" s="12"/>
      <c r="CH3" s="12" t="s">
        <v>706</v>
      </c>
      <c r="CI3" s="12"/>
      <c r="CJ3" s="12" t="s">
        <v>30</v>
      </c>
      <c r="CK3" s="12"/>
      <c r="CL3" s="12"/>
      <c r="CM3" s="12" t="s">
        <v>705</v>
      </c>
      <c r="CN3" s="12"/>
      <c r="CO3" s="12" t="s">
        <v>706</v>
      </c>
      <c r="CP3" s="12"/>
      <c r="CQ3" s="12" t="s">
        <v>30</v>
      </c>
      <c r="CR3" s="12"/>
      <c r="CS3" s="12"/>
      <c r="CT3" s="12" t="s">
        <v>705</v>
      </c>
      <c r="CU3" s="12"/>
      <c r="CV3" s="12" t="s">
        <v>706</v>
      </c>
      <c r="CW3" s="12"/>
      <c r="CX3" s="12" t="s">
        <v>30</v>
      </c>
      <c r="CY3" s="12"/>
      <c r="CZ3" s="12"/>
      <c r="DA3" s="12" t="s">
        <v>705</v>
      </c>
      <c r="DB3" s="12"/>
      <c r="DC3" s="12" t="s">
        <v>706</v>
      </c>
      <c r="DD3" s="12"/>
      <c r="DE3" s="12" t="s">
        <v>30</v>
      </c>
      <c r="DF3" s="12"/>
      <c r="DG3" s="12"/>
      <c r="DH3" s="12" t="s">
        <v>705</v>
      </c>
      <c r="DI3" s="12"/>
      <c r="DJ3" s="12" t="s">
        <v>706</v>
      </c>
      <c r="DK3" s="12"/>
      <c r="DL3" s="12" t="s">
        <v>30</v>
      </c>
      <c r="DM3" s="12"/>
      <c r="DN3" s="12"/>
      <c r="DO3" s="12" t="s">
        <v>705</v>
      </c>
      <c r="DP3" s="12"/>
      <c r="DQ3" s="12" t="s">
        <v>706</v>
      </c>
      <c r="DR3" s="12"/>
      <c r="DS3" s="12" t="s">
        <v>30</v>
      </c>
      <c r="DT3" s="12"/>
      <c r="DU3" s="12"/>
      <c r="DV3" s="12" t="s">
        <v>705</v>
      </c>
      <c r="DW3" s="12"/>
      <c r="DX3" s="12" t="s">
        <v>706</v>
      </c>
      <c r="DY3" s="12"/>
      <c r="DZ3" s="12" t="s">
        <v>30</v>
      </c>
      <c r="EA3" s="12"/>
      <c r="EB3" s="12"/>
      <c r="EC3" s="12" t="s">
        <v>705</v>
      </c>
      <c r="ED3" s="12"/>
      <c r="EE3" s="12" t="s">
        <v>706</v>
      </c>
      <c r="EF3" s="12"/>
      <c r="EG3" s="12" t="s">
        <v>30</v>
      </c>
      <c r="EH3" s="12"/>
      <c r="EI3" s="12"/>
      <c r="EJ3" s="12" t="s">
        <v>705</v>
      </c>
      <c r="EK3" s="12"/>
      <c r="EL3" s="12" t="s">
        <v>706</v>
      </c>
      <c r="EM3" s="12"/>
      <c r="EN3" s="12" t="s">
        <v>30</v>
      </c>
      <c r="EO3" s="12"/>
      <c r="EP3" s="12"/>
    </row>
    <row r="4" spans="1:146" x14ac:dyDescent="0.25">
      <c r="N4" s="8" t="s">
        <v>31</v>
      </c>
      <c r="O4" s="8" t="s">
        <v>32</v>
      </c>
      <c r="P4" s="8" t="s">
        <v>31</v>
      </c>
      <c r="Q4" s="8" t="s">
        <v>32</v>
      </c>
      <c r="R4" s="8" t="s">
        <v>31</v>
      </c>
      <c r="S4" s="8" t="s">
        <v>32</v>
      </c>
      <c r="T4" s="8" t="s">
        <v>33</v>
      </c>
      <c r="U4" s="8" t="s">
        <v>31</v>
      </c>
      <c r="V4" s="8" t="s">
        <v>32</v>
      </c>
      <c r="W4" s="8" t="s">
        <v>31</v>
      </c>
      <c r="X4" s="8" t="s">
        <v>32</v>
      </c>
      <c r="Y4" s="8" t="s">
        <v>31</v>
      </c>
      <c r="Z4" s="8" t="s">
        <v>32</v>
      </c>
      <c r="AA4" s="8" t="s">
        <v>33</v>
      </c>
      <c r="AB4" s="8" t="s">
        <v>31</v>
      </c>
      <c r="AC4" s="8" t="s">
        <v>32</v>
      </c>
      <c r="AD4" s="8" t="s">
        <v>31</v>
      </c>
      <c r="AE4" s="8" t="s">
        <v>32</v>
      </c>
      <c r="AF4" s="8" t="s">
        <v>31</v>
      </c>
      <c r="AG4" s="8" t="s">
        <v>32</v>
      </c>
      <c r="AH4" s="8" t="s">
        <v>33</v>
      </c>
      <c r="AI4" s="8" t="s">
        <v>31</v>
      </c>
      <c r="AJ4" s="8" t="s">
        <v>32</v>
      </c>
      <c r="AK4" s="8" t="s">
        <v>31</v>
      </c>
      <c r="AL4" s="8" t="s">
        <v>32</v>
      </c>
      <c r="AM4" s="8" t="s">
        <v>31</v>
      </c>
      <c r="AN4" s="8" t="s">
        <v>32</v>
      </c>
      <c r="AO4" s="8" t="s">
        <v>33</v>
      </c>
      <c r="AP4" s="8" t="s">
        <v>31</v>
      </c>
      <c r="AQ4" s="8" t="s">
        <v>32</v>
      </c>
      <c r="AR4" s="8" t="s">
        <v>31</v>
      </c>
      <c r="AS4" s="8" t="s">
        <v>32</v>
      </c>
      <c r="AT4" s="8" t="s">
        <v>31</v>
      </c>
      <c r="AU4" s="8" t="s">
        <v>32</v>
      </c>
      <c r="AV4" s="8" t="s">
        <v>33</v>
      </c>
      <c r="AW4" s="8" t="s">
        <v>31</v>
      </c>
      <c r="AX4" s="8" t="s">
        <v>32</v>
      </c>
      <c r="AY4" s="8" t="s">
        <v>31</v>
      </c>
      <c r="AZ4" s="8" t="s">
        <v>32</v>
      </c>
      <c r="BA4" s="8" t="s">
        <v>31</v>
      </c>
      <c r="BB4" s="8" t="s">
        <v>32</v>
      </c>
      <c r="BC4" s="8" t="s">
        <v>33</v>
      </c>
      <c r="BD4" s="8" t="s">
        <v>31</v>
      </c>
      <c r="BE4" s="8" t="s">
        <v>32</v>
      </c>
      <c r="BF4" s="8" t="s">
        <v>31</v>
      </c>
      <c r="BG4" s="8" t="s">
        <v>32</v>
      </c>
      <c r="BH4" s="8" t="s">
        <v>31</v>
      </c>
      <c r="BI4" s="8" t="s">
        <v>32</v>
      </c>
      <c r="BJ4" s="8" t="s">
        <v>33</v>
      </c>
      <c r="BK4" s="8" t="s">
        <v>31</v>
      </c>
      <c r="BL4" s="8" t="s">
        <v>32</v>
      </c>
      <c r="BM4" s="8" t="s">
        <v>31</v>
      </c>
      <c r="BN4" s="8" t="s">
        <v>32</v>
      </c>
      <c r="BO4" s="8" t="s">
        <v>31</v>
      </c>
      <c r="BP4" s="8" t="s">
        <v>32</v>
      </c>
      <c r="BQ4" s="8" t="s">
        <v>33</v>
      </c>
      <c r="BR4" s="8" t="s">
        <v>31</v>
      </c>
      <c r="BS4" s="8" t="s">
        <v>32</v>
      </c>
      <c r="BT4" s="8" t="s">
        <v>31</v>
      </c>
      <c r="BU4" s="8" t="s">
        <v>32</v>
      </c>
      <c r="BV4" s="8" t="s">
        <v>31</v>
      </c>
      <c r="BW4" s="8" t="s">
        <v>32</v>
      </c>
      <c r="BX4" s="8" t="s">
        <v>33</v>
      </c>
      <c r="BY4" s="8" t="s">
        <v>31</v>
      </c>
      <c r="BZ4" s="8" t="s">
        <v>32</v>
      </c>
      <c r="CA4" s="8" t="s">
        <v>31</v>
      </c>
      <c r="CB4" s="8" t="s">
        <v>32</v>
      </c>
      <c r="CC4" s="8" t="s">
        <v>31</v>
      </c>
      <c r="CD4" s="8" t="s">
        <v>32</v>
      </c>
      <c r="CE4" s="8" t="s">
        <v>33</v>
      </c>
      <c r="CF4" s="8" t="s">
        <v>31</v>
      </c>
      <c r="CG4" s="8" t="s">
        <v>32</v>
      </c>
      <c r="CH4" s="8" t="s">
        <v>31</v>
      </c>
      <c r="CI4" s="8" t="s">
        <v>32</v>
      </c>
      <c r="CJ4" s="8" t="s">
        <v>31</v>
      </c>
      <c r="CK4" s="8" t="s">
        <v>32</v>
      </c>
      <c r="CL4" s="8" t="s">
        <v>33</v>
      </c>
      <c r="CM4" s="8" t="s">
        <v>31</v>
      </c>
      <c r="CN4" s="8" t="s">
        <v>32</v>
      </c>
      <c r="CO4" s="8" t="s">
        <v>31</v>
      </c>
      <c r="CP4" s="8" t="s">
        <v>32</v>
      </c>
      <c r="CQ4" s="8" t="s">
        <v>31</v>
      </c>
      <c r="CR4" s="8" t="s">
        <v>32</v>
      </c>
      <c r="CS4" s="8" t="s">
        <v>33</v>
      </c>
      <c r="CT4" s="8" t="s">
        <v>31</v>
      </c>
      <c r="CU4" s="8" t="s">
        <v>32</v>
      </c>
      <c r="CV4" s="8" t="s">
        <v>31</v>
      </c>
      <c r="CW4" s="8" t="s">
        <v>32</v>
      </c>
      <c r="CX4" s="8" t="s">
        <v>31</v>
      </c>
      <c r="CY4" s="8" t="s">
        <v>32</v>
      </c>
      <c r="CZ4" s="8" t="s">
        <v>33</v>
      </c>
      <c r="DA4" s="8" t="s">
        <v>31</v>
      </c>
      <c r="DB4" s="8" t="s">
        <v>32</v>
      </c>
      <c r="DC4" s="8" t="s">
        <v>31</v>
      </c>
      <c r="DD4" s="8" t="s">
        <v>32</v>
      </c>
      <c r="DE4" s="8" t="s">
        <v>31</v>
      </c>
      <c r="DF4" s="8" t="s">
        <v>32</v>
      </c>
      <c r="DG4" s="8" t="s">
        <v>33</v>
      </c>
      <c r="DH4" s="8" t="s">
        <v>31</v>
      </c>
      <c r="DI4" s="8" t="s">
        <v>32</v>
      </c>
      <c r="DJ4" s="8" t="s">
        <v>31</v>
      </c>
      <c r="DK4" s="8" t="s">
        <v>32</v>
      </c>
      <c r="DL4" s="8" t="s">
        <v>31</v>
      </c>
      <c r="DM4" s="8" t="s">
        <v>32</v>
      </c>
      <c r="DN4" s="8" t="s">
        <v>33</v>
      </c>
      <c r="DO4" s="8" t="s">
        <v>31</v>
      </c>
      <c r="DP4" s="8" t="s">
        <v>32</v>
      </c>
      <c r="DQ4" s="8" t="s">
        <v>31</v>
      </c>
      <c r="DR4" s="8" t="s">
        <v>32</v>
      </c>
      <c r="DS4" s="8" t="s">
        <v>31</v>
      </c>
      <c r="DT4" s="8" t="s">
        <v>32</v>
      </c>
      <c r="DU4" s="8" t="s">
        <v>33</v>
      </c>
      <c r="DV4" s="8" t="s">
        <v>31</v>
      </c>
      <c r="DW4" s="8" t="s">
        <v>32</v>
      </c>
      <c r="DX4" s="8" t="s">
        <v>31</v>
      </c>
      <c r="DY4" s="8" t="s">
        <v>32</v>
      </c>
      <c r="DZ4" s="8" t="s">
        <v>31</v>
      </c>
      <c r="EA4" s="8" t="s">
        <v>32</v>
      </c>
      <c r="EB4" s="8" t="s">
        <v>33</v>
      </c>
      <c r="EC4" s="8" t="s">
        <v>31</v>
      </c>
      <c r="ED4" s="8" t="s">
        <v>32</v>
      </c>
      <c r="EE4" s="8" t="s">
        <v>31</v>
      </c>
      <c r="EF4" s="8" t="s">
        <v>32</v>
      </c>
      <c r="EG4" s="8" t="s">
        <v>31</v>
      </c>
      <c r="EH4" s="8" t="s">
        <v>32</v>
      </c>
      <c r="EI4" s="8" t="s">
        <v>33</v>
      </c>
      <c r="EJ4" s="8" t="s">
        <v>31</v>
      </c>
      <c r="EK4" s="8" t="s">
        <v>32</v>
      </c>
      <c r="EL4" s="8" t="s">
        <v>31</v>
      </c>
      <c r="EM4" s="8" t="s">
        <v>32</v>
      </c>
      <c r="EN4" s="8" t="s">
        <v>31</v>
      </c>
      <c r="EO4" s="8" t="s">
        <v>32</v>
      </c>
      <c r="EP4" s="8" t="s">
        <v>33</v>
      </c>
    </row>
    <row r="5" spans="1:146" x14ac:dyDescent="0.25">
      <c r="N5">
        <f>SUM(N7:N29)</f>
        <v>0</v>
      </c>
      <c r="O5">
        <f>SUM(O7:O29)</f>
        <v>0</v>
      </c>
      <c r="P5">
        <f>SUM(P7:P29)</f>
        <v>0</v>
      </c>
      <c r="Q5">
        <f>SUM(Q7:Q29)</f>
        <v>0</v>
      </c>
      <c r="R5">
        <f>SUM(R7:R29)</f>
        <v>0</v>
      </c>
      <c r="S5">
        <f>SUM(S7:S29)</f>
        <v>0</v>
      </c>
      <c r="T5">
        <f>SUM(T7:T29)</f>
        <v>0</v>
      </c>
      <c r="U5">
        <f>SUM(U7:U29)</f>
        <v>0</v>
      </c>
      <c r="V5">
        <f>SUM(V7:V29)</f>
        <v>0</v>
      </c>
      <c r="W5">
        <f>SUM(W7:W29)</f>
        <v>0</v>
      </c>
      <c r="X5">
        <f>SUM(X7:X29)</f>
        <v>0</v>
      </c>
      <c r="Y5">
        <f>SUM(Y7:Y29)</f>
        <v>0</v>
      </c>
      <c r="Z5">
        <f>SUM(Z7:Z29)</f>
        <v>0</v>
      </c>
      <c r="AA5">
        <f>SUM(AA7:AA29)</f>
        <v>0</v>
      </c>
      <c r="AB5">
        <f>SUM(AB7:AB29)</f>
        <v>0</v>
      </c>
      <c r="AC5">
        <f>SUM(AC7:AC29)</f>
        <v>0</v>
      </c>
      <c r="AD5">
        <f>SUM(AD7:AD29)</f>
        <v>0</v>
      </c>
      <c r="AE5">
        <f>SUM(AE7:AE29)</f>
        <v>0</v>
      </c>
      <c r="AF5">
        <f>SUM(AF7:AF29)</f>
        <v>0</v>
      </c>
      <c r="AG5">
        <f>SUM(AG7:AG29)</f>
        <v>0</v>
      </c>
      <c r="AH5">
        <f>SUM(AH7:AH29)</f>
        <v>0</v>
      </c>
      <c r="AI5">
        <f>SUM(AI7:AI29)</f>
        <v>0</v>
      </c>
      <c r="AJ5">
        <f>SUM(AJ7:AJ29)</f>
        <v>1</v>
      </c>
      <c r="AK5">
        <f>SUM(AK7:AK29)</f>
        <v>0</v>
      </c>
      <c r="AL5">
        <f>SUM(AL7:AL29)</f>
        <v>0</v>
      </c>
      <c r="AM5">
        <f>SUM(AM7:AM29)</f>
        <v>0</v>
      </c>
      <c r="AN5">
        <f>SUM(AN7:AN29)</f>
        <v>1</v>
      </c>
      <c r="AO5">
        <f>SUM(AO7:AO29)</f>
        <v>1</v>
      </c>
      <c r="AP5">
        <f>SUM(AP7:AP29)</f>
        <v>0</v>
      </c>
      <c r="AQ5">
        <f>SUM(AQ7:AQ29)</f>
        <v>0</v>
      </c>
      <c r="AR5">
        <f>SUM(AR7:AR29)</f>
        <v>0</v>
      </c>
      <c r="AS5">
        <f>SUM(AS7:AS29)</f>
        <v>0</v>
      </c>
      <c r="AT5">
        <f>SUM(AT7:AT29)</f>
        <v>0</v>
      </c>
      <c r="AU5">
        <f>SUM(AU7:AU29)</f>
        <v>0</v>
      </c>
      <c r="AV5">
        <f>SUM(AV7:AV29)</f>
        <v>0</v>
      </c>
      <c r="AW5">
        <f>SUM(AW7:AW29)</f>
        <v>0</v>
      </c>
      <c r="AX5">
        <f>SUM(AX7:AX29)</f>
        <v>0</v>
      </c>
      <c r="AY5">
        <f>SUM(AY7:AY29)</f>
        <v>0</v>
      </c>
      <c r="AZ5">
        <f>SUM(AZ7:AZ29)</f>
        <v>0</v>
      </c>
      <c r="BA5">
        <f>SUM(BA7:BA29)</f>
        <v>0</v>
      </c>
      <c r="BB5">
        <f>SUM(BB7:BB29)</f>
        <v>0</v>
      </c>
      <c r="BC5">
        <f>SUM(BC7:BC29)</f>
        <v>0</v>
      </c>
      <c r="BD5">
        <f>SUM(BD7:BD29)</f>
        <v>0</v>
      </c>
      <c r="BE5">
        <f>SUM(BE7:BE29)</f>
        <v>0</v>
      </c>
      <c r="BF5">
        <f>SUM(BF7:BF29)</f>
        <v>0</v>
      </c>
      <c r="BG5">
        <f>SUM(BG7:BG29)</f>
        <v>0</v>
      </c>
      <c r="BH5">
        <f>SUM(BH7:BH29)</f>
        <v>0</v>
      </c>
      <c r="BI5">
        <f>SUM(BI7:BI29)</f>
        <v>0</v>
      </c>
      <c r="BJ5">
        <f>SUM(BJ7:BJ29)</f>
        <v>0</v>
      </c>
      <c r="BK5">
        <f>SUM(BK7:BK29)</f>
        <v>0</v>
      </c>
      <c r="BL5">
        <f>SUM(BL7:BL29)</f>
        <v>0</v>
      </c>
      <c r="BM5">
        <f>SUM(BM7:BM29)</f>
        <v>0</v>
      </c>
      <c r="BN5">
        <f>SUM(BN7:BN29)</f>
        <v>0</v>
      </c>
      <c r="BO5">
        <f>SUM(BO7:BO29)</f>
        <v>0</v>
      </c>
      <c r="BP5">
        <f>SUM(BP7:BP29)</f>
        <v>0</v>
      </c>
      <c r="BQ5">
        <f>SUM(BQ7:BQ29)</f>
        <v>0</v>
      </c>
      <c r="BR5">
        <f>SUM(BR7:BR29)</f>
        <v>0</v>
      </c>
      <c r="BS5">
        <f>SUM(BS7:BS29)</f>
        <v>0</v>
      </c>
      <c r="BT5">
        <f>SUM(BT7:BT29)</f>
        <v>0</v>
      </c>
      <c r="BU5">
        <f>SUM(BU7:BU29)</f>
        <v>0</v>
      </c>
      <c r="BV5">
        <f>SUM(BV7:BV29)</f>
        <v>0</v>
      </c>
      <c r="BW5">
        <f>SUM(BW7:BW29)</f>
        <v>0</v>
      </c>
      <c r="BX5">
        <f>SUM(BX7:BX29)</f>
        <v>0</v>
      </c>
      <c r="BY5">
        <f>SUM(BY7:BY29)</f>
        <v>4</v>
      </c>
      <c r="BZ5">
        <f>SUM(BZ7:BZ29)</f>
        <v>0</v>
      </c>
      <c r="CA5">
        <f>SUM(CA7:CA29)</f>
        <v>3</v>
      </c>
      <c r="CB5">
        <f>SUM(CB7:CB29)</f>
        <v>1</v>
      </c>
      <c r="CC5">
        <f>SUM(CC7:CC29)</f>
        <v>7</v>
      </c>
      <c r="CD5">
        <f>SUM(CD7:CD29)</f>
        <v>1</v>
      </c>
      <c r="CE5">
        <f>SUM(CE7:CE29)</f>
        <v>8</v>
      </c>
      <c r="CF5">
        <f>SUM(CF7:CF29)</f>
        <v>0</v>
      </c>
      <c r="CG5">
        <f>SUM(CG7:CG29)</f>
        <v>0</v>
      </c>
      <c r="CH5">
        <f>SUM(CH7:CH29)</f>
        <v>0</v>
      </c>
      <c r="CI5">
        <f>SUM(CI7:CI29)</f>
        <v>0</v>
      </c>
      <c r="CJ5">
        <f>SUM(CJ7:CJ29)</f>
        <v>0</v>
      </c>
      <c r="CK5">
        <f>SUM(CK7:CK29)</f>
        <v>0</v>
      </c>
      <c r="CL5">
        <f>SUM(CL7:CL29)</f>
        <v>0</v>
      </c>
      <c r="CM5">
        <f>SUM(CM7:CM29)</f>
        <v>0</v>
      </c>
      <c r="CN5">
        <f>SUM(CN7:CN29)</f>
        <v>0</v>
      </c>
      <c r="CO5">
        <f>SUM(CO7:CO29)</f>
        <v>0</v>
      </c>
      <c r="CP5">
        <f>SUM(CP7:CP29)</f>
        <v>0</v>
      </c>
      <c r="CQ5">
        <f>SUM(CQ7:CQ29)</f>
        <v>0</v>
      </c>
      <c r="CR5">
        <f>SUM(CR7:CR29)</f>
        <v>0</v>
      </c>
      <c r="CS5">
        <f>SUM(CS7:CS29)</f>
        <v>0</v>
      </c>
      <c r="CT5">
        <f>SUM(CT7:CT29)</f>
        <v>0</v>
      </c>
      <c r="CU5">
        <f>SUM(CU7:CU29)</f>
        <v>0</v>
      </c>
      <c r="CV5">
        <f>SUM(CV7:CV29)</f>
        <v>0</v>
      </c>
      <c r="CW5">
        <f>SUM(CW7:CW29)</f>
        <v>0</v>
      </c>
      <c r="CX5">
        <f>SUM(CX7:CX29)</f>
        <v>0</v>
      </c>
      <c r="CY5">
        <f>SUM(CY7:CY29)</f>
        <v>0</v>
      </c>
      <c r="CZ5">
        <f>SUM(CZ7:CZ29)</f>
        <v>0</v>
      </c>
      <c r="DA5">
        <f>SUM(DA7:DA29)</f>
        <v>1</v>
      </c>
      <c r="DB5">
        <f>SUM(DB7:DB29)</f>
        <v>0</v>
      </c>
      <c r="DC5">
        <f>SUM(DC7:DC29)</f>
        <v>1</v>
      </c>
      <c r="DD5">
        <f>SUM(DD7:DD29)</f>
        <v>0</v>
      </c>
      <c r="DE5">
        <f>SUM(DE7:DE29)</f>
        <v>2</v>
      </c>
      <c r="DF5">
        <f>SUM(DF7:DF29)</f>
        <v>0</v>
      </c>
      <c r="DG5">
        <f>SUM(DG7:DG29)</f>
        <v>2</v>
      </c>
      <c r="DH5">
        <f>SUM(DH7:DH29)</f>
        <v>2</v>
      </c>
      <c r="DI5">
        <f>SUM(DI7:DI29)</f>
        <v>2</v>
      </c>
      <c r="DJ5">
        <f>SUM(DJ7:DJ29)</f>
        <v>1</v>
      </c>
      <c r="DK5">
        <f>SUM(DK7:DK29)</f>
        <v>0</v>
      </c>
      <c r="DL5">
        <f>SUM(DL7:DL29)</f>
        <v>3</v>
      </c>
      <c r="DM5">
        <f>SUM(DM7:DM29)</f>
        <v>2</v>
      </c>
      <c r="DN5">
        <f>SUM(DN7:DN29)</f>
        <v>5</v>
      </c>
      <c r="DO5">
        <f>SUM(DO7:DO29)</f>
        <v>0</v>
      </c>
      <c r="DP5">
        <f>SUM(DP7:DP29)</f>
        <v>0</v>
      </c>
      <c r="DQ5">
        <f>SUM(DQ7:DQ29)</f>
        <v>0</v>
      </c>
      <c r="DR5">
        <f>SUM(DR7:DR29)</f>
        <v>0</v>
      </c>
      <c r="DS5">
        <f>SUM(DS7:DS29)</f>
        <v>0</v>
      </c>
      <c r="DT5">
        <f>SUM(DT7:DT29)</f>
        <v>0</v>
      </c>
      <c r="DU5">
        <f>SUM(DU7:DU29)</f>
        <v>0</v>
      </c>
      <c r="DV5">
        <f>SUM(DV7:DV29)</f>
        <v>0</v>
      </c>
      <c r="DW5">
        <f>SUM(DW7:DW29)</f>
        <v>0</v>
      </c>
      <c r="DX5">
        <f>SUM(DX7:DX29)</f>
        <v>0</v>
      </c>
      <c r="DY5">
        <f>SUM(DY7:DY29)</f>
        <v>0</v>
      </c>
      <c r="DZ5">
        <f>SUM(DZ7:DZ29)</f>
        <v>0</v>
      </c>
      <c r="EA5">
        <f>SUM(EA7:EA29)</f>
        <v>0</v>
      </c>
      <c r="EB5">
        <f>SUM(EB7:EB29)</f>
        <v>0</v>
      </c>
      <c r="EC5">
        <f>SUM(EC7:EC29)</f>
        <v>2</v>
      </c>
      <c r="ED5">
        <f>SUM(ED7:ED29)</f>
        <v>1</v>
      </c>
      <c r="EE5">
        <f>SUM(EE7:EE29)</f>
        <v>0</v>
      </c>
      <c r="EF5">
        <f>SUM(EF7:EF29)</f>
        <v>0</v>
      </c>
      <c r="EG5">
        <f>SUM(EG7:EG29)</f>
        <v>2</v>
      </c>
      <c r="EH5">
        <f>SUM(EH7:EH29)</f>
        <v>1</v>
      </c>
      <c r="EI5">
        <f>SUM(EI7:EI29)</f>
        <v>3</v>
      </c>
      <c r="EJ5">
        <f>SUM(EJ7:EJ29)</f>
        <v>9</v>
      </c>
      <c r="EK5">
        <f>SUM(EK7:EK29)</f>
        <v>4</v>
      </c>
      <c r="EL5">
        <f>SUM(EL7:EL29)</f>
        <v>5</v>
      </c>
      <c r="EM5">
        <f>SUM(EM7:EM29)</f>
        <v>1</v>
      </c>
      <c r="EN5">
        <f>SUM(EN7:EN29)</f>
        <v>14</v>
      </c>
      <c r="EO5">
        <f>SUM(EO7:EO29)</f>
        <v>5</v>
      </c>
      <c r="EP5">
        <f>SUM(EP7:EP29)</f>
        <v>19</v>
      </c>
    </row>
    <row r="6" spans="1:146" x14ac:dyDescent="0.25">
      <c r="A6" s="17" t="s">
        <v>34</v>
      </c>
      <c r="B6" s="17" t="s">
        <v>35</v>
      </c>
      <c r="C6" s="17" t="s">
        <v>36</v>
      </c>
      <c r="D6" s="17" t="s">
        <v>37</v>
      </c>
      <c r="E6" s="17" t="s">
        <v>38</v>
      </c>
      <c r="F6" s="17" t="s">
        <v>39</v>
      </c>
      <c r="G6" s="17" t="s">
        <v>40</v>
      </c>
      <c r="H6" s="17" t="s">
        <v>41</v>
      </c>
      <c r="I6" s="17" t="s">
        <v>42</v>
      </c>
      <c r="J6" s="17" t="s">
        <v>43</v>
      </c>
      <c r="K6" s="17" t="s">
        <v>44</v>
      </c>
      <c r="L6" s="17" t="s">
        <v>45</v>
      </c>
      <c r="M6" s="17" t="s">
        <v>46</v>
      </c>
      <c r="N6" s="17" t="s">
        <v>707</v>
      </c>
      <c r="O6" s="17" t="s">
        <v>708</v>
      </c>
      <c r="P6" s="17" t="s">
        <v>709</v>
      </c>
      <c r="Q6" s="17" t="s">
        <v>710</v>
      </c>
      <c r="R6" s="1" t="s">
        <v>31</v>
      </c>
      <c r="S6" s="1" t="s">
        <v>32</v>
      </c>
      <c r="T6" s="1" t="s">
        <v>33</v>
      </c>
      <c r="U6" s="17" t="s">
        <v>711</v>
      </c>
      <c r="V6" s="17" t="s">
        <v>712</v>
      </c>
      <c r="W6" s="17" t="s">
        <v>713</v>
      </c>
      <c r="X6" s="17" t="s">
        <v>714</v>
      </c>
      <c r="Y6" s="1" t="s">
        <v>31</v>
      </c>
      <c r="Z6" s="1" t="s">
        <v>32</v>
      </c>
      <c r="AA6" s="1" t="s">
        <v>33</v>
      </c>
      <c r="AB6" s="17" t="s">
        <v>715</v>
      </c>
      <c r="AC6" s="17" t="s">
        <v>716</v>
      </c>
      <c r="AD6" s="17" t="s">
        <v>717</v>
      </c>
      <c r="AE6" s="17" t="s">
        <v>718</v>
      </c>
      <c r="AF6" s="1" t="s">
        <v>31</v>
      </c>
      <c r="AG6" s="1" t="s">
        <v>32</v>
      </c>
      <c r="AH6" s="1" t="s">
        <v>33</v>
      </c>
      <c r="AI6" s="17" t="s">
        <v>719</v>
      </c>
      <c r="AJ6" s="17" t="s">
        <v>720</v>
      </c>
      <c r="AK6" s="17" t="s">
        <v>721</v>
      </c>
      <c r="AL6" s="17" t="s">
        <v>722</v>
      </c>
      <c r="AM6" s="1" t="s">
        <v>31</v>
      </c>
      <c r="AN6" s="1" t="s">
        <v>32</v>
      </c>
      <c r="AO6" s="1" t="s">
        <v>33</v>
      </c>
      <c r="AP6" s="17" t="s">
        <v>723</v>
      </c>
      <c r="AQ6" s="17" t="s">
        <v>724</v>
      </c>
      <c r="AR6" s="17" t="s">
        <v>725</v>
      </c>
      <c r="AS6" s="17" t="s">
        <v>726</v>
      </c>
      <c r="AT6" s="1" t="s">
        <v>31</v>
      </c>
      <c r="AU6" s="1" t="s">
        <v>32</v>
      </c>
      <c r="AV6" s="1" t="s">
        <v>33</v>
      </c>
      <c r="AW6" s="17" t="s">
        <v>727</v>
      </c>
      <c r="AX6" s="17" t="s">
        <v>728</v>
      </c>
      <c r="AY6" s="17" t="s">
        <v>729</v>
      </c>
      <c r="AZ6" s="17" t="s">
        <v>730</v>
      </c>
      <c r="BA6" s="1" t="s">
        <v>31</v>
      </c>
      <c r="BB6" s="1" t="s">
        <v>32</v>
      </c>
      <c r="BC6" s="1" t="s">
        <v>33</v>
      </c>
      <c r="BD6" s="17" t="s">
        <v>731</v>
      </c>
      <c r="BE6" s="17" t="s">
        <v>732</v>
      </c>
      <c r="BF6" s="17" t="s">
        <v>733</v>
      </c>
      <c r="BG6" s="17" t="s">
        <v>734</v>
      </c>
      <c r="BH6" s="1" t="s">
        <v>31</v>
      </c>
      <c r="BI6" s="1" t="s">
        <v>32</v>
      </c>
      <c r="BJ6" s="1" t="s">
        <v>33</v>
      </c>
      <c r="BK6" s="17" t="s">
        <v>735</v>
      </c>
      <c r="BL6" s="17" t="s">
        <v>736</v>
      </c>
      <c r="BM6" s="17" t="s">
        <v>737</v>
      </c>
      <c r="BN6" s="17" t="s">
        <v>738</v>
      </c>
      <c r="BO6" s="1" t="s">
        <v>31</v>
      </c>
      <c r="BP6" s="1" t="s">
        <v>32</v>
      </c>
      <c r="BQ6" s="1" t="s">
        <v>33</v>
      </c>
      <c r="BR6" s="17" t="s">
        <v>739</v>
      </c>
      <c r="BS6" s="17" t="s">
        <v>740</v>
      </c>
      <c r="BT6" s="17" t="s">
        <v>741</v>
      </c>
      <c r="BU6" s="17" t="s">
        <v>742</v>
      </c>
      <c r="BV6" s="1" t="s">
        <v>31</v>
      </c>
      <c r="BW6" s="1" t="s">
        <v>32</v>
      </c>
      <c r="BX6" s="1" t="s">
        <v>33</v>
      </c>
      <c r="BY6" s="17" t="s">
        <v>743</v>
      </c>
      <c r="BZ6" s="17" t="s">
        <v>744</v>
      </c>
      <c r="CA6" s="17" t="s">
        <v>745</v>
      </c>
      <c r="CB6" s="17" t="s">
        <v>746</v>
      </c>
      <c r="CC6" s="1" t="s">
        <v>31</v>
      </c>
      <c r="CD6" s="1" t="s">
        <v>32</v>
      </c>
      <c r="CE6" s="1" t="s">
        <v>33</v>
      </c>
      <c r="CF6" s="17" t="s">
        <v>747</v>
      </c>
      <c r="CG6" s="17" t="s">
        <v>748</v>
      </c>
      <c r="CH6" s="17" t="s">
        <v>749</v>
      </c>
      <c r="CI6" s="17" t="s">
        <v>750</v>
      </c>
      <c r="CJ6" s="1" t="s">
        <v>31</v>
      </c>
      <c r="CK6" s="1" t="s">
        <v>32</v>
      </c>
      <c r="CL6" s="1" t="s">
        <v>33</v>
      </c>
      <c r="CM6" s="17" t="s">
        <v>751</v>
      </c>
      <c r="CN6" s="17" t="s">
        <v>752</v>
      </c>
      <c r="CO6" s="17" t="s">
        <v>753</v>
      </c>
      <c r="CP6" s="17" t="s">
        <v>754</v>
      </c>
      <c r="CQ6" s="1" t="s">
        <v>31</v>
      </c>
      <c r="CR6" s="1" t="s">
        <v>32</v>
      </c>
      <c r="CS6" s="1" t="s">
        <v>33</v>
      </c>
      <c r="CT6" s="17" t="s">
        <v>755</v>
      </c>
      <c r="CU6" s="17" t="s">
        <v>756</v>
      </c>
      <c r="CV6" s="17" t="s">
        <v>757</v>
      </c>
      <c r="CW6" s="17" t="s">
        <v>758</v>
      </c>
      <c r="CX6" s="1" t="s">
        <v>31</v>
      </c>
      <c r="CY6" s="1" t="s">
        <v>32</v>
      </c>
      <c r="CZ6" s="1" t="s">
        <v>33</v>
      </c>
      <c r="DA6" s="17" t="s">
        <v>759</v>
      </c>
      <c r="DB6" s="17" t="s">
        <v>760</v>
      </c>
      <c r="DC6" s="17" t="s">
        <v>761</v>
      </c>
      <c r="DD6" s="17" t="s">
        <v>762</v>
      </c>
      <c r="DE6" s="1" t="s">
        <v>31</v>
      </c>
      <c r="DF6" s="1" t="s">
        <v>32</v>
      </c>
      <c r="DG6" s="1" t="s">
        <v>33</v>
      </c>
      <c r="DH6" s="17" t="s">
        <v>763</v>
      </c>
      <c r="DI6" s="17" t="s">
        <v>764</v>
      </c>
      <c r="DJ6" s="17" t="s">
        <v>765</v>
      </c>
      <c r="DK6" s="17" t="s">
        <v>766</v>
      </c>
      <c r="DL6" s="1" t="s">
        <v>31</v>
      </c>
      <c r="DM6" s="1" t="s">
        <v>32</v>
      </c>
      <c r="DN6" s="1" t="s">
        <v>33</v>
      </c>
      <c r="DO6" s="17" t="s">
        <v>767</v>
      </c>
      <c r="DP6" s="17" t="s">
        <v>768</v>
      </c>
      <c r="DQ6" s="17" t="s">
        <v>769</v>
      </c>
      <c r="DR6" s="17" t="s">
        <v>770</v>
      </c>
      <c r="DS6" s="1" t="s">
        <v>31</v>
      </c>
      <c r="DT6" s="1" t="s">
        <v>32</v>
      </c>
      <c r="DU6" s="1" t="s">
        <v>33</v>
      </c>
      <c r="DV6" s="17" t="s">
        <v>771</v>
      </c>
      <c r="DW6" s="17" t="s">
        <v>772</v>
      </c>
      <c r="DX6" s="17" t="s">
        <v>773</v>
      </c>
      <c r="DY6" s="17" t="s">
        <v>774</v>
      </c>
      <c r="DZ6" s="1" t="s">
        <v>31</v>
      </c>
      <c r="EA6" s="1" t="s">
        <v>32</v>
      </c>
      <c r="EB6" s="1" t="s">
        <v>33</v>
      </c>
      <c r="EC6" s="17" t="s">
        <v>775</v>
      </c>
      <c r="ED6" s="17" t="s">
        <v>776</v>
      </c>
      <c r="EE6" s="17" t="s">
        <v>777</v>
      </c>
      <c r="EF6" s="17" t="s">
        <v>778</v>
      </c>
      <c r="EG6" s="1" t="s">
        <v>31</v>
      </c>
      <c r="EH6" s="1" t="s">
        <v>32</v>
      </c>
      <c r="EI6" s="1" t="s">
        <v>33</v>
      </c>
      <c r="EJ6" s="17" t="s">
        <v>779</v>
      </c>
      <c r="EK6" s="17" t="s">
        <v>780</v>
      </c>
      <c r="EL6" s="17" t="s">
        <v>781</v>
      </c>
      <c r="EM6" s="17" t="s">
        <v>782</v>
      </c>
      <c r="EN6" s="1" t="s">
        <v>31</v>
      </c>
      <c r="EO6" s="1" t="s">
        <v>32</v>
      </c>
      <c r="EP6" s="1" t="s">
        <v>33</v>
      </c>
    </row>
    <row r="7" spans="1:146" x14ac:dyDescent="0.25">
      <c r="A7" t="s">
        <v>405</v>
      </c>
      <c r="B7" t="s">
        <v>421</v>
      </c>
      <c r="C7">
        <v>304303</v>
      </c>
      <c r="D7" s="20" t="s">
        <v>685</v>
      </c>
      <c r="E7" t="s">
        <v>423</v>
      </c>
      <c r="F7" t="s">
        <v>424</v>
      </c>
      <c r="G7" t="s">
        <v>407</v>
      </c>
      <c r="H7" t="s">
        <v>445</v>
      </c>
      <c r="I7" t="s">
        <v>408</v>
      </c>
      <c r="J7" t="s">
        <v>409</v>
      </c>
      <c r="K7" t="s">
        <v>410</v>
      </c>
      <c r="L7" t="s">
        <v>681</v>
      </c>
      <c r="M7" t="s">
        <v>682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2</v>
      </c>
      <c r="ED7">
        <v>1</v>
      </c>
      <c r="EE7">
        <v>0</v>
      </c>
      <c r="EF7">
        <v>0</v>
      </c>
      <c r="EG7">
        <v>2</v>
      </c>
      <c r="EH7">
        <v>1</v>
      </c>
      <c r="EI7">
        <v>3</v>
      </c>
      <c r="EJ7">
        <f>SUMIF($N$6:$EI$6,"*"&amp;EJ$6&amp;"*",$N7:$EI7)</f>
        <v>2</v>
      </c>
      <c r="EK7">
        <f>SUMIF($N$6:$EI$6,"*"&amp;EK$6&amp;"*",$N7:$EI7)</f>
        <v>1</v>
      </c>
      <c r="EL7">
        <f>SUMIF($N$6:$EI$6,"*"&amp;EL$6&amp;"*",$N7:$EI7)</f>
        <v>0</v>
      </c>
      <c r="EM7">
        <f>SUMIF($N$6:$EI$6,"*"&amp;EM$6&amp;"*",$N7:$EI7)</f>
        <v>0</v>
      </c>
      <c r="EN7">
        <f>SUMIF($EJ$4:$EM$4,EN$6,$EJ7:$EM7)</f>
        <v>2</v>
      </c>
      <c r="EO7">
        <f>SUMIF($EJ$4:$EM$4,EO$6,$EJ7:$EM7)</f>
        <v>1</v>
      </c>
      <c r="EP7">
        <f>SUM(EN7:EO7)</f>
        <v>3</v>
      </c>
    </row>
    <row r="8" spans="1:146" ht="30" x14ac:dyDescent="0.25">
      <c r="A8" t="s">
        <v>405</v>
      </c>
      <c r="B8" t="s">
        <v>421</v>
      </c>
      <c r="C8">
        <v>304305</v>
      </c>
      <c r="D8" s="20" t="s">
        <v>686</v>
      </c>
      <c r="E8" t="s">
        <v>423</v>
      </c>
      <c r="F8" t="s">
        <v>424</v>
      </c>
      <c r="G8" t="s">
        <v>407</v>
      </c>
      <c r="H8" t="s">
        <v>452</v>
      </c>
      <c r="I8" t="s">
        <v>408</v>
      </c>
      <c r="J8" t="s">
        <v>409</v>
      </c>
      <c r="K8" t="s">
        <v>410</v>
      </c>
      <c r="L8" t="s">
        <v>681</v>
      </c>
      <c r="M8" t="s">
        <v>682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f>SUMIF($N$6:$EI$6,"*"&amp;EJ$6&amp;"*",$N8:$EI8)</f>
        <v>0</v>
      </c>
      <c r="EK8">
        <f>SUMIF($N$6:$EI$6,"*"&amp;EK$6&amp;"*",$N8:$EI8)</f>
        <v>0</v>
      </c>
      <c r="EL8">
        <f>SUMIF($N$6:$EI$6,"*"&amp;EL$6&amp;"*",$N8:$EI8)</f>
        <v>0</v>
      </c>
      <c r="EM8">
        <f>SUMIF($N$6:$EI$6,"*"&amp;EM$6&amp;"*",$N8:$EI8)</f>
        <v>0</v>
      </c>
      <c r="EN8">
        <f>SUMIF($EJ$4:$EM$4,EN$6,$EJ8:$EM8)</f>
        <v>0</v>
      </c>
      <c r="EO8">
        <f>SUMIF($EJ$4:$EM$4,EO$6,$EJ8:$EM8)</f>
        <v>0</v>
      </c>
      <c r="EP8">
        <f>SUM(EN8:EO8)</f>
        <v>0</v>
      </c>
    </row>
    <row r="9" spans="1:146" x14ac:dyDescent="0.25">
      <c r="A9" t="s">
        <v>405</v>
      </c>
      <c r="B9" t="s">
        <v>421</v>
      </c>
      <c r="C9">
        <v>304313</v>
      </c>
      <c r="D9" s="20" t="s">
        <v>687</v>
      </c>
      <c r="E9" t="s">
        <v>423</v>
      </c>
      <c r="F9" t="s">
        <v>424</v>
      </c>
      <c r="G9" t="s">
        <v>407</v>
      </c>
      <c r="H9" t="s">
        <v>480</v>
      </c>
      <c r="I9" t="s">
        <v>500</v>
      </c>
      <c r="J9" t="s">
        <v>409</v>
      </c>
      <c r="K9" t="s">
        <v>410</v>
      </c>
      <c r="L9" t="s">
        <v>681</v>
      </c>
      <c r="M9" t="s">
        <v>682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f>SUMIF($N$6:$EI$6,"*"&amp;EJ$6&amp;"*",$N9:$EI9)</f>
        <v>0</v>
      </c>
      <c r="EK9">
        <f>SUMIF($N$6:$EI$6,"*"&amp;EK$6&amp;"*",$N9:$EI9)</f>
        <v>0</v>
      </c>
      <c r="EL9">
        <f>SUMIF($N$6:$EI$6,"*"&amp;EL$6&amp;"*",$N9:$EI9)</f>
        <v>0</v>
      </c>
      <c r="EM9">
        <f>SUMIF($N$6:$EI$6,"*"&amp;EM$6&amp;"*",$N9:$EI9)</f>
        <v>0</v>
      </c>
      <c r="EN9">
        <f>SUMIF($EJ$4:$EM$4,EN$6,$EJ9:$EM9)</f>
        <v>0</v>
      </c>
      <c r="EO9">
        <f>SUMIF($EJ$4:$EM$4,EO$6,$EJ9:$EM9)</f>
        <v>0</v>
      </c>
      <c r="EP9">
        <f>SUM(EN9:EO9)</f>
        <v>0</v>
      </c>
    </row>
    <row r="10" spans="1:146" x14ac:dyDescent="0.25">
      <c r="A10" t="s">
        <v>405</v>
      </c>
      <c r="B10" t="s">
        <v>421</v>
      </c>
      <c r="C10">
        <v>304314</v>
      </c>
      <c r="D10" s="20" t="s">
        <v>688</v>
      </c>
      <c r="E10" t="s">
        <v>423</v>
      </c>
      <c r="F10" t="s">
        <v>424</v>
      </c>
      <c r="G10" t="s">
        <v>407</v>
      </c>
      <c r="H10" t="s">
        <v>465</v>
      </c>
      <c r="I10" t="s">
        <v>408</v>
      </c>
      <c r="J10" t="s">
        <v>409</v>
      </c>
      <c r="K10" t="s">
        <v>410</v>
      </c>
      <c r="L10" t="s">
        <v>681</v>
      </c>
      <c r="M10" t="s">
        <v>682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f>SUMIF($N$6:$EI$6,"*"&amp;EJ$6&amp;"*",$N10:$EI10)</f>
        <v>0</v>
      </c>
      <c r="EK10">
        <f>SUMIF($N$6:$EI$6,"*"&amp;EK$6&amp;"*",$N10:$EI10)</f>
        <v>0</v>
      </c>
      <c r="EL10">
        <f>SUMIF($N$6:$EI$6,"*"&amp;EL$6&amp;"*",$N10:$EI10)</f>
        <v>0</v>
      </c>
      <c r="EM10">
        <f>SUMIF($N$6:$EI$6,"*"&amp;EM$6&amp;"*",$N10:$EI10)</f>
        <v>0</v>
      </c>
      <c r="EN10">
        <f>SUMIF($EJ$4:$EM$4,EN$6,$EJ10:$EM10)</f>
        <v>0</v>
      </c>
      <c r="EO10">
        <f>SUMIF($EJ$4:$EM$4,EO$6,$EJ10:$EM10)</f>
        <v>0</v>
      </c>
      <c r="EP10">
        <f>SUM(EN10:EO10)</f>
        <v>0</v>
      </c>
    </row>
    <row r="11" spans="1:146" x14ac:dyDescent="0.25">
      <c r="A11" t="s">
        <v>405</v>
      </c>
      <c r="B11" t="s">
        <v>421</v>
      </c>
      <c r="C11">
        <v>304318</v>
      </c>
      <c r="D11" s="20" t="s">
        <v>689</v>
      </c>
      <c r="E11" t="s">
        <v>423</v>
      </c>
      <c r="F11" t="s">
        <v>424</v>
      </c>
      <c r="G11" t="s">
        <v>407</v>
      </c>
      <c r="H11" t="s">
        <v>485</v>
      </c>
      <c r="I11" t="s">
        <v>408</v>
      </c>
      <c r="J11" t="s">
        <v>409</v>
      </c>
      <c r="K11" t="s">
        <v>410</v>
      </c>
      <c r="L11" t="s">
        <v>681</v>
      </c>
      <c r="M11" t="s">
        <v>682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f>SUMIF($N$6:$EI$6,"*"&amp;EJ$6&amp;"*",$N11:$EI11)</f>
        <v>1</v>
      </c>
      <c r="EK11">
        <f>SUMIF($N$6:$EI$6,"*"&amp;EK$6&amp;"*",$N11:$EI11)</f>
        <v>0</v>
      </c>
      <c r="EL11">
        <f>SUMIF($N$6:$EI$6,"*"&amp;EL$6&amp;"*",$N11:$EI11)</f>
        <v>0</v>
      </c>
      <c r="EM11">
        <f>SUMIF($N$6:$EI$6,"*"&amp;EM$6&amp;"*",$N11:$EI11)</f>
        <v>0</v>
      </c>
      <c r="EN11">
        <f>SUMIF($EJ$4:$EM$4,EN$6,$EJ11:$EM11)</f>
        <v>1</v>
      </c>
      <c r="EO11">
        <f>SUMIF($EJ$4:$EM$4,EO$6,$EJ11:$EM11)</f>
        <v>0</v>
      </c>
      <c r="EP11">
        <f>SUM(EN11:EO11)</f>
        <v>1</v>
      </c>
    </row>
    <row r="12" spans="1:146" ht="45" x14ac:dyDescent="0.25">
      <c r="A12" t="s">
        <v>405</v>
      </c>
      <c r="B12" t="s">
        <v>421</v>
      </c>
      <c r="C12">
        <v>304325</v>
      </c>
      <c r="D12" s="20" t="s">
        <v>690</v>
      </c>
      <c r="E12" t="s">
        <v>423</v>
      </c>
      <c r="F12" t="s">
        <v>424</v>
      </c>
      <c r="G12" t="s">
        <v>407</v>
      </c>
      <c r="H12" t="s">
        <v>436</v>
      </c>
      <c r="I12" t="s">
        <v>408</v>
      </c>
      <c r="J12" t="s">
        <v>409</v>
      </c>
      <c r="K12" t="s">
        <v>410</v>
      </c>
      <c r="L12" t="s">
        <v>681</v>
      </c>
      <c r="M12" t="s">
        <v>682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f>SUMIF($N$6:$EI$6,"*"&amp;EJ$6&amp;"*",$N12:$EI12)</f>
        <v>0</v>
      </c>
      <c r="EK12">
        <f>SUMIF($N$6:$EI$6,"*"&amp;EK$6&amp;"*",$N12:$EI12)</f>
        <v>0</v>
      </c>
      <c r="EL12">
        <f>SUMIF($N$6:$EI$6,"*"&amp;EL$6&amp;"*",$N12:$EI12)</f>
        <v>0</v>
      </c>
      <c r="EM12">
        <f>SUMIF($N$6:$EI$6,"*"&amp;EM$6&amp;"*",$N12:$EI12)</f>
        <v>0</v>
      </c>
      <c r="EN12">
        <f>SUMIF($EJ$4:$EM$4,EN$6,$EJ12:$EM12)</f>
        <v>0</v>
      </c>
      <c r="EO12">
        <f>SUMIF($EJ$4:$EM$4,EO$6,$EJ12:$EM12)</f>
        <v>0</v>
      </c>
      <c r="EP12">
        <f>SUM(EN12:EO12)</f>
        <v>0</v>
      </c>
    </row>
    <row r="13" spans="1:146" x14ac:dyDescent="0.25">
      <c r="A13" t="s">
        <v>405</v>
      </c>
      <c r="B13" t="s">
        <v>421</v>
      </c>
      <c r="C13">
        <v>304326</v>
      </c>
      <c r="D13" s="20" t="s">
        <v>691</v>
      </c>
      <c r="E13" t="s">
        <v>423</v>
      </c>
      <c r="F13" t="s">
        <v>424</v>
      </c>
      <c r="G13" t="s">
        <v>407</v>
      </c>
      <c r="H13" t="s">
        <v>436</v>
      </c>
      <c r="I13" t="s">
        <v>408</v>
      </c>
      <c r="J13" t="s">
        <v>409</v>
      </c>
      <c r="K13" t="s">
        <v>410</v>
      </c>
      <c r="L13" t="s">
        <v>681</v>
      </c>
      <c r="M13" t="s">
        <v>682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1</v>
      </c>
      <c r="CB13">
        <v>0</v>
      </c>
      <c r="CC13">
        <v>2</v>
      </c>
      <c r="CD13">
        <v>0</v>
      </c>
      <c r="CE13">
        <v>2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2</v>
      </c>
      <c r="DI13">
        <v>2</v>
      </c>
      <c r="DJ13">
        <v>1</v>
      </c>
      <c r="DK13">
        <v>0</v>
      </c>
      <c r="DL13">
        <v>3</v>
      </c>
      <c r="DM13">
        <v>2</v>
      </c>
      <c r="DN13">
        <v>5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f>SUMIF($N$6:$EI$6,"*"&amp;EJ$6&amp;"*",$N13:$EI13)</f>
        <v>3</v>
      </c>
      <c r="EK13">
        <f>SUMIF($N$6:$EI$6,"*"&amp;EK$6&amp;"*",$N13:$EI13)</f>
        <v>2</v>
      </c>
      <c r="EL13">
        <f>SUMIF($N$6:$EI$6,"*"&amp;EL$6&amp;"*",$N13:$EI13)</f>
        <v>2</v>
      </c>
      <c r="EM13">
        <f>SUMIF($N$6:$EI$6,"*"&amp;EM$6&amp;"*",$N13:$EI13)</f>
        <v>0</v>
      </c>
      <c r="EN13">
        <f>SUMIF($EJ$4:$EM$4,EN$6,$EJ13:$EM13)</f>
        <v>5</v>
      </c>
      <c r="EO13">
        <f>SUMIF($EJ$4:$EM$4,EO$6,$EJ13:$EM13)</f>
        <v>2</v>
      </c>
      <c r="EP13">
        <f>SUM(EN13:EO13)</f>
        <v>7</v>
      </c>
    </row>
    <row r="14" spans="1:146" x14ac:dyDescent="0.25">
      <c r="A14" t="s">
        <v>405</v>
      </c>
      <c r="B14" t="s">
        <v>421</v>
      </c>
      <c r="C14">
        <v>304327</v>
      </c>
      <c r="D14" s="20" t="s">
        <v>692</v>
      </c>
      <c r="E14" t="s">
        <v>423</v>
      </c>
      <c r="F14" t="s">
        <v>424</v>
      </c>
      <c r="G14" t="s">
        <v>407</v>
      </c>
      <c r="H14" t="s">
        <v>463</v>
      </c>
      <c r="I14" t="s">
        <v>408</v>
      </c>
      <c r="J14" t="s">
        <v>409</v>
      </c>
      <c r="K14" t="s">
        <v>410</v>
      </c>
      <c r="L14" t="s">
        <v>681</v>
      </c>
      <c r="M14" t="s">
        <v>682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f>SUMIF($N$6:$EI$6,"*"&amp;EJ$6&amp;"*",$N14:$EI14)</f>
        <v>0</v>
      </c>
      <c r="EK14">
        <f>SUMIF($N$6:$EI$6,"*"&amp;EK$6&amp;"*",$N14:$EI14)</f>
        <v>0</v>
      </c>
      <c r="EL14">
        <f>SUMIF($N$6:$EI$6,"*"&amp;EL$6&amp;"*",$N14:$EI14)</f>
        <v>0</v>
      </c>
      <c r="EM14">
        <f>SUMIF($N$6:$EI$6,"*"&amp;EM$6&amp;"*",$N14:$EI14)</f>
        <v>0</v>
      </c>
      <c r="EN14">
        <f>SUMIF($EJ$4:$EM$4,EN$6,$EJ14:$EM14)</f>
        <v>0</v>
      </c>
      <c r="EO14">
        <f>SUMIF($EJ$4:$EM$4,EO$6,$EJ14:$EM14)</f>
        <v>0</v>
      </c>
      <c r="EP14">
        <f>SUM(EN14:EO14)</f>
        <v>0</v>
      </c>
    </row>
    <row r="15" spans="1:146" ht="30" x14ac:dyDescent="0.25">
      <c r="A15" t="s">
        <v>405</v>
      </c>
      <c r="B15" t="s">
        <v>421</v>
      </c>
      <c r="C15">
        <v>304328</v>
      </c>
      <c r="D15" s="20" t="s">
        <v>693</v>
      </c>
      <c r="E15" t="s">
        <v>423</v>
      </c>
      <c r="F15" t="s">
        <v>424</v>
      </c>
      <c r="G15" t="s">
        <v>407</v>
      </c>
      <c r="H15" t="s">
        <v>449</v>
      </c>
      <c r="I15" t="s">
        <v>408</v>
      </c>
      <c r="J15" t="s">
        <v>409</v>
      </c>
      <c r="K15" t="s">
        <v>410</v>
      </c>
      <c r="L15" t="s">
        <v>681</v>
      </c>
      <c r="M15" t="s">
        <v>682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f>SUMIF($N$6:$EI$6,"*"&amp;EJ$6&amp;"*",$N15:$EI15)</f>
        <v>0</v>
      </c>
      <c r="EK15">
        <f>SUMIF($N$6:$EI$6,"*"&amp;EK$6&amp;"*",$N15:$EI15)</f>
        <v>0</v>
      </c>
      <c r="EL15">
        <f>SUMIF($N$6:$EI$6,"*"&amp;EL$6&amp;"*",$N15:$EI15)</f>
        <v>0</v>
      </c>
      <c r="EM15">
        <f>SUMIF($N$6:$EI$6,"*"&amp;EM$6&amp;"*",$N15:$EI15)</f>
        <v>0</v>
      </c>
      <c r="EN15">
        <f>SUMIF($EJ$4:$EM$4,EN$6,$EJ15:$EM15)</f>
        <v>0</v>
      </c>
      <c r="EO15">
        <f>SUMIF($EJ$4:$EM$4,EO$6,$EJ15:$EM15)</f>
        <v>0</v>
      </c>
      <c r="EP15">
        <f>SUM(EN15:EO15)</f>
        <v>0</v>
      </c>
    </row>
    <row r="16" spans="1:146" ht="30" x14ac:dyDescent="0.25">
      <c r="A16" t="s">
        <v>405</v>
      </c>
      <c r="B16" t="s">
        <v>421</v>
      </c>
      <c r="C16">
        <v>304338</v>
      </c>
      <c r="D16" s="20" t="s">
        <v>694</v>
      </c>
      <c r="E16" t="s">
        <v>423</v>
      </c>
      <c r="F16" t="s">
        <v>424</v>
      </c>
      <c r="G16" t="s">
        <v>407</v>
      </c>
      <c r="H16" t="s">
        <v>473</v>
      </c>
      <c r="I16" t="s">
        <v>408</v>
      </c>
      <c r="J16" t="s">
        <v>409</v>
      </c>
      <c r="K16" t="s">
        <v>410</v>
      </c>
      <c r="L16" t="s">
        <v>681</v>
      </c>
      <c r="M16" t="s">
        <v>682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f>SUMIF($N$6:$EI$6,"*"&amp;EJ$6&amp;"*",$N16:$EI16)</f>
        <v>0</v>
      </c>
      <c r="EK16">
        <f>SUMIF($N$6:$EI$6,"*"&amp;EK$6&amp;"*",$N16:$EI16)</f>
        <v>0</v>
      </c>
      <c r="EL16">
        <f>SUMIF($N$6:$EI$6,"*"&amp;EL$6&amp;"*",$N16:$EI16)</f>
        <v>0</v>
      </c>
      <c r="EM16">
        <f>SUMIF($N$6:$EI$6,"*"&amp;EM$6&amp;"*",$N16:$EI16)</f>
        <v>0</v>
      </c>
      <c r="EN16">
        <f>SUMIF($EJ$4:$EM$4,EN$6,$EJ16:$EM16)</f>
        <v>0</v>
      </c>
      <c r="EO16">
        <f>SUMIF($EJ$4:$EM$4,EO$6,$EJ16:$EM16)</f>
        <v>0</v>
      </c>
      <c r="EP16">
        <f>SUM(EN16:EO16)</f>
        <v>0</v>
      </c>
    </row>
    <row r="17" spans="1:146" x14ac:dyDescent="0.25">
      <c r="A17" t="s">
        <v>405</v>
      </c>
      <c r="B17" t="s">
        <v>421</v>
      </c>
      <c r="C17">
        <v>316104</v>
      </c>
      <c r="D17" s="20" t="s">
        <v>696</v>
      </c>
      <c r="E17" t="s">
        <v>423</v>
      </c>
      <c r="F17" t="s">
        <v>424</v>
      </c>
      <c r="G17" t="s">
        <v>407</v>
      </c>
      <c r="H17" t="s">
        <v>456</v>
      </c>
      <c r="I17" t="s">
        <v>408</v>
      </c>
      <c r="J17" t="s">
        <v>409</v>
      </c>
      <c r="K17" t="s">
        <v>410</v>
      </c>
      <c r="L17" t="s">
        <v>681</v>
      </c>
      <c r="M17" t="s">
        <v>682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f>SUMIF($N$6:$EI$6,"*"&amp;EJ$6&amp;"*",$N17:$EI17)</f>
        <v>1</v>
      </c>
      <c r="EK17">
        <f>SUMIF($N$6:$EI$6,"*"&amp;EK$6&amp;"*",$N17:$EI17)</f>
        <v>0</v>
      </c>
      <c r="EL17">
        <f>SUMIF($N$6:$EI$6,"*"&amp;EL$6&amp;"*",$N17:$EI17)</f>
        <v>0</v>
      </c>
      <c r="EM17">
        <f>SUMIF($N$6:$EI$6,"*"&amp;EM$6&amp;"*",$N17:$EI17)</f>
        <v>0</v>
      </c>
      <c r="EN17">
        <f>SUMIF($EJ$4:$EM$4,EN$6,$EJ17:$EM17)</f>
        <v>1</v>
      </c>
      <c r="EO17">
        <f>SUMIF($EJ$4:$EM$4,EO$6,$EJ17:$EM17)</f>
        <v>0</v>
      </c>
      <c r="EP17">
        <f>SUM(EN17:EO17)</f>
        <v>1</v>
      </c>
    </row>
    <row r="18" spans="1:146" ht="30" x14ac:dyDescent="0.25">
      <c r="A18" t="s">
        <v>405</v>
      </c>
      <c r="B18" t="s">
        <v>421</v>
      </c>
      <c r="C18">
        <v>325102</v>
      </c>
      <c r="D18" s="20" t="s">
        <v>698</v>
      </c>
      <c r="E18" t="s">
        <v>423</v>
      </c>
      <c r="F18" t="s">
        <v>424</v>
      </c>
      <c r="G18" t="s">
        <v>407</v>
      </c>
      <c r="H18" t="s">
        <v>447</v>
      </c>
      <c r="I18" t="s">
        <v>408</v>
      </c>
      <c r="J18" t="s">
        <v>409</v>
      </c>
      <c r="K18" t="s">
        <v>410</v>
      </c>
      <c r="L18" t="s">
        <v>681</v>
      </c>
      <c r="M18" t="s">
        <v>682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f>SUMIF($N$6:$EI$6,"*"&amp;EJ$6&amp;"*",$N18:$EI18)</f>
        <v>0</v>
      </c>
      <c r="EK18">
        <f>SUMIF($N$6:$EI$6,"*"&amp;EK$6&amp;"*",$N18:$EI18)</f>
        <v>1</v>
      </c>
      <c r="EL18">
        <f>SUMIF($N$6:$EI$6,"*"&amp;EL$6&amp;"*",$N18:$EI18)</f>
        <v>0</v>
      </c>
      <c r="EM18">
        <f>SUMIF($N$6:$EI$6,"*"&amp;EM$6&amp;"*",$N18:$EI18)</f>
        <v>0</v>
      </c>
      <c r="EN18">
        <f>SUMIF($EJ$4:$EM$4,EN$6,$EJ18:$EM18)</f>
        <v>0</v>
      </c>
      <c r="EO18">
        <f>SUMIF($EJ$4:$EM$4,EO$6,$EJ18:$EM18)</f>
        <v>1</v>
      </c>
      <c r="EP18">
        <f>SUM(EN18:EO18)</f>
        <v>1</v>
      </c>
    </row>
    <row r="19" spans="1:146" x14ac:dyDescent="0.25">
      <c r="A19" t="s">
        <v>405</v>
      </c>
      <c r="B19" t="s">
        <v>421</v>
      </c>
      <c r="C19">
        <v>325104</v>
      </c>
      <c r="D19" s="20" t="s">
        <v>699</v>
      </c>
      <c r="E19" t="s">
        <v>423</v>
      </c>
      <c r="F19" t="s">
        <v>424</v>
      </c>
      <c r="G19" t="s">
        <v>407</v>
      </c>
      <c r="H19" t="s">
        <v>431</v>
      </c>
      <c r="I19" t="s">
        <v>408</v>
      </c>
      <c r="J19" t="s">
        <v>409</v>
      </c>
      <c r="K19" t="s">
        <v>410</v>
      </c>
      <c r="L19" t="s">
        <v>681</v>
      </c>
      <c r="M19" t="s">
        <v>682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f>SUMIF($N$6:$EI$6,"*"&amp;EJ$6&amp;"*",$N19:$EI19)</f>
        <v>0</v>
      </c>
      <c r="EK19">
        <f>SUMIF($N$6:$EI$6,"*"&amp;EK$6&amp;"*",$N19:$EI19)</f>
        <v>0</v>
      </c>
      <c r="EL19">
        <f>SUMIF($N$6:$EI$6,"*"&amp;EL$6&amp;"*",$N19:$EI19)</f>
        <v>0</v>
      </c>
      <c r="EM19">
        <f>SUMIF($N$6:$EI$6,"*"&amp;EM$6&amp;"*",$N19:$EI19)</f>
        <v>0</v>
      </c>
      <c r="EN19">
        <f>SUMIF($EJ$4:$EM$4,EN$6,$EJ19:$EM19)</f>
        <v>0</v>
      </c>
      <c r="EO19">
        <f>SUMIF($EJ$4:$EM$4,EO$6,$EJ19:$EM19)</f>
        <v>0</v>
      </c>
      <c r="EP19">
        <f>SUM(EN19:EO19)</f>
        <v>0</v>
      </c>
    </row>
    <row r="20" spans="1:146" x14ac:dyDescent="0.25">
      <c r="A20" t="s">
        <v>405</v>
      </c>
      <c r="B20" t="s">
        <v>421</v>
      </c>
      <c r="C20">
        <v>325105</v>
      </c>
      <c r="D20" s="20" t="s">
        <v>700</v>
      </c>
      <c r="E20" t="s">
        <v>423</v>
      </c>
      <c r="F20" t="s">
        <v>424</v>
      </c>
      <c r="G20" t="s">
        <v>407</v>
      </c>
      <c r="H20" t="s">
        <v>427</v>
      </c>
      <c r="I20" t="s">
        <v>500</v>
      </c>
      <c r="J20" t="s">
        <v>409</v>
      </c>
      <c r="K20" t="s">
        <v>410</v>
      </c>
      <c r="L20" t="s">
        <v>681</v>
      </c>
      <c r="M20" t="s">
        <v>682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f>SUMIF($N$6:$EI$6,"*"&amp;EJ$6&amp;"*",$N20:$EI20)</f>
        <v>0</v>
      </c>
      <c r="EK20">
        <f>SUMIF($N$6:$EI$6,"*"&amp;EK$6&amp;"*",$N20:$EI20)</f>
        <v>0</v>
      </c>
      <c r="EL20">
        <f>SUMIF($N$6:$EI$6,"*"&amp;EL$6&amp;"*",$N20:$EI20)</f>
        <v>0</v>
      </c>
      <c r="EM20">
        <f>SUMIF($N$6:$EI$6,"*"&amp;EM$6&amp;"*",$N20:$EI20)</f>
        <v>0</v>
      </c>
      <c r="EN20">
        <f>SUMIF($EJ$4:$EM$4,EN$6,$EJ20:$EM20)</f>
        <v>0</v>
      </c>
      <c r="EO20">
        <f>SUMIF($EJ$4:$EM$4,EO$6,$EJ20:$EM20)</f>
        <v>0</v>
      </c>
      <c r="EP20">
        <f>SUM(EN20:EO20)</f>
        <v>0</v>
      </c>
    </row>
    <row r="21" spans="1:146" x14ac:dyDescent="0.25">
      <c r="A21" t="s">
        <v>405</v>
      </c>
      <c r="B21" t="s">
        <v>421</v>
      </c>
      <c r="C21">
        <v>325106</v>
      </c>
      <c r="D21" s="20" t="s">
        <v>701</v>
      </c>
      <c r="E21" t="s">
        <v>423</v>
      </c>
      <c r="F21" t="s">
        <v>424</v>
      </c>
      <c r="G21" t="s">
        <v>407</v>
      </c>
      <c r="H21" t="s">
        <v>478</v>
      </c>
      <c r="I21" t="s">
        <v>408</v>
      </c>
      <c r="J21" t="s">
        <v>409</v>
      </c>
      <c r="K21" t="s">
        <v>410</v>
      </c>
      <c r="L21" t="s">
        <v>681</v>
      </c>
      <c r="M21" t="s">
        <v>682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f>SUMIF($N$6:$EI$6,"*"&amp;EJ$6&amp;"*",$N21:$EI21)</f>
        <v>0</v>
      </c>
      <c r="EK21">
        <f>SUMIF($N$6:$EI$6,"*"&amp;EK$6&amp;"*",$N21:$EI21)</f>
        <v>0</v>
      </c>
      <c r="EL21">
        <f>SUMIF($N$6:$EI$6,"*"&amp;EL$6&amp;"*",$N21:$EI21)</f>
        <v>0</v>
      </c>
      <c r="EM21">
        <f>SUMIF($N$6:$EI$6,"*"&amp;EM$6&amp;"*",$N21:$EI21)</f>
        <v>0</v>
      </c>
      <c r="EN21">
        <f>SUMIF($EJ$4:$EM$4,EN$6,$EJ21:$EM21)</f>
        <v>0</v>
      </c>
      <c r="EO21">
        <f>SUMIF($EJ$4:$EM$4,EO$6,$EJ21:$EM21)</f>
        <v>0</v>
      </c>
      <c r="EP21">
        <f>SUM(EN21:EO21)</f>
        <v>0</v>
      </c>
    </row>
    <row r="22" spans="1:146" ht="30" x14ac:dyDescent="0.25">
      <c r="A22" t="s">
        <v>405</v>
      </c>
      <c r="B22" t="s">
        <v>421</v>
      </c>
      <c r="C22">
        <v>405423</v>
      </c>
      <c r="D22" s="20" t="s">
        <v>496</v>
      </c>
      <c r="E22" t="s">
        <v>423</v>
      </c>
      <c r="F22" t="s">
        <v>424</v>
      </c>
      <c r="G22" t="s">
        <v>407</v>
      </c>
      <c r="H22" t="s">
        <v>434</v>
      </c>
      <c r="I22" t="s">
        <v>408</v>
      </c>
      <c r="J22" t="s">
        <v>413</v>
      </c>
      <c r="K22" t="s">
        <v>414</v>
      </c>
      <c r="L22" t="s">
        <v>415</v>
      </c>
      <c r="M22" t="s">
        <v>416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f>SUMIF($N$6:$EI$6,"*"&amp;EJ$6&amp;"*",$N22:$EI22)</f>
        <v>0</v>
      </c>
      <c r="EK22">
        <f>SUMIF($N$6:$EI$6,"*"&amp;EK$6&amp;"*",$N22:$EI22)</f>
        <v>0</v>
      </c>
      <c r="EL22">
        <f>SUMIF($N$6:$EI$6,"*"&amp;EL$6&amp;"*",$N22:$EI22)</f>
        <v>0</v>
      </c>
      <c r="EM22">
        <f>SUMIF($N$6:$EI$6,"*"&amp;EM$6&amp;"*",$N22:$EI22)</f>
        <v>0</v>
      </c>
      <c r="EN22">
        <f>SUMIF($EJ$4:$EM$4,EN$6,$EJ22:$EM22)</f>
        <v>0</v>
      </c>
      <c r="EO22">
        <f>SUMIF($EJ$4:$EM$4,EO$6,$EJ22:$EM22)</f>
        <v>0</v>
      </c>
      <c r="EP22">
        <f>SUM(EN22:EO22)</f>
        <v>0</v>
      </c>
    </row>
    <row r="23" spans="1:146" x14ac:dyDescent="0.25">
      <c r="A23" t="s">
        <v>405</v>
      </c>
      <c r="B23" t="s">
        <v>421</v>
      </c>
      <c r="C23">
        <v>405424</v>
      </c>
      <c r="D23" s="20" t="s">
        <v>702</v>
      </c>
      <c r="E23" t="s">
        <v>423</v>
      </c>
      <c r="F23" t="s">
        <v>424</v>
      </c>
      <c r="G23" t="s">
        <v>407</v>
      </c>
      <c r="H23" t="s">
        <v>436</v>
      </c>
      <c r="I23" t="s">
        <v>408</v>
      </c>
      <c r="J23" t="s">
        <v>413</v>
      </c>
      <c r="K23" t="s">
        <v>414</v>
      </c>
      <c r="L23" t="s">
        <v>681</v>
      </c>
      <c r="M23" t="s">
        <v>682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2</v>
      </c>
      <c r="CB23">
        <v>1</v>
      </c>
      <c r="CC23">
        <v>3</v>
      </c>
      <c r="CD23">
        <v>1</v>
      </c>
      <c r="CE23">
        <v>4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f>SUMIF($N$6:$EI$6,"*"&amp;EJ$6&amp;"*",$N23:$EI23)</f>
        <v>1</v>
      </c>
      <c r="EK23">
        <f>SUMIF($N$6:$EI$6,"*"&amp;EK$6&amp;"*",$N23:$EI23)</f>
        <v>0</v>
      </c>
      <c r="EL23">
        <f>SUMIF($N$6:$EI$6,"*"&amp;EL$6&amp;"*",$N23:$EI23)</f>
        <v>2</v>
      </c>
      <c r="EM23">
        <f>SUMIF($N$6:$EI$6,"*"&amp;EM$6&amp;"*",$N23:$EI23)</f>
        <v>1</v>
      </c>
      <c r="EN23">
        <f>SUMIF($EJ$4:$EM$4,EN$6,$EJ23:$EM23)</f>
        <v>3</v>
      </c>
      <c r="EO23">
        <f>SUMIF($EJ$4:$EM$4,EO$6,$EJ23:$EM23)</f>
        <v>1</v>
      </c>
      <c r="EP23">
        <f>SUM(EN23:EO23)</f>
        <v>4</v>
      </c>
    </row>
    <row r="24" spans="1:146" ht="30" x14ac:dyDescent="0.25">
      <c r="A24" t="s">
        <v>405</v>
      </c>
      <c r="B24" t="s">
        <v>421</v>
      </c>
      <c r="C24">
        <v>405425</v>
      </c>
      <c r="D24" s="20" t="s">
        <v>497</v>
      </c>
      <c r="E24" t="s">
        <v>423</v>
      </c>
      <c r="F24" t="s">
        <v>424</v>
      </c>
      <c r="G24" t="s">
        <v>407</v>
      </c>
      <c r="H24" t="s">
        <v>463</v>
      </c>
      <c r="I24" t="s">
        <v>408</v>
      </c>
      <c r="J24" t="s">
        <v>413</v>
      </c>
      <c r="K24" t="s">
        <v>414</v>
      </c>
      <c r="L24" t="s">
        <v>415</v>
      </c>
      <c r="M24" t="s">
        <v>416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f>SUMIF($N$6:$EI$6,"*"&amp;EJ$6&amp;"*",$N24:$EI24)</f>
        <v>0</v>
      </c>
      <c r="EK24">
        <f>SUMIF($N$6:$EI$6,"*"&amp;EK$6&amp;"*",$N24:$EI24)</f>
        <v>0</v>
      </c>
      <c r="EL24">
        <f>SUMIF($N$6:$EI$6,"*"&amp;EL$6&amp;"*",$N24:$EI24)</f>
        <v>0</v>
      </c>
      <c r="EM24">
        <f>SUMIF($N$6:$EI$6,"*"&amp;EM$6&amp;"*",$N24:$EI24)</f>
        <v>0</v>
      </c>
      <c r="EN24">
        <f>SUMIF($EJ$4:$EM$4,EN$6,$EJ24:$EM24)</f>
        <v>0</v>
      </c>
      <c r="EO24">
        <f>SUMIF($EJ$4:$EM$4,EO$6,$EJ24:$EM24)</f>
        <v>0</v>
      </c>
      <c r="EP24">
        <f>SUM(EN24:EO24)</f>
        <v>0</v>
      </c>
    </row>
    <row r="25" spans="1:146" ht="30" x14ac:dyDescent="0.25">
      <c r="A25" t="s">
        <v>405</v>
      </c>
      <c r="B25" t="s">
        <v>421</v>
      </c>
      <c r="C25">
        <v>405812</v>
      </c>
      <c r="D25" s="20" t="s">
        <v>785</v>
      </c>
      <c r="E25" t="s">
        <v>423</v>
      </c>
      <c r="F25" t="s">
        <v>424</v>
      </c>
      <c r="G25" t="s">
        <v>407</v>
      </c>
      <c r="H25" t="s">
        <v>449</v>
      </c>
      <c r="I25" t="s">
        <v>408</v>
      </c>
      <c r="J25" t="s">
        <v>413</v>
      </c>
      <c r="K25" t="s">
        <v>417</v>
      </c>
      <c r="L25" t="s">
        <v>783</v>
      </c>
      <c r="M25" t="s">
        <v>784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1</v>
      </c>
      <c r="DD25">
        <v>0</v>
      </c>
      <c r="DE25">
        <v>2</v>
      </c>
      <c r="DF25">
        <v>0</v>
      </c>
      <c r="DG25">
        <v>2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f>SUMIF($N$6:$EI$6,"*"&amp;EJ$6&amp;"*",$N25:$EI25)</f>
        <v>1</v>
      </c>
      <c r="EK25">
        <f>SUMIF($N$6:$EI$6,"*"&amp;EK$6&amp;"*",$N25:$EI25)</f>
        <v>0</v>
      </c>
      <c r="EL25">
        <f>SUMIF($N$6:$EI$6,"*"&amp;EL$6&amp;"*",$N25:$EI25)</f>
        <v>1</v>
      </c>
      <c r="EM25">
        <f>SUMIF($N$6:$EI$6,"*"&amp;EM$6&amp;"*",$N25:$EI25)</f>
        <v>0</v>
      </c>
      <c r="EN25">
        <f>SUMIF($EJ$4:$EM$4,EN$6,$EJ25:$EM25)</f>
        <v>2</v>
      </c>
      <c r="EO25">
        <f>SUMIF($EJ$4:$EM$4,EO$6,$EJ25:$EM25)</f>
        <v>0</v>
      </c>
      <c r="EP25">
        <f>SUM(EN25:EO25)</f>
        <v>2</v>
      </c>
    </row>
    <row r="26" spans="1:146" ht="30" x14ac:dyDescent="0.25">
      <c r="A26" t="s">
        <v>405</v>
      </c>
      <c r="B26" t="s">
        <v>421</v>
      </c>
      <c r="C26">
        <v>465506</v>
      </c>
      <c r="D26" s="20" t="s">
        <v>503</v>
      </c>
      <c r="E26" t="s">
        <v>423</v>
      </c>
      <c r="F26" t="s">
        <v>424</v>
      </c>
      <c r="G26" t="s">
        <v>407</v>
      </c>
      <c r="H26" t="s">
        <v>436</v>
      </c>
      <c r="I26" t="s">
        <v>408</v>
      </c>
      <c r="J26" t="s">
        <v>413</v>
      </c>
      <c r="K26" t="s">
        <v>417</v>
      </c>
      <c r="L26" t="s">
        <v>415</v>
      </c>
      <c r="M26" t="s">
        <v>416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f>SUMIF($N$6:$EI$6,"*"&amp;EJ$6&amp;"*",$N26:$EI26)</f>
        <v>0</v>
      </c>
      <c r="EK26">
        <f>SUMIF($N$6:$EI$6,"*"&amp;EK$6&amp;"*",$N26:$EI26)</f>
        <v>0</v>
      </c>
      <c r="EL26">
        <f>SUMIF($N$6:$EI$6,"*"&amp;EL$6&amp;"*",$N26:$EI26)</f>
        <v>0</v>
      </c>
      <c r="EM26">
        <f>SUMIF($N$6:$EI$6,"*"&amp;EM$6&amp;"*",$N26:$EI26)</f>
        <v>0</v>
      </c>
      <c r="EN26">
        <f>SUMIF($EJ$4:$EM$4,EN$6,$EJ26:$EM26)</f>
        <v>0</v>
      </c>
      <c r="EO26">
        <f>SUMIF($EJ$4:$EM$4,EO$6,$EJ26:$EM26)</f>
        <v>0</v>
      </c>
      <c r="EP26">
        <f>SUM(EN26:EO26)</f>
        <v>0</v>
      </c>
    </row>
    <row r="27" spans="1:146" ht="30" x14ac:dyDescent="0.25">
      <c r="A27" t="s">
        <v>405</v>
      </c>
      <c r="B27" t="s">
        <v>421</v>
      </c>
      <c r="C27">
        <v>465513</v>
      </c>
      <c r="D27" s="20" t="s">
        <v>506</v>
      </c>
      <c r="E27" t="s">
        <v>423</v>
      </c>
      <c r="F27" t="s">
        <v>424</v>
      </c>
      <c r="G27" t="s">
        <v>407</v>
      </c>
      <c r="H27" t="s">
        <v>463</v>
      </c>
      <c r="I27" t="s">
        <v>408</v>
      </c>
      <c r="J27" t="s">
        <v>413</v>
      </c>
      <c r="K27" t="s">
        <v>417</v>
      </c>
      <c r="L27" t="s">
        <v>507</v>
      </c>
      <c r="M27" t="s">
        <v>416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f>SUMIF($N$6:$EI$6,"*"&amp;EJ$6&amp;"*",$N27:$EI27)</f>
        <v>0</v>
      </c>
      <c r="EK27">
        <f>SUMIF($N$6:$EI$6,"*"&amp;EK$6&amp;"*",$N27:$EI27)</f>
        <v>0</v>
      </c>
      <c r="EL27">
        <f>SUMIF($N$6:$EI$6,"*"&amp;EL$6&amp;"*",$N27:$EI27)</f>
        <v>0</v>
      </c>
      <c r="EM27">
        <f>SUMIF($N$6:$EI$6,"*"&amp;EM$6&amp;"*",$N27:$EI27)</f>
        <v>0</v>
      </c>
      <c r="EN27">
        <f>SUMIF($EJ$4:$EM$4,EN$6,$EJ27:$EM27)</f>
        <v>0</v>
      </c>
      <c r="EO27">
        <f>SUMIF($EJ$4:$EM$4,EO$6,$EJ27:$EM27)</f>
        <v>0</v>
      </c>
      <c r="EP27">
        <f>SUM(EN27:EO27)</f>
        <v>0</v>
      </c>
    </row>
    <row r="28" spans="1:146" ht="30" x14ac:dyDescent="0.25">
      <c r="A28" t="s">
        <v>405</v>
      </c>
      <c r="B28" t="s">
        <v>421</v>
      </c>
      <c r="C28">
        <v>465900</v>
      </c>
      <c r="D28" s="20" t="s">
        <v>510</v>
      </c>
      <c r="E28" t="s">
        <v>423</v>
      </c>
      <c r="F28" t="s">
        <v>424</v>
      </c>
      <c r="G28" t="s">
        <v>407</v>
      </c>
      <c r="H28" t="s">
        <v>449</v>
      </c>
      <c r="I28" t="s">
        <v>408</v>
      </c>
      <c r="J28" t="s">
        <v>413</v>
      </c>
      <c r="K28" t="s">
        <v>417</v>
      </c>
      <c r="L28" t="s">
        <v>415</v>
      </c>
      <c r="M28" t="s">
        <v>416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f>SUMIF($N$6:$EI$6,"*"&amp;EJ$6&amp;"*",$N28:$EI28)</f>
        <v>0</v>
      </c>
      <c r="EK28">
        <f>SUMIF($N$6:$EI$6,"*"&amp;EK$6&amp;"*",$N28:$EI28)</f>
        <v>0</v>
      </c>
      <c r="EL28">
        <f>SUMIF($N$6:$EI$6,"*"&amp;EL$6&amp;"*",$N28:$EI28)</f>
        <v>0</v>
      </c>
      <c r="EM28">
        <f>SUMIF($N$6:$EI$6,"*"&amp;EM$6&amp;"*",$N28:$EI28)</f>
        <v>0</v>
      </c>
      <c r="EN28">
        <f>SUMIF($EJ$4:$EM$4,EN$6,$EJ28:$EM28)</f>
        <v>0</v>
      </c>
      <c r="EO28">
        <f>SUMIF($EJ$4:$EM$4,EO$6,$EJ28:$EM28)</f>
        <v>0</v>
      </c>
      <c r="EP28">
        <f>SUM(EN28:EO28)</f>
        <v>0</v>
      </c>
    </row>
    <row r="29" spans="1:146" x14ac:dyDescent="0.25">
      <c r="A29" t="s">
        <v>405</v>
      </c>
      <c r="B29" t="s">
        <v>421</v>
      </c>
      <c r="C29">
        <v>500454</v>
      </c>
      <c r="D29" s="20" t="s">
        <v>511</v>
      </c>
      <c r="E29" t="s">
        <v>423</v>
      </c>
      <c r="F29" t="s">
        <v>424</v>
      </c>
      <c r="G29" t="s">
        <v>407</v>
      </c>
      <c r="H29" t="s">
        <v>436</v>
      </c>
      <c r="I29" t="s">
        <v>408</v>
      </c>
      <c r="J29" t="s">
        <v>409</v>
      </c>
      <c r="K29" t="s">
        <v>410</v>
      </c>
      <c r="L29" t="s">
        <v>415</v>
      </c>
      <c r="M29" t="s">
        <v>416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f>SUMIF($N$6:$EI$6,"*"&amp;EJ$6&amp;"*",$N29:$EI29)</f>
        <v>0</v>
      </c>
      <c r="EK29">
        <f>SUMIF($N$6:$EI$6,"*"&amp;EK$6&amp;"*",$N29:$EI29)</f>
        <v>0</v>
      </c>
      <c r="EL29">
        <f>SUMIF($N$6:$EI$6,"*"&amp;EL$6&amp;"*",$N29:$EI29)</f>
        <v>0</v>
      </c>
      <c r="EM29">
        <f>SUMIF($N$6:$EI$6,"*"&amp;EM$6&amp;"*",$N29:$EI29)</f>
        <v>0</v>
      </c>
      <c r="EN29">
        <f>SUMIF($EJ$4:$EM$4,EN$6,$EJ29:$EM29)</f>
        <v>0</v>
      </c>
      <c r="EO29">
        <f>SUMIF($EJ$4:$EM$4,EO$6,$EJ29:$EM29)</f>
        <v>0</v>
      </c>
      <c r="EP29">
        <f>SUM(EN29:EO29)</f>
        <v>0</v>
      </c>
    </row>
  </sheetData>
  <sheetProtection algorithmName="SHA-512" hashValue="11kmAXlLPoD2+mVpqM9Asvv9zuNtn2hj+juTUAM42P3O4RclU5L+4fCM2PNJ+cSND6jAK6IuOq4yS62NWxs0SA==" saltValue="p/M02vvOrxhQjV0WNMF3dg==" spinCount="100000" sheet="1" objects="1" scenarios="1" formatCells="0" formatColumns="0" formatRows="0"/>
  <mergeCells count="76">
    <mergeCell ref="EC3:ED3"/>
    <mergeCell ref="EE3:EF3"/>
    <mergeCell ref="EG3:EI3"/>
    <mergeCell ref="EJ3:EK3"/>
    <mergeCell ref="EL3:EM3"/>
    <mergeCell ref="EN3:EP3"/>
    <mergeCell ref="DO3:DP3"/>
    <mergeCell ref="DQ3:DR3"/>
    <mergeCell ref="DS3:DU3"/>
    <mergeCell ref="DV3:DW3"/>
    <mergeCell ref="DX3:DY3"/>
    <mergeCell ref="DZ3:EB3"/>
    <mergeCell ref="DA3:DB3"/>
    <mergeCell ref="DC3:DD3"/>
    <mergeCell ref="DE3:DG3"/>
    <mergeCell ref="DH3:DI3"/>
    <mergeCell ref="DJ3:DK3"/>
    <mergeCell ref="DL3:DN3"/>
    <mergeCell ref="CM3:CN3"/>
    <mergeCell ref="CO3:CP3"/>
    <mergeCell ref="CQ3:CS3"/>
    <mergeCell ref="CT3:CU3"/>
    <mergeCell ref="CV3:CW3"/>
    <mergeCell ref="CX3:CZ3"/>
    <mergeCell ref="BY3:BZ3"/>
    <mergeCell ref="CA3:CB3"/>
    <mergeCell ref="CC3:CE3"/>
    <mergeCell ref="CF3:CG3"/>
    <mergeCell ref="CH3:CI3"/>
    <mergeCell ref="CJ3:CL3"/>
    <mergeCell ref="BK3:BL3"/>
    <mergeCell ref="BM3:BN3"/>
    <mergeCell ref="BO3:BQ3"/>
    <mergeCell ref="BR3:BS3"/>
    <mergeCell ref="BT3:BU3"/>
    <mergeCell ref="BV3:BX3"/>
    <mergeCell ref="AW3:AX3"/>
    <mergeCell ref="AY3:AZ3"/>
    <mergeCell ref="BA3:BC3"/>
    <mergeCell ref="BD3:BE3"/>
    <mergeCell ref="BF3:BG3"/>
    <mergeCell ref="BH3:BJ3"/>
    <mergeCell ref="AI3:AJ3"/>
    <mergeCell ref="AK3:AL3"/>
    <mergeCell ref="AM3:AO3"/>
    <mergeCell ref="AP3:AQ3"/>
    <mergeCell ref="AR3:AS3"/>
    <mergeCell ref="AT3:AV3"/>
    <mergeCell ref="EJ2:EP2"/>
    <mergeCell ref="N3:O3"/>
    <mergeCell ref="P3:Q3"/>
    <mergeCell ref="R3:T3"/>
    <mergeCell ref="U3:V3"/>
    <mergeCell ref="W3:X3"/>
    <mergeCell ref="Y3:AA3"/>
    <mergeCell ref="AB3:AC3"/>
    <mergeCell ref="AD3:AE3"/>
    <mergeCell ref="AF3:AH3"/>
    <mergeCell ref="CT2:CZ2"/>
    <mergeCell ref="DA2:DG2"/>
    <mergeCell ref="DH2:DN2"/>
    <mergeCell ref="DO2:DU2"/>
    <mergeCell ref="DV2:EB2"/>
    <mergeCell ref="EC2:EI2"/>
    <mergeCell ref="BD2:BJ2"/>
    <mergeCell ref="BK2:BQ2"/>
    <mergeCell ref="BR2:BX2"/>
    <mergeCell ref="BY2:CE2"/>
    <mergeCell ref="CF2:CL2"/>
    <mergeCell ref="CM2:CS2"/>
    <mergeCell ref="N2:T2"/>
    <mergeCell ref="U2:AA2"/>
    <mergeCell ref="AB2:AH2"/>
    <mergeCell ref="AI2:AO2"/>
    <mergeCell ref="AP2:AV2"/>
    <mergeCell ref="AW2:B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75BB-D70C-42AA-9935-8A4CF02A39A9}">
  <dimension ref="A1:AA72"/>
  <sheetViews>
    <sheetView showGridLines="0" zoomScale="85" zoomScaleNormal="85" workbookViewId="0">
      <selection activeCell="A8" sqref="A8"/>
    </sheetView>
  </sheetViews>
  <sheetFormatPr defaultColWidth="0" defaultRowHeight="15" x14ac:dyDescent="0.25"/>
  <cols>
    <col min="1" max="1" width="3.5703125" style="25" customWidth="1"/>
    <col min="2" max="2" width="34.85546875" style="25" customWidth="1"/>
    <col min="3" max="11" width="7.85546875" style="25" customWidth="1"/>
    <col min="12" max="12" width="3.140625" style="25" customWidth="1"/>
    <col min="13" max="13" width="0" style="25" hidden="1" customWidth="1"/>
    <col min="14" max="27" width="0" style="25" hidden="1"/>
    <col min="28" max="16384" width="9.140625" style="25" hidden="1"/>
  </cols>
  <sheetData>
    <row r="1" spans="1:13" x14ac:dyDescent="0.25">
      <c r="A1" s="24" t="s">
        <v>786</v>
      </c>
    </row>
    <row r="2" spans="1:13" x14ac:dyDescent="0.25">
      <c r="A2" s="26" t="s">
        <v>1</v>
      </c>
    </row>
    <row r="3" spans="1:13" x14ac:dyDescent="0.25">
      <c r="A3" s="27" t="s">
        <v>2</v>
      </c>
    </row>
    <row r="4" spans="1:13" x14ac:dyDescent="0.25">
      <c r="G4" s="28"/>
      <c r="H4" s="29"/>
      <c r="I4" s="29"/>
      <c r="J4" s="29"/>
      <c r="K4" s="29"/>
    </row>
    <row r="5" spans="1:13" ht="15.75" thickBot="1" x14ac:dyDescent="0.3">
      <c r="B5" s="26" t="s">
        <v>787</v>
      </c>
      <c r="M5" s="30" t="s">
        <v>788</v>
      </c>
    </row>
    <row r="6" spans="1:13" x14ac:dyDescent="0.25">
      <c r="B6" s="31"/>
      <c r="C6" s="32" t="s">
        <v>789</v>
      </c>
      <c r="D6" s="33"/>
      <c r="E6" s="34"/>
      <c r="F6" s="35" t="s">
        <v>790</v>
      </c>
      <c r="G6" s="36"/>
      <c r="H6" s="37"/>
      <c r="I6" s="38" t="s">
        <v>791</v>
      </c>
      <c r="J6" s="39"/>
      <c r="K6" s="40"/>
      <c r="M6" s="30" t="s">
        <v>792</v>
      </c>
    </row>
    <row r="7" spans="1:13" ht="15.75" thickBot="1" x14ac:dyDescent="0.3">
      <c r="B7" s="41"/>
      <c r="C7" s="42" t="s">
        <v>31</v>
      </c>
      <c r="D7" s="43" t="s">
        <v>32</v>
      </c>
      <c r="E7" s="44" t="s">
        <v>33</v>
      </c>
      <c r="F7" s="45" t="s">
        <v>31</v>
      </c>
      <c r="G7" s="43" t="s">
        <v>32</v>
      </c>
      <c r="H7" s="46" t="s">
        <v>33</v>
      </c>
      <c r="I7" s="42" t="s">
        <v>31</v>
      </c>
      <c r="J7" s="43" t="s">
        <v>32</v>
      </c>
      <c r="K7" s="47" t="s">
        <v>33</v>
      </c>
      <c r="M7" s="30" t="s">
        <v>793</v>
      </c>
    </row>
    <row r="8" spans="1:13" x14ac:dyDescent="0.25">
      <c r="B8" s="48" t="s">
        <v>3</v>
      </c>
      <c r="C8" s="49">
        <f>C31+C54</f>
        <v>0</v>
      </c>
      <c r="D8" s="50">
        <f>D31+D54</f>
        <v>0</v>
      </c>
      <c r="E8" s="51">
        <f>SUM(C8:D8)</f>
        <v>0</v>
      </c>
      <c r="F8" s="52">
        <f>F31+F54</f>
        <v>4</v>
      </c>
      <c r="G8" s="50">
        <f>G31+G54</f>
        <v>1</v>
      </c>
      <c r="H8" s="53">
        <f>SUM(F8:G8)</f>
        <v>5</v>
      </c>
      <c r="I8" s="49">
        <f>I31+I54</f>
        <v>0</v>
      </c>
      <c r="J8" s="50">
        <f>J31+J54</f>
        <v>0</v>
      </c>
      <c r="K8" s="54">
        <f>SUM(I8:J8)</f>
        <v>0</v>
      </c>
      <c r="M8" s="30" t="s">
        <v>794</v>
      </c>
    </row>
    <row r="9" spans="1:13" x14ac:dyDescent="0.25">
      <c r="B9" s="55" t="s">
        <v>4</v>
      </c>
      <c r="C9" s="56">
        <f t="shared" ref="C9:D24" si="0">C32+C55</f>
        <v>1</v>
      </c>
      <c r="D9" s="57">
        <f t="shared" si="0"/>
        <v>0</v>
      </c>
      <c r="E9" s="58">
        <f t="shared" ref="E9:E25" si="1">SUM(C9:D9)</f>
        <v>1</v>
      </c>
      <c r="F9" s="59">
        <f t="shared" ref="F9:G24" si="2">F32+F55</f>
        <v>3</v>
      </c>
      <c r="G9" s="57">
        <f t="shared" si="2"/>
        <v>11</v>
      </c>
      <c r="H9" s="60">
        <f t="shared" ref="H9:H25" si="3">SUM(F9:G9)</f>
        <v>14</v>
      </c>
      <c r="I9" s="56">
        <f t="shared" ref="I9:J24" si="4">I32+I55</f>
        <v>0</v>
      </c>
      <c r="J9" s="57">
        <f t="shared" si="4"/>
        <v>0</v>
      </c>
      <c r="K9" s="61">
        <f t="shared" ref="K9:K25" si="5">SUM(I9:J9)</f>
        <v>0</v>
      </c>
      <c r="M9" s="30" t="s">
        <v>795</v>
      </c>
    </row>
    <row r="10" spans="1:13" x14ac:dyDescent="0.25">
      <c r="B10" s="55" t="s">
        <v>5</v>
      </c>
      <c r="C10" s="56">
        <f t="shared" si="0"/>
        <v>40</v>
      </c>
      <c r="D10" s="57">
        <f t="shared" si="0"/>
        <v>22</v>
      </c>
      <c r="E10" s="58">
        <f t="shared" si="1"/>
        <v>62</v>
      </c>
      <c r="F10" s="59">
        <f t="shared" si="2"/>
        <v>0</v>
      </c>
      <c r="G10" s="57">
        <f t="shared" si="2"/>
        <v>1</v>
      </c>
      <c r="H10" s="60">
        <f t="shared" si="3"/>
        <v>1</v>
      </c>
      <c r="I10" s="56">
        <f t="shared" si="4"/>
        <v>0</v>
      </c>
      <c r="J10" s="57">
        <f t="shared" si="4"/>
        <v>0</v>
      </c>
      <c r="K10" s="61">
        <f t="shared" si="5"/>
        <v>0</v>
      </c>
      <c r="M10" s="30" t="s">
        <v>796</v>
      </c>
    </row>
    <row r="11" spans="1:13" x14ac:dyDescent="0.25">
      <c r="B11" s="55" t="s">
        <v>6</v>
      </c>
      <c r="C11" s="56">
        <f t="shared" si="0"/>
        <v>67</v>
      </c>
      <c r="D11" s="57">
        <f t="shared" si="0"/>
        <v>33</v>
      </c>
      <c r="E11" s="58">
        <f t="shared" si="1"/>
        <v>100</v>
      </c>
      <c r="F11" s="59">
        <f t="shared" si="2"/>
        <v>43</v>
      </c>
      <c r="G11" s="57">
        <f t="shared" si="2"/>
        <v>37</v>
      </c>
      <c r="H11" s="60">
        <f t="shared" si="3"/>
        <v>80</v>
      </c>
      <c r="I11" s="56">
        <f t="shared" si="4"/>
        <v>0</v>
      </c>
      <c r="J11" s="57">
        <f t="shared" si="4"/>
        <v>1</v>
      </c>
      <c r="K11" s="61">
        <f t="shared" si="5"/>
        <v>1</v>
      </c>
      <c r="M11" s="30" t="s">
        <v>797</v>
      </c>
    </row>
    <row r="12" spans="1:13" x14ac:dyDescent="0.25">
      <c r="B12" s="55" t="s">
        <v>7</v>
      </c>
      <c r="C12" s="56">
        <f t="shared" si="0"/>
        <v>13</v>
      </c>
      <c r="D12" s="57">
        <f t="shared" si="0"/>
        <v>8</v>
      </c>
      <c r="E12" s="58">
        <f t="shared" si="1"/>
        <v>21</v>
      </c>
      <c r="F12" s="59">
        <f t="shared" si="2"/>
        <v>19</v>
      </c>
      <c r="G12" s="57">
        <f t="shared" si="2"/>
        <v>10</v>
      </c>
      <c r="H12" s="60">
        <f t="shared" si="3"/>
        <v>29</v>
      </c>
      <c r="I12" s="56">
        <f t="shared" si="4"/>
        <v>0</v>
      </c>
      <c r="J12" s="57">
        <f t="shared" si="4"/>
        <v>0</v>
      </c>
      <c r="K12" s="61">
        <f t="shared" si="5"/>
        <v>0</v>
      </c>
      <c r="M12" s="30" t="s">
        <v>406</v>
      </c>
    </row>
    <row r="13" spans="1:13" x14ac:dyDescent="0.25">
      <c r="B13" s="55" t="s">
        <v>8</v>
      </c>
      <c r="C13" s="56">
        <f t="shared" si="0"/>
        <v>2</v>
      </c>
      <c r="D13" s="57">
        <f t="shared" si="0"/>
        <v>1</v>
      </c>
      <c r="E13" s="58">
        <f t="shared" si="1"/>
        <v>3</v>
      </c>
      <c r="F13" s="59">
        <f t="shared" si="2"/>
        <v>2</v>
      </c>
      <c r="G13" s="57">
        <f t="shared" si="2"/>
        <v>0</v>
      </c>
      <c r="H13" s="60">
        <f t="shared" si="3"/>
        <v>2</v>
      </c>
      <c r="I13" s="56">
        <f t="shared" si="4"/>
        <v>0</v>
      </c>
      <c r="J13" s="57">
        <f t="shared" si="4"/>
        <v>0</v>
      </c>
      <c r="K13" s="61">
        <f t="shared" si="5"/>
        <v>0</v>
      </c>
      <c r="M13" s="30" t="s">
        <v>421</v>
      </c>
    </row>
    <row r="14" spans="1:13" x14ac:dyDescent="0.25">
      <c r="B14" s="55" t="s">
        <v>10</v>
      </c>
      <c r="C14" s="56">
        <f t="shared" si="0"/>
        <v>0</v>
      </c>
      <c r="D14" s="57">
        <f t="shared" si="0"/>
        <v>0</v>
      </c>
      <c r="E14" s="58">
        <f t="shared" si="1"/>
        <v>0</v>
      </c>
      <c r="F14" s="59">
        <f t="shared" si="2"/>
        <v>0</v>
      </c>
      <c r="G14" s="57">
        <f t="shared" si="2"/>
        <v>0</v>
      </c>
      <c r="H14" s="60">
        <f t="shared" si="3"/>
        <v>0</v>
      </c>
      <c r="I14" s="56">
        <f t="shared" si="4"/>
        <v>0</v>
      </c>
      <c r="J14" s="57">
        <f t="shared" si="4"/>
        <v>0</v>
      </c>
      <c r="K14" s="61">
        <f t="shared" si="5"/>
        <v>0</v>
      </c>
      <c r="M14" s="30" t="s">
        <v>519</v>
      </c>
    </row>
    <row r="15" spans="1:13" x14ac:dyDescent="0.25">
      <c r="B15" s="55" t="s">
        <v>11</v>
      </c>
      <c r="C15" s="56">
        <f t="shared" si="0"/>
        <v>8</v>
      </c>
      <c r="D15" s="57">
        <f t="shared" si="0"/>
        <v>3</v>
      </c>
      <c r="E15" s="58">
        <f t="shared" si="1"/>
        <v>11</v>
      </c>
      <c r="F15" s="59">
        <f t="shared" si="2"/>
        <v>6</v>
      </c>
      <c r="G15" s="57">
        <f t="shared" si="2"/>
        <v>0</v>
      </c>
      <c r="H15" s="60">
        <f t="shared" si="3"/>
        <v>6</v>
      </c>
      <c r="I15" s="56">
        <f t="shared" si="4"/>
        <v>0</v>
      </c>
      <c r="J15" s="57">
        <f t="shared" si="4"/>
        <v>0</v>
      </c>
      <c r="K15" s="61">
        <f t="shared" si="5"/>
        <v>0</v>
      </c>
      <c r="M15" s="30" t="s">
        <v>520</v>
      </c>
    </row>
    <row r="16" spans="1:13" x14ac:dyDescent="0.25">
      <c r="B16" s="55" t="s">
        <v>12</v>
      </c>
      <c r="C16" s="56">
        <f t="shared" si="0"/>
        <v>131</v>
      </c>
      <c r="D16" s="57">
        <f t="shared" si="0"/>
        <v>36</v>
      </c>
      <c r="E16" s="58">
        <f t="shared" si="1"/>
        <v>167</v>
      </c>
      <c r="F16" s="59">
        <f t="shared" si="2"/>
        <v>151</v>
      </c>
      <c r="G16" s="57">
        <f t="shared" si="2"/>
        <v>48</v>
      </c>
      <c r="H16" s="60">
        <f t="shared" si="3"/>
        <v>199</v>
      </c>
      <c r="I16" s="56">
        <f t="shared" si="4"/>
        <v>7</v>
      </c>
      <c r="J16" s="57">
        <f t="shared" si="4"/>
        <v>1</v>
      </c>
      <c r="K16" s="61">
        <f t="shared" si="5"/>
        <v>8</v>
      </c>
    </row>
    <row r="17" spans="2:11" x14ac:dyDescent="0.25">
      <c r="B17" s="55" t="s">
        <v>13</v>
      </c>
      <c r="C17" s="56">
        <f t="shared" si="0"/>
        <v>0</v>
      </c>
      <c r="D17" s="57">
        <f t="shared" si="0"/>
        <v>0</v>
      </c>
      <c r="E17" s="58">
        <f t="shared" si="1"/>
        <v>0</v>
      </c>
      <c r="F17" s="59">
        <f t="shared" si="2"/>
        <v>1</v>
      </c>
      <c r="G17" s="57">
        <f t="shared" si="2"/>
        <v>0</v>
      </c>
      <c r="H17" s="60">
        <f t="shared" si="3"/>
        <v>1</v>
      </c>
      <c r="I17" s="56">
        <f t="shared" si="4"/>
        <v>0</v>
      </c>
      <c r="J17" s="57">
        <f t="shared" si="4"/>
        <v>0</v>
      </c>
      <c r="K17" s="61">
        <f t="shared" si="5"/>
        <v>0</v>
      </c>
    </row>
    <row r="18" spans="2:11" x14ac:dyDescent="0.25">
      <c r="B18" s="55" t="s">
        <v>14</v>
      </c>
      <c r="C18" s="56">
        <f t="shared" si="0"/>
        <v>0</v>
      </c>
      <c r="D18" s="57">
        <f t="shared" si="0"/>
        <v>0</v>
      </c>
      <c r="E18" s="58">
        <f t="shared" si="1"/>
        <v>0</v>
      </c>
      <c r="F18" s="59">
        <f t="shared" si="2"/>
        <v>0</v>
      </c>
      <c r="G18" s="57">
        <f t="shared" si="2"/>
        <v>0</v>
      </c>
      <c r="H18" s="60">
        <f t="shared" si="3"/>
        <v>0</v>
      </c>
      <c r="I18" s="56">
        <f t="shared" si="4"/>
        <v>0</v>
      </c>
      <c r="J18" s="57">
        <f t="shared" si="4"/>
        <v>0</v>
      </c>
      <c r="K18" s="61">
        <f t="shared" si="5"/>
        <v>0</v>
      </c>
    </row>
    <row r="19" spans="2:11" x14ac:dyDescent="0.25">
      <c r="B19" s="55" t="s">
        <v>15</v>
      </c>
      <c r="C19" s="56">
        <f t="shared" si="0"/>
        <v>0</v>
      </c>
      <c r="D19" s="57">
        <f t="shared" si="0"/>
        <v>0</v>
      </c>
      <c r="E19" s="58">
        <f t="shared" si="1"/>
        <v>0</v>
      </c>
      <c r="F19" s="59">
        <f t="shared" si="2"/>
        <v>0</v>
      </c>
      <c r="G19" s="57">
        <f t="shared" si="2"/>
        <v>0</v>
      </c>
      <c r="H19" s="60">
        <f t="shared" si="3"/>
        <v>0</v>
      </c>
      <c r="I19" s="56">
        <f t="shared" si="4"/>
        <v>0</v>
      </c>
      <c r="J19" s="57">
        <f t="shared" si="4"/>
        <v>0</v>
      </c>
      <c r="K19" s="61">
        <f t="shared" si="5"/>
        <v>0</v>
      </c>
    </row>
    <row r="20" spans="2:11" x14ac:dyDescent="0.25">
      <c r="B20" s="55" t="s">
        <v>16</v>
      </c>
      <c r="C20" s="56">
        <f t="shared" si="0"/>
        <v>0</v>
      </c>
      <c r="D20" s="57">
        <f t="shared" si="0"/>
        <v>0</v>
      </c>
      <c r="E20" s="58">
        <f t="shared" si="1"/>
        <v>0</v>
      </c>
      <c r="F20" s="59">
        <f t="shared" si="2"/>
        <v>14</v>
      </c>
      <c r="G20" s="57">
        <f t="shared" si="2"/>
        <v>2</v>
      </c>
      <c r="H20" s="60">
        <f t="shared" si="3"/>
        <v>16</v>
      </c>
      <c r="I20" s="56">
        <f t="shared" si="4"/>
        <v>2</v>
      </c>
      <c r="J20" s="57">
        <f t="shared" si="4"/>
        <v>0</v>
      </c>
      <c r="K20" s="61">
        <f t="shared" si="5"/>
        <v>2</v>
      </c>
    </row>
    <row r="21" spans="2:11" x14ac:dyDescent="0.25">
      <c r="B21" s="55" t="s">
        <v>17</v>
      </c>
      <c r="C21" s="56">
        <f t="shared" si="0"/>
        <v>20</v>
      </c>
      <c r="D21" s="57">
        <f t="shared" si="0"/>
        <v>16</v>
      </c>
      <c r="E21" s="58">
        <f t="shared" si="1"/>
        <v>36</v>
      </c>
      <c r="F21" s="59">
        <f t="shared" si="2"/>
        <v>37</v>
      </c>
      <c r="G21" s="57">
        <f t="shared" si="2"/>
        <v>13</v>
      </c>
      <c r="H21" s="60">
        <f t="shared" si="3"/>
        <v>50</v>
      </c>
      <c r="I21" s="56">
        <f t="shared" si="4"/>
        <v>3</v>
      </c>
      <c r="J21" s="57">
        <f t="shared" si="4"/>
        <v>2</v>
      </c>
      <c r="K21" s="61">
        <f t="shared" si="5"/>
        <v>5</v>
      </c>
    </row>
    <row r="22" spans="2:11" x14ac:dyDescent="0.25">
      <c r="B22" s="55" t="s">
        <v>18</v>
      </c>
      <c r="C22" s="56">
        <f t="shared" si="0"/>
        <v>0</v>
      </c>
      <c r="D22" s="57">
        <f t="shared" si="0"/>
        <v>0</v>
      </c>
      <c r="E22" s="58">
        <f t="shared" si="1"/>
        <v>0</v>
      </c>
      <c r="F22" s="59">
        <f t="shared" si="2"/>
        <v>0</v>
      </c>
      <c r="G22" s="57">
        <f t="shared" si="2"/>
        <v>0</v>
      </c>
      <c r="H22" s="60">
        <f t="shared" si="3"/>
        <v>0</v>
      </c>
      <c r="I22" s="56">
        <f t="shared" si="4"/>
        <v>0</v>
      </c>
      <c r="J22" s="57">
        <f t="shared" si="4"/>
        <v>0</v>
      </c>
      <c r="K22" s="61">
        <f t="shared" si="5"/>
        <v>0</v>
      </c>
    </row>
    <row r="23" spans="2:11" x14ac:dyDescent="0.25">
      <c r="B23" s="55" t="s">
        <v>19</v>
      </c>
      <c r="C23" s="56">
        <f t="shared" si="0"/>
        <v>0</v>
      </c>
      <c r="D23" s="57">
        <f t="shared" si="0"/>
        <v>0</v>
      </c>
      <c r="E23" s="58">
        <f t="shared" si="1"/>
        <v>0</v>
      </c>
      <c r="F23" s="59">
        <f t="shared" si="2"/>
        <v>0</v>
      </c>
      <c r="G23" s="57">
        <f t="shared" si="2"/>
        <v>0</v>
      </c>
      <c r="H23" s="60">
        <f t="shared" si="3"/>
        <v>0</v>
      </c>
      <c r="I23" s="56">
        <f t="shared" si="4"/>
        <v>0</v>
      </c>
      <c r="J23" s="57">
        <f t="shared" si="4"/>
        <v>0</v>
      </c>
      <c r="K23" s="61">
        <f t="shared" si="5"/>
        <v>0</v>
      </c>
    </row>
    <row r="24" spans="2:11" x14ac:dyDescent="0.25">
      <c r="B24" s="55" t="s">
        <v>20</v>
      </c>
      <c r="C24" s="56">
        <f t="shared" si="0"/>
        <v>7</v>
      </c>
      <c r="D24" s="57">
        <f t="shared" si="0"/>
        <v>1</v>
      </c>
      <c r="E24" s="58">
        <f t="shared" si="1"/>
        <v>8</v>
      </c>
      <c r="F24" s="59">
        <f t="shared" si="2"/>
        <v>9</v>
      </c>
      <c r="G24" s="57">
        <f t="shared" si="2"/>
        <v>2</v>
      </c>
      <c r="H24" s="60">
        <f t="shared" si="3"/>
        <v>11</v>
      </c>
      <c r="I24" s="56">
        <f t="shared" si="4"/>
        <v>2</v>
      </c>
      <c r="J24" s="57">
        <f t="shared" si="4"/>
        <v>1</v>
      </c>
      <c r="K24" s="61">
        <f t="shared" si="5"/>
        <v>3</v>
      </c>
    </row>
    <row r="25" spans="2:11" ht="15.75" thickBot="1" x14ac:dyDescent="0.3">
      <c r="B25" s="62" t="s">
        <v>9</v>
      </c>
      <c r="C25" s="56">
        <f t="shared" ref="C25:D25" si="6">C48+C71</f>
        <v>3</v>
      </c>
      <c r="D25" s="57">
        <f t="shared" si="6"/>
        <v>5</v>
      </c>
      <c r="E25" s="58">
        <f t="shared" si="1"/>
        <v>8</v>
      </c>
      <c r="F25" s="59">
        <f t="shared" ref="F25:G25" si="7">F48+F71</f>
        <v>2</v>
      </c>
      <c r="G25" s="57">
        <f t="shared" si="7"/>
        <v>0</v>
      </c>
      <c r="H25" s="60">
        <f t="shared" si="3"/>
        <v>2</v>
      </c>
      <c r="I25" s="56">
        <f t="shared" ref="I25:J25" si="8">I48+I71</f>
        <v>0</v>
      </c>
      <c r="J25" s="57">
        <f t="shared" si="8"/>
        <v>0</v>
      </c>
      <c r="K25" s="61">
        <f t="shared" si="5"/>
        <v>0</v>
      </c>
    </row>
    <row r="26" spans="2:11" ht="15.75" thickBot="1" x14ac:dyDescent="0.3">
      <c r="B26" s="63" t="s">
        <v>798</v>
      </c>
      <c r="C26" s="64">
        <f t="shared" ref="C26:K26" si="9">SUM(C8:C25)</f>
        <v>292</v>
      </c>
      <c r="D26" s="65">
        <f t="shared" si="9"/>
        <v>125</v>
      </c>
      <c r="E26" s="66">
        <f t="shared" si="9"/>
        <v>417</v>
      </c>
      <c r="F26" s="67">
        <f t="shared" si="9"/>
        <v>291</v>
      </c>
      <c r="G26" s="65">
        <f t="shared" si="9"/>
        <v>125</v>
      </c>
      <c r="H26" s="68">
        <f t="shared" si="9"/>
        <v>416</v>
      </c>
      <c r="I26" s="64">
        <f t="shared" si="9"/>
        <v>14</v>
      </c>
      <c r="J26" s="65">
        <f t="shared" si="9"/>
        <v>5</v>
      </c>
      <c r="K26" s="69">
        <f t="shared" si="9"/>
        <v>19</v>
      </c>
    </row>
    <row r="28" spans="2:11" ht="15.75" thickBot="1" x14ac:dyDescent="0.3">
      <c r="B28" s="26" t="s">
        <v>409</v>
      </c>
    </row>
    <row r="29" spans="2:11" x14ac:dyDescent="0.25">
      <c r="B29" s="31"/>
      <c r="C29" s="32" t="s">
        <v>789</v>
      </c>
      <c r="D29" s="33"/>
      <c r="E29" s="34"/>
      <c r="F29" s="35" t="s">
        <v>790</v>
      </c>
      <c r="G29" s="36"/>
      <c r="H29" s="37"/>
      <c r="I29" s="38" t="s">
        <v>791</v>
      </c>
      <c r="J29" s="39"/>
      <c r="K29" s="40"/>
    </row>
    <row r="30" spans="2:11" ht="15.75" thickBot="1" x14ac:dyDescent="0.3">
      <c r="B30" s="41"/>
      <c r="C30" s="42" t="s">
        <v>31</v>
      </c>
      <c r="D30" s="43" t="s">
        <v>32</v>
      </c>
      <c r="E30" s="44" t="s">
        <v>33</v>
      </c>
      <c r="F30" s="45" t="s">
        <v>31</v>
      </c>
      <c r="G30" s="43" t="s">
        <v>32</v>
      </c>
      <c r="H30" s="46" t="s">
        <v>33</v>
      </c>
      <c r="I30" s="42" t="s">
        <v>31</v>
      </c>
      <c r="J30" s="43" t="s">
        <v>32</v>
      </c>
      <c r="K30" s="47" t="s">
        <v>33</v>
      </c>
    </row>
    <row r="31" spans="2:11" x14ac:dyDescent="0.25">
      <c r="B31" s="48" t="s">
        <v>3</v>
      </c>
      <c r="C31" s="49">
        <f>IF(ISBLANK($H$4),SUMIF(ES!$J$8:$J$74,Summary!$B$28,ES!AD$8:AD$74),SUMIFS(ES!AD$8:AD$74,ES!$B$8:$B$74,Summary!$H$4,ES!$J$8:$J$74,Summary!$B$28))</f>
        <v>0</v>
      </c>
      <c r="D31" s="50">
        <f>IF(ISBLANK($H$4),SUMIF(ES!$J$8:$J$74,Summary!$B$28,ES!AE$8:AE$74),SUMIFS(ES!AE$8:AE$74,ES!$B$8:$B$74,Summary!$H$4,ES!$J$8:$J$74,Summary!$B$28))</f>
        <v>0</v>
      </c>
      <c r="E31" s="51">
        <f>SUM(C31:D31)</f>
        <v>0</v>
      </c>
      <c r="F31" s="52">
        <f>IF(ISBLANK($H$4),SUMIF(JHS!$J$7:$J$1510,Summary!$B$28,JHS!V$7:V$1510),SUMIFS(JHS!V$7:V$1510,JHS!$B$7:$B$1510,Summary!$H$4,JHS!$J$7:$J$1510,Summary!$B$28))</f>
        <v>4</v>
      </c>
      <c r="G31" s="50">
        <f>IF(ISBLANK($H$4),SUMIF(JHS!$J$7:$J$1510,Summary!$B$28,JHS!W$7:W$1510),SUMIFS(JHS!W$7:W$1510,JHS!$B$7:$B$1510,Summary!$H$4,JHS!$J$7:$J$1510,Summary!$B$28))</f>
        <v>1</v>
      </c>
      <c r="H31" s="53">
        <f>SUM(F31:G31)</f>
        <v>5</v>
      </c>
      <c r="I31" s="49">
        <f>IF(ISBLANK($H$4),SUMIF(SHS!$J$7:$J$29,Summary!$B$28,SHS!R$7:R$29),SUMIFS(SHS!R$7:R$29,SHS!$B$7:$B$29,Summary!$H$4,SHS!$J$7:$J$29,Summary!$B$28))</f>
        <v>0</v>
      </c>
      <c r="J31" s="50">
        <f>IF(ISBLANK($H$4),SUMIF(SHS!$J$7:$J$29,Summary!$B$28,SHS!S$7:S$29),SUMIFS(SHS!S$7:S$29,SHS!$B$7:$B$29,Summary!$H$4,SHS!$J$7:$J$29,Summary!$B$28))</f>
        <v>0</v>
      </c>
      <c r="K31" s="54">
        <f>SUM(I31:J31)</f>
        <v>0</v>
      </c>
    </row>
    <row r="32" spans="2:11" x14ac:dyDescent="0.25">
      <c r="B32" s="55" t="s">
        <v>4</v>
      </c>
      <c r="C32" s="56">
        <f>IF(ISBLANK($H$4),SUMIF(ES!$J$8:$J$74,Summary!$B$28,ES!AW$8:AW$74),SUMIFS(ES!AW$8:AW$74,ES!$B$8:$B$74,Summary!$H$4,ES!$J$8:$J$74,Summary!$B$28))</f>
        <v>1</v>
      </c>
      <c r="D32" s="57">
        <f>IF(ISBLANK($H$4),SUMIF(ES!$J$8:$J$74,Summary!$B$28,ES!AX$8:AX$74),SUMIFS(ES!AX$8:AX$74,ES!$B$8:$B$74,Summary!$H$4,ES!$J$8:$J$74,Summary!$B$28))</f>
        <v>0</v>
      </c>
      <c r="E32" s="58">
        <f t="shared" ref="E32:E48" si="10">SUM(C32:D32)</f>
        <v>1</v>
      </c>
      <c r="F32" s="59">
        <f>IF(ISBLANK($H$4),SUMIF(JHS!$J$7:$J$1510,Summary!$B$28,JHS!AG$7:AG$1510),SUMIFS(JHS!AG$7:AG$1510,JHS!$B$7:$B$1510,Summary!$H$4,JHS!$J$7:$J$1510,Summary!$B$28))</f>
        <v>3</v>
      </c>
      <c r="G32" s="57">
        <f>IF(ISBLANK($H$4),SUMIF(JHS!$J$7:$J$1510,Summary!$B$28,JHS!AH$7:AH$1510),SUMIFS(JHS!AH$7:AH$1510,JHS!$B$7:$B$1510,Summary!$H$4,JHS!$J$7:$J$1510,Summary!$B$28))</f>
        <v>10</v>
      </c>
      <c r="H32" s="60">
        <f t="shared" ref="H32:H48" si="11">SUM(F32:G32)</f>
        <v>13</v>
      </c>
      <c r="I32" s="56">
        <f>IF(ISBLANK($H$4),SUMIF(SHS!$J$7:$J$29,Summary!$B$28,SHS!Y$7:Y$29),SUMIFS(SHS!Y$7:Y$29,SHS!$B$7:$B$29,Summary!$H$4,SHS!$J$7:$J$29,Summary!$B$28))</f>
        <v>0</v>
      </c>
      <c r="J32" s="57">
        <f>IF(ISBLANK($H$4),SUMIF(SHS!$J$7:$J$29,Summary!$B$28,SHS!Z$7:Z$29),SUMIFS(SHS!Z$7:Z$29,SHS!$B$7:$B$29,Summary!$H$4,SHS!$J$7:$J$29,Summary!$B$28))</f>
        <v>0</v>
      </c>
      <c r="K32" s="61">
        <f t="shared" ref="K32:K48" si="12">SUM(I32:J32)</f>
        <v>0</v>
      </c>
    </row>
    <row r="33" spans="2:11" x14ac:dyDescent="0.25">
      <c r="B33" s="55" t="s">
        <v>5</v>
      </c>
      <c r="C33" s="56">
        <f>IF(ISBLANK($H$4),SUMIF(ES!$J$8:$J$74,Summary!$B$28,ES!BP$8:BP$74),SUMIFS(ES!BP$8:BP$74,ES!$B$8:$B$74,Summary!$H$4,ES!$J$8:$J$74,Summary!$B$28))</f>
        <v>40</v>
      </c>
      <c r="D33" s="57">
        <f>IF(ISBLANK($H$4),SUMIF(ES!$J$8:$J$74,Summary!$B$28,ES!BQ$8:BQ$74),SUMIFS(ES!BQ$8:BQ$74,ES!$B$8:$B$74,Summary!$H$4,ES!$J$8:$J$74,Summary!$B$28))</f>
        <v>22</v>
      </c>
      <c r="E33" s="58">
        <f t="shared" si="10"/>
        <v>62</v>
      </c>
      <c r="F33" s="59">
        <f>IF(ISBLANK($H$4),SUMIF(JHS!$J$7:$J$1510,Summary!$B$28,JHS!AR$7:AR$1510),SUMIFS(JHS!AR$7:AR$1510,JHS!$B$7:$B$1510,Summary!$H$4,JHS!$J$7:$J$1510,Summary!$B$28))</f>
        <v>0</v>
      </c>
      <c r="G33" s="57">
        <f>IF(ISBLANK($H$4),SUMIF(JHS!$J$7:$J$1510,Summary!$B$28,JHS!AS$7:AS$1510),SUMIFS(JHS!AS$7:AS$1510,JHS!$B$7:$B$1510,Summary!$H$4,JHS!$J$7:$J$1510,Summary!$B$28))</f>
        <v>1</v>
      </c>
      <c r="H33" s="60">
        <f t="shared" si="11"/>
        <v>1</v>
      </c>
      <c r="I33" s="56">
        <f>IF(ISBLANK($H$4),SUMIF(SHS!$J$7:$J$29,Summary!$B$28,SHS!AF$7:AF$29),SUMIFS(SHS!AF$7:AF$29,SHS!$B$7:$B$29,Summary!$H$4,SHS!$J$7:$J$29,Summary!$B$28))</f>
        <v>0</v>
      </c>
      <c r="J33" s="57">
        <f>IF(ISBLANK($H$4),SUMIF(SHS!$J$7:$J$29,Summary!$B$28,SHS!AG$7:AG$29),SUMIFS(SHS!AG$7:AG$29,SHS!$B$7:$B$29,Summary!$H$4,SHS!$J$7:$J$29,Summary!$B$28))</f>
        <v>0</v>
      </c>
      <c r="K33" s="61">
        <f t="shared" si="12"/>
        <v>0</v>
      </c>
    </row>
    <row r="34" spans="2:11" x14ac:dyDescent="0.25">
      <c r="B34" s="55" t="s">
        <v>6</v>
      </c>
      <c r="C34" s="56">
        <f>IF(ISBLANK($H$4),SUMIF(ES!$J$8:$J$74,Summary!$B$28,ES!CI$8:CI$74),SUMIFS(ES!CI$8:CI$74,ES!$B$8:$B$74,Summary!$H$4,ES!$J$8:$J$74,Summary!$B$28))</f>
        <v>66</v>
      </c>
      <c r="D34" s="57">
        <f>IF(ISBLANK($H$4),SUMIF(ES!$J$8:$J$74,Summary!$B$28,ES!CJ$8:CJ$74),SUMIFS(ES!CJ$8:CJ$74,ES!$B$8:$B$74,Summary!$H$4,ES!$J$8:$J$74,Summary!$B$28))</f>
        <v>33</v>
      </c>
      <c r="E34" s="58">
        <f t="shared" si="10"/>
        <v>99</v>
      </c>
      <c r="F34" s="59">
        <f>IF(ISBLANK($H$4),SUMIF(JHS!$J$7:$J$1510,Summary!$B$28,JHS!BC$7:BC$1510),SUMIFS(JHS!BC$7:BC$1510,JHS!$B$7:$B$1510,Summary!$H$4,JHS!$J$7:$J$1510,Summary!$B$28))</f>
        <v>39</v>
      </c>
      <c r="G34" s="57">
        <f>IF(ISBLANK($H$4),SUMIF(JHS!$J$7:$J$1510,Summary!$B$28,JHS!BD$7:BD$1510),SUMIFS(JHS!BD$7:BD$1510,JHS!$B$7:$B$1510,Summary!$H$4,JHS!$J$7:$J$1510,Summary!$B$28))</f>
        <v>35</v>
      </c>
      <c r="H34" s="60">
        <f t="shared" si="11"/>
        <v>74</v>
      </c>
      <c r="I34" s="56">
        <f>IF(ISBLANK($H$4),SUMIF(SHS!$J$7:$J$29,Summary!$B$28,SHS!AM$7:AM$29),SUMIFS(SHS!AM$7:AM$29,SHS!$B$7:$B$29,Summary!$H$4,SHS!$J$7:$J$29,Summary!$B$28))</f>
        <v>0</v>
      </c>
      <c r="J34" s="57">
        <f>IF(ISBLANK($H$4),SUMIF(SHS!$J$7:$J$29,Summary!$B$28,SHS!AN$7:AN$29),SUMIFS(SHS!AN$7:AN$29,SHS!$B$7:$B$29,Summary!$H$4,SHS!$J$7:$J$29,Summary!$B$28))</f>
        <v>1</v>
      </c>
      <c r="K34" s="61">
        <f t="shared" si="12"/>
        <v>1</v>
      </c>
    </row>
    <row r="35" spans="2:11" x14ac:dyDescent="0.25">
      <c r="B35" s="55" t="s">
        <v>7</v>
      </c>
      <c r="C35" s="56">
        <f>IF(ISBLANK($H$4),SUMIF(ES!$J$8:$J$74,Summary!$B$28,ES!DB$8:DB$74),SUMIFS(ES!DB$8:DB$74,ES!$B$8:$B$74,Summary!$H$4,ES!$J$8:$J$74,Summary!$B$28))</f>
        <v>12</v>
      </c>
      <c r="D35" s="57">
        <f>IF(ISBLANK($H$4),SUMIF(ES!$J$8:$J$74,Summary!$B$28,ES!DC$8:DC$74),SUMIFS(ES!DC$8:DC$74,ES!$B$8:$B$74,Summary!$H$4,ES!$J$8:$J$74,Summary!$B$28))</f>
        <v>8</v>
      </c>
      <c r="E35" s="58">
        <f t="shared" si="10"/>
        <v>20</v>
      </c>
      <c r="F35" s="59">
        <f>IF(ISBLANK($H$4),SUMIF(JHS!$J$7:$J$1510,Summary!$B$28,JHS!BN$7:BN$1510),SUMIFS(JHS!BN$7:BN$1510,JHS!$B$7:$B$1510,Summary!$H$4,JHS!$J$7:$J$1510,Summary!$B$28))</f>
        <v>19</v>
      </c>
      <c r="G35" s="57">
        <f>IF(ISBLANK($H$4),SUMIF(JHS!$J$7:$J$1510,Summary!$B$28,JHS!BO$7:BO$1510),SUMIFS(JHS!BO$7:BO$1510,JHS!$B$7:$B$1510,Summary!$H$4,JHS!$J$7:$J$1510,Summary!$B$28))</f>
        <v>10</v>
      </c>
      <c r="H35" s="60">
        <f t="shared" si="11"/>
        <v>29</v>
      </c>
      <c r="I35" s="56">
        <f>IF(ISBLANK($H$4),SUMIF(SHS!$J$7:$J$29,Summary!$B$28,SHS!AT$7:AT$29),SUMIFS(SHS!AT$7:AT$29,SHS!$B$7:$B$29,Summary!$H$4,SHS!$J$7:$J$29,Summary!$B$28))</f>
        <v>0</v>
      </c>
      <c r="J35" s="57">
        <f>IF(ISBLANK($H$4),SUMIF(SHS!$J$7:$J$29,Summary!$B$28,SHS!AU$7:AU$29),SUMIFS(SHS!AU$7:AU$29,SHS!$B$7:$B$29,Summary!$H$4,SHS!$J$7:$J$29,Summary!$B$28))</f>
        <v>0</v>
      </c>
      <c r="K35" s="61">
        <f t="shared" si="12"/>
        <v>0</v>
      </c>
    </row>
    <row r="36" spans="2:11" x14ac:dyDescent="0.25">
      <c r="B36" s="55" t="s">
        <v>8</v>
      </c>
      <c r="C36" s="56">
        <f>IF(ISBLANK($H$4),SUMIF(ES!$J$8:$J$74,Summary!$B$28,ES!DU$8:DU$74),SUMIFS(ES!DU$8:DU$74,ES!$B$8:$B$74,Summary!$H$4,ES!$J$8:$J$74,Summary!$B$28))</f>
        <v>2</v>
      </c>
      <c r="D36" s="57">
        <f>IF(ISBLANK($H$4),SUMIF(ES!$J$8:$J$74,Summary!$B$28,ES!DV$8:DV$74),SUMIFS(ES!DV$8:DV$74,ES!$B$8:$B$74,Summary!$H$4,ES!$J$8:$J$74,Summary!$B$28))</f>
        <v>1</v>
      </c>
      <c r="E36" s="58">
        <f t="shared" si="10"/>
        <v>3</v>
      </c>
      <c r="F36" s="59">
        <f>IF(ISBLANK($H$4),SUMIF(JHS!$J$7:$J$1510,Summary!$B$28,JHS!BY$7:BY$1510),SUMIFS(JHS!BY$7:BY$1510,JHS!$B$7:$B$1510,Summary!$H$4,JHS!$J$7:$J$1510,Summary!$B$28))</f>
        <v>2</v>
      </c>
      <c r="G36" s="57">
        <f>IF(ISBLANK($H$4),SUMIF(JHS!$J$7:$J$1510,Summary!$B$28,JHS!BZ$7:BZ$1510),SUMIFS(JHS!BZ$7:BZ$1510,JHS!$B$7:$B$1510,Summary!$H$4,JHS!$J$7:$J$1510,Summary!$B$28))</f>
        <v>0</v>
      </c>
      <c r="H36" s="60">
        <f t="shared" si="11"/>
        <v>2</v>
      </c>
      <c r="I36" s="56">
        <f>IF(ISBLANK($H$4),SUMIF(SHS!$J$7:$J$29,Summary!$B$28,SHS!BA$7:BA$29),SUMIFS(SHS!BA$7:BA$29,SHS!$B$7:$B$29,Summary!$H$4,SHS!$J$7:$J$29,Summary!$B$28))</f>
        <v>0</v>
      </c>
      <c r="J36" s="57">
        <f>IF(ISBLANK($H$4),SUMIF(SHS!$J$7:$J$29,Summary!$B$28,SHS!BB$7:BB$29),SUMIFS(SHS!BB$7:BB$29,SHS!$B$7:$B$29,Summary!$H$4,SHS!$J$7:$J$29,Summary!$B$28))</f>
        <v>0</v>
      </c>
      <c r="K36" s="61">
        <f t="shared" si="12"/>
        <v>0</v>
      </c>
    </row>
    <row r="37" spans="2:11" x14ac:dyDescent="0.25">
      <c r="B37" s="55" t="s">
        <v>10</v>
      </c>
      <c r="C37" s="56">
        <f>IF(ISBLANK($H$4),SUMIF(ES!$J$8:$J$74,Summary!$B$28,ES!FG$8:FG$74),SUMIFS(ES!FG$8:FG$74,ES!$B$8:$B$74,Summary!$H$4,ES!$J$8:$J$74,Summary!$B$28))</f>
        <v>0</v>
      </c>
      <c r="D37" s="57">
        <f>IF(ISBLANK($H$4),SUMIF(ES!$J$8:$J$74,Summary!$B$28,ES!FH$8:FH$74),SUMIFS(ES!FH$8:FH$74,ES!$B$8:$B$74,Summary!$H$4,ES!$J$8:$J$74,Summary!$B$28))</f>
        <v>0</v>
      </c>
      <c r="E37" s="58">
        <f t="shared" si="10"/>
        <v>0</v>
      </c>
      <c r="F37" s="59">
        <f>IF(ISBLANK($H$4),SUMIF(JHS!$J$7:$J$1510,Summary!$B$28,JHS!CU$7:CU$1510),SUMIFS(JHS!CU$7:CU$1510,JHS!$B$7:$B$1510,Summary!$H$4,JHS!$J$7:$J$1510,Summary!$B$28))</f>
        <v>0</v>
      </c>
      <c r="G37" s="57">
        <f>IF(ISBLANK($H$4),SUMIF(JHS!$J$7:$J$1510,Summary!$B$28,JHS!CV$7:CV$1510),SUMIFS(JHS!CV$7:CV$1510,JHS!$B$7:$B$1510,Summary!$H$4,JHS!$J$7:$J$1510,Summary!$B$28))</f>
        <v>0</v>
      </c>
      <c r="H37" s="60">
        <f t="shared" si="11"/>
        <v>0</v>
      </c>
      <c r="I37" s="56">
        <f>IF(ISBLANK($H$4),SUMIF(SHS!$J$7:$J$29,Summary!$B$28,SHS!BO$7:BO$29),SUMIFS(SHS!BO$7:BO$29,SHS!$B$7:$B$29,Summary!$H$4,SHS!$J$7:$J$29,Summary!$B$28))</f>
        <v>0</v>
      </c>
      <c r="J37" s="57">
        <f>IF(ISBLANK($H$4),SUMIF(SHS!$J$7:$J$29,Summary!$B$28,SHS!BP$7:BP$29),SUMIFS(SHS!BP$7:BP$29,SHS!$B$7:$B$29,Summary!$H$4,SHS!$J$7:$J$29,Summary!$B$28))</f>
        <v>0</v>
      </c>
      <c r="K37" s="61">
        <f t="shared" si="12"/>
        <v>0</v>
      </c>
    </row>
    <row r="38" spans="2:11" x14ac:dyDescent="0.25">
      <c r="B38" s="55" t="s">
        <v>11</v>
      </c>
      <c r="C38" s="56">
        <f>IF(ISBLANK($H$4),SUMIF(ES!$J$8:$J$74,Summary!$B$28,ES!FZ$8:FZ$74),SUMIFS(ES!FZ$8:FZ$74,ES!$B$8:$B$74,Summary!$H$4,ES!$J$8:$J$74,Summary!$B$28))</f>
        <v>8</v>
      </c>
      <c r="D38" s="57">
        <f>IF(ISBLANK($H$4),SUMIF(ES!$J$8:$J$74,Summary!$B$28,ES!GA$8:GA$74),SUMIFS(ES!GA$8:GA$74,ES!$B$8:$B$74,Summary!$H$4,ES!$J$8:$J$74,Summary!$B$28))</f>
        <v>3</v>
      </c>
      <c r="E38" s="58">
        <f t="shared" si="10"/>
        <v>11</v>
      </c>
      <c r="F38" s="59">
        <f>IF(ISBLANK($H$4),SUMIF(JHS!$J$7:$J$1510,Summary!$B$28,JHS!DF$7:DF$1510),SUMIFS(JHS!DF$7:DF$1510,JHS!$B$7:$B$1510,Summary!$H$4,JHS!$J$7:$J$1510,Summary!$B$28))</f>
        <v>6</v>
      </c>
      <c r="G38" s="57">
        <f>IF(ISBLANK($H$4),SUMIF(JHS!$J$7:$J$1510,Summary!$B$28,JHS!DG$7:DG$1510),SUMIFS(JHS!DG$7:DG$1510,JHS!$B$7:$B$1510,Summary!$H$4,JHS!$J$7:$J$1510,Summary!$B$28))</f>
        <v>0</v>
      </c>
      <c r="H38" s="60">
        <f t="shared" si="11"/>
        <v>6</v>
      </c>
      <c r="I38" s="56">
        <f>IF(ISBLANK($H$4),SUMIF(SHS!$J$7:$J$29,Summary!$B$28,SHS!BV$7:BV$29),SUMIFS(SHS!BV$7:BV$29,SHS!$B$7:$B$29,Summary!$H$4,SHS!$J$7:$J$29,Summary!$B$28))</f>
        <v>0</v>
      </c>
      <c r="J38" s="57">
        <f>IF(ISBLANK($H$4),SUMIF(SHS!$J$7:$J$29,Summary!$B$28,SHS!BW$7:BW$29),SUMIFS(SHS!BW$7:BW$29,SHS!$B$7:$B$29,Summary!$H$4,SHS!$J$7:$J$29,Summary!$B$28))</f>
        <v>0</v>
      </c>
      <c r="K38" s="61">
        <f t="shared" si="12"/>
        <v>0</v>
      </c>
    </row>
    <row r="39" spans="2:11" x14ac:dyDescent="0.25">
      <c r="B39" s="55" t="s">
        <v>12</v>
      </c>
      <c r="C39" s="56">
        <f>IF(ISBLANK($H$4),SUMIF(ES!$J$8:$J$74,Summary!$B$28,ES!GS$8:GS$74),SUMIFS(ES!GS$8:GS$74,ES!$B$8:$B$74,Summary!$H$4,ES!$J$8:$J$74,Summary!$B$28))</f>
        <v>130</v>
      </c>
      <c r="D39" s="57">
        <f>IF(ISBLANK($H$4),SUMIF(ES!$J$8:$J$74,Summary!$B$28,ES!GT$8:GT$74),SUMIFS(ES!GT$8:GT$74,ES!$B$8:$B$74,Summary!$H$4,ES!$J$8:$J$74,Summary!$B$28))</f>
        <v>36</v>
      </c>
      <c r="E39" s="58">
        <f t="shared" si="10"/>
        <v>166</v>
      </c>
      <c r="F39" s="59">
        <f>IF(ISBLANK($H$4),SUMIF(JHS!$J$7:$J$1510,Summary!$B$28,JHS!DQ$7:DQ$1510),SUMIFS(JHS!DQ$7:DQ$1510,JHS!$B$7:$B$1510,Summary!$H$4,JHS!$J$7:$J$1510,Summary!$B$28))</f>
        <v>139</v>
      </c>
      <c r="G39" s="57">
        <f>IF(ISBLANK($H$4),SUMIF(JHS!$J$7:$J$1510,Summary!$B$28,JHS!DR$7:DR$1510),SUMIFS(JHS!DR$7:DR$1510,JHS!$B$7:$B$1510,Summary!$H$4,JHS!$J$7:$J$1510,Summary!$B$28))</f>
        <v>44</v>
      </c>
      <c r="H39" s="60">
        <f t="shared" si="11"/>
        <v>183</v>
      </c>
      <c r="I39" s="56">
        <f>IF(ISBLANK($H$4),SUMIF(SHS!$J$7:$J$29,Summary!$B$28,SHS!CC$7:CC$29),SUMIFS(SHS!CC$7:CC$29,SHS!$B$7:$B$29,Summary!$H$4,SHS!$J$7:$J$29,Summary!$B$28))</f>
        <v>4</v>
      </c>
      <c r="J39" s="57">
        <f>IF(ISBLANK($H$4),SUMIF(SHS!$J$7:$J$29,Summary!$B$28,SHS!CD$7:CD$29),SUMIFS(SHS!CD$7:CD$29,SHS!$B$7:$B$29,Summary!$H$4,SHS!$J$7:$J$29,Summary!$B$28))</f>
        <v>0</v>
      </c>
      <c r="K39" s="61">
        <f t="shared" si="12"/>
        <v>4</v>
      </c>
    </row>
    <row r="40" spans="2:11" x14ac:dyDescent="0.25">
      <c r="B40" s="55" t="s">
        <v>13</v>
      </c>
      <c r="C40" s="56">
        <f>IF(ISBLANK($H$4),SUMIF(ES!$J$8:$J$74,Summary!$B$28,ES!HL$8:HL$74),SUMIFS(ES!HL$8:HL$74,ES!$B$8:$B$74,Summary!$H$4,ES!$J$8:$J$74,Summary!$B$28))</f>
        <v>0</v>
      </c>
      <c r="D40" s="57">
        <f>IF(ISBLANK($H$4),SUMIF(ES!$J$8:$J$74,Summary!$B$28,ES!HM$8:HM$74),SUMIFS(ES!HM$8:HM$74,ES!$B$8:$B$74,Summary!$H$4,ES!$J$8:$J$74,Summary!$B$28))</f>
        <v>0</v>
      </c>
      <c r="E40" s="58">
        <f t="shared" si="10"/>
        <v>0</v>
      </c>
      <c r="F40" s="59">
        <f>IF(ISBLANK($H$4),SUMIF(JHS!$J$7:$J$1510,Summary!$B$28,JHS!EB$7:EB$1510),SUMIFS(JHS!EB$7:EB$1510,JHS!$B$7:$B$1510,Summary!$H$4,JHS!$J$7:$J$1510,Summary!$B$28))</f>
        <v>1</v>
      </c>
      <c r="G40" s="57">
        <f>IF(ISBLANK($H$4),SUMIF(JHS!$J$7:$J$1510,Summary!$B$28,JHS!EC$7:EC$1510),SUMIFS(JHS!EC$7:EC$1510,JHS!$B$7:$B$1510,Summary!$H$4,JHS!$J$7:$J$1510,Summary!$B$28))</f>
        <v>0</v>
      </c>
      <c r="H40" s="60">
        <f t="shared" si="11"/>
        <v>1</v>
      </c>
      <c r="I40" s="56">
        <f>IF(ISBLANK($H$4),SUMIF(SHS!$J$7:$J$29,Summary!$B$28,SHS!CJ$7:CJ$29),SUMIFS(SHS!CJ$7:CJ$29,SHS!$B$7:$B$29,Summary!$H$4,SHS!$J$7:$J$29,Summary!$B$28))</f>
        <v>0</v>
      </c>
      <c r="J40" s="57">
        <f>IF(ISBLANK($H$4),SUMIF(SHS!$J$7:$J$29,Summary!$B$28,SHS!CK$7:CK$29),SUMIFS(SHS!CK$7:CK$29,SHS!$B$7:$B$29,Summary!$H$4,SHS!$J$7:$J$29,Summary!$B$28))</f>
        <v>0</v>
      </c>
      <c r="K40" s="61">
        <f t="shared" si="12"/>
        <v>0</v>
      </c>
    </row>
    <row r="41" spans="2:11" x14ac:dyDescent="0.25">
      <c r="B41" s="55" t="s">
        <v>14</v>
      </c>
      <c r="C41" s="56">
        <f>IF(ISBLANK($H$4),SUMIF(ES!$J$8:$J$74,Summary!$B$28,ES!IE$8:IE$74),SUMIFS(ES!IE$8:IE$74,ES!$B$8:$B$74,Summary!$H$4,ES!$J$8:$J$74,Summary!$B$28))</f>
        <v>0</v>
      </c>
      <c r="D41" s="57">
        <f>IF(ISBLANK($H$4),SUMIF(ES!$J$8:$J$74,Summary!$B$28,ES!IF$8:IF$74),SUMIFS(ES!IF$8:IF$74,ES!$B$8:$B$74,Summary!$H$4,ES!$J$8:$J$74,Summary!$B$28))</f>
        <v>0</v>
      </c>
      <c r="E41" s="58">
        <f t="shared" si="10"/>
        <v>0</v>
      </c>
      <c r="F41" s="59">
        <f>IF(ISBLANK($H$4),SUMIF(JHS!$J$7:$J$1510,Summary!$B$28,JHS!EM$7:EM$1510),SUMIFS(JHS!EM$7:EM$1510,JHS!$B$7:$B$1510,Summary!$H$4,JHS!$J$7:$J$1510,Summary!$B$28))</f>
        <v>0</v>
      </c>
      <c r="G41" s="57">
        <f>IF(ISBLANK($H$4),SUMIF(JHS!$J$7:$J$1510,Summary!$B$28,JHS!EN$7:EN$1510),SUMIFS(JHS!EN$7:EN$1510,JHS!$B$7:$B$1510,Summary!$H$4,JHS!$J$7:$J$1510,Summary!$B$28))</f>
        <v>0</v>
      </c>
      <c r="H41" s="60">
        <f t="shared" si="11"/>
        <v>0</v>
      </c>
      <c r="I41" s="56">
        <f>IF(ISBLANK($H$4),SUMIF(SHS!$J$7:$J$29,Summary!$B$28,SHS!CQ$7:CQ$29),SUMIFS(SHS!CQ$7:CQ$29,SHS!$B$7:$B$29,Summary!$H$4,SHS!$J$7:$J$29,Summary!$B$28))</f>
        <v>0</v>
      </c>
      <c r="J41" s="57">
        <f>IF(ISBLANK($H$4),SUMIF(SHS!$J$7:$J$29,Summary!$B$28,SHS!CR$7:CR$29),SUMIFS(SHS!CR$7:CR$29,SHS!$B$7:$B$29,Summary!$H$4,SHS!$J$7:$J$29,Summary!$B$28))</f>
        <v>0</v>
      </c>
      <c r="K41" s="61">
        <f t="shared" si="12"/>
        <v>0</v>
      </c>
    </row>
    <row r="42" spans="2:11" x14ac:dyDescent="0.25">
      <c r="B42" s="55" t="s">
        <v>15</v>
      </c>
      <c r="C42" s="56">
        <f>IF(ISBLANK($H$4),SUMIF(ES!$J$8:$J$74,Summary!$B$28,ES!IX$8:IX$74),SUMIFS(ES!IX$8:IX$74,ES!$B$8:$B$74,Summary!$H$4,ES!$J$8:$J$74,Summary!$B$28))</f>
        <v>0</v>
      </c>
      <c r="D42" s="57">
        <f>IF(ISBLANK($H$4),SUMIF(ES!$J$8:$J$74,Summary!$B$28,ES!IY$8:IY$74),SUMIFS(ES!IY$8:IY$74,ES!$B$8:$B$74,Summary!$H$4,ES!$J$8:$J$74,Summary!$B$28))</f>
        <v>0</v>
      </c>
      <c r="E42" s="58">
        <f t="shared" si="10"/>
        <v>0</v>
      </c>
      <c r="F42" s="59">
        <f>IF(ISBLANK($H$4),SUMIF(JHS!$J$7:$J$1510,Summary!$B$28,JHS!EX$7:EX$1510),SUMIFS(JHS!EX$7:EX$1510,JHS!$B$7:$B$1510,Summary!$H$4,JHS!$J$7:$J$1510,Summary!$B$28))</f>
        <v>0</v>
      </c>
      <c r="G42" s="57">
        <f>IF(ISBLANK($H$4),SUMIF(JHS!$J$7:$J$1510,Summary!$B$28,JHS!EY$7:EY$1510),SUMIFS(JHS!EY$7:EY$1510,JHS!$B$7:$B$1510,Summary!$H$4,JHS!$J$7:$J$1510,Summary!$B$28))</f>
        <v>0</v>
      </c>
      <c r="H42" s="60">
        <f t="shared" si="11"/>
        <v>0</v>
      </c>
      <c r="I42" s="56">
        <f>IF(ISBLANK($H$4),SUMIF(SHS!$J$7:$J$29,Summary!$B$28,SHS!CX$7:CX$29),SUMIFS(SHS!CX$7:CX$29,SHS!$B$7:$B$29,Summary!$H$4,SHS!$J$7:$J$29,Summary!$B$28))</f>
        <v>0</v>
      </c>
      <c r="J42" s="57">
        <f>IF(ISBLANK($H$4),SUMIF(SHS!$J$7:$J$29,Summary!$B$28,SHS!CY$7:CY$29),SUMIFS(SHS!CY$7:CY$29,SHS!$B$7:$B$29,Summary!$H$4,SHS!$J$7:$J$29,Summary!$B$28))</f>
        <v>0</v>
      </c>
      <c r="K42" s="61">
        <f t="shared" si="12"/>
        <v>0</v>
      </c>
    </row>
    <row r="43" spans="2:11" x14ac:dyDescent="0.25">
      <c r="B43" s="55" t="s">
        <v>16</v>
      </c>
      <c r="C43" s="56">
        <f>IF(ISBLANK($H$4),SUMIF(ES!$J$8:$J$74,Summary!$B$28,ES!JQ$8:JQ$74),SUMIFS(ES!JQ$8:JQ$74,ES!$B$8:$B$74,Summary!$H$4,ES!$J$8:$J$74,Summary!$B$28))</f>
        <v>0</v>
      </c>
      <c r="D43" s="57">
        <f>IF(ISBLANK($H$4),SUMIF(ES!$J$8:$J$74,Summary!$B$28,ES!JR$8:JR$74),SUMIFS(ES!JR$8:JR$74,ES!$B$8:$B$74,Summary!$H$4,ES!$J$8:$J$74,Summary!$B$28))</f>
        <v>0</v>
      </c>
      <c r="E43" s="58">
        <f t="shared" si="10"/>
        <v>0</v>
      </c>
      <c r="F43" s="59">
        <f>IF(ISBLANK($H$4),SUMIF(JHS!$J$7:$J$1510,Summary!$B$28,JHS!FI$7:FI$1510),SUMIFS(JHS!FI$7:FI$1510,JHS!$B$7:$B$1510,Summary!$H$4,JHS!$J$7:$J$1510,Summary!$B$28))</f>
        <v>14</v>
      </c>
      <c r="G43" s="57">
        <f>IF(ISBLANK($H$4),SUMIF(JHS!$J$7:$J$1510,Summary!$B$28,JHS!FJ$7:FJ$1510),SUMIFS(JHS!FJ$7:FJ$1510,JHS!$B$7:$B$1510,Summary!$H$4,JHS!$J$7:$J$1510,Summary!$B$28))</f>
        <v>2</v>
      </c>
      <c r="H43" s="60">
        <f t="shared" si="11"/>
        <v>16</v>
      </c>
      <c r="I43" s="56">
        <f>IF(ISBLANK($H$4),SUMIF(SHS!$J$7:$J$29,Summary!$B$28,SHS!DE$7:DE$29),SUMIFS(SHS!DE$7:DE$29,SHS!$B$7:$B$29,Summary!$H$4,SHS!$J$7:$J$29,Summary!$B$28))</f>
        <v>0</v>
      </c>
      <c r="J43" s="57">
        <f>IF(ISBLANK($H$4),SUMIF(SHS!$J$7:$J$29,Summary!$B$28,SHS!DF$7:DF$29),SUMIFS(SHS!DF$7:DF$29,SHS!$B$7:$B$29,Summary!$H$4,SHS!$J$7:$J$29,Summary!$B$28))</f>
        <v>0</v>
      </c>
      <c r="K43" s="61">
        <f t="shared" si="12"/>
        <v>0</v>
      </c>
    </row>
    <row r="44" spans="2:11" x14ac:dyDescent="0.25">
      <c r="B44" s="55" t="s">
        <v>17</v>
      </c>
      <c r="C44" s="56">
        <f>IF(ISBLANK($H$4),SUMIF(ES!$J$8:$J$74,Summary!$B$28,ES!KJ$8:KJ$74),SUMIFS(ES!KJ$8:KJ$74,ES!$B$8:$B$74,Summary!$H$4,ES!$J$8:$J$74,Summary!$B$28))</f>
        <v>19</v>
      </c>
      <c r="D44" s="57">
        <f>IF(ISBLANK($H$4),SUMIF(ES!$J$8:$J$74,Summary!$B$28,ES!KK$8:KK$74),SUMIFS(ES!KK$8:KK$74,ES!$B$8:$B$74,Summary!$H$4,ES!$J$8:$J$74,Summary!$B$28))</f>
        <v>15</v>
      </c>
      <c r="E44" s="58">
        <f t="shared" si="10"/>
        <v>34</v>
      </c>
      <c r="F44" s="59">
        <f>IF(ISBLANK($H$4),SUMIF(JHS!$J$7:$J$1510,Summary!$B$28,JHS!FT$7:FT$1510),SUMIFS(JHS!FT$7:FT$1510,JHS!$B$7:$B$1510,Summary!$H$4,JHS!$J$7:$J$1510,Summary!$B$28))</f>
        <v>37</v>
      </c>
      <c r="G44" s="57">
        <f>IF(ISBLANK($H$4),SUMIF(JHS!$J$7:$J$1510,Summary!$B$28,JHS!FU$7:FU$1510),SUMIFS(JHS!FU$7:FU$1510,JHS!$B$7:$B$1510,Summary!$H$4,JHS!$J$7:$J$1510,Summary!$B$28))</f>
        <v>13</v>
      </c>
      <c r="H44" s="60">
        <f t="shared" si="11"/>
        <v>50</v>
      </c>
      <c r="I44" s="56">
        <f>IF(ISBLANK($H$4),SUMIF(SHS!$J$7:$J$29,Summary!$B$28,SHS!DL$7:DL$29),SUMIFS(SHS!DL$7:DL$29,SHS!$B$7:$B$29,Summary!$H$4,SHS!$J$7:$J$29,Summary!$B$28))</f>
        <v>3</v>
      </c>
      <c r="J44" s="57">
        <f>IF(ISBLANK($H$4),SUMIF(SHS!$J$7:$J$29,Summary!$B$28,SHS!DM$7:DM$29),SUMIFS(SHS!DM$7:DM$29,SHS!$B$7:$B$29,Summary!$H$4,SHS!$J$7:$J$29,Summary!$B$28))</f>
        <v>2</v>
      </c>
      <c r="K44" s="61">
        <f t="shared" si="12"/>
        <v>5</v>
      </c>
    </row>
    <row r="45" spans="2:11" x14ac:dyDescent="0.25">
      <c r="B45" s="55" t="s">
        <v>18</v>
      </c>
      <c r="C45" s="56">
        <f>IF(ISBLANK($H$4),SUMIF(ES!$J$8:$J$74,Summary!$B$28,ES!LC$8:LC$74),SUMIFS(ES!LC$8:LC$74,ES!$B$8:$B$74,Summary!$H$4,ES!$J$8:$J$74,Summary!$B$28))</f>
        <v>0</v>
      </c>
      <c r="D45" s="57">
        <f>IF(ISBLANK($H$4),SUMIF(ES!$J$8:$J$74,Summary!$B$28,ES!LD$8:LD$74),SUMIFS(ES!LD$8:LD$74,ES!$B$8:$B$74,Summary!$H$4,ES!$J$8:$J$74,Summary!$B$28))</f>
        <v>0</v>
      </c>
      <c r="E45" s="58">
        <f t="shared" si="10"/>
        <v>0</v>
      </c>
      <c r="F45" s="59">
        <f>IF(ISBLANK($H$4),SUMIF(JHS!$J$7:$J$1510,Summary!$B$28,JHS!GE$7:GE$1510),SUMIFS(JHS!GE$7:GE$1510,JHS!$B$7:$B$1510,Summary!$H$4,JHS!$J$7:$J$1510,Summary!$B$28))</f>
        <v>0</v>
      </c>
      <c r="G45" s="57">
        <f>IF(ISBLANK($H$4),SUMIF(JHS!$J$7:$J$1510,Summary!$B$28,JHS!GF$7:GF$1510),SUMIFS(JHS!GF$7:GF$1510,JHS!$B$7:$B$1510,Summary!$H$4,JHS!$J$7:$J$1510,Summary!$B$28))</f>
        <v>0</v>
      </c>
      <c r="H45" s="60">
        <f t="shared" si="11"/>
        <v>0</v>
      </c>
      <c r="I45" s="56">
        <f>IF(ISBLANK($H$4),SUMIF(SHS!$J$7:$J$29,Summary!$B$28,SHS!DS$7:DS$29),SUMIFS(SHS!DS$7:DS$29,SHS!$B$7:$B$29,Summary!$H$4,SHS!$J$7:$J$29,Summary!$B$28))</f>
        <v>0</v>
      </c>
      <c r="J45" s="57">
        <f>IF(ISBLANK($H$4),SUMIF(SHS!$J$7:$J$29,Summary!$B$28,SHS!DT$7:DT$29),SUMIFS(SHS!DT$7:DT$29,SHS!$B$7:$B$29,Summary!$H$4,SHS!$J$7:$J$29,Summary!$B$28))</f>
        <v>0</v>
      </c>
      <c r="K45" s="61">
        <f t="shared" si="12"/>
        <v>0</v>
      </c>
    </row>
    <row r="46" spans="2:11" x14ac:dyDescent="0.25">
      <c r="B46" s="55" t="s">
        <v>19</v>
      </c>
      <c r="C46" s="56">
        <f>IF(ISBLANK($H$4),SUMIF(ES!$J$8:$J$74,Summary!$B$28,ES!LV$8:LV$74),SUMIFS(ES!LV$8:LV$74,ES!$B$8:$B$74,Summary!$H$4,ES!$J$8:$J$74,Summary!$B$28))</f>
        <v>0</v>
      </c>
      <c r="D46" s="57">
        <f>IF(ISBLANK($H$4),SUMIF(ES!$J$8:$J$74,Summary!$B$28,ES!LW$8:LW$74),SUMIFS(ES!LW$8:LW$74,ES!$B$8:$B$74,Summary!$H$4,ES!$J$8:$J$74,Summary!$B$28))</f>
        <v>0</v>
      </c>
      <c r="E46" s="58">
        <f t="shared" si="10"/>
        <v>0</v>
      </c>
      <c r="F46" s="59">
        <f>IF(ISBLANK($H$4),SUMIF(JHS!$J$7:$J$1510,Summary!$B$28,JHS!GP$7:GP$1510),SUMIFS(JHS!GP$7:GP$1510,JHS!$B$7:$B$1510,Summary!$H$4,JHS!$J$7:$J$1510,Summary!$B$28))</f>
        <v>0</v>
      </c>
      <c r="G46" s="57">
        <f>IF(ISBLANK($H$4),SUMIF(JHS!$J$7:$J$1510,Summary!$B$28,JHS!GQ$7:GQ$1510),SUMIFS(JHS!GQ$7:GQ$1510,JHS!$B$7:$B$1510,Summary!$H$4,JHS!$J$7:$J$1510,Summary!$B$28))</f>
        <v>0</v>
      </c>
      <c r="H46" s="60">
        <f t="shared" si="11"/>
        <v>0</v>
      </c>
      <c r="I46" s="56">
        <f>IF(ISBLANK($H$4),SUMIF(SHS!$J$7:$J$29,Summary!$B$28,SHS!DZ$7:DZ$29),SUMIFS(SHS!DZ$7:DZ$29,SHS!$B$7:$B$29,Summary!$H$4,SHS!$J$7:$J$29,Summary!$B$28))</f>
        <v>0</v>
      </c>
      <c r="J46" s="57">
        <f>IF(ISBLANK($H$4),SUMIF(SHS!$J$7:$J$29,Summary!$B$28,SHS!EA$7:EA$29),SUMIFS(SHS!EA$7:EA$29,SHS!$B$7:$B$29,Summary!$H$4,SHS!$J$7:$J$29,Summary!$B$28))</f>
        <v>0</v>
      </c>
      <c r="K46" s="61">
        <f t="shared" si="12"/>
        <v>0</v>
      </c>
    </row>
    <row r="47" spans="2:11" x14ac:dyDescent="0.25">
      <c r="B47" s="55" t="s">
        <v>20</v>
      </c>
      <c r="C47" s="56">
        <f>IF(ISBLANK($H$4),SUMIF(ES!$J$8:$J$74,Summary!$B$28,ES!MO$8:MO$74),SUMIFS(ES!MO$8:MO$74,ES!$B$8:$B$74,Summary!$H$4,ES!$J$8:$J$74,Summary!$B$28))</f>
        <v>7</v>
      </c>
      <c r="D47" s="57">
        <f>IF(ISBLANK($H$4),SUMIF(ES!$J$8:$J$74,Summary!$B$28,ES!MP$8:MP$74),SUMIFS(ES!MP$8:MP$74,ES!$B$8:$B$74,Summary!$H$4,ES!$J$8:$J$74,Summary!$B$28))</f>
        <v>1</v>
      </c>
      <c r="E47" s="58">
        <f t="shared" si="10"/>
        <v>8</v>
      </c>
      <c r="F47" s="59">
        <f>IF(ISBLANK($H$4),SUMIF(JHS!$J$7:$J$1510,Summary!$B$28,JHS!HA$7:HA$1510),SUMIFS(JHS!HA$7:HA$1510,JHS!$B$7:$B$1510,Summary!$H$4,JHS!$J$7:$J$1510,Summary!$B$28))</f>
        <v>9</v>
      </c>
      <c r="G47" s="57">
        <f>IF(ISBLANK($H$4),SUMIF(JHS!$J$7:$J$1510,Summary!$B$28,JHS!HB$7:HB$1510),SUMIFS(JHS!HB$7:HB$1510,JHS!$B$7:$B$1510,Summary!$H$4,JHS!$J$7:$J$1510,Summary!$B$28))</f>
        <v>2</v>
      </c>
      <c r="H47" s="60">
        <f t="shared" si="11"/>
        <v>11</v>
      </c>
      <c r="I47" s="56">
        <f>IF(ISBLANK($H$4),SUMIF(SHS!$J$7:$J$29,Summary!$B$28,SHS!EG$7:EG$29),SUMIFS(SHS!EG$7:EG$29,SHS!$B$7:$B$29,Summary!$H$4,SHS!$J$7:$J$29,Summary!$B$28))</f>
        <v>2</v>
      </c>
      <c r="J47" s="57">
        <f>IF(ISBLANK($H$4),SUMIF(SHS!$J$7:$J$29,Summary!$B$28,SHS!EH$7:EH$29),SUMIFS(SHS!EH$7:EH$29,SHS!$B$7:$B$29,Summary!$H$4,SHS!$J$7:$J$29,Summary!$B$28))</f>
        <v>1</v>
      </c>
      <c r="K47" s="61">
        <f t="shared" si="12"/>
        <v>3</v>
      </c>
    </row>
    <row r="48" spans="2:11" ht="15.75" thickBot="1" x14ac:dyDescent="0.3">
      <c r="B48" s="62" t="s">
        <v>9</v>
      </c>
      <c r="C48" s="70">
        <f>IF(ISBLANK($H$4),SUMIF(ES!$J$8:$J$74,Summary!$B$28,ES!EN$8:EN$74),SUMIFS(ES!EN$8:EN$74,ES!$B$8:$B$74,Summary!$H$4,ES!$J$8:$J$74,Summary!$B$28))</f>
        <v>3</v>
      </c>
      <c r="D48" s="71">
        <f>IF(ISBLANK($H$4),SUMIF(ES!$J$8:$J$74,Summary!$B$28,ES!EO$8:EO$74),SUMIFS(ES!EO$8:EO$74,ES!$B$8:$B$74,Summary!$H$4,ES!$J$8:$J$74,Summary!$B$28))</f>
        <v>4</v>
      </c>
      <c r="E48" s="72">
        <f t="shared" si="10"/>
        <v>7</v>
      </c>
      <c r="F48" s="73">
        <f>IF(ISBLANK($H$4),SUMIF(JHS!$J$7:$J$1510,Summary!$B$28,JHS!CJ$7:CJ$1510),SUMIFS(JHS!CJ$7:CJ$1510,JHS!$B$7:$B$1510,Summary!$H$4,JHS!$J$7:$J$1510,Summary!$B$28))</f>
        <v>2</v>
      </c>
      <c r="G48" s="71">
        <f>IF(ISBLANK($H$4),SUMIF(JHS!$J$7:$J$1510,Summary!$B$28,JHS!CK$7:CK$1510),SUMIFS(JHS!CK$7:CK$1510,JHS!$B$7:$B$1510,Summary!$H$4,JHS!$J$7:$J$1510,Summary!$B$28))</f>
        <v>0</v>
      </c>
      <c r="H48" s="74">
        <f t="shared" si="11"/>
        <v>2</v>
      </c>
      <c r="I48" s="70">
        <f>IF(ISBLANK($H$4),SUMIF(SHS!$J$7:$J$29,Summary!$B$28,SHS!BH$7:BH$29),SUMIFS(SHS!BH$7:BH$29,SHS!$B$7:$B$29,Summary!$H$4,SHS!$J$7:$J$29,Summary!$B$28))</f>
        <v>0</v>
      </c>
      <c r="J48" s="71">
        <f>IF(ISBLANK($H$4),SUMIF(SHS!$J$7:$J$29,Summary!$B$28,SHS!BI$7:BI$29),SUMIFS(SHS!BI$7:BI$29,SHS!$B$7:$B$29,Summary!$H$4,SHS!$J$7:$J$29,Summary!$B$28))</f>
        <v>0</v>
      </c>
      <c r="K48" s="75">
        <f t="shared" si="12"/>
        <v>0</v>
      </c>
    </row>
    <row r="49" spans="2:11" ht="15.75" thickBot="1" x14ac:dyDescent="0.3">
      <c r="B49" s="63" t="s">
        <v>798</v>
      </c>
      <c r="C49" s="64">
        <f t="shared" ref="C49:K49" si="13">SUM(C31:C48)</f>
        <v>288</v>
      </c>
      <c r="D49" s="65">
        <f t="shared" si="13"/>
        <v>123</v>
      </c>
      <c r="E49" s="66">
        <f t="shared" si="13"/>
        <v>411</v>
      </c>
      <c r="F49" s="67">
        <f t="shared" si="13"/>
        <v>275</v>
      </c>
      <c r="G49" s="65">
        <f t="shared" si="13"/>
        <v>118</v>
      </c>
      <c r="H49" s="68">
        <f t="shared" si="13"/>
        <v>393</v>
      </c>
      <c r="I49" s="64">
        <f t="shared" si="13"/>
        <v>9</v>
      </c>
      <c r="J49" s="65">
        <f t="shared" si="13"/>
        <v>4</v>
      </c>
      <c r="K49" s="69">
        <f t="shared" si="13"/>
        <v>13</v>
      </c>
    </row>
    <row r="51" spans="2:11" ht="15.75" thickBot="1" x14ac:dyDescent="0.3">
      <c r="B51" s="26" t="s">
        <v>413</v>
      </c>
    </row>
    <row r="52" spans="2:11" x14ac:dyDescent="0.25">
      <c r="B52" s="31"/>
      <c r="C52" s="32" t="s">
        <v>789</v>
      </c>
      <c r="D52" s="33"/>
      <c r="E52" s="34"/>
      <c r="F52" s="35" t="s">
        <v>790</v>
      </c>
      <c r="G52" s="36"/>
      <c r="H52" s="37"/>
      <c r="I52" s="38" t="s">
        <v>791</v>
      </c>
      <c r="J52" s="39"/>
      <c r="K52" s="40"/>
    </row>
    <row r="53" spans="2:11" ht="15.75" thickBot="1" x14ac:dyDescent="0.3">
      <c r="B53" s="41"/>
      <c r="C53" s="42" t="s">
        <v>31</v>
      </c>
      <c r="D53" s="43" t="s">
        <v>32</v>
      </c>
      <c r="E53" s="44" t="s">
        <v>33</v>
      </c>
      <c r="F53" s="45" t="s">
        <v>31</v>
      </c>
      <c r="G53" s="43" t="s">
        <v>32</v>
      </c>
      <c r="H53" s="46" t="s">
        <v>33</v>
      </c>
      <c r="I53" s="42" t="s">
        <v>31</v>
      </c>
      <c r="J53" s="43" t="s">
        <v>32</v>
      </c>
      <c r="K53" s="47" t="s">
        <v>33</v>
      </c>
    </row>
    <row r="54" spans="2:11" x14ac:dyDescent="0.25">
      <c r="B54" s="48" t="s">
        <v>3</v>
      </c>
      <c r="C54" s="49">
        <f>IF(ISBLANK($H$4),SUMIF(ES!$J$8:$J$74,Summary!$B$51,ES!AD$8:AD$74),SUMIFS(ES!AD$8:AD$74,ES!$B$8:$B$74,Summary!$H$4,ES!$J$8:$J$74,Summary!$B$51))</f>
        <v>0</v>
      </c>
      <c r="D54" s="50">
        <f>IF(ISBLANK($H$4),SUMIF(ES!$J$8:$J$74,Summary!$B$51,ES!AE$8:AE$74),SUMIFS(ES!AE$8:AE$74,ES!$B$8:$B$74,Summary!$H$4,ES!$J$8:$J$74,Summary!$B$51))</f>
        <v>0</v>
      </c>
      <c r="E54" s="51">
        <f>SUM(C54:D54)</f>
        <v>0</v>
      </c>
      <c r="F54" s="52">
        <f>IF(ISBLANK($H$4),SUMIF(JHS!$J$7:$J$1510,Summary!$B$51,JHS!V$7:V$1510),SUMIFS(JHS!V$7:V$1510,JHS!$B$7:$B$1510,Summary!$H$4,JHS!$J$7:$J$1510,Summary!$B$51))</f>
        <v>0</v>
      </c>
      <c r="G54" s="50">
        <f>IF(ISBLANK($H$4),SUMIF(JHS!$J$7:$J$1510,Summary!$B$51,JHS!W$7:W$1510),SUMIFS(JHS!W$7:W$1510,JHS!$B$7:$B$1510,Summary!$H$4,JHS!$J$7:$J$1510,Summary!$B$51))</f>
        <v>0</v>
      </c>
      <c r="H54" s="53">
        <f>SUM(F54:G54)</f>
        <v>0</v>
      </c>
      <c r="I54" s="49">
        <f>IF(ISBLANK($H$4),SUMIF(SHS!$J$7:$J$29,Summary!$B$51,SHS!R$7:R$29),SUMIFS(SHS!R$7:R$29,SHS!$B$7:$B$29,Summary!$H$4,SHS!$J$7:$J$29,Summary!$B$51))</f>
        <v>0</v>
      </c>
      <c r="J54" s="50">
        <f>IF(ISBLANK($H$4),SUMIF(SHS!$J$7:$J$29,Summary!$B$51,SHS!S$7:S$29),SUMIFS(SHS!S$7:S$29,SHS!$B$7:$B$29,Summary!$H$4,SHS!$J$7:$J$29,Summary!$B$51))</f>
        <v>0</v>
      </c>
      <c r="K54" s="54">
        <f>SUM(I54:J54)</f>
        <v>0</v>
      </c>
    </row>
    <row r="55" spans="2:11" x14ac:dyDescent="0.25">
      <c r="B55" s="55" t="s">
        <v>4</v>
      </c>
      <c r="C55" s="56">
        <f>IF(ISBLANK($H$4),SUMIF(ES!$J$8:$J$74,Summary!$B$51,ES!AW$8:AW$74),SUMIFS(ES!AW$8:AW$74,ES!$B$8:$B$74,Summary!$H$4,ES!$J$8:$J$74,Summary!$B$51))</f>
        <v>0</v>
      </c>
      <c r="D55" s="57">
        <f>IF(ISBLANK($H$4),SUMIF(ES!$J$8:$J$74,Summary!$B$51,ES!AX$8:AX$74),SUMIFS(ES!AX$8:AX$74,ES!$B$8:$B$74,Summary!$H$4,ES!$J$8:$J$74,Summary!$B$51))</f>
        <v>0</v>
      </c>
      <c r="E55" s="58">
        <f t="shared" ref="E55:E71" si="14">SUM(C55:D55)</f>
        <v>0</v>
      </c>
      <c r="F55" s="59">
        <f>IF(ISBLANK($H$4),SUMIF(JHS!$J$7:$J$1510,Summary!$B$51,JHS!AG$7:AG$1510),SUMIFS(JHS!AG$7:AG$1510,JHS!$B$7:$B$1510,Summary!$H$4,JHS!$J$7:$J$1510,Summary!$B$51))</f>
        <v>0</v>
      </c>
      <c r="G55" s="57">
        <f>IF(ISBLANK($H$4),SUMIF(JHS!$J$7:$J$1510,Summary!$B$51,JHS!AH$7:AH$1510),SUMIFS(JHS!AH$7:AH$1510,JHS!$B$7:$B$1510,Summary!$H$4,JHS!$J$7:$J$1510,Summary!$B$51))</f>
        <v>1</v>
      </c>
      <c r="H55" s="60">
        <f t="shared" ref="H55:H71" si="15">SUM(F55:G55)</f>
        <v>1</v>
      </c>
      <c r="I55" s="56">
        <f>IF(ISBLANK($H$4),SUMIF(SHS!$J$7:$J$29,Summary!$B$51,SHS!Y$7:Y$29),SUMIFS(SHS!Y$7:Y$29,SHS!$B$7:$B$29,Summary!$H$4,SHS!$J$7:$J$29,Summary!$B$51))</f>
        <v>0</v>
      </c>
      <c r="J55" s="57">
        <f>IF(ISBLANK($H$4),SUMIF(SHS!$J$7:$J$29,Summary!$B$51,SHS!Z$7:Z$29),SUMIFS(SHS!Z$7:Z$29,SHS!$B$7:$B$29,Summary!$H$4,SHS!$J$7:$J$29,Summary!$B$51))</f>
        <v>0</v>
      </c>
      <c r="K55" s="61">
        <f t="shared" ref="K55:K71" si="16">SUM(I55:J55)</f>
        <v>0</v>
      </c>
    </row>
    <row r="56" spans="2:11" x14ac:dyDescent="0.25">
      <c r="B56" s="55" t="s">
        <v>5</v>
      </c>
      <c r="C56" s="56">
        <f>IF(ISBLANK($H$4),SUMIF(ES!$J$8:$J$74,Summary!$B$51,ES!BP$8:BP$74),SUMIFS(ES!BP$8:BP$74,ES!$B$8:$B$74,Summary!$H$4,ES!$J$8:$J$74,Summary!$B$51))</f>
        <v>0</v>
      </c>
      <c r="D56" s="57">
        <f>IF(ISBLANK($H$4),SUMIF(ES!$J$8:$J$74,Summary!$B$51,ES!BQ$8:BQ$74),SUMIFS(ES!BQ$8:BQ$74,ES!$B$8:$B$74,Summary!$H$4,ES!$J$8:$J$74,Summary!$B$51))</f>
        <v>0</v>
      </c>
      <c r="E56" s="58">
        <f t="shared" si="14"/>
        <v>0</v>
      </c>
      <c r="F56" s="59">
        <f>IF(ISBLANK($H$4),SUMIF(JHS!$J$7:$J$1510,Summary!$B$51,JHS!AR$7:AR$1510),SUMIFS(JHS!AR$7:AR$1510,JHS!$B$7:$B$1510,Summary!$H$4,JHS!$J$7:$J$1510,Summary!$B$51))</f>
        <v>0</v>
      </c>
      <c r="G56" s="57">
        <f>IF(ISBLANK($H$4),SUMIF(JHS!$J$7:$J$1510,Summary!$B$51,JHS!AS$7:AS$1510),SUMIFS(JHS!AS$7:AS$1510,JHS!$B$7:$B$1510,Summary!$H$4,JHS!$J$7:$J$1510,Summary!$B$51))</f>
        <v>0</v>
      </c>
      <c r="H56" s="60">
        <f t="shared" si="15"/>
        <v>0</v>
      </c>
      <c r="I56" s="56">
        <f>IF(ISBLANK($H$4),SUMIF(SHS!$J$7:$J$29,Summary!$B$51,SHS!AF$7:AF$29),SUMIFS(SHS!AF$7:AF$29,SHS!$B$7:$B$29,Summary!$H$4,SHS!$J$7:$J$29,Summary!$B$51))</f>
        <v>0</v>
      </c>
      <c r="J56" s="57">
        <f>IF(ISBLANK($H$4),SUMIF(SHS!$J$7:$J$29,Summary!$B$51,SHS!AG$7:AG$29),SUMIFS(SHS!AG$7:AG$29,SHS!$B$7:$B$29,Summary!$H$4,SHS!$J$7:$J$29,Summary!$B$51))</f>
        <v>0</v>
      </c>
      <c r="K56" s="61">
        <f t="shared" si="16"/>
        <v>0</v>
      </c>
    </row>
    <row r="57" spans="2:11" x14ac:dyDescent="0.25">
      <c r="B57" s="55" t="s">
        <v>6</v>
      </c>
      <c r="C57" s="56">
        <f>IF(ISBLANK($H$4),SUMIF(ES!$J$8:$J$74,Summary!$B$51,ES!CI$8:CI$74),SUMIFS(ES!CI$8:CI$74,ES!$B$8:$B$74,Summary!$H$4,ES!$J$8:$J$74,Summary!$B$51))</f>
        <v>1</v>
      </c>
      <c r="D57" s="57">
        <f>IF(ISBLANK($H$4),SUMIF(ES!$J$8:$J$74,Summary!$B$51,ES!CJ$8:CJ$74),SUMIFS(ES!CJ$8:CJ$74,ES!$B$8:$B$74,Summary!$H$4,ES!$J$8:$J$74,Summary!$B$51))</f>
        <v>0</v>
      </c>
      <c r="E57" s="58">
        <f t="shared" si="14"/>
        <v>1</v>
      </c>
      <c r="F57" s="59">
        <f>IF(ISBLANK($H$4),SUMIF(JHS!$J$7:$J$1510,Summary!$B$51,JHS!BC$7:BC$1510),SUMIFS(JHS!BC$7:BC$1510,JHS!$B$7:$B$1510,Summary!$H$4,JHS!$J$7:$J$1510,Summary!$B$51))</f>
        <v>4</v>
      </c>
      <c r="G57" s="57">
        <f>IF(ISBLANK($H$4),SUMIF(JHS!$J$7:$J$1510,Summary!$B$51,JHS!BD$7:BD$1510),SUMIFS(JHS!BD$7:BD$1510,JHS!$B$7:$B$1510,Summary!$H$4,JHS!$J$7:$J$1510,Summary!$B$51))</f>
        <v>2</v>
      </c>
      <c r="H57" s="60">
        <f t="shared" si="15"/>
        <v>6</v>
      </c>
      <c r="I57" s="56">
        <f>IF(ISBLANK($H$4),SUMIF(SHS!$J$7:$J$29,Summary!$B$51,SHS!AM$7:AM$29),SUMIFS(SHS!AM$7:AM$29,SHS!$B$7:$B$29,Summary!$H$4,SHS!$J$7:$J$29,Summary!$B$51))</f>
        <v>0</v>
      </c>
      <c r="J57" s="57">
        <f>IF(ISBLANK($H$4),SUMIF(SHS!$J$7:$J$29,Summary!$B$51,SHS!AN$7:AN$29),SUMIFS(SHS!AN$7:AN$29,SHS!$B$7:$B$29,Summary!$H$4,SHS!$J$7:$J$29,Summary!$B$51))</f>
        <v>0</v>
      </c>
      <c r="K57" s="61">
        <f t="shared" si="16"/>
        <v>0</v>
      </c>
    </row>
    <row r="58" spans="2:11" x14ac:dyDescent="0.25">
      <c r="B58" s="55" t="s">
        <v>7</v>
      </c>
      <c r="C58" s="56">
        <f>IF(ISBLANK($H$4),SUMIF(ES!$J$8:$J$74,Summary!$B$51,ES!DB$8:DB$74),SUMIFS(ES!DB$8:DB$74,ES!$B$8:$B$74,Summary!$H$4,ES!$J$8:$J$74,Summary!$B$51))</f>
        <v>1</v>
      </c>
      <c r="D58" s="57">
        <f>IF(ISBLANK($H$4),SUMIF(ES!$J$8:$J$74,Summary!$B$51,ES!DC$8:DC$74),SUMIFS(ES!DC$8:DC$74,ES!$B$8:$B$74,Summary!$H$4,ES!$J$8:$J$74,Summary!$B$51))</f>
        <v>0</v>
      </c>
      <c r="E58" s="58">
        <f t="shared" si="14"/>
        <v>1</v>
      </c>
      <c r="F58" s="59">
        <f>IF(ISBLANK($H$4),SUMIF(JHS!$J$7:$J$1510,Summary!$B$51,JHS!BN$7:BN$1510),SUMIFS(JHS!BN$7:BN$1510,JHS!$B$7:$B$1510,Summary!$H$4,JHS!$J$7:$J$1510,Summary!$B$51))</f>
        <v>0</v>
      </c>
      <c r="G58" s="57">
        <f>IF(ISBLANK($H$4),SUMIF(JHS!$J$7:$J$1510,Summary!$B$51,JHS!BO$7:BO$1510),SUMIFS(JHS!BO$7:BO$1510,JHS!$B$7:$B$1510,Summary!$H$4,JHS!$J$7:$J$1510,Summary!$B$51))</f>
        <v>0</v>
      </c>
      <c r="H58" s="60">
        <f t="shared" si="15"/>
        <v>0</v>
      </c>
      <c r="I58" s="56">
        <f>IF(ISBLANK($H$4),SUMIF(SHS!$J$7:$J$29,Summary!$B$51,SHS!AT$7:AT$29),SUMIFS(SHS!AT$7:AT$29,SHS!$B$7:$B$29,Summary!$H$4,SHS!$J$7:$J$29,Summary!$B$51))</f>
        <v>0</v>
      </c>
      <c r="J58" s="57">
        <f>IF(ISBLANK($H$4),SUMIF(SHS!$J$7:$J$29,Summary!$B$51,SHS!AU$7:AU$29),SUMIFS(SHS!AU$7:AU$29,SHS!$B$7:$B$29,Summary!$H$4,SHS!$J$7:$J$29,Summary!$B$51))</f>
        <v>0</v>
      </c>
      <c r="K58" s="61">
        <f t="shared" si="16"/>
        <v>0</v>
      </c>
    </row>
    <row r="59" spans="2:11" x14ac:dyDescent="0.25">
      <c r="B59" s="55" t="s">
        <v>8</v>
      </c>
      <c r="C59" s="56">
        <f>IF(ISBLANK($H$4),SUMIF(ES!$J$8:$J$74,Summary!$B$51,ES!DU$8:DU$74),SUMIFS(ES!DU$8:DU$74,ES!$B$8:$B$74,Summary!$H$4,ES!$J$8:$J$74,Summary!$B$51))</f>
        <v>0</v>
      </c>
      <c r="D59" s="57">
        <f>IF(ISBLANK($H$4),SUMIF(ES!$J$8:$J$74,Summary!$B$51,ES!DV$8:DV$74),SUMIFS(ES!DV$8:DV$74,ES!$B$8:$B$74,Summary!$H$4,ES!$J$8:$J$74,Summary!$B$51))</f>
        <v>0</v>
      </c>
      <c r="E59" s="58">
        <f t="shared" si="14"/>
        <v>0</v>
      </c>
      <c r="F59" s="59">
        <f>IF(ISBLANK($H$4),SUMIF(JHS!$J$7:$J$1510,Summary!$B$51,JHS!BY$7:BY$1510),SUMIFS(JHS!BY$7:BY$1510,JHS!$B$7:$B$1510,Summary!$H$4,JHS!$J$7:$J$1510,Summary!$B$51))</f>
        <v>0</v>
      </c>
      <c r="G59" s="57">
        <f>IF(ISBLANK($H$4),SUMIF(JHS!$J$7:$J$1510,Summary!$B$51,JHS!BZ$7:BZ$1510),SUMIFS(JHS!BZ$7:BZ$1510,JHS!$B$7:$B$1510,Summary!$H$4,JHS!$J$7:$J$1510,Summary!$B$51))</f>
        <v>0</v>
      </c>
      <c r="H59" s="60">
        <f t="shared" si="15"/>
        <v>0</v>
      </c>
      <c r="I59" s="56">
        <f>IF(ISBLANK($H$4),SUMIF(SHS!$J$7:$J$29,Summary!$B$51,SHS!BA$7:BA$29),SUMIFS(SHS!BA$7:BA$29,SHS!$B$7:$B$29,Summary!$H$4,SHS!$J$7:$J$29,Summary!$B$51))</f>
        <v>0</v>
      </c>
      <c r="J59" s="57">
        <f>IF(ISBLANK($H$4),SUMIF(SHS!$J$7:$J$29,Summary!$B$51,SHS!BB$7:BB$29),SUMIFS(SHS!BB$7:BB$29,SHS!$B$7:$B$29,Summary!$H$4,SHS!$J$7:$J$29,Summary!$B$51))</f>
        <v>0</v>
      </c>
      <c r="K59" s="61">
        <f t="shared" si="16"/>
        <v>0</v>
      </c>
    </row>
    <row r="60" spans="2:11" x14ac:dyDescent="0.25">
      <c r="B60" s="55" t="s">
        <v>10</v>
      </c>
      <c r="C60" s="56">
        <f>IF(ISBLANK($H$4),SUMIF(ES!$J$8:$J$74,Summary!$B$51,ES!FG$8:FG$74),SUMIFS(ES!FG$8:FG$74,ES!$B$8:$B$74,Summary!$H$4,ES!$J$8:$J$74,Summary!$B$51))</f>
        <v>0</v>
      </c>
      <c r="D60" s="57">
        <f>IF(ISBLANK($H$4),SUMIF(ES!$J$8:$J$74,Summary!$B$51,ES!FH$8:FH$74),SUMIFS(ES!FH$8:FH$74,ES!$B$8:$B$74,Summary!$H$4,ES!$J$8:$J$74,Summary!$B$51))</f>
        <v>0</v>
      </c>
      <c r="E60" s="58">
        <f t="shared" si="14"/>
        <v>0</v>
      </c>
      <c r="F60" s="59">
        <f>IF(ISBLANK($H$4),SUMIF(JHS!$J$7:$J$1510,Summary!$B$51,JHS!CU$7:CU$1510),SUMIFS(JHS!CU$7:CU$1510,JHS!$B$7:$B$1510,Summary!$H$4,JHS!$J$7:$J$1510,Summary!$B$51))</f>
        <v>0</v>
      </c>
      <c r="G60" s="57">
        <f>IF(ISBLANK($H$4),SUMIF(JHS!$J$7:$J$1510,Summary!$B$51,JHS!CV$7:CV$1510),SUMIFS(JHS!CV$7:CV$1510,JHS!$B$7:$B$1510,Summary!$H$4,JHS!$J$7:$J$1510,Summary!$B$51))</f>
        <v>0</v>
      </c>
      <c r="H60" s="60">
        <f t="shared" si="15"/>
        <v>0</v>
      </c>
      <c r="I60" s="56">
        <f>IF(ISBLANK($H$4),SUMIF(SHS!$J$7:$J$29,Summary!$B$51,SHS!BO$7:BO$29),SUMIFS(SHS!BO$7:BO$29,SHS!$B$7:$B$29,Summary!$H$4,SHS!$J$7:$J$29,Summary!$B$51))</f>
        <v>0</v>
      </c>
      <c r="J60" s="57">
        <f>IF(ISBLANK($H$4),SUMIF(SHS!$J$7:$J$29,Summary!$B$51,SHS!BP$7:BP$29),SUMIFS(SHS!BP$7:BP$29,SHS!$B$7:$B$29,Summary!$H$4,SHS!$J$7:$J$29,Summary!$B$51))</f>
        <v>0</v>
      </c>
      <c r="K60" s="61">
        <f t="shared" si="16"/>
        <v>0</v>
      </c>
    </row>
    <row r="61" spans="2:11" x14ac:dyDescent="0.25">
      <c r="B61" s="55" t="s">
        <v>11</v>
      </c>
      <c r="C61" s="56">
        <f>IF(ISBLANK($H$4),SUMIF(ES!$J$8:$J$74,Summary!$B$51,ES!FZ$8:FZ$74),SUMIFS(ES!FZ$8:FZ$74,ES!$B$8:$B$74,Summary!$H$4,ES!$J$8:$J$74,Summary!$B$51))</f>
        <v>0</v>
      </c>
      <c r="D61" s="57">
        <f>IF(ISBLANK($H$4),SUMIF(ES!$J$8:$J$74,Summary!$B$51,ES!GA$8:GA$74),SUMIFS(ES!GA$8:GA$74,ES!$B$8:$B$74,Summary!$H$4,ES!$J$8:$J$74,Summary!$B$51))</f>
        <v>0</v>
      </c>
      <c r="E61" s="58">
        <f t="shared" si="14"/>
        <v>0</v>
      </c>
      <c r="F61" s="59">
        <f>IF(ISBLANK($H$4),SUMIF(JHS!$J$7:$J$1510,Summary!$B$51,JHS!DF$7:DF$1510),SUMIFS(JHS!DF$7:DF$1510,JHS!$B$7:$B$1510,Summary!$H$4,JHS!$J$7:$J$1510,Summary!$B$51))</f>
        <v>0</v>
      </c>
      <c r="G61" s="57">
        <f>IF(ISBLANK($H$4),SUMIF(JHS!$J$7:$J$1510,Summary!$B$51,JHS!DG$7:DG$1510),SUMIFS(JHS!DG$7:DG$1510,JHS!$B$7:$B$1510,Summary!$H$4,JHS!$J$7:$J$1510,Summary!$B$51))</f>
        <v>0</v>
      </c>
      <c r="H61" s="60">
        <f t="shared" si="15"/>
        <v>0</v>
      </c>
      <c r="I61" s="56">
        <f>IF(ISBLANK($H$4),SUMIF(SHS!$J$7:$J$29,Summary!$B$51,SHS!BV$7:BV$29),SUMIFS(SHS!BV$7:BV$29,SHS!$B$7:$B$29,Summary!$H$4,SHS!$J$7:$J$29,Summary!$B$51))</f>
        <v>0</v>
      </c>
      <c r="J61" s="57">
        <f>IF(ISBLANK($H$4),SUMIF(SHS!$J$7:$J$29,Summary!$B$51,SHS!BW$7:BW$29),SUMIFS(SHS!BW$7:BW$29,SHS!$B$7:$B$29,Summary!$H$4,SHS!$J$7:$J$29,Summary!$B$51))</f>
        <v>0</v>
      </c>
      <c r="K61" s="61">
        <f t="shared" si="16"/>
        <v>0</v>
      </c>
    </row>
    <row r="62" spans="2:11" x14ac:dyDescent="0.25">
      <c r="B62" s="55" t="s">
        <v>12</v>
      </c>
      <c r="C62" s="56">
        <f>IF(ISBLANK($H$4),SUMIF(ES!$J$8:$J$74,Summary!$B$51,ES!GS$8:GS$74),SUMIFS(ES!GS$8:GS$74,ES!$B$8:$B$74,Summary!$H$4,ES!$J$8:$J$74,Summary!$B$51))</f>
        <v>1</v>
      </c>
      <c r="D62" s="57">
        <f>IF(ISBLANK($H$4),SUMIF(ES!$J$8:$J$74,Summary!$B$51,ES!GT$8:GT$74),SUMIFS(ES!GT$8:GT$74,ES!$B$8:$B$74,Summary!$H$4,ES!$J$8:$J$74,Summary!$B$51))</f>
        <v>0</v>
      </c>
      <c r="E62" s="58">
        <f t="shared" si="14"/>
        <v>1</v>
      </c>
      <c r="F62" s="59">
        <f>IF(ISBLANK($H$4),SUMIF(JHS!$J$7:$J$1510,Summary!$B$51,JHS!DQ$7:DQ$1510),SUMIFS(JHS!DQ$7:DQ$1510,JHS!$B$7:$B$1510,Summary!$H$4,JHS!$J$7:$J$1510,Summary!$B$51))</f>
        <v>12</v>
      </c>
      <c r="G62" s="57">
        <f>IF(ISBLANK($H$4),SUMIF(JHS!$J$7:$J$1510,Summary!$B$51,JHS!DR$7:DR$1510),SUMIFS(JHS!DR$7:DR$1510,JHS!$B$7:$B$1510,Summary!$H$4,JHS!$J$7:$J$1510,Summary!$B$51))</f>
        <v>4</v>
      </c>
      <c r="H62" s="60">
        <f t="shared" si="15"/>
        <v>16</v>
      </c>
      <c r="I62" s="56">
        <f>IF(ISBLANK($H$4),SUMIF(SHS!$J$7:$J$29,Summary!$B$51,SHS!CC$7:CC$29),SUMIFS(SHS!CC$7:CC$29,SHS!$B$7:$B$29,Summary!$H$4,SHS!$J$7:$J$29,Summary!$B$51))</f>
        <v>3</v>
      </c>
      <c r="J62" s="57">
        <f>IF(ISBLANK($H$4),SUMIF(SHS!$J$7:$J$29,Summary!$B$51,SHS!CD$7:CD$29),SUMIFS(SHS!CD$7:CD$29,SHS!$B$7:$B$29,Summary!$H$4,SHS!$J$7:$J$29,Summary!$B$51))</f>
        <v>1</v>
      </c>
      <c r="K62" s="61">
        <f t="shared" si="16"/>
        <v>4</v>
      </c>
    </row>
    <row r="63" spans="2:11" x14ac:dyDescent="0.25">
      <c r="B63" s="55" t="s">
        <v>13</v>
      </c>
      <c r="C63" s="56">
        <f>IF(ISBLANK($H$4),SUMIF(ES!$J$8:$J$74,Summary!$B$51,ES!HL$8:HL$74),SUMIFS(ES!HL$8:HL$74,ES!$B$8:$B$74,Summary!$H$4,ES!$J$8:$J$74,Summary!$B$51))</f>
        <v>0</v>
      </c>
      <c r="D63" s="57">
        <f>IF(ISBLANK($H$4),SUMIF(ES!$J$8:$J$74,Summary!$B$51,ES!HM$8:HM$74),SUMIFS(ES!HM$8:HM$74,ES!$B$8:$B$74,Summary!$H$4,ES!$J$8:$J$74,Summary!$B$51))</f>
        <v>0</v>
      </c>
      <c r="E63" s="58">
        <f t="shared" si="14"/>
        <v>0</v>
      </c>
      <c r="F63" s="59">
        <f>IF(ISBLANK($H$4),SUMIF(JHS!$J$7:$J$1510,Summary!$B$51,JHS!EB$7:EB$1510),SUMIFS(JHS!EB$7:EB$1510,JHS!$B$7:$B$1510,Summary!$H$4,JHS!$J$7:$J$1510,Summary!$B$51))</f>
        <v>0</v>
      </c>
      <c r="G63" s="57">
        <f>IF(ISBLANK($H$4),SUMIF(JHS!$J$7:$J$1510,Summary!$B$51,JHS!EC$7:EC$1510),SUMIFS(JHS!EC$7:EC$1510,JHS!$B$7:$B$1510,Summary!$H$4,JHS!$J$7:$J$1510,Summary!$B$51))</f>
        <v>0</v>
      </c>
      <c r="H63" s="60">
        <f t="shared" si="15"/>
        <v>0</v>
      </c>
      <c r="I63" s="56">
        <f>IF(ISBLANK($H$4),SUMIF(SHS!$J$7:$J$29,Summary!$B$51,SHS!CJ$7:CJ$29),SUMIFS(SHS!CJ$7:CJ$29,SHS!$B$7:$B$29,Summary!$H$4,SHS!$J$7:$J$29,Summary!$B$51))</f>
        <v>0</v>
      </c>
      <c r="J63" s="57">
        <f>IF(ISBLANK($H$4),SUMIF(SHS!$J$7:$J$29,Summary!$B$51,SHS!CK$7:CK$29),SUMIFS(SHS!CK$7:CK$29,SHS!$B$7:$B$29,Summary!$H$4,SHS!$J$7:$J$29,Summary!$B$51))</f>
        <v>0</v>
      </c>
      <c r="K63" s="61">
        <f t="shared" si="16"/>
        <v>0</v>
      </c>
    </row>
    <row r="64" spans="2:11" x14ac:dyDescent="0.25">
      <c r="B64" s="55" t="s">
        <v>14</v>
      </c>
      <c r="C64" s="56">
        <f>IF(ISBLANK($H$4),SUMIF(ES!$J$8:$J$74,Summary!$B$51,ES!IE$8:IE$74),SUMIFS(ES!IE$8:IE$74,ES!$B$8:$B$74,Summary!$H$4,ES!$J$8:$J$74,Summary!$B$51))</f>
        <v>0</v>
      </c>
      <c r="D64" s="57">
        <f>IF(ISBLANK($H$4),SUMIF(ES!$J$8:$J$74,Summary!$B$51,ES!IF$8:IF$74),SUMIFS(ES!IF$8:IF$74,ES!$B$8:$B$74,Summary!$H$4,ES!$J$8:$J$74,Summary!$B$51))</f>
        <v>0</v>
      </c>
      <c r="E64" s="58">
        <f t="shared" si="14"/>
        <v>0</v>
      </c>
      <c r="F64" s="59">
        <f>IF(ISBLANK($H$4),SUMIF(JHS!$J$7:$J$1510,Summary!$B$51,JHS!EM$7:EM$1510),SUMIFS(JHS!EM$7:EM$1510,JHS!$B$7:$B$1510,Summary!$H$4,JHS!$J$7:$J$1510,Summary!$B$51))</f>
        <v>0</v>
      </c>
      <c r="G64" s="57">
        <f>IF(ISBLANK($H$4),SUMIF(JHS!$J$7:$J$1510,Summary!$B$51,JHS!EN$7:EN$1510),SUMIFS(JHS!EN$7:EN$1510,JHS!$B$7:$B$1510,Summary!$H$4,JHS!$J$7:$J$1510,Summary!$B$51))</f>
        <v>0</v>
      </c>
      <c r="H64" s="60">
        <f t="shared" si="15"/>
        <v>0</v>
      </c>
      <c r="I64" s="56">
        <f>IF(ISBLANK($H$4),SUMIF(SHS!$J$7:$J$29,Summary!$B$51,SHS!CQ$7:CQ$29),SUMIFS(SHS!CQ$7:CQ$29,SHS!$B$7:$B$29,Summary!$H$4,SHS!$J$7:$J$29,Summary!$B$51))</f>
        <v>0</v>
      </c>
      <c r="J64" s="57">
        <f>IF(ISBLANK($H$4),SUMIF(SHS!$J$7:$J$29,Summary!$B$51,SHS!CR$7:CR$29),SUMIFS(SHS!CR$7:CR$29,SHS!$B$7:$B$29,Summary!$H$4,SHS!$J$7:$J$29,Summary!$B$51))</f>
        <v>0</v>
      </c>
      <c r="K64" s="61">
        <f t="shared" si="16"/>
        <v>0</v>
      </c>
    </row>
    <row r="65" spans="2:11" x14ac:dyDescent="0.25">
      <c r="B65" s="55" t="s">
        <v>15</v>
      </c>
      <c r="C65" s="56">
        <f>IF(ISBLANK($H$4),SUMIF(ES!$J$8:$J$74,Summary!$B$51,ES!IX$8:IX$74),SUMIFS(ES!IX$8:IX$74,ES!$B$8:$B$74,Summary!$H$4,ES!$J$8:$J$74,Summary!$B$51))</f>
        <v>0</v>
      </c>
      <c r="D65" s="57">
        <f>IF(ISBLANK($H$4),SUMIF(ES!$J$8:$J$74,Summary!$B$51,ES!IY$8:IY$74),SUMIFS(ES!IY$8:IY$74,ES!$B$8:$B$74,Summary!$H$4,ES!$J$8:$J$74,Summary!$B$51))</f>
        <v>0</v>
      </c>
      <c r="E65" s="58">
        <f t="shared" si="14"/>
        <v>0</v>
      </c>
      <c r="F65" s="59">
        <f>IF(ISBLANK($H$4),SUMIF(JHS!$J$7:$J$1510,Summary!$B$51,JHS!EX$7:EX$1510),SUMIFS(JHS!EX$7:EX$1510,JHS!$B$7:$B$1510,Summary!$H$4,JHS!$J$7:$J$1510,Summary!$B$51))</f>
        <v>0</v>
      </c>
      <c r="G65" s="57">
        <f>IF(ISBLANK($H$4),SUMIF(JHS!$J$7:$J$1510,Summary!$B$51,JHS!EY$7:EY$1510),SUMIFS(JHS!EY$7:EY$1510,JHS!$B$7:$B$1510,Summary!$H$4,JHS!$J$7:$J$1510,Summary!$B$51))</f>
        <v>0</v>
      </c>
      <c r="H65" s="60">
        <f t="shared" si="15"/>
        <v>0</v>
      </c>
      <c r="I65" s="56">
        <f>IF(ISBLANK($H$4),SUMIF(SHS!$J$7:$J$29,Summary!$B$51,SHS!CX$7:CX$29),SUMIFS(SHS!CX$7:CX$29,SHS!$B$7:$B$29,Summary!$H$4,SHS!$J$7:$J$29,Summary!$B$51))</f>
        <v>0</v>
      </c>
      <c r="J65" s="57">
        <f>IF(ISBLANK($H$4),SUMIF(SHS!$J$7:$J$29,Summary!$B$51,SHS!CY$7:CY$29),SUMIFS(SHS!CY$7:CY$29,SHS!$B$7:$B$29,Summary!$H$4,SHS!$J$7:$J$29,Summary!$B$51))</f>
        <v>0</v>
      </c>
      <c r="K65" s="61">
        <f t="shared" si="16"/>
        <v>0</v>
      </c>
    </row>
    <row r="66" spans="2:11" x14ac:dyDescent="0.25">
      <c r="B66" s="55" t="s">
        <v>16</v>
      </c>
      <c r="C66" s="56">
        <f>IF(ISBLANK($H$4),SUMIF(ES!$J$8:$J$74,Summary!$B$51,ES!JQ$8:JQ$74),SUMIFS(ES!JQ$8:JQ$74,ES!$B$8:$B$74,Summary!$H$4,ES!$J$8:$J$74,Summary!$B$51))</f>
        <v>0</v>
      </c>
      <c r="D66" s="57">
        <f>IF(ISBLANK($H$4),SUMIF(ES!$J$8:$J$74,Summary!$B$51,ES!JR$8:JR$74),SUMIFS(ES!JR$8:JR$74,ES!$B$8:$B$74,Summary!$H$4,ES!$J$8:$J$74,Summary!$B$51))</f>
        <v>0</v>
      </c>
      <c r="E66" s="58">
        <f t="shared" si="14"/>
        <v>0</v>
      </c>
      <c r="F66" s="59">
        <f>IF(ISBLANK($H$4),SUMIF(JHS!$J$7:$J$1510,Summary!$B$51,JHS!FI$7:FI$1510),SUMIFS(JHS!FI$7:FI$1510,JHS!$B$7:$B$1510,Summary!$H$4,JHS!$J$7:$J$1510,Summary!$B$51))</f>
        <v>0</v>
      </c>
      <c r="G66" s="57">
        <f>IF(ISBLANK($H$4),SUMIF(JHS!$J$7:$J$1510,Summary!$B$51,JHS!FJ$7:FJ$1510),SUMIFS(JHS!FJ$7:FJ$1510,JHS!$B$7:$B$1510,Summary!$H$4,JHS!$J$7:$J$1510,Summary!$B$51))</f>
        <v>0</v>
      </c>
      <c r="H66" s="60">
        <f t="shared" si="15"/>
        <v>0</v>
      </c>
      <c r="I66" s="56">
        <f>IF(ISBLANK($H$4),SUMIF(SHS!$J$7:$J$29,Summary!$B$51,SHS!DE$7:DE$29),SUMIFS(SHS!DE$7:DE$29,SHS!$B$7:$B$29,Summary!$H$4,SHS!$J$7:$J$29,Summary!$B$51))</f>
        <v>2</v>
      </c>
      <c r="J66" s="57">
        <f>IF(ISBLANK($H$4),SUMIF(SHS!$J$7:$J$29,Summary!$B$51,SHS!DF$7:DF$29),SUMIFS(SHS!DF$7:DF$29,SHS!$B$7:$B$29,Summary!$H$4,SHS!$J$7:$J$29,Summary!$B$51))</f>
        <v>0</v>
      </c>
      <c r="K66" s="61">
        <f t="shared" si="16"/>
        <v>2</v>
      </c>
    </row>
    <row r="67" spans="2:11" x14ac:dyDescent="0.25">
      <c r="B67" s="55" t="s">
        <v>17</v>
      </c>
      <c r="C67" s="56">
        <f>IF(ISBLANK($H$4),SUMIF(ES!$J$8:$J$74,Summary!$B$51,ES!KJ$8:KJ$74),SUMIFS(ES!KJ$8:KJ$74,ES!$B$8:$B$74,Summary!$H$4,ES!$J$8:$J$74,Summary!$B$51))</f>
        <v>1</v>
      </c>
      <c r="D67" s="57">
        <f>IF(ISBLANK($H$4),SUMIF(ES!$J$8:$J$74,Summary!$B$51,ES!KK$8:KK$74),SUMIFS(ES!KK$8:KK$74,ES!$B$8:$B$74,Summary!$H$4,ES!$J$8:$J$74,Summary!$B$51))</f>
        <v>1</v>
      </c>
      <c r="E67" s="58">
        <f t="shared" si="14"/>
        <v>2</v>
      </c>
      <c r="F67" s="59">
        <f>IF(ISBLANK($H$4),SUMIF(JHS!$J$7:$J$1510,Summary!$B$51,JHS!FT$7:FT$1510),SUMIFS(JHS!FT$7:FT$1510,JHS!$B$7:$B$1510,Summary!$H$4,JHS!$J$7:$J$1510,Summary!$B$51))</f>
        <v>0</v>
      </c>
      <c r="G67" s="57">
        <f>IF(ISBLANK($H$4),SUMIF(JHS!$J$7:$J$1510,Summary!$B$51,JHS!FU$7:FU$1510),SUMIFS(JHS!FU$7:FU$1510,JHS!$B$7:$B$1510,Summary!$H$4,JHS!$J$7:$J$1510,Summary!$B$51))</f>
        <v>0</v>
      </c>
      <c r="H67" s="60">
        <f t="shared" si="15"/>
        <v>0</v>
      </c>
      <c r="I67" s="56">
        <f>IF(ISBLANK($H$4),SUMIF(SHS!$J$7:$J$29,Summary!$B$51,SHS!DL$7:DL$29),SUMIFS(SHS!DL$7:DL$29,SHS!$B$7:$B$29,Summary!$H$4,SHS!$J$7:$J$29,Summary!$B$51))</f>
        <v>0</v>
      </c>
      <c r="J67" s="57">
        <f>IF(ISBLANK($H$4),SUMIF(SHS!$J$7:$J$29,Summary!$B$51,SHS!DM$7:DM$29),SUMIFS(SHS!DM$7:DM$29,SHS!$B$7:$B$29,Summary!$H$4,SHS!$J$7:$J$29,Summary!$B$51))</f>
        <v>0</v>
      </c>
      <c r="K67" s="61">
        <f t="shared" si="16"/>
        <v>0</v>
      </c>
    </row>
    <row r="68" spans="2:11" x14ac:dyDescent="0.25">
      <c r="B68" s="55" t="s">
        <v>18</v>
      </c>
      <c r="C68" s="56">
        <f>IF(ISBLANK($H$4),SUMIF(ES!$J$8:$J$74,Summary!$B$51,ES!LC$8:LC$74),SUMIFS(ES!LC$8:LC$74,ES!$B$8:$B$74,Summary!$H$4,ES!$J$8:$J$74,Summary!$B$51))</f>
        <v>0</v>
      </c>
      <c r="D68" s="57">
        <f>IF(ISBLANK($H$4),SUMIF(ES!$J$8:$J$74,Summary!$B$51,ES!LD$8:LD$74),SUMIFS(ES!LD$8:LD$74,ES!$B$8:$B$74,Summary!$H$4,ES!$J$8:$J$74,Summary!$B$51))</f>
        <v>0</v>
      </c>
      <c r="E68" s="58">
        <f t="shared" si="14"/>
        <v>0</v>
      </c>
      <c r="F68" s="59">
        <f>IF(ISBLANK($H$4),SUMIF(JHS!$J$7:$J$1510,Summary!$B$51,JHS!GE$7:GE$1510),SUMIFS(JHS!GE$7:GE$1510,JHS!$B$7:$B$1510,Summary!$H$4,JHS!$J$7:$J$1510,Summary!$B$51))</f>
        <v>0</v>
      </c>
      <c r="G68" s="57">
        <f>IF(ISBLANK($H$4),SUMIF(JHS!$J$7:$J$1510,Summary!$B$51,JHS!GF$7:GF$1510),SUMIFS(JHS!GF$7:GF$1510,JHS!$B$7:$B$1510,Summary!$H$4,JHS!$J$7:$J$1510,Summary!$B$51))</f>
        <v>0</v>
      </c>
      <c r="H68" s="60">
        <f t="shared" si="15"/>
        <v>0</v>
      </c>
      <c r="I68" s="56">
        <f>IF(ISBLANK($H$4),SUMIF(SHS!$J$7:$J$29,Summary!$B$51,SHS!DS$7:DS$29),SUMIFS(SHS!DS$7:DS$29,SHS!$B$7:$B$29,Summary!$H$4,SHS!$J$7:$J$29,Summary!$B$51))</f>
        <v>0</v>
      </c>
      <c r="J68" s="57">
        <f>IF(ISBLANK($H$4),SUMIF(SHS!$J$7:$J$29,Summary!$B$51,SHS!DT$7:DT$29),SUMIFS(SHS!DT$7:DT$29,SHS!$B$7:$B$29,Summary!$H$4,SHS!$J$7:$J$29,Summary!$B$51))</f>
        <v>0</v>
      </c>
      <c r="K68" s="61">
        <f t="shared" si="16"/>
        <v>0</v>
      </c>
    </row>
    <row r="69" spans="2:11" x14ac:dyDescent="0.25">
      <c r="B69" s="55" t="s">
        <v>19</v>
      </c>
      <c r="C69" s="56">
        <f>IF(ISBLANK($H$4),SUMIF(ES!$J$8:$J$74,Summary!$B$51,ES!LV$8:LV$74),SUMIFS(ES!LV$8:LV$74,ES!$B$8:$B$74,Summary!$H$4,ES!$J$8:$J$74,Summary!$B$51))</f>
        <v>0</v>
      </c>
      <c r="D69" s="57">
        <f>IF(ISBLANK($H$4),SUMIF(ES!$J$8:$J$74,Summary!$B$51,ES!LW$8:LW$74),SUMIFS(ES!LW$8:LW$74,ES!$B$8:$B$74,Summary!$H$4,ES!$J$8:$J$74,Summary!$B$51))</f>
        <v>0</v>
      </c>
      <c r="E69" s="58">
        <f t="shared" si="14"/>
        <v>0</v>
      </c>
      <c r="F69" s="59">
        <f>IF(ISBLANK($H$4),SUMIF(JHS!$J$7:$J$1510,Summary!$B$51,JHS!GP$7:GP$1510),SUMIFS(JHS!GP$7:GP$1510,JHS!$B$7:$B$1510,Summary!$H$4,JHS!$J$7:$J$1510,Summary!$B$51))</f>
        <v>0</v>
      </c>
      <c r="G69" s="57">
        <f>IF(ISBLANK($H$4),SUMIF(JHS!$J$7:$J$1510,Summary!$B$51,JHS!GQ$7:GQ$1510),SUMIFS(JHS!GQ$7:GQ$1510,JHS!$B$7:$B$1510,Summary!$H$4,JHS!$J$7:$J$1510,Summary!$B$51))</f>
        <v>0</v>
      </c>
      <c r="H69" s="60">
        <f t="shared" si="15"/>
        <v>0</v>
      </c>
      <c r="I69" s="56">
        <f>IF(ISBLANK($H$4),SUMIF(SHS!$J$7:$J$29,Summary!$B$51,SHS!DZ$7:DZ$29),SUMIFS(SHS!DZ$7:DZ$29,SHS!$B$7:$B$29,Summary!$H$4,SHS!$J$7:$J$29,Summary!$B$51))</f>
        <v>0</v>
      </c>
      <c r="J69" s="57">
        <f>IF(ISBLANK($H$4),SUMIF(SHS!$J$7:$J$29,Summary!$B$51,SHS!EA$7:EA$29),SUMIFS(SHS!EA$7:EA$29,SHS!$B$7:$B$29,Summary!$H$4,SHS!$J$7:$J$29,Summary!$B$51))</f>
        <v>0</v>
      </c>
      <c r="K69" s="61">
        <f t="shared" si="16"/>
        <v>0</v>
      </c>
    </row>
    <row r="70" spans="2:11" x14ac:dyDescent="0.25">
      <c r="B70" s="55" t="s">
        <v>20</v>
      </c>
      <c r="C70" s="56">
        <f>IF(ISBLANK($H$4),SUMIF(ES!$J$8:$J$74,Summary!$B$51,ES!MO$8:MO$74),SUMIFS(ES!MO$8:MO$74,ES!$B$8:$B$74,Summary!$H$4,ES!$J$8:$J$74,Summary!$B$51))</f>
        <v>0</v>
      </c>
      <c r="D70" s="57">
        <f>IF(ISBLANK($H$4),SUMIF(ES!$J$8:$J$74,Summary!$B$51,ES!MP$8:MP$74),SUMIFS(ES!MP$8:MP$74,ES!$B$8:$B$74,Summary!$H$4,ES!$J$8:$J$74,Summary!$B$51))</f>
        <v>0</v>
      </c>
      <c r="E70" s="58">
        <f t="shared" si="14"/>
        <v>0</v>
      </c>
      <c r="F70" s="59">
        <f>IF(ISBLANK($H$4),SUMIF(JHS!$J$7:$J$1510,Summary!$B$51,JHS!HA$7:HA$1510),SUMIFS(JHS!HA$7:HA$1510,JHS!$B$7:$B$1510,Summary!$H$4,JHS!$J$7:$J$1510,Summary!$B$51))</f>
        <v>0</v>
      </c>
      <c r="G70" s="57">
        <f>IF(ISBLANK($H$4),SUMIF(JHS!$J$7:$J$1510,Summary!$B$51,JHS!HB$7:HB$1510),SUMIFS(JHS!HB$7:HB$1510,JHS!$B$7:$B$1510,Summary!$H$4,JHS!$J$7:$J$1510,Summary!$B$51))</f>
        <v>0</v>
      </c>
      <c r="H70" s="60">
        <f t="shared" si="15"/>
        <v>0</v>
      </c>
      <c r="I70" s="56">
        <f>IF(ISBLANK($H$4),SUMIF(SHS!$J$7:$J$29,Summary!$B$51,SHS!EG$7:EG$29),SUMIFS(SHS!EG$7:EG$29,SHS!$B$7:$B$29,Summary!$H$4,SHS!$J$7:$J$29,Summary!$B$51))</f>
        <v>0</v>
      </c>
      <c r="J70" s="57">
        <f>IF(ISBLANK($H$4),SUMIF(SHS!$J$7:$J$29,Summary!$B$51,SHS!EH$7:EH$29),SUMIFS(SHS!EH$7:EH$29,SHS!$B$7:$B$29,Summary!$H$4,SHS!$J$7:$J$29,Summary!$B$51))</f>
        <v>0</v>
      </c>
      <c r="K70" s="61">
        <f t="shared" si="16"/>
        <v>0</v>
      </c>
    </row>
    <row r="71" spans="2:11" ht="15.75" thickBot="1" x14ac:dyDescent="0.3">
      <c r="B71" s="62" t="s">
        <v>9</v>
      </c>
      <c r="C71" s="70">
        <f>IF(ISBLANK($H$4),SUMIF(ES!$J$8:$J$74,Summary!$B$51,ES!EN$8:EN$74),SUMIFS(ES!EN$8:EN$74,ES!$B$8:$B$74,Summary!$H$4,ES!$J$8:$J$74,Summary!$B$51))</f>
        <v>0</v>
      </c>
      <c r="D71" s="71">
        <f>IF(ISBLANK($H$4),SUMIF(ES!$J$8:$J$74,Summary!$B$51,ES!EO$8:EO$74),SUMIFS(ES!EO$8:EO$74,ES!$B$8:$B$74,Summary!$H$4,ES!$J$8:$J$74,Summary!$B$51))</f>
        <v>1</v>
      </c>
      <c r="E71" s="72">
        <f t="shared" si="14"/>
        <v>1</v>
      </c>
      <c r="F71" s="73">
        <f>IF(ISBLANK($H$4),SUMIF(JHS!$J$7:$J$1510,Summary!$B$51,JHS!CJ$7:CJ$1510),SUMIFS(JHS!CJ$7:CJ$1510,JHS!$B$7:$B$1510,Summary!$H$4,JHS!$J$7:$J$1510,Summary!$B$51))</f>
        <v>0</v>
      </c>
      <c r="G71" s="71">
        <f>IF(ISBLANK($H$4),SUMIF(JHS!$J$7:$J$1510,Summary!$B$51,JHS!CK$7:CK$1510),SUMIFS(JHS!CK$7:CK$1510,JHS!$B$7:$B$1510,Summary!$H$4,JHS!$J$7:$J$1510,Summary!$B$51))</f>
        <v>0</v>
      </c>
      <c r="H71" s="74">
        <f t="shared" si="15"/>
        <v>0</v>
      </c>
      <c r="I71" s="70">
        <f>IF(ISBLANK($H$4),SUMIF(SHS!$J$7:$J$29,Summary!$B$51,SHS!BH$7:BH$29),SUMIFS(SHS!BH$7:BH$29,SHS!$B$7:$B$29,Summary!$H$4,SHS!$J$7:$J$29,Summary!$B$51))</f>
        <v>0</v>
      </c>
      <c r="J71" s="71">
        <f>IF(ISBLANK($H$4),SUMIF(SHS!$J$7:$J$29,Summary!$B$51,SHS!BI$7:BI$29),SUMIFS(SHS!BI$7:BI$29,SHS!$B$7:$B$29,Summary!$H$4,SHS!$J$7:$J$29,Summary!$B$51))</f>
        <v>0</v>
      </c>
      <c r="K71" s="75">
        <f t="shared" si="16"/>
        <v>0</v>
      </c>
    </row>
    <row r="72" spans="2:11" ht="15.75" thickBot="1" x14ac:dyDescent="0.3">
      <c r="B72" s="63" t="s">
        <v>798</v>
      </c>
      <c r="C72" s="64">
        <f t="shared" ref="C72:K72" si="17">SUM(C54:C71)</f>
        <v>4</v>
      </c>
      <c r="D72" s="65">
        <f t="shared" si="17"/>
        <v>2</v>
      </c>
      <c r="E72" s="66">
        <f t="shared" si="17"/>
        <v>6</v>
      </c>
      <c r="F72" s="67">
        <f t="shared" si="17"/>
        <v>16</v>
      </c>
      <c r="G72" s="65">
        <f t="shared" si="17"/>
        <v>7</v>
      </c>
      <c r="H72" s="68">
        <f t="shared" si="17"/>
        <v>23</v>
      </c>
      <c r="I72" s="64">
        <f t="shared" si="17"/>
        <v>5</v>
      </c>
      <c r="J72" s="65">
        <f t="shared" si="17"/>
        <v>1</v>
      </c>
      <c r="K72" s="69">
        <f t="shared" si="17"/>
        <v>6</v>
      </c>
    </row>
  </sheetData>
  <sheetProtection algorithmName="SHA-512" hashValue="MfucE1HIxccWXKKGpti4qlU44bbxhV34m1cdA2EDFHOkapeqDsd4m855leLpS7B6mWYa/WLfMrYtjj1phYJeRQ==" saltValue="5dfHf5ZQF1U5h6NXXEPYkA==" spinCount="100000" sheet="1" objects="1" scenarios="1"/>
  <mergeCells count="13">
    <mergeCell ref="B52:B53"/>
    <mergeCell ref="C52:E52"/>
    <mergeCell ref="F52:H52"/>
    <mergeCell ref="I52:K52"/>
    <mergeCell ref="H4:K4"/>
    <mergeCell ref="B6:B7"/>
    <mergeCell ref="C6:E6"/>
    <mergeCell ref="F6:H6"/>
    <mergeCell ref="I6:K6"/>
    <mergeCell ref="B29:B30"/>
    <mergeCell ref="C29:E29"/>
    <mergeCell ref="F29:H29"/>
    <mergeCell ref="I29:K29"/>
  </mergeCells>
  <dataValidations count="1">
    <dataValidation type="list" allowBlank="1" showInputMessage="1" showErrorMessage="1" sqref="H4" xr:uid="{56895148-B661-4E01-B520-2C405007DB3C}">
      <formula1>$M$4:$M$15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JHS</vt:lpstr>
      <vt:lpstr>SHS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2025-01-28T03:19:49Z</dcterms:created>
  <dcterms:modified xsi:type="dcterms:W3CDTF">2025-01-28T03:23:16Z</dcterms:modified>
</cp:coreProperties>
</file>