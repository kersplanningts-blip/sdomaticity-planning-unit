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AB5BBA1E-B2B6-492B-A312-281A61BA866E}" xr6:coauthVersionLast="47" xr6:coauthVersionMax="47" xr10:uidLastSave="{00000000-0000-0000-0000-000000000000}"/>
  <bookViews>
    <workbookView xWindow="-120" yWindow="-120" windowWidth="29040" windowHeight="15720" activeTab="2" xr2:uid="{738033EE-0C7D-432D-867C-5F2ECD868D0F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ES!$A$9:$AY$63</definedName>
    <definedName name="_xlnm._FilterDatabase" localSheetId="1" hidden="1">JHS!$A$11:$AI$33</definedName>
    <definedName name="_xlnm._FilterDatabase" localSheetId="2" hidden="1">SHS!$A$10:$X$26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3" l="1"/>
  <c r="Y9" i="3"/>
  <c r="X9" i="3"/>
  <c r="W9" i="3"/>
  <c r="V9" i="3"/>
  <c r="U9" i="3"/>
  <c r="T9" i="3"/>
  <c r="S9" i="3"/>
  <c r="R9" i="3"/>
  <c r="Q9" i="3"/>
  <c r="P9" i="3"/>
  <c r="O9" i="3"/>
  <c r="N9" i="3"/>
  <c r="M9" i="3"/>
  <c r="AG33" i="2"/>
  <c r="AF33" i="2"/>
  <c r="AH33" i="2" s="1"/>
  <c r="V33" i="2"/>
  <c r="U33" i="2"/>
  <c r="W33" i="2" s="1"/>
  <c r="AG32" i="2"/>
  <c r="AF32" i="2"/>
  <c r="W32" i="2"/>
  <c r="V32" i="2"/>
  <c r="U32" i="2"/>
  <c r="AG31" i="2"/>
  <c r="AF31" i="2"/>
  <c r="AH31" i="2" s="1"/>
  <c r="V31" i="2"/>
  <c r="U31" i="2"/>
  <c r="W31" i="2" s="1"/>
  <c r="AG30" i="2"/>
  <c r="AF30" i="2"/>
  <c r="V30" i="2"/>
  <c r="U30" i="2"/>
  <c r="W30" i="2" s="1"/>
  <c r="AG29" i="2"/>
  <c r="AF29" i="2"/>
  <c r="V29" i="2"/>
  <c r="U29" i="2"/>
  <c r="W29" i="2" s="1"/>
  <c r="AG28" i="2"/>
  <c r="AF28" i="2"/>
  <c r="V28" i="2"/>
  <c r="U28" i="2"/>
  <c r="W28" i="2" s="1"/>
  <c r="AG27" i="2"/>
  <c r="AF27" i="2"/>
  <c r="AH27" i="2" s="1"/>
  <c r="V27" i="2"/>
  <c r="U27" i="2"/>
  <c r="W27" i="2" s="1"/>
  <c r="AG26" i="2"/>
  <c r="AH26" i="2" s="1"/>
  <c r="AF26" i="2"/>
  <c r="V26" i="2"/>
  <c r="U26" i="2"/>
  <c r="W26" i="2" s="1"/>
  <c r="AG25" i="2"/>
  <c r="AF25" i="2"/>
  <c r="AH25" i="2" s="1"/>
  <c r="V25" i="2"/>
  <c r="U25" i="2"/>
  <c r="W25" i="2" s="1"/>
  <c r="AG24" i="2"/>
  <c r="AF24" i="2"/>
  <c r="W24" i="2"/>
  <c r="V24" i="2"/>
  <c r="U24" i="2"/>
  <c r="AG23" i="2"/>
  <c r="AF23" i="2"/>
  <c r="AH23" i="2" s="1"/>
  <c r="V23" i="2"/>
  <c r="U23" i="2"/>
  <c r="W23" i="2" s="1"/>
  <c r="AG22" i="2"/>
  <c r="AF22" i="2"/>
  <c r="V22" i="2"/>
  <c r="U22" i="2"/>
  <c r="W22" i="2" s="1"/>
  <c r="AG21" i="2"/>
  <c r="AF21" i="2"/>
  <c r="V21" i="2"/>
  <c r="U21" i="2"/>
  <c r="W21" i="2" s="1"/>
  <c r="AG20" i="2"/>
  <c r="AF20" i="2"/>
  <c r="V20" i="2"/>
  <c r="U20" i="2"/>
  <c r="W20" i="2" s="1"/>
  <c r="AG19" i="2"/>
  <c r="AF19" i="2"/>
  <c r="AH19" i="2" s="1"/>
  <c r="V19" i="2"/>
  <c r="U19" i="2"/>
  <c r="W19" i="2" s="1"/>
  <c r="AG18" i="2"/>
  <c r="AH18" i="2" s="1"/>
  <c r="AF18" i="2"/>
  <c r="V18" i="2"/>
  <c r="U18" i="2"/>
  <c r="W18" i="2" s="1"/>
  <c r="AG17" i="2"/>
  <c r="AF17" i="2"/>
  <c r="AH17" i="2" s="1"/>
  <c r="V17" i="2"/>
  <c r="U17" i="2"/>
  <c r="W17" i="2" s="1"/>
  <c r="AG16" i="2"/>
  <c r="AF16" i="2"/>
  <c r="AF10" i="2" s="1"/>
  <c r="W16" i="2"/>
  <c r="V16" i="2"/>
  <c r="U16" i="2"/>
  <c r="AG15" i="2"/>
  <c r="AF15" i="2"/>
  <c r="AH15" i="2" s="1"/>
  <c r="V15" i="2"/>
  <c r="U15" i="2"/>
  <c r="W15" i="2" s="1"/>
  <c r="AG14" i="2"/>
  <c r="AF14" i="2"/>
  <c r="V14" i="2"/>
  <c r="U14" i="2"/>
  <c r="W14" i="2" s="1"/>
  <c r="AG13" i="2"/>
  <c r="AF13" i="2"/>
  <c r="V13" i="2"/>
  <c r="U13" i="2"/>
  <c r="W13" i="2" s="1"/>
  <c r="AG12" i="2"/>
  <c r="AF12" i="2"/>
  <c r="V12" i="2"/>
  <c r="U12" i="2"/>
  <c r="W12" i="2" s="1"/>
  <c r="AE10" i="2"/>
  <c r="AD10" i="2"/>
  <c r="AC10" i="2"/>
  <c r="AB10" i="2"/>
  <c r="AA10" i="2"/>
  <c r="Z10" i="2"/>
  <c r="Y10" i="2"/>
  <c r="X10" i="2"/>
  <c r="T10" i="2"/>
  <c r="S10" i="2"/>
  <c r="R10" i="2"/>
  <c r="Q10" i="2"/>
  <c r="P10" i="2"/>
  <c r="O10" i="2"/>
  <c r="N10" i="2"/>
  <c r="M10" i="2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AH16" i="2" l="1"/>
  <c r="AH32" i="2"/>
  <c r="AH14" i="2"/>
  <c r="AH22" i="2"/>
  <c r="AH30" i="2"/>
  <c r="AG10" i="2"/>
  <c r="AH20" i="2"/>
  <c r="AH28" i="2"/>
  <c r="V10" i="2"/>
  <c r="AH13" i="2"/>
  <c r="AH21" i="2"/>
  <c r="AH29" i="2"/>
  <c r="AH24" i="2"/>
  <c r="W10" i="2"/>
  <c r="AH12" i="2"/>
  <c r="U10" i="2"/>
  <c r="AH10" i="2" l="1"/>
</calcChain>
</file>

<file path=xl/sharedStrings.xml><?xml version="1.0" encoding="utf-8"?>
<sst xmlns="http://schemas.openxmlformats.org/spreadsheetml/2006/main" count="1251" uniqueCount="281">
  <si>
    <t>School Level Data on Number of Teachers by Grade Level (Public Elementary)</t>
  </si>
  <si>
    <t>SY 2019-2020</t>
  </si>
  <si>
    <t>Based on BEIS, generated as of April 14, 2020</t>
  </si>
  <si>
    <r>
      <t xml:space="preserve">* Number of teachers that should be </t>
    </r>
    <r>
      <rPr>
        <b/>
        <i/>
        <u/>
        <sz val="11"/>
        <rFont val="Calibri"/>
        <family val="2"/>
      </rPr>
      <t>counted only once</t>
    </r>
    <r>
      <rPr>
        <sz val="11"/>
        <rFont val="Calibri"/>
        <family val="2"/>
      </rPr>
      <t xml:space="preserve"> If a  teacher is teaching more than one grade, he/she should be counted to the grade level where he/she teaches the most number of hours. 
However, if he/she teaches an equal number of hours per grade level, he/she should be counted to the highest grade level assignment.</t>
    </r>
  </si>
  <si>
    <t>Number of Teachers (counted only once) *</t>
  </si>
  <si>
    <t>Number of Teachers (counted more than once) **</t>
  </si>
  <si>
    <r>
      <t xml:space="preserve">** Number of teachers that </t>
    </r>
    <r>
      <rPr>
        <b/>
        <i/>
        <u/>
        <sz val="11"/>
        <rFont val="Calibri"/>
        <family val="2"/>
      </rPr>
      <t>can be counted more than once</t>
    </r>
    <r>
      <rPr>
        <sz val="11"/>
        <rFont val="Calibri"/>
        <family val="2"/>
      </rPr>
      <t xml:space="preserve"> If a teacher is teaching more than one grade level, he/she can be counted more than once. </t>
    </r>
  </si>
  <si>
    <t>Kindergarten</t>
  </si>
  <si>
    <t>Grade 1</t>
  </si>
  <si>
    <t>Grade 2</t>
  </si>
  <si>
    <t>Grade 3</t>
  </si>
  <si>
    <t>Grade 4</t>
  </si>
  <si>
    <t>Grade 5</t>
  </si>
  <si>
    <t>Grade 6</t>
  </si>
  <si>
    <t>SPED</t>
  </si>
  <si>
    <t>Grand Total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</si>
  <si>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</si>
  <si>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</si>
  <si>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</si>
  <si>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</si>
  <si>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</si>
  <si>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</si>
  <si>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</si>
  <si>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</si>
  <si>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</si>
  <si>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</si>
  <si>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</si>
  <si>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</si>
  <si>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</si>
  <si>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</si>
  <si>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</si>
  <si>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numteach_g1_m</t>
  </si>
  <si>
    <t>numteach_g1_f</t>
  </si>
  <si>
    <t>numteach_g2_m</t>
  </si>
  <si>
    <t>numteach_g2_f</t>
  </si>
  <si>
    <t>numteach_g3_m</t>
  </si>
  <si>
    <t>numteach_g3_f</t>
  </si>
  <si>
    <t>numteach_g4_m</t>
  </si>
  <si>
    <t>numteach_g4_f</t>
  </si>
  <si>
    <t>numteach_g5_m</t>
  </si>
  <si>
    <t>numteach_g5_f</t>
  </si>
  <si>
    <t>numteach_g6_m</t>
  </si>
  <si>
    <t>numteach_g6_f</t>
  </si>
  <si>
    <t>numteach_kinder_m</t>
  </si>
  <si>
    <t>numteach_kinder_f</t>
  </si>
  <si>
    <t>numteach_sped_m</t>
  </si>
  <si>
    <t>numteach_sped_f</t>
  </si>
  <si>
    <t>numteach_morethance_kinder_m</t>
  </si>
  <si>
    <t>numteach_morethance_kinder_f</t>
  </si>
  <si>
    <t>numteach_morethance_g1_m</t>
  </si>
  <si>
    <t>numteach_morethance_g1_f</t>
  </si>
  <si>
    <t>numteach_morethance_g2_m</t>
  </si>
  <si>
    <t>numteach_morethance_g2_f</t>
  </si>
  <si>
    <t>numteach_morethance_g3_m</t>
  </si>
  <si>
    <t>numteach_morethance_g3_f</t>
  </si>
  <si>
    <t>numteach_morethance_g4_m</t>
  </si>
  <si>
    <t>numteach_morethance_g4_f</t>
  </si>
  <si>
    <t>numteach_morethance_g5_m</t>
  </si>
  <si>
    <t>numteach_morethance_g5_f</t>
  </si>
  <si>
    <t>numteach_morethance_g6_m</t>
  </si>
  <si>
    <t>numteach_morethance_g6_f</t>
  </si>
  <si>
    <t>numteach_morethance_sped_m</t>
  </si>
  <si>
    <t>numteach_morethance_sped_f</t>
  </si>
  <si>
    <t>Remarks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</si>
  <si>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</si>
  <si>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</si>
  <si>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</si>
  <si>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</si>
  <si>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</si>
  <si>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</si>
  <si>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</si>
  <si>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</si>
  <si>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</si>
  <si>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Kinder &amp; Grade 1-6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</si>
  <si>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</si>
  <si>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</si>
  <si>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</si>
  <si>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</si>
  <si>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</si>
  <si>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</si>
  <si>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</si>
  <si>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</si>
  <si>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</si>
  <si>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</si>
  <si>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</si>
  <si>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</si>
  <si>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</si>
  <si>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</si>
  <si>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</si>
  <si>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</si>
  <si>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</si>
  <si>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</si>
  <si>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</si>
  <si>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</si>
  <si>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</si>
  <si>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</si>
  <si>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</si>
  <si>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</si>
  <si>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</si>
  <si>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</si>
  <si>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</si>
  <si>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</si>
  <si>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</si>
  <si>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</si>
  <si>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</si>
  <si>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Kinder, Grade 1-6, Grade 7-10</t>
  </si>
  <si>
    <t>ES and JHS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</si>
  <si>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</si>
  <si>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</si>
  <si>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</si>
  <si>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</si>
  <si>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</si>
  <si>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</si>
  <si>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</si>
  <si>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</si>
  <si>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</si>
  <si>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</si>
  <si>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</si>
  <si>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</si>
  <si>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</si>
  <si>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</si>
  <si>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</si>
  <si>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</si>
  <si>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</si>
  <si>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</si>
  <si>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</si>
  <si>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</si>
  <si>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</si>
  <si>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</si>
  <si>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</si>
  <si>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</si>
  <si>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</si>
  <si>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</si>
  <si>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</si>
  <si>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</si>
  <si>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</si>
  <si>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</si>
  <si>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</si>
  <si>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</si>
  <si>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</si>
  <si>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</si>
  <si>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</si>
  <si>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</si>
  <si>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</si>
  <si>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</si>
  <si>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</si>
  <si>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</si>
  <si>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</si>
  <si>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</si>
  <si>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</si>
  <si>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</si>
  <si>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</si>
  <si>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</si>
  <si>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</si>
  <si>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</si>
  <si>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</si>
  <si>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</si>
  <si>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</si>
  <si>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</si>
  <si>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</si>
  <si>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</si>
  <si>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</si>
  <si>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</si>
  <si>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</si>
  <si>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</si>
  <si>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</si>
  <si>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</si>
  <si>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</si>
  <si>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</si>
  <si>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</si>
  <si>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</si>
  <si>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</si>
  <si>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</si>
  <si>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</si>
  <si>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</si>
  <si>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</si>
  <si>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</si>
  <si>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</si>
  <si>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</si>
  <si>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</si>
  <si>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</si>
  <si>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</si>
  <si>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</si>
  <si>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</si>
  <si>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</si>
  <si>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</si>
  <si>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</si>
  <si>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</si>
  <si>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</si>
  <si>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</si>
  <si>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</si>
  <si>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</si>
  <si>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</si>
  <si>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</si>
  <si>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</si>
  <si>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</si>
  <si>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</si>
  <si>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</si>
  <si>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</si>
  <si>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</si>
  <si>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</si>
  <si>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</si>
  <si>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</si>
  <si>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</si>
  <si>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</si>
  <si>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</si>
  <si>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</si>
  <si>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</si>
  <si>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</si>
  <si>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</si>
  <si>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</si>
  <si>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Teachers by Grade Level (Public Junior High School)</t>
  </si>
  <si>
    <r>
      <t xml:space="preserve">** Number of teachers that can be </t>
    </r>
    <r>
      <rPr>
        <b/>
        <i/>
        <u/>
        <sz val="11"/>
        <rFont val="Calibri"/>
        <family val="2"/>
      </rPr>
      <t>counted more than once</t>
    </r>
    <r>
      <rPr>
        <sz val="11"/>
        <rFont val="Calibri"/>
        <family val="2"/>
      </rPr>
      <t xml:space="preserve"> If a teacher is teaching more than one grade level, he/she can be counted more than once. </t>
    </r>
  </si>
  <si>
    <t>Counted only once</t>
  </si>
  <si>
    <t>Counted morethan once</t>
  </si>
  <si>
    <t>Grade 7</t>
  </si>
  <si>
    <t>Grade 8</t>
  </si>
  <si>
    <t>Grade 9</t>
  </si>
  <si>
    <t>Grade 10</t>
  </si>
  <si>
    <t>num_teach_g7_countedonce_male</t>
  </si>
  <si>
    <t>num_teach_g7_countedonce_female</t>
  </si>
  <si>
    <t>num_teach_g8_countedonce_male</t>
  </si>
  <si>
    <t>num_teach_g8_countedonce_female</t>
  </si>
  <si>
    <t>num_teach_g9_countedonce_male</t>
  </si>
  <si>
    <t>num_teach_g9_countedonce_female</t>
  </si>
  <si>
    <t>num_teach_g10_countedonce_male</t>
  </si>
  <si>
    <t>num_teach_g10_countedonce_female</t>
  </si>
  <si>
    <t>num_teach_g7_countedmorethanonce_male</t>
  </si>
  <si>
    <t>num_teach_g7_countedmorethanonce_female</t>
  </si>
  <si>
    <t>num_teach_g8_countedmorethanonce_male</t>
  </si>
  <si>
    <t>num_teach_g8_countedmorethanonce_female</t>
  </si>
  <si>
    <t>num_teach_g9_countedmorethanonce_male</t>
  </si>
  <si>
    <t>num_teach_g9_countedmorethanonce_female</t>
  </si>
  <si>
    <t>num_teach_g10_countedmorethanonce_male</t>
  </si>
  <si>
    <t>num_teach_g10_countedmorethanonce_female</t>
  </si>
  <si>
    <t>Ramarks</t>
  </si>
  <si>
    <t>Mati National Comprehensive High School</t>
  </si>
  <si>
    <t>Mangga</t>
  </si>
  <si>
    <t>Grade 7-10 &amp; Grade 11-12</t>
  </si>
  <si>
    <t>JHS with SHS</t>
  </si>
  <si>
    <t>Mati SAT</t>
  </si>
  <si>
    <t>Garcia Avenue</t>
  </si>
  <si>
    <t>City of Mati National High School</t>
  </si>
  <si>
    <t>Brgy. Dahican, Mati City</t>
  </si>
  <si>
    <t>Grade 7-10</t>
  </si>
  <si>
    <t>Purely JHS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</si>
  <si>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</si>
  <si>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</si>
  <si>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</si>
  <si>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</si>
  <si>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</si>
  <si>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</si>
  <si>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</si>
  <si>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</si>
  <si>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</si>
  <si>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</si>
  <si>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</si>
  <si>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</si>
  <si>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</si>
  <si>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</si>
  <si>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</si>
  <si>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</si>
  <si>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</si>
  <si>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</si>
  <si>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</si>
  <si>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</si>
  <si>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</si>
  <si>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</si>
  <si>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</si>
  <si>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</si>
  <si>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by Grade level (Public Senior High School)</t>
  </si>
  <si>
    <t>Grade 11</t>
  </si>
  <si>
    <t>Grade 12</t>
  </si>
  <si>
    <t>teach_grade_sex_count_once_m_g11</t>
  </si>
  <si>
    <t>teach_grade_sex_count_once_f_g11</t>
  </si>
  <si>
    <t>teach_grade_sex_count_once_m_g12</t>
  </si>
  <si>
    <t>teach_grade_sex_count_once_f_g12</t>
  </si>
  <si>
    <t>teach_grade_sex_count_more_once_m_g11</t>
  </si>
  <si>
    <t>teach_grade_sex_count_more_once_f_g11</t>
  </si>
  <si>
    <t>teach_grade_sex_count_more_once_m_g12</t>
  </si>
  <si>
    <t>teach_grade_sex_count_more_once_f_g12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</si>
</sst>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i/>
      <u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1" applyFont="1"/>
    <xf numFmtId="0" fontId="1" fillId="0" borderId="0" xfId="1"/>
    <xf numFmtId="165" fontId="0" fillId="0" borderId="0" xfId="2" applyNumberFormat="1" applyFont="1"/>
    <xf numFmtId="0" fontId="3" fillId="0" borderId="0" xfId="1" applyFont="1" applyAlignment="1">
      <alignment horizontal="left" vertical="center" wrapText="1"/>
    </xf>
    <xf numFmtId="0" fontId="5" fillId="0" borderId="1" xfId="1" applyFont="1" applyBorder="1" applyAlignment="1">
      <alignment horizontal="center" wrapText="1"/>
    </xf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" xfId="1" applyFont="1" applyBorder="1"/>
    <xf numFmtId="0" fontId="3" fillId="0" borderId="0" xfId="1" applyFont="1" applyAlignment="1">
      <alignment horizontal="left" vertical="center" wrapText="1"/>
    </xf>
    <xf numFmtId="0" fontId="2" fillId="2" borderId="0" xfId="1" applyFont="1" applyFill="1"/>
    <xf numFmtId="0" fontId="2" fillId="3" borderId="0" xfId="1" applyFont="1" applyFill="1"/>
    <xf numFmtId="0" fontId="5" fillId="0" borderId="0" xfId="1" applyFont="1"/>
    <xf numFmtId="0" fontId="3" fillId="0" borderId="0" xfId="1" applyFont="1"/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 vertical="top" wrapText="1"/>
    </xf>
    <xf numFmtId="165" fontId="2" fillId="0" borderId="1" xfId="2" applyNumberFormat="1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</cellXfs>
  <cellStyles count="3">
    <cellStyle name="Comma 2" xfId="2" xr:uid="{ED65A935-2883-4F1F-9306-B57AA1F8961C}"/>
    <cellStyle name="Normal" xfId="0" builtinId="0"/>
    <cellStyle name="Normal 2" xfId="1" xr:uid="{96DBDDF3-6334-45A7-B55D-885416579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9D0B-DCA9-4369-9237-2D2E41A9BEA7}">
  <dimension ref="A1:AY63"/>
  <sheetViews>
    <sheetView zoomScale="85" zoomScaleNormal="85" workbookViewId="0">
      <pane xSplit="4" ySplit="9" topLeftCell="E44" activePane="bottomRight" state="frozen"/>
      <selection activeCell="A10" sqref="A10:XFD60"/>
      <selection pane="topRight" activeCell="A10" sqref="A10:XFD60"/>
      <selection pane="bottomLeft" activeCell="A10" sqref="A10:XFD60"/>
      <selection pane="bottomRight" activeCell="B64" sqref="A64:XFD233"/>
    </sheetView>
  </sheetViews>
  <sheetFormatPr defaultRowHeight="15"/>
  <cols>
    <col min="1" max="1" width="9.140625" style="2"/>
    <col min="2" max="2" width="27.140625" style="2" bestFit="1" customWidth="1"/>
    <col min="3" max="16384" width="9.140625" style="2"/>
  </cols>
  <sheetData>
    <row r="1" spans="1:51">
      <c r="A1" s="1" t="s">
        <v>0</v>
      </c>
    </row>
    <row r="2" spans="1:51">
      <c r="A2" s="1" t="s">
        <v>1</v>
      </c>
      <c r="L2" s="3"/>
    </row>
    <row r="3" spans="1:51">
      <c r="A3" s="1" t="s">
        <v>2</v>
      </c>
      <c r="L3" s="3"/>
    </row>
    <row r="4" spans="1:5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51" ht="14.4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 t="s">
        <v>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 t="s">
        <v>5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1">
      <c r="A6" s="4" t="s">
        <v>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6" t="s">
        <v>7</v>
      </c>
      <c r="N6" s="6"/>
      <c r="O6" s="6" t="s">
        <v>8</v>
      </c>
      <c r="P6" s="6"/>
      <c r="Q6" s="6" t="s">
        <v>9</v>
      </c>
      <c r="R6" s="6"/>
      <c r="S6" s="6" t="s">
        <v>10</v>
      </c>
      <c r="T6" s="6"/>
      <c r="U6" s="6" t="s">
        <v>11</v>
      </c>
      <c r="V6" s="6"/>
      <c r="W6" s="6" t="s">
        <v>12</v>
      </c>
      <c r="X6" s="6"/>
      <c r="Y6" s="6" t="s">
        <v>13</v>
      </c>
      <c r="Z6" s="6"/>
      <c r="AA6" s="6" t="s">
        <v>14</v>
      </c>
      <c r="AB6" s="6"/>
      <c r="AC6" s="6" t="s">
        <v>15</v>
      </c>
      <c r="AD6" s="6"/>
      <c r="AE6" s="6"/>
      <c r="AF6" s="6" t="s">
        <v>7</v>
      </c>
      <c r="AG6" s="6"/>
      <c r="AH6" s="6" t="s">
        <v>8</v>
      </c>
      <c r="AI6" s="6"/>
      <c r="AJ6" s="6" t="s">
        <v>9</v>
      </c>
      <c r="AK6" s="6"/>
      <c r="AL6" s="6" t="s">
        <v>10</v>
      </c>
      <c r="AM6" s="6"/>
      <c r="AN6" s="6" t="s">
        <v>11</v>
      </c>
      <c r="AO6" s="6"/>
      <c r="AP6" s="6" t="s">
        <v>12</v>
      </c>
      <c r="AQ6" s="6"/>
      <c r="AR6" s="6" t="s">
        <v>13</v>
      </c>
      <c r="AS6" s="6"/>
      <c r="AT6" s="6" t="s">
        <v>14</v>
      </c>
      <c r="AU6" s="6"/>
      <c r="AV6" s="6" t="s">
        <v>15</v>
      </c>
      <c r="AW6" s="6"/>
      <c r="AX6" s="6"/>
    </row>
    <row r="7" spans="1:5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7" t="s">
        <v>16</v>
      </c>
      <c r="N7" s="7" t="s">
        <v>17</v>
      </c>
      <c r="O7" s="7" t="s">
        <v>16</v>
      </c>
      <c r="P7" s="7" t="s">
        <v>17</v>
      </c>
      <c r="Q7" s="7" t="s">
        <v>16</v>
      </c>
      <c r="R7" s="7" t="s">
        <v>17</v>
      </c>
      <c r="S7" s="7" t="s">
        <v>16</v>
      </c>
      <c r="T7" s="7" t="s">
        <v>17</v>
      </c>
      <c r="U7" s="7" t="s">
        <v>16</v>
      </c>
      <c r="V7" s="7" t="s">
        <v>17</v>
      </c>
      <c r="W7" s="7" t="s">
        <v>16</v>
      </c>
      <c r="X7" s="7" t="s">
        <v>17</v>
      </c>
      <c r="Y7" s="7" t="s">
        <v>16</v>
      </c>
      <c r="Z7" s="7" t="s">
        <v>17</v>
      </c>
      <c r="AA7" s="7" t="s">
        <v>16</v>
      </c>
      <c r="AB7" s="7" t="s">
        <v>17</v>
      </c>
      <c r="AC7" s="7" t="s">
        <v>16</v>
      </c>
      <c r="AD7" s="7" t="s">
        <v>17</v>
      </c>
      <c r="AE7" s="8" t="s">
        <v>18</v>
      </c>
      <c r="AF7" s="7" t="s">
        <v>16</v>
      </c>
      <c r="AG7" s="7" t="s">
        <v>17</v>
      </c>
      <c r="AH7" s="7" t="s">
        <v>16</v>
      </c>
      <c r="AI7" s="7" t="s">
        <v>17</v>
      </c>
      <c r="AJ7" s="7" t="s">
        <v>16</v>
      </c>
      <c r="AK7" s="7" t="s">
        <v>17</v>
      </c>
      <c r="AL7" s="7" t="s">
        <v>16</v>
      </c>
      <c r="AM7" s="7" t="s">
        <v>17</v>
      </c>
      <c r="AN7" s="7" t="s">
        <v>16</v>
      </c>
      <c r="AO7" s="7" t="s">
        <v>17</v>
      </c>
      <c r="AP7" s="7" t="s">
        <v>16</v>
      </c>
      <c r="AQ7" s="7" t="s">
        <v>17</v>
      </c>
      <c r="AR7" s="7" t="s">
        <v>16</v>
      </c>
      <c r="AS7" s="7" t="s">
        <v>17</v>
      </c>
      <c r="AT7" s="7" t="s">
        <v>16</v>
      </c>
      <c r="AU7" s="7" t="s">
        <v>17</v>
      </c>
      <c r="AV7" s="7" t="s">
        <v>16</v>
      </c>
      <c r="AW7" s="7" t="s">
        <v>17</v>
      </c>
      <c r="AX7" s="8" t="s">
        <v>18</v>
      </c>
    </row>
    <row r="8" spans="1:5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7">
        <f>SUM(M10:M63)</f>
        <v>3</v>
      </c>
      <c r="N8" s="7">
        <f>SUM(N10:N63)</f>
        <v>107</v>
      </c>
      <c r="O8" s="7">
        <f>SUM(O10:O63)</f>
        <v>103</v>
      </c>
      <c r="P8" s="7">
        <f>SUM(P10:P63)</f>
        <v>2</v>
      </c>
      <c r="Q8" s="7">
        <f>SUM(Q10:Q63)</f>
        <v>96</v>
      </c>
      <c r="R8" s="7">
        <f>SUM(R10:R63)</f>
        <v>6</v>
      </c>
      <c r="S8" s="7">
        <f>SUM(S10:S63)</f>
        <v>95</v>
      </c>
      <c r="T8" s="7">
        <f>SUM(T10:T63)</f>
        <v>19</v>
      </c>
      <c r="U8" s="7">
        <f>SUM(U10:U63)</f>
        <v>90</v>
      </c>
      <c r="V8" s="7">
        <f>SUM(V10:V63)</f>
        <v>29</v>
      </c>
      <c r="W8" s="7">
        <f>SUM(W10:W63)</f>
        <v>25</v>
      </c>
      <c r="X8" s="7">
        <f>SUM(X10:X63)</f>
        <v>101</v>
      </c>
      <c r="Y8" s="7">
        <f>SUM(Y10:Y63)</f>
        <v>5</v>
      </c>
      <c r="Z8" s="7">
        <f>SUM(Z10:Z63)</f>
        <v>61</v>
      </c>
      <c r="AA8" s="7">
        <f>SUM(AA10:AA63)</f>
        <v>2</v>
      </c>
      <c r="AB8" s="7">
        <f>SUM(AB10:AB63)</f>
        <v>12</v>
      </c>
      <c r="AC8" s="7">
        <f>SUM(AC10:AC63)</f>
        <v>419</v>
      </c>
      <c r="AD8" s="7">
        <f>SUM(AD10:AD63)</f>
        <v>337</v>
      </c>
      <c r="AE8" s="7">
        <f>SUM(AE10:AE63)</f>
        <v>756</v>
      </c>
      <c r="AF8" s="7">
        <f>SUM(AF10:AF63)</f>
        <v>3</v>
      </c>
      <c r="AG8" s="7">
        <f>SUM(AG10:AG63)</f>
        <v>10</v>
      </c>
      <c r="AH8" s="7">
        <f>SUM(AH10:AH63)</f>
        <v>1</v>
      </c>
      <c r="AI8" s="7">
        <f>SUM(AI10:AI63)</f>
        <v>19</v>
      </c>
      <c r="AJ8" s="7">
        <f>SUM(AJ10:AJ63)</f>
        <v>2</v>
      </c>
      <c r="AK8" s="7">
        <f>SUM(AK10:AK63)</f>
        <v>20</v>
      </c>
      <c r="AL8" s="7">
        <f>SUM(AL10:AL63)</f>
        <v>5</v>
      </c>
      <c r="AM8" s="7">
        <f>SUM(AM10:AM63)</f>
        <v>25</v>
      </c>
      <c r="AN8" s="7">
        <f>SUM(AN10:AN63)</f>
        <v>19</v>
      </c>
      <c r="AO8" s="7">
        <f>SUM(AO10:AO63)</f>
        <v>52</v>
      </c>
      <c r="AP8" s="7">
        <f>SUM(AP10:AP63)</f>
        <v>21</v>
      </c>
      <c r="AQ8" s="7">
        <f>SUM(AQ10:AQ63)</f>
        <v>61</v>
      </c>
      <c r="AR8" s="7">
        <f>SUM(AR10:AR63)</f>
        <v>22</v>
      </c>
      <c r="AS8" s="7">
        <f>SUM(AS10:AS63)</f>
        <v>64</v>
      </c>
      <c r="AT8" s="7">
        <f>SUM(AT10:AT63)</f>
        <v>2</v>
      </c>
      <c r="AU8" s="7">
        <f>SUM(AU10:AU63)</f>
        <v>2</v>
      </c>
      <c r="AV8" s="7">
        <f>SUM(AV10:AV63)</f>
        <v>75</v>
      </c>
      <c r="AW8" s="7">
        <f>SUM(AW10:AW63)</f>
        <v>253</v>
      </c>
      <c r="AX8" s="7">
        <f>SUM(AX10:AX63)</f>
        <v>328</v>
      </c>
    </row>
    <row r="9" spans="1:51">
      <c r="A9" s="10" t="s">
        <v>19</v>
      </c>
      <c r="B9" s="10" t="s">
        <v>20</v>
      </c>
      <c r="C9" s="10" t="s">
        <v>21</v>
      </c>
      <c r="D9" s="10" t="s">
        <v>22</v>
      </c>
      <c r="E9" s="10" t="s">
        <v>23</v>
      </c>
      <c r="F9" s="10" t="s">
        <v>24</v>
      </c>
      <c r="G9" s="10" t="s">
        <v>25</v>
      </c>
      <c r="H9" s="10" t="s">
        <v>26</v>
      </c>
      <c r="I9" s="10" t="s">
        <v>27</v>
      </c>
      <c r="J9" s="10" t="s">
        <v>28</v>
      </c>
      <c r="K9" s="10" t="s">
        <v>29</v>
      </c>
      <c r="L9" s="11" t="s">
        <v>30</v>
      </c>
      <c r="M9" s="8" t="s">
        <v>31</v>
      </c>
      <c r="N9" s="8" t="s">
        <v>32</v>
      </c>
      <c r="O9" s="8" t="s">
        <v>33</v>
      </c>
      <c r="P9" s="8" t="s">
        <v>34</v>
      </c>
      <c r="Q9" s="8" t="s">
        <v>35</v>
      </c>
      <c r="R9" s="8" t="s">
        <v>36</v>
      </c>
      <c r="S9" s="8" t="s">
        <v>37</v>
      </c>
      <c r="T9" s="8" t="s">
        <v>38</v>
      </c>
      <c r="U9" s="8" t="s">
        <v>39</v>
      </c>
      <c r="V9" s="8" t="s">
        <v>40</v>
      </c>
      <c r="W9" s="8" t="s">
        <v>41</v>
      </c>
      <c r="X9" s="8" t="s">
        <v>42</v>
      </c>
      <c r="Y9" s="8" t="s">
        <v>43</v>
      </c>
      <c r="Z9" s="8" t="s">
        <v>44</v>
      </c>
      <c r="AA9" s="8" t="s">
        <v>45</v>
      </c>
      <c r="AB9" s="8" t="s">
        <v>46</v>
      </c>
      <c r="AC9" s="7" t="s">
        <v>16</v>
      </c>
      <c r="AD9" s="7" t="s">
        <v>17</v>
      </c>
      <c r="AE9" s="8" t="s">
        <v>18</v>
      </c>
      <c r="AF9" s="12" t="s">
        <v>47</v>
      </c>
      <c r="AG9" s="12" t="s">
        <v>48</v>
      </c>
      <c r="AH9" s="12" t="s">
        <v>49</v>
      </c>
      <c r="AI9" s="12" t="s">
        <v>50</v>
      </c>
      <c r="AJ9" s="12" t="s">
        <v>51</v>
      </c>
      <c r="AK9" s="12" t="s">
        <v>52</v>
      </c>
      <c r="AL9" s="12" t="s">
        <v>53</v>
      </c>
      <c r="AM9" s="12" t="s">
        <v>54</v>
      </c>
      <c r="AN9" s="12" t="s">
        <v>55</v>
      </c>
      <c r="AO9" s="12" t="s">
        <v>56</v>
      </c>
      <c r="AP9" s="12" t="s">
        <v>57</v>
      </c>
      <c r="AQ9" s="12" t="s">
        <v>58</v>
      </c>
      <c r="AR9" s="12" t="s">
        <v>59</v>
      </c>
      <c r="AS9" s="12" t="s">
        <v>60</v>
      </c>
      <c r="AT9" s="12" t="s">
        <v>61</v>
      </c>
      <c r="AU9" s="12" t="s">
        <v>62</v>
      </c>
      <c r="AV9" s="7" t="s">
        <v>16</v>
      </c>
      <c r="AW9" s="7" t="s">
        <v>17</v>
      </c>
      <c r="AX9" s="8" t="s">
        <v>18</v>
      </c>
      <c r="AY9" s="12" t="s">
        <v>63</v>
      </c>
    </row>
    <row r="10" spans="1:51">
      <c r="A10" s="2" t="s">
        <v>64</v>
      </c>
      <c r="B10" s="2" t="s">
        <v>65</v>
      </c>
      <c r="C10" s="2" t="s">
        <v>66</v>
      </c>
      <c r="D10" s="2">
        <v>129374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72</v>
      </c>
      <c r="K10" s="2" t="s">
        <v>73</v>
      </c>
      <c r="L10" s="13" t="s">
        <v>74</v>
      </c>
      <c r="M10" s="2">
        <v>0</v>
      </c>
      <c r="N10" s="2">
        <v>2</v>
      </c>
      <c r="O10" s="2">
        <v>2</v>
      </c>
      <c r="P10" s="2">
        <v>0</v>
      </c>
      <c r="Q10" s="2">
        <v>3</v>
      </c>
      <c r="R10" s="2">
        <v>0</v>
      </c>
      <c r="S10" s="2">
        <v>3</v>
      </c>
      <c r="T10" s="2">
        <v>1</v>
      </c>
      <c r="U10" s="2">
        <v>2</v>
      </c>
      <c r="V10" s="2">
        <v>1</v>
      </c>
      <c r="W10" s="2">
        <v>1</v>
      </c>
      <c r="X10" s="2">
        <v>2</v>
      </c>
      <c r="Y10" s="2">
        <v>0</v>
      </c>
      <c r="Z10" s="2">
        <v>1</v>
      </c>
      <c r="AA10" s="2">
        <v>0</v>
      </c>
      <c r="AB10" s="2">
        <v>0</v>
      </c>
      <c r="AC10" s="2">
        <v>11</v>
      </c>
      <c r="AD10" s="2">
        <v>7</v>
      </c>
      <c r="AE10" s="2">
        <v>18</v>
      </c>
      <c r="AF10" s="2">
        <v>0</v>
      </c>
      <c r="AG10" s="2">
        <v>1</v>
      </c>
      <c r="AH10" s="2">
        <v>0</v>
      </c>
      <c r="AI10" s="2">
        <v>2</v>
      </c>
      <c r="AJ10" s="2">
        <v>0</v>
      </c>
      <c r="AK10" s="2">
        <v>2</v>
      </c>
      <c r="AL10" s="2">
        <v>0</v>
      </c>
      <c r="AM10" s="2">
        <v>3</v>
      </c>
      <c r="AN10" s="2">
        <v>1</v>
      </c>
      <c r="AO10" s="2">
        <v>3</v>
      </c>
      <c r="AP10" s="2">
        <v>1</v>
      </c>
      <c r="AQ10" s="2">
        <v>3</v>
      </c>
      <c r="AR10" s="2">
        <v>1</v>
      </c>
      <c r="AS10" s="2">
        <v>3</v>
      </c>
      <c r="AT10" s="2">
        <v>0</v>
      </c>
      <c r="AU10" s="2">
        <v>0</v>
      </c>
      <c r="AV10" s="2">
        <v>3</v>
      </c>
      <c r="AW10" s="2">
        <v>17</v>
      </c>
      <c r="AX10" s="2">
        <v>20</v>
      </c>
    </row>
    <row r="11" spans="1:51">
      <c r="A11" s="2" t="s">
        <v>64</v>
      </c>
      <c r="B11" s="2" t="s">
        <v>65</v>
      </c>
      <c r="C11" s="2" t="s">
        <v>66</v>
      </c>
      <c r="D11" s="2">
        <v>129375</v>
      </c>
      <c r="E11" s="2" t="s">
        <v>75</v>
      </c>
      <c r="F11" s="2" t="s">
        <v>76</v>
      </c>
      <c r="G11" s="2" t="s">
        <v>69</v>
      </c>
      <c r="H11" s="2" t="s">
        <v>70</v>
      </c>
      <c r="I11" s="2" t="s">
        <v>71</v>
      </c>
      <c r="J11" s="2" t="s">
        <v>72</v>
      </c>
      <c r="K11" s="2" t="s">
        <v>73</v>
      </c>
      <c r="L11" s="13" t="s">
        <v>74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1</v>
      </c>
      <c r="T11" s="2">
        <v>0</v>
      </c>
      <c r="U11" s="2">
        <v>0</v>
      </c>
      <c r="V11" s="2">
        <v>1</v>
      </c>
      <c r="W11" s="2">
        <v>1</v>
      </c>
      <c r="X11" s="2">
        <v>2</v>
      </c>
      <c r="Y11" s="2">
        <v>0</v>
      </c>
      <c r="Z11" s="2">
        <v>1</v>
      </c>
      <c r="AA11" s="2">
        <v>0</v>
      </c>
      <c r="AB11" s="2">
        <v>0</v>
      </c>
      <c r="AC11" s="2">
        <v>4</v>
      </c>
      <c r="AD11" s="2">
        <v>5</v>
      </c>
      <c r="AE11" s="2">
        <v>9</v>
      </c>
      <c r="AF11" s="2">
        <v>0</v>
      </c>
      <c r="AG11" s="2">
        <v>1</v>
      </c>
      <c r="AH11" s="2">
        <v>0</v>
      </c>
      <c r="AI11" s="2">
        <v>2</v>
      </c>
      <c r="AJ11" s="2">
        <v>0</v>
      </c>
      <c r="AK11" s="2">
        <v>2</v>
      </c>
      <c r="AL11" s="2">
        <v>1</v>
      </c>
      <c r="AM11" s="2">
        <v>2</v>
      </c>
      <c r="AN11" s="2">
        <v>2</v>
      </c>
      <c r="AO11" s="2">
        <v>3</v>
      </c>
      <c r="AP11" s="2">
        <v>2</v>
      </c>
      <c r="AQ11" s="2">
        <v>3</v>
      </c>
      <c r="AR11" s="2">
        <v>2</v>
      </c>
      <c r="AS11" s="2">
        <v>3</v>
      </c>
      <c r="AT11" s="2">
        <v>0</v>
      </c>
      <c r="AU11" s="2">
        <v>0</v>
      </c>
      <c r="AV11" s="2">
        <v>7</v>
      </c>
      <c r="AW11" s="2">
        <v>16</v>
      </c>
      <c r="AX11" s="2">
        <v>23</v>
      </c>
    </row>
    <row r="12" spans="1:51">
      <c r="A12" s="2" t="s">
        <v>64</v>
      </c>
      <c r="B12" s="2" t="s">
        <v>65</v>
      </c>
      <c r="C12" s="2" t="s">
        <v>66</v>
      </c>
      <c r="D12" s="2">
        <v>129376</v>
      </c>
      <c r="E12" s="2" t="s">
        <v>77</v>
      </c>
      <c r="F12" s="2" t="s">
        <v>78</v>
      </c>
      <c r="G12" s="2" t="s">
        <v>69</v>
      </c>
      <c r="H12" s="2" t="s">
        <v>70</v>
      </c>
      <c r="I12" s="2" t="s">
        <v>71</v>
      </c>
      <c r="J12" s="2" t="s">
        <v>79</v>
      </c>
      <c r="K12" s="2" t="s">
        <v>73</v>
      </c>
      <c r="L12" s="13" t="s">
        <v>74</v>
      </c>
      <c r="M12" s="2">
        <v>0</v>
      </c>
      <c r="N12" s="2">
        <v>2</v>
      </c>
      <c r="O12" s="2">
        <v>1</v>
      </c>
      <c r="P12" s="2">
        <v>0</v>
      </c>
      <c r="Q12" s="2">
        <v>1</v>
      </c>
      <c r="R12" s="2">
        <v>0</v>
      </c>
      <c r="S12" s="2">
        <v>1</v>
      </c>
      <c r="T12" s="2">
        <v>1</v>
      </c>
      <c r="U12" s="2">
        <v>1</v>
      </c>
      <c r="V12" s="2">
        <v>0</v>
      </c>
      <c r="W12" s="2">
        <v>0</v>
      </c>
      <c r="X12" s="2">
        <v>2</v>
      </c>
      <c r="Y12" s="2">
        <v>0</v>
      </c>
      <c r="Z12" s="2">
        <v>1</v>
      </c>
      <c r="AA12" s="2">
        <v>0</v>
      </c>
      <c r="AB12" s="2">
        <v>0</v>
      </c>
      <c r="AC12" s="2">
        <v>4</v>
      </c>
      <c r="AD12" s="2">
        <v>6</v>
      </c>
      <c r="AE12" s="2">
        <v>10</v>
      </c>
      <c r="AF12" s="2">
        <v>0</v>
      </c>
      <c r="AG12" s="2">
        <v>1</v>
      </c>
      <c r="AH12" s="2">
        <v>0</v>
      </c>
      <c r="AI12" s="2">
        <v>2</v>
      </c>
      <c r="AJ12" s="2">
        <v>0</v>
      </c>
      <c r="AK12" s="2">
        <v>1</v>
      </c>
      <c r="AL12" s="2">
        <v>0</v>
      </c>
      <c r="AM12" s="2">
        <v>1</v>
      </c>
      <c r="AN12" s="2">
        <v>1</v>
      </c>
      <c r="AO12" s="2">
        <v>2</v>
      </c>
      <c r="AP12" s="2">
        <v>1</v>
      </c>
      <c r="AQ12" s="2">
        <v>3</v>
      </c>
      <c r="AR12" s="2">
        <v>1</v>
      </c>
      <c r="AS12" s="2">
        <v>3</v>
      </c>
      <c r="AT12" s="2">
        <v>0</v>
      </c>
      <c r="AU12" s="2">
        <v>0</v>
      </c>
      <c r="AV12" s="2">
        <v>3</v>
      </c>
      <c r="AW12" s="2">
        <v>13</v>
      </c>
      <c r="AX12" s="2">
        <v>16</v>
      </c>
    </row>
    <row r="13" spans="1:51">
      <c r="A13" s="2" t="s">
        <v>64</v>
      </c>
      <c r="B13" s="2" t="s">
        <v>65</v>
      </c>
      <c r="C13" s="2" t="s">
        <v>66</v>
      </c>
      <c r="D13" s="2">
        <v>129377</v>
      </c>
      <c r="E13" s="2" t="s">
        <v>80</v>
      </c>
      <c r="F13" s="2" t="s">
        <v>81</v>
      </c>
      <c r="G13" s="2" t="s">
        <v>69</v>
      </c>
      <c r="H13" s="2" t="s">
        <v>70</v>
      </c>
      <c r="I13" s="2" t="s">
        <v>71</v>
      </c>
      <c r="J13" s="2" t="s">
        <v>82</v>
      </c>
      <c r="K13" s="2" t="s">
        <v>73</v>
      </c>
      <c r="L13" s="13" t="s">
        <v>74</v>
      </c>
      <c r="M13" s="2">
        <v>0</v>
      </c>
      <c r="N13" s="2">
        <v>2</v>
      </c>
      <c r="O13" s="2">
        <v>2</v>
      </c>
      <c r="P13" s="2">
        <v>0</v>
      </c>
      <c r="Q13" s="2">
        <v>1</v>
      </c>
      <c r="R13" s="2">
        <v>1</v>
      </c>
      <c r="S13" s="2">
        <v>2</v>
      </c>
      <c r="T13" s="2">
        <v>1</v>
      </c>
      <c r="U13" s="2">
        <v>3</v>
      </c>
      <c r="V13" s="2">
        <v>0</v>
      </c>
      <c r="W13" s="2">
        <v>2</v>
      </c>
      <c r="X13" s="2">
        <v>2</v>
      </c>
      <c r="Y13" s="2">
        <v>0</v>
      </c>
      <c r="Z13" s="2">
        <v>1</v>
      </c>
      <c r="AA13" s="2">
        <v>0</v>
      </c>
      <c r="AB13" s="2">
        <v>0</v>
      </c>
      <c r="AC13" s="2">
        <v>10</v>
      </c>
      <c r="AD13" s="2">
        <v>7</v>
      </c>
      <c r="AE13" s="2">
        <v>17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</row>
    <row r="14" spans="1:51">
      <c r="A14" s="2" t="s">
        <v>64</v>
      </c>
      <c r="B14" s="2" t="s">
        <v>65</v>
      </c>
      <c r="C14" s="2" t="s">
        <v>66</v>
      </c>
      <c r="D14" s="2">
        <v>129380</v>
      </c>
      <c r="E14" s="2" t="s">
        <v>83</v>
      </c>
      <c r="F14" s="2" t="s">
        <v>84</v>
      </c>
      <c r="G14" s="2" t="s">
        <v>69</v>
      </c>
      <c r="H14" s="2" t="s">
        <v>70</v>
      </c>
      <c r="I14" s="2" t="s">
        <v>71</v>
      </c>
      <c r="J14" s="2" t="s">
        <v>79</v>
      </c>
      <c r="K14" s="2" t="s">
        <v>73</v>
      </c>
      <c r="L14" s="13" t="s">
        <v>74</v>
      </c>
      <c r="M14" s="2">
        <v>0</v>
      </c>
      <c r="N14" s="2">
        <v>6</v>
      </c>
      <c r="O14" s="2">
        <v>6</v>
      </c>
      <c r="P14" s="2">
        <v>0</v>
      </c>
      <c r="Q14" s="2">
        <v>5</v>
      </c>
      <c r="R14" s="2">
        <v>0</v>
      </c>
      <c r="S14" s="2">
        <v>8</v>
      </c>
      <c r="T14" s="2">
        <v>1</v>
      </c>
      <c r="U14" s="2">
        <v>8</v>
      </c>
      <c r="V14" s="2">
        <v>1</v>
      </c>
      <c r="W14" s="2">
        <v>2</v>
      </c>
      <c r="X14" s="2">
        <v>7</v>
      </c>
      <c r="Y14" s="2">
        <v>0</v>
      </c>
      <c r="Z14" s="2">
        <v>3</v>
      </c>
      <c r="AA14" s="2">
        <v>0</v>
      </c>
      <c r="AB14" s="2">
        <v>0</v>
      </c>
      <c r="AC14" s="2">
        <v>29</v>
      </c>
      <c r="AD14" s="2">
        <v>18</v>
      </c>
      <c r="AE14" s="2">
        <v>47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0</v>
      </c>
      <c r="AU14" s="2">
        <v>0</v>
      </c>
      <c r="AV14" s="2">
        <v>0</v>
      </c>
      <c r="AW14" s="2">
        <v>1</v>
      </c>
      <c r="AX14" s="2">
        <v>1</v>
      </c>
    </row>
    <row r="15" spans="1:51">
      <c r="A15" s="2" t="s">
        <v>64</v>
      </c>
      <c r="B15" s="2" t="s">
        <v>65</v>
      </c>
      <c r="C15" s="2" t="s">
        <v>66</v>
      </c>
      <c r="D15" s="2">
        <v>129381</v>
      </c>
      <c r="E15" s="2" t="s">
        <v>85</v>
      </c>
      <c r="F15" s="2" t="s">
        <v>86</v>
      </c>
      <c r="G15" s="2" t="s">
        <v>69</v>
      </c>
      <c r="H15" s="2" t="s">
        <v>70</v>
      </c>
      <c r="I15" s="2" t="s">
        <v>71</v>
      </c>
      <c r="J15" s="2" t="s">
        <v>79</v>
      </c>
      <c r="K15" s="2" t="s">
        <v>73</v>
      </c>
      <c r="L15" s="13" t="s">
        <v>74</v>
      </c>
      <c r="M15" s="2">
        <v>0</v>
      </c>
      <c r="N15" s="2">
        <v>5</v>
      </c>
      <c r="O15" s="2">
        <v>5</v>
      </c>
      <c r="P15" s="2">
        <v>0</v>
      </c>
      <c r="Q15" s="2">
        <v>7</v>
      </c>
      <c r="R15" s="2">
        <v>1</v>
      </c>
      <c r="S15" s="2">
        <v>8</v>
      </c>
      <c r="T15" s="2">
        <v>1</v>
      </c>
      <c r="U15" s="2">
        <v>6</v>
      </c>
      <c r="V15" s="2">
        <v>2</v>
      </c>
      <c r="W15" s="2">
        <v>2</v>
      </c>
      <c r="X15" s="2">
        <v>5</v>
      </c>
      <c r="Y15" s="2">
        <v>1</v>
      </c>
      <c r="Z15" s="2">
        <v>1</v>
      </c>
      <c r="AA15" s="2">
        <v>0</v>
      </c>
      <c r="AB15" s="2">
        <v>0</v>
      </c>
      <c r="AC15" s="2">
        <v>29</v>
      </c>
      <c r="AD15" s="2">
        <v>15</v>
      </c>
      <c r="AE15" s="2">
        <v>44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</row>
    <row r="16" spans="1:51">
      <c r="A16" s="2" t="s">
        <v>64</v>
      </c>
      <c r="B16" s="2" t="s">
        <v>65</v>
      </c>
      <c r="C16" s="2" t="s">
        <v>66</v>
      </c>
      <c r="D16" s="2">
        <v>129382</v>
      </c>
      <c r="E16" s="2" t="s">
        <v>87</v>
      </c>
      <c r="F16" s="2" t="s">
        <v>88</v>
      </c>
      <c r="G16" s="2" t="s">
        <v>69</v>
      </c>
      <c r="H16" s="2" t="s">
        <v>70</v>
      </c>
      <c r="I16" s="2" t="s">
        <v>71</v>
      </c>
      <c r="J16" s="2" t="s">
        <v>79</v>
      </c>
      <c r="K16" s="2" t="s">
        <v>73</v>
      </c>
      <c r="L16" s="13" t="s">
        <v>74</v>
      </c>
      <c r="M16" s="2">
        <v>0</v>
      </c>
      <c r="N16" s="2">
        <v>7</v>
      </c>
      <c r="O16" s="2">
        <v>7</v>
      </c>
      <c r="P16" s="2">
        <v>0</v>
      </c>
      <c r="Q16" s="2">
        <v>8</v>
      </c>
      <c r="R16" s="2">
        <v>1</v>
      </c>
      <c r="S16" s="2">
        <v>8</v>
      </c>
      <c r="T16" s="2">
        <v>1</v>
      </c>
      <c r="U16" s="2">
        <v>8</v>
      </c>
      <c r="V16" s="2">
        <v>4</v>
      </c>
      <c r="W16" s="2">
        <v>1</v>
      </c>
      <c r="X16" s="2">
        <v>9</v>
      </c>
      <c r="Y16" s="2">
        <v>0</v>
      </c>
      <c r="Z16" s="2">
        <v>3</v>
      </c>
      <c r="AA16" s="2">
        <v>0</v>
      </c>
      <c r="AB16" s="2">
        <v>0</v>
      </c>
      <c r="AC16" s="2">
        <v>32</v>
      </c>
      <c r="AD16" s="2">
        <v>25</v>
      </c>
      <c r="AE16" s="2">
        <v>57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</row>
    <row r="17" spans="1:50">
      <c r="A17" s="2" t="s">
        <v>64</v>
      </c>
      <c r="B17" s="2" t="s">
        <v>65</v>
      </c>
      <c r="C17" s="2" t="s">
        <v>66</v>
      </c>
      <c r="D17" s="2">
        <v>129383</v>
      </c>
      <c r="E17" s="2" t="s">
        <v>89</v>
      </c>
      <c r="F17" s="2" t="s">
        <v>90</v>
      </c>
      <c r="G17" s="2" t="s">
        <v>69</v>
      </c>
      <c r="H17" s="2" t="s">
        <v>70</v>
      </c>
      <c r="I17" s="2" t="s">
        <v>71</v>
      </c>
      <c r="J17" s="2" t="s">
        <v>79</v>
      </c>
      <c r="K17" s="2" t="s">
        <v>73</v>
      </c>
      <c r="L17" s="13" t="s">
        <v>74</v>
      </c>
      <c r="M17" s="2">
        <v>0</v>
      </c>
      <c r="N17" s="2">
        <v>4</v>
      </c>
      <c r="O17" s="2">
        <v>4</v>
      </c>
      <c r="P17" s="2">
        <v>0</v>
      </c>
      <c r="Q17" s="2">
        <v>4</v>
      </c>
      <c r="R17" s="2">
        <v>0</v>
      </c>
      <c r="S17" s="2">
        <v>5</v>
      </c>
      <c r="T17" s="2">
        <v>1</v>
      </c>
      <c r="U17" s="2">
        <v>4</v>
      </c>
      <c r="V17" s="2">
        <v>2</v>
      </c>
      <c r="W17" s="2">
        <v>3</v>
      </c>
      <c r="X17" s="2">
        <v>4</v>
      </c>
      <c r="Y17" s="2">
        <v>0</v>
      </c>
      <c r="Z17" s="2">
        <v>2</v>
      </c>
      <c r="AA17" s="2">
        <v>0</v>
      </c>
      <c r="AB17" s="2">
        <v>0</v>
      </c>
      <c r="AC17" s="2">
        <v>20</v>
      </c>
      <c r="AD17" s="2">
        <v>13</v>
      </c>
      <c r="AE17" s="2">
        <v>33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</row>
    <row r="18" spans="1:50">
      <c r="A18" s="2" t="s">
        <v>64</v>
      </c>
      <c r="B18" s="2" t="s">
        <v>65</v>
      </c>
      <c r="C18" s="2" t="s">
        <v>66</v>
      </c>
      <c r="D18" s="2">
        <v>129384</v>
      </c>
      <c r="E18" s="2" t="s">
        <v>91</v>
      </c>
      <c r="F18" s="2" t="s">
        <v>92</v>
      </c>
      <c r="G18" s="2" t="s">
        <v>69</v>
      </c>
      <c r="H18" s="2" t="s">
        <v>70</v>
      </c>
      <c r="I18" s="2" t="s">
        <v>71</v>
      </c>
      <c r="J18" s="2" t="s">
        <v>79</v>
      </c>
      <c r="K18" s="2" t="s">
        <v>73</v>
      </c>
      <c r="L18" s="13" t="s">
        <v>74</v>
      </c>
      <c r="M18" s="2">
        <v>0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2</v>
      </c>
      <c r="Y18" s="2">
        <v>1</v>
      </c>
      <c r="Z18" s="2">
        <v>0</v>
      </c>
      <c r="AA18" s="2">
        <v>0</v>
      </c>
      <c r="AB18" s="2">
        <v>0</v>
      </c>
      <c r="AC18" s="2">
        <v>4</v>
      </c>
      <c r="AD18" s="2">
        <v>4</v>
      </c>
      <c r="AE18" s="2">
        <v>8</v>
      </c>
      <c r="AF18" s="2">
        <v>1</v>
      </c>
      <c r="AG18" s="2">
        <v>0</v>
      </c>
      <c r="AH18" s="2">
        <v>0</v>
      </c>
      <c r="AI18" s="2">
        <v>1</v>
      </c>
      <c r="AJ18" s="2">
        <v>0</v>
      </c>
      <c r="AK18" s="2">
        <v>1</v>
      </c>
      <c r="AL18" s="2">
        <v>0</v>
      </c>
      <c r="AM18" s="2">
        <v>4</v>
      </c>
      <c r="AN18" s="2">
        <v>2</v>
      </c>
      <c r="AO18" s="2">
        <v>4</v>
      </c>
      <c r="AP18" s="2">
        <v>2</v>
      </c>
      <c r="AQ18" s="2">
        <v>4</v>
      </c>
      <c r="AR18" s="2">
        <v>2</v>
      </c>
      <c r="AS18" s="2">
        <v>4</v>
      </c>
      <c r="AT18" s="2">
        <v>0</v>
      </c>
      <c r="AU18" s="2">
        <v>0</v>
      </c>
      <c r="AV18" s="2">
        <v>7</v>
      </c>
      <c r="AW18" s="2">
        <v>18</v>
      </c>
      <c r="AX18" s="2">
        <v>25</v>
      </c>
    </row>
    <row r="19" spans="1:50">
      <c r="A19" s="2" t="s">
        <v>64</v>
      </c>
      <c r="B19" s="2" t="s">
        <v>65</v>
      </c>
      <c r="C19" s="2" t="s">
        <v>66</v>
      </c>
      <c r="D19" s="2">
        <v>129385</v>
      </c>
      <c r="E19" s="2" t="s">
        <v>93</v>
      </c>
      <c r="F19" s="2" t="s">
        <v>94</v>
      </c>
      <c r="G19" s="2" t="s">
        <v>69</v>
      </c>
      <c r="H19" s="2" t="s">
        <v>70</v>
      </c>
      <c r="I19" s="2" t="s">
        <v>71</v>
      </c>
      <c r="J19" s="2" t="s">
        <v>72</v>
      </c>
      <c r="K19" s="2" t="s">
        <v>73</v>
      </c>
      <c r="L19" s="13" t="s">
        <v>74</v>
      </c>
      <c r="M19" s="2">
        <v>0</v>
      </c>
      <c r="N19" s="2">
        <v>3</v>
      </c>
      <c r="O19" s="2">
        <v>3</v>
      </c>
      <c r="P19" s="2">
        <v>0</v>
      </c>
      <c r="Q19" s="2">
        <v>3</v>
      </c>
      <c r="R19" s="2">
        <v>0</v>
      </c>
      <c r="S19" s="2">
        <v>3</v>
      </c>
      <c r="T19" s="2">
        <v>0</v>
      </c>
      <c r="U19" s="2">
        <v>3</v>
      </c>
      <c r="V19" s="2">
        <v>0</v>
      </c>
      <c r="W19" s="2">
        <v>0</v>
      </c>
      <c r="X19" s="2">
        <v>3</v>
      </c>
      <c r="Y19" s="2">
        <v>0</v>
      </c>
      <c r="Z19" s="2">
        <v>2</v>
      </c>
      <c r="AA19" s="2">
        <v>0</v>
      </c>
      <c r="AB19" s="2">
        <v>0</v>
      </c>
      <c r="AC19" s="2">
        <v>12</v>
      </c>
      <c r="AD19" s="2">
        <v>8</v>
      </c>
      <c r="AE19" s="2">
        <v>20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2</v>
      </c>
      <c r="AP19" s="2">
        <v>0</v>
      </c>
      <c r="AQ19" s="2">
        <v>1</v>
      </c>
      <c r="AR19" s="2">
        <v>1</v>
      </c>
      <c r="AS19" s="2">
        <v>0</v>
      </c>
      <c r="AT19" s="2">
        <v>0</v>
      </c>
      <c r="AU19" s="2">
        <v>0</v>
      </c>
      <c r="AV19" s="2">
        <v>1</v>
      </c>
      <c r="AW19" s="2">
        <v>3</v>
      </c>
      <c r="AX19" s="2">
        <v>4</v>
      </c>
    </row>
    <row r="20" spans="1:50">
      <c r="A20" s="2" t="s">
        <v>64</v>
      </c>
      <c r="B20" s="2" t="s">
        <v>65</v>
      </c>
      <c r="C20" s="2" t="s">
        <v>66</v>
      </c>
      <c r="D20" s="2">
        <v>129386</v>
      </c>
      <c r="E20" s="2" t="s">
        <v>95</v>
      </c>
      <c r="F20" s="2" t="s">
        <v>96</v>
      </c>
      <c r="G20" s="2" t="s">
        <v>69</v>
      </c>
      <c r="H20" s="2" t="s">
        <v>70</v>
      </c>
      <c r="I20" s="2" t="s">
        <v>71</v>
      </c>
      <c r="J20" s="2" t="s">
        <v>82</v>
      </c>
      <c r="K20" s="2" t="s">
        <v>73</v>
      </c>
      <c r="L20" s="13" t="s">
        <v>74</v>
      </c>
      <c r="M20" s="2">
        <v>0</v>
      </c>
      <c r="N20" s="2">
        <v>1</v>
      </c>
      <c r="O20" s="2">
        <v>1</v>
      </c>
      <c r="P20" s="2">
        <v>0</v>
      </c>
      <c r="Q20" s="2">
        <v>1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0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4</v>
      </c>
      <c r="AD20" s="2">
        <v>3</v>
      </c>
      <c r="AE20" s="2">
        <v>7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</row>
    <row r="21" spans="1:50">
      <c r="A21" s="2" t="s">
        <v>64</v>
      </c>
      <c r="B21" s="2" t="s">
        <v>65</v>
      </c>
      <c r="C21" s="2" t="s">
        <v>66</v>
      </c>
      <c r="D21" s="2">
        <v>205504</v>
      </c>
      <c r="E21" s="2" t="s">
        <v>97</v>
      </c>
      <c r="F21" s="2" t="s">
        <v>86</v>
      </c>
      <c r="G21" s="2" t="s">
        <v>69</v>
      </c>
      <c r="H21" s="2" t="s">
        <v>70</v>
      </c>
      <c r="I21" s="2" t="s">
        <v>71</v>
      </c>
      <c r="J21" s="2" t="s">
        <v>79</v>
      </c>
      <c r="K21" s="2" t="s">
        <v>73</v>
      </c>
      <c r="L21" s="13" t="s">
        <v>74</v>
      </c>
      <c r="M21" s="2">
        <v>0</v>
      </c>
      <c r="N21" s="2">
        <v>3</v>
      </c>
      <c r="O21" s="2">
        <v>3</v>
      </c>
      <c r="P21" s="2">
        <v>0</v>
      </c>
      <c r="Q21" s="2">
        <v>3</v>
      </c>
      <c r="R21" s="2">
        <v>0</v>
      </c>
      <c r="S21" s="2">
        <v>3</v>
      </c>
      <c r="T21" s="2">
        <v>0</v>
      </c>
      <c r="U21" s="2">
        <v>3</v>
      </c>
      <c r="V21" s="2">
        <v>0</v>
      </c>
      <c r="W21" s="2">
        <v>0</v>
      </c>
      <c r="X21" s="2">
        <v>3</v>
      </c>
      <c r="Y21" s="2">
        <v>0</v>
      </c>
      <c r="Z21" s="2">
        <v>2</v>
      </c>
      <c r="AA21" s="2">
        <v>2</v>
      </c>
      <c r="AB21" s="2">
        <v>11</v>
      </c>
      <c r="AC21" s="2">
        <v>14</v>
      </c>
      <c r="AD21" s="2">
        <v>19</v>
      </c>
      <c r="AE21" s="2">
        <v>33</v>
      </c>
      <c r="AF21" s="2">
        <v>0</v>
      </c>
      <c r="AG21" s="2">
        <v>0</v>
      </c>
      <c r="AH21" s="2">
        <v>0</v>
      </c>
      <c r="AI21" s="2">
        <v>0</v>
      </c>
      <c r="AJ21" s="2">
        <v>1</v>
      </c>
      <c r="AK21" s="2">
        <v>1</v>
      </c>
      <c r="AL21" s="2">
        <v>1</v>
      </c>
      <c r="AM21" s="2">
        <v>0</v>
      </c>
      <c r="AN21" s="2">
        <v>1</v>
      </c>
      <c r="AO21" s="2">
        <v>1</v>
      </c>
      <c r="AP21" s="2">
        <v>0</v>
      </c>
      <c r="AQ21" s="2">
        <v>1</v>
      </c>
      <c r="AR21" s="2">
        <v>1</v>
      </c>
      <c r="AS21" s="2">
        <v>0</v>
      </c>
      <c r="AT21" s="2">
        <v>0</v>
      </c>
      <c r="AU21" s="2">
        <v>0</v>
      </c>
      <c r="AV21" s="2">
        <v>4</v>
      </c>
      <c r="AW21" s="2">
        <v>3</v>
      </c>
      <c r="AX21" s="2">
        <v>7</v>
      </c>
    </row>
    <row r="22" spans="1:50">
      <c r="A22" s="2" t="s">
        <v>64</v>
      </c>
      <c r="B22" s="2" t="s">
        <v>65</v>
      </c>
      <c r="C22" s="2" t="s">
        <v>66</v>
      </c>
      <c r="D22" s="2">
        <v>500454</v>
      </c>
      <c r="E22" s="2" t="s">
        <v>98</v>
      </c>
      <c r="F22" s="2" t="s">
        <v>99</v>
      </c>
      <c r="G22" s="2" t="s">
        <v>69</v>
      </c>
      <c r="H22" s="2" t="s">
        <v>70</v>
      </c>
      <c r="I22" s="2" t="s">
        <v>71</v>
      </c>
      <c r="J22" s="2" t="s">
        <v>82</v>
      </c>
      <c r="K22" s="2" t="s">
        <v>100</v>
      </c>
      <c r="L22" s="13" t="s">
        <v>101</v>
      </c>
      <c r="M22" s="2">
        <v>0</v>
      </c>
      <c r="N22" s="2">
        <v>2</v>
      </c>
      <c r="O22" s="2">
        <v>2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1</v>
      </c>
      <c r="V22" s="2">
        <v>0</v>
      </c>
      <c r="W22" s="2">
        <v>0</v>
      </c>
      <c r="X22" s="2">
        <v>1</v>
      </c>
      <c r="Y22" s="2">
        <v>0</v>
      </c>
      <c r="Z22" s="2">
        <v>1</v>
      </c>
      <c r="AA22" s="2">
        <v>0</v>
      </c>
      <c r="AB22" s="2">
        <v>1</v>
      </c>
      <c r="AC22" s="2">
        <v>5</v>
      </c>
      <c r="AD22" s="2">
        <v>5</v>
      </c>
      <c r="AE22" s="2">
        <v>10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</row>
    <row r="23" spans="1:50">
      <c r="A23" s="2" t="s">
        <v>64</v>
      </c>
      <c r="B23" s="2" t="s">
        <v>65</v>
      </c>
      <c r="C23" s="2" t="s">
        <v>66</v>
      </c>
      <c r="D23" s="2">
        <v>501424</v>
      </c>
      <c r="E23" s="2" t="s">
        <v>102</v>
      </c>
      <c r="F23" s="2" t="s">
        <v>103</v>
      </c>
      <c r="G23" s="2" t="s">
        <v>69</v>
      </c>
      <c r="H23" s="2" t="s">
        <v>70</v>
      </c>
      <c r="I23" s="2" t="s">
        <v>71</v>
      </c>
      <c r="J23" s="2" t="s">
        <v>104</v>
      </c>
      <c r="K23" s="2" t="s">
        <v>105</v>
      </c>
      <c r="L23" s="13" t="s">
        <v>106</v>
      </c>
      <c r="M23" s="2">
        <v>0</v>
      </c>
      <c r="N23" s="2">
        <v>1</v>
      </c>
      <c r="O23" s="2">
        <v>2</v>
      </c>
      <c r="P23" s="2">
        <v>0</v>
      </c>
      <c r="Q23" s="2">
        <v>2</v>
      </c>
      <c r="R23" s="2">
        <v>0</v>
      </c>
      <c r="S23" s="2">
        <v>1</v>
      </c>
      <c r="T23" s="2">
        <v>1</v>
      </c>
      <c r="U23" s="2">
        <v>0</v>
      </c>
      <c r="V23" s="2">
        <v>2</v>
      </c>
      <c r="W23" s="2">
        <v>0</v>
      </c>
      <c r="X23" s="2">
        <v>2</v>
      </c>
      <c r="Y23" s="2">
        <v>0</v>
      </c>
      <c r="Z23" s="2">
        <v>1</v>
      </c>
      <c r="AA23" s="2">
        <v>0</v>
      </c>
      <c r="AB23" s="2">
        <v>0</v>
      </c>
      <c r="AC23" s="2">
        <v>5</v>
      </c>
      <c r="AD23" s="2">
        <v>7</v>
      </c>
      <c r="AE23" s="2">
        <v>12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</row>
    <row r="24" spans="1:50">
      <c r="A24" s="2" t="s">
        <v>64</v>
      </c>
      <c r="B24" s="2" t="s">
        <v>65</v>
      </c>
      <c r="C24" s="2" t="s">
        <v>107</v>
      </c>
      <c r="D24" s="2">
        <v>101813</v>
      </c>
      <c r="E24" s="2" t="s">
        <v>108</v>
      </c>
      <c r="F24" s="2" t="s">
        <v>109</v>
      </c>
      <c r="G24" s="2" t="s">
        <v>69</v>
      </c>
      <c r="H24" s="2" t="s">
        <v>70</v>
      </c>
      <c r="I24" s="2" t="s">
        <v>71</v>
      </c>
      <c r="J24" s="2" t="s">
        <v>110</v>
      </c>
      <c r="K24" s="2" t="s">
        <v>73</v>
      </c>
      <c r="L24" s="13" t="s">
        <v>74</v>
      </c>
      <c r="M24" s="2">
        <v>0</v>
      </c>
      <c r="N24" s="2">
        <v>1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1</v>
      </c>
      <c r="Y24" s="2">
        <v>0</v>
      </c>
      <c r="Z24" s="2">
        <v>1</v>
      </c>
      <c r="AA24" s="2">
        <v>0</v>
      </c>
      <c r="AB24" s="2">
        <v>0</v>
      </c>
      <c r="AC24" s="2">
        <v>1</v>
      </c>
      <c r="AD24" s="2">
        <v>4</v>
      </c>
      <c r="AE24" s="2">
        <v>5</v>
      </c>
      <c r="AF24" s="2">
        <v>0</v>
      </c>
      <c r="AG24" s="2">
        <v>1</v>
      </c>
      <c r="AH24" s="2">
        <v>0</v>
      </c>
      <c r="AI24" s="2">
        <v>1</v>
      </c>
      <c r="AJ24" s="2">
        <v>0</v>
      </c>
      <c r="AK24" s="2">
        <v>1</v>
      </c>
      <c r="AL24" s="2">
        <v>1</v>
      </c>
      <c r="AM24" s="2">
        <v>3</v>
      </c>
      <c r="AN24" s="2">
        <v>1</v>
      </c>
      <c r="AO24" s="2">
        <v>3</v>
      </c>
      <c r="AP24" s="2">
        <v>1</v>
      </c>
      <c r="AQ24" s="2">
        <v>3</v>
      </c>
      <c r="AR24" s="2">
        <v>1</v>
      </c>
      <c r="AS24" s="2">
        <v>3</v>
      </c>
      <c r="AT24" s="2">
        <v>0</v>
      </c>
      <c r="AU24" s="2">
        <v>0</v>
      </c>
      <c r="AV24" s="2">
        <v>4</v>
      </c>
      <c r="AW24" s="2">
        <v>15</v>
      </c>
      <c r="AX24" s="2">
        <v>19</v>
      </c>
    </row>
    <row r="25" spans="1:50">
      <c r="A25" s="2" t="s">
        <v>64</v>
      </c>
      <c r="B25" s="2" t="s">
        <v>65</v>
      </c>
      <c r="C25" s="2" t="s">
        <v>107</v>
      </c>
      <c r="D25" s="2">
        <v>129387</v>
      </c>
      <c r="E25" s="2" t="s">
        <v>111</v>
      </c>
      <c r="F25" s="2" t="s">
        <v>112</v>
      </c>
      <c r="G25" s="2" t="s">
        <v>69</v>
      </c>
      <c r="H25" s="2" t="s">
        <v>70</v>
      </c>
      <c r="I25" s="2" t="s">
        <v>71</v>
      </c>
      <c r="J25" s="2" t="s">
        <v>113</v>
      </c>
      <c r="K25" s="2" t="s">
        <v>73</v>
      </c>
      <c r="L25" s="13" t="s">
        <v>74</v>
      </c>
      <c r="M25" s="2">
        <v>0</v>
      </c>
      <c r="N25" s="2">
        <v>1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  <c r="T25" s="2">
        <v>0</v>
      </c>
      <c r="U25" s="2">
        <v>1</v>
      </c>
      <c r="V25" s="2">
        <v>0</v>
      </c>
      <c r="W25" s="2">
        <v>0</v>
      </c>
      <c r="X25" s="2">
        <v>1</v>
      </c>
      <c r="Y25" s="2">
        <v>0</v>
      </c>
      <c r="Z25" s="2">
        <v>1</v>
      </c>
      <c r="AA25" s="2">
        <v>0</v>
      </c>
      <c r="AB25" s="2">
        <v>0</v>
      </c>
      <c r="AC25" s="2">
        <v>4</v>
      </c>
      <c r="AD25" s="2">
        <v>3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</row>
    <row r="26" spans="1:50">
      <c r="A26" s="2" t="s">
        <v>64</v>
      </c>
      <c r="B26" s="2" t="s">
        <v>65</v>
      </c>
      <c r="C26" s="2" t="s">
        <v>107</v>
      </c>
      <c r="D26" s="2">
        <v>129388</v>
      </c>
      <c r="E26" s="2" t="s">
        <v>114</v>
      </c>
      <c r="F26" s="2" t="s">
        <v>115</v>
      </c>
      <c r="G26" s="2" t="s">
        <v>69</v>
      </c>
      <c r="H26" s="2" t="s">
        <v>70</v>
      </c>
      <c r="I26" s="2" t="s">
        <v>71</v>
      </c>
      <c r="J26" s="2" t="s">
        <v>116</v>
      </c>
      <c r="K26" s="2" t="s">
        <v>73</v>
      </c>
      <c r="L26" s="13" t="s">
        <v>74</v>
      </c>
      <c r="M26" s="2">
        <v>0</v>
      </c>
      <c r="N26" s="2">
        <v>2</v>
      </c>
      <c r="O26" s="2">
        <v>2</v>
      </c>
      <c r="P26" s="2">
        <v>0</v>
      </c>
      <c r="Q26" s="2">
        <v>2</v>
      </c>
      <c r="R26" s="2">
        <v>0</v>
      </c>
      <c r="S26" s="2">
        <v>1</v>
      </c>
      <c r="T26" s="2">
        <v>2</v>
      </c>
      <c r="U26" s="2">
        <v>2</v>
      </c>
      <c r="V26" s="2">
        <v>0</v>
      </c>
      <c r="W26" s="2">
        <v>0</v>
      </c>
      <c r="X26" s="2">
        <v>3</v>
      </c>
      <c r="Y26" s="2">
        <v>0</v>
      </c>
      <c r="Z26" s="2">
        <v>1</v>
      </c>
      <c r="AA26" s="2">
        <v>0</v>
      </c>
      <c r="AB26" s="2">
        <v>0</v>
      </c>
      <c r="AC26" s="2">
        <v>7</v>
      </c>
      <c r="AD26" s="2">
        <v>8</v>
      </c>
      <c r="AE26" s="2">
        <v>15</v>
      </c>
      <c r="AF26" s="2">
        <v>0</v>
      </c>
      <c r="AG26" s="2">
        <v>1</v>
      </c>
      <c r="AH26" s="2">
        <v>0</v>
      </c>
      <c r="AI26" s="2">
        <v>2</v>
      </c>
      <c r="AJ26" s="2">
        <v>0</v>
      </c>
      <c r="AK26" s="2">
        <v>2</v>
      </c>
      <c r="AL26" s="2">
        <v>0</v>
      </c>
      <c r="AM26" s="2">
        <v>2</v>
      </c>
      <c r="AN26" s="2">
        <v>2</v>
      </c>
      <c r="AO26" s="2">
        <v>3</v>
      </c>
      <c r="AP26" s="2">
        <v>1</v>
      </c>
      <c r="AQ26" s="2">
        <v>4</v>
      </c>
      <c r="AR26" s="2">
        <v>0</v>
      </c>
      <c r="AS26" s="2">
        <v>5</v>
      </c>
      <c r="AT26" s="2">
        <v>0</v>
      </c>
      <c r="AU26" s="2">
        <v>0</v>
      </c>
      <c r="AV26" s="2">
        <v>3</v>
      </c>
      <c r="AW26" s="2">
        <v>19</v>
      </c>
      <c r="AX26" s="2">
        <v>22</v>
      </c>
    </row>
    <row r="27" spans="1:50">
      <c r="A27" s="2" t="s">
        <v>64</v>
      </c>
      <c r="B27" s="2" t="s">
        <v>65</v>
      </c>
      <c r="C27" s="2" t="s">
        <v>107</v>
      </c>
      <c r="D27" s="2">
        <v>129389</v>
      </c>
      <c r="E27" s="2" t="s">
        <v>117</v>
      </c>
      <c r="F27" s="2" t="s">
        <v>118</v>
      </c>
      <c r="G27" s="2" t="s">
        <v>69</v>
      </c>
      <c r="H27" s="2" t="s">
        <v>70</v>
      </c>
      <c r="I27" s="2" t="s">
        <v>71</v>
      </c>
      <c r="J27" s="2" t="s">
        <v>119</v>
      </c>
      <c r="K27" s="2" t="s">
        <v>73</v>
      </c>
      <c r="L27" s="13" t="s">
        <v>74</v>
      </c>
      <c r="M27" s="2">
        <v>0</v>
      </c>
      <c r="N27" s="2">
        <v>2</v>
      </c>
      <c r="O27" s="2">
        <v>2</v>
      </c>
      <c r="P27" s="2">
        <v>0</v>
      </c>
      <c r="Q27" s="2">
        <v>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2</v>
      </c>
      <c r="AA27" s="2">
        <v>0</v>
      </c>
      <c r="AB27" s="2">
        <v>0</v>
      </c>
      <c r="AC27" s="2">
        <v>4</v>
      </c>
      <c r="AD27" s="2">
        <v>4</v>
      </c>
      <c r="AE27" s="2">
        <v>8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2</v>
      </c>
      <c r="AO27" s="2">
        <v>4</v>
      </c>
      <c r="AP27" s="2">
        <v>1</v>
      </c>
      <c r="AQ27" s="2">
        <v>5</v>
      </c>
      <c r="AR27" s="2">
        <v>2</v>
      </c>
      <c r="AS27" s="2">
        <v>5</v>
      </c>
      <c r="AT27" s="2">
        <v>0</v>
      </c>
      <c r="AU27" s="2">
        <v>0</v>
      </c>
      <c r="AV27" s="2">
        <v>5</v>
      </c>
      <c r="AW27" s="2">
        <v>14</v>
      </c>
      <c r="AX27" s="2">
        <v>19</v>
      </c>
    </row>
    <row r="28" spans="1:50">
      <c r="A28" s="2" t="s">
        <v>64</v>
      </c>
      <c r="B28" s="2" t="s">
        <v>65</v>
      </c>
      <c r="C28" s="2" t="s">
        <v>107</v>
      </c>
      <c r="D28" s="2">
        <v>129390</v>
      </c>
      <c r="E28" s="2" t="s">
        <v>120</v>
      </c>
      <c r="F28" s="2" t="s">
        <v>121</v>
      </c>
      <c r="G28" s="2" t="s">
        <v>69</v>
      </c>
      <c r="H28" s="2" t="s">
        <v>70</v>
      </c>
      <c r="I28" s="2" t="s">
        <v>71</v>
      </c>
      <c r="J28" s="2" t="s">
        <v>113</v>
      </c>
      <c r="K28" s="2" t="s">
        <v>73</v>
      </c>
      <c r="L28" s="13" t="s">
        <v>74</v>
      </c>
      <c r="M28" s="2">
        <v>1</v>
      </c>
      <c r="N28" s="2">
        <v>4</v>
      </c>
      <c r="O28" s="2">
        <v>2</v>
      </c>
      <c r="P28" s="2">
        <v>0</v>
      </c>
      <c r="Q28" s="2">
        <v>3</v>
      </c>
      <c r="R28" s="2">
        <v>0</v>
      </c>
      <c r="S28" s="2">
        <v>3</v>
      </c>
      <c r="T28" s="2">
        <v>1</v>
      </c>
      <c r="U28" s="2">
        <v>1</v>
      </c>
      <c r="V28" s="2">
        <v>3</v>
      </c>
      <c r="W28" s="2">
        <v>2</v>
      </c>
      <c r="X28" s="2">
        <v>3</v>
      </c>
      <c r="Y28" s="2">
        <v>0</v>
      </c>
      <c r="Z28" s="2">
        <v>1</v>
      </c>
      <c r="AA28" s="2">
        <v>0</v>
      </c>
      <c r="AB28" s="2">
        <v>0</v>
      </c>
      <c r="AC28" s="2">
        <v>12</v>
      </c>
      <c r="AD28" s="2">
        <v>12</v>
      </c>
      <c r="AE28" s="2">
        <v>24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</row>
    <row r="29" spans="1:50">
      <c r="A29" s="2" t="s">
        <v>64</v>
      </c>
      <c r="B29" s="2" t="s">
        <v>65</v>
      </c>
      <c r="C29" s="2" t="s">
        <v>107</v>
      </c>
      <c r="D29" s="2">
        <v>129391</v>
      </c>
      <c r="E29" s="2" t="s">
        <v>122</v>
      </c>
      <c r="F29" s="2" t="s">
        <v>123</v>
      </c>
      <c r="G29" s="2" t="s">
        <v>69</v>
      </c>
      <c r="H29" s="2" t="s">
        <v>70</v>
      </c>
      <c r="I29" s="2" t="s">
        <v>71</v>
      </c>
      <c r="J29" s="2" t="s">
        <v>124</v>
      </c>
      <c r="K29" s="2" t="s">
        <v>73</v>
      </c>
      <c r="L29" s="13" t="s">
        <v>74</v>
      </c>
      <c r="M29" s="2">
        <v>0</v>
      </c>
      <c r="N29" s="2">
        <v>2</v>
      </c>
      <c r="O29" s="2">
        <v>2</v>
      </c>
      <c r="P29" s="2">
        <v>0</v>
      </c>
      <c r="Q29" s="2">
        <v>1</v>
      </c>
      <c r="R29" s="2">
        <v>0</v>
      </c>
      <c r="S29" s="2">
        <v>2</v>
      </c>
      <c r="T29" s="2">
        <v>0</v>
      </c>
      <c r="U29" s="2">
        <v>1</v>
      </c>
      <c r="V29" s="2">
        <v>0</v>
      </c>
      <c r="W29" s="2">
        <v>2</v>
      </c>
      <c r="X29" s="2">
        <v>1</v>
      </c>
      <c r="Y29" s="2">
        <v>0</v>
      </c>
      <c r="Z29" s="2">
        <v>1</v>
      </c>
      <c r="AA29" s="2">
        <v>0</v>
      </c>
      <c r="AB29" s="2">
        <v>0</v>
      </c>
      <c r="AC29" s="2">
        <v>8</v>
      </c>
      <c r="AD29" s="2">
        <v>4</v>
      </c>
      <c r="AE29" s="2">
        <v>12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</row>
    <row r="30" spans="1:50">
      <c r="A30" s="2" t="s">
        <v>64</v>
      </c>
      <c r="B30" s="2" t="s">
        <v>65</v>
      </c>
      <c r="C30" s="2" t="s">
        <v>107</v>
      </c>
      <c r="D30" s="2">
        <v>129392</v>
      </c>
      <c r="E30" s="2" t="s">
        <v>125</v>
      </c>
      <c r="F30" s="2" t="s">
        <v>126</v>
      </c>
      <c r="G30" s="2" t="s">
        <v>69</v>
      </c>
      <c r="H30" s="2" t="s">
        <v>70</v>
      </c>
      <c r="I30" s="2" t="s">
        <v>71</v>
      </c>
      <c r="J30" s="2" t="s">
        <v>127</v>
      </c>
      <c r="K30" s="2" t="s">
        <v>73</v>
      </c>
      <c r="L30" s="13" t="s">
        <v>74</v>
      </c>
      <c r="M30" s="2">
        <v>1</v>
      </c>
      <c r="N30" s="2">
        <v>1</v>
      </c>
      <c r="O30" s="2">
        <v>2</v>
      </c>
      <c r="P30" s="2">
        <v>0</v>
      </c>
      <c r="Q30" s="2">
        <v>1</v>
      </c>
      <c r="R30" s="2">
        <v>0</v>
      </c>
      <c r="S30" s="2">
        <v>2</v>
      </c>
      <c r="T30" s="2">
        <v>0</v>
      </c>
      <c r="U30" s="2">
        <v>3</v>
      </c>
      <c r="V30" s="2">
        <v>0</v>
      </c>
      <c r="W30" s="2">
        <v>0</v>
      </c>
      <c r="X30" s="2">
        <v>2</v>
      </c>
      <c r="Y30" s="2">
        <v>0</v>
      </c>
      <c r="Z30" s="2">
        <v>1</v>
      </c>
      <c r="AA30" s="2">
        <v>0</v>
      </c>
      <c r="AB30" s="2">
        <v>0</v>
      </c>
      <c r="AC30" s="2">
        <v>9</v>
      </c>
      <c r="AD30" s="2">
        <v>4</v>
      </c>
      <c r="AE30" s="2">
        <v>13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</row>
    <row r="31" spans="1:50">
      <c r="A31" s="2" t="s">
        <v>64</v>
      </c>
      <c r="B31" s="2" t="s">
        <v>65</v>
      </c>
      <c r="C31" s="2" t="s">
        <v>107</v>
      </c>
      <c r="D31" s="2">
        <v>129393</v>
      </c>
      <c r="E31" s="2" t="s">
        <v>128</v>
      </c>
      <c r="F31" s="2" t="s">
        <v>129</v>
      </c>
      <c r="G31" s="2" t="s">
        <v>69</v>
      </c>
      <c r="H31" s="2" t="s">
        <v>70</v>
      </c>
      <c r="I31" s="2" t="s">
        <v>71</v>
      </c>
      <c r="J31" s="2" t="s">
        <v>130</v>
      </c>
      <c r="K31" s="2" t="s">
        <v>73</v>
      </c>
      <c r="L31" s="13" t="s">
        <v>74</v>
      </c>
      <c r="M31" s="2">
        <v>0</v>
      </c>
      <c r="N31" s="2">
        <v>1</v>
      </c>
      <c r="O31" s="2">
        <v>0</v>
      </c>
      <c r="P31" s="2">
        <v>1</v>
      </c>
      <c r="Q31" s="2">
        <v>1</v>
      </c>
      <c r="R31" s="2">
        <v>0</v>
      </c>
      <c r="S31" s="2">
        <v>0</v>
      </c>
      <c r="T31" s="2">
        <v>1</v>
      </c>
      <c r="U31" s="2">
        <v>1</v>
      </c>
      <c r="V31" s="2">
        <v>0</v>
      </c>
      <c r="W31" s="2">
        <v>1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4</v>
      </c>
      <c r="AD31" s="2">
        <v>3</v>
      </c>
      <c r="AE31" s="2">
        <v>7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</row>
    <row r="32" spans="1:50">
      <c r="A32" s="2" t="s">
        <v>64</v>
      </c>
      <c r="B32" s="2" t="s">
        <v>65</v>
      </c>
      <c r="C32" s="2" t="s">
        <v>107</v>
      </c>
      <c r="D32" s="2">
        <v>129394</v>
      </c>
      <c r="E32" s="2" t="s">
        <v>131</v>
      </c>
      <c r="F32" s="2" t="s">
        <v>132</v>
      </c>
      <c r="G32" s="2" t="s">
        <v>69</v>
      </c>
      <c r="H32" s="2" t="s">
        <v>70</v>
      </c>
      <c r="I32" s="2" t="s">
        <v>71</v>
      </c>
      <c r="J32" s="2" t="s">
        <v>124</v>
      </c>
      <c r="K32" s="2" t="s">
        <v>73</v>
      </c>
      <c r="L32" s="13" t="s">
        <v>74</v>
      </c>
      <c r="M32" s="2">
        <v>0</v>
      </c>
      <c r="N32" s="2">
        <v>1</v>
      </c>
      <c r="O32" s="2">
        <v>1</v>
      </c>
      <c r="P32" s="2">
        <v>0</v>
      </c>
      <c r="Q32" s="2">
        <v>1</v>
      </c>
      <c r="R32" s="2">
        <v>0</v>
      </c>
      <c r="S32" s="2">
        <v>0</v>
      </c>
      <c r="T32" s="2">
        <v>1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B32" s="2">
        <v>0</v>
      </c>
      <c r="AC32" s="2">
        <v>2</v>
      </c>
      <c r="AD32" s="2">
        <v>3</v>
      </c>
      <c r="AE32" s="2">
        <v>5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1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1</v>
      </c>
      <c r="AW32" s="2">
        <v>1</v>
      </c>
      <c r="AX32" s="2">
        <v>2</v>
      </c>
    </row>
    <row r="33" spans="1:50">
      <c r="A33" s="2" t="s">
        <v>64</v>
      </c>
      <c r="B33" s="2" t="s">
        <v>65</v>
      </c>
      <c r="C33" s="2" t="s">
        <v>107</v>
      </c>
      <c r="D33" s="2">
        <v>129395</v>
      </c>
      <c r="E33" s="2" t="s">
        <v>133</v>
      </c>
      <c r="F33" s="2" t="s">
        <v>134</v>
      </c>
      <c r="G33" s="2" t="s">
        <v>69</v>
      </c>
      <c r="H33" s="2" t="s">
        <v>70</v>
      </c>
      <c r="I33" s="2" t="s">
        <v>71</v>
      </c>
      <c r="J33" s="2" t="s">
        <v>119</v>
      </c>
      <c r="K33" s="2" t="s">
        <v>73</v>
      </c>
      <c r="L33" s="13" t="s">
        <v>74</v>
      </c>
      <c r="M33" s="2">
        <v>0</v>
      </c>
      <c r="N33" s="2">
        <v>3</v>
      </c>
      <c r="O33" s="2">
        <v>3</v>
      </c>
      <c r="P33" s="2">
        <v>0</v>
      </c>
      <c r="Q33" s="2">
        <v>2</v>
      </c>
      <c r="R33" s="2">
        <v>0</v>
      </c>
      <c r="S33" s="2">
        <v>3</v>
      </c>
      <c r="T33" s="2">
        <v>0</v>
      </c>
      <c r="U33" s="2">
        <v>4</v>
      </c>
      <c r="V33" s="2">
        <v>1</v>
      </c>
      <c r="W33" s="2">
        <v>1</v>
      </c>
      <c r="X33" s="2">
        <v>3</v>
      </c>
      <c r="Y33" s="2">
        <v>1</v>
      </c>
      <c r="Z33" s="2">
        <v>1</v>
      </c>
      <c r="AA33" s="2">
        <v>0</v>
      </c>
      <c r="AB33" s="2">
        <v>0</v>
      </c>
      <c r="AC33" s="2">
        <v>14</v>
      </c>
      <c r="AD33" s="2">
        <v>8</v>
      </c>
      <c r="AE33" s="2">
        <v>22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</row>
    <row r="34" spans="1:50">
      <c r="A34" s="2" t="s">
        <v>64</v>
      </c>
      <c r="B34" s="2" t="s">
        <v>65</v>
      </c>
      <c r="C34" s="2" t="s">
        <v>107</v>
      </c>
      <c r="D34" s="2">
        <v>129396</v>
      </c>
      <c r="E34" s="2" t="s">
        <v>135</v>
      </c>
      <c r="F34" s="2" t="s">
        <v>136</v>
      </c>
      <c r="G34" s="2" t="s">
        <v>69</v>
      </c>
      <c r="H34" s="2" t="s">
        <v>70</v>
      </c>
      <c r="I34" s="2" t="s">
        <v>71</v>
      </c>
      <c r="J34" s="2" t="s">
        <v>130</v>
      </c>
      <c r="K34" s="2" t="s">
        <v>73</v>
      </c>
      <c r="L34" s="13" t="s">
        <v>74</v>
      </c>
      <c r="M34" s="2">
        <v>0</v>
      </c>
      <c r="N34" s="2">
        <v>2</v>
      </c>
      <c r="O34" s="2">
        <v>2</v>
      </c>
      <c r="P34" s="2">
        <v>0</v>
      </c>
      <c r="Q34" s="2">
        <v>2</v>
      </c>
      <c r="R34" s="2">
        <v>0</v>
      </c>
      <c r="S34" s="2">
        <v>2</v>
      </c>
      <c r="T34" s="2">
        <v>0</v>
      </c>
      <c r="U34" s="2">
        <v>2</v>
      </c>
      <c r="V34" s="2">
        <v>0</v>
      </c>
      <c r="W34" s="2">
        <v>0</v>
      </c>
      <c r="X34" s="2">
        <v>2</v>
      </c>
      <c r="Y34" s="2">
        <v>0</v>
      </c>
      <c r="Z34" s="2">
        <v>2</v>
      </c>
      <c r="AA34" s="2">
        <v>0</v>
      </c>
      <c r="AB34" s="2">
        <v>0</v>
      </c>
      <c r="AC34" s="2">
        <v>8</v>
      </c>
      <c r="AD34" s="2">
        <v>6</v>
      </c>
      <c r="AE34" s="2">
        <v>14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1</v>
      </c>
      <c r="AO34" s="2">
        <v>2</v>
      </c>
      <c r="AP34" s="2">
        <v>1</v>
      </c>
      <c r="AQ34" s="2">
        <v>2</v>
      </c>
      <c r="AR34" s="2">
        <v>1</v>
      </c>
      <c r="AS34" s="2">
        <v>2</v>
      </c>
      <c r="AT34" s="2">
        <v>1</v>
      </c>
      <c r="AU34" s="2">
        <v>2</v>
      </c>
      <c r="AV34" s="2">
        <v>4</v>
      </c>
      <c r="AW34" s="2">
        <v>9</v>
      </c>
      <c r="AX34" s="2">
        <v>13</v>
      </c>
    </row>
    <row r="35" spans="1:50">
      <c r="A35" s="2" t="s">
        <v>64</v>
      </c>
      <c r="B35" s="2" t="s">
        <v>65</v>
      </c>
      <c r="C35" s="2" t="s">
        <v>107</v>
      </c>
      <c r="D35" s="2">
        <v>129397</v>
      </c>
      <c r="E35" s="2" t="s">
        <v>137</v>
      </c>
      <c r="F35" s="2" t="s">
        <v>138</v>
      </c>
      <c r="G35" s="2" t="s">
        <v>69</v>
      </c>
      <c r="H35" s="2" t="s">
        <v>70</v>
      </c>
      <c r="I35" s="2" t="s">
        <v>71</v>
      </c>
      <c r="J35" s="2" t="s">
        <v>139</v>
      </c>
      <c r="K35" s="2" t="s">
        <v>73</v>
      </c>
      <c r="L35" s="13" t="s">
        <v>74</v>
      </c>
      <c r="M35" s="2">
        <v>0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1</v>
      </c>
      <c r="T35" s="2">
        <v>0</v>
      </c>
      <c r="U35" s="2">
        <v>1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0</v>
      </c>
      <c r="AB35" s="2">
        <v>0</v>
      </c>
      <c r="AC35" s="2">
        <v>4</v>
      </c>
      <c r="AD35" s="2">
        <v>3</v>
      </c>
      <c r="AE35" s="2">
        <v>7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</row>
    <row r="36" spans="1:50">
      <c r="A36" s="2" t="s">
        <v>64</v>
      </c>
      <c r="B36" s="2" t="s">
        <v>65</v>
      </c>
      <c r="C36" s="2" t="s">
        <v>107</v>
      </c>
      <c r="D36" s="2">
        <v>129398</v>
      </c>
      <c r="E36" s="2" t="s">
        <v>140</v>
      </c>
      <c r="F36" s="2" t="s">
        <v>141</v>
      </c>
      <c r="G36" s="2" t="s">
        <v>69</v>
      </c>
      <c r="H36" s="2" t="s">
        <v>70</v>
      </c>
      <c r="I36" s="2" t="s">
        <v>71</v>
      </c>
      <c r="J36" s="2" t="s">
        <v>142</v>
      </c>
      <c r="K36" s="2" t="s">
        <v>73</v>
      </c>
      <c r="L36" s="13" t="s">
        <v>74</v>
      </c>
      <c r="M36" s="2">
        <v>0</v>
      </c>
      <c r="N36" s="2">
        <v>3</v>
      </c>
      <c r="O36" s="2">
        <v>3</v>
      </c>
      <c r="P36" s="2">
        <v>0</v>
      </c>
      <c r="Q36" s="2">
        <v>2</v>
      </c>
      <c r="R36" s="2">
        <v>0</v>
      </c>
      <c r="S36" s="2">
        <v>2</v>
      </c>
      <c r="T36" s="2">
        <v>0</v>
      </c>
      <c r="U36" s="2">
        <v>2</v>
      </c>
      <c r="V36" s="2">
        <v>1</v>
      </c>
      <c r="W36" s="2">
        <v>0</v>
      </c>
      <c r="X36" s="2">
        <v>2</v>
      </c>
      <c r="Y36" s="2">
        <v>0</v>
      </c>
      <c r="Z36" s="2">
        <v>1</v>
      </c>
      <c r="AA36" s="2">
        <v>0</v>
      </c>
      <c r="AB36" s="2">
        <v>0</v>
      </c>
      <c r="AC36" s="2">
        <v>9</v>
      </c>
      <c r="AD36" s="2">
        <v>7</v>
      </c>
      <c r="AE36" s="2">
        <v>16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1</v>
      </c>
      <c r="AO36" s="2">
        <v>0</v>
      </c>
      <c r="AP36" s="2">
        <v>0</v>
      </c>
      <c r="AQ36" s="2">
        <v>0</v>
      </c>
      <c r="AR36" s="2">
        <v>1</v>
      </c>
      <c r="AS36" s="2">
        <v>0</v>
      </c>
      <c r="AT36" s="2">
        <v>0</v>
      </c>
      <c r="AU36" s="2">
        <v>0</v>
      </c>
      <c r="AV36" s="2">
        <v>2</v>
      </c>
      <c r="AW36" s="2">
        <v>0</v>
      </c>
      <c r="AX36" s="2">
        <v>2</v>
      </c>
    </row>
    <row r="37" spans="1:50">
      <c r="A37" s="2" t="s">
        <v>64</v>
      </c>
      <c r="B37" s="2" t="s">
        <v>65</v>
      </c>
      <c r="C37" s="2" t="s">
        <v>107</v>
      </c>
      <c r="D37" s="2">
        <v>129399</v>
      </c>
      <c r="E37" s="2" t="s">
        <v>143</v>
      </c>
      <c r="F37" s="2" t="s">
        <v>144</v>
      </c>
      <c r="G37" s="2" t="s">
        <v>69</v>
      </c>
      <c r="H37" s="2" t="s">
        <v>70</v>
      </c>
      <c r="I37" s="2" t="s">
        <v>71</v>
      </c>
      <c r="J37" s="2" t="s">
        <v>145</v>
      </c>
      <c r="K37" s="2" t="s">
        <v>73</v>
      </c>
      <c r="L37" s="13" t="s">
        <v>74</v>
      </c>
      <c r="M37" s="2">
        <v>0</v>
      </c>
      <c r="N37" s="2">
        <v>4</v>
      </c>
      <c r="O37" s="2">
        <v>3</v>
      </c>
      <c r="P37" s="2">
        <v>0</v>
      </c>
      <c r="Q37" s="2">
        <v>2</v>
      </c>
      <c r="R37" s="2">
        <v>0</v>
      </c>
      <c r="S37" s="2">
        <v>2</v>
      </c>
      <c r="T37" s="2">
        <v>0</v>
      </c>
      <c r="U37" s="2">
        <v>2</v>
      </c>
      <c r="V37" s="2">
        <v>0</v>
      </c>
      <c r="W37" s="2">
        <v>1</v>
      </c>
      <c r="X37" s="2">
        <v>4</v>
      </c>
      <c r="Y37" s="2">
        <v>0</v>
      </c>
      <c r="Z37" s="2">
        <v>1</v>
      </c>
      <c r="AA37" s="2">
        <v>0</v>
      </c>
      <c r="AB37" s="2">
        <v>0</v>
      </c>
      <c r="AC37" s="2">
        <v>10</v>
      </c>
      <c r="AD37" s="2">
        <v>9</v>
      </c>
      <c r="AE37" s="2">
        <v>19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3</v>
      </c>
      <c r="AP37" s="2">
        <v>1</v>
      </c>
      <c r="AQ37" s="2">
        <v>4</v>
      </c>
      <c r="AR37" s="2">
        <v>1</v>
      </c>
      <c r="AS37" s="2">
        <v>4</v>
      </c>
      <c r="AT37" s="2">
        <v>0</v>
      </c>
      <c r="AU37" s="2">
        <v>0</v>
      </c>
      <c r="AV37" s="2">
        <v>2</v>
      </c>
      <c r="AW37" s="2">
        <v>11</v>
      </c>
      <c r="AX37" s="2">
        <v>13</v>
      </c>
    </row>
    <row r="38" spans="1:50">
      <c r="A38" s="2" t="s">
        <v>64</v>
      </c>
      <c r="B38" s="2" t="s">
        <v>65</v>
      </c>
      <c r="C38" s="2" t="s">
        <v>107</v>
      </c>
      <c r="D38" s="2">
        <v>129400</v>
      </c>
      <c r="E38" s="2" t="s">
        <v>146</v>
      </c>
      <c r="F38" s="2" t="s">
        <v>147</v>
      </c>
      <c r="G38" s="2" t="s">
        <v>69</v>
      </c>
      <c r="H38" s="2" t="s">
        <v>70</v>
      </c>
      <c r="I38" s="2" t="s">
        <v>71</v>
      </c>
      <c r="J38" s="2" t="s">
        <v>142</v>
      </c>
      <c r="K38" s="2" t="s">
        <v>73</v>
      </c>
      <c r="L38" s="13" t="s">
        <v>74</v>
      </c>
      <c r="M38" s="2">
        <v>0</v>
      </c>
      <c r="N38" s="2">
        <v>6</v>
      </c>
      <c r="O38" s="2">
        <v>6</v>
      </c>
      <c r="P38" s="2">
        <v>0</v>
      </c>
      <c r="Q38" s="2">
        <v>5</v>
      </c>
      <c r="R38" s="2">
        <v>0</v>
      </c>
      <c r="S38" s="2">
        <v>6</v>
      </c>
      <c r="T38" s="2">
        <v>0</v>
      </c>
      <c r="U38" s="2">
        <v>4</v>
      </c>
      <c r="V38" s="2">
        <v>3</v>
      </c>
      <c r="W38" s="2">
        <v>2</v>
      </c>
      <c r="X38" s="2">
        <v>6</v>
      </c>
      <c r="Y38" s="2">
        <v>0</v>
      </c>
      <c r="Z38" s="2">
        <v>3</v>
      </c>
      <c r="AA38" s="2">
        <v>0</v>
      </c>
      <c r="AB38" s="2">
        <v>0</v>
      </c>
      <c r="AC38" s="2">
        <v>23</v>
      </c>
      <c r="AD38" s="2">
        <v>18</v>
      </c>
      <c r="AE38" s="2">
        <v>41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</row>
    <row r="39" spans="1:50">
      <c r="A39" s="2" t="s">
        <v>64</v>
      </c>
      <c r="B39" s="2" t="s">
        <v>65</v>
      </c>
      <c r="C39" s="2" t="s">
        <v>107</v>
      </c>
      <c r="D39" s="2">
        <v>129401</v>
      </c>
      <c r="E39" s="2" t="s">
        <v>148</v>
      </c>
      <c r="F39" s="2" t="s">
        <v>149</v>
      </c>
      <c r="G39" s="2" t="s">
        <v>69</v>
      </c>
      <c r="H39" s="2" t="s">
        <v>70</v>
      </c>
      <c r="I39" s="2" t="s">
        <v>71</v>
      </c>
      <c r="J39" s="2" t="s">
        <v>116</v>
      </c>
      <c r="K39" s="2" t="s">
        <v>73</v>
      </c>
      <c r="L39" s="13" t="s">
        <v>74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>
        <v>1</v>
      </c>
      <c r="AE39" s="2">
        <v>1</v>
      </c>
      <c r="AF39" s="2">
        <v>0</v>
      </c>
      <c r="AG39" s="2">
        <v>1</v>
      </c>
      <c r="AH39" s="2">
        <v>0</v>
      </c>
      <c r="AI39" s="2">
        <v>1</v>
      </c>
      <c r="AJ39" s="2">
        <v>0</v>
      </c>
      <c r="AK39" s="2">
        <v>1</v>
      </c>
      <c r="AL39" s="2">
        <v>0</v>
      </c>
      <c r="AM39" s="2">
        <v>1</v>
      </c>
      <c r="AN39" s="2">
        <v>0</v>
      </c>
      <c r="AO39" s="2">
        <v>1</v>
      </c>
      <c r="AP39" s="2">
        <v>1</v>
      </c>
      <c r="AQ39" s="2">
        <v>2</v>
      </c>
      <c r="AR39" s="2">
        <v>0</v>
      </c>
      <c r="AS39" s="2">
        <v>1</v>
      </c>
      <c r="AT39" s="2">
        <v>0</v>
      </c>
      <c r="AU39" s="2">
        <v>0</v>
      </c>
      <c r="AV39" s="2">
        <v>1</v>
      </c>
      <c r="AW39" s="2">
        <v>8</v>
      </c>
      <c r="AX39" s="2">
        <v>9</v>
      </c>
    </row>
    <row r="40" spans="1:50">
      <c r="A40" s="2" t="s">
        <v>64</v>
      </c>
      <c r="B40" s="2" t="s">
        <v>65</v>
      </c>
      <c r="C40" s="2" t="s">
        <v>107</v>
      </c>
      <c r="D40" s="2">
        <v>129402</v>
      </c>
      <c r="E40" s="2" t="s">
        <v>150</v>
      </c>
      <c r="F40" s="2" t="s">
        <v>151</v>
      </c>
      <c r="G40" s="2" t="s">
        <v>69</v>
      </c>
      <c r="H40" s="2" t="s">
        <v>70</v>
      </c>
      <c r="I40" s="2" t="s">
        <v>71</v>
      </c>
      <c r="J40" s="2" t="s">
        <v>130</v>
      </c>
      <c r="K40" s="2" t="s">
        <v>73</v>
      </c>
      <c r="L40" s="13" t="s">
        <v>74</v>
      </c>
      <c r="M40" s="2">
        <v>0</v>
      </c>
      <c r="N40" s="2">
        <v>1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</v>
      </c>
      <c r="AA40" s="2">
        <v>0</v>
      </c>
      <c r="AB40" s="2">
        <v>0</v>
      </c>
      <c r="AC40" s="2">
        <v>2</v>
      </c>
      <c r="AD40" s="2">
        <v>2</v>
      </c>
      <c r="AE40" s="2">
        <v>4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0</v>
      </c>
      <c r="AQ40" s="2">
        <v>1</v>
      </c>
      <c r="AR40" s="2">
        <v>1</v>
      </c>
      <c r="AS40" s="2">
        <v>0</v>
      </c>
      <c r="AT40" s="2">
        <v>0</v>
      </c>
      <c r="AU40" s="2">
        <v>0</v>
      </c>
      <c r="AV40" s="2">
        <v>1</v>
      </c>
      <c r="AW40" s="2">
        <v>2</v>
      </c>
      <c r="AX40" s="2">
        <v>3</v>
      </c>
    </row>
    <row r="41" spans="1:50">
      <c r="A41" s="2" t="s">
        <v>64</v>
      </c>
      <c r="B41" s="2" t="s">
        <v>65</v>
      </c>
      <c r="C41" s="2" t="s">
        <v>107</v>
      </c>
      <c r="D41" s="2">
        <v>129403</v>
      </c>
      <c r="E41" s="2" t="s">
        <v>152</v>
      </c>
      <c r="F41" s="2" t="s">
        <v>153</v>
      </c>
      <c r="G41" s="2" t="s">
        <v>69</v>
      </c>
      <c r="H41" s="2" t="s">
        <v>70</v>
      </c>
      <c r="I41" s="2" t="s">
        <v>71</v>
      </c>
      <c r="J41" s="2" t="s">
        <v>110</v>
      </c>
      <c r="K41" s="2" t="s">
        <v>73</v>
      </c>
      <c r="L41" s="13" t="s">
        <v>74</v>
      </c>
      <c r="M41" s="2">
        <v>0</v>
      </c>
      <c r="N41" s="2">
        <v>1</v>
      </c>
      <c r="O41" s="2">
        <v>1</v>
      </c>
      <c r="P41" s="2">
        <v>0</v>
      </c>
      <c r="Q41" s="2">
        <v>1</v>
      </c>
      <c r="R41" s="2">
        <v>0</v>
      </c>
      <c r="S41" s="2">
        <v>1</v>
      </c>
      <c r="T41" s="2">
        <v>0</v>
      </c>
      <c r="U41" s="2">
        <v>2</v>
      </c>
      <c r="V41" s="2">
        <v>0</v>
      </c>
      <c r="W41" s="2">
        <v>0</v>
      </c>
      <c r="X41" s="2">
        <v>1</v>
      </c>
      <c r="Y41" s="2">
        <v>0</v>
      </c>
      <c r="Z41" s="2">
        <v>1</v>
      </c>
      <c r="AA41" s="2">
        <v>0</v>
      </c>
      <c r="AB41" s="2">
        <v>0</v>
      </c>
      <c r="AC41" s="2">
        <v>5</v>
      </c>
      <c r="AD41" s="2">
        <v>3</v>
      </c>
      <c r="AE41" s="2">
        <v>8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</row>
    <row r="42" spans="1:50">
      <c r="A42" s="2" t="s">
        <v>64</v>
      </c>
      <c r="B42" s="2" t="s">
        <v>65</v>
      </c>
      <c r="C42" s="2" t="s">
        <v>107</v>
      </c>
      <c r="D42" s="2">
        <v>129404</v>
      </c>
      <c r="E42" s="2" t="s">
        <v>154</v>
      </c>
      <c r="F42" s="2" t="s">
        <v>155</v>
      </c>
      <c r="G42" s="2" t="s">
        <v>69</v>
      </c>
      <c r="H42" s="2" t="s">
        <v>70</v>
      </c>
      <c r="I42" s="2" t="s">
        <v>71</v>
      </c>
      <c r="J42" s="2" t="s">
        <v>156</v>
      </c>
      <c r="K42" s="2" t="s">
        <v>73</v>
      </c>
      <c r="L42" s="13" t="s">
        <v>74</v>
      </c>
      <c r="M42" s="2">
        <v>0</v>
      </c>
      <c r="N42" s="2">
        <v>2</v>
      </c>
      <c r="O42" s="2">
        <v>1</v>
      </c>
      <c r="P42" s="2">
        <v>0</v>
      </c>
      <c r="Q42" s="2">
        <v>1</v>
      </c>
      <c r="R42" s="2">
        <v>0</v>
      </c>
      <c r="S42" s="2">
        <v>1</v>
      </c>
      <c r="T42" s="2">
        <v>0</v>
      </c>
      <c r="U42" s="2">
        <v>1</v>
      </c>
      <c r="V42" s="2">
        <v>0</v>
      </c>
      <c r="W42" s="2">
        <v>0</v>
      </c>
      <c r="X42" s="2">
        <v>1</v>
      </c>
      <c r="Y42" s="2">
        <v>0</v>
      </c>
      <c r="Z42" s="2">
        <v>1</v>
      </c>
      <c r="AA42" s="2">
        <v>0</v>
      </c>
      <c r="AB42" s="2">
        <v>0</v>
      </c>
      <c r="AC42" s="2">
        <v>4</v>
      </c>
      <c r="AD42" s="2">
        <v>4</v>
      </c>
      <c r="AE42" s="2">
        <v>8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1</v>
      </c>
      <c r="AX42" s="2">
        <v>1</v>
      </c>
    </row>
    <row r="43" spans="1:50">
      <c r="A43" s="2" t="s">
        <v>64</v>
      </c>
      <c r="B43" s="2" t="s">
        <v>65</v>
      </c>
      <c r="C43" s="2" t="s">
        <v>107</v>
      </c>
      <c r="D43" s="2">
        <v>129405</v>
      </c>
      <c r="E43" s="2" t="s">
        <v>157</v>
      </c>
      <c r="F43" s="2" t="s">
        <v>158</v>
      </c>
      <c r="G43" s="2" t="s">
        <v>69</v>
      </c>
      <c r="H43" s="2" t="s">
        <v>70</v>
      </c>
      <c r="I43" s="2" t="s">
        <v>71</v>
      </c>
      <c r="J43" s="2" t="s">
        <v>159</v>
      </c>
      <c r="K43" s="2" t="s">
        <v>73</v>
      </c>
      <c r="L43" s="13" t="s">
        <v>74</v>
      </c>
      <c r="M43" s="2">
        <v>0</v>
      </c>
      <c r="N43" s="2">
        <v>2</v>
      </c>
      <c r="O43" s="2">
        <v>2</v>
      </c>
      <c r="P43" s="2">
        <v>0</v>
      </c>
      <c r="Q43" s="2">
        <v>2</v>
      </c>
      <c r="R43" s="2">
        <v>0</v>
      </c>
      <c r="S43" s="2">
        <v>0</v>
      </c>
      <c r="T43" s="2">
        <v>1</v>
      </c>
      <c r="U43" s="2">
        <v>1</v>
      </c>
      <c r="V43" s="2">
        <v>1</v>
      </c>
      <c r="W43" s="2">
        <v>1</v>
      </c>
      <c r="X43" s="2">
        <v>2</v>
      </c>
      <c r="Y43" s="2">
        <v>0</v>
      </c>
      <c r="Z43" s="2">
        <v>1</v>
      </c>
      <c r="AA43" s="2">
        <v>0</v>
      </c>
      <c r="AB43" s="2">
        <v>0</v>
      </c>
      <c r="AC43" s="2">
        <v>6</v>
      </c>
      <c r="AD43" s="2">
        <v>7</v>
      </c>
      <c r="AE43" s="2">
        <v>13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</row>
    <row r="44" spans="1:50">
      <c r="A44" s="2" t="s">
        <v>64</v>
      </c>
      <c r="B44" s="2" t="s">
        <v>65</v>
      </c>
      <c r="C44" s="2" t="s">
        <v>107</v>
      </c>
      <c r="D44" s="2">
        <v>129406</v>
      </c>
      <c r="E44" s="2" t="s">
        <v>160</v>
      </c>
      <c r="F44" s="2" t="s">
        <v>161</v>
      </c>
      <c r="G44" s="2" t="s">
        <v>69</v>
      </c>
      <c r="H44" s="2" t="s">
        <v>70</v>
      </c>
      <c r="I44" s="2" t="s">
        <v>71</v>
      </c>
      <c r="J44" s="2" t="s">
        <v>127</v>
      </c>
      <c r="K44" s="2" t="s">
        <v>73</v>
      </c>
      <c r="L44" s="13" t="s">
        <v>74</v>
      </c>
      <c r="M44" s="2">
        <v>0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1</v>
      </c>
      <c r="T44" s="2">
        <v>0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0</v>
      </c>
      <c r="AB44" s="2">
        <v>0</v>
      </c>
      <c r="AC44" s="2">
        <v>4</v>
      </c>
      <c r="AD44" s="2">
        <v>3</v>
      </c>
      <c r="AE44" s="2">
        <v>7</v>
      </c>
      <c r="AF44" s="2">
        <v>0</v>
      </c>
      <c r="AG44" s="2">
        <v>1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1</v>
      </c>
      <c r="AX44" s="2">
        <v>1</v>
      </c>
    </row>
    <row r="45" spans="1:50">
      <c r="A45" s="2" t="s">
        <v>64</v>
      </c>
      <c r="B45" s="2" t="s">
        <v>65</v>
      </c>
      <c r="C45" s="2" t="s">
        <v>107</v>
      </c>
      <c r="D45" s="2">
        <v>129407</v>
      </c>
      <c r="E45" s="2" t="s">
        <v>162</v>
      </c>
      <c r="F45" s="2" t="s">
        <v>163</v>
      </c>
      <c r="G45" s="2" t="s">
        <v>69</v>
      </c>
      <c r="H45" s="2" t="s">
        <v>70</v>
      </c>
      <c r="I45" s="2" t="s">
        <v>71</v>
      </c>
      <c r="J45" s="2" t="s">
        <v>139</v>
      </c>
      <c r="K45" s="2" t="s">
        <v>73</v>
      </c>
      <c r="L45" s="13" t="s">
        <v>74</v>
      </c>
      <c r="M45" s="2">
        <v>0</v>
      </c>
      <c r="N45" s="2">
        <v>2</v>
      </c>
      <c r="O45" s="2">
        <v>2</v>
      </c>
      <c r="P45" s="2">
        <v>0</v>
      </c>
      <c r="Q45" s="2">
        <v>1</v>
      </c>
      <c r="R45" s="2">
        <v>0</v>
      </c>
      <c r="S45" s="2">
        <v>1</v>
      </c>
      <c r="T45" s="2">
        <v>1</v>
      </c>
      <c r="U45" s="2">
        <v>2</v>
      </c>
      <c r="V45" s="2">
        <v>0</v>
      </c>
      <c r="W45" s="2">
        <v>1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7</v>
      </c>
      <c r="AD45" s="2">
        <v>5</v>
      </c>
      <c r="AE45" s="2">
        <v>12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1</v>
      </c>
      <c r="AS45" s="2">
        <v>0</v>
      </c>
      <c r="AT45" s="2">
        <v>1</v>
      </c>
      <c r="AU45" s="2">
        <v>0</v>
      </c>
      <c r="AV45" s="2">
        <v>2</v>
      </c>
      <c r="AW45" s="2">
        <v>0</v>
      </c>
      <c r="AX45" s="2">
        <v>2</v>
      </c>
    </row>
    <row r="46" spans="1:50">
      <c r="A46" s="2" t="s">
        <v>64</v>
      </c>
      <c r="B46" s="2" t="s">
        <v>65</v>
      </c>
      <c r="C46" s="2" t="s">
        <v>107</v>
      </c>
      <c r="D46" s="2">
        <v>129408</v>
      </c>
      <c r="E46" s="2" t="s">
        <v>164</v>
      </c>
      <c r="F46" s="2" t="s">
        <v>165</v>
      </c>
      <c r="G46" s="2" t="s">
        <v>69</v>
      </c>
      <c r="H46" s="2" t="s">
        <v>70</v>
      </c>
      <c r="I46" s="2" t="s">
        <v>71</v>
      </c>
      <c r="J46" s="2" t="s">
        <v>142</v>
      </c>
      <c r="K46" s="2" t="s">
        <v>73</v>
      </c>
      <c r="L46" s="13" t="s">
        <v>74</v>
      </c>
      <c r="M46" s="2">
        <v>0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2</v>
      </c>
      <c r="T46" s="2">
        <v>0</v>
      </c>
      <c r="U46" s="2">
        <v>0</v>
      </c>
      <c r="V46" s="2">
        <v>1</v>
      </c>
      <c r="W46" s="2">
        <v>0</v>
      </c>
      <c r="X46" s="2">
        <v>1</v>
      </c>
      <c r="Y46" s="2">
        <v>0</v>
      </c>
      <c r="Z46" s="2">
        <v>1</v>
      </c>
      <c r="AA46" s="2">
        <v>0</v>
      </c>
      <c r="AB46" s="2">
        <v>0</v>
      </c>
      <c r="AC46" s="2">
        <v>4</v>
      </c>
      <c r="AD46" s="2">
        <v>4</v>
      </c>
      <c r="AE46" s="2">
        <v>8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</v>
      </c>
      <c r="AO46" s="2">
        <v>0</v>
      </c>
      <c r="AP46" s="2">
        <v>1</v>
      </c>
      <c r="AQ46" s="2">
        <v>2</v>
      </c>
      <c r="AR46" s="2">
        <v>0</v>
      </c>
      <c r="AS46" s="2">
        <v>2</v>
      </c>
      <c r="AT46" s="2">
        <v>0</v>
      </c>
      <c r="AU46" s="2">
        <v>0</v>
      </c>
      <c r="AV46" s="2">
        <v>2</v>
      </c>
      <c r="AW46" s="2">
        <v>4</v>
      </c>
      <c r="AX46" s="2">
        <v>6</v>
      </c>
    </row>
    <row r="47" spans="1:50">
      <c r="A47" s="2" t="s">
        <v>64</v>
      </c>
      <c r="B47" s="2" t="s">
        <v>65</v>
      </c>
      <c r="C47" s="2" t="s">
        <v>107</v>
      </c>
      <c r="D47" s="2">
        <v>129409</v>
      </c>
      <c r="E47" s="2" t="s">
        <v>166</v>
      </c>
      <c r="F47" s="2" t="s">
        <v>167</v>
      </c>
      <c r="G47" s="2" t="s">
        <v>69</v>
      </c>
      <c r="H47" s="2" t="s">
        <v>70</v>
      </c>
      <c r="I47" s="2" t="s">
        <v>71</v>
      </c>
      <c r="J47" s="2" t="s">
        <v>168</v>
      </c>
      <c r="K47" s="2" t="s">
        <v>73</v>
      </c>
      <c r="L47" s="13" t="s">
        <v>74</v>
      </c>
      <c r="M47" s="2">
        <v>0</v>
      </c>
      <c r="N47" s="2">
        <v>3</v>
      </c>
      <c r="O47" s="2">
        <v>3</v>
      </c>
      <c r="P47" s="2">
        <v>0</v>
      </c>
      <c r="Q47" s="2">
        <v>3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2</v>
      </c>
      <c r="AA47" s="2">
        <v>0</v>
      </c>
      <c r="AB47" s="2">
        <v>0</v>
      </c>
      <c r="AC47" s="2">
        <v>6</v>
      </c>
      <c r="AD47" s="2">
        <v>5</v>
      </c>
      <c r="AE47" s="2">
        <v>11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1</v>
      </c>
      <c r="AO47" s="2">
        <v>3</v>
      </c>
      <c r="AP47" s="2">
        <v>1</v>
      </c>
      <c r="AQ47" s="2">
        <v>4</v>
      </c>
      <c r="AR47" s="2">
        <v>1</v>
      </c>
      <c r="AS47" s="2">
        <v>4</v>
      </c>
      <c r="AT47" s="2">
        <v>0</v>
      </c>
      <c r="AU47" s="2">
        <v>0</v>
      </c>
      <c r="AV47" s="2">
        <v>3</v>
      </c>
      <c r="AW47" s="2">
        <v>11</v>
      </c>
      <c r="AX47" s="2">
        <v>14</v>
      </c>
    </row>
    <row r="48" spans="1:50">
      <c r="A48" s="2" t="s">
        <v>64</v>
      </c>
      <c r="B48" s="2" t="s">
        <v>65</v>
      </c>
      <c r="C48" s="2" t="s">
        <v>107</v>
      </c>
      <c r="D48" s="2">
        <v>257001</v>
      </c>
      <c r="E48" s="2" t="s">
        <v>169</v>
      </c>
      <c r="F48" s="2" t="s">
        <v>170</v>
      </c>
      <c r="G48" s="2" t="s">
        <v>69</v>
      </c>
      <c r="H48" s="2" t="s">
        <v>70</v>
      </c>
      <c r="I48" s="2" t="s">
        <v>71</v>
      </c>
      <c r="J48" s="2" t="s">
        <v>119</v>
      </c>
      <c r="K48" s="2" t="s">
        <v>73</v>
      </c>
      <c r="L48" s="13" t="s">
        <v>74</v>
      </c>
      <c r="M48" s="2">
        <v>0</v>
      </c>
      <c r="N48" s="2">
        <v>2</v>
      </c>
      <c r="O48" s="2">
        <v>2</v>
      </c>
      <c r="P48" s="2">
        <v>0</v>
      </c>
      <c r="Q48" s="2">
        <v>2</v>
      </c>
      <c r="R48" s="2">
        <v>0</v>
      </c>
      <c r="S48" s="2">
        <v>2</v>
      </c>
      <c r="T48" s="2">
        <v>0</v>
      </c>
      <c r="U48" s="2">
        <v>3</v>
      </c>
      <c r="V48" s="2">
        <v>0</v>
      </c>
      <c r="W48" s="2">
        <v>0</v>
      </c>
      <c r="X48" s="2">
        <v>3</v>
      </c>
      <c r="Y48" s="2">
        <v>0</v>
      </c>
      <c r="Z48" s="2">
        <v>1</v>
      </c>
      <c r="AA48" s="2">
        <v>0</v>
      </c>
      <c r="AB48" s="2">
        <v>0</v>
      </c>
      <c r="AC48" s="2">
        <v>9</v>
      </c>
      <c r="AD48" s="2">
        <v>6</v>
      </c>
      <c r="AE48" s="2">
        <v>15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</row>
    <row r="49" spans="1:50">
      <c r="A49" s="2" t="s">
        <v>64</v>
      </c>
      <c r="B49" s="2" t="s">
        <v>65</v>
      </c>
      <c r="C49" s="2" t="s">
        <v>171</v>
      </c>
      <c r="D49" s="2">
        <v>102157</v>
      </c>
      <c r="E49" s="2" t="s">
        <v>172</v>
      </c>
      <c r="F49" s="2" t="s">
        <v>173</v>
      </c>
      <c r="G49" s="2" t="s">
        <v>69</v>
      </c>
      <c r="H49" s="2" t="s">
        <v>70</v>
      </c>
      <c r="I49" s="2" t="s">
        <v>71</v>
      </c>
      <c r="J49" s="2" t="s">
        <v>174</v>
      </c>
      <c r="K49" s="2" t="s">
        <v>73</v>
      </c>
      <c r="L49" s="13" t="s">
        <v>74</v>
      </c>
      <c r="M49" s="2">
        <v>0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>
        <v>1</v>
      </c>
      <c r="AD49" s="2">
        <v>2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0</v>
      </c>
      <c r="AS49" s="2">
        <v>1</v>
      </c>
      <c r="AT49" s="2">
        <v>0</v>
      </c>
      <c r="AU49" s="2">
        <v>0</v>
      </c>
      <c r="AV49" s="2">
        <v>0</v>
      </c>
      <c r="AW49" s="2">
        <v>4</v>
      </c>
      <c r="AX49" s="2">
        <v>4</v>
      </c>
    </row>
    <row r="50" spans="1:50">
      <c r="A50" s="2" t="s">
        <v>64</v>
      </c>
      <c r="B50" s="2" t="s">
        <v>65</v>
      </c>
      <c r="C50" s="2" t="s">
        <v>171</v>
      </c>
      <c r="D50" s="2">
        <v>102164</v>
      </c>
      <c r="E50" s="2" t="s">
        <v>175</v>
      </c>
      <c r="F50" s="2" t="s">
        <v>176</v>
      </c>
      <c r="G50" s="2" t="s">
        <v>69</v>
      </c>
      <c r="H50" s="2" t="s">
        <v>70</v>
      </c>
      <c r="I50" s="2" t="s">
        <v>71</v>
      </c>
      <c r="J50" s="2" t="s">
        <v>177</v>
      </c>
      <c r="K50" s="2" t="s">
        <v>73</v>
      </c>
      <c r="L50" s="13" t="s">
        <v>74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0</v>
      </c>
      <c r="AB50" s="2">
        <v>0</v>
      </c>
      <c r="AC50" s="2">
        <v>0</v>
      </c>
      <c r="AD50" s="2">
        <v>1</v>
      </c>
      <c r="AE50" s="2">
        <v>1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1</v>
      </c>
      <c r="AP50" s="2">
        <v>1</v>
      </c>
      <c r="AQ50" s="2">
        <v>1</v>
      </c>
      <c r="AR50" s="2">
        <v>1</v>
      </c>
      <c r="AS50" s="2">
        <v>0</v>
      </c>
      <c r="AT50" s="2">
        <v>0</v>
      </c>
      <c r="AU50" s="2">
        <v>0</v>
      </c>
      <c r="AV50" s="2">
        <v>2</v>
      </c>
      <c r="AW50" s="2">
        <v>5</v>
      </c>
      <c r="AX50" s="2">
        <v>7</v>
      </c>
    </row>
    <row r="51" spans="1:50">
      <c r="A51" s="2" t="s">
        <v>64</v>
      </c>
      <c r="B51" s="2" t="s">
        <v>65</v>
      </c>
      <c r="C51" s="2" t="s">
        <v>171</v>
      </c>
      <c r="D51" s="2">
        <v>129410</v>
      </c>
      <c r="E51" s="2" t="s">
        <v>178</v>
      </c>
      <c r="F51" s="2" t="s">
        <v>179</v>
      </c>
      <c r="G51" s="2" t="s">
        <v>69</v>
      </c>
      <c r="H51" s="2" t="s">
        <v>70</v>
      </c>
      <c r="I51" s="2" t="s">
        <v>71</v>
      </c>
      <c r="J51" s="2" t="s">
        <v>180</v>
      </c>
      <c r="K51" s="2" t="s">
        <v>73</v>
      </c>
      <c r="L51" s="13" t="s">
        <v>74</v>
      </c>
      <c r="M51" s="2">
        <v>0</v>
      </c>
      <c r="N51" s="2">
        <v>1</v>
      </c>
      <c r="O51" s="2">
        <v>2</v>
      </c>
      <c r="P51" s="2">
        <v>0</v>
      </c>
      <c r="Q51" s="2">
        <v>1</v>
      </c>
      <c r="R51" s="2">
        <v>1</v>
      </c>
      <c r="S51" s="2">
        <v>2</v>
      </c>
      <c r="T51" s="2">
        <v>0</v>
      </c>
      <c r="U51" s="2">
        <v>1</v>
      </c>
      <c r="V51" s="2">
        <v>0</v>
      </c>
      <c r="W51" s="2">
        <v>0</v>
      </c>
      <c r="X51" s="2">
        <v>1</v>
      </c>
      <c r="Y51" s="2">
        <v>0</v>
      </c>
      <c r="Z51" s="2">
        <v>1</v>
      </c>
      <c r="AA51" s="2">
        <v>0</v>
      </c>
      <c r="AB51" s="2">
        <v>0</v>
      </c>
      <c r="AC51" s="2">
        <v>6</v>
      </c>
      <c r="AD51" s="2">
        <v>4</v>
      </c>
      <c r="AE51" s="2">
        <v>10</v>
      </c>
      <c r="AF51" s="2">
        <v>0</v>
      </c>
      <c r="AG51" s="2">
        <v>1</v>
      </c>
      <c r="AH51" s="2">
        <v>0</v>
      </c>
      <c r="AI51" s="2">
        <v>2</v>
      </c>
      <c r="AJ51" s="2">
        <v>0</v>
      </c>
      <c r="AK51" s="2">
        <v>2</v>
      </c>
      <c r="AL51" s="2">
        <v>1</v>
      </c>
      <c r="AM51" s="2">
        <v>1</v>
      </c>
      <c r="AN51" s="2">
        <v>1</v>
      </c>
      <c r="AO51" s="2">
        <v>5</v>
      </c>
      <c r="AP51" s="2">
        <v>1</v>
      </c>
      <c r="AQ51" s="2">
        <v>4</v>
      </c>
      <c r="AR51" s="2">
        <v>1</v>
      </c>
      <c r="AS51" s="2">
        <v>5</v>
      </c>
      <c r="AT51" s="2">
        <v>0</v>
      </c>
      <c r="AU51" s="2">
        <v>0</v>
      </c>
      <c r="AV51" s="2">
        <v>4</v>
      </c>
      <c r="AW51" s="2">
        <v>20</v>
      </c>
      <c r="AX51" s="2">
        <v>24</v>
      </c>
    </row>
    <row r="52" spans="1:50">
      <c r="A52" s="2" t="s">
        <v>64</v>
      </c>
      <c r="B52" s="2" t="s">
        <v>65</v>
      </c>
      <c r="C52" s="2" t="s">
        <v>171</v>
      </c>
      <c r="D52" s="2">
        <v>129412</v>
      </c>
      <c r="E52" s="2" t="s">
        <v>181</v>
      </c>
      <c r="F52" s="2" t="s">
        <v>182</v>
      </c>
      <c r="G52" s="2" t="s">
        <v>69</v>
      </c>
      <c r="H52" s="2" t="s">
        <v>70</v>
      </c>
      <c r="I52" s="2" t="s">
        <v>71</v>
      </c>
      <c r="J52" s="2" t="s">
        <v>183</v>
      </c>
      <c r="K52" s="2" t="s">
        <v>73</v>
      </c>
      <c r="L52" s="13" t="s">
        <v>74</v>
      </c>
      <c r="M52" s="2">
        <v>0</v>
      </c>
      <c r="N52" s="2">
        <v>1</v>
      </c>
      <c r="O52" s="2">
        <v>0</v>
      </c>
      <c r="P52" s="2">
        <v>1</v>
      </c>
      <c r="Q52" s="2">
        <v>1</v>
      </c>
      <c r="R52" s="2">
        <v>0</v>
      </c>
      <c r="S52" s="2">
        <v>1</v>
      </c>
      <c r="T52" s="2">
        <v>0</v>
      </c>
      <c r="U52" s="2">
        <v>1</v>
      </c>
      <c r="V52" s="2">
        <v>0</v>
      </c>
      <c r="W52" s="2">
        <v>0</v>
      </c>
      <c r="X52" s="2">
        <v>1</v>
      </c>
      <c r="Y52" s="2">
        <v>0</v>
      </c>
      <c r="Z52" s="2">
        <v>1</v>
      </c>
      <c r="AA52" s="2">
        <v>0</v>
      </c>
      <c r="AB52" s="2">
        <v>0</v>
      </c>
      <c r="AC52" s="2">
        <v>3</v>
      </c>
      <c r="AD52" s="2">
        <v>4</v>
      </c>
      <c r="AE52" s="2">
        <v>7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</row>
    <row r="53" spans="1:50">
      <c r="A53" s="2" t="s">
        <v>64</v>
      </c>
      <c r="B53" s="2" t="s">
        <v>65</v>
      </c>
      <c r="C53" s="2" t="s">
        <v>171</v>
      </c>
      <c r="D53" s="2">
        <v>129413</v>
      </c>
      <c r="E53" s="2" t="s">
        <v>184</v>
      </c>
      <c r="F53" s="2" t="s">
        <v>185</v>
      </c>
      <c r="G53" s="2" t="s">
        <v>69</v>
      </c>
      <c r="H53" s="2" t="s">
        <v>70</v>
      </c>
      <c r="I53" s="2" t="s">
        <v>71</v>
      </c>
      <c r="J53" s="2" t="s">
        <v>180</v>
      </c>
      <c r="K53" s="2" t="s">
        <v>73</v>
      </c>
      <c r="L53" s="13" t="s">
        <v>74</v>
      </c>
      <c r="M53" s="2">
        <v>0</v>
      </c>
      <c r="N53" s="2">
        <v>2</v>
      </c>
      <c r="O53" s="2">
        <v>2</v>
      </c>
      <c r="P53" s="2">
        <v>0</v>
      </c>
      <c r="Q53" s="2">
        <v>2</v>
      </c>
      <c r="R53" s="2">
        <v>0</v>
      </c>
      <c r="S53" s="2">
        <v>2</v>
      </c>
      <c r="T53" s="2">
        <v>0</v>
      </c>
      <c r="U53" s="2">
        <v>2</v>
      </c>
      <c r="V53" s="2">
        <v>0</v>
      </c>
      <c r="W53" s="2">
        <v>0</v>
      </c>
      <c r="X53" s="2">
        <v>2</v>
      </c>
      <c r="Y53" s="2">
        <v>0</v>
      </c>
      <c r="Z53" s="2">
        <v>1</v>
      </c>
      <c r="AA53" s="2">
        <v>0</v>
      </c>
      <c r="AB53" s="2">
        <v>0</v>
      </c>
      <c r="AC53" s="2">
        <v>8</v>
      </c>
      <c r="AD53" s="2">
        <v>5</v>
      </c>
      <c r="AE53" s="2">
        <v>13</v>
      </c>
      <c r="AF53" s="2">
        <v>0</v>
      </c>
      <c r="AG53" s="2">
        <v>1</v>
      </c>
      <c r="AH53" s="2">
        <v>0</v>
      </c>
      <c r="AI53" s="2">
        <v>2</v>
      </c>
      <c r="AJ53" s="2">
        <v>0</v>
      </c>
      <c r="AK53" s="2">
        <v>2</v>
      </c>
      <c r="AL53" s="2">
        <v>0</v>
      </c>
      <c r="AM53" s="2">
        <v>2</v>
      </c>
      <c r="AN53" s="2">
        <v>0</v>
      </c>
      <c r="AO53" s="2">
        <v>4</v>
      </c>
      <c r="AP53" s="2">
        <v>0</v>
      </c>
      <c r="AQ53" s="2">
        <v>5</v>
      </c>
      <c r="AR53" s="2">
        <v>0</v>
      </c>
      <c r="AS53" s="2">
        <v>4</v>
      </c>
      <c r="AT53" s="2">
        <v>0</v>
      </c>
      <c r="AU53" s="2">
        <v>0</v>
      </c>
      <c r="AV53" s="2">
        <v>0</v>
      </c>
      <c r="AW53" s="2">
        <v>20</v>
      </c>
      <c r="AX53" s="2">
        <v>20</v>
      </c>
    </row>
    <row r="54" spans="1:50">
      <c r="A54" s="2" t="s">
        <v>64</v>
      </c>
      <c r="B54" s="2" t="s">
        <v>65</v>
      </c>
      <c r="C54" s="2" t="s">
        <v>171</v>
      </c>
      <c r="D54" s="2">
        <v>129414</v>
      </c>
      <c r="E54" s="2" t="s">
        <v>186</v>
      </c>
      <c r="F54" s="2" t="s">
        <v>187</v>
      </c>
      <c r="G54" s="2" t="s">
        <v>69</v>
      </c>
      <c r="H54" s="2" t="s">
        <v>70</v>
      </c>
      <c r="I54" s="2" t="s">
        <v>71</v>
      </c>
      <c r="J54" s="2" t="s">
        <v>188</v>
      </c>
      <c r="K54" s="2" t="s">
        <v>73</v>
      </c>
      <c r="L54" s="13" t="s">
        <v>74</v>
      </c>
      <c r="M54" s="2">
        <v>0</v>
      </c>
      <c r="N54" s="2">
        <v>2</v>
      </c>
      <c r="O54" s="2">
        <v>2</v>
      </c>
      <c r="P54" s="2">
        <v>0</v>
      </c>
      <c r="Q54" s="2">
        <v>2</v>
      </c>
      <c r="R54" s="2">
        <v>0</v>
      </c>
      <c r="S54" s="2">
        <v>2</v>
      </c>
      <c r="T54" s="2">
        <v>0</v>
      </c>
      <c r="U54" s="2">
        <v>2</v>
      </c>
      <c r="V54" s="2">
        <v>0</v>
      </c>
      <c r="W54" s="2">
        <v>1</v>
      </c>
      <c r="X54" s="2">
        <v>2</v>
      </c>
      <c r="Y54" s="2">
        <v>0</v>
      </c>
      <c r="Z54" s="2">
        <v>1</v>
      </c>
      <c r="AA54" s="2">
        <v>0</v>
      </c>
      <c r="AB54" s="2">
        <v>0</v>
      </c>
      <c r="AC54" s="2">
        <v>9</v>
      </c>
      <c r="AD54" s="2">
        <v>5</v>
      </c>
      <c r="AE54" s="2">
        <v>14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</v>
      </c>
      <c r="AQ54" s="2">
        <v>5</v>
      </c>
      <c r="AR54" s="2">
        <v>1</v>
      </c>
      <c r="AS54" s="2">
        <v>5</v>
      </c>
      <c r="AT54" s="2">
        <v>0</v>
      </c>
      <c r="AU54" s="2">
        <v>0</v>
      </c>
      <c r="AV54" s="2">
        <v>2</v>
      </c>
      <c r="AW54" s="2">
        <v>10</v>
      </c>
      <c r="AX54" s="2">
        <v>12</v>
      </c>
    </row>
    <row r="55" spans="1:50">
      <c r="A55" s="2" t="s">
        <v>64</v>
      </c>
      <c r="B55" s="2" t="s">
        <v>65</v>
      </c>
      <c r="C55" s="2" t="s">
        <v>171</v>
      </c>
      <c r="D55" s="2">
        <v>129417</v>
      </c>
      <c r="E55" s="2" t="s">
        <v>189</v>
      </c>
      <c r="F55" s="2" t="s">
        <v>190</v>
      </c>
      <c r="G55" s="2" t="s">
        <v>69</v>
      </c>
      <c r="H55" s="2" t="s">
        <v>70</v>
      </c>
      <c r="I55" s="2" t="s">
        <v>71</v>
      </c>
      <c r="J55" s="2" t="s">
        <v>174</v>
      </c>
      <c r="K55" s="2" t="s">
        <v>73</v>
      </c>
      <c r="L55" s="13" t="s">
        <v>74</v>
      </c>
      <c r="M55" s="2">
        <v>0</v>
      </c>
      <c r="N55" s="2">
        <v>3</v>
      </c>
      <c r="O55" s="2">
        <v>3</v>
      </c>
      <c r="P55" s="2">
        <v>0</v>
      </c>
      <c r="Q55" s="2">
        <v>2</v>
      </c>
      <c r="R55" s="2">
        <v>0</v>
      </c>
      <c r="S55" s="2">
        <v>3</v>
      </c>
      <c r="T55" s="2">
        <v>0</v>
      </c>
      <c r="U55" s="2">
        <v>2</v>
      </c>
      <c r="V55" s="2">
        <v>1</v>
      </c>
      <c r="W55" s="2">
        <v>0</v>
      </c>
      <c r="X55" s="2">
        <v>2</v>
      </c>
      <c r="Y55" s="2">
        <v>0</v>
      </c>
      <c r="Z55" s="2">
        <v>1</v>
      </c>
      <c r="AA55" s="2">
        <v>0</v>
      </c>
      <c r="AB55" s="2">
        <v>0</v>
      </c>
      <c r="AC55" s="2">
        <v>10</v>
      </c>
      <c r="AD55" s="2">
        <v>7</v>
      </c>
      <c r="AE55" s="2">
        <v>17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</row>
    <row r="56" spans="1:50">
      <c r="A56" s="2" t="s">
        <v>64</v>
      </c>
      <c r="B56" s="2" t="s">
        <v>65</v>
      </c>
      <c r="C56" s="2" t="s">
        <v>171</v>
      </c>
      <c r="D56" s="2">
        <v>129418</v>
      </c>
      <c r="E56" s="2" t="s">
        <v>191</v>
      </c>
      <c r="F56" s="2" t="s">
        <v>192</v>
      </c>
      <c r="G56" s="2" t="s">
        <v>69</v>
      </c>
      <c r="H56" s="2" t="s">
        <v>70</v>
      </c>
      <c r="I56" s="2" t="s">
        <v>71</v>
      </c>
      <c r="J56" s="2" t="s">
        <v>174</v>
      </c>
      <c r="K56" s="2" t="s">
        <v>73</v>
      </c>
      <c r="L56" s="13" t="s">
        <v>74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1</v>
      </c>
      <c r="U56" s="2">
        <v>1</v>
      </c>
      <c r="V56" s="2">
        <v>0</v>
      </c>
      <c r="W56" s="2">
        <v>0</v>
      </c>
      <c r="X56" s="2">
        <v>1</v>
      </c>
      <c r="Y56" s="2">
        <v>0</v>
      </c>
      <c r="Z56" s="2">
        <v>1</v>
      </c>
      <c r="AA56" s="2">
        <v>0</v>
      </c>
      <c r="AB56" s="2">
        <v>0</v>
      </c>
      <c r="AC56" s="2">
        <v>2</v>
      </c>
      <c r="AD56" s="2">
        <v>5</v>
      </c>
      <c r="AE56" s="2">
        <v>7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</row>
    <row r="57" spans="1:50">
      <c r="A57" s="2" t="s">
        <v>64</v>
      </c>
      <c r="B57" s="2" t="s">
        <v>65</v>
      </c>
      <c r="C57" s="2" t="s">
        <v>171</v>
      </c>
      <c r="D57" s="2">
        <v>129419</v>
      </c>
      <c r="E57" s="2" t="s">
        <v>193</v>
      </c>
      <c r="F57" s="2" t="s">
        <v>194</v>
      </c>
      <c r="G57" s="2" t="s">
        <v>69</v>
      </c>
      <c r="H57" s="2" t="s">
        <v>70</v>
      </c>
      <c r="I57" s="2" t="s">
        <v>71</v>
      </c>
      <c r="J57" s="2" t="s">
        <v>195</v>
      </c>
      <c r="K57" s="2" t="s">
        <v>73</v>
      </c>
      <c r="L57" s="13" t="s">
        <v>74</v>
      </c>
      <c r="M57" s="2">
        <v>0</v>
      </c>
      <c r="N57" s="2">
        <v>2</v>
      </c>
      <c r="O57" s="2">
        <v>2</v>
      </c>
      <c r="P57" s="2">
        <v>0</v>
      </c>
      <c r="Q57" s="2">
        <v>2</v>
      </c>
      <c r="R57" s="2">
        <v>0</v>
      </c>
      <c r="S57" s="2">
        <v>2</v>
      </c>
      <c r="T57" s="2">
        <v>1</v>
      </c>
      <c r="U57" s="2">
        <v>2</v>
      </c>
      <c r="V57" s="2">
        <v>0</v>
      </c>
      <c r="W57" s="2">
        <v>0</v>
      </c>
      <c r="X57" s="2">
        <v>2</v>
      </c>
      <c r="Y57" s="2">
        <v>0</v>
      </c>
      <c r="Z57" s="2">
        <v>0</v>
      </c>
      <c r="AA57" s="2">
        <v>0</v>
      </c>
      <c r="AB57" s="2">
        <v>0</v>
      </c>
      <c r="AC57" s="2">
        <v>8</v>
      </c>
      <c r="AD57" s="2">
        <v>5</v>
      </c>
      <c r="AE57" s="2">
        <v>13</v>
      </c>
      <c r="AF57" s="2">
        <v>0</v>
      </c>
      <c r="AG57" s="2">
        <v>0</v>
      </c>
      <c r="AH57" s="2">
        <v>0</v>
      </c>
      <c r="AI57" s="2">
        <v>2</v>
      </c>
      <c r="AJ57" s="2">
        <v>0</v>
      </c>
      <c r="AK57" s="2">
        <v>2</v>
      </c>
      <c r="AL57" s="2">
        <v>0</v>
      </c>
      <c r="AM57" s="2">
        <v>2</v>
      </c>
      <c r="AN57" s="2">
        <v>1</v>
      </c>
      <c r="AO57" s="2">
        <v>4</v>
      </c>
      <c r="AP57" s="2">
        <v>0</v>
      </c>
      <c r="AQ57" s="2">
        <v>2</v>
      </c>
      <c r="AR57" s="2">
        <v>1</v>
      </c>
      <c r="AS57" s="2">
        <v>4</v>
      </c>
      <c r="AT57" s="2">
        <v>0</v>
      </c>
      <c r="AU57" s="2">
        <v>0</v>
      </c>
      <c r="AV57" s="2">
        <v>2</v>
      </c>
      <c r="AW57" s="2">
        <v>16</v>
      </c>
      <c r="AX57" s="2">
        <v>18</v>
      </c>
    </row>
    <row r="58" spans="1:50">
      <c r="A58" s="2" t="s">
        <v>64</v>
      </c>
      <c r="B58" s="2" t="s">
        <v>65</v>
      </c>
      <c r="C58" s="2" t="s">
        <v>171</v>
      </c>
      <c r="D58" s="2">
        <v>129420</v>
      </c>
      <c r="E58" s="2" t="s">
        <v>196</v>
      </c>
      <c r="F58" s="2" t="s">
        <v>197</v>
      </c>
      <c r="G58" s="2" t="s">
        <v>69</v>
      </c>
      <c r="H58" s="2" t="s">
        <v>70</v>
      </c>
      <c r="I58" s="2" t="s">
        <v>71</v>
      </c>
      <c r="J58" s="2" t="s">
        <v>197</v>
      </c>
      <c r="K58" s="2" t="s">
        <v>73</v>
      </c>
      <c r="L58" s="13" t="s">
        <v>74</v>
      </c>
      <c r="M58" s="2">
        <v>0</v>
      </c>
      <c r="N58" s="2">
        <v>1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  <c r="T58" s="2">
        <v>0</v>
      </c>
      <c r="U58" s="2">
        <v>1</v>
      </c>
      <c r="V58" s="2">
        <v>0</v>
      </c>
      <c r="W58" s="2">
        <v>0</v>
      </c>
      <c r="X58" s="2">
        <v>1</v>
      </c>
      <c r="Y58" s="2">
        <v>0</v>
      </c>
      <c r="Z58" s="2">
        <v>1</v>
      </c>
      <c r="AA58" s="2">
        <v>0</v>
      </c>
      <c r="AB58" s="2">
        <v>0</v>
      </c>
      <c r="AC58" s="2">
        <v>4</v>
      </c>
      <c r="AD58" s="2">
        <v>3</v>
      </c>
      <c r="AE58" s="2">
        <v>7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</row>
    <row r="59" spans="1:50">
      <c r="A59" s="2" t="s">
        <v>64</v>
      </c>
      <c r="B59" s="2" t="s">
        <v>65</v>
      </c>
      <c r="C59" s="2" t="s">
        <v>171</v>
      </c>
      <c r="D59" s="2">
        <v>129421</v>
      </c>
      <c r="E59" s="2" t="s">
        <v>198</v>
      </c>
      <c r="F59" s="2" t="s">
        <v>199</v>
      </c>
      <c r="G59" s="2" t="s">
        <v>69</v>
      </c>
      <c r="H59" s="2" t="s">
        <v>70</v>
      </c>
      <c r="I59" s="2" t="s">
        <v>71</v>
      </c>
      <c r="J59" s="2" t="s">
        <v>180</v>
      </c>
      <c r="K59" s="2" t="s">
        <v>73</v>
      </c>
      <c r="L59" s="13" t="s">
        <v>74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</row>
    <row r="60" spans="1:50">
      <c r="A60" s="2" t="s">
        <v>64</v>
      </c>
      <c r="B60" s="2" t="s">
        <v>65</v>
      </c>
      <c r="C60" s="2" t="s">
        <v>171</v>
      </c>
      <c r="D60" s="2">
        <v>129422</v>
      </c>
      <c r="E60" s="2" t="s">
        <v>200</v>
      </c>
      <c r="F60" s="2" t="s">
        <v>201</v>
      </c>
      <c r="G60" s="2" t="s">
        <v>69</v>
      </c>
      <c r="H60" s="2" t="s">
        <v>70</v>
      </c>
      <c r="I60" s="2" t="s">
        <v>71</v>
      </c>
      <c r="J60" s="2" t="s">
        <v>174</v>
      </c>
      <c r="K60" s="2" t="s">
        <v>73</v>
      </c>
      <c r="L60" s="13" t="s">
        <v>74</v>
      </c>
      <c r="M60" s="2">
        <v>0</v>
      </c>
      <c r="N60" s="2">
        <v>1</v>
      </c>
      <c r="O60" s="2">
        <v>1</v>
      </c>
      <c r="P60" s="2">
        <v>0</v>
      </c>
      <c r="Q60" s="2">
        <v>1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0</v>
      </c>
      <c r="X60" s="2">
        <v>2</v>
      </c>
      <c r="Y60" s="2">
        <v>1</v>
      </c>
      <c r="Z60" s="2">
        <v>0</v>
      </c>
      <c r="AA60" s="2">
        <v>0</v>
      </c>
      <c r="AB60" s="2">
        <v>0</v>
      </c>
      <c r="AC60" s="2">
        <v>5</v>
      </c>
      <c r="AD60" s="2">
        <v>3</v>
      </c>
      <c r="AE60" s="2">
        <v>8</v>
      </c>
      <c r="AF60" s="2">
        <v>1</v>
      </c>
      <c r="AG60" s="2">
        <v>0</v>
      </c>
      <c r="AH60" s="2">
        <v>0</v>
      </c>
      <c r="AI60" s="2">
        <v>1</v>
      </c>
      <c r="AJ60" s="2">
        <v>0</v>
      </c>
      <c r="AK60" s="2">
        <v>1</v>
      </c>
      <c r="AL60" s="2">
        <v>0</v>
      </c>
      <c r="AM60" s="2">
        <v>1</v>
      </c>
      <c r="AN60" s="2">
        <v>0</v>
      </c>
      <c r="AO60" s="2">
        <v>1</v>
      </c>
      <c r="AP60" s="2">
        <v>0</v>
      </c>
      <c r="AQ60" s="2">
        <v>1</v>
      </c>
      <c r="AR60" s="2">
        <v>0</v>
      </c>
      <c r="AS60" s="2">
        <v>2</v>
      </c>
      <c r="AT60" s="2">
        <v>0</v>
      </c>
      <c r="AU60" s="2">
        <v>0</v>
      </c>
      <c r="AV60" s="2">
        <v>1</v>
      </c>
      <c r="AW60" s="2">
        <v>7</v>
      </c>
      <c r="AX60" s="2">
        <v>8</v>
      </c>
    </row>
    <row r="61" spans="1:50">
      <c r="A61" s="2" t="s">
        <v>64</v>
      </c>
      <c r="B61" s="2" t="s">
        <v>65</v>
      </c>
      <c r="C61" s="2" t="s">
        <v>171</v>
      </c>
      <c r="D61" s="2">
        <v>501085</v>
      </c>
      <c r="E61" s="2" t="s">
        <v>202</v>
      </c>
      <c r="F61" s="2" t="s">
        <v>203</v>
      </c>
      <c r="G61" s="2" t="s">
        <v>69</v>
      </c>
      <c r="H61" s="2" t="s">
        <v>70</v>
      </c>
      <c r="I61" s="2" t="s">
        <v>71</v>
      </c>
      <c r="J61" s="2" t="s">
        <v>204</v>
      </c>
      <c r="K61" s="2" t="s">
        <v>105</v>
      </c>
      <c r="L61" s="13" t="s">
        <v>106</v>
      </c>
      <c r="M61" s="2">
        <v>1</v>
      </c>
      <c r="N61" s="2">
        <v>1</v>
      </c>
      <c r="O61" s="2">
        <v>2</v>
      </c>
      <c r="P61" s="2">
        <v>0</v>
      </c>
      <c r="Q61" s="2">
        <v>2</v>
      </c>
      <c r="R61" s="2">
        <v>0</v>
      </c>
      <c r="S61" s="2">
        <v>2</v>
      </c>
      <c r="T61" s="2">
        <v>0</v>
      </c>
      <c r="U61" s="2">
        <v>1</v>
      </c>
      <c r="V61" s="2">
        <v>1</v>
      </c>
      <c r="W61" s="2">
        <v>0</v>
      </c>
      <c r="X61" s="2">
        <v>2</v>
      </c>
      <c r="Y61" s="2">
        <v>0</v>
      </c>
      <c r="Z61" s="2">
        <v>1</v>
      </c>
      <c r="AA61" s="2">
        <v>0</v>
      </c>
      <c r="AB61" s="2">
        <v>0</v>
      </c>
      <c r="AC61" s="2">
        <v>8</v>
      </c>
      <c r="AD61" s="2">
        <v>5</v>
      </c>
      <c r="AE61" s="2">
        <v>13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</row>
    <row r="62" spans="1:50">
      <c r="A62" s="2" t="s">
        <v>64</v>
      </c>
      <c r="B62" s="2" t="s">
        <v>65</v>
      </c>
      <c r="C62" s="2" t="s">
        <v>171</v>
      </c>
      <c r="D62" s="2">
        <v>501086</v>
      </c>
      <c r="E62" s="2" t="s">
        <v>205</v>
      </c>
      <c r="F62" s="2" t="s">
        <v>206</v>
      </c>
      <c r="G62" s="2" t="s">
        <v>69</v>
      </c>
      <c r="H62" s="2" t="s">
        <v>70</v>
      </c>
      <c r="I62" s="2" t="s">
        <v>71</v>
      </c>
      <c r="J62" s="2" t="s">
        <v>207</v>
      </c>
      <c r="K62" s="2" t="s">
        <v>105</v>
      </c>
      <c r="L62" s="13" t="s">
        <v>106</v>
      </c>
      <c r="M62" s="2">
        <v>0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  <c r="T62" s="2">
        <v>1</v>
      </c>
      <c r="U62" s="2">
        <v>0</v>
      </c>
      <c r="V62" s="2">
        <v>2</v>
      </c>
      <c r="W62" s="2">
        <v>1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2</v>
      </c>
      <c r="AD62" s="2">
        <v>6</v>
      </c>
      <c r="AE62" s="2">
        <v>8</v>
      </c>
      <c r="AF62" s="2">
        <v>1</v>
      </c>
      <c r="AG62" s="2">
        <v>0</v>
      </c>
      <c r="AH62" s="2">
        <v>1</v>
      </c>
      <c r="AI62" s="2">
        <v>0</v>
      </c>
      <c r="AJ62" s="2">
        <v>1</v>
      </c>
      <c r="AK62" s="2">
        <v>0</v>
      </c>
      <c r="AL62" s="2">
        <v>1</v>
      </c>
      <c r="AM62" s="2">
        <v>0</v>
      </c>
      <c r="AN62" s="2">
        <v>1</v>
      </c>
      <c r="AO62" s="2">
        <v>0</v>
      </c>
      <c r="AP62" s="2">
        <v>2</v>
      </c>
      <c r="AQ62" s="2">
        <v>0</v>
      </c>
      <c r="AR62" s="2">
        <v>1</v>
      </c>
      <c r="AS62" s="2">
        <v>0</v>
      </c>
      <c r="AT62" s="2">
        <v>0</v>
      </c>
      <c r="AU62" s="2">
        <v>0</v>
      </c>
      <c r="AV62" s="2">
        <v>8</v>
      </c>
      <c r="AW62" s="2">
        <v>0</v>
      </c>
      <c r="AX62" s="2">
        <v>8</v>
      </c>
    </row>
    <row r="63" spans="1:50">
      <c r="A63" s="2" t="s">
        <v>64</v>
      </c>
      <c r="B63" s="2" t="s">
        <v>65</v>
      </c>
      <c r="C63" s="2" t="s">
        <v>171</v>
      </c>
      <c r="D63" s="2">
        <v>501087</v>
      </c>
      <c r="E63" s="2" t="s">
        <v>208</v>
      </c>
      <c r="F63" s="2" t="s">
        <v>209</v>
      </c>
      <c r="G63" s="2" t="s">
        <v>69</v>
      </c>
      <c r="H63" s="2" t="s">
        <v>70</v>
      </c>
      <c r="I63" s="2" t="s">
        <v>71</v>
      </c>
      <c r="J63" s="2" t="s">
        <v>177</v>
      </c>
      <c r="K63" s="2" t="s">
        <v>105</v>
      </c>
      <c r="L63" s="13" t="s">
        <v>106</v>
      </c>
      <c r="M63" s="2">
        <v>0</v>
      </c>
      <c r="N63" s="2">
        <v>1</v>
      </c>
      <c r="O63" s="2">
        <v>1</v>
      </c>
      <c r="P63" s="2">
        <v>0</v>
      </c>
      <c r="Q63" s="2">
        <v>1</v>
      </c>
      <c r="R63" s="2">
        <v>0</v>
      </c>
      <c r="S63" s="2">
        <v>1</v>
      </c>
      <c r="T63" s="2">
        <v>0</v>
      </c>
      <c r="U63" s="2">
        <v>1</v>
      </c>
      <c r="V63" s="2">
        <v>1</v>
      </c>
      <c r="W63" s="2">
        <v>0</v>
      </c>
      <c r="X63" s="2">
        <v>1</v>
      </c>
      <c r="Y63" s="2">
        <v>0</v>
      </c>
      <c r="Z63" s="2">
        <v>1</v>
      </c>
      <c r="AA63" s="2">
        <v>0</v>
      </c>
      <c r="AB63" s="2">
        <v>0</v>
      </c>
      <c r="AC63" s="2">
        <v>4</v>
      </c>
      <c r="AD63" s="2">
        <v>4</v>
      </c>
      <c r="AE63" s="2">
        <v>8</v>
      </c>
      <c r="AF63" s="2">
        <v>0</v>
      </c>
      <c r="AG63" s="2">
        <v>1</v>
      </c>
      <c r="AH63" s="2">
        <v>0</v>
      </c>
      <c r="AI63" s="2">
        <v>0</v>
      </c>
      <c r="AJ63" s="2">
        <v>0</v>
      </c>
      <c r="AK63" s="2">
        <v>1</v>
      </c>
      <c r="AL63" s="2">
        <v>0</v>
      </c>
      <c r="AM63" s="2">
        <v>0</v>
      </c>
      <c r="AN63" s="2">
        <v>0</v>
      </c>
      <c r="AO63" s="2">
        <v>1</v>
      </c>
      <c r="AP63" s="2">
        <v>1</v>
      </c>
      <c r="AQ63" s="2">
        <v>0</v>
      </c>
      <c r="AR63" s="2">
        <v>0</v>
      </c>
      <c r="AS63" s="2">
        <v>1</v>
      </c>
      <c r="AT63" s="2">
        <v>0</v>
      </c>
      <c r="AU63" s="2">
        <v>0</v>
      </c>
      <c r="AV63" s="2">
        <v>1</v>
      </c>
      <c r="AW63" s="2">
        <v>4</v>
      </c>
      <c r="AX63" s="2">
        <v>5</v>
      </c>
    </row>
  </sheetData>
  <autoFilter ref="A9:AY63" xr:uid="{00000000-0009-0000-0000-000000000000}"/>
  <mergeCells count="22">
    <mergeCell ref="AL6:AM6"/>
    <mergeCell ref="AN6:AO6"/>
    <mergeCell ref="AP6:AQ6"/>
    <mergeCell ref="AR6:AS6"/>
    <mergeCell ref="AT6:AU6"/>
    <mergeCell ref="AV6:AX6"/>
    <mergeCell ref="Y6:Z6"/>
    <mergeCell ref="AA6:AB6"/>
    <mergeCell ref="AC6:AE6"/>
    <mergeCell ref="AF6:AG6"/>
    <mergeCell ref="AH6:AI6"/>
    <mergeCell ref="AJ6:AK6"/>
    <mergeCell ref="A4:L5"/>
    <mergeCell ref="M5:AE5"/>
    <mergeCell ref="AF5:AX5"/>
    <mergeCell ref="A6:L7"/>
    <mergeCell ref="M6:N6"/>
    <mergeCell ref="O6:P6"/>
    <mergeCell ref="Q6:R6"/>
    <mergeCell ref="S6:T6"/>
    <mergeCell ref="U6:V6"/>
    <mergeCell ref="W6:X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CCC9-8A87-49FD-A67D-B1D192212B1B}">
  <dimension ref="A1:AI33"/>
  <sheetViews>
    <sheetView zoomScale="85" zoomScaleNormal="85" workbookViewId="0">
      <pane xSplit="4" ySplit="11" topLeftCell="E15" activePane="bottomRight" state="frozen"/>
      <selection activeCell="A10" sqref="A10:XFD60"/>
      <selection pane="topRight" activeCell="A10" sqref="A10:XFD60"/>
      <selection pane="bottomLeft" activeCell="A10" sqref="A10:XFD60"/>
      <selection pane="bottomRight" activeCell="B34" sqref="A34:XFD79"/>
    </sheetView>
  </sheetViews>
  <sheetFormatPr defaultRowHeight="15"/>
  <cols>
    <col min="1" max="1" width="9.140625" style="2"/>
    <col min="2" max="2" width="27.140625" style="2" bestFit="1" customWidth="1"/>
    <col min="3" max="16384" width="9.140625" style="2"/>
  </cols>
  <sheetData>
    <row r="1" spans="1:35">
      <c r="A1" s="1" t="s">
        <v>211</v>
      </c>
    </row>
    <row r="2" spans="1:35">
      <c r="A2" s="1" t="s">
        <v>1</v>
      </c>
      <c r="L2" s="3"/>
    </row>
    <row r="3" spans="1:35">
      <c r="A3" s="1" t="s">
        <v>2</v>
      </c>
      <c r="L3" s="3"/>
    </row>
    <row r="4" spans="1:35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35">
      <c r="A6" s="15" t="s">
        <v>212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 t="s">
        <v>213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 t="s">
        <v>214</v>
      </c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5">
      <c r="M8" s="16" t="s">
        <v>215</v>
      </c>
      <c r="N8" s="16"/>
      <c r="O8" s="16" t="s">
        <v>216</v>
      </c>
      <c r="P8" s="16"/>
      <c r="Q8" s="16" t="s">
        <v>217</v>
      </c>
      <c r="R8" s="16"/>
      <c r="S8" s="16" t="s">
        <v>218</v>
      </c>
      <c r="T8" s="16"/>
      <c r="U8" s="16" t="s">
        <v>18</v>
      </c>
      <c r="V8" s="16"/>
      <c r="W8" s="16"/>
      <c r="X8" s="16" t="s">
        <v>215</v>
      </c>
      <c r="Y8" s="16"/>
      <c r="Z8" s="16" t="s">
        <v>216</v>
      </c>
      <c r="AA8" s="16"/>
      <c r="AB8" s="16" t="s">
        <v>217</v>
      </c>
      <c r="AC8" s="16"/>
      <c r="AD8" s="16" t="s">
        <v>218</v>
      </c>
      <c r="AE8" s="16"/>
      <c r="AF8" s="16" t="s">
        <v>18</v>
      </c>
      <c r="AG8" s="16"/>
      <c r="AH8" s="16"/>
    </row>
    <row r="9" spans="1:35">
      <c r="M9" s="17" t="s">
        <v>16</v>
      </c>
      <c r="N9" s="17" t="s">
        <v>17</v>
      </c>
      <c r="O9" s="17" t="s">
        <v>16</v>
      </c>
      <c r="P9" s="17" t="s">
        <v>17</v>
      </c>
      <c r="Q9" s="17" t="s">
        <v>16</v>
      </c>
      <c r="R9" s="17" t="s">
        <v>17</v>
      </c>
      <c r="S9" s="17" t="s">
        <v>16</v>
      </c>
      <c r="T9" s="17" t="s">
        <v>17</v>
      </c>
      <c r="U9" s="17" t="s">
        <v>16</v>
      </c>
      <c r="V9" s="17" t="s">
        <v>17</v>
      </c>
      <c r="W9" s="17" t="s">
        <v>18</v>
      </c>
      <c r="X9" s="17" t="s">
        <v>16</v>
      </c>
      <c r="Y9" s="17" t="s">
        <v>17</v>
      </c>
      <c r="Z9" s="17" t="s">
        <v>16</v>
      </c>
      <c r="AA9" s="17" t="s">
        <v>17</v>
      </c>
      <c r="AB9" s="17" t="s">
        <v>16</v>
      </c>
      <c r="AC9" s="17" t="s">
        <v>17</v>
      </c>
      <c r="AD9" s="17" t="s">
        <v>16</v>
      </c>
      <c r="AE9" s="17" t="s">
        <v>17</v>
      </c>
      <c r="AF9" s="17" t="s">
        <v>16</v>
      </c>
      <c r="AG9" s="17" t="s">
        <v>17</v>
      </c>
      <c r="AH9" s="17" t="s">
        <v>18</v>
      </c>
    </row>
    <row r="10" spans="1:35">
      <c r="M10" s="18">
        <f>SUM(M12:M33)</f>
        <v>34</v>
      </c>
      <c r="N10" s="18">
        <f>SUM(N12:N33)</f>
        <v>97</v>
      </c>
      <c r="O10" s="18">
        <f>SUM(O12:O33)</f>
        <v>37</v>
      </c>
      <c r="P10" s="18">
        <f>SUM(P12:P33)</f>
        <v>80</v>
      </c>
      <c r="Q10" s="18">
        <f>SUM(Q12:Q33)</f>
        <v>41</v>
      </c>
      <c r="R10" s="18">
        <f>SUM(R12:R33)</f>
        <v>62</v>
      </c>
      <c r="S10" s="18">
        <f>SUM(S12:S33)</f>
        <v>41</v>
      </c>
      <c r="T10" s="18">
        <f>SUM(T12:T33)</f>
        <v>69</v>
      </c>
      <c r="U10" s="18">
        <f>SUM(U12:U33)</f>
        <v>153</v>
      </c>
      <c r="V10" s="18">
        <f>SUM(V12:V33)</f>
        <v>308</v>
      </c>
      <c r="W10" s="18">
        <f>SUM(W12:W33)</f>
        <v>461</v>
      </c>
      <c r="X10" s="18">
        <f>SUM(X12:X33)</f>
        <v>29</v>
      </c>
      <c r="Y10" s="18">
        <f>SUM(Y12:Y33)</f>
        <v>69</v>
      </c>
      <c r="Z10" s="18">
        <f>SUM(Z12:Z33)</f>
        <v>31</v>
      </c>
      <c r="AA10" s="18">
        <f>SUM(AA12:AA33)</f>
        <v>64</v>
      </c>
      <c r="AB10" s="18">
        <f>SUM(AB12:AB33)</f>
        <v>32</v>
      </c>
      <c r="AC10" s="18">
        <f>SUM(AC12:AC33)</f>
        <v>56</v>
      </c>
      <c r="AD10" s="18">
        <f>SUM(AD12:AD33)</f>
        <v>28</v>
      </c>
      <c r="AE10" s="18">
        <f>SUM(AE12:AE33)</f>
        <v>49</v>
      </c>
      <c r="AF10" s="18">
        <f>SUM(AF12:AF33)</f>
        <v>120</v>
      </c>
      <c r="AG10" s="18">
        <f>SUM(AG12:AG33)</f>
        <v>238</v>
      </c>
      <c r="AH10" s="18">
        <f>SUM(AH12:AH33)</f>
        <v>358</v>
      </c>
    </row>
    <row r="11" spans="1:35">
      <c r="A11" s="10" t="s">
        <v>19</v>
      </c>
      <c r="B11" s="10" t="s">
        <v>20</v>
      </c>
      <c r="C11" s="10" t="s">
        <v>21</v>
      </c>
      <c r="D11" s="10" t="s">
        <v>22</v>
      </c>
      <c r="E11" s="10" t="s">
        <v>23</v>
      </c>
      <c r="F11" s="10" t="s">
        <v>24</v>
      </c>
      <c r="G11" s="10" t="s">
        <v>25</v>
      </c>
      <c r="H11" s="10" t="s">
        <v>26</v>
      </c>
      <c r="I11" s="10" t="s">
        <v>27</v>
      </c>
      <c r="J11" s="10" t="s">
        <v>28</v>
      </c>
      <c r="K11" s="10" t="s">
        <v>29</v>
      </c>
      <c r="L11" s="11" t="s">
        <v>30</v>
      </c>
      <c r="M11" s="18" t="s">
        <v>219</v>
      </c>
      <c r="N11" s="18" t="s">
        <v>220</v>
      </c>
      <c r="O11" s="18" t="s">
        <v>221</v>
      </c>
      <c r="P11" s="18" t="s">
        <v>222</v>
      </c>
      <c r="Q11" s="18" t="s">
        <v>223</v>
      </c>
      <c r="R11" s="18" t="s">
        <v>224</v>
      </c>
      <c r="S11" s="18" t="s">
        <v>225</v>
      </c>
      <c r="T11" s="18" t="s">
        <v>226</v>
      </c>
      <c r="U11" s="18" t="s">
        <v>16</v>
      </c>
      <c r="V11" s="18" t="s">
        <v>17</v>
      </c>
      <c r="W11" s="18" t="s">
        <v>18</v>
      </c>
      <c r="X11" s="18" t="s">
        <v>227</v>
      </c>
      <c r="Y11" s="18" t="s">
        <v>228</v>
      </c>
      <c r="Z11" s="18" t="s">
        <v>229</v>
      </c>
      <c r="AA11" s="18" t="s">
        <v>230</v>
      </c>
      <c r="AB11" s="18" t="s">
        <v>231</v>
      </c>
      <c r="AC11" s="18" t="s">
        <v>232</v>
      </c>
      <c r="AD11" s="18" t="s">
        <v>233</v>
      </c>
      <c r="AE11" s="18" t="s">
        <v>234</v>
      </c>
      <c r="AF11" s="18" t="s">
        <v>16</v>
      </c>
      <c r="AG11" s="18" t="s">
        <v>17</v>
      </c>
      <c r="AH11" s="18" t="s">
        <v>18</v>
      </c>
      <c r="AI11" s="18" t="s">
        <v>235</v>
      </c>
    </row>
    <row r="12" spans="1:35">
      <c r="A12" s="2" t="s">
        <v>64</v>
      </c>
      <c r="B12" s="2" t="s">
        <v>65</v>
      </c>
      <c r="C12" s="2" t="s">
        <v>66</v>
      </c>
      <c r="D12" s="2">
        <v>304325</v>
      </c>
      <c r="E12" s="2" t="s">
        <v>236</v>
      </c>
      <c r="F12" s="2" t="s">
        <v>237</v>
      </c>
      <c r="G12" s="2" t="s">
        <v>69</v>
      </c>
      <c r="H12" s="2" t="s">
        <v>70</v>
      </c>
      <c r="I12" s="2" t="s">
        <v>71</v>
      </c>
      <c r="J12" s="2" t="s">
        <v>82</v>
      </c>
      <c r="K12" s="2" t="s">
        <v>238</v>
      </c>
      <c r="L12" s="13" t="s">
        <v>239</v>
      </c>
      <c r="M12" s="2">
        <v>10</v>
      </c>
      <c r="N12" s="2">
        <v>26</v>
      </c>
      <c r="O12" s="2">
        <v>11</v>
      </c>
      <c r="P12" s="2">
        <v>21</v>
      </c>
      <c r="Q12" s="2">
        <v>11</v>
      </c>
      <c r="R12" s="2">
        <v>19</v>
      </c>
      <c r="S12" s="2">
        <v>14</v>
      </c>
      <c r="T12" s="2">
        <v>16</v>
      </c>
      <c r="U12" s="2">
        <f t="shared" ref="U12:V33" si="0">M12+O12+Q12+S12</f>
        <v>46</v>
      </c>
      <c r="V12" s="2">
        <f t="shared" si="0"/>
        <v>82</v>
      </c>
      <c r="W12" s="2">
        <f t="shared" ref="W12:W33" si="1">SUM(U12:V12)</f>
        <v>128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f t="shared" ref="AF12:AG33" si="2">X12+Z12+AB12+AD12</f>
        <v>0</v>
      </c>
      <c r="AG12" s="2">
        <f t="shared" si="2"/>
        <v>0</v>
      </c>
      <c r="AH12" s="2">
        <f t="shared" ref="AH12:AH33" si="3">SUM(AF12:AG12)</f>
        <v>0</v>
      </c>
    </row>
    <row r="13" spans="1:35">
      <c r="A13" s="2" t="s">
        <v>64</v>
      </c>
      <c r="B13" s="2" t="s">
        <v>65</v>
      </c>
      <c r="C13" s="2" t="s">
        <v>66</v>
      </c>
      <c r="D13" s="2">
        <v>304326</v>
      </c>
      <c r="E13" s="2" t="s">
        <v>240</v>
      </c>
      <c r="F13" s="2" t="s">
        <v>241</v>
      </c>
      <c r="G13" s="2" t="s">
        <v>69</v>
      </c>
      <c r="H13" s="2" t="s">
        <v>70</v>
      </c>
      <c r="I13" s="2" t="s">
        <v>71</v>
      </c>
      <c r="J13" s="2" t="s">
        <v>82</v>
      </c>
      <c r="K13" s="2" t="s">
        <v>238</v>
      </c>
      <c r="L13" s="13" t="s">
        <v>239</v>
      </c>
      <c r="M13" s="2">
        <v>3</v>
      </c>
      <c r="N13" s="2">
        <v>9</v>
      </c>
      <c r="O13" s="2">
        <v>4</v>
      </c>
      <c r="P13" s="2">
        <v>6</v>
      </c>
      <c r="Q13" s="2">
        <v>3</v>
      </c>
      <c r="R13" s="2">
        <v>5</v>
      </c>
      <c r="S13" s="2">
        <v>2</v>
      </c>
      <c r="T13" s="2">
        <v>5</v>
      </c>
      <c r="U13" s="2">
        <f t="shared" si="0"/>
        <v>12</v>
      </c>
      <c r="V13" s="2">
        <f t="shared" si="0"/>
        <v>25</v>
      </c>
      <c r="W13" s="2">
        <f t="shared" si="1"/>
        <v>37</v>
      </c>
      <c r="X13" s="2">
        <v>7</v>
      </c>
      <c r="Y13" s="2">
        <v>13</v>
      </c>
      <c r="Z13" s="2">
        <v>6</v>
      </c>
      <c r="AA13" s="2">
        <v>12</v>
      </c>
      <c r="AB13" s="2">
        <v>6</v>
      </c>
      <c r="AC13" s="2">
        <v>11</v>
      </c>
      <c r="AD13" s="2">
        <v>3</v>
      </c>
      <c r="AE13" s="2">
        <v>8</v>
      </c>
      <c r="AF13" s="2">
        <f t="shared" si="2"/>
        <v>22</v>
      </c>
      <c r="AG13" s="2">
        <f t="shared" si="2"/>
        <v>44</v>
      </c>
      <c r="AH13" s="2">
        <f t="shared" si="3"/>
        <v>66</v>
      </c>
    </row>
    <row r="14" spans="1:35">
      <c r="A14" s="2" t="s">
        <v>64</v>
      </c>
      <c r="B14" s="2" t="s">
        <v>65</v>
      </c>
      <c r="C14" s="2" t="s">
        <v>66</v>
      </c>
      <c r="D14" s="2">
        <v>305680</v>
      </c>
      <c r="E14" s="2" t="s">
        <v>242</v>
      </c>
      <c r="F14" s="2" t="s">
        <v>243</v>
      </c>
      <c r="G14" s="2" t="s">
        <v>69</v>
      </c>
      <c r="H14" s="2" t="s">
        <v>70</v>
      </c>
      <c r="I14" s="2" t="s">
        <v>71</v>
      </c>
      <c r="J14" s="2" t="s">
        <v>119</v>
      </c>
      <c r="K14" s="2" t="s">
        <v>244</v>
      </c>
      <c r="L14" s="13" t="s">
        <v>245</v>
      </c>
      <c r="M14" s="2">
        <v>2</v>
      </c>
      <c r="N14" s="2">
        <v>2</v>
      </c>
      <c r="O14" s="2">
        <v>2</v>
      </c>
      <c r="P14" s="2">
        <v>3</v>
      </c>
      <c r="Q14" s="2">
        <v>1</v>
      </c>
      <c r="R14" s="2">
        <v>1</v>
      </c>
      <c r="S14" s="2">
        <v>2</v>
      </c>
      <c r="T14" s="2">
        <v>0</v>
      </c>
      <c r="U14" s="2">
        <f t="shared" si="0"/>
        <v>7</v>
      </c>
      <c r="V14" s="2">
        <f t="shared" si="0"/>
        <v>6</v>
      </c>
      <c r="W14" s="2">
        <f t="shared" si="1"/>
        <v>13</v>
      </c>
      <c r="X14" s="2">
        <v>5</v>
      </c>
      <c r="Y14" s="2">
        <v>6</v>
      </c>
      <c r="Z14" s="2">
        <v>4</v>
      </c>
      <c r="AA14" s="2">
        <v>5</v>
      </c>
      <c r="AB14" s="2">
        <v>5</v>
      </c>
      <c r="AC14" s="2">
        <v>4</v>
      </c>
      <c r="AD14" s="2">
        <v>6</v>
      </c>
      <c r="AE14" s="2">
        <v>2</v>
      </c>
      <c r="AF14" s="2">
        <f t="shared" si="2"/>
        <v>20</v>
      </c>
      <c r="AG14" s="2">
        <f t="shared" si="2"/>
        <v>17</v>
      </c>
      <c r="AH14" s="2">
        <f t="shared" si="3"/>
        <v>37</v>
      </c>
    </row>
    <row r="15" spans="1:35">
      <c r="A15" s="2" t="s">
        <v>64</v>
      </c>
      <c r="B15" s="2" t="s">
        <v>65</v>
      </c>
      <c r="C15" s="2" t="s">
        <v>66</v>
      </c>
      <c r="D15" s="2">
        <v>325104</v>
      </c>
      <c r="E15" s="2" t="s">
        <v>246</v>
      </c>
      <c r="F15" s="2" t="s">
        <v>247</v>
      </c>
      <c r="G15" s="2" t="s">
        <v>69</v>
      </c>
      <c r="H15" s="2" t="s">
        <v>70</v>
      </c>
      <c r="I15" s="2" t="s">
        <v>71</v>
      </c>
      <c r="J15" s="2" t="s">
        <v>72</v>
      </c>
      <c r="K15" s="2" t="s">
        <v>238</v>
      </c>
      <c r="L15" s="13" t="s">
        <v>239</v>
      </c>
      <c r="M15" s="2">
        <v>1</v>
      </c>
      <c r="N15" s="2">
        <v>6</v>
      </c>
      <c r="O15" s="2">
        <v>3</v>
      </c>
      <c r="P15" s="2">
        <v>5</v>
      </c>
      <c r="Q15" s="2">
        <v>1</v>
      </c>
      <c r="R15" s="2">
        <v>3</v>
      </c>
      <c r="S15" s="2">
        <v>2</v>
      </c>
      <c r="T15" s="2">
        <v>5</v>
      </c>
      <c r="U15" s="2">
        <f t="shared" si="0"/>
        <v>7</v>
      </c>
      <c r="V15" s="2">
        <f t="shared" si="0"/>
        <v>19</v>
      </c>
      <c r="W15" s="2">
        <f t="shared" si="1"/>
        <v>26</v>
      </c>
      <c r="X15" s="2">
        <v>1</v>
      </c>
      <c r="Y15" s="2">
        <v>7</v>
      </c>
      <c r="Z15" s="2">
        <v>3</v>
      </c>
      <c r="AA15" s="2">
        <v>6</v>
      </c>
      <c r="AB15" s="2">
        <v>4</v>
      </c>
      <c r="AC15" s="2">
        <v>5</v>
      </c>
      <c r="AD15" s="2">
        <v>3</v>
      </c>
      <c r="AE15" s="2">
        <v>7</v>
      </c>
      <c r="AF15" s="2">
        <f t="shared" si="2"/>
        <v>11</v>
      </c>
      <c r="AG15" s="2">
        <f t="shared" si="2"/>
        <v>25</v>
      </c>
      <c r="AH15" s="2">
        <f t="shared" si="3"/>
        <v>36</v>
      </c>
    </row>
    <row r="16" spans="1:35">
      <c r="A16" s="2" t="s">
        <v>64</v>
      </c>
      <c r="B16" s="2" t="s">
        <v>65</v>
      </c>
      <c r="C16" s="2" t="s">
        <v>66</v>
      </c>
      <c r="D16" s="2">
        <v>500454</v>
      </c>
      <c r="E16" s="2" t="s">
        <v>98</v>
      </c>
      <c r="F16" s="2" t="s">
        <v>99</v>
      </c>
      <c r="G16" s="2" t="s">
        <v>69</v>
      </c>
      <c r="H16" s="2" t="s">
        <v>70</v>
      </c>
      <c r="I16" s="2" t="s">
        <v>71</v>
      </c>
      <c r="J16" s="2" t="s">
        <v>82</v>
      </c>
      <c r="K16" s="2" t="s">
        <v>100</v>
      </c>
      <c r="L16" s="13" t="s">
        <v>101</v>
      </c>
      <c r="M16" s="2">
        <v>0</v>
      </c>
      <c r="N16" s="2">
        <v>1</v>
      </c>
      <c r="O16" s="2">
        <v>1</v>
      </c>
      <c r="P16" s="2">
        <v>2</v>
      </c>
      <c r="Q16" s="2">
        <v>1</v>
      </c>
      <c r="R16" s="2">
        <v>1</v>
      </c>
      <c r="S16" s="2">
        <v>0</v>
      </c>
      <c r="T16" s="2">
        <v>1</v>
      </c>
      <c r="U16" s="2">
        <f t="shared" si="0"/>
        <v>2</v>
      </c>
      <c r="V16" s="2">
        <f t="shared" si="0"/>
        <v>5</v>
      </c>
      <c r="W16" s="2">
        <f t="shared" si="1"/>
        <v>7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f t="shared" si="2"/>
        <v>0</v>
      </c>
      <c r="AG16" s="2">
        <f t="shared" si="2"/>
        <v>0</v>
      </c>
      <c r="AH16" s="2">
        <f t="shared" si="3"/>
        <v>0</v>
      </c>
    </row>
    <row r="17" spans="1:34">
      <c r="A17" s="2" t="s">
        <v>64</v>
      </c>
      <c r="B17" s="2" t="s">
        <v>65</v>
      </c>
      <c r="C17" s="2" t="s">
        <v>66</v>
      </c>
      <c r="D17" s="2">
        <v>501424</v>
      </c>
      <c r="E17" s="2" t="s">
        <v>102</v>
      </c>
      <c r="F17" s="2" t="s">
        <v>103</v>
      </c>
      <c r="G17" s="2" t="s">
        <v>69</v>
      </c>
      <c r="H17" s="2" t="s">
        <v>70</v>
      </c>
      <c r="I17" s="2" t="s">
        <v>71</v>
      </c>
      <c r="J17" s="2" t="s">
        <v>104</v>
      </c>
      <c r="K17" s="2" t="s">
        <v>105</v>
      </c>
      <c r="L17" s="13" t="s">
        <v>106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f t="shared" si="0"/>
        <v>0</v>
      </c>
      <c r="V17" s="2">
        <f t="shared" si="0"/>
        <v>0</v>
      </c>
      <c r="W17" s="2">
        <f t="shared" si="1"/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f t="shared" si="2"/>
        <v>0</v>
      </c>
      <c r="AG17" s="2">
        <f t="shared" si="2"/>
        <v>0</v>
      </c>
      <c r="AH17" s="2">
        <f t="shared" si="3"/>
        <v>0</v>
      </c>
    </row>
    <row r="18" spans="1:34">
      <c r="A18" s="2" t="s">
        <v>64</v>
      </c>
      <c r="B18" s="2" t="s">
        <v>65</v>
      </c>
      <c r="C18" s="2" t="s">
        <v>107</v>
      </c>
      <c r="D18" s="2">
        <v>304303</v>
      </c>
      <c r="E18" s="2" t="s">
        <v>248</v>
      </c>
      <c r="F18" s="2" t="s">
        <v>249</v>
      </c>
      <c r="G18" s="2" t="s">
        <v>69</v>
      </c>
      <c r="H18" s="2" t="s">
        <v>70</v>
      </c>
      <c r="I18" s="2" t="s">
        <v>71</v>
      </c>
      <c r="J18" s="2" t="s">
        <v>113</v>
      </c>
      <c r="K18" s="2" t="s">
        <v>238</v>
      </c>
      <c r="L18" s="13" t="s">
        <v>239</v>
      </c>
      <c r="M18" s="2">
        <v>2</v>
      </c>
      <c r="N18" s="2">
        <v>4</v>
      </c>
      <c r="O18" s="2">
        <v>1</v>
      </c>
      <c r="P18" s="2">
        <v>3</v>
      </c>
      <c r="Q18" s="2">
        <v>2</v>
      </c>
      <c r="R18" s="2">
        <v>4</v>
      </c>
      <c r="S18" s="2">
        <v>2</v>
      </c>
      <c r="T18" s="2">
        <v>3</v>
      </c>
      <c r="U18" s="2">
        <f t="shared" si="0"/>
        <v>7</v>
      </c>
      <c r="V18" s="2">
        <f t="shared" si="0"/>
        <v>14</v>
      </c>
      <c r="W18" s="2">
        <f t="shared" si="1"/>
        <v>21</v>
      </c>
      <c r="X18" s="2">
        <v>2</v>
      </c>
      <c r="Y18" s="2">
        <v>4</v>
      </c>
      <c r="Z18" s="2">
        <v>1</v>
      </c>
      <c r="AA18" s="2">
        <v>3</v>
      </c>
      <c r="AB18" s="2">
        <v>2</v>
      </c>
      <c r="AC18" s="2">
        <v>4</v>
      </c>
      <c r="AD18" s="2">
        <v>2</v>
      </c>
      <c r="AE18" s="2">
        <v>3</v>
      </c>
      <c r="AF18" s="2">
        <f t="shared" si="2"/>
        <v>7</v>
      </c>
      <c r="AG18" s="2">
        <f t="shared" si="2"/>
        <v>14</v>
      </c>
      <c r="AH18" s="2">
        <f t="shared" si="3"/>
        <v>21</v>
      </c>
    </row>
    <row r="19" spans="1:34">
      <c r="A19" s="2" t="s">
        <v>64</v>
      </c>
      <c r="B19" s="2" t="s">
        <v>65</v>
      </c>
      <c r="C19" s="2" t="s">
        <v>107</v>
      </c>
      <c r="D19" s="2">
        <v>304305</v>
      </c>
      <c r="E19" s="2" t="s">
        <v>250</v>
      </c>
      <c r="F19" s="2" t="s">
        <v>251</v>
      </c>
      <c r="G19" s="2" t="s">
        <v>69</v>
      </c>
      <c r="H19" s="2" t="s">
        <v>70</v>
      </c>
      <c r="I19" s="2" t="s">
        <v>71</v>
      </c>
      <c r="J19" s="2" t="s">
        <v>124</v>
      </c>
      <c r="K19" s="2" t="s">
        <v>238</v>
      </c>
      <c r="L19" s="13" t="s">
        <v>239</v>
      </c>
      <c r="M19" s="2">
        <v>2</v>
      </c>
      <c r="N19" s="2">
        <v>4</v>
      </c>
      <c r="O19" s="2">
        <v>2</v>
      </c>
      <c r="P19" s="2">
        <v>4</v>
      </c>
      <c r="Q19" s="2">
        <v>2</v>
      </c>
      <c r="R19" s="2">
        <v>2</v>
      </c>
      <c r="S19" s="2">
        <v>1</v>
      </c>
      <c r="T19" s="2">
        <v>4</v>
      </c>
      <c r="U19" s="2">
        <f t="shared" si="0"/>
        <v>7</v>
      </c>
      <c r="V19" s="2">
        <f t="shared" si="0"/>
        <v>14</v>
      </c>
      <c r="W19" s="2">
        <f t="shared" si="1"/>
        <v>21</v>
      </c>
      <c r="X19" s="2">
        <v>2</v>
      </c>
      <c r="Y19" s="2">
        <v>4</v>
      </c>
      <c r="Z19" s="2">
        <v>2</v>
      </c>
      <c r="AA19" s="2">
        <v>4</v>
      </c>
      <c r="AB19" s="2">
        <v>2</v>
      </c>
      <c r="AC19" s="2">
        <v>2</v>
      </c>
      <c r="AD19" s="2">
        <v>1</v>
      </c>
      <c r="AE19" s="2">
        <v>4</v>
      </c>
      <c r="AF19" s="2">
        <f t="shared" si="2"/>
        <v>7</v>
      </c>
      <c r="AG19" s="2">
        <f t="shared" si="2"/>
        <v>14</v>
      </c>
      <c r="AH19" s="2">
        <f t="shared" si="3"/>
        <v>21</v>
      </c>
    </row>
    <row r="20" spans="1:34">
      <c r="A20" s="2" t="s">
        <v>64</v>
      </c>
      <c r="B20" s="2" t="s">
        <v>65</v>
      </c>
      <c r="C20" s="2" t="s">
        <v>107</v>
      </c>
      <c r="D20" s="2">
        <v>304314</v>
      </c>
      <c r="E20" s="2" t="s">
        <v>252</v>
      </c>
      <c r="F20" s="2" t="s">
        <v>144</v>
      </c>
      <c r="G20" s="2" t="s">
        <v>69</v>
      </c>
      <c r="H20" s="2" t="s">
        <v>70</v>
      </c>
      <c r="I20" s="2" t="s">
        <v>71</v>
      </c>
      <c r="J20" s="2" t="s">
        <v>145</v>
      </c>
      <c r="K20" s="2" t="s">
        <v>238</v>
      </c>
      <c r="L20" s="13" t="s">
        <v>239</v>
      </c>
      <c r="M20" s="2">
        <v>1</v>
      </c>
      <c r="N20" s="2">
        <v>3</v>
      </c>
      <c r="O20" s="2">
        <v>0</v>
      </c>
      <c r="P20" s="2">
        <v>2</v>
      </c>
      <c r="Q20" s="2">
        <v>0</v>
      </c>
      <c r="R20" s="2">
        <v>2</v>
      </c>
      <c r="S20" s="2">
        <v>0</v>
      </c>
      <c r="T20" s="2">
        <v>2</v>
      </c>
      <c r="U20" s="2">
        <f t="shared" si="0"/>
        <v>1</v>
      </c>
      <c r="V20" s="2">
        <f t="shared" si="0"/>
        <v>9</v>
      </c>
      <c r="W20" s="2">
        <f t="shared" si="1"/>
        <v>10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f t="shared" si="2"/>
        <v>0</v>
      </c>
      <c r="AG20" s="2">
        <f t="shared" si="2"/>
        <v>0</v>
      </c>
      <c r="AH20" s="2">
        <f t="shared" si="3"/>
        <v>0</v>
      </c>
    </row>
    <row r="21" spans="1:34">
      <c r="A21" s="2" t="s">
        <v>64</v>
      </c>
      <c r="B21" s="2" t="s">
        <v>65</v>
      </c>
      <c r="C21" s="2" t="s">
        <v>107</v>
      </c>
      <c r="D21" s="2">
        <v>304327</v>
      </c>
      <c r="E21" s="2" t="s">
        <v>253</v>
      </c>
      <c r="F21" s="2" t="s">
        <v>254</v>
      </c>
      <c r="G21" s="2" t="s">
        <v>69</v>
      </c>
      <c r="H21" s="2" t="s">
        <v>70</v>
      </c>
      <c r="I21" s="2" t="s">
        <v>71</v>
      </c>
      <c r="J21" s="2" t="s">
        <v>142</v>
      </c>
      <c r="K21" s="2" t="s">
        <v>238</v>
      </c>
      <c r="L21" s="13" t="s">
        <v>239</v>
      </c>
      <c r="M21" s="2">
        <v>3</v>
      </c>
      <c r="N21" s="2">
        <v>10</v>
      </c>
      <c r="O21" s="2">
        <v>4</v>
      </c>
      <c r="P21" s="2">
        <v>5</v>
      </c>
      <c r="Q21" s="2">
        <v>8</v>
      </c>
      <c r="R21" s="2">
        <v>3</v>
      </c>
      <c r="S21" s="2">
        <v>4</v>
      </c>
      <c r="T21" s="2">
        <v>7</v>
      </c>
      <c r="U21" s="2">
        <f t="shared" si="0"/>
        <v>19</v>
      </c>
      <c r="V21" s="2">
        <f t="shared" si="0"/>
        <v>25</v>
      </c>
      <c r="W21" s="2">
        <f t="shared" si="1"/>
        <v>44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f t="shared" si="2"/>
        <v>0</v>
      </c>
      <c r="AG21" s="2">
        <f t="shared" si="2"/>
        <v>0</v>
      </c>
      <c r="AH21" s="2">
        <f t="shared" si="3"/>
        <v>0</v>
      </c>
    </row>
    <row r="22" spans="1:34">
      <c r="A22" s="2" t="s">
        <v>64</v>
      </c>
      <c r="B22" s="2" t="s">
        <v>65</v>
      </c>
      <c r="C22" s="2" t="s">
        <v>107</v>
      </c>
      <c r="D22" s="2">
        <v>304328</v>
      </c>
      <c r="E22" s="2" t="s">
        <v>255</v>
      </c>
      <c r="F22" s="2" t="s">
        <v>256</v>
      </c>
      <c r="G22" s="2" t="s">
        <v>69</v>
      </c>
      <c r="H22" s="2" t="s">
        <v>70</v>
      </c>
      <c r="I22" s="2" t="s">
        <v>71</v>
      </c>
      <c r="J22" s="2" t="s">
        <v>119</v>
      </c>
      <c r="K22" s="2" t="s">
        <v>238</v>
      </c>
      <c r="L22" s="13" t="s">
        <v>239</v>
      </c>
      <c r="M22" s="2">
        <v>1</v>
      </c>
      <c r="N22" s="2">
        <v>4</v>
      </c>
      <c r="O22" s="2">
        <v>1</v>
      </c>
      <c r="P22" s="2">
        <v>4</v>
      </c>
      <c r="Q22" s="2">
        <v>3</v>
      </c>
      <c r="R22" s="2">
        <v>3</v>
      </c>
      <c r="S22" s="2">
        <v>2</v>
      </c>
      <c r="T22" s="2">
        <v>4</v>
      </c>
      <c r="U22" s="2">
        <f t="shared" si="0"/>
        <v>7</v>
      </c>
      <c r="V22" s="2">
        <f t="shared" si="0"/>
        <v>15</v>
      </c>
      <c r="W22" s="2">
        <f t="shared" si="1"/>
        <v>22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f t="shared" si="2"/>
        <v>0</v>
      </c>
      <c r="AG22" s="2">
        <f t="shared" si="2"/>
        <v>0</v>
      </c>
      <c r="AH22" s="2">
        <f t="shared" si="3"/>
        <v>0</v>
      </c>
    </row>
    <row r="23" spans="1:34">
      <c r="A23" s="2" t="s">
        <v>64</v>
      </c>
      <c r="B23" s="2" t="s">
        <v>65</v>
      </c>
      <c r="C23" s="2" t="s">
        <v>107</v>
      </c>
      <c r="D23" s="2">
        <v>304338</v>
      </c>
      <c r="E23" s="2" t="s">
        <v>257</v>
      </c>
      <c r="F23" s="2" t="s">
        <v>258</v>
      </c>
      <c r="G23" s="2" t="s">
        <v>69</v>
      </c>
      <c r="H23" s="2" t="s">
        <v>70</v>
      </c>
      <c r="I23" s="2" t="s">
        <v>71</v>
      </c>
      <c r="J23" s="2" t="s">
        <v>159</v>
      </c>
      <c r="K23" s="2" t="s">
        <v>238</v>
      </c>
      <c r="L23" s="13" t="s">
        <v>239</v>
      </c>
      <c r="M23" s="2">
        <v>3</v>
      </c>
      <c r="N23" s="2">
        <v>0</v>
      </c>
      <c r="O23" s="2">
        <v>0</v>
      </c>
      <c r="P23" s="2">
        <v>1</v>
      </c>
      <c r="Q23" s="2">
        <v>0</v>
      </c>
      <c r="R23" s="2">
        <v>0</v>
      </c>
      <c r="S23" s="2">
        <v>1</v>
      </c>
      <c r="T23" s="2">
        <v>6</v>
      </c>
      <c r="U23" s="2">
        <f t="shared" si="0"/>
        <v>4</v>
      </c>
      <c r="V23" s="2">
        <f t="shared" si="0"/>
        <v>7</v>
      </c>
      <c r="W23" s="2">
        <f t="shared" si="1"/>
        <v>11</v>
      </c>
      <c r="X23" s="2">
        <v>4</v>
      </c>
      <c r="Y23" s="2">
        <v>7</v>
      </c>
      <c r="Z23" s="2">
        <v>5</v>
      </c>
      <c r="AA23" s="2">
        <v>7</v>
      </c>
      <c r="AB23" s="2">
        <v>3</v>
      </c>
      <c r="AC23" s="2">
        <v>7</v>
      </c>
      <c r="AD23" s="2">
        <v>2</v>
      </c>
      <c r="AE23" s="2">
        <v>7</v>
      </c>
      <c r="AF23" s="2">
        <f t="shared" si="2"/>
        <v>14</v>
      </c>
      <c r="AG23" s="2">
        <f t="shared" si="2"/>
        <v>28</v>
      </c>
      <c r="AH23" s="2">
        <f t="shared" si="3"/>
        <v>42</v>
      </c>
    </row>
    <row r="24" spans="1:34">
      <c r="A24" s="2" t="s">
        <v>64</v>
      </c>
      <c r="B24" s="2" t="s">
        <v>65</v>
      </c>
      <c r="C24" s="2" t="s">
        <v>107</v>
      </c>
      <c r="D24" s="2">
        <v>316104</v>
      </c>
      <c r="E24" s="2" t="s">
        <v>259</v>
      </c>
      <c r="F24" s="2" t="s">
        <v>210</v>
      </c>
      <c r="G24" s="2" t="s">
        <v>69</v>
      </c>
      <c r="H24" s="2" t="s">
        <v>70</v>
      </c>
      <c r="I24" s="2" t="s">
        <v>71</v>
      </c>
      <c r="J24" s="2" t="s">
        <v>130</v>
      </c>
      <c r="K24" s="2" t="s">
        <v>238</v>
      </c>
      <c r="L24" s="13" t="s">
        <v>239</v>
      </c>
      <c r="M24" s="2">
        <v>1</v>
      </c>
      <c r="N24" s="2">
        <v>4</v>
      </c>
      <c r="O24" s="2">
        <v>0</v>
      </c>
      <c r="P24" s="2">
        <v>6</v>
      </c>
      <c r="Q24" s="2">
        <v>1</v>
      </c>
      <c r="R24" s="2">
        <v>3</v>
      </c>
      <c r="S24" s="2">
        <v>4</v>
      </c>
      <c r="T24" s="2">
        <v>2</v>
      </c>
      <c r="U24" s="2">
        <f t="shared" si="0"/>
        <v>6</v>
      </c>
      <c r="V24" s="2">
        <f t="shared" si="0"/>
        <v>15</v>
      </c>
      <c r="W24" s="2">
        <f t="shared" si="1"/>
        <v>21</v>
      </c>
      <c r="X24" s="2">
        <v>2</v>
      </c>
      <c r="Y24" s="2">
        <v>7</v>
      </c>
      <c r="Z24" s="2">
        <v>3</v>
      </c>
      <c r="AA24" s="2">
        <v>9</v>
      </c>
      <c r="AB24" s="2">
        <v>3</v>
      </c>
      <c r="AC24" s="2">
        <v>9</v>
      </c>
      <c r="AD24" s="2">
        <v>4</v>
      </c>
      <c r="AE24" s="2">
        <v>2</v>
      </c>
      <c r="AF24" s="2">
        <f t="shared" si="2"/>
        <v>12</v>
      </c>
      <c r="AG24" s="2">
        <f t="shared" si="2"/>
        <v>27</v>
      </c>
      <c r="AH24" s="2">
        <f t="shared" si="3"/>
        <v>39</v>
      </c>
    </row>
    <row r="25" spans="1:34">
      <c r="A25" s="2" t="s">
        <v>64</v>
      </c>
      <c r="B25" s="2" t="s">
        <v>65</v>
      </c>
      <c r="C25" s="2" t="s">
        <v>107</v>
      </c>
      <c r="D25" s="2">
        <v>325101</v>
      </c>
      <c r="E25" s="2" t="s">
        <v>260</v>
      </c>
      <c r="F25" s="2" t="s">
        <v>261</v>
      </c>
      <c r="G25" s="2" t="s">
        <v>69</v>
      </c>
      <c r="H25" s="2" t="s">
        <v>70</v>
      </c>
      <c r="I25" s="2" t="s">
        <v>71</v>
      </c>
      <c r="J25" s="2" t="s">
        <v>119</v>
      </c>
      <c r="K25" s="2" t="s">
        <v>244</v>
      </c>
      <c r="L25" s="13" t="s">
        <v>245</v>
      </c>
      <c r="M25" s="2">
        <v>0</v>
      </c>
      <c r="N25" s="2">
        <v>5</v>
      </c>
      <c r="O25" s="2">
        <v>0</v>
      </c>
      <c r="P25" s="2">
        <v>4</v>
      </c>
      <c r="Q25" s="2">
        <v>0</v>
      </c>
      <c r="R25" s="2">
        <v>3</v>
      </c>
      <c r="S25" s="2">
        <v>2</v>
      </c>
      <c r="T25" s="2">
        <v>3</v>
      </c>
      <c r="U25" s="2">
        <f t="shared" si="0"/>
        <v>2</v>
      </c>
      <c r="V25" s="2">
        <f t="shared" si="0"/>
        <v>15</v>
      </c>
      <c r="W25" s="2">
        <f t="shared" si="1"/>
        <v>17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f t="shared" si="2"/>
        <v>0</v>
      </c>
      <c r="AG25" s="2">
        <f t="shared" si="2"/>
        <v>0</v>
      </c>
      <c r="AH25" s="2">
        <f t="shared" si="3"/>
        <v>0</v>
      </c>
    </row>
    <row r="26" spans="1:34">
      <c r="A26" s="2" t="s">
        <v>64</v>
      </c>
      <c r="B26" s="2" t="s">
        <v>65</v>
      </c>
      <c r="C26" s="2" t="s">
        <v>107</v>
      </c>
      <c r="D26" s="2">
        <v>325102</v>
      </c>
      <c r="E26" s="2" t="s">
        <v>262</v>
      </c>
      <c r="F26" s="2" t="s">
        <v>263</v>
      </c>
      <c r="G26" s="2" t="s">
        <v>69</v>
      </c>
      <c r="H26" s="2" t="s">
        <v>70</v>
      </c>
      <c r="I26" s="2" t="s">
        <v>71</v>
      </c>
      <c r="J26" s="2" t="s">
        <v>116</v>
      </c>
      <c r="K26" s="2" t="s">
        <v>238</v>
      </c>
      <c r="L26" s="13" t="s">
        <v>239</v>
      </c>
      <c r="M26" s="2">
        <v>0</v>
      </c>
      <c r="N26" s="2">
        <v>6</v>
      </c>
      <c r="O26" s="2">
        <v>0</v>
      </c>
      <c r="P26" s="2">
        <v>3</v>
      </c>
      <c r="Q26" s="2">
        <v>1</v>
      </c>
      <c r="R26" s="2">
        <v>1</v>
      </c>
      <c r="S26" s="2">
        <v>1</v>
      </c>
      <c r="T26" s="2">
        <v>3</v>
      </c>
      <c r="U26" s="2">
        <f t="shared" si="0"/>
        <v>2</v>
      </c>
      <c r="V26" s="2">
        <f t="shared" si="0"/>
        <v>13</v>
      </c>
      <c r="W26" s="2">
        <f t="shared" si="1"/>
        <v>15</v>
      </c>
      <c r="X26" s="2">
        <v>0</v>
      </c>
      <c r="Y26" s="2">
        <v>9</v>
      </c>
      <c r="Z26" s="2">
        <v>1</v>
      </c>
      <c r="AA26" s="2">
        <v>7</v>
      </c>
      <c r="AB26" s="2">
        <v>1</v>
      </c>
      <c r="AC26" s="2">
        <v>4</v>
      </c>
      <c r="AD26" s="2">
        <v>2</v>
      </c>
      <c r="AE26" s="2">
        <v>5</v>
      </c>
      <c r="AF26" s="2">
        <f t="shared" si="2"/>
        <v>4</v>
      </c>
      <c r="AG26" s="2">
        <f t="shared" si="2"/>
        <v>25</v>
      </c>
      <c r="AH26" s="2">
        <f t="shared" si="3"/>
        <v>29</v>
      </c>
    </row>
    <row r="27" spans="1:34">
      <c r="A27" s="2" t="s">
        <v>64</v>
      </c>
      <c r="B27" s="2" t="s">
        <v>65</v>
      </c>
      <c r="C27" s="2" t="s">
        <v>107</v>
      </c>
      <c r="D27" s="2">
        <v>325106</v>
      </c>
      <c r="E27" s="2" t="s">
        <v>264</v>
      </c>
      <c r="F27" s="2" t="s">
        <v>194</v>
      </c>
      <c r="G27" s="2" t="s">
        <v>69</v>
      </c>
      <c r="H27" s="2" t="s">
        <v>70</v>
      </c>
      <c r="I27" s="2" t="s">
        <v>71</v>
      </c>
      <c r="J27" s="2" t="s">
        <v>168</v>
      </c>
      <c r="K27" s="2" t="s">
        <v>238</v>
      </c>
      <c r="L27" s="13" t="s">
        <v>239</v>
      </c>
      <c r="M27" s="2">
        <v>0</v>
      </c>
      <c r="N27" s="2">
        <v>4</v>
      </c>
      <c r="O27" s="2">
        <v>1</v>
      </c>
      <c r="P27" s="2">
        <v>3</v>
      </c>
      <c r="Q27" s="2">
        <v>1</v>
      </c>
      <c r="R27" s="2">
        <v>3</v>
      </c>
      <c r="S27" s="2">
        <v>2</v>
      </c>
      <c r="T27" s="2">
        <v>0</v>
      </c>
      <c r="U27" s="2">
        <f t="shared" si="0"/>
        <v>4</v>
      </c>
      <c r="V27" s="2">
        <f t="shared" si="0"/>
        <v>10</v>
      </c>
      <c r="W27" s="2">
        <f t="shared" si="1"/>
        <v>14</v>
      </c>
      <c r="X27" s="2">
        <v>2</v>
      </c>
      <c r="Y27" s="2">
        <v>5</v>
      </c>
      <c r="Z27" s="2">
        <v>1</v>
      </c>
      <c r="AA27" s="2">
        <v>7</v>
      </c>
      <c r="AB27" s="2">
        <v>2</v>
      </c>
      <c r="AC27" s="2">
        <v>4</v>
      </c>
      <c r="AD27" s="2">
        <v>3</v>
      </c>
      <c r="AE27" s="2">
        <v>5</v>
      </c>
      <c r="AF27" s="2">
        <f t="shared" si="2"/>
        <v>8</v>
      </c>
      <c r="AG27" s="2">
        <f t="shared" si="2"/>
        <v>21</v>
      </c>
      <c r="AH27" s="2">
        <f t="shared" si="3"/>
        <v>29</v>
      </c>
    </row>
    <row r="28" spans="1:34">
      <c r="A28" s="2" t="s">
        <v>64</v>
      </c>
      <c r="B28" s="2" t="s">
        <v>65</v>
      </c>
      <c r="C28" s="2" t="s">
        <v>171</v>
      </c>
      <c r="D28" s="2">
        <v>304313</v>
      </c>
      <c r="E28" s="2" t="s">
        <v>265</v>
      </c>
      <c r="F28" s="2" t="s">
        <v>266</v>
      </c>
      <c r="G28" s="2" t="s">
        <v>69</v>
      </c>
      <c r="H28" s="2" t="s">
        <v>70</v>
      </c>
      <c r="I28" s="2" t="s">
        <v>71</v>
      </c>
      <c r="J28" s="2" t="s">
        <v>180</v>
      </c>
      <c r="K28" s="2" t="s">
        <v>238</v>
      </c>
      <c r="L28" s="13" t="s">
        <v>239</v>
      </c>
      <c r="M28" s="2">
        <v>2</v>
      </c>
      <c r="N28" s="2">
        <v>4</v>
      </c>
      <c r="O28" s="2">
        <v>4</v>
      </c>
      <c r="P28" s="2">
        <v>2</v>
      </c>
      <c r="Q28" s="2">
        <v>3</v>
      </c>
      <c r="R28" s="2">
        <v>3</v>
      </c>
      <c r="S28" s="2">
        <v>1</v>
      </c>
      <c r="T28" s="2">
        <v>2</v>
      </c>
      <c r="U28" s="2">
        <f t="shared" si="0"/>
        <v>10</v>
      </c>
      <c r="V28" s="2">
        <f t="shared" si="0"/>
        <v>11</v>
      </c>
      <c r="W28" s="2">
        <f t="shared" si="1"/>
        <v>21</v>
      </c>
      <c r="X28" s="2">
        <v>4</v>
      </c>
      <c r="Y28" s="2">
        <v>7</v>
      </c>
      <c r="Z28" s="2">
        <v>5</v>
      </c>
      <c r="AA28" s="2">
        <v>4</v>
      </c>
      <c r="AB28" s="2">
        <v>4</v>
      </c>
      <c r="AC28" s="2">
        <v>6</v>
      </c>
      <c r="AD28" s="2">
        <v>2</v>
      </c>
      <c r="AE28" s="2">
        <v>6</v>
      </c>
      <c r="AF28" s="2">
        <f t="shared" si="2"/>
        <v>15</v>
      </c>
      <c r="AG28" s="2">
        <f t="shared" si="2"/>
        <v>23</v>
      </c>
      <c r="AH28" s="2">
        <f t="shared" si="3"/>
        <v>38</v>
      </c>
    </row>
    <row r="29" spans="1:34">
      <c r="A29" s="2" t="s">
        <v>64</v>
      </c>
      <c r="B29" s="2" t="s">
        <v>65</v>
      </c>
      <c r="C29" s="2" t="s">
        <v>171</v>
      </c>
      <c r="D29" s="2">
        <v>304318</v>
      </c>
      <c r="E29" s="2" t="s">
        <v>267</v>
      </c>
      <c r="F29" s="2" t="s">
        <v>268</v>
      </c>
      <c r="G29" s="2" t="s">
        <v>69</v>
      </c>
      <c r="H29" s="2" t="s">
        <v>70</v>
      </c>
      <c r="I29" s="2" t="s">
        <v>71</v>
      </c>
      <c r="J29" s="2" t="s">
        <v>188</v>
      </c>
      <c r="K29" s="2" t="s">
        <v>238</v>
      </c>
      <c r="L29" s="13" t="s">
        <v>239</v>
      </c>
      <c r="M29" s="2">
        <v>1</v>
      </c>
      <c r="N29" s="2">
        <v>4</v>
      </c>
      <c r="O29" s="2">
        <v>1</v>
      </c>
      <c r="P29" s="2">
        <v>5</v>
      </c>
      <c r="Q29" s="2">
        <v>2</v>
      </c>
      <c r="R29" s="2">
        <v>4</v>
      </c>
      <c r="S29" s="2">
        <v>1</v>
      </c>
      <c r="T29" s="2">
        <v>4</v>
      </c>
      <c r="U29" s="2">
        <f t="shared" si="0"/>
        <v>5</v>
      </c>
      <c r="V29" s="2">
        <f t="shared" si="0"/>
        <v>17</v>
      </c>
      <c r="W29" s="2">
        <f t="shared" si="1"/>
        <v>22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f t="shared" si="2"/>
        <v>0</v>
      </c>
      <c r="AG29" s="2">
        <f t="shared" si="2"/>
        <v>0</v>
      </c>
      <c r="AH29" s="2">
        <f t="shared" si="3"/>
        <v>0</v>
      </c>
    </row>
    <row r="30" spans="1:34">
      <c r="A30" s="2" t="s">
        <v>64</v>
      </c>
      <c r="B30" s="2" t="s">
        <v>65</v>
      </c>
      <c r="C30" s="2" t="s">
        <v>171</v>
      </c>
      <c r="D30" s="2">
        <v>325105</v>
      </c>
      <c r="E30" s="2" t="s">
        <v>269</v>
      </c>
      <c r="F30" s="2" t="s">
        <v>190</v>
      </c>
      <c r="G30" s="2" t="s">
        <v>69</v>
      </c>
      <c r="H30" s="2" t="s">
        <v>70</v>
      </c>
      <c r="I30" s="2" t="s">
        <v>71</v>
      </c>
      <c r="J30" s="2" t="s">
        <v>174</v>
      </c>
      <c r="K30" s="2" t="s">
        <v>238</v>
      </c>
      <c r="L30" s="13" t="s">
        <v>239</v>
      </c>
      <c r="M30" s="2">
        <v>2</v>
      </c>
      <c r="N30" s="2">
        <v>1</v>
      </c>
      <c r="O30" s="2">
        <v>2</v>
      </c>
      <c r="P30" s="2">
        <v>1</v>
      </c>
      <c r="Q30" s="2">
        <v>1</v>
      </c>
      <c r="R30" s="2">
        <v>2</v>
      </c>
      <c r="S30" s="2">
        <v>0</v>
      </c>
      <c r="T30" s="2">
        <v>2</v>
      </c>
      <c r="U30" s="2">
        <f t="shared" si="0"/>
        <v>5</v>
      </c>
      <c r="V30" s="2">
        <f t="shared" si="0"/>
        <v>6</v>
      </c>
      <c r="W30" s="2">
        <f t="shared" si="1"/>
        <v>11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f t="shared" si="2"/>
        <v>0</v>
      </c>
      <c r="AG30" s="2">
        <f t="shared" si="2"/>
        <v>0</v>
      </c>
      <c r="AH30" s="2">
        <f t="shared" si="3"/>
        <v>0</v>
      </c>
    </row>
    <row r="31" spans="1:34">
      <c r="A31" s="2" t="s">
        <v>64</v>
      </c>
      <c r="B31" s="2" t="s">
        <v>65</v>
      </c>
      <c r="C31" s="2" t="s">
        <v>171</v>
      </c>
      <c r="D31" s="2">
        <v>501085</v>
      </c>
      <c r="E31" s="2" t="s">
        <v>202</v>
      </c>
      <c r="F31" s="2" t="s">
        <v>203</v>
      </c>
      <c r="G31" s="2" t="s">
        <v>69</v>
      </c>
      <c r="H31" s="2" t="s">
        <v>70</v>
      </c>
      <c r="I31" s="2" t="s">
        <v>71</v>
      </c>
      <c r="J31" s="2" t="s">
        <v>204</v>
      </c>
      <c r="K31" s="2" t="s">
        <v>105</v>
      </c>
      <c r="L31" s="13" t="s">
        <v>106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f t="shared" si="0"/>
        <v>0</v>
      </c>
      <c r="V31" s="2">
        <f t="shared" si="0"/>
        <v>0</v>
      </c>
      <c r="W31" s="2">
        <f t="shared" si="1"/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f t="shared" si="2"/>
        <v>0</v>
      </c>
      <c r="AG31" s="2">
        <f t="shared" si="2"/>
        <v>0</v>
      </c>
      <c r="AH31" s="2">
        <f t="shared" si="3"/>
        <v>0</v>
      </c>
    </row>
    <row r="32" spans="1:34">
      <c r="A32" s="2" t="s">
        <v>64</v>
      </c>
      <c r="B32" s="2" t="s">
        <v>65</v>
      </c>
      <c r="C32" s="2" t="s">
        <v>171</v>
      </c>
      <c r="D32" s="2">
        <v>501086</v>
      </c>
      <c r="E32" s="2" t="s">
        <v>205</v>
      </c>
      <c r="F32" s="2" t="s">
        <v>206</v>
      </c>
      <c r="G32" s="2" t="s">
        <v>69</v>
      </c>
      <c r="H32" s="2" t="s">
        <v>70</v>
      </c>
      <c r="I32" s="2" t="s">
        <v>71</v>
      </c>
      <c r="J32" s="2" t="s">
        <v>207</v>
      </c>
      <c r="K32" s="2" t="s">
        <v>105</v>
      </c>
      <c r="L32" s="13" t="s">
        <v>106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f t="shared" si="0"/>
        <v>0</v>
      </c>
      <c r="V32" s="2">
        <f t="shared" si="0"/>
        <v>0</v>
      </c>
      <c r="W32" s="2">
        <f t="shared" si="1"/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f t="shared" si="2"/>
        <v>0</v>
      </c>
      <c r="AG32" s="2">
        <f t="shared" si="2"/>
        <v>0</v>
      </c>
      <c r="AH32" s="2">
        <f t="shared" si="3"/>
        <v>0</v>
      </c>
    </row>
    <row r="33" spans="1:34">
      <c r="A33" s="2" t="s">
        <v>64</v>
      </c>
      <c r="B33" s="2" t="s">
        <v>65</v>
      </c>
      <c r="C33" s="2" t="s">
        <v>171</v>
      </c>
      <c r="D33" s="2">
        <v>501087</v>
      </c>
      <c r="E33" s="2" t="s">
        <v>208</v>
      </c>
      <c r="F33" s="2" t="s">
        <v>209</v>
      </c>
      <c r="G33" s="2" t="s">
        <v>69</v>
      </c>
      <c r="H33" s="2" t="s">
        <v>70</v>
      </c>
      <c r="I33" s="2" t="s">
        <v>71</v>
      </c>
      <c r="J33" s="2" t="s">
        <v>177</v>
      </c>
      <c r="K33" s="2" t="s">
        <v>105</v>
      </c>
      <c r="L33" s="13" t="s">
        <v>106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f t="shared" si="0"/>
        <v>0</v>
      </c>
      <c r="V33" s="2">
        <f t="shared" si="0"/>
        <v>0</v>
      </c>
      <c r="W33" s="2">
        <f t="shared" si="1"/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f t="shared" si="2"/>
        <v>0</v>
      </c>
      <c r="AG33" s="2">
        <f t="shared" si="2"/>
        <v>0</v>
      </c>
      <c r="AH33" s="2">
        <f t="shared" si="3"/>
        <v>0</v>
      </c>
    </row>
  </sheetData>
  <autoFilter ref="A11:AI33" xr:uid="{00000000-0009-0000-0000-000001000000}"/>
  <mergeCells count="14">
    <mergeCell ref="Z8:AA8"/>
    <mergeCell ref="AB8:AC8"/>
    <mergeCell ref="AD8:AE8"/>
    <mergeCell ref="AF8:AH8"/>
    <mergeCell ref="A4:L5"/>
    <mergeCell ref="A6:L7"/>
    <mergeCell ref="M7:W7"/>
    <mergeCell ref="X7:AH7"/>
    <mergeCell ref="M8:N8"/>
    <mergeCell ref="O8:P8"/>
    <mergeCell ref="Q8:R8"/>
    <mergeCell ref="S8:T8"/>
    <mergeCell ref="U8:W8"/>
    <mergeCell ref="X8:Y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1BEB-9141-4164-AF6D-56772A0039BC}">
  <dimension ref="A1:Z26"/>
  <sheetViews>
    <sheetView tabSelected="1" workbookViewId="0">
      <pane xSplit="4" ySplit="10" topLeftCell="E20" activePane="bottomRight" state="frozen"/>
      <selection activeCell="A10" sqref="A10:XFD60"/>
      <selection pane="topRight" activeCell="A10" sqref="A10:XFD60"/>
      <selection pane="bottomLeft" activeCell="A10" sqref="A10:XFD60"/>
      <selection pane="bottomRight" activeCell="J37" sqref="J37"/>
    </sheetView>
  </sheetViews>
  <sheetFormatPr defaultRowHeight="15"/>
  <cols>
    <col min="1" max="1" width="9.140625" style="2"/>
    <col min="2" max="2" width="25.5703125" style="2" bestFit="1" customWidth="1"/>
    <col min="3" max="12" width="9.140625" style="2"/>
    <col min="13" max="14" width="10.42578125" style="2" bestFit="1" customWidth="1"/>
    <col min="15" max="15" width="9.42578125" style="2" bestFit="1" customWidth="1"/>
    <col min="16" max="19" width="10.42578125" style="2" bestFit="1" customWidth="1"/>
    <col min="20" max="20" width="9.42578125" style="2" bestFit="1" customWidth="1"/>
    <col min="21" max="21" width="10.42578125" style="2" bestFit="1" customWidth="1"/>
    <col min="22" max="22" width="9.42578125" style="2" bestFit="1" customWidth="1"/>
    <col min="23" max="26" width="10.42578125" style="2" bestFit="1" customWidth="1"/>
    <col min="27" max="16384" width="9.140625" style="2"/>
  </cols>
  <sheetData>
    <row r="1" spans="1:26">
      <c r="A1" s="1" t="s">
        <v>270</v>
      </c>
    </row>
    <row r="2" spans="1:26">
      <c r="A2" s="1" t="s">
        <v>1</v>
      </c>
      <c r="L2" s="3"/>
    </row>
    <row r="3" spans="1:26">
      <c r="A3" s="1" t="s">
        <v>2</v>
      </c>
      <c r="L3" s="3"/>
    </row>
    <row r="4" spans="1:26">
      <c r="A4" s="1"/>
      <c r="L4" s="3"/>
    </row>
    <row r="5" spans="1:26">
      <c r="A5" s="1"/>
      <c r="L5" s="3"/>
    </row>
    <row r="6" spans="1:26">
      <c r="A6" s="1"/>
      <c r="L6" s="3"/>
      <c r="M6" s="16" t="s">
        <v>213</v>
      </c>
      <c r="N6" s="16"/>
      <c r="O6" s="16"/>
      <c r="P6" s="16"/>
      <c r="Q6" s="16"/>
      <c r="R6" s="16"/>
      <c r="S6" s="16"/>
      <c r="T6" s="16" t="s">
        <v>214</v>
      </c>
      <c r="U6" s="16"/>
      <c r="V6" s="16"/>
      <c r="W6" s="16"/>
      <c r="X6" s="16"/>
      <c r="Y6" s="16"/>
      <c r="Z6" s="16"/>
    </row>
    <row r="7" spans="1:26">
      <c r="A7" s="1"/>
      <c r="L7" s="3"/>
      <c r="M7" s="16" t="s">
        <v>271</v>
      </c>
      <c r="N7" s="16"/>
      <c r="O7" s="16" t="s">
        <v>272</v>
      </c>
      <c r="P7" s="16"/>
      <c r="Q7" s="16" t="s">
        <v>15</v>
      </c>
      <c r="R7" s="16"/>
      <c r="S7" s="16"/>
      <c r="T7" s="16" t="s">
        <v>271</v>
      </c>
      <c r="U7" s="16"/>
      <c r="V7" s="16" t="s">
        <v>272</v>
      </c>
      <c r="W7" s="16"/>
      <c r="X7" s="16" t="s">
        <v>15</v>
      </c>
      <c r="Y7" s="16"/>
      <c r="Z7" s="16"/>
    </row>
    <row r="8" spans="1:26">
      <c r="M8" s="17" t="s">
        <v>16</v>
      </c>
      <c r="N8" s="17" t="s">
        <v>17</v>
      </c>
      <c r="O8" s="17" t="s">
        <v>16</v>
      </c>
      <c r="P8" s="17" t="s">
        <v>17</v>
      </c>
      <c r="Q8" s="17" t="s">
        <v>16</v>
      </c>
      <c r="R8" s="17" t="s">
        <v>17</v>
      </c>
      <c r="S8" s="17" t="s">
        <v>18</v>
      </c>
      <c r="T8" s="17" t="s">
        <v>16</v>
      </c>
      <c r="U8" s="17" t="s">
        <v>17</v>
      </c>
      <c r="V8" s="17" t="s">
        <v>16</v>
      </c>
      <c r="W8" s="17" t="s">
        <v>17</v>
      </c>
      <c r="X8" s="17" t="s">
        <v>16</v>
      </c>
      <c r="Y8" s="17" t="s">
        <v>17</v>
      </c>
      <c r="Z8" s="17" t="s">
        <v>18</v>
      </c>
    </row>
    <row r="9" spans="1:26">
      <c r="M9" s="17">
        <f>SUM(M11:M26)</f>
        <v>26</v>
      </c>
      <c r="N9" s="17">
        <f>SUM(N11:N26)</f>
        <v>33</v>
      </c>
      <c r="O9" s="17">
        <f>SUM(O11:O26)</f>
        <v>23</v>
      </c>
      <c r="P9" s="17">
        <f>SUM(P11:P26)</f>
        <v>35</v>
      </c>
      <c r="Q9" s="17">
        <f>SUM(Q11:Q26)</f>
        <v>49</v>
      </c>
      <c r="R9" s="17">
        <f>SUM(R11:R26)</f>
        <v>68</v>
      </c>
      <c r="S9" s="17">
        <f>SUM(S11:S26)</f>
        <v>117</v>
      </c>
      <c r="T9" s="17">
        <f>SUM(T11:T26)</f>
        <v>12</v>
      </c>
      <c r="U9" s="17">
        <f>SUM(U11:U26)</f>
        <v>14</v>
      </c>
      <c r="V9" s="17">
        <f>SUM(V11:V26)</f>
        <v>11</v>
      </c>
      <c r="W9" s="17">
        <f>SUM(W11:W26)</f>
        <v>16</v>
      </c>
      <c r="X9" s="17">
        <f>SUM(X11:X26)</f>
        <v>23</v>
      </c>
      <c r="Y9" s="17">
        <f>SUM(Y11:Y26)</f>
        <v>30</v>
      </c>
      <c r="Z9" s="17">
        <f>SUM(Z11:Z26)</f>
        <v>53</v>
      </c>
    </row>
    <row r="10" spans="1:26" s="22" customFormat="1">
      <c r="A10" s="19" t="s">
        <v>19</v>
      </c>
      <c r="B10" s="19" t="s">
        <v>20</v>
      </c>
      <c r="C10" s="19" t="s">
        <v>21</v>
      </c>
      <c r="D10" s="19" t="s">
        <v>22</v>
      </c>
      <c r="E10" s="19" t="s">
        <v>23</v>
      </c>
      <c r="F10" s="19" t="s">
        <v>24</v>
      </c>
      <c r="G10" s="19" t="s">
        <v>25</v>
      </c>
      <c r="H10" s="19" t="s">
        <v>26</v>
      </c>
      <c r="I10" s="19" t="s">
        <v>27</v>
      </c>
      <c r="J10" s="19" t="s">
        <v>28</v>
      </c>
      <c r="K10" s="19" t="s">
        <v>29</v>
      </c>
      <c r="L10" s="20" t="s">
        <v>30</v>
      </c>
      <c r="M10" s="21" t="s">
        <v>273</v>
      </c>
      <c r="N10" s="21" t="s">
        <v>274</v>
      </c>
      <c r="O10" s="21" t="s">
        <v>275</v>
      </c>
      <c r="P10" s="21" t="s">
        <v>276</v>
      </c>
      <c r="Q10" s="18" t="s">
        <v>16</v>
      </c>
      <c r="R10" s="18" t="s">
        <v>17</v>
      </c>
      <c r="S10" s="18" t="s">
        <v>18</v>
      </c>
      <c r="T10" s="21" t="s">
        <v>277</v>
      </c>
      <c r="U10" s="21" t="s">
        <v>278</v>
      </c>
      <c r="V10" s="21" t="s">
        <v>279</v>
      </c>
      <c r="W10" s="21" t="s">
        <v>280</v>
      </c>
      <c r="X10" s="18" t="s">
        <v>16</v>
      </c>
      <c r="Y10" s="18" t="s">
        <v>17</v>
      </c>
      <c r="Z10" s="18" t="s">
        <v>18</v>
      </c>
    </row>
    <row r="11" spans="1:26">
      <c r="A11" s="2" t="s">
        <v>64</v>
      </c>
      <c r="B11" s="2" t="s">
        <v>65</v>
      </c>
      <c r="C11" s="2" t="s">
        <v>66</v>
      </c>
      <c r="D11" s="2">
        <v>304325</v>
      </c>
      <c r="E11" s="2" t="s">
        <v>236</v>
      </c>
      <c r="F11" s="2" t="s">
        <v>237</v>
      </c>
      <c r="G11" s="2" t="s">
        <v>69</v>
      </c>
      <c r="H11" s="2" t="s">
        <v>70</v>
      </c>
      <c r="I11" s="2" t="s">
        <v>71</v>
      </c>
      <c r="J11" s="2" t="s">
        <v>82</v>
      </c>
      <c r="K11" s="2" t="s">
        <v>238</v>
      </c>
      <c r="L11" s="13" t="s">
        <v>239</v>
      </c>
      <c r="M11" s="2">
        <v>8</v>
      </c>
      <c r="N11" s="2">
        <v>10</v>
      </c>
      <c r="O11" s="2">
        <v>8</v>
      </c>
      <c r="P11" s="2">
        <v>13</v>
      </c>
      <c r="Q11" s="2">
        <v>16</v>
      </c>
      <c r="R11" s="2">
        <v>23</v>
      </c>
      <c r="S11" s="2">
        <v>39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>
      <c r="A12" s="2" t="s">
        <v>64</v>
      </c>
      <c r="B12" s="2" t="s">
        <v>65</v>
      </c>
      <c r="C12" s="2" t="s">
        <v>66</v>
      </c>
      <c r="D12" s="2">
        <v>304326</v>
      </c>
      <c r="E12" s="2" t="s">
        <v>240</v>
      </c>
      <c r="F12" s="2" t="s">
        <v>241</v>
      </c>
      <c r="G12" s="2" t="s">
        <v>69</v>
      </c>
      <c r="H12" s="2" t="s">
        <v>70</v>
      </c>
      <c r="I12" s="2" t="s">
        <v>71</v>
      </c>
      <c r="J12" s="2" t="s">
        <v>82</v>
      </c>
      <c r="K12" s="2" t="s">
        <v>238</v>
      </c>
      <c r="L12" s="13" t="s">
        <v>239</v>
      </c>
      <c r="M12" s="2">
        <v>4</v>
      </c>
      <c r="N12" s="2">
        <v>5</v>
      </c>
      <c r="O12" s="2">
        <v>5</v>
      </c>
      <c r="P12" s="2">
        <v>5</v>
      </c>
      <c r="Q12" s="2">
        <v>9</v>
      </c>
      <c r="R12" s="2">
        <v>10</v>
      </c>
      <c r="S12" s="2">
        <v>19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>
      <c r="A13" s="2" t="s">
        <v>64</v>
      </c>
      <c r="B13" s="2" t="s">
        <v>65</v>
      </c>
      <c r="C13" s="2" t="s">
        <v>66</v>
      </c>
      <c r="D13" s="2">
        <v>325104</v>
      </c>
      <c r="E13" s="2" t="s">
        <v>246</v>
      </c>
      <c r="F13" s="2" t="s">
        <v>247</v>
      </c>
      <c r="G13" s="2" t="s">
        <v>69</v>
      </c>
      <c r="H13" s="2" t="s">
        <v>70</v>
      </c>
      <c r="I13" s="2" t="s">
        <v>71</v>
      </c>
      <c r="J13" s="2" t="s">
        <v>72</v>
      </c>
      <c r="K13" s="2" t="s">
        <v>238</v>
      </c>
      <c r="L13" s="13" t="s">
        <v>239</v>
      </c>
      <c r="M13" s="2">
        <v>1</v>
      </c>
      <c r="N13" s="2">
        <v>3</v>
      </c>
      <c r="O13" s="2">
        <v>2</v>
      </c>
      <c r="P13" s="2">
        <v>0</v>
      </c>
      <c r="Q13" s="2">
        <v>3</v>
      </c>
      <c r="R13" s="2">
        <v>3</v>
      </c>
      <c r="S13" s="2">
        <v>6</v>
      </c>
      <c r="T13" s="2">
        <v>3</v>
      </c>
      <c r="U13" s="2">
        <v>3</v>
      </c>
      <c r="V13" s="2">
        <v>3</v>
      </c>
      <c r="W13" s="2">
        <v>3</v>
      </c>
      <c r="X13" s="2">
        <v>6</v>
      </c>
      <c r="Y13" s="2">
        <v>6</v>
      </c>
      <c r="Z13" s="2">
        <v>12</v>
      </c>
    </row>
    <row r="14" spans="1:26">
      <c r="A14" s="2" t="s">
        <v>64</v>
      </c>
      <c r="B14" s="2" t="s">
        <v>65</v>
      </c>
      <c r="C14" s="2" t="s">
        <v>66</v>
      </c>
      <c r="D14" s="2">
        <v>500454</v>
      </c>
      <c r="E14" s="2" t="s">
        <v>98</v>
      </c>
      <c r="F14" s="2" t="s">
        <v>99</v>
      </c>
      <c r="G14" s="2" t="s">
        <v>69</v>
      </c>
      <c r="H14" s="2" t="s">
        <v>70</v>
      </c>
      <c r="I14" s="2" t="s">
        <v>71</v>
      </c>
      <c r="J14" s="2" t="s">
        <v>82</v>
      </c>
      <c r="K14" s="2" t="s">
        <v>100</v>
      </c>
      <c r="L14" s="13" t="s">
        <v>101</v>
      </c>
      <c r="M14" s="2">
        <v>1</v>
      </c>
      <c r="N14" s="2">
        <v>0</v>
      </c>
      <c r="O14" s="2">
        <v>0</v>
      </c>
      <c r="P14" s="2">
        <v>1</v>
      </c>
      <c r="Q14" s="2">
        <v>1</v>
      </c>
      <c r="R14" s="2">
        <v>1</v>
      </c>
      <c r="S14" s="2">
        <v>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6">
      <c r="A15" s="2" t="s">
        <v>64</v>
      </c>
      <c r="B15" s="2" t="s">
        <v>65</v>
      </c>
      <c r="C15" s="2" t="s">
        <v>107</v>
      </c>
      <c r="D15" s="2">
        <v>304303</v>
      </c>
      <c r="E15" s="2" t="s">
        <v>248</v>
      </c>
      <c r="F15" s="2" t="s">
        <v>249</v>
      </c>
      <c r="G15" s="2" t="s">
        <v>69</v>
      </c>
      <c r="H15" s="2" t="s">
        <v>70</v>
      </c>
      <c r="I15" s="2" t="s">
        <v>71</v>
      </c>
      <c r="J15" s="2" t="s">
        <v>113</v>
      </c>
      <c r="K15" s="2" t="s">
        <v>238</v>
      </c>
      <c r="L15" s="13" t="s">
        <v>239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>
      <c r="A16" s="2" t="s">
        <v>64</v>
      </c>
      <c r="B16" s="2" t="s">
        <v>65</v>
      </c>
      <c r="C16" s="2" t="s">
        <v>107</v>
      </c>
      <c r="D16" s="2">
        <v>304305</v>
      </c>
      <c r="E16" s="2" t="s">
        <v>250</v>
      </c>
      <c r="F16" s="2" t="s">
        <v>251</v>
      </c>
      <c r="G16" s="2" t="s">
        <v>69</v>
      </c>
      <c r="H16" s="2" t="s">
        <v>70</v>
      </c>
      <c r="I16" s="2" t="s">
        <v>71</v>
      </c>
      <c r="J16" s="2" t="s">
        <v>124</v>
      </c>
      <c r="K16" s="2" t="s">
        <v>238</v>
      </c>
      <c r="L16" s="13" t="s">
        <v>239</v>
      </c>
      <c r="M16" s="2">
        <v>1</v>
      </c>
      <c r="N16" s="2">
        <v>1</v>
      </c>
      <c r="O16" s="2">
        <v>1</v>
      </c>
      <c r="P16" s="2">
        <v>1</v>
      </c>
      <c r="Q16" s="2">
        <v>2</v>
      </c>
      <c r="R16" s="2">
        <v>2</v>
      </c>
      <c r="S16" s="2">
        <v>4</v>
      </c>
      <c r="T16" s="2">
        <v>1</v>
      </c>
      <c r="U16" s="2">
        <v>1</v>
      </c>
      <c r="V16" s="2">
        <v>1</v>
      </c>
      <c r="W16" s="2">
        <v>1</v>
      </c>
      <c r="X16" s="2">
        <v>2</v>
      </c>
      <c r="Y16" s="2">
        <v>2</v>
      </c>
      <c r="Z16" s="2">
        <v>4</v>
      </c>
    </row>
    <row r="17" spans="1:26">
      <c r="A17" s="2" t="s">
        <v>64</v>
      </c>
      <c r="B17" s="2" t="s">
        <v>65</v>
      </c>
      <c r="C17" s="2" t="s">
        <v>107</v>
      </c>
      <c r="D17" s="2">
        <v>304314</v>
      </c>
      <c r="E17" s="2" t="s">
        <v>252</v>
      </c>
      <c r="F17" s="2" t="s">
        <v>144</v>
      </c>
      <c r="G17" s="2" t="s">
        <v>69</v>
      </c>
      <c r="H17" s="2" t="s">
        <v>70</v>
      </c>
      <c r="I17" s="2" t="s">
        <v>71</v>
      </c>
      <c r="J17" s="2" t="s">
        <v>145</v>
      </c>
      <c r="K17" s="2" t="s">
        <v>238</v>
      </c>
      <c r="L17" s="13" t="s">
        <v>239</v>
      </c>
      <c r="M17" s="2">
        <v>1</v>
      </c>
      <c r="N17" s="2">
        <v>0</v>
      </c>
      <c r="O17" s="2">
        <v>0</v>
      </c>
      <c r="P17" s="2">
        <v>2</v>
      </c>
      <c r="Q17" s="2">
        <v>1</v>
      </c>
      <c r="R17" s="2">
        <v>2</v>
      </c>
      <c r="S17" s="2">
        <v>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1:26">
      <c r="A18" s="2" t="s">
        <v>64</v>
      </c>
      <c r="B18" s="2" t="s">
        <v>65</v>
      </c>
      <c r="C18" s="2" t="s">
        <v>107</v>
      </c>
      <c r="D18" s="2">
        <v>304327</v>
      </c>
      <c r="E18" s="2" t="s">
        <v>253</v>
      </c>
      <c r="F18" s="2" t="s">
        <v>254</v>
      </c>
      <c r="G18" s="2" t="s">
        <v>69</v>
      </c>
      <c r="H18" s="2" t="s">
        <v>70</v>
      </c>
      <c r="I18" s="2" t="s">
        <v>71</v>
      </c>
      <c r="J18" s="2" t="s">
        <v>142</v>
      </c>
      <c r="K18" s="2" t="s">
        <v>238</v>
      </c>
      <c r="L18" s="13" t="s">
        <v>239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2</v>
      </c>
      <c r="U18" s="2">
        <v>1</v>
      </c>
      <c r="V18" s="2">
        <v>1</v>
      </c>
      <c r="W18" s="2">
        <v>4</v>
      </c>
      <c r="X18" s="2">
        <v>3</v>
      </c>
      <c r="Y18" s="2">
        <v>5</v>
      </c>
      <c r="Z18" s="2">
        <v>8</v>
      </c>
    </row>
    <row r="19" spans="1:26">
      <c r="A19" s="2" t="s">
        <v>64</v>
      </c>
      <c r="B19" s="2" t="s">
        <v>65</v>
      </c>
      <c r="C19" s="2" t="s">
        <v>107</v>
      </c>
      <c r="D19" s="2">
        <v>304328</v>
      </c>
      <c r="E19" s="2" t="s">
        <v>255</v>
      </c>
      <c r="F19" s="2" t="s">
        <v>256</v>
      </c>
      <c r="G19" s="2" t="s">
        <v>69</v>
      </c>
      <c r="H19" s="2" t="s">
        <v>70</v>
      </c>
      <c r="I19" s="2" t="s">
        <v>71</v>
      </c>
      <c r="J19" s="2" t="s">
        <v>119</v>
      </c>
      <c r="K19" s="2" t="s">
        <v>238</v>
      </c>
      <c r="L19" s="13" t="s">
        <v>239</v>
      </c>
      <c r="M19" s="2">
        <v>1</v>
      </c>
      <c r="N19" s="2">
        <v>3</v>
      </c>
      <c r="O19" s="2">
        <v>1</v>
      </c>
      <c r="P19" s="2">
        <v>3</v>
      </c>
      <c r="Q19" s="2">
        <v>2</v>
      </c>
      <c r="R19" s="2">
        <v>6</v>
      </c>
      <c r="S19" s="2">
        <v>8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1:26">
      <c r="A20" s="2" t="s">
        <v>64</v>
      </c>
      <c r="B20" s="2" t="s">
        <v>65</v>
      </c>
      <c r="C20" s="2" t="s">
        <v>107</v>
      </c>
      <c r="D20" s="2">
        <v>304338</v>
      </c>
      <c r="E20" s="2" t="s">
        <v>257</v>
      </c>
      <c r="F20" s="2" t="s">
        <v>258</v>
      </c>
      <c r="G20" s="2" t="s">
        <v>69</v>
      </c>
      <c r="H20" s="2" t="s">
        <v>70</v>
      </c>
      <c r="I20" s="2" t="s">
        <v>71</v>
      </c>
      <c r="J20" s="2" t="s">
        <v>159</v>
      </c>
      <c r="K20" s="2" t="s">
        <v>238</v>
      </c>
      <c r="L20" s="13" t="s">
        <v>239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1:26">
      <c r="A21" s="2" t="s">
        <v>64</v>
      </c>
      <c r="B21" s="2" t="s">
        <v>65</v>
      </c>
      <c r="C21" s="2" t="s">
        <v>107</v>
      </c>
      <c r="D21" s="2">
        <v>316104</v>
      </c>
      <c r="E21" s="2" t="s">
        <v>259</v>
      </c>
      <c r="F21" s="2" t="s">
        <v>210</v>
      </c>
      <c r="G21" s="2" t="s">
        <v>69</v>
      </c>
      <c r="H21" s="2" t="s">
        <v>70</v>
      </c>
      <c r="I21" s="2" t="s">
        <v>71</v>
      </c>
      <c r="J21" s="2" t="s">
        <v>130</v>
      </c>
      <c r="K21" s="2" t="s">
        <v>238</v>
      </c>
      <c r="L21" s="13" t="s">
        <v>239</v>
      </c>
      <c r="M21" s="2">
        <v>2</v>
      </c>
      <c r="N21" s="2">
        <v>3</v>
      </c>
      <c r="O21" s="2">
        <v>2</v>
      </c>
      <c r="P21" s="2">
        <v>3</v>
      </c>
      <c r="Q21" s="2">
        <v>4</v>
      </c>
      <c r="R21" s="2">
        <v>6</v>
      </c>
      <c r="S21" s="2">
        <v>10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1:26">
      <c r="A22" s="2" t="s">
        <v>64</v>
      </c>
      <c r="B22" s="2" t="s">
        <v>65</v>
      </c>
      <c r="C22" s="2" t="s">
        <v>107</v>
      </c>
      <c r="D22" s="2">
        <v>325102</v>
      </c>
      <c r="E22" s="2" t="s">
        <v>262</v>
      </c>
      <c r="F22" s="2" t="s">
        <v>263</v>
      </c>
      <c r="G22" s="2" t="s">
        <v>69</v>
      </c>
      <c r="H22" s="2" t="s">
        <v>70</v>
      </c>
      <c r="I22" s="2" t="s">
        <v>71</v>
      </c>
      <c r="J22" s="2" t="s">
        <v>116</v>
      </c>
      <c r="K22" s="2" t="s">
        <v>238</v>
      </c>
      <c r="L22" s="13" t="s">
        <v>239</v>
      </c>
      <c r="M22" s="2">
        <v>0</v>
      </c>
      <c r="N22" s="2">
        <v>2</v>
      </c>
      <c r="O22" s="2">
        <v>1</v>
      </c>
      <c r="P22" s="2">
        <v>1</v>
      </c>
      <c r="Q22" s="2">
        <v>1</v>
      </c>
      <c r="R22" s="2">
        <v>3</v>
      </c>
      <c r="S22" s="2">
        <v>4</v>
      </c>
      <c r="T22" s="2">
        <v>1</v>
      </c>
      <c r="U22" s="2">
        <v>3</v>
      </c>
      <c r="V22" s="2">
        <v>1</v>
      </c>
      <c r="W22" s="2">
        <v>2</v>
      </c>
      <c r="X22" s="2">
        <v>2</v>
      </c>
      <c r="Y22" s="2">
        <v>5</v>
      </c>
      <c r="Z22" s="2">
        <v>7</v>
      </c>
    </row>
    <row r="23" spans="1:26">
      <c r="A23" s="2" t="s">
        <v>64</v>
      </c>
      <c r="B23" s="2" t="s">
        <v>65</v>
      </c>
      <c r="C23" s="2" t="s">
        <v>107</v>
      </c>
      <c r="D23" s="2">
        <v>325106</v>
      </c>
      <c r="E23" s="2" t="s">
        <v>264</v>
      </c>
      <c r="F23" s="2" t="s">
        <v>194</v>
      </c>
      <c r="G23" s="2" t="s">
        <v>69</v>
      </c>
      <c r="H23" s="2" t="s">
        <v>70</v>
      </c>
      <c r="I23" s="2" t="s">
        <v>71</v>
      </c>
      <c r="J23" s="2" t="s">
        <v>168</v>
      </c>
      <c r="K23" s="2" t="s">
        <v>238</v>
      </c>
      <c r="L23" s="13" t="s">
        <v>239</v>
      </c>
      <c r="M23" s="2">
        <v>1</v>
      </c>
      <c r="N23" s="2">
        <v>0</v>
      </c>
      <c r="O23" s="2">
        <v>1</v>
      </c>
      <c r="P23" s="2">
        <v>2</v>
      </c>
      <c r="Q23" s="2">
        <v>2</v>
      </c>
      <c r="R23" s="2">
        <v>2</v>
      </c>
      <c r="S23" s="2">
        <v>4</v>
      </c>
      <c r="T23" s="2">
        <v>2</v>
      </c>
      <c r="U23" s="2">
        <v>2</v>
      </c>
      <c r="V23" s="2">
        <v>2</v>
      </c>
      <c r="W23" s="2">
        <v>2</v>
      </c>
      <c r="X23" s="2">
        <v>4</v>
      </c>
      <c r="Y23" s="2">
        <v>4</v>
      </c>
      <c r="Z23" s="2">
        <v>8</v>
      </c>
    </row>
    <row r="24" spans="1:26">
      <c r="A24" s="2" t="s">
        <v>64</v>
      </c>
      <c r="B24" s="2" t="s">
        <v>65</v>
      </c>
      <c r="C24" s="2" t="s">
        <v>171</v>
      </c>
      <c r="D24" s="2">
        <v>304313</v>
      </c>
      <c r="E24" s="2" t="s">
        <v>265</v>
      </c>
      <c r="F24" s="2" t="s">
        <v>266</v>
      </c>
      <c r="G24" s="2" t="s">
        <v>69</v>
      </c>
      <c r="H24" s="2" t="s">
        <v>70</v>
      </c>
      <c r="I24" s="2" t="s">
        <v>71</v>
      </c>
      <c r="J24" s="2" t="s">
        <v>180</v>
      </c>
      <c r="K24" s="2" t="s">
        <v>238</v>
      </c>
      <c r="L24" s="13" t="s">
        <v>239</v>
      </c>
      <c r="M24" s="2">
        <v>1</v>
      </c>
      <c r="N24" s="2">
        <v>2</v>
      </c>
      <c r="O24" s="2">
        <v>1</v>
      </c>
      <c r="P24" s="2">
        <v>3</v>
      </c>
      <c r="Q24" s="2">
        <v>2</v>
      </c>
      <c r="R24" s="2">
        <v>5</v>
      </c>
      <c r="S24" s="2">
        <v>7</v>
      </c>
      <c r="T24" s="2">
        <v>3</v>
      </c>
      <c r="U24" s="2">
        <v>4</v>
      </c>
      <c r="V24" s="2">
        <v>3</v>
      </c>
      <c r="W24" s="2">
        <v>4</v>
      </c>
      <c r="X24" s="2">
        <v>6</v>
      </c>
      <c r="Y24" s="2">
        <v>8</v>
      </c>
      <c r="Z24" s="2">
        <v>14</v>
      </c>
    </row>
    <row r="25" spans="1:26">
      <c r="A25" s="2" t="s">
        <v>64</v>
      </c>
      <c r="B25" s="2" t="s">
        <v>65</v>
      </c>
      <c r="C25" s="2" t="s">
        <v>171</v>
      </c>
      <c r="D25" s="2">
        <v>304318</v>
      </c>
      <c r="E25" s="2" t="s">
        <v>267</v>
      </c>
      <c r="F25" s="2" t="s">
        <v>268</v>
      </c>
      <c r="G25" s="2" t="s">
        <v>69</v>
      </c>
      <c r="H25" s="2" t="s">
        <v>70</v>
      </c>
      <c r="I25" s="2" t="s">
        <v>71</v>
      </c>
      <c r="J25" s="2" t="s">
        <v>188</v>
      </c>
      <c r="K25" s="2" t="s">
        <v>238</v>
      </c>
      <c r="L25" s="13" t="s">
        <v>239</v>
      </c>
      <c r="M25" s="2">
        <v>1</v>
      </c>
      <c r="N25" s="2">
        <v>2</v>
      </c>
      <c r="O25" s="2">
        <v>1</v>
      </c>
      <c r="P25" s="2">
        <v>1</v>
      </c>
      <c r="Q25" s="2">
        <v>2</v>
      </c>
      <c r="R25" s="2">
        <v>3</v>
      </c>
      <c r="S25" s="2">
        <v>5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1:26">
      <c r="A26" s="2" t="s">
        <v>64</v>
      </c>
      <c r="B26" s="2" t="s">
        <v>65</v>
      </c>
      <c r="C26" s="2" t="s">
        <v>171</v>
      </c>
      <c r="D26" s="2">
        <v>325105</v>
      </c>
      <c r="E26" s="2" t="s">
        <v>269</v>
      </c>
      <c r="F26" s="2" t="s">
        <v>190</v>
      </c>
      <c r="G26" s="2" t="s">
        <v>69</v>
      </c>
      <c r="H26" s="2" t="s">
        <v>70</v>
      </c>
      <c r="I26" s="2" t="s">
        <v>71</v>
      </c>
      <c r="J26" s="2" t="s">
        <v>174</v>
      </c>
      <c r="K26" s="2" t="s">
        <v>238</v>
      </c>
      <c r="L26" s="13" t="s">
        <v>239</v>
      </c>
      <c r="M26" s="2">
        <v>4</v>
      </c>
      <c r="N26" s="2">
        <v>2</v>
      </c>
      <c r="O26" s="2">
        <v>0</v>
      </c>
      <c r="P26" s="2">
        <v>0</v>
      </c>
      <c r="Q26" s="2">
        <v>4</v>
      </c>
      <c r="R26" s="2">
        <v>2</v>
      </c>
      <c r="S26" s="2">
        <v>6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autoFilter ref="A10:X26" xr:uid="{00000000-0009-0000-0000-000002000000}"/>
  <mergeCells count="8">
    <mergeCell ref="M6:S6"/>
    <mergeCell ref="T6:Z6"/>
    <mergeCell ref="M7:N7"/>
    <mergeCell ref="O7:P7"/>
    <mergeCell ref="Q7:S7"/>
    <mergeCell ref="T7:U7"/>
    <mergeCell ref="V7:W7"/>
    <mergeCell ref="X7:Z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2023-08-01T00:45:31Z</dcterms:created>
  <dcterms:modified xsi:type="dcterms:W3CDTF">2023-08-01T00:46:45Z</dcterms:modified>
</cp:coreProperties>
</file>