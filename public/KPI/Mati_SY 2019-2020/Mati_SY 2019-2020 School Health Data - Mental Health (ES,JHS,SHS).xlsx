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B4097127-6E47-46EB-9985-875B7EB1C58A}" xr6:coauthVersionLast="47" xr6:coauthVersionMax="47" xr10:uidLastSave="{00000000-0000-0000-0000-000000000000}"/>
  <bookViews>
    <workbookView xWindow="-120" yWindow="-120" windowWidth="29040" windowHeight="15720" activeTab="2" xr2:uid="{C4C4DA60-A89F-4252-A8A8-18AF00C990D6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ES!$A$9:$AL$63</definedName>
    <definedName name="_xlnm._FilterDatabase" localSheetId="1" hidden="1">JHS!$A$9:$AG$31</definedName>
    <definedName name="_xlnm._FilterDatabase" localSheetId="2" hidden="1">SHS!$A$9:$AB$25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8" i="3" l="1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</calcChain>
</file>

<file path=xl/sharedStrings.xml><?xml version="1.0" encoding="utf-8"?>
<sst xmlns="http://schemas.openxmlformats.org/spreadsheetml/2006/main" count="1214" uniqueCount="267">
  <si>
    <t>School Level Data on Mental Health in Elementary Level</t>
  </si>
  <si>
    <t>SY 2019-2020</t>
  </si>
  <si>
    <t>Based on BEIS, generated as of June 5, 2020</t>
  </si>
  <si>
    <t>Number of learners who sought guidance counseling or life coaching from the school’s guidance counselor or guidance advocate:</t>
  </si>
  <si>
    <t>Number of cases of violence against children committed in schools that were recorded by the school:</t>
  </si>
  <si>
    <t>Number of cases of bullying or peer abuse that were recorded by the school:</t>
  </si>
  <si>
    <t>Number of cases of suicide and attempted suicide among learners and school personnel that were recorded by the school:</t>
  </si>
  <si>
    <t>Physical violence</t>
  </si>
  <si>
    <t>Sexual violence</t>
  </si>
  <si>
    <t>Psychological violence</t>
  </si>
  <si>
    <t>Other acts of violence</t>
  </si>
  <si>
    <t>Suicide</t>
  </si>
  <si>
    <t>Attempted suicide</t>
  </si>
  <si>
    <t>Kinder</t>
  </si>
  <si>
    <t>Grade 1</t>
  </si>
  <si>
    <t>Grade 2</t>
  </si>
  <si>
    <t>Grade 3</t>
  </si>
  <si>
    <t>Grade 4</t>
  </si>
  <si>
    <t>Grade 5</t>
  </si>
  <si>
    <t>Grade 6</t>
  </si>
  <si>
    <t>Male</t>
  </si>
  <si>
    <t>Female</t>
  </si>
  <si>
    <t>Among Learners</t>
  </si>
  <si>
    <t>Among School Personnel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</si>
  <si>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</si>
  <si>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</si>
  <si>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</si>
  <si>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</si>
  <si>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</si>
  <si>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</si>
  <si>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</si>
  <si>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</si>
  <si>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</si>
  <si>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</si>
  <si>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</si>
  <si>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</si>
  <si>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Sought guidance counsel Kinder</t>
  </si>
  <si>
    <t>Sought guidance counsel Gr1</t>
  </si>
  <si>
    <t>Sought guidance counsel Gr2</t>
  </si>
  <si>
    <t>Sought guidance counsel Gr3</t>
  </si>
  <si>
    <t>Sought guidance counsel Gr4</t>
  </si>
  <si>
    <t>Sought guidance counsel Gr5</t>
  </si>
  <si>
    <t>Sought guidance counsel Gr6</t>
  </si>
  <si>
    <t>Physical violence against Male learners</t>
  </si>
  <si>
    <t>Physical violence against Female learners</t>
  </si>
  <si>
    <t>Sex violence against Male learners</t>
  </si>
  <si>
    <t>Sex violence against Female learners</t>
  </si>
  <si>
    <t>Psycho violence against Male learners</t>
  </si>
  <si>
    <t>Psycho violence against Female learners</t>
  </si>
  <si>
    <t>Other  violence against Male learners</t>
  </si>
  <si>
    <t>Other  violence against Female learners</t>
  </si>
  <si>
    <t>Bullying Kinder</t>
  </si>
  <si>
    <t>Bullying Gr1</t>
  </si>
  <si>
    <t>Bullying Gr2</t>
  </si>
  <si>
    <t>Bullying Gr3</t>
  </si>
  <si>
    <t>Bullying Gr4</t>
  </si>
  <si>
    <t>Bullying Gr5</t>
  </si>
  <si>
    <t>Bullying Gr6</t>
  </si>
  <si>
    <t>Suicide learners</t>
  </si>
  <si>
    <t>Suicide personnel</t>
  </si>
  <si>
    <t>Attempted suicide learners</t>
  </si>
  <si>
    <t>Attempted suicide personnel</t>
  </si>
  <si>
    <t>Remarks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</si>
  <si>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</si>
  <si>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</si>
  <si>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</si>
  <si>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</si>
  <si>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</si>
  <si>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</si>
  <si>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</si>
  <si>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</si>
  <si>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</si>
  <si>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</si>
  <si>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</si>
  <si>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</si>
  <si>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</si>
  <si>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</si>
  <si>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</si>
  <si>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</si>
  <si>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</si>
  <si>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</si>
  <si>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</si>
  <si>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</si>
  <si>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</si>
  <si>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</si>
  <si>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</si>
  <si>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</si>
  <si>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</si>
  <si>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</si>
  <si>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</si>
  <si>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</si>
  <si>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</si>
  <si>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</si>
  <si>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</si>
  <si>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</si>
  <si>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</si>
  <si>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</si>
  <si>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</si>
  <si>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</si>
  <si>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</si>
  <si>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</si>
  <si>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</si>
  <si>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</si>
  <si>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</si>
  <si>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</si>
  <si>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</si>
  <si>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</si>
  <si>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</si>
  <si>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</si>
  <si>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</si>
  <si>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</si>
  <si>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</si>
  <si>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</si>
  <si>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</si>
  <si>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</si>
  <si>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</si>
  <si>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</si>
  <si>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</si>
  <si>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</si>
  <si>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</si>
  <si>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</si>
  <si>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</si>
  <si>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</si>
  <si>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</si>
  <si>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</si>
  <si>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</si>
  <si>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</si>
  <si>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</si>
  <si>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</si>
  <si>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</si>
  <si>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</si>
  <si>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</si>
  <si>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</si>
  <si>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</si>
  <si>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</si>
  <si>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</si>
  <si>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</si>
  <si>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</si>
  <si>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</si>
  <si>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</si>
  <si>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</si>
  <si>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</si>
  <si>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</si>
  <si>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</si>
  <si>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</si>
  <si>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</si>
  <si>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</si>
  <si>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</si>
  <si>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</si>
  <si>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</si>
  <si>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</si>
  <si>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</si>
  <si>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</si>
  <si>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</si>
  <si>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</si>
  <si>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</si>
  <si>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</si>
  <si>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</si>
  <si>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</si>
  <si>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</si>
  <si>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</si>
  <si>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</si>
  <si>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</si>
  <si>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</si>
  <si>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</si>
  <si>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</si>
  <si>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</si>
  <si>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</si>
  <si>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</si>
  <si>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</si>
  <si>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</si>
  <si>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</si>
  <si>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</si>
  <si>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</si>
  <si>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</si>
  <si>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</si>
  <si>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</si>
  <si>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</si>
  <si>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</si>
  <si>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</si>
  <si>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</si>
  <si>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</si>
  <si>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</si>
  <si>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</si>
  <si>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</si>
  <si>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</si>
  <si>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</si>
  <si>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</si>
  <si>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</si>
  <si>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</si>
  <si>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</si>
  <si>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</si>
  <si>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</si>
  <si>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</si>
  <si>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</si>
  <si>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</si>
  <si>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</si>
  <si>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</si>
  <si>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</si>
  <si>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</si>
  <si>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</si>
  <si>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</si>
  <si>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</si>
  <si>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</si>
  <si>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</si>
  <si>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</si>
  <si>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</si>
  <si>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</si>
  <si>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</si>
  <si>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</si>
  <si>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Mental Health in Junior High School Public</t>
  </si>
  <si>
    <t>Grade 7</t>
  </si>
  <si>
    <t>Grade 8</t>
  </si>
  <si>
    <t>Grade 9</t>
  </si>
  <si>
    <t>Grade 10</t>
  </si>
  <si>
    <t>Sought guidance counsel Gr7</t>
  </si>
  <si>
    <t>Sought guidance counsel Gr8</t>
  </si>
  <si>
    <t>Sought guidance counsel Gr9</t>
  </si>
  <si>
    <t>Sought guidance counsel Gr10</t>
  </si>
  <si>
    <t>Bullying Gr7</t>
  </si>
  <si>
    <t>Bullying Gr8</t>
  </si>
  <si>
    <t>Bullying Gr9</t>
  </si>
  <si>
    <t>Bullying Gr10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</si>
  <si>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</si>
  <si>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</si>
  <si>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</si>
  <si>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</si>
  <si>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</si>
  <si>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</si>
  <si>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</si>
  <si>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</si>
  <si>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</si>
  <si>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</si>
  <si>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</si>
  <si>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</si>
  <si>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</si>
  <si>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</si>
  <si>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</si>
  <si>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</si>
  <si>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</si>
  <si>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</si>
  <si>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</si>
  <si>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</si>
  <si>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</si>
  <si>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</si>
  <si>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</si>
  <si>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</si>
  <si>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</si>
  <si>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</si>
  <si>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</si>
  <si>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</si>
  <si>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</si>
  <si>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</si>
  <si>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</si>
  <si>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</si>
  <si>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</si>
  <si>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</si>
  <si>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Mental Health in Senior High School Public</t>
  </si>
  <si>
    <t>Number of learners who sought guidance counseling or life coaching from the school’s guidance counselor or guidance advocate</t>
  </si>
  <si>
    <t>How many cases of violence against children committed in schools were recorded in the previous school year ?</t>
  </si>
  <si>
    <t>How many cases of bullying or peer abuse were recorded by the school in the previous school year ?</t>
  </si>
  <si>
    <t>Grade 11</t>
  </si>
  <si>
    <t>Grade 12</t>
  </si>
  <si>
    <t>Sought guidance counsel Gr11</t>
  </si>
  <si>
    <t>Sought guidance counsel Gr12</t>
  </si>
  <si>
    <t>Bullying Gr11</t>
  </si>
  <si>
    <t>Bullying Gr12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</si>
</sst>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/>
    <xf numFmtId="0" fontId="1" fillId="3" borderId="0" xfId="0" applyFont="1" applyFill="1"/>
    <xf numFmtId="0" fontId="4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5" fontId="3" fillId="0" borderId="1" xfId="1" applyNumberFormat="1" applyFont="1" applyFill="1" applyBorder="1" applyAlignment="1">
      <alignment horizontal="center" vertical="center" wrapText="1"/>
    </xf>
    <xf numFmtId="165" fontId="3" fillId="0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3ED2-6AB7-4E27-B180-5EA67BB4B59F}">
  <sheetPr codeName="Sheet1"/>
  <dimension ref="A1:AM63"/>
  <sheetViews>
    <sheetView zoomScale="85" zoomScaleNormal="85" workbookViewId="0">
      <pane xSplit="4" ySplit="9" topLeftCell="E44" activePane="bottomRight" state="frozen"/>
      <selection activeCell="B28" sqref="A10:XFD28"/>
      <selection pane="topRight" activeCell="B28" sqref="A10:XFD28"/>
      <selection pane="bottomLeft" activeCell="B28" sqref="A10:XFD28"/>
      <selection pane="bottomRight" activeCell="B64" sqref="A64:XFD233"/>
    </sheetView>
  </sheetViews>
  <sheetFormatPr defaultRowHeight="15" x14ac:dyDescent="0.25"/>
  <cols>
    <col min="2" max="2" width="27.140625" bestFit="1" customWidth="1"/>
    <col min="13" max="34" width="15.140625" customWidth="1"/>
    <col min="35" max="38" width="19.85546875" customWidth="1"/>
  </cols>
  <sheetData>
    <row r="1" spans="1:39" x14ac:dyDescent="0.25">
      <c r="A1" s="1" t="s">
        <v>0</v>
      </c>
    </row>
    <row r="2" spans="1:39" x14ac:dyDescent="0.25">
      <c r="A2" s="1" t="s">
        <v>1</v>
      </c>
      <c r="L2" s="2"/>
    </row>
    <row r="3" spans="1:39" x14ac:dyDescent="0.25">
      <c r="A3" s="1" t="s">
        <v>2</v>
      </c>
      <c r="L3" s="2"/>
    </row>
    <row r="4" spans="1:39" x14ac:dyDescent="0.25">
      <c r="L4" s="2"/>
      <c r="M4" s="3" t="s">
        <v>3</v>
      </c>
      <c r="N4" s="3"/>
      <c r="O4" s="3"/>
      <c r="P4" s="3"/>
      <c r="Q4" s="3"/>
      <c r="R4" s="3"/>
      <c r="S4" s="3"/>
      <c r="T4" s="3" t="s">
        <v>4</v>
      </c>
      <c r="U4" s="3"/>
      <c r="V4" s="3"/>
      <c r="W4" s="3"/>
      <c r="X4" s="3"/>
      <c r="Y4" s="3"/>
      <c r="Z4" s="3"/>
      <c r="AA4" s="3"/>
      <c r="AB4" s="3" t="s">
        <v>5</v>
      </c>
      <c r="AC4" s="3"/>
      <c r="AD4" s="3"/>
      <c r="AE4" s="3"/>
      <c r="AF4" s="3"/>
      <c r="AG4" s="3"/>
      <c r="AH4" s="3"/>
      <c r="AI4" s="3" t="s">
        <v>6</v>
      </c>
      <c r="AJ4" s="3"/>
      <c r="AK4" s="3"/>
      <c r="AL4" s="3"/>
    </row>
    <row r="5" spans="1:39" ht="14.45" customHeight="1" x14ac:dyDescent="0.25">
      <c r="A5" s="1"/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9" x14ac:dyDescent="0.25">
      <c r="A6" s="1"/>
      <c r="L6" s="2"/>
      <c r="M6" s="3"/>
      <c r="N6" s="3"/>
      <c r="O6" s="3"/>
      <c r="P6" s="3"/>
      <c r="Q6" s="3"/>
      <c r="R6" s="3"/>
      <c r="S6" s="3"/>
      <c r="T6" s="3" t="s">
        <v>7</v>
      </c>
      <c r="U6" s="3"/>
      <c r="V6" s="3" t="s">
        <v>8</v>
      </c>
      <c r="W6" s="3"/>
      <c r="X6" s="3" t="s">
        <v>9</v>
      </c>
      <c r="Y6" s="3"/>
      <c r="Z6" s="3" t="s">
        <v>10</v>
      </c>
      <c r="AA6" s="3"/>
      <c r="AB6" s="3"/>
      <c r="AC6" s="3"/>
      <c r="AD6" s="3"/>
      <c r="AE6" s="3"/>
      <c r="AF6" s="3"/>
      <c r="AG6" s="3"/>
      <c r="AH6" s="3"/>
      <c r="AI6" s="4" t="s">
        <v>11</v>
      </c>
      <c r="AJ6" s="4"/>
      <c r="AK6" s="4" t="s">
        <v>12</v>
      </c>
      <c r="AL6" s="4"/>
    </row>
    <row r="7" spans="1:39" x14ac:dyDescent="0.25">
      <c r="M7" s="5" t="s">
        <v>13</v>
      </c>
      <c r="N7" s="5" t="s">
        <v>14</v>
      </c>
      <c r="O7" s="5" t="s">
        <v>15</v>
      </c>
      <c r="P7" s="5" t="s">
        <v>16</v>
      </c>
      <c r="Q7" s="5" t="s">
        <v>17</v>
      </c>
      <c r="R7" s="5" t="s">
        <v>18</v>
      </c>
      <c r="S7" s="5" t="s">
        <v>19</v>
      </c>
      <c r="T7" s="5" t="s">
        <v>20</v>
      </c>
      <c r="U7" s="5" t="s">
        <v>21</v>
      </c>
      <c r="V7" s="5" t="s">
        <v>20</v>
      </c>
      <c r="W7" s="5" t="s">
        <v>21</v>
      </c>
      <c r="X7" s="5" t="s">
        <v>20</v>
      </c>
      <c r="Y7" s="5" t="s">
        <v>21</v>
      </c>
      <c r="Z7" s="5" t="s">
        <v>20</v>
      </c>
      <c r="AA7" s="5" t="s">
        <v>21</v>
      </c>
      <c r="AB7" s="5" t="s">
        <v>13</v>
      </c>
      <c r="AC7" s="5" t="s">
        <v>14</v>
      </c>
      <c r="AD7" s="5" t="s">
        <v>15</v>
      </c>
      <c r="AE7" s="5" t="s">
        <v>16</v>
      </c>
      <c r="AF7" s="5" t="s">
        <v>17</v>
      </c>
      <c r="AG7" s="5" t="s">
        <v>18</v>
      </c>
      <c r="AH7" s="5" t="s">
        <v>19</v>
      </c>
      <c r="AI7" s="5" t="s">
        <v>22</v>
      </c>
      <c r="AJ7" s="5" t="s">
        <v>23</v>
      </c>
      <c r="AK7" s="5" t="s">
        <v>22</v>
      </c>
      <c r="AL7" s="5" t="s">
        <v>23</v>
      </c>
    </row>
    <row r="8" spans="1:39" x14ac:dyDescent="0.25">
      <c r="M8" s="6">
        <f>SUM(M10:M63)</f>
        <v>2</v>
      </c>
      <c r="N8" s="6">
        <f>SUM(N10:N63)</f>
        <v>4</v>
      </c>
      <c r="O8" s="6">
        <f>SUM(O10:O63)</f>
        <v>2</v>
      </c>
      <c r="P8" s="6">
        <f>SUM(P10:P63)</f>
        <v>2</v>
      </c>
      <c r="Q8" s="6">
        <f>SUM(Q10:Q63)</f>
        <v>15</v>
      </c>
      <c r="R8" s="6">
        <f>SUM(R10:R63)</f>
        <v>11</v>
      </c>
      <c r="S8" s="6">
        <f>SUM(S10:S63)</f>
        <v>27</v>
      </c>
      <c r="T8" s="6">
        <f>SUM(T10:T63)</f>
        <v>18</v>
      </c>
      <c r="U8" s="6">
        <f>SUM(U10:U63)</f>
        <v>6</v>
      </c>
      <c r="V8" s="6">
        <f>SUM(V10:V63)</f>
        <v>0</v>
      </c>
      <c r="W8" s="6">
        <f>SUM(W10:W63)</f>
        <v>1</v>
      </c>
      <c r="X8" s="6">
        <f>SUM(X10:X63)</f>
        <v>0</v>
      </c>
      <c r="Y8" s="6">
        <f>SUM(Y10:Y63)</f>
        <v>0</v>
      </c>
      <c r="Z8" s="6">
        <f>SUM(Z10:Z63)</f>
        <v>0</v>
      </c>
      <c r="AA8" s="6">
        <f>SUM(AA10:AA63)</f>
        <v>0</v>
      </c>
      <c r="AB8" s="6">
        <f>SUM(AB10:AB63)</f>
        <v>3</v>
      </c>
      <c r="AC8" s="6">
        <f>SUM(AC10:AC63)</f>
        <v>5</v>
      </c>
      <c r="AD8" s="6">
        <f>SUM(AD10:AD63)</f>
        <v>8</v>
      </c>
      <c r="AE8" s="6">
        <f>SUM(AE10:AE63)</f>
        <v>9</v>
      </c>
      <c r="AF8" s="6">
        <f>SUM(AF10:AF63)</f>
        <v>14</v>
      </c>
      <c r="AG8" s="6">
        <f>SUM(AG10:AG63)</f>
        <v>22</v>
      </c>
      <c r="AH8" s="6">
        <f>SUM(AH10:AH63)</f>
        <v>22</v>
      </c>
      <c r="AI8" s="6">
        <f>SUM(AI10:AI63)</f>
        <v>0</v>
      </c>
      <c r="AJ8" s="6">
        <f>SUM(AJ10:AJ63)</f>
        <v>0</v>
      </c>
      <c r="AK8" s="6">
        <f>SUM(AK10:AK63)</f>
        <v>1</v>
      </c>
      <c r="AL8" s="6">
        <f>SUM(AL10:AL63)</f>
        <v>0</v>
      </c>
    </row>
    <row r="9" spans="1:39" x14ac:dyDescent="0.25">
      <c r="A9" s="7" t="s">
        <v>24</v>
      </c>
      <c r="B9" s="7" t="s">
        <v>25</v>
      </c>
      <c r="C9" s="7" t="s">
        <v>26</v>
      </c>
      <c r="D9" s="7" t="s">
        <v>27</v>
      </c>
      <c r="E9" s="7" t="s">
        <v>28</v>
      </c>
      <c r="F9" s="7" t="s">
        <v>29</v>
      </c>
      <c r="G9" s="7" t="s">
        <v>30</v>
      </c>
      <c r="H9" s="7" t="s">
        <v>31</v>
      </c>
      <c r="I9" s="7" t="s">
        <v>32</v>
      </c>
      <c r="J9" s="7" t="s">
        <v>33</v>
      </c>
      <c r="K9" s="7" t="s">
        <v>34</v>
      </c>
      <c r="L9" s="8" t="s">
        <v>35</v>
      </c>
      <c r="M9" s="9" t="s">
        <v>36</v>
      </c>
      <c r="N9" s="9" t="s">
        <v>37</v>
      </c>
      <c r="O9" s="9" t="s">
        <v>38</v>
      </c>
      <c r="P9" s="9" t="s">
        <v>39</v>
      </c>
      <c r="Q9" s="9" t="s">
        <v>40</v>
      </c>
      <c r="R9" s="9" t="s">
        <v>41</v>
      </c>
      <c r="S9" s="9" t="s">
        <v>42</v>
      </c>
      <c r="T9" s="9" t="s">
        <v>43</v>
      </c>
      <c r="U9" s="9" t="s">
        <v>44</v>
      </c>
      <c r="V9" s="9" t="s">
        <v>45</v>
      </c>
      <c r="W9" s="9" t="s">
        <v>46</v>
      </c>
      <c r="X9" s="9" t="s">
        <v>47</v>
      </c>
      <c r="Y9" s="9" t="s">
        <v>48</v>
      </c>
      <c r="Z9" s="9" t="s">
        <v>49</v>
      </c>
      <c r="AA9" s="9" t="s">
        <v>50</v>
      </c>
      <c r="AB9" s="9" t="s">
        <v>51</v>
      </c>
      <c r="AC9" s="9" t="s">
        <v>52</v>
      </c>
      <c r="AD9" s="9" t="s">
        <v>53</v>
      </c>
      <c r="AE9" s="9" t="s">
        <v>54</v>
      </c>
      <c r="AF9" s="9" t="s">
        <v>55</v>
      </c>
      <c r="AG9" s="9" t="s">
        <v>56</v>
      </c>
      <c r="AH9" s="9" t="s">
        <v>57</v>
      </c>
      <c r="AI9" s="9" t="s">
        <v>58</v>
      </c>
      <c r="AJ9" s="9" t="s">
        <v>59</v>
      </c>
      <c r="AK9" s="9" t="s">
        <v>60</v>
      </c>
      <c r="AL9" s="9" t="s">
        <v>61</v>
      </c>
      <c r="AM9" s="9" t="s">
        <v>62</v>
      </c>
    </row>
    <row r="10" spans="1:39" x14ac:dyDescent="0.25">
      <c r="A10" t="s">
        <v>63</v>
      </c>
      <c r="B10" t="s">
        <v>69</v>
      </c>
      <c r="C10" t="s">
        <v>70</v>
      </c>
      <c r="D10">
        <v>129374</v>
      </c>
      <c r="E10" t="s">
        <v>71</v>
      </c>
      <c r="F10" t="s">
        <v>72</v>
      </c>
      <c r="G10" t="s">
        <v>73</v>
      </c>
      <c r="H10" t="s">
        <v>74</v>
      </c>
      <c r="I10" t="s">
        <v>64</v>
      </c>
      <c r="J10" t="s">
        <v>75</v>
      </c>
      <c r="K10" t="s">
        <v>65</v>
      </c>
      <c r="L10" s="10" t="s">
        <v>66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9" x14ac:dyDescent="0.25">
      <c r="A11" t="s">
        <v>63</v>
      </c>
      <c r="B11" t="s">
        <v>69</v>
      </c>
      <c r="C11" t="s">
        <v>70</v>
      </c>
      <c r="D11">
        <v>129375</v>
      </c>
      <c r="E11" t="s">
        <v>76</v>
      </c>
      <c r="F11" t="s">
        <v>77</v>
      </c>
      <c r="G11" t="s">
        <v>73</v>
      </c>
      <c r="H11" t="s">
        <v>74</v>
      </c>
      <c r="I11" t="s">
        <v>64</v>
      </c>
      <c r="J11" t="s">
        <v>75</v>
      </c>
      <c r="K11" t="s">
        <v>65</v>
      </c>
      <c r="L11" s="10" t="s">
        <v>66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9" x14ac:dyDescent="0.25">
      <c r="A12" t="s">
        <v>63</v>
      </c>
      <c r="B12" t="s">
        <v>69</v>
      </c>
      <c r="C12" t="s">
        <v>70</v>
      </c>
      <c r="D12">
        <v>129376</v>
      </c>
      <c r="E12" t="s">
        <v>78</v>
      </c>
      <c r="F12" t="s">
        <v>79</v>
      </c>
      <c r="G12" t="s">
        <v>73</v>
      </c>
      <c r="H12" t="s">
        <v>74</v>
      </c>
      <c r="I12" t="s">
        <v>64</v>
      </c>
      <c r="J12" t="s">
        <v>80</v>
      </c>
      <c r="K12" t="s">
        <v>65</v>
      </c>
      <c r="L12" s="10" t="s">
        <v>66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9" x14ac:dyDescent="0.25">
      <c r="A13" t="s">
        <v>63</v>
      </c>
      <c r="B13" t="s">
        <v>69</v>
      </c>
      <c r="C13" t="s">
        <v>70</v>
      </c>
      <c r="D13">
        <v>129377</v>
      </c>
      <c r="E13" t="s">
        <v>81</v>
      </c>
      <c r="F13" t="s">
        <v>82</v>
      </c>
      <c r="G13" t="s">
        <v>73</v>
      </c>
      <c r="H13" t="s">
        <v>74</v>
      </c>
      <c r="I13" t="s">
        <v>64</v>
      </c>
      <c r="J13" t="s">
        <v>83</v>
      </c>
      <c r="K13" t="s">
        <v>65</v>
      </c>
      <c r="L13" s="10" t="s">
        <v>66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9" x14ac:dyDescent="0.25">
      <c r="A14" t="s">
        <v>63</v>
      </c>
      <c r="B14" t="s">
        <v>69</v>
      </c>
      <c r="C14" t="s">
        <v>70</v>
      </c>
      <c r="D14">
        <v>129380</v>
      </c>
      <c r="E14" t="s">
        <v>84</v>
      </c>
      <c r="F14" t="s">
        <v>85</v>
      </c>
      <c r="G14" t="s">
        <v>73</v>
      </c>
      <c r="H14" t="s">
        <v>74</v>
      </c>
      <c r="I14" t="s">
        <v>64</v>
      </c>
      <c r="J14" t="s">
        <v>80</v>
      </c>
      <c r="K14" t="s">
        <v>65</v>
      </c>
      <c r="L14" s="10" t="s">
        <v>66</v>
      </c>
      <c r="M14">
        <v>0</v>
      </c>
      <c r="N14">
        <v>0</v>
      </c>
      <c r="O14">
        <v>0</v>
      </c>
      <c r="P14">
        <v>0</v>
      </c>
      <c r="Q14">
        <v>4</v>
      </c>
      <c r="R14">
        <v>3</v>
      </c>
      <c r="S14">
        <v>4</v>
      </c>
      <c r="T14">
        <v>3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2</v>
      </c>
      <c r="AH14">
        <v>5</v>
      </c>
      <c r="AI14">
        <v>0</v>
      </c>
      <c r="AJ14">
        <v>0</v>
      </c>
      <c r="AK14">
        <v>1</v>
      </c>
      <c r="AL14">
        <v>0</v>
      </c>
    </row>
    <row r="15" spans="1:39" x14ac:dyDescent="0.25">
      <c r="A15" t="s">
        <v>63</v>
      </c>
      <c r="B15" t="s">
        <v>69</v>
      </c>
      <c r="C15" t="s">
        <v>70</v>
      </c>
      <c r="D15">
        <v>129381</v>
      </c>
      <c r="E15" t="s">
        <v>86</v>
      </c>
      <c r="F15" t="s">
        <v>87</v>
      </c>
      <c r="G15" t="s">
        <v>73</v>
      </c>
      <c r="H15" t="s">
        <v>74</v>
      </c>
      <c r="I15" t="s">
        <v>64</v>
      </c>
      <c r="J15" t="s">
        <v>80</v>
      </c>
      <c r="K15" t="s">
        <v>65</v>
      </c>
      <c r="L15" s="10" t="s">
        <v>66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9" x14ac:dyDescent="0.25">
      <c r="A16" t="s">
        <v>63</v>
      </c>
      <c r="B16" t="s">
        <v>69</v>
      </c>
      <c r="C16" t="s">
        <v>70</v>
      </c>
      <c r="D16">
        <v>129382</v>
      </c>
      <c r="E16" t="s">
        <v>88</v>
      </c>
      <c r="F16" t="s">
        <v>89</v>
      </c>
      <c r="G16" t="s">
        <v>73</v>
      </c>
      <c r="H16" t="s">
        <v>74</v>
      </c>
      <c r="I16" t="s">
        <v>64</v>
      </c>
      <c r="J16" t="s">
        <v>80</v>
      </c>
      <c r="K16" t="s">
        <v>65</v>
      </c>
      <c r="L16" s="10" t="s">
        <v>66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2</v>
      </c>
      <c r="AI16">
        <v>0</v>
      </c>
      <c r="AJ16">
        <v>0</v>
      </c>
      <c r="AK16">
        <v>0</v>
      </c>
      <c r="AL16">
        <v>0</v>
      </c>
    </row>
    <row r="17" spans="1:38" x14ac:dyDescent="0.25">
      <c r="A17" t="s">
        <v>63</v>
      </c>
      <c r="B17" t="s">
        <v>69</v>
      </c>
      <c r="C17" t="s">
        <v>70</v>
      </c>
      <c r="D17">
        <v>129383</v>
      </c>
      <c r="E17" t="s">
        <v>90</v>
      </c>
      <c r="F17" t="s">
        <v>91</v>
      </c>
      <c r="G17" t="s">
        <v>73</v>
      </c>
      <c r="H17" t="s">
        <v>74</v>
      </c>
      <c r="I17" t="s">
        <v>64</v>
      </c>
      <c r="J17" t="s">
        <v>80</v>
      </c>
      <c r="K17" t="s">
        <v>65</v>
      </c>
      <c r="L17" s="10" t="s">
        <v>66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</v>
      </c>
      <c r="AF17">
        <v>2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0</v>
      </c>
    </row>
    <row r="18" spans="1:38" x14ac:dyDescent="0.25">
      <c r="A18" t="s">
        <v>63</v>
      </c>
      <c r="B18" t="s">
        <v>69</v>
      </c>
      <c r="C18" t="s">
        <v>70</v>
      </c>
      <c r="D18">
        <v>129384</v>
      </c>
      <c r="E18" t="s">
        <v>92</v>
      </c>
      <c r="F18" t="s">
        <v>93</v>
      </c>
      <c r="G18" t="s">
        <v>73</v>
      </c>
      <c r="H18" t="s">
        <v>74</v>
      </c>
      <c r="I18" t="s">
        <v>64</v>
      </c>
      <c r="J18" t="s">
        <v>80</v>
      </c>
      <c r="K18" t="s">
        <v>65</v>
      </c>
      <c r="L18" s="10" t="s">
        <v>66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25">
      <c r="A19" t="s">
        <v>63</v>
      </c>
      <c r="B19" t="s">
        <v>69</v>
      </c>
      <c r="C19" t="s">
        <v>70</v>
      </c>
      <c r="D19">
        <v>129385</v>
      </c>
      <c r="E19" t="s">
        <v>94</v>
      </c>
      <c r="F19" t="s">
        <v>95</v>
      </c>
      <c r="G19" t="s">
        <v>73</v>
      </c>
      <c r="H19" t="s">
        <v>74</v>
      </c>
      <c r="I19" t="s">
        <v>64</v>
      </c>
      <c r="J19" t="s">
        <v>75</v>
      </c>
      <c r="K19" t="s">
        <v>65</v>
      </c>
      <c r="L19" s="10" t="s">
        <v>66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25">
      <c r="A20" t="s">
        <v>63</v>
      </c>
      <c r="B20" t="s">
        <v>69</v>
      </c>
      <c r="C20" t="s">
        <v>70</v>
      </c>
      <c r="D20">
        <v>129386</v>
      </c>
      <c r="E20" t="s">
        <v>96</v>
      </c>
      <c r="F20" t="s">
        <v>97</v>
      </c>
      <c r="G20" t="s">
        <v>73</v>
      </c>
      <c r="H20" t="s">
        <v>74</v>
      </c>
      <c r="I20" t="s">
        <v>64</v>
      </c>
      <c r="J20" t="s">
        <v>83</v>
      </c>
      <c r="K20" t="s">
        <v>65</v>
      </c>
      <c r="L20" s="10" t="s">
        <v>66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25">
      <c r="A21" t="s">
        <v>63</v>
      </c>
      <c r="B21" t="s">
        <v>69</v>
      </c>
      <c r="C21" t="s">
        <v>70</v>
      </c>
      <c r="D21">
        <v>205504</v>
      </c>
      <c r="E21" t="s">
        <v>98</v>
      </c>
      <c r="F21" t="s">
        <v>87</v>
      </c>
      <c r="G21" t="s">
        <v>73</v>
      </c>
      <c r="H21" t="s">
        <v>74</v>
      </c>
      <c r="I21" t="s">
        <v>64</v>
      </c>
      <c r="J21" t="s">
        <v>80</v>
      </c>
      <c r="K21" t="s">
        <v>65</v>
      </c>
      <c r="L21" s="10" t="s">
        <v>66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25">
      <c r="A22" t="s">
        <v>63</v>
      </c>
      <c r="B22" t="s">
        <v>69</v>
      </c>
      <c r="C22" t="s">
        <v>70</v>
      </c>
      <c r="D22">
        <v>500454</v>
      </c>
      <c r="E22" t="s">
        <v>99</v>
      </c>
      <c r="F22" t="s">
        <v>100</v>
      </c>
      <c r="G22" t="s">
        <v>73</v>
      </c>
      <c r="H22" t="s">
        <v>74</v>
      </c>
      <c r="I22" t="s">
        <v>64</v>
      </c>
      <c r="J22" t="s">
        <v>83</v>
      </c>
      <c r="K22" t="s">
        <v>101</v>
      </c>
      <c r="L22" s="10" t="s">
        <v>102</v>
      </c>
      <c r="M22">
        <v>0</v>
      </c>
      <c r="N22">
        <v>1</v>
      </c>
      <c r="O22">
        <v>0</v>
      </c>
      <c r="P22">
        <v>0</v>
      </c>
      <c r="Q22">
        <v>3</v>
      </c>
      <c r="R22">
        <v>2</v>
      </c>
      <c r="S22">
        <v>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25">
      <c r="A23" t="s">
        <v>63</v>
      </c>
      <c r="B23" t="s">
        <v>69</v>
      </c>
      <c r="C23" t="s">
        <v>70</v>
      </c>
      <c r="D23">
        <v>501424</v>
      </c>
      <c r="E23" t="s">
        <v>103</v>
      </c>
      <c r="F23" t="s">
        <v>104</v>
      </c>
      <c r="G23" t="s">
        <v>73</v>
      </c>
      <c r="H23" t="s">
        <v>74</v>
      </c>
      <c r="I23" t="s">
        <v>64</v>
      </c>
      <c r="J23" t="s">
        <v>105</v>
      </c>
      <c r="K23" t="s">
        <v>67</v>
      </c>
      <c r="L23" s="10" t="s">
        <v>68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25">
      <c r="A24" t="s">
        <v>63</v>
      </c>
      <c r="B24" t="s">
        <v>69</v>
      </c>
      <c r="C24" t="s">
        <v>106</v>
      </c>
      <c r="D24">
        <v>101813</v>
      </c>
      <c r="E24" t="s">
        <v>107</v>
      </c>
      <c r="F24" t="s">
        <v>108</v>
      </c>
      <c r="G24" t="s">
        <v>73</v>
      </c>
      <c r="H24" t="s">
        <v>74</v>
      </c>
      <c r="I24" t="s">
        <v>64</v>
      </c>
      <c r="J24" t="s">
        <v>109</v>
      </c>
      <c r="K24" t="s">
        <v>65</v>
      </c>
      <c r="L24" s="10" t="s">
        <v>66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25">
      <c r="A25" t="s">
        <v>63</v>
      </c>
      <c r="B25" t="s">
        <v>69</v>
      </c>
      <c r="C25" t="s">
        <v>106</v>
      </c>
      <c r="D25">
        <v>129387</v>
      </c>
      <c r="E25" t="s">
        <v>110</v>
      </c>
      <c r="F25" t="s">
        <v>111</v>
      </c>
      <c r="G25" t="s">
        <v>73</v>
      </c>
      <c r="H25" t="s">
        <v>74</v>
      </c>
      <c r="I25" t="s">
        <v>64</v>
      </c>
      <c r="J25" t="s">
        <v>112</v>
      </c>
      <c r="K25" t="s">
        <v>65</v>
      </c>
      <c r="L25" s="10" t="s">
        <v>66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</v>
      </c>
      <c r="AC25">
        <v>3</v>
      </c>
      <c r="AD25">
        <v>4</v>
      </c>
      <c r="AE25">
        <v>3</v>
      </c>
      <c r="AF25">
        <v>4</v>
      </c>
      <c r="AG25">
        <v>5</v>
      </c>
      <c r="AH25">
        <v>6</v>
      </c>
      <c r="AI25">
        <v>0</v>
      </c>
      <c r="AJ25">
        <v>0</v>
      </c>
      <c r="AK25">
        <v>0</v>
      </c>
      <c r="AL25">
        <v>0</v>
      </c>
    </row>
    <row r="26" spans="1:38" x14ac:dyDescent="0.25">
      <c r="A26" t="s">
        <v>63</v>
      </c>
      <c r="B26" t="s">
        <v>69</v>
      </c>
      <c r="C26" t="s">
        <v>106</v>
      </c>
      <c r="D26">
        <v>129388</v>
      </c>
      <c r="E26" t="s">
        <v>113</v>
      </c>
      <c r="F26" t="s">
        <v>114</v>
      </c>
      <c r="G26" t="s">
        <v>73</v>
      </c>
      <c r="H26" t="s">
        <v>74</v>
      </c>
      <c r="I26" t="s">
        <v>64</v>
      </c>
      <c r="J26" t="s">
        <v>115</v>
      </c>
      <c r="K26" t="s">
        <v>65</v>
      </c>
      <c r="L26" s="10" t="s">
        <v>66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25">
      <c r="A27" t="s">
        <v>63</v>
      </c>
      <c r="B27" t="s">
        <v>69</v>
      </c>
      <c r="C27" t="s">
        <v>106</v>
      </c>
      <c r="D27">
        <v>129389</v>
      </c>
      <c r="E27" t="s">
        <v>116</v>
      </c>
      <c r="F27" t="s">
        <v>117</v>
      </c>
      <c r="G27" t="s">
        <v>73</v>
      </c>
      <c r="H27" t="s">
        <v>74</v>
      </c>
      <c r="I27" t="s">
        <v>64</v>
      </c>
      <c r="J27" t="s">
        <v>118</v>
      </c>
      <c r="K27" t="s">
        <v>65</v>
      </c>
      <c r="L27" s="10" t="s">
        <v>66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9</v>
      </c>
      <c r="U27">
        <v>3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3</v>
      </c>
      <c r="AH27">
        <v>2</v>
      </c>
      <c r="AI27">
        <v>0</v>
      </c>
      <c r="AJ27">
        <v>0</v>
      </c>
      <c r="AK27">
        <v>0</v>
      </c>
      <c r="AL27">
        <v>0</v>
      </c>
    </row>
    <row r="28" spans="1:38" x14ac:dyDescent="0.25">
      <c r="A28" t="s">
        <v>63</v>
      </c>
      <c r="B28" t="s">
        <v>69</v>
      </c>
      <c r="C28" t="s">
        <v>106</v>
      </c>
      <c r="D28">
        <v>129390</v>
      </c>
      <c r="E28" t="s">
        <v>119</v>
      </c>
      <c r="F28" t="s">
        <v>120</v>
      </c>
      <c r="G28" t="s">
        <v>73</v>
      </c>
      <c r="H28" t="s">
        <v>74</v>
      </c>
      <c r="I28" t="s">
        <v>64</v>
      </c>
      <c r="J28" t="s">
        <v>112</v>
      </c>
      <c r="K28" t="s">
        <v>65</v>
      </c>
      <c r="L28" s="10" t="s">
        <v>66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25">
      <c r="A29" t="s">
        <v>63</v>
      </c>
      <c r="B29" t="s">
        <v>69</v>
      </c>
      <c r="C29" t="s">
        <v>106</v>
      </c>
      <c r="D29">
        <v>129391</v>
      </c>
      <c r="E29" t="s">
        <v>121</v>
      </c>
      <c r="F29" t="s">
        <v>122</v>
      </c>
      <c r="G29" t="s">
        <v>73</v>
      </c>
      <c r="H29" t="s">
        <v>74</v>
      </c>
      <c r="I29" t="s">
        <v>64</v>
      </c>
      <c r="J29" t="s">
        <v>123</v>
      </c>
      <c r="K29" t="s">
        <v>65</v>
      </c>
      <c r="L29" s="10" t="s">
        <v>66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25">
      <c r="A30" t="s">
        <v>63</v>
      </c>
      <c r="B30" t="s">
        <v>69</v>
      </c>
      <c r="C30" t="s">
        <v>106</v>
      </c>
      <c r="D30">
        <v>129392</v>
      </c>
      <c r="E30" t="s">
        <v>124</v>
      </c>
      <c r="F30" t="s">
        <v>125</v>
      </c>
      <c r="G30" t="s">
        <v>73</v>
      </c>
      <c r="H30" t="s">
        <v>74</v>
      </c>
      <c r="I30" t="s">
        <v>64</v>
      </c>
      <c r="J30" t="s">
        <v>126</v>
      </c>
      <c r="K30" t="s">
        <v>65</v>
      </c>
      <c r="L30" s="10" t="s">
        <v>66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25">
      <c r="A31" t="s">
        <v>63</v>
      </c>
      <c r="B31" t="s">
        <v>69</v>
      </c>
      <c r="C31" t="s">
        <v>106</v>
      </c>
      <c r="D31">
        <v>129393</v>
      </c>
      <c r="E31" t="s">
        <v>127</v>
      </c>
      <c r="F31" t="s">
        <v>128</v>
      </c>
      <c r="G31" t="s">
        <v>73</v>
      </c>
      <c r="H31" t="s">
        <v>74</v>
      </c>
      <c r="I31" t="s">
        <v>64</v>
      </c>
      <c r="J31" t="s">
        <v>129</v>
      </c>
      <c r="K31" t="s">
        <v>65</v>
      </c>
      <c r="L31" s="10" t="s">
        <v>66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25">
      <c r="A32" t="s">
        <v>63</v>
      </c>
      <c r="B32" t="s">
        <v>69</v>
      </c>
      <c r="C32" t="s">
        <v>106</v>
      </c>
      <c r="D32">
        <v>129394</v>
      </c>
      <c r="E32" t="s">
        <v>130</v>
      </c>
      <c r="F32" t="s">
        <v>131</v>
      </c>
      <c r="G32" t="s">
        <v>73</v>
      </c>
      <c r="H32" t="s">
        <v>74</v>
      </c>
      <c r="I32" t="s">
        <v>64</v>
      </c>
      <c r="J32" t="s">
        <v>123</v>
      </c>
      <c r="K32" t="s">
        <v>65</v>
      </c>
      <c r="L32" s="10" t="s">
        <v>66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25">
      <c r="A33" t="s">
        <v>63</v>
      </c>
      <c r="B33" t="s">
        <v>69</v>
      </c>
      <c r="C33" t="s">
        <v>106</v>
      </c>
      <c r="D33">
        <v>129395</v>
      </c>
      <c r="E33" t="s">
        <v>132</v>
      </c>
      <c r="F33" t="s">
        <v>133</v>
      </c>
      <c r="G33" t="s">
        <v>73</v>
      </c>
      <c r="H33" t="s">
        <v>74</v>
      </c>
      <c r="I33" t="s">
        <v>64</v>
      </c>
      <c r="J33" t="s">
        <v>118</v>
      </c>
      <c r="K33" t="s">
        <v>65</v>
      </c>
      <c r="L33" s="10" t="s">
        <v>66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25">
      <c r="A34" t="s">
        <v>63</v>
      </c>
      <c r="B34" t="s">
        <v>69</v>
      </c>
      <c r="C34" t="s">
        <v>106</v>
      </c>
      <c r="D34">
        <v>129396</v>
      </c>
      <c r="E34" t="s">
        <v>134</v>
      </c>
      <c r="F34" t="s">
        <v>135</v>
      </c>
      <c r="G34" t="s">
        <v>73</v>
      </c>
      <c r="H34" t="s">
        <v>74</v>
      </c>
      <c r="I34" t="s">
        <v>64</v>
      </c>
      <c r="J34" t="s">
        <v>129</v>
      </c>
      <c r="K34" t="s">
        <v>65</v>
      </c>
      <c r="L34" s="10" t="s">
        <v>66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25">
      <c r="A35" t="s">
        <v>63</v>
      </c>
      <c r="B35" t="s">
        <v>69</v>
      </c>
      <c r="C35" t="s">
        <v>106</v>
      </c>
      <c r="D35">
        <v>129397</v>
      </c>
      <c r="E35" t="s">
        <v>136</v>
      </c>
      <c r="F35" t="s">
        <v>137</v>
      </c>
      <c r="G35" t="s">
        <v>73</v>
      </c>
      <c r="H35" t="s">
        <v>74</v>
      </c>
      <c r="I35" t="s">
        <v>64</v>
      </c>
      <c r="J35" t="s">
        <v>138</v>
      </c>
      <c r="K35" t="s">
        <v>65</v>
      </c>
      <c r="L35" s="10" t="s">
        <v>66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25">
      <c r="A36" t="s">
        <v>63</v>
      </c>
      <c r="B36" t="s">
        <v>69</v>
      </c>
      <c r="C36" t="s">
        <v>106</v>
      </c>
      <c r="D36">
        <v>129398</v>
      </c>
      <c r="E36" t="s">
        <v>139</v>
      </c>
      <c r="F36" t="s">
        <v>140</v>
      </c>
      <c r="G36" t="s">
        <v>73</v>
      </c>
      <c r="H36" t="s">
        <v>74</v>
      </c>
      <c r="I36" t="s">
        <v>64</v>
      </c>
      <c r="J36" t="s">
        <v>141</v>
      </c>
      <c r="K36" t="s">
        <v>65</v>
      </c>
      <c r="L36" s="10" t="s">
        <v>66</v>
      </c>
      <c r="M36">
        <v>2</v>
      </c>
      <c r="N36">
        <v>3</v>
      </c>
      <c r="O36">
        <v>2</v>
      </c>
      <c r="P36">
        <v>1</v>
      </c>
      <c r="Q36">
        <v>4</v>
      </c>
      <c r="R36">
        <v>2</v>
      </c>
      <c r="S36">
        <v>9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25">
      <c r="A37" t="s">
        <v>63</v>
      </c>
      <c r="B37" t="s">
        <v>69</v>
      </c>
      <c r="C37" t="s">
        <v>106</v>
      </c>
      <c r="D37">
        <v>129399</v>
      </c>
      <c r="E37" t="s">
        <v>142</v>
      </c>
      <c r="F37" t="s">
        <v>143</v>
      </c>
      <c r="G37" t="s">
        <v>73</v>
      </c>
      <c r="H37" t="s">
        <v>74</v>
      </c>
      <c r="I37" t="s">
        <v>64</v>
      </c>
      <c r="J37" t="s">
        <v>144</v>
      </c>
      <c r="K37" t="s">
        <v>65</v>
      </c>
      <c r="L37" s="10" t="s">
        <v>66</v>
      </c>
      <c r="M37">
        <v>0</v>
      </c>
      <c r="N37">
        <v>0</v>
      </c>
      <c r="O37">
        <v>0</v>
      </c>
      <c r="P37">
        <v>0</v>
      </c>
      <c r="Q37">
        <v>4</v>
      </c>
      <c r="R37">
        <v>2</v>
      </c>
      <c r="S37">
        <v>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25">
      <c r="A38" t="s">
        <v>63</v>
      </c>
      <c r="B38" t="s">
        <v>69</v>
      </c>
      <c r="C38" t="s">
        <v>106</v>
      </c>
      <c r="D38">
        <v>129400</v>
      </c>
      <c r="E38" t="s">
        <v>145</v>
      </c>
      <c r="F38" t="s">
        <v>146</v>
      </c>
      <c r="G38" t="s">
        <v>73</v>
      </c>
      <c r="H38" t="s">
        <v>74</v>
      </c>
      <c r="I38" t="s">
        <v>64</v>
      </c>
      <c r="J38" t="s">
        <v>141</v>
      </c>
      <c r="K38" t="s">
        <v>65</v>
      </c>
      <c r="L38" s="10" t="s">
        <v>66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3</v>
      </c>
      <c r="T38">
        <v>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25">
      <c r="A39" t="s">
        <v>63</v>
      </c>
      <c r="B39" t="s">
        <v>69</v>
      </c>
      <c r="C39" t="s">
        <v>106</v>
      </c>
      <c r="D39">
        <v>129401</v>
      </c>
      <c r="E39" t="s">
        <v>147</v>
      </c>
      <c r="F39" t="s">
        <v>148</v>
      </c>
      <c r="G39" t="s">
        <v>73</v>
      </c>
      <c r="H39" t="s">
        <v>74</v>
      </c>
      <c r="I39" t="s">
        <v>64</v>
      </c>
      <c r="J39" t="s">
        <v>115</v>
      </c>
      <c r="K39" t="s">
        <v>65</v>
      </c>
      <c r="L39" s="10" t="s">
        <v>66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25">
      <c r="A40" t="s">
        <v>63</v>
      </c>
      <c r="B40" t="s">
        <v>69</v>
      </c>
      <c r="C40" t="s">
        <v>106</v>
      </c>
      <c r="D40">
        <v>129402</v>
      </c>
      <c r="E40" t="s">
        <v>149</v>
      </c>
      <c r="F40" t="s">
        <v>150</v>
      </c>
      <c r="G40" t="s">
        <v>73</v>
      </c>
      <c r="H40" t="s">
        <v>74</v>
      </c>
      <c r="I40" t="s">
        <v>64</v>
      </c>
      <c r="J40" t="s">
        <v>129</v>
      </c>
      <c r="K40" t="s">
        <v>65</v>
      </c>
      <c r="L40" s="10" t="s">
        <v>66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1</v>
      </c>
      <c r="AG40">
        <v>2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25">
      <c r="A41" t="s">
        <v>63</v>
      </c>
      <c r="B41" t="s">
        <v>69</v>
      </c>
      <c r="C41" t="s">
        <v>106</v>
      </c>
      <c r="D41">
        <v>129403</v>
      </c>
      <c r="E41" t="s">
        <v>151</v>
      </c>
      <c r="F41" t="s">
        <v>152</v>
      </c>
      <c r="G41" t="s">
        <v>73</v>
      </c>
      <c r="H41" t="s">
        <v>74</v>
      </c>
      <c r="I41" t="s">
        <v>64</v>
      </c>
      <c r="J41" t="s">
        <v>109</v>
      </c>
      <c r="K41" t="s">
        <v>65</v>
      </c>
      <c r="L41" s="10" t="s">
        <v>66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25">
      <c r="A42" t="s">
        <v>63</v>
      </c>
      <c r="B42" t="s">
        <v>69</v>
      </c>
      <c r="C42" t="s">
        <v>106</v>
      </c>
      <c r="D42">
        <v>129404</v>
      </c>
      <c r="E42" t="s">
        <v>153</v>
      </c>
      <c r="F42" t="s">
        <v>154</v>
      </c>
      <c r="G42" t="s">
        <v>73</v>
      </c>
      <c r="H42" t="s">
        <v>74</v>
      </c>
      <c r="I42" t="s">
        <v>64</v>
      </c>
      <c r="J42" t="s">
        <v>155</v>
      </c>
      <c r="K42" t="s">
        <v>65</v>
      </c>
      <c r="L42" s="10" t="s">
        <v>66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25">
      <c r="A43" t="s">
        <v>63</v>
      </c>
      <c r="B43" t="s">
        <v>69</v>
      </c>
      <c r="C43" t="s">
        <v>106</v>
      </c>
      <c r="D43">
        <v>129405</v>
      </c>
      <c r="E43" t="s">
        <v>156</v>
      </c>
      <c r="F43" t="s">
        <v>157</v>
      </c>
      <c r="G43" t="s">
        <v>73</v>
      </c>
      <c r="H43" t="s">
        <v>74</v>
      </c>
      <c r="I43" t="s">
        <v>64</v>
      </c>
      <c r="J43" t="s">
        <v>158</v>
      </c>
      <c r="K43" t="s">
        <v>65</v>
      </c>
      <c r="L43" s="10" t="s">
        <v>66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25">
      <c r="A44" t="s">
        <v>63</v>
      </c>
      <c r="B44" t="s">
        <v>69</v>
      </c>
      <c r="C44" t="s">
        <v>106</v>
      </c>
      <c r="D44">
        <v>129406</v>
      </c>
      <c r="E44" t="s">
        <v>159</v>
      </c>
      <c r="F44" t="s">
        <v>160</v>
      </c>
      <c r="G44" t="s">
        <v>73</v>
      </c>
      <c r="H44" t="s">
        <v>74</v>
      </c>
      <c r="I44" t="s">
        <v>64</v>
      </c>
      <c r="J44" t="s">
        <v>126</v>
      </c>
      <c r="K44" t="s">
        <v>65</v>
      </c>
      <c r="L44" s="10" t="s">
        <v>66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63</v>
      </c>
      <c r="B45" t="s">
        <v>69</v>
      </c>
      <c r="C45" t="s">
        <v>106</v>
      </c>
      <c r="D45">
        <v>129407</v>
      </c>
      <c r="E45" t="s">
        <v>161</v>
      </c>
      <c r="F45" t="s">
        <v>162</v>
      </c>
      <c r="G45" t="s">
        <v>73</v>
      </c>
      <c r="H45" t="s">
        <v>74</v>
      </c>
      <c r="I45" t="s">
        <v>64</v>
      </c>
      <c r="J45" t="s">
        <v>138</v>
      </c>
      <c r="K45" t="s">
        <v>65</v>
      </c>
      <c r="L45" s="10" t="s">
        <v>66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25">
      <c r="A46" t="s">
        <v>63</v>
      </c>
      <c r="B46" t="s">
        <v>69</v>
      </c>
      <c r="C46" t="s">
        <v>106</v>
      </c>
      <c r="D46">
        <v>129408</v>
      </c>
      <c r="E46" t="s">
        <v>163</v>
      </c>
      <c r="F46" t="s">
        <v>164</v>
      </c>
      <c r="G46" t="s">
        <v>73</v>
      </c>
      <c r="H46" t="s">
        <v>74</v>
      </c>
      <c r="I46" t="s">
        <v>64</v>
      </c>
      <c r="J46" t="s">
        <v>141</v>
      </c>
      <c r="K46" t="s">
        <v>65</v>
      </c>
      <c r="L46" s="10" t="s">
        <v>66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25">
      <c r="A47" t="s">
        <v>63</v>
      </c>
      <c r="B47" t="s">
        <v>69</v>
      </c>
      <c r="C47" t="s">
        <v>106</v>
      </c>
      <c r="D47">
        <v>129409</v>
      </c>
      <c r="E47" t="s">
        <v>165</v>
      </c>
      <c r="F47" t="s">
        <v>166</v>
      </c>
      <c r="G47" t="s">
        <v>73</v>
      </c>
      <c r="H47" t="s">
        <v>74</v>
      </c>
      <c r="I47" t="s">
        <v>64</v>
      </c>
      <c r="J47" t="s">
        <v>167</v>
      </c>
      <c r="K47" t="s">
        <v>65</v>
      </c>
      <c r="L47" s="10" t="s">
        <v>66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1</v>
      </c>
      <c r="AD47">
        <v>1</v>
      </c>
      <c r="AE47">
        <v>1</v>
      </c>
      <c r="AF47">
        <v>2</v>
      </c>
      <c r="AG47">
        <v>3</v>
      </c>
      <c r="AH47">
        <v>3</v>
      </c>
      <c r="AI47">
        <v>0</v>
      </c>
      <c r="AJ47">
        <v>0</v>
      </c>
      <c r="AK47">
        <v>0</v>
      </c>
      <c r="AL47">
        <v>0</v>
      </c>
    </row>
    <row r="48" spans="1:38" x14ac:dyDescent="0.25">
      <c r="A48" t="s">
        <v>63</v>
      </c>
      <c r="B48" t="s">
        <v>69</v>
      </c>
      <c r="C48" t="s">
        <v>106</v>
      </c>
      <c r="D48">
        <v>257001</v>
      </c>
      <c r="E48" t="s">
        <v>168</v>
      </c>
      <c r="F48" t="s">
        <v>169</v>
      </c>
      <c r="G48" t="s">
        <v>73</v>
      </c>
      <c r="H48" t="s">
        <v>74</v>
      </c>
      <c r="I48" t="s">
        <v>64</v>
      </c>
      <c r="J48" t="s">
        <v>118</v>
      </c>
      <c r="K48" t="s">
        <v>65</v>
      </c>
      <c r="L48" s="10" t="s">
        <v>66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25">
      <c r="A49" t="s">
        <v>63</v>
      </c>
      <c r="B49" t="s">
        <v>69</v>
      </c>
      <c r="C49" t="s">
        <v>170</v>
      </c>
      <c r="D49">
        <v>102157</v>
      </c>
      <c r="E49" t="s">
        <v>171</v>
      </c>
      <c r="F49" t="s">
        <v>172</v>
      </c>
      <c r="G49" t="s">
        <v>73</v>
      </c>
      <c r="H49" t="s">
        <v>74</v>
      </c>
      <c r="I49" t="s">
        <v>64</v>
      </c>
      <c r="J49" t="s">
        <v>173</v>
      </c>
      <c r="K49" t="s">
        <v>65</v>
      </c>
      <c r="L49" s="10" t="s">
        <v>66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25">
      <c r="A50" t="s">
        <v>63</v>
      </c>
      <c r="B50" t="s">
        <v>69</v>
      </c>
      <c r="C50" t="s">
        <v>170</v>
      </c>
      <c r="D50">
        <v>102164</v>
      </c>
      <c r="E50" t="s">
        <v>174</v>
      </c>
      <c r="F50" t="s">
        <v>175</v>
      </c>
      <c r="G50" t="s">
        <v>73</v>
      </c>
      <c r="H50" t="s">
        <v>74</v>
      </c>
      <c r="I50" t="s">
        <v>64</v>
      </c>
      <c r="J50" t="s">
        <v>176</v>
      </c>
      <c r="K50" t="s">
        <v>65</v>
      </c>
      <c r="L50" s="10" t="s">
        <v>66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25">
      <c r="A51" t="s">
        <v>63</v>
      </c>
      <c r="B51" t="s">
        <v>69</v>
      </c>
      <c r="C51" t="s">
        <v>170</v>
      </c>
      <c r="D51">
        <v>129410</v>
      </c>
      <c r="E51" t="s">
        <v>177</v>
      </c>
      <c r="F51" t="s">
        <v>178</v>
      </c>
      <c r="G51" t="s">
        <v>73</v>
      </c>
      <c r="H51" t="s">
        <v>74</v>
      </c>
      <c r="I51" t="s">
        <v>64</v>
      </c>
      <c r="J51" t="s">
        <v>179</v>
      </c>
      <c r="K51" t="s">
        <v>65</v>
      </c>
      <c r="L51" s="10" t="s">
        <v>66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25">
      <c r="A52" t="s">
        <v>63</v>
      </c>
      <c r="B52" t="s">
        <v>69</v>
      </c>
      <c r="C52" t="s">
        <v>170</v>
      </c>
      <c r="D52">
        <v>129412</v>
      </c>
      <c r="E52" t="s">
        <v>180</v>
      </c>
      <c r="F52" t="s">
        <v>181</v>
      </c>
      <c r="G52" t="s">
        <v>73</v>
      </c>
      <c r="H52" t="s">
        <v>74</v>
      </c>
      <c r="I52" t="s">
        <v>64</v>
      </c>
      <c r="J52" t="s">
        <v>182</v>
      </c>
      <c r="K52" t="s">
        <v>65</v>
      </c>
      <c r="L52" s="10" t="s">
        <v>66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25">
      <c r="A53" t="s">
        <v>63</v>
      </c>
      <c r="B53" t="s">
        <v>69</v>
      </c>
      <c r="C53" t="s">
        <v>170</v>
      </c>
      <c r="D53">
        <v>129413</v>
      </c>
      <c r="E53" t="s">
        <v>183</v>
      </c>
      <c r="F53" t="s">
        <v>184</v>
      </c>
      <c r="G53" t="s">
        <v>73</v>
      </c>
      <c r="H53" t="s">
        <v>74</v>
      </c>
      <c r="I53" t="s">
        <v>64</v>
      </c>
      <c r="J53" t="s">
        <v>179</v>
      </c>
      <c r="K53" t="s">
        <v>65</v>
      </c>
      <c r="L53" s="10" t="s">
        <v>66</v>
      </c>
      <c r="M53">
        <v>0</v>
      </c>
      <c r="N53">
        <v>0</v>
      </c>
      <c r="O53">
        <v>0</v>
      </c>
      <c r="P53">
        <v>0</v>
      </c>
      <c r="Q53">
        <v>0</v>
      </c>
      <c r="R53">
        <v>2</v>
      </c>
      <c r="S53">
        <v>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</v>
      </c>
      <c r="AE53">
        <v>2</v>
      </c>
      <c r="AF53">
        <v>2</v>
      </c>
      <c r="AG53">
        <v>5</v>
      </c>
      <c r="AH53">
        <v>2</v>
      </c>
      <c r="AI53">
        <v>0</v>
      </c>
      <c r="AJ53">
        <v>0</v>
      </c>
      <c r="AK53">
        <v>0</v>
      </c>
      <c r="AL53">
        <v>0</v>
      </c>
    </row>
    <row r="54" spans="1:38" x14ac:dyDescent="0.25">
      <c r="A54" t="s">
        <v>63</v>
      </c>
      <c r="B54" t="s">
        <v>69</v>
      </c>
      <c r="C54" t="s">
        <v>170</v>
      </c>
      <c r="D54">
        <v>129414</v>
      </c>
      <c r="E54" t="s">
        <v>185</v>
      </c>
      <c r="F54" t="s">
        <v>186</v>
      </c>
      <c r="G54" t="s">
        <v>73</v>
      </c>
      <c r="H54" t="s">
        <v>74</v>
      </c>
      <c r="I54" t="s">
        <v>64</v>
      </c>
      <c r="J54" t="s">
        <v>187</v>
      </c>
      <c r="K54" t="s">
        <v>65</v>
      </c>
      <c r="L54" s="10" t="s">
        <v>66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63</v>
      </c>
      <c r="B55" t="s">
        <v>69</v>
      </c>
      <c r="C55" t="s">
        <v>170</v>
      </c>
      <c r="D55">
        <v>129417</v>
      </c>
      <c r="E55" t="s">
        <v>188</v>
      </c>
      <c r="F55" t="s">
        <v>189</v>
      </c>
      <c r="G55" t="s">
        <v>73</v>
      </c>
      <c r="H55" t="s">
        <v>74</v>
      </c>
      <c r="I55" t="s">
        <v>64</v>
      </c>
      <c r="J55" t="s">
        <v>173</v>
      </c>
      <c r="K55" t="s">
        <v>65</v>
      </c>
      <c r="L55" s="10" t="s">
        <v>66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25">
      <c r="A56" t="s">
        <v>63</v>
      </c>
      <c r="B56" t="s">
        <v>69</v>
      </c>
      <c r="C56" t="s">
        <v>170</v>
      </c>
      <c r="D56">
        <v>129418</v>
      </c>
      <c r="E56" t="s">
        <v>190</v>
      </c>
      <c r="F56" t="s">
        <v>191</v>
      </c>
      <c r="G56" t="s">
        <v>73</v>
      </c>
      <c r="H56" t="s">
        <v>74</v>
      </c>
      <c r="I56" t="s">
        <v>64</v>
      </c>
      <c r="J56" t="s">
        <v>173</v>
      </c>
      <c r="K56" t="s">
        <v>65</v>
      </c>
      <c r="L56" s="10" t="s">
        <v>66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25">
      <c r="A57" t="s">
        <v>63</v>
      </c>
      <c r="B57" t="s">
        <v>69</v>
      </c>
      <c r="C57" t="s">
        <v>170</v>
      </c>
      <c r="D57">
        <v>129419</v>
      </c>
      <c r="E57" t="s">
        <v>192</v>
      </c>
      <c r="F57" t="s">
        <v>193</v>
      </c>
      <c r="G57" t="s">
        <v>73</v>
      </c>
      <c r="H57" t="s">
        <v>74</v>
      </c>
      <c r="I57" t="s">
        <v>64</v>
      </c>
      <c r="J57" t="s">
        <v>194</v>
      </c>
      <c r="K57" t="s">
        <v>65</v>
      </c>
      <c r="L57" s="10" t="s">
        <v>66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25">
      <c r="A58" t="s">
        <v>63</v>
      </c>
      <c r="B58" t="s">
        <v>69</v>
      </c>
      <c r="C58" t="s">
        <v>170</v>
      </c>
      <c r="D58">
        <v>129420</v>
      </c>
      <c r="E58" t="s">
        <v>195</v>
      </c>
      <c r="F58" t="s">
        <v>196</v>
      </c>
      <c r="G58" t="s">
        <v>73</v>
      </c>
      <c r="H58" t="s">
        <v>74</v>
      </c>
      <c r="I58" t="s">
        <v>64</v>
      </c>
      <c r="J58" t="s">
        <v>196</v>
      </c>
      <c r="K58" t="s">
        <v>65</v>
      </c>
      <c r="L58" s="10" t="s">
        <v>66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25">
      <c r="A59" t="s">
        <v>63</v>
      </c>
      <c r="B59" t="s">
        <v>69</v>
      </c>
      <c r="C59" t="s">
        <v>170</v>
      </c>
      <c r="D59">
        <v>129421</v>
      </c>
      <c r="E59" t="s">
        <v>197</v>
      </c>
      <c r="F59" t="s">
        <v>198</v>
      </c>
      <c r="G59" t="s">
        <v>73</v>
      </c>
      <c r="H59" t="s">
        <v>74</v>
      </c>
      <c r="I59" t="s">
        <v>64</v>
      </c>
      <c r="J59" t="s">
        <v>179</v>
      </c>
      <c r="K59" t="s">
        <v>65</v>
      </c>
      <c r="L59" s="10" t="s">
        <v>66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63</v>
      </c>
      <c r="B60" t="s">
        <v>69</v>
      </c>
      <c r="C60" t="s">
        <v>170</v>
      </c>
      <c r="D60">
        <v>129422</v>
      </c>
      <c r="E60" t="s">
        <v>199</v>
      </c>
      <c r="F60" t="s">
        <v>200</v>
      </c>
      <c r="G60" t="s">
        <v>73</v>
      </c>
      <c r="H60" t="s">
        <v>74</v>
      </c>
      <c r="I60" t="s">
        <v>64</v>
      </c>
      <c r="J60" t="s">
        <v>173</v>
      </c>
      <c r="K60" t="s">
        <v>65</v>
      </c>
      <c r="L60" s="10" t="s">
        <v>66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25">
      <c r="A61" t="s">
        <v>63</v>
      </c>
      <c r="B61" t="s">
        <v>69</v>
      </c>
      <c r="C61" t="s">
        <v>170</v>
      </c>
      <c r="D61">
        <v>501085</v>
      </c>
      <c r="E61" t="s">
        <v>201</v>
      </c>
      <c r="F61" t="s">
        <v>202</v>
      </c>
      <c r="G61" t="s">
        <v>73</v>
      </c>
      <c r="H61" t="s">
        <v>74</v>
      </c>
      <c r="I61" t="s">
        <v>64</v>
      </c>
      <c r="J61" t="s">
        <v>203</v>
      </c>
      <c r="K61" t="s">
        <v>67</v>
      </c>
      <c r="L61" s="10" t="s">
        <v>68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25">
      <c r="A62" t="s">
        <v>63</v>
      </c>
      <c r="B62" t="s">
        <v>69</v>
      </c>
      <c r="C62" t="s">
        <v>170</v>
      </c>
      <c r="D62">
        <v>501086</v>
      </c>
      <c r="E62" t="s">
        <v>204</v>
      </c>
      <c r="F62" t="s">
        <v>205</v>
      </c>
      <c r="G62" t="s">
        <v>73</v>
      </c>
      <c r="H62" t="s">
        <v>74</v>
      </c>
      <c r="I62" t="s">
        <v>64</v>
      </c>
      <c r="J62" t="s">
        <v>206</v>
      </c>
      <c r="K62" t="s">
        <v>67</v>
      </c>
      <c r="L62" s="10" t="s">
        <v>68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</row>
    <row r="63" spans="1:38" x14ac:dyDescent="0.25">
      <c r="A63" t="s">
        <v>63</v>
      </c>
      <c r="B63" t="s">
        <v>69</v>
      </c>
      <c r="C63" t="s">
        <v>170</v>
      </c>
      <c r="D63">
        <v>501087</v>
      </c>
      <c r="E63" t="s">
        <v>207</v>
      </c>
      <c r="F63" t="s">
        <v>208</v>
      </c>
      <c r="G63" t="s">
        <v>73</v>
      </c>
      <c r="H63" t="s">
        <v>74</v>
      </c>
      <c r="I63" t="s">
        <v>64</v>
      </c>
      <c r="J63" t="s">
        <v>176</v>
      </c>
      <c r="K63" t="s">
        <v>67</v>
      </c>
      <c r="L63" s="10" t="s">
        <v>68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autoFilter ref="A9:AL63" xr:uid="{00000000-0009-0000-0000-000000000000}"/>
  <mergeCells count="10">
    <mergeCell ref="M4:S6"/>
    <mergeCell ref="T4:AA5"/>
    <mergeCell ref="AB4:AH6"/>
    <mergeCell ref="AI4:AL5"/>
    <mergeCell ref="T6:U6"/>
    <mergeCell ref="V6:W6"/>
    <mergeCell ref="X6:Y6"/>
    <mergeCell ref="Z6:AA6"/>
    <mergeCell ref="AI6:AJ6"/>
    <mergeCell ref="AK6:AL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72478-F91F-43B5-8EC7-30DE99E48D04}">
  <sheetPr codeName="Sheet2"/>
  <dimension ref="A1:AG31"/>
  <sheetViews>
    <sheetView zoomScale="85" zoomScaleNormal="85" workbookViewId="0">
      <pane xSplit="4" ySplit="9" topLeftCell="E12" activePane="bottomRight" state="frozen"/>
      <selection activeCell="B28" sqref="A10:XFD28"/>
      <selection pane="topRight" activeCell="B28" sqref="A10:XFD28"/>
      <selection pane="bottomLeft" activeCell="B28" sqref="A10:XFD28"/>
      <selection pane="bottomRight" activeCell="B32" sqref="A32:XFD77"/>
    </sheetView>
  </sheetViews>
  <sheetFormatPr defaultRowHeight="15" x14ac:dyDescent="0.25"/>
  <cols>
    <col min="2" max="2" width="27.140625" bestFit="1" customWidth="1"/>
    <col min="13" max="32" width="15.42578125" customWidth="1"/>
  </cols>
  <sheetData>
    <row r="1" spans="1:33" x14ac:dyDescent="0.25">
      <c r="A1" s="1" t="s">
        <v>210</v>
      </c>
    </row>
    <row r="2" spans="1:33" x14ac:dyDescent="0.25">
      <c r="A2" s="1" t="s">
        <v>1</v>
      </c>
      <c r="L2" s="2"/>
    </row>
    <row r="3" spans="1:33" x14ac:dyDescent="0.25">
      <c r="A3" s="1" t="s">
        <v>2</v>
      </c>
      <c r="L3" s="2"/>
    </row>
    <row r="4" spans="1:33" x14ac:dyDescent="0.25">
      <c r="L4" s="2"/>
      <c r="M4" s="3" t="s">
        <v>3</v>
      </c>
      <c r="N4" s="3"/>
      <c r="O4" s="3"/>
      <c r="P4" s="3"/>
      <c r="Q4" s="11" t="s">
        <v>4</v>
      </c>
      <c r="R4" s="11"/>
      <c r="S4" s="11"/>
      <c r="T4" s="11"/>
      <c r="U4" s="11"/>
      <c r="V4" s="11"/>
      <c r="W4" s="11"/>
      <c r="X4" s="11"/>
      <c r="Y4" s="3" t="s">
        <v>5</v>
      </c>
      <c r="Z4" s="3"/>
      <c r="AA4" s="3"/>
      <c r="AB4" s="3"/>
      <c r="AC4" s="11" t="s">
        <v>6</v>
      </c>
      <c r="AD4" s="11"/>
      <c r="AE4" s="11"/>
      <c r="AF4" s="11"/>
    </row>
    <row r="5" spans="1:33" ht="14.45" customHeight="1" x14ac:dyDescent="0.25">
      <c r="M5" s="3"/>
      <c r="N5" s="3"/>
      <c r="O5" s="3"/>
      <c r="P5" s="3"/>
      <c r="Q5" s="11"/>
      <c r="R5" s="11"/>
      <c r="S5" s="11"/>
      <c r="T5" s="11"/>
      <c r="U5" s="11"/>
      <c r="V5" s="11"/>
      <c r="W5" s="11"/>
      <c r="X5" s="11"/>
      <c r="Y5" s="3"/>
      <c r="Z5" s="3"/>
      <c r="AA5" s="3"/>
      <c r="AB5" s="3"/>
      <c r="AC5" s="11"/>
      <c r="AD5" s="11"/>
      <c r="AE5" s="11"/>
      <c r="AF5" s="11"/>
    </row>
    <row r="6" spans="1:33" x14ac:dyDescent="0.25">
      <c r="M6" s="3"/>
      <c r="N6" s="3"/>
      <c r="O6" s="3"/>
      <c r="P6" s="3"/>
      <c r="Q6" s="11" t="s">
        <v>7</v>
      </c>
      <c r="R6" s="11"/>
      <c r="S6" s="11" t="s">
        <v>8</v>
      </c>
      <c r="T6" s="11"/>
      <c r="U6" s="11" t="s">
        <v>9</v>
      </c>
      <c r="V6" s="11"/>
      <c r="W6" s="11" t="s">
        <v>10</v>
      </c>
      <c r="X6" s="11"/>
      <c r="Y6" s="3"/>
      <c r="Z6" s="3"/>
      <c r="AA6" s="3"/>
      <c r="AB6" s="3"/>
      <c r="AC6" s="11" t="s">
        <v>11</v>
      </c>
      <c r="AD6" s="11"/>
      <c r="AE6" s="11" t="s">
        <v>12</v>
      </c>
      <c r="AF6" s="11"/>
    </row>
    <row r="7" spans="1:33" ht="14.45" customHeight="1" x14ac:dyDescent="0.25">
      <c r="M7" s="12" t="s">
        <v>211</v>
      </c>
      <c r="N7" s="12" t="s">
        <v>212</v>
      </c>
      <c r="O7" s="12" t="s">
        <v>213</v>
      </c>
      <c r="P7" s="12" t="s">
        <v>214</v>
      </c>
      <c r="Q7" s="12" t="s">
        <v>20</v>
      </c>
      <c r="R7" s="12" t="s">
        <v>21</v>
      </c>
      <c r="S7" s="12" t="s">
        <v>20</v>
      </c>
      <c r="T7" s="12" t="s">
        <v>21</v>
      </c>
      <c r="U7" s="12" t="s">
        <v>20</v>
      </c>
      <c r="V7" s="12" t="s">
        <v>21</v>
      </c>
      <c r="W7" s="12" t="s">
        <v>20</v>
      </c>
      <c r="X7" s="12" t="s">
        <v>21</v>
      </c>
      <c r="Y7" s="12" t="s">
        <v>211</v>
      </c>
      <c r="Z7" s="12" t="s">
        <v>212</v>
      </c>
      <c r="AA7" s="12" t="s">
        <v>213</v>
      </c>
      <c r="AB7" s="12" t="s">
        <v>214</v>
      </c>
      <c r="AC7" s="12" t="s">
        <v>22</v>
      </c>
      <c r="AD7" s="12" t="s">
        <v>23</v>
      </c>
      <c r="AE7" s="12" t="s">
        <v>22</v>
      </c>
      <c r="AF7" s="12" t="s">
        <v>23</v>
      </c>
    </row>
    <row r="8" spans="1:33" ht="14.45" customHeight="1" x14ac:dyDescent="0.25">
      <c r="M8" s="13">
        <f>SUM(M10:M31)</f>
        <v>63</v>
      </c>
      <c r="N8" s="13">
        <f>SUM(N10:N31)</f>
        <v>126</v>
      </c>
      <c r="O8" s="13">
        <f>SUM(O10:O31)</f>
        <v>145</v>
      </c>
      <c r="P8" s="13">
        <f>SUM(P10:P31)</f>
        <v>56</v>
      </c>
      <c r="Q8" s="13">
        <f>SUM(Q10:Q31)</f>
        <v>53</v>
      </c>
      <c r="R8" s="13">
        <f>SUM(R10:R31)</f>
        <v>11</v>
      </c>
      <c r="S8" s="13">
        <f>SUM(S10:S31)</f>
        <v>0</v>
      </c>
      <c r="T8" s="13">
        <f>SUM(T10:T31)</f>
        <v>0</v>
      </c>
      <c r="U8" s="13">
        <f>SUM(U10:U31)</f>
        <v>3</v>
      </c>
      <c r="V8" s="13">
        <f>SUM(V10:V31)</f>
        <v>2</v>
      </c>
      <c r="W8" s="13">
        <f>SUM(W10:W31)</f>
        <v>41</v>
      </c>
      <c r="X8" s="13">
        <f>SUM(X10:X31)</f>
        <v>9</v>
      </c>
      <c r="Y8" s="13">
        <f>SUM(Y10:Y31)</f>
        <v>39</v>
      </c>
      <c r="Z8" s="13">
        <f>SUM(Z10:Z31)</f>
        <v>20</v>
      </c>
      <c r="AA8" s="13">
        <f>SUM(AA10:AA31)</f>
        <v>15</v>
      </c>
      <c r="AB8" s="13">
        <f>SUM(AB10:AB31)</f>
        <v>11</v>
      </c>
      <c r="AC8" s="13">
        <f>SUM(AC10:AC31)</f>
        <v>4</v>
      </c>
      <c r="AD8" s="13">
        <f>SUM(AD10:AD31)</f>
        <v>0</v>
      </c>
      <c r="AE8" s="13">
        <f>SUM(AE10:AE31)</f>
        <v>3</v>
      </c>
      <c r="AF8" s="13">
        <f>SUM(AF10:AF31)</f>
        <v>0</v>
      </c>
    </row>
    <row r="9" spans="1:33" x14ac:dyDescent="0.25">
      <c r="A9" s="7" t="s">
        <v>24</v>
      </c>
      <c r="B9" s="7" t="s">
        <v>25</v>
      </c>
      <c r="C9" s="7" t="s">
        <v>26</v>
      </c>
      <c r="D9" s="7" t="s">
        <v>27</v>
      </c>
      <c r="E9" s="7" t="s">
        <v>28</v>
      </c>
      <c r="F9" s="7" t="s">
        <v>29</v>
      </c>
      <c r="G9" s="7" t="s">
        <v>30</v>
      </c>
      <c r="H9" s="7" t="s">
        <v>31</v>
      </c>
      <c r="I9" s="7" t="s">
        <v>32</v>
      </c>
      <c r="J9" s="7" t="s">
        <v>33</v>
      </c>
      <c r="K9" s="7" t="s">
        <v>34</v>
      </c>
      <c r="L9" s="8" t="s">
        <v>35</v>
      </c>
      <c r="M9" s="9" t="s">
        <v>215</v>
      </c>
      <c r="N9" s="9" t="s">
        <v>216</v>
      </c>
      <c r="O9" s="9" t="s">
        <v>217</v>
      </c>
      <c r="P9" s="9" t="s">
        <v>218</v>
      </c>
      <c r="Q9" s="9" t="s">
        <v>43</v>
      </c>
      <c r="R9" s="9" t="s">
        <v>44</v>
      </c>
      <c r="S9" s="9" t="s">
        <v>45</v>
      </c>
      <c r="T9" s="9" t="s">
        <v>46</v>
      </c>
      <c r="U9" s="9" t="s">
        <v>47</v>
      </c>
      <c r="V9" s="9" t="s">
        <v>48</v>
      </c>
      <c r="W9" s="9" t="s">
        <v>49</v>
      </c>
      <c r="X9" s="9" t="s">
        <v>50</v>
      </c>
      <c r="Y9" s="9" t="s">
        <v>219</v>
      </c>
      <c r="Z9" s="9" t="s">
        <v>220</v>
      </c>
      <c r="AA9" s="9" t="s">
        <v>221</v>
      </c>
      <c r="AB9" s="9" t="s">
        <v>222</v>
      </c>
      <c r="AC9" s="9" t="s">
        <v>58</v>
      </c>
      <c r="AD9" s="9" t="s">
        <v>59</v>
      </c>
      <c r="AE9" s="9" t="s">
        <v>60</v>
      </c>
      <c r="AF9" s="9" t="s">
        <v>61</v>
      </c>
      <c r="AG9" s="9" t="s">
        <v>62</v>
      </c>
    </row>
    <row r="10" spans="1:33" x14ac:dyDescent="0.25">
      <c r="A10" t="s">
        <v>63</v>
      </c>
      <c r="B10" t="s">
        <v>69</v>
      </c>
      <c r="C10" t="s">
        <v>70</v>
      </c>
      <c r="D10">
        <v>304325</v>
      </c>
      <c r="E10" t="s">
        <v>227</v>
      </c>
      <c r="F10" t="s">
        <v>228</v>
      </c>
      <c r="G10" t="s">
        <v>73</v>
      </c>
      <c r="H10" t="s">
        <v>74</v>
      </c>
      <c r="I10" t="s">
        <v>64</v>
      </c>
      <c r="J10" t="s">
        <v>83</v>
      </c>
      <c r="K10" t="s">
        <v>223</v>
      </c>
      <c r="L10" s="10" t="s">
        <v>224</v>
      </c>
      <c r="M10">
        <v>22</v>
      </c>
      <c r="N10">
        <v>99</v>
      </c>
      <c r="O10">
        <v>120</v>
      </c>
      <c r="P10">
        <v>41</v>
      </c>
      <c r="Q10">
        <v>39</v>
      </c>
      <c r="R10">
        <v>11</v>
      </c>
      <c r="S10">
        <v>0</v>
      </c>
      <c r="T10">
        <v>0</v>
      </c>
      <c r="U10">
        <v>2</v>
      </c>
      <c r="V10">
        <v>2</v>
      </c>
      <c r="W10">
        <v>41</v>
      </c>
      <c r="X10">
        <v>9</v>
      </c>
      <c r="Y10">
        <v>3</v>
      </c>
      <c r="Z10">
        <v>1</v>
      </c>
      <c r="AA10">
        <v>0</v>
      </c>
      <c r="AB10">
        <v>2</v>
      </c>
      <c r="AC10">
        <v>2</v>
      </c>
      <c r="AD10">
        <v>0</v>
      </c>
      <c r="AE10">
        <v>3</v>
      </c>
      <c r="AF10">
        <v>0</v>
      </c>
    </row>
    <row r="11" spans="1:33" x14ac:dyDescent="0.25">
      <c r="A11" t="s">
        <v>63</v>
      </c>
      <c r="B11" t="s">
        <v>69</v>
      </c>
      <c r="C11" t="s">
        <v>70</v>
      </c>
      <c r="D11">
        <v>304326</v>
      </c>
      <c r="E11" t="s">
        <v>229</v>
      </c>
      <c r="F11" t="s">
        <v>230</v>
      </c>
      <c r="G11" t="s">
        <v>73</v>
      </c>
      <c r="H11" t="s">
        <v>74</v>
      </c>
      <c r="I11" t="s">
        <v>64</v>
      </c>
      <c r="J11" t="s">
        <v>83</v>
      </c>
      <c r="K11" t="s">
        <v>223</v>
      </c>
      <c r="L11" s="10" t="s">
        <v>224</v>
      </c>
      <c r="M11">
        <v>0</v>
      </c>
      <c r="N11">
        <v>0</v>
      </c>
      <c r="O11">
        <v>0</v>
      </c>
      <c r="P11">
        <v>0</v>
      </c>
      <c r="Q11">
        <v>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12</v>
      </c>
      <c r="Z11">
        <v>9</v>
      </c>
      <c r="AA11">
        <v>4</v>
      </c>
      <c r="AB11">
        <v>2</v>
      </c>
      <c r="AC11">
        <v>0</v>
      </c>
      <c r="AD11">
        <v>0</v>
      </c>
      <c r="AE11">
        <v>0</v>
      </c>
      <c r="AF11">
        <v>0</v>
      </c>
    </row>
    <row r="12" spans="1:33" x14ac:dyDescent="0.25">
      <c r="A12" t="s">
        <v>63</v>
      </c>
      <c r="B12" t="s">
        <v>69</v>
      </c>
      <c r="C12" t="s">
        <v>70</v>
      </c>
      <c r="D12">
        <v>305680</v>
      </c>
      <c r="E12" t="s">
        <v>231</v>
      </c>
      <c r="F12" t="s">
        <v>232</v>
      </c>
      <c r="G12" t="s">
        <v>73</v>
      </c>
      <c r="H12" t="s">
        <v>74</v>
      </c>
      <c r="I12" t="s">
        <v>64</v>
      </c>
      <c r="J12" t="s">
        <v>118</v>
      </c>
      <c r="K12" t="s">
        <v>225</v>
      </c>
      <c r="L12" s="10" t="s">
        <v>226</v>
      </c>
      <c r="M12">
        <v>4</v>
      </c>
      <c r="N12">
        <v>7</v>
      </c>
      <c r="O12">
        <v>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3" x14ac:dyDescent="0.25">
      <c r="A13" t="s">
        <v>63</v>
      </c>
      <c r="B13" t="s">
        <v>69</v>
      </c>
      <c r="C13" t="s">
        <v>70</v>
      </c>
      <c r="D13">
        <v>325104</v>
      </c>
      <c r="E13" t="s">
        <v>233</v>
      </c>
      <c r="F13" t="s">
        <v>234</v>
      </c>
      <c r="G13" t="s">
        <v>73</v>
      </c>
      <c r="H13" t="s">
        <v>74</v>
      </c>
      <c r="I13" t="s">
        <v>64</v>
      </c>
      <c r="J13" t="s">
        <v>75</v>
      </c>
      <c r="K13" t="s">
        <v>223</v>
      </c>
      <c r="L13" s="10" t="s">
        <v>224</v>
      </c>
      <c r="M13">
        <v>5</v>
      </c>
      <c r="N13">
        <v>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3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3" x14ac:dyDescent="0.25">
      <c r="A14" t="s">
        <v>63</v>
      </c>
      <c r="B14" t="s">
        <v>69</v>
      </c>
      <c r="C14" t="s">
        <v>70</v>
      </c>
      <c r="D14">
        <v>500454</v>
      </c>
      <c r="E14" t="s">
        <v>99</v>
      </c>
      <c r="F14" t="s">
        <v>100</v>
      </c>
      <c r="G14" t="s">
        <v>73</v>
      </c>
      <c r="H14" t="s">
        <v>74</v>
      </c>
      <c r="I14" t="s">
        <v>64</v>
      </c>
      <c r="J14" t="s">
        <v>83</v>
      </c>
      <c r="K14" t="s">
        <v>101</v>
      </c>
      <c r="L14" s="10" t="s">
        <v>102</v>
      </c>
      <c r="M14">
        <v>3</v>
      </c>
      <c r="N14">
        <v>2</v>
      </c>
      <c r="O14">
        <v>1</v>
      </c>
      <c r="P14">
        <v>2</v>
      </c>
      <c r="Q14">
        <v>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2</v>
      </c>
      <c r="Z14">
        <v>3</v>
      </c>
      <c r="AA14">
        <v>2</v>
      </c>
      <c r="AB14">
        <v>1</v>
      </c>
      <c r="AC14">
        <v>0</v>
      </c>
      <c r="AD14">
        <v>0</v>
      </c>
      <c r="AE14">
        <v>0</v>
      </c>
      <c r="AF14">
        <v>0</v>
      </c>
    </row>
    <row r="15" spans="1:33" x14ac:dyDescent="0.25">
      <c r="A15" t="s">
        <v>63</v>
      </c>
      <c r="B15" t="s">
        <v>69</v>
      </c>
      <c r="C15" t="s">
        <v>70</v>
      </c>
      <c r="D15">
        <v>501424</v>
      </c>
      <c r="E15" t="s">
        <v>103</v>
      </c>
      <c r="F15" t="s">
        <v>104</v>
      </c>
      <c r="G15" t="s">
        <v>73</v>
      </c>
      <c r="H15" t="s">
        <v>74</v>
      </c>
      <c r="I15" t="s">
        <v>64</v>
      </c>
      <c r="J15" t="s">
        <v>105</v>
      </c>
      <c r="K15" t="s">
        <v>67</v>
      </c>
      <c r="L15" s="10" t="s">
        <v>68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3" x14ac:dyDescent="0.25">
      <c r="A16" t="s">
        <v>63</v>
      </c>
      <c r="B16" t="s">
        <v>69</v>
      </c>
      <c r="C16" t="s">
        <v>106</v>
      </c>
      <c r="D16">
        <v>304303</v>
      </c>
      <c r="E16" t="s">
        <v>235</v>
      </c>
      <c r="F16" t="s">
        <v>236</v>
      </c>
      <c r="G16" t="s">
        <v>73</v>
      </c>
      <c r="H16" t="s">
        <v>74</v>
      </c>
      <c r="I16" t="s">
        <v>64</v>
      </c>
      <c r="J16" t="s">
        <v>112</v>
      </c>
      <c r="K16" t="s">
        <v>223</v>
      </c>
      <c r="L16" s="10" t="s">
        <v>224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63</v>
      </c>
      <c r="B17" t="s">
        <v>69</v>
      </c>
      <c r="C17" t="s">
        <v>106</v>
      </c>
      <c r="D17">
        <v>304305</v>
      </c>
      <c r="E17" t="s">
        <v>237</v>
      </c>
      <c r="F17" t="s">
        <v>238</v>
      </c>
      <c r="G17" t="s">
        <v>73</v>
      </c>
      <c r="H17" t="s">
        <v>74</v>
      </c>
      <c r="I17" t="s">
        <v>64</v>
      </c>
      <c r="J17" t="s">
        <v>123</v>
      </c>
      <c r="K17" t="s">
        <v>223</v>
      </c>
      <c r="L17" s="10" t="s">
        <v>224</v>
      </c>
      <c r="M17">
        <v>1</v>
      </c>
      <c r="N17">
        <v>2</v>
      </c>
      <c r="O17">
        <v>1</v>
      </c>
      <c r="P17">
        <v>1</v>
      </c>
      <c r="Q17">
        <v>1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63</v>
      </c>
      <c r="B18" t="s">
        <v>69</v>
      </c>
      <c r="C18" t="s">
        <v>106</v>
      </c>
      <c r="D18">
        <v>304314</v>
      </c>
      <c r="E18" t="s">
        <v>239</v>
      </c>
      <c r="F18" t="s">
        <v>143</v>
      </c>
      <c r="G18" t="s">
        <v>73</v>
      </c>
      <c r="H18" t="s">
        <v>74</v>
      </c>
      <c r="I18" t="s">
        <v>64</v>
      </c>
      <c r="J18" t="s">
        <v>144</v>
      </c>
      <c r="K18" t="s">
        <v>223</v>
      </c>
      <c r="L18" s="10" t="s">
        <v>224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63</v>
      </c>
      <c r="B19" t="s">
        <v>69</v>
      </c>
      <c r="C19" t="s">
        <v>106</v>
      </c>
      <c r="D19">
        <v>304327</v>
      </c>
      <c r="E19" t="s">
        <v>240</v>
      </c>
      <c r="F19" t="s">
        <v>241</v>
      </c>
      <c r="G19" t="s">
        <v>73</v>
      </c>
      <c r="H19" t="s">
        <v>74</v>
      </c>
      <c r="I19" t="s">
        <v>64</v>
      </c>
      <c r="J19" t="s">
        <v>141</v>
      </c>
      <c r="K19" t="s">
        <v>223</v>
      </c>
      <c r="L19" s="10" t="s">
        <v>224</v>
      </c>
      <c r="M19">
        <v>23</v>
      </c>
      <c r="N19">
        <v>10</v>
      </c>
      <c r="O19">
        <v>12</v>
      </c>
      <c r="P19">
        <v>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8</v>
      </c>
      <c r="Z19">
        <v>3</v>
      </c>
      <c r="AA19">
        <v>5</v>
      </c>
      <c r="AB19">
        <v>2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63</v>
      </c>
      <c r="B20" t="s">
        <v>69</v>
      </c>
      <c r="C20" t="s">
        <v>106</v>
      </c>
      <c r="D20">
        <v>304328</v>
      </c>
      <c r="E20" t="s">
        <v>242</v>
      </c>
      <c r="F20" t="s">
        <v>243</v>
      </c>
      <c r="G20" t="s">
        <v>73</v>
      </c>
      <c r="H20" t="s">
        <v>74</v>
      </c>
      <c r="I20" t="s">
        <v>64</v>
      </c>
      <c r="J20" t="s">
        <v>118</v>
      </c>
      <c r="K20" t="s">
        <v>223</v>
      </c>
      <c r="L20" s="10" t="s">
        <v>224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63</v>
      </c>
      <c r="B21" t="s">
        <v>69</v>
      </c>
      <c r="C21" t="s">
        <v>106</v>
      </c>
      <c r="D21">
        <v>304338</v>
      </c>
      <c r="E21" t="s">
        <v>244</v>
      </c>
      <c r="F21" t="s">
        <v>245</v>
      </c>
      <c r="G21" t="s">
        <v>73</v>
      </c>
      <c r="H21" t="s">
        <v>74</v>
      </c>
      <c r="I21" t="s">
        <v>64</v>
      </c>
      <c r="J21" t="s">
        <v>158</v>
      </c>
      <c r="K21" t="s">
        <v>223</v>
      </c>
      <c r="L21" s="10" t="s">
        <v>224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63</v>
      </c>
      <c r="B22" t="s">
        <v>69</v>
      </c>
      <c r="C22" t="s">
        <v>106</v>
      </c>
      <c r="D22">
        <v>316104</v>
      </c>
      <c r="E22" t="s">
        <v>246</v>
      </c>
      <c r="F22" t="s">
        <v>209</v>
      </c>
      <c r="G22" t="s">
        <v>73</v>
      </c>
      <c r="H22" t="s">
        <v>74</v>
      </c>
      <c r="I22" t="s">
        <v>64</v>
      </c>
      <c r="J22" t="s">
        <v>129</v>
      </c>
      <c r="K22" t="s">
        <v>223</v>
      </c>
      <c r="L22" s="10" t="s">
        <v>224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63</v>
      </c>
      <c r="B23" t="s">
        <v>69</v>
      </c>
      <c r="C23" t="s">
        <v>106</v>
      </c>
      <c r="D23">
        <v>325101</v>
      </c>
      <c r="E23" t="s">
        <v>247</v>
      </c>
      <c r="F23" t="s">
        <v>248</v>
      </c>
      <c r="G23" t="s">
        <v>73</v>
      </c>
      <c r="H23" t="s">
        <v>74</v>
      </c>
      <c r="I23" t="s">
        <v>64</v>
      </c>
      <c r="J23" t="s">
        <v>118</v>
      </c>
      <c r="K23" t="s">
        <v>225</v>
      </c>
      <c r="L23" s="10" t="s">
        <v>226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63</v>
      </c>
      <c r="B24" t="s">
        <v>69</v>
      </c>
      <c r="C24" t="s">
        <v>106</v>
      </c>
      <c r="D24">
        <v>325102</v>
      </c>
      <c r="E24" t="s">
        <v>249</v>
      </c>
      <c r="F24" t="s">
        <v>250</v>
      </c>
      <c r="G24" t="s">
        <v>73</v>
      </c>
      <c r="H24" t="s">
        <v>74</v>
      </c>
      <c r="I24" t="s">
        <v>64</v>
      </c>
      <c r="J24" t="s">
        <v>115</v>
      </c>
      <c r="K24" t="s">
        <v>223</v>
      </c>
      <c r="L24" s="10" t="s">
        <v>224</v>
      </c>
      <c r="M24">
        <v>1</v>
      </c>
      <c r="N24">
        <v>1</v>
      </c>
      <c r="O24">
        <v>2</v>
      </c>
      <c r="P24">
        <v>3</v>
      </c>
      <c r="Q24">
        <v>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5</v>
      </c>
      <c r="Z24">
        <v>2</v>
      </c>
      <c r="AA24">
        <v>3</v>
      </c>
      <c r="AB24">
        <v>4</v>
      </c>
      <c r="AC24">
        <v>1</v>
      </c>
      <c r="AD24">
        <v>0</v>
      </c>
      <c r="AE24">
        <v>0</v>
      </c>
      <c r="AF24">
        <v>0</v>
      </c>
    </row>
    <row r="25" spans="1:32" x14ac:dyDescent="0.25">
      <c r="A25" t="s">
        <v>63</v>
      </c>
      <c r="B25" t="s">
        <v>69</v>
      </c>
      <c r="C25" t="s">
        <v>106</v>
      </c>
      <c r="D25">
        <v>325106</v>
      </c>
      <c r="E25" t="s">
        <v>251</v>
      </c>
      <c r="F25" t="s">
        <v>193</v>
      </c>
      <c r="G25" t="s">
        <v>73</v>
      </c>
      <c r="H25" t="s">
        <v>74</v>
      </c>
      <c r="I25" t="s">
        <v>64</v>
      </c>
      <c r="J25" t="s">
        <v>167</v>
      </c>
      <c r="K25" t="s">
        <v>223</v>
      </c>
      <c r="L25" s="10" t="s">
        <v>224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63</v>
      </c>
      <c r="B26" t="s">
        <v>69</v>
      </c>
      <c r="C26" t="s">
        <v>170</v>
      </c>
      <c r="D26">
        <v>304313</v>
      </c>
      <c r="E26" t="s">
        <v>252</v>
      </c>
      <c r="F26" t="s">
        <v>253</v>
      </c>
      <c r="G26" t="s">
        <v>73</v>
      </c>
      <c r="H26" t="s">
        <v>74</v>
      </c>
      <c r="I26" t="s">
        <v>64</v>
      </c>
      <c r="J26" t="s">
        <v>179</v>
      </c>
      <c r="K26" t="s">
        <v>223</v>
      </c>
      <c r="L26" s="10" t="s">
        <v>224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63</v>
      </c>
      <c r="B27" t="s">
        <v>69</v>
      </c>
      <c r="C27" t="s">
        <v>170</v>
      </c>
      <c r="D27">
        <v>304318</v>
      </c>
      <c r="E27" t="s">
        <v>254</v>
      </c>
      <c r="F27" t="s">
        <v>255</v>
      </c>
      <c r="G27" t="s">
        <v>73</v>
      </c>
      <c r="H27" t="s">
        <v>74</v>
      </c>
      <c r="I27" t="s">
        <v>64</v>
      </c>
      <c r="J27" t="s">
        <v>187</v>
      </c>
      <c r="K27" t="s">
        <v>223</v>
      </c>
      <c r="L27" s="10" t="s">
        <v>224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</row>
    <row r="28" spans="1:32" x14ac:dyDescent="0.25">
      <c r="A28" t="s">
        <v>63</v>
      </c>
      <c r="B28" t="s">
        <v>69</v>
      </c>
      <c r="C28" t="s">
        <v>170</v>
      </c>
      <c r="D28">
        <v>325105</v>
      </c>
      <c r="E28" t="s">
        <v>256</v>
      </c>
      <c r="F28" t="s">
        <v>189</v>
      </c>
      <c r="G28" t="s">
        <v>73</v>
      </c>
      <c r="H28" t="s">
        <v>74</v>
      </c>
      <c r="I28" t="s">
        <v>64</v>
      </c>
      <c r="J28" t="s">
        <v>173</v>
      </c>
      <c r="K28" t="s">
        <v>223</v>
      </c>
      <c r="L28" s="10" t="s">
        <v>224</v>
      </c>
      <c r="M28">
        <v>2</v>
      </c>
      <c r="N28">
        <v>1</v>
      </c>
      <c r="O28">
        <v>2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63</v>
      </c>
      <c r="B29" t="s">
        <v>69</v>
      </c>
      <c r="C29" t="s">
        <v>170</v>
      </c>
      <c r="D29">
        <v>501085</v>
      </c>
      <c r="E29" t="s">
        <v>201</v>
      </c>
      <c r="F29" t="s">
        <v>202</v>
      </c>
      <c r="G29" t="s">
        <v>73</v>
      </c>
      <c r="H29" t="s">
        <v>74</v>
      </c>
      <c r="I29" t="s">
        <v>64</v>
      </c>
      <c r="J29" t="s">
        <v>203</v>
      </c>
      <c r="K29" t="s">
        <v>67</v>
      </c>
      <c r="L29" s="10" t="s">
        <v>68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63</v>
      </c>
      <c r="B30" t="s">
        <v>69</v>
      </c>
      <c r="C30" t="s">
        <v>170</v>
      </c>
      <c r="D30">
        <v>501086</v>
      </c>
      <c r="E30" t="s">
        <v>204</v>
      </c>
      <c r="F30" t="s">
        <v>205</v>
      </c>
      <c r="G30" t="s">
        <v>73</v>
      </c>
      <c r="H30" t="s">
        <v>74</v>
      </c>
      <c r="I30" t="s">
        <v>64</v>
      </c>
      <c r="J30" t="s">
        <v>206</v>
      </c>
      <c r="K30" t="s">
        <v>67</v>
      </c>
      <c r="L30" s="10" t="s">
        <v>68</v>
      </c>
      <c r="M30">
        <v>2</v>
      </c>
      <c r="N30">
        <v>1</v>
      </c>
      <c r="O30">
        <v>0</v>
      </c>
      <c r="P30">
        <v>0</v>
      </c>
      <c r="Q30">
        <v>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2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63</v>
      </c>
      <c r="B31" t="s">
        <v>69</v>
      </c>
      <c r="C31" t="s">
        <v>170</v>
      </c>
      <c r="D31">
        <v>501087</v>
      </c>
      <c r="E31" t="s">
        <v>207</v>
      </c>
      <c r="F31" t="s">
        <v>208</v>
      </c>
      <c r="G31" t="s">
        <v>73</v>
      </c>
      <c r="H31" t="s">
        <v>74</v>
      </c>
      <c r="I31" t="s">
        <v>64</v>
      </c>
      <c r="J31" t="s">
        <v>176</v>
      </c>
      <c r="K31" t="s">
        <v>67</v>
      </c>
      <c r="L31" s="10" t="s">
        <v>68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</sheetData>
  <autoFilter ref="A9:AG31" xr:uid="{00000000-0009-0000-0000-000001000000}"/>
  <mergeCells count="10">
    <mergeCell ref="M4:P6"/>
    <mergeCell ref="Q4:X5"/>
    <mergeCell ref="Y4:AB6"/>
    <mergeCell ref="AC4:AF5"/>
    <mergeCell ref="Q6:R6"/>
    <mergeCell ref="S6:T6"/>
    <mergeCell ref="U6:V6"/>
    <mergeCell ref="W6:X6"/>
    <mergeCell ref="AC6:AD6"/>
    <mergeCell ref="AE6:A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F6458-A812-4496-AD40-84DCC9CF01D2}">
  <sheetPr codeName="Sheet3"/>
  <dimension ref="A1:AC25"/>
  <sheetViews>
    <sheetView tabSelected="1" zoomScale="85" zoomScaleNormal="85" workbookViewId="0">
      <pane xSplit="4" ySplit="9" topLeftCell="E10" activePane="bottomRight" state="frozen"/>
      <selection activeCell="B28" sqref="A10:XFD28"/>
      <selection pane="topRight" activeCell="B28" sqref="A10:XFD28"/>
      <selection pane="bottomLeft" activeCell="B28" sqref="A10:XFD28"/>
      <selection pane="bottomRight" activeCell="C34" sqref="C34"/>
    </sheetView>
  </sheetViews>
  <sheetFormatPr defaultRowHeight="15" x14ac:dyDescent="0.25"/>
  <cols>
    <col min="2" max="2" width="27.140625" bestFit="1" customWidth="1"/>
    <col min="13" max="14" width="23.7109375" customWidth="1"/>
    <col min="15" max="22" width="13.85546875" customWidth="1"/>
    <col min="23" max="24" width="19.42578125" customWidth="1"/>
    <col min="25" max="28" width="13.85546875" customWidth="1"/>
  </cols>
  <sheetData>
    <row r="1" spans="1:29" x14ac:dyDescent="0.25">
      <c r="A1" s="1" t="s">
        <v>257</v>
      </c>
    </row>
    <row r="2" spans="1:29" x14ac:dyDescent="0.25">
      <c r="A2" s="1" t="s">
        <v>1</v>
      </c>
      <c r="L2" s="2"/>
    </row>
    <row r="3" spans="1:29" x14ac:dyDescent="0.25">
      <c r="A3" s="1" t="s">
        <v>2</v>
      </c>
      <c r="L3" s="2"/>
    </row>
    <row r="4" spans="1:29" ht="14.45" customHeight="1" x14ac:dyDescent="0.25">
      <c r="L4" s="2"/>
      <c r="M4" s="14" t="s">
        <v>258</v>
      </c>
      <c r="N4" s="14"/>
      <c r="O4" s="14" t="s">
        <v>259</v>
      </c>
      <c r="P4" s="14"/>
      <c r="Q4" s="14"/>
      <c r="R4" s="14"/>
      <c r="S4" s="14"/>
      <c r="T4" s="14"/>
      <c r="U4" s="14"/>
      <c r="V4" s="14"/>
      <c r="W4" s="14" t="s">
        <v>260</v>
      </c>
      <c r="X4" s="14"/>
      <c r="Y4" s="14" t="s">
        <v>6</v>
      </c>
      <c r="Z4" s="14"/>
      <c r="AA4" s="14"/>
      <c r="AB4" s="14"/>
    </row>
    <row r="5" spans="1:29" ht="14.45" customHeight="1" x14ac:dyDescent="0.25"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spans="1:29" x14ac:dyDescent="0.25">
      <c r="M6" s="14"/>
      <c r="N6" s="14"/>
      <c r="O6" s="15" t="s">
        <v>7</v>
      </c>
      <c r="P6" s="15"/>
      <c r="Q6" s="15" t="s">
        <v>8</v>
      </c>
      <c r="R6" s="15"/>
      <c r="S6" s="15" t="s">
        <v>9</v>
      </c>
      <c r="T6" s="15"/>
      <c r="U6" s="15" t="s">
        <v>10</v>
      </c>
      <c r="V6" s="15"/>
      <c r="W6" s="14"/>
      <c r="X6" s="14"/>
      <c r="Y6" s="15" t="s">
        <v>11</v>
      </c>
      <c r="Z6" s="15"/>
      <c r="AA6" s="15" t="s">
        <v>12</v>
      </c>
      <c r="AB6" s="15"/>
    </row>
    <row r="7" spans="1:29" x14ac:dyDescent="0.25">
      <c r="M7" s="16" t="s">
        <v>261</v>
      </c>
      <c r="N7" s="16" t="s">
        <v>262</v>
      </c>
      <c r="O7" s="5" t="s">
        <v>20</v>
      </c>
      <c r="P7" s="5" t="s">
        <v>21</v>
      </c>
      <c r="Q7" s="5" t="s">
        <v>20</v>
      </c>
      <c r="R7" s="5" t="s">
        <v>21</v>
      </c>
      <c r="S7" s="5" t="s">
        <v>20</v>
      </c>
      <c r="T7" s="5" t="s">
        <v>21</v>
      </c>
      <c r="U7" s="5" t="s">
        <v>20</v>
      </c>
      <c r="V7" s="5" t="s">
        <v>21</v>
      </c>
      <c r="W7" s="5" t="s">
        <v>261</v>
      </c>
      <c r="X7" s="5" t="s">
        <v>262</v>
      </c>
      <c r="Y7" s="5" t="s">
        <v>22</v>
      </c>
      <c r="Z7" s="5" t="s">
        <v>23</v>
      </c>
      <c r="AA7" s="5" t="s">
        <v>22</v>
      </c>
      <c r="AB7" s="5" t="s">
        <v>23</v>
      </c>
    </row>
    <row r="8" spans="1:29" x14ac:dyDescent="0.25">
      <c r="M8" s="17">
        <f>SUM(M10:M25)</f>
        <v>95</v>
      </c>
      <c r="N8" s="17">
        <f>SUM(N10:N25)</f>
        <v>83</v>
      </c>
      <c r="O8" s="17">
        <f>SUM(O10:O25)</f>
        <v>0</v>
      </c>
      <c r="P8" s="17">
        <f>SUM(P10:P25)</f>
        <v>0</v>
      </c>
      <c r="Q8" s="17">
        <f>SUM(Q10:Q25)</f>
        <v>0</v>
      </c>
      <c r="R8" s="17">
        <f>SUM(R10:R25)</f>
        <v>0</v>
      </c>
      <c r="S8" s="17">
        <f>SUM(S10:S25)</f>
        <v>0</v>
      </c>
      <c r="T8" s="17">
        <f>SUM(T10:T25)</f>
        <v>0</v>
      </c>
      <c r="U8" s="17">
        <f>SUM(U10:U25)</f>
        <v>0</v>
      </c>
      <c r="V8" s="17">
        <f>SUM(V10:V25)</f>
        <v>0</v>
      </c>
      <c r="W8" s="17">
        <f>SUM(W10:W25)</f>
        <v>4</v>
      </c>
      <c r="X8" s="17">
        <f>SUM(X10:X25)</f>
        <v>3</v>
      </c>
      <c r="Y8" s="17">
        <f>SUM(Y10:Y25)</f>
        <v>0</v>
      </c>
      <c r="Z8" s="17">
        <f>SUM(Z10:Z25)</f>
        <v>0</v>
      </c>
      <c r="AA8" s="17">
        <f>SUM(AA10:AA25)</f>
        <v>1</v>
      </c>
      <c r="AB8" s="17">
        <f>SUM(AB10:AB25)</f>
        <v>0</v>
      </c>
    </row>
    <row r="9" spans="1:29" x14ac:dyDescent="0.25">
      <c r="A9" s="7" t="s">
        <v>24</v>
      </c>
      <c r="B9" s="7" t="s">
        <v>25</v>
      </c>
      <c r="C9" s="7" t="s">
        <v>26</v>
      </c>
      <c r="D9" s="7" t="s">
        <v>27</v>
      </c>
      <c r="E9" s="7" t="s">
        <v>28</v>
      </c>
      <c r="F9" s="7" t="s">
        <v>29</v>
      </c>
      <c r="G9" s="7" t="s">
        <v>30</v>
      </c>
      <c r="H9" s="7" t="s">
        <v>31</v>
      </c>
      <c r="I9" s="7" t="s">
        <v>32</v>
      </c>
      <c r="J9" s="7" t="s">
        <v>33</v>
      </c>
      <c r="K9" s="7" t="s">
        <v>34</v>
      </c>
      <c r="L9" s="8" t="s">
        <v>35</v>
      </c>
      <c r="M9" s="9" t="s">
        <v>263</v>
      </c>
      <c r="N9" s="9" t="s">
        <v>264</v>
      </c>
      <c r="O9" s="9" t="s">
        <v>43</v>
      </c>
      <c r="P9" s="9" t="s">
        <v>44</v>
      </c>
      <c r="Q9" s="9" t="s">
        <v>45</v>
      </c>
      <c r="R9" s="9" t="s">
        <v>46</v>
      </c>
      <c r="S9" s="9" t="s">
        <v>47</v>
      </c>
      <c r="T9" s="9" t="s">
        <v>48</v>
      </c>
      <c r="U9" s="9" t="s">
        <v>49</v>
      </c>
      <c r="V9" s="9" t="s">
        <v>50</v>
      </c>
      <c r="W9" s="9" t="s">
        <v>265</v>
      </c>
      <c r="X9" s="9" t="s">
        <v>266</v>
      </c>
      <c r="Y9" s="9" t="s">
        <v>58</v>
      </c>
      <c r="Z9" s="9" t="s">
        <v>59</v>
      </c>
      <c r="AA9" s="9" t="s">
        <v>60</v>
      </c>
      <c r="AB9" s="9" t="s">
        <v>61</v>
      </c>
      <c r="AC9" s="9" t="s">
        <v>62</v>
      </c>
    </row>
    <row r="10" spans="1:29" x14ac:dyDescent="0.25">
      <c r="A10" t="s">
        <v>63</v>
      </c>
      <c r="B10" t="s">
        <v>69</v>
      </c>
      <c r="C10" t="s">
        <v>70</v>
      </c>
      <c r="D10">
        <v>304325</v>
      </c>
      <c r="E10" t="s">
        <v>227</v>
      </c>
      <c r="F10" t="s">
        <v>228</v>
      </c>
      <c r="G10" t="s">
        <v>73</v>
      </c>
      <c r="H10" t="s">
        <v>74</v>
      </c>
      <c r="I10" t="s">
        <v>64</v>
      </c>
      <c r="J10" t="s">
        <v>83</v>
      </c>
      <c r="K10" t="s">
        <v>223</v>
      </c>
      <c r="L10" s="10" t="s">
        <v>224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</row>
    <row r="11" spans="1:29" x14ac:dyDescent="0.25">
      <c r="A11" t="s">
        <v>63</v>
      </c>
      <c r="B11" t="s">
        <v>69</v>
      </c>
      <c r="C11" t="s">
        <v>70</v>
      </c>
      <c r="D11">
        <v>304326</v>
      </c>
      <c r="E11" t="s">
        <v>229</v>
      </c>
      <c r="F11" t="s">
        <v>230</v>
      </c>
      <c r="G11" t="s">
        <v>73</v>
      </c>
      <c r="H11" t="s">
        <v>74</v>
      </c>
      <c r="I11" t="s">
        <v>64</v>
      </c>
      <c r="J11" t="s">
        <v>83</v>
      </c>
      <c r="K11" t="s">
        <v>223</v>
      </c>
      <c r="L11" s="10" t="s">
        <v>224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9" x14ac:dyDescent="0.25">
      <c r="A12" t="s">
        <v>63</v>
      </c>
      <c r="B12" t="s">
        <v>69</v>
      </c>
      <c r="C12" t="s">
        <v>70</v>
      </c>
      <c r="D12">
        <v>325104</v>
      </c>
      <c r="E12" t="s">
        <v>233</v>
      </c>
      <c r="F12" t="s">
        <v>234</v>
      </c>
      <c r="G12" t="s">
        <v>73</v>
      </c>
      <c r="H12" t="s">
        <v>74</v>
      </c>
      <c r="I12" t="s">
        <v>64</v>
      </c>
      <c r="J12" t="s">
        <v>75</v>
      </c>
      <c r="K12" t="s">
        <v>223</v>
      </c>
      <c r="L12" s="10" t="s">
        <v>224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9" x14ac:dyDescent="0.25">
      <c r="A13" t="s">
        <v>63</v>
      </c>
      <c r="B13" t="s">
        <v>69</v>
      </c>
      <c r="C13" t="s">
        <v>70</v>
      </c>
      <c r="D13">
        <v>500454</v>
      </c>
      <c r="E13" t="s">
        <v>99</v>
      </c>
      <c r="F13" t="s">
        <v>100</v>
      </c>
      <c r="G13" t="s">
        <v>73</v>
      </c>
      <c r="H13" t="s">
        <v>74</v>
      </c>
      <c r="I13" t="s">
        <v>64</v>
      </c>
      <c r="J13" t="s">
        <v>83</v>
      </c>
      <c r="K13" t="s">
        <v>101</v>
      </c>
      <c r="L13" s="10" t="s">
        <v>102</v>
      </c>
      <c r="M13">
        <v>3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</v>
      </c>
      <c r="X13">
        <v>2</v>
      </c>
      <c r="Y13">
        <v>0</v>
      </c>
      <c r="Z13">
        <v>0</v>
      </c>
      <c r="AA13">
        <v>0</v>
      </c>
      <c r="AB13">
        <v>0</v>
      </c>
    </row>
    <row r="14" spans="1:29" x14ac:dyDescent="0.25">
      <c r="A14" t="s">
        <v>63</v>
      </c>
      <c r="B14" t="s">
        <v>69</v>
      </c>
      <c r="C14" t="s">
        <v>106</v>
      </c>
      <c r="D14">
        <v>304303</v>
      </c>
      <c r="E14" t="s">
        <v>235</v>
      </c>
      <c r="F14" t="s">
        <v>236</v>
      </c>
      <c r="G14" t="s">
        <v>73</v>
      </c>
      <c r="H14" t="s">
        <v>74</v>
      </c>
      <c r="I14" t="s">
        <v>64</v>
      </c>
      <c r="J14" t="s">
        <v>112</v>
      </c>
      <c r="K14" t="s">
        <v>223</v>
      </c>
      <c r="L14" s="10" t="s">
        <v>224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9" x14ac:dyDescent="0.25">
      <c r="A15" t="s">
        <v>63</v>
      </c>
      <c r="B15" t="s">
        <v>69</v>
      </c>
      <c r="C15" t="s">
        <v>106</v>
      </c>
      <c r="D15">
        <v>304305</v>
      </c>
      <c r="E15" t="s">
        <v>237</v>
      </c>
      <c r="F15" t="s">
        <v>238</v>
      </c>
      <c r="G15" t="s">
        <v>73</v>
      </c>
      <c r="H15" t="s">
        <v>74</v>
      </c>
      <c r="I15" t="s">
        <v>64</v>
      </c>
      <c r="J15" t="s">
        <v>123</v>
      </c>
      <c r="K15" t="s">
        <v>223</v>
      </c>
      <c r="L15" s="10" t="s">
        <v>224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9" x14ac:dyDescent="0.25">
      <c r="A16" t="s">
        <v>63</v>
      </c>
      <c r="B16" t="s">
        <v>69</v>
      </c>
      <c r="C16" t="s">
        <v>106</v>
      </c>
      <c r="D16">
        <v>304314</v>
      </c>
      <c r="E16" t="s">
        <v>239</v>
      </c>
      <c r="F16" t="s">
        <v>143</v>
      </c>
      <c r="G16" t="s">
        <v>73</v>
      </c>
      <c r="H16" t="s">
        <v>74</v>
      </c>
      <c r="I16" t="s">
        <v>64</v>
      </c>
      <c r="J16" t="s">
        <v>144</v>
      </c>
      <c r="K16" t="s">
        <v>223</v>
      </c>
      <c r="L16" s="10" t="s">
        <v>224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 t="s">
        <v>63</v>
      </c>
      <c r="B17" t="s">
        <v>69</v>
      </c>
      <c r="C17" t="s">
        <v>106</v>
      </c>
      <c r="D17">
        <v>304327</v>
      </c>
      <c r="E17" t="s">
        <v>240</v>
      </c>
      <c r="F17" t="s">
        <v>241</v>
      </c>
      <c r="G17" t="s">
        <v>73</v>
      </c>
      <c r="H17" t="s">
        <v>74</v>
      </c>
      <c r="I17" t="s">
        <v>64</v>
      </c>
      <c r="J17" t="s">
        <v>141</v>
      </c>
      <c r="K17" t="s">
        <v>223</v>
      </c>
      <c r="L17" s="10" t="s">
        <v>224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 t="s">
        <v>63</v>
      </c>
      <c r="B18" t="s">
        <v>69</v>
      </c>
      <c r="C18" t="s">
        <v>106</v>
      </c>
      <c r="D18">
        <v>304328</v>
      </c>
      <c r="E18" t="s">
        <v>242</v>
      </c>
      <c r="F18" t="s">
        <v>243</v>
      </c>
      <c r="G18" t="s">
        <v>73</v>
      </c>
      <c r="H18" t="s">
        <v>74</v>
      </c>
      <c r="I18" t="s">
        <v>64</v>
      </c>
      <c r="J18" t="s">
        <v>118</v>
      </c>
      <c r="K18" t="s">
        <v>223</v>
      </c>
      <c r="L18" s="10" t="s">
        <v>224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63</v>
      </c>
      <c r="B19" t="s">
        <v>69</v>
      </c>
      <c r="C19" t="s">
        <v>106</v>
      </c>
      <c r="D19">
        <v>304338</v>
      </c>
      <c r="E19" t="s">
        <v>244</v>
      </c>
      <c r="F19" t="s">
        <v>245</v>
      </c>
      <c r="G19" t="s">
        <v>73</v>
      </c>
      <c r="H19" t="s">
        <v>74</v>
      </c>
      <c r="I19" t="s">
        <v>64</v>
      </c>
      <c r="J19" t="s">
        <v>158</v>
      </c>
      <c r="K19" t="s">
        <v>223</v>
      </c>
      <c r="L19" s="10" t="s">
        <v>224</v>
      </c>
      <c r="M19">
        <v>10</v>
      </c>
      <c r="N19">
        <v>10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63</v>
      </c>
      <c r="B20" t="s">
        <v>69</v>
      </c>
      <c r="C20" t="s">
        <v>106</v>
      </c>
      <c r="D20">
        <v>316104</v>
      </c>
      <c r="E20" t="s">
        <v>246</v>
      </c>
      <c r="F20" t="s">
        <v>209</v>
      </c>
      <c r="G20" t="s">
        <v>73</v>
      </c>
      <c r="H20" t="s">
        <v>74</v>
      </c>
      <c r="I20" t="s">
        <v>64</v>
      </c>
      <c r="J20" t="s">
        <v>129</v>
      </c>
      <c r="K20" t="s">
        <v>223</v>
      </c>
      <c r="L20" s="10" t="s">
        <v>224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63</v>
      </c>
      <c r="B21" t="s">
        <v>69</v>
      </c>
      <c r="C21" t="s">
        <v>106</v>
      </c>
      <c r="D21">
        <v>325102</v>
      </c>
      <c r="E21" t="s">
        <v>249</v>
      </c>
      <c r="F21" t="s">
        <v>250</v>
      </c>
      <c r="G21" t="s">
        <v>73</v>
      </c>
      <c r="H21" t="s">
        <v>74</v>
      </c>
      <c r="I21" t="s">
        <v>64</v>
      </c>
      <c r="J21" t="s">
        <v>115</v>
      </c>
      <c r="K21" t="s">
        <v>223</v>
      </c>
      <c r="L21" s="10" t="s">
        <v>224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</v>
      </c>
      <c r="X21">
        <v>1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63</v>
      </c>
      <c r="B22" t="s">
        <v>69</v>
      </c>
      <c r="C22" t="s">
        <v>106</v>
      </c>
      <c r="D22">
        <v>325106</v>
      </c>
      <c r="E22" t="s">
        <v>251</v>
      </c>
      <c r="F22" t="s">
        <v>193</v>
      </c>
      <c r="G22" t="s">
        <v>73</v>
      </c>
      <c r="H22" t="s">
        <v>74</v>
      </c>
      <c r="I22" t="s">
        <v>64</v>
      </c>
      <c r="J22" t="s">
        <v>167</v>
      </c>
      <c r="K22" t="s">
        <v>223</v>
      </c>
      <c r="L22" s="10" t="s">
        <v>224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63</v>
      </c>
      <c r="B23" t="s">
        <v>69</v>
      </c>
      <c r="C23" t="s">
        <v>170</v>
      </c>
      <c r="D23">
        <v>304313</v>
      </c>
      <c r="E23" t="s">
        <v>252</v>
      </c>
      <c r="F23" t="s">
        <v>253</v>
      </c>
      <c r="G23" t="s">
        <v>73</v>
      </c>
      <c r="H23" t="s">
        <v>74</v>
      </c>
      <c r="I23" t="s">
        <v>64</v>
      </c>
      <c r="J23" t="s">
        <v>179</v>
      </c>
      <c r="K23" t="s">
        <v>223</v>
      </c>
      <c r="L23" s="10" t="s">
        <v>224</v>
      </c>
      <c r="M23">
        <v>77</v>
      </c>
      <c r="N23">
        <v>72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63</v>
      </c>
      <c r="B24" t="s">
        <v>69</v>
      </c>
      <c r="C24" t="s">
        <v>170</v>
      </c>
      <c r="D24">
        <v>304318</v>
      </c>
      <c r="E24" t="s">
        <v>254</v>
      </c>
      <c r="F24" t="s">
        <v>255</v>
      </c>
      <c r="G24" t="s">
        <v>73</v>
      </c>
      <c r="H24" t="s">
        <v>74</v>
      </c>
      <c r="I24" t="s">
        <v>64</v>
      </c>
      <c r="J24" t="s">
        <v>187</v>
      </c>
      <c r="K24" t="s">
        <v>223</v>
      </c>
      <c r="L24" s="10" t="s">
        <v>224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63</v>
      </c>
      <c r="B25" t="s">
        <v>69</v>
      </c>
      <c r="C25" t="s">
        <v>170</v>
      </c>
      <c r="D25">
        <v>325105</v>
      </c>
      <c r="E25" t="s">
        <v>256</v>
      </c>
      <c r="F25" t="s">
        <v>189</v>
      </c>
      <c r="G25" t="s">
        <v>73</v>
      </c>
      <c r="H25" t="s">
        <v>74</v>
      </c>
      <c r="I25" t="s">
        <v>64</v>
      </c>
      <c r="J25" t="s">
        <v>173</v>
      </c>
      <c r="K25" t="s">
        <v>223</v>
      </c>
      <c r="L25" s="10" t="s">
        <v>224</v>
      </c>
      <c r="M25">
        <v>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autoFilter ref="A9:AB25" xr:uid="{00000000-0009-0000-0000-000002000000}"/>
  <mergeCells count="10">
    <mergeCell ref="M4:N6"/>
    <mergeCell ref="O4:V5"/>
    <mergeCell ref="W4:X6"/>
    <mergeCell ref="Y4:AB5"/>
    <mergeCell ref="O6:P6"/>
    <mergeCell ref="Q6:R6"/>
    <mergeCell ref="S6:T6"/>
    <mergeCell ref="U6:V6"/>
    <mergeCell ref="Y6:Z6"/>
    <mergeCell ref="AA6:A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2023-08-01T08:04:07Z</dcterms:created>
  <dcterms:modified xsi:type="dcterms:W3CDTF">2023-08-01T08:05:07Z</dcterms:modified>
</cp:coreProperties>
</file>